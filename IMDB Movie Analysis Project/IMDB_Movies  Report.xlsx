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202300"/>
  <mc:AlternateContent xmlns:mc="http://schemas.openxmlformats.org/markup-compatibility/2006">
    <mc:Choice Requires="x15">
      <x15ac:absPath xmlns:x15ac="http://schemas.microsoft.com/office/spreadsheetml/2010/11/ac" url="C:\Users\Sahil\Desktop\Trainity\Project 5\"/>
    </mc:Choice>
  </mc:AlternateContent>
  <xr:revisionPtr revIDLastSave="0" documentId="13_ncr:1_{46597B5A-DD3F-4118-A210-346E96F3CC53}" xr6:coauthVersionLast="47" xr6:coauthVersionMax="47" xr10:uidLastSave="{00000000-0000-0000-0000-000000000000}"/>
  <bookViews>
    <workbookView xWindow="24" yWindow="24" windowWidth="23016" windowHeight="12216" firstSheet="2" activeTab="5" xr2:uid="{B0B30256-0EEF-4F41-BE5A-0822B5A830D7}"/>
  </bookViews>
  <sheets>
    <sheet name="IMDB_Movies" sheetId="2" r:id="rId1"/>
    <sheet name="Movie genre Analysis" sheetId="1" r:id="rId2"/>
    <sheet name="Movie duration analysis" sheetId="3" r:id="rId3"/>
    <sheet name="Language analysis" sheetId="5" r:id="rId4"/>
    <sheet name="Director analysis" sheetId="6" r:id="rId5"/>
    <sheet name="Budget Analysis" sheetId="7" r:id="rId6"/>
  </sheets>
  <definedNames>
    <definedName name="_xlnm._FilterDatabase" localSheetId="4" hidden="1">'Director analysis'!$E$2:$E$12</definedName>
    <definedName name="_xlnm._FilterDatabase" localSheetId="3" hidden="1">'Language analysis'!$E$2:$E$40</definedName>
    <definedName name="_xlnm._FilterDatabase" localSheetId="1" hidden="1">'Movie genre Analysis'!$N$1:$N$23</definedName>
    <definedName name="_xlchart.v1.0" hidden="1">'Movie genre Analysis'!$N$2:$N$23</definedName>
    <definedName name="_xlchart.v1.1" hidden="1">'Movie genre Analysis'!$O$1</definedName>
    <definedName name="_xlchart.v1.2" hidden="1">'Movie genre Analysis'!$O$2:$O$23</definedName>
    <definedName name="ExternalData_1" localSheetId="0" hidden="1">IMDB_Movies!$A$1:$H$3712</definedName>
    <definedName name="Slicer_Top_10_Director_nam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 l="1"/>
  <c r="G4" i="7"/>
  <c r="D2"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460" i="7"/>
  <c r="D461" i="7"/>
  <c r="D462" i="7"/>
  <c r="D463" i="7"/>
  <c r="D464" i="7"/>
  <c r="D465" i="7"/>
  <c r="D466" i="7"/>
  <c r="D467" i="7"/>
  <c r="D468" i="7"/>
  <c r="D469" i="7"/>
  <c r="D470" i="7"/>
  <c r="D471" i="7"/>
  <c r="D472" i="7"/>
  <c r="D473" i="7"/>
  <c r="D474" i="7"/>
  <c r="D475" i="7"/>
  <c r="D476" i="7"/>
  <c r="D477" i="7"/>
  <c r="D478" i="7"/>
  <c r="D479" i="7"/>
  <c r="D480" i="7"/>
  <c r="D481" i="7"/>
  <c r="D482" i="7"/>
  <c r="D483" i="7"/>
  <c r="D484" i="7"/>
  <c r="D485" i="7"/>
  <c r="D486" i="7"/>
  <c r="D487" i="7"/>
  <c r="D488" i="7"/>
  <c r="D489" i="7"/>
  <c r="D490" i="7"/>
  <c r="D491" i="7"/>
  <c r="D492" i="7"/>
  <c r="D493" i="7"/>
  <c r="D494" i="7"/>
  <c r="D495" i="7"/>
  <c r="D496" i="7"/>
  <c r="D497" i="7"/>
  <c r="D498" i="7"/>
  <c r="D499" i="7"/>
  <c r="D500" i="7"/>
  <c r="D501" i="7"/>
  <c r="D502" i="7"/>
  <c r="D503" i="7"/>
  <c r="D504" i="7"/>
  <c r="D505" i="7"/>
  <c r="D506" i="7"/>
  <c r="D507" i="7"/>
  <c r="D508" i="7"/>
  <c r="D509" i="7"/>
  <c r="D510" i="7"/>
  <c r="D511" i="7"/>
  <c r="D512" i="7"/>
  <c r="D513" i="7"/>
  <c r="D514" i="7"/>
  <c r="D515" i="7"/>
  <c r="D516" i="7"/>
  <c r="D517" i="7"/>
  <c r="D518" i="7"/>
  <c r="D519" i="7"/>
  <c r="D520" i="7"/>
  <c r="D521" i="7"/>
  <c r="D522" i="7"/>
  <c r="D523" i="7"/>
  <c r="D524" i="7"/>
  <c r="D525" i="7"/>
  <c r="D526" i="7"/>
  <c r="D527" i="7"/>
  <c r="D528" i="7"/>
  <c r="D529" i="7"/>
  <c r="D530" i="7"/>
  <c r="D531" i="7"/>
  <c r="D532" i="7"/>
  <c r="D533" i="7"/>
  <c r="D534" i="7"/>
  <c r="D535" i="7"/>
  <c r="D536" i="7"/>
  <c r="D537" i="7"/>
  <c r="D538" i="7"/>
  <c r="D539" i="7"/>
  <c r="D540" i="7"/>
  <c r="D541" i="7"/>
  <c r="D542" i="7"/>
  <c r="D543" i="7"/>
  <c r="D544" i="7"/>
  <c r="D545" i="7"/>
  <c r="D546" i="7"/>
  <c r="D547" i="7"/>
  <c r="D548" i="7"/>
  <c r="D549" i="7"/>
  <c r="D550" i="7"/>
  <c r="D551" i="7"/>
  <c r="D552" i="7"/>
  <c r="D553" i="7"/>
  <c r="D554" i="7"/>
  <c r="D555" i="7"/>
  <c r="D556" i="7"/>
  <c r="D557" i="7"/>
  <c r="D558" i="7"/>
  <c r="D559" i="7"/>
  <c r="D560" i="7"/>
  <c r="D561" i="7"/>
  <c r="D562" i="7"/>
  <c r="D563" i="7"/>
  <c r="D564" i="7"/>
  <c r="D565" i="7"/>
  <c r="D566" i="7"/>
  <c r="D567" i="7"/>
  <c r="D568" i="7"/>
  <c r="D569" i="7"/>
  <c r="D570" i="7"/>
  <c r="D571" i="7"/>
  <c r="D572" i="7"/>
  <c r="D573" i="7"/>
  <c r="D574" i="7"/>
  <c r="D575" i="7"/>
  <c r="D576" i="7"/>
  <c r="D577" i="7"/>
  <c r="D578" i="7"/>
  <c r="D579" i="7"/>
  <c r="D580" i="7"/>
  <c r="D581" i="7"/>
  <c r="D582" i="7"/>
  <c r="D583" i="7"/>
  <c r="D584" i="7"/>
  <c r="D585" i="7"/>
  <c r="D586" i="7"/>
  <c r="D587" i="7"/>
  <c r="D588" i="7"/>
  <c r="D589" i="7"/>
  <c r="D590" i="7"/>
  <c r="D591" i="7"/>
  <c r="D592" i="7"/>
  <c r="D593" i="7"/>
  <c r="D594" i="7"/>
  <c r="D595" i="7"/>
  <c r="D596" i="7"/>
  <c r="D597" i="7"/>
  <c r="D598" i="7"/>
  <c r="D599" i="7"/>
  <c r="D600" i="7"/>
  <c r="D601" i="7"/>
  <c r="D602" i="7"/>
  <c r="D603" i="7"/>
  <c r="D604" i="7"/>
  <c r="D605" i="7"/>
  <c r="D606" i="7"/>
  <c r="D607" i="7"/>
  <c r="D608" i="7"/>
  <c r="D609" i="7"/>
  <c r="D610" i="7"/>
  <c r="D611" i="7"/>
  <c r="D612" i="7"/>
  <c r="D613" i="7"/>
  <c r="D614" i="7"/>
  <c r="D615" i="7"/>
  <c r="D616" i="7"/>
  <c r="D617" i="7"/>
  <c r="D618" i="7"/>
  <c r="D619" i="7"/>
  <c r="D620" i="7"/>
  <c r="D621" i="7"/>
  <c r="D622" i="7"/>
  <c r="D623" i="7"/>
  <c r="D624" i="7"/>
  <c r="D625" i="7"/>
  <c r="D626" i="7"/>
  <c r="D627" i="7"/>
  <c r="D628" i="7"/>
  <c r="D629" i="7"/>
  <c r="D630" i="7"/>
  <c r="D631" i="7"/>
  <c r="D632" i="7"/>
  <c r="D633" i="7"/>
  <c r="D634" i="7"/>
  <c r="D635" i="7"/>
  <c r="D636" i="7"/>
  <c r="D637" i="7"/>
  <c r="D638" i="7"/>
  <c r="D639" i="7"/>
  <c r="D640" i="7"/>
  <c r="D641" i="7"/>
  <c r="D642" i="7"/>
  <c r="D643" i="7"/>
  <c r="D644" i="7"/>
  <c r="D645" i="7"/>
  <c r="D646" i="7"/>
  <c r="D647" i="7"/>
  <c r="D648" i="7"/>
  <c r="D649" i="7"/>
  <c r="D650" i="7"/>
  <c r="D651" i="7"/>
  <c r="D652" i="7"/>
  <c r="D653" i="7"/>
  <c r="D654" i="7"/>
  <c r="D655" i="7"/>
  <c r="D656" i="7"/>
  <c r="D657" i="7"/>
  <c r="D658" i="7"/>
  <c r="D659" i="7"/>
  <c r="D660" i="7"/>
  <c r="D661" i="7"/>
  <c r="D662" i="7"/>
  <c r="D663" i="7"/>
  <c r="D664" i="7"/>
  <c r="D665" i="7"/>
  <c r="D666" i="7"/>
  <c r="D667" i="7"/>
  <c r="D668" i="7"/>
  <c r="D669" i="7"/>
  <c r="D670" i="7"/>
  <c r="D671" i="7"/>
  <c r="D672" i="7"/>
  <c r="D673" i="7"/>
  <c r="D674" i="7"/>
  <c r="D675" i="7"/>
  <c r="D676" i="7"/>
  <c r="D677" i="7"/>
  <c r="D678" i="7"/>
  <c r="D679" i="7"/>
  <c r="D680" i="7"/>
  <c r="D681" i="7"/>
  <c r="D682" i="7"/>
  <c r="D683" i="7"/>
  <c r="D684" i="7"/>
  <c r="D685" i="7"/>
  <c r="D686" i="7"/>
  <c r="D687" i="7"/>
  <c r="D688" i="7"/>
  <c r="D689" i="7"/>
  <c r="D690" i="7"/>
  <c r="D691" i="7"/>
  <c r="D692" i="7"/>
  <c r="D693" i="7"/>
  <c r="D694" i="7"/>
  <c r="D695" i="7"/>
  <c r="D696" i="7"/>
  <c r="D697" i="7"/>
  <c r="D698" i="7"/>
  <c r="D699" i="7"/>
  <c r="D700" i="7"/>
  <c r="D701" i="7"/>
  <c r="D702" i="7"/>
  <c r="D703" i="7"/>
  <c r="D704" i="7"/>
  <c r="D705" i="7"/>
  <c r="D706" i="7"/>
  <c r="D707" i="7"/>
  <c r="D708" i="7"/>
  <c r="D709" i="7"/>
  <c r="D710" i="7"/>
  <c r="D711" i="7"/>
  <c r="D712" i="7"/>
  <c r="D713" i="7"/>
  <c r="D714" i="7"/>
  <c r="D715" i="7"/>
  <c r="D716" i="7"/>
  <c r="D717" i="7"/>
  <c r="D718" i="7"/>
  <c r="D719" i="7"/>
  <c r="D720" i="7"/>
  <c r="D721" i="7"/>
  <c r="D722" i="7"/>
  <c r="D723" i="7"/>
  <c r="D724" i="7"/>
  <c r="D725" i="7"/>
  <c r="D726" i="7"/>
  <c r="D727" i="7"/>
  <c r="D728" i="7"/>
  <c r="D729" i="7"/>
  <c r="D730" i="7"/>
  <c r="D731" i="7"/>
  <c r="D732" i="7"/>
  <c r="D733" i="7"/>
  <c r="D734" i="7"/>
  <c r="D735" i="7"/>
  <c r="D736" i="7"/>
  <c r="D737" i="7"/>
  <c r="D738" i="7"/>
  <c r="D739" i="7"/>
  <c r="D740" i="7"/>
  <c r="D741" i="7"/>
  <c r="D742" i="7"/>
  <c r="D743" i="7"/>
  <c r="D744" i="7"/>
  <c r="D745" i="7"/>
  <c r="D746" i="7"/>
  <c r="D747" i="7"/>
  <c r="D748" i="7"/>
  <c r="D749" i="7"/>
  <c r="D750" i="7"/>
  <c r="D751" i="7"/>
  <c r="D752" i="7"/>
  <c r="D753" i="7"/>
  <c r="D754" i="7"/>
  <c r="D755" i="7"/>
  <c r="D756" i="7"/>
  <c r="D757" i="7"/>
  <c r="D758" i="7"/>
  <c r="D759" i="7"/>
  <c r="D760" i="7"/>
  <c r="D761" i="7"/>
  <c r="D762" i="7"/>
  <c r="D763" i="7"/>
  <c r="D764" i="7"/>
  <c r="D765" i="7"/>
  <c r="D766" i="7"/>
  <c r="D767" i="7"/>
  <c r="D768" i="7"/>
  <c r="D769" i="7"/>
  <c r="D770" i="7"/>
  <c r="D771" i="7"/>
  <c r="D772" i="7"/>
  <c r="D773" i="7"/>
  <c r="D774" i="7"/>
  <c r="D775" i="7"/>
  <c r="D776" i="7"/>
  <c r="D777" i="7"/>
  <c r="D778" i="7"/>
  <c r="D779" i="7"/>
  <c r="D780" i="7"/>
  <c r="D781" i="7"/>
  <c r="D782" i="7"/>
  <c r="D783" i="7"/>
  <c r="D784" i="7"/>
  <c r="D785" i="7"/>
  <c r="D786" i="7"/>
  <c r="D787" i="7"/>
  <c r="D788" i="7"/>
  <c r="D789" i="7"/>
  <c r="D790" i="7"/>
  <c r="D791" i="7"/>
  <c r="D792" i="7"/>
  <c r="D793" i="7"/>
  <c r="D794" i="7"/>
  <c r="D795" i="7"/>
  <c r="D796" i="7"/>
  <c r="D797" i="7"/>
  <c r="D798" i="7"/>
  <c r="D799" i="7"/>
  <c r="D800" i="7"/>
  <c r="D801" i="7"/>
  <c r="D802" i="7"/>
  <c r="D803" i="7"/>
  <c r="D804" i="7"/>
  <c r="D805" i="7"/>
  <c r="D806" i="7"/>
  <c r="D807" i="7"/>
  <c r="D808" i="7"/>
  <c r="D809" i="7"/>
  <c r="D810" i="7"/>
  <c r="D811" i="7"/>
  <c r="D812" i="7"/>
  <c r="D813" i="7"/>
  <c r="D814" i="7"/>
  <c r="D815" i="7"/>
  <c r="D816" i="7"/>
  <c r="D817" i="7"/>
  <c r="D818" i="7"/>
  <c r="D819" i="7"/>
  <c r="D820" i="7"/>
  <c r="D821" i="7"/>
  <c r="D822" i="7"/>
  <c r="D823" i="7"/>
  <c r="D824" i="7"/>
  <c r="D825" i="7"/>
  <c r="D826" i="7"/>
  <c r="D827" i="7"/>
  <c r="D828" i="7"/>
  <c r="D829" i="7"/>
  <c r="D830" i="7"/>
  <c r="D831" i="7"/>
  <c r="D832" i="7"/>
  <c r="D833" i="7"/>
  <c r="D834" i="7"/>
  <c r="D835" i="7"/>
  <c r="D836" i="7"/>
  <c r="D837" i="7"/>
  <c r="D838" i="7"/>
  <c r="D839" i="7"/>
  <c r="D840" i="7"/>
  <c r="D841" i="7"/>
  <c r="D842" i="7"/>
  <c r="D843" i="7"/>
  <c r="D844" i="7"/>
  <c r="D845" i="7"/>
  <c r="D846" i="7"/>
  <c r="D847" i="7"/>
  <c r="D848" i="7"/>
  <c r="D849" i="7"/>
  <c r="D850" i="7"/>
  <c r="D851" i="7"/>
  <c r="D852" i="7"/>
  <c r="D853" i="7"/>
  <c r="D854" i="7"/>
  <c r="D855" i="7"/>
  <c r="D856" i="7"/>
  <c r="D857" i="7"/>
  <c r="D858" i="7"/>
  <c r="D859" i="7"/>
  <c r="D860" i="7"/>
  <c r="D861" i="7"/>
  <c r="D862" i="7"/>
  <c r="D863" i="7"/>
  <c r="D864" i="7"/>
  <c r="D865" i="7"/>
  <c r="D866" i="7"/>
  <c r="D867" i="7"/>
  <c r="D868" i="7"/>
  <c r="D869" i="7"/>
  <c r="D870" i="7"/>
  <c r="D871" i="7"/>
  <c r="D872" i="7"/>
  <c r="D873" i="7"/>
  <c r="D874" i="7"/>
  <c r="D875" i="7"/>
  <c r="D876" i="7"/>
  <c r="D877" i="7"/>
  <c r="D878" i="7"/>
  <c r="D879" i="7"/>
  <c r="D880" i="7"/>
  <c r="D881" i="7"/>
  <c r="D882" i="7"/>
  <c r="D883" i="7"/>
  <c r="D884" i="7"/>
  <c r="D885" i="7"/>
  <c r="D886" i="7"/>
  <c r="D887" i="7"/>
  <c r="D888" i="7"/>
  <c r="D889" i="7"/>
  <c r="D890" i="7"/>
  <c r="D891" i="7"/>
  <c r="D892" i="7"/>
  <c r="D893" i="7"/>
  <c r="D894" i="7"/>
  <c r="D895" i="7"/>
  <c r="D896" i="7"/>
  <c r="D897" i="7"/>
  <c r="D898" i="7"/>
  <c r="D899" i="7"/>
  <c r="D900" i="7"/>
  <c r="D901" i="7"/>
  <c r="D902" i="7"/>
  <c r="D903" i="7"/>
  <c r="D904" i="7"/>
  <c r="D905" i="7"/>
  <c r="D906" i="7"/>
  <c r="D907" i="7"/>
  <c r="D908" i="7"/>
  <c r="D909" i="7"/>
  <c r="D910" i="7"/>
  <c r="D911" i="7"/>
  <c r="D912" i="7"/>
  <c r="D913" i="7"/>
  <c r="D914" i="7"/>
  <c r="D915" i="7"/>
  <c r="D916" i="7"/>
  <c r="D917" i="7"/>
  <c r="D918" i="7"/>
  <c r="D919" i="7"/>
  <c r="D920" i="7"/>
  <c r="D921" i="7"/>
  <c r="D922" i="7"/>
  <c r="D923" i="7"/>
  <c r="D924" i="7"/>
  <c r="D925" i="7"/>
  <c r="D926" i="7"/>
  <c r="D927" i="7"/>
  <c r="D928" i="7"/>
  <c r="D929" i="7"/>
  <c r="D930" i="7"/>
  <c r="D931" i="7"/>
  <c r="D932" i="7"/>
  <c r="D933" i="7"/>
  <c r="D934" i="7"/>
  <c r="D935" i="7"/>
  <c r="D936" i="7"/>
  <c r="D937" i="7"/>
  <c r="D938" i="7"/>
  <c r="D939" i="7"/>
  <c r="D940" i="7"/>
  <c r="D941" i="7"/>
  <c r="D942" i="7"/>
  <c r="D943" i="7"/>
  <c r="D944" i="7"/>
  <c r="D945" i="7"/>
  <c r="D946" i="7"/>
  <c r="D947" i="7"/>
  <c r="D948" i="7"/>
  <c r="D949" i="7"/>
  <c r="D950" i="7"/>
  <c r="D951" i="7"/>
  <c r="D952" i="7"/>
  <c r="D953" i="7"/>
  <c r="D954" i="7"/>
  <c r="D955" i="7"/>
  <c r="D956" i="7"/>
  <c r="D957" i="7"/>
  <c r="D958" i="7"/>
  <c r="D959" i="7"/>
  <c r="D960" i="7"/>
  <c r="D961" i="7"/>
  <c r="D962" i="7"/>
  <c r="D963" i="7"/>
  <c r="D964" i="7"/>
  <c r="D965" i="7"/>
  <c r="D966" i="7"/>
  <c r="D967" i="7"/>
  <c r="D968" i="7"/>
  <c r="D969" i="7"/>
  <c r="D970" i="7"/>
  <c r="D971" i="7"/>
  <c r="D972" i="7"/>
  <c r="D973" i="7"/>
  <c r="D974" i="7"/>
  <c r="D975" i="7"/>
  <c r="D976" i="7"/>
  <c r="D977" i="7"/>
  <c r="D978" i="7"/>
  <c r="D979" i="7"/>
  <c r="D980" i="7"/>
  <c r="D981" i="7"/>
  <c r="D982" i="7"/>
  <c r="D983" i="7"/>
  <c r="D984" i="7"/>
  <c r="D985" i="7"/>
  <c r="D986" i="7"/>
  <c r="D987" i="7"/>
  <c r="D988" i="7"/>
  <c r="D989" i="7"/>
  <c r="D990" i="7"/>
  <c r="D991" i="7"/>
  <c r="D992" i="7"/>
  <c r="D993" i="7"/>
  <c r="D994" i="7"/>
  <c r="D995" i="7"/>
  <c r="D996" i="7"/>
  <c r="D997" i="7"/>
  <c r="D998" i="7"/>
  <c r="D999" i="7"/>
  <c r="D1000" i="7"/>
  <c r="D1001" i="7"/>
  <c r="D1002" i="7"/>
  <c r="D1003" i="7"/>
  <c r="D1004" i="7"/>
  <c r="D1005" i="7"/>
  <c r="D1006" i="7"/>
  <c r="D1007" i="7"/>
  <c r="D1008" i="7"/>
  <c r="D1009" i="7"/>
  <c r="D1010" i="7"/>
  <c r="D1011" i="7"/>
  <c r="D1012" i="7"/>
  <c r="D1013" i="7"/>
  <c r="D1014" i="7"/>
  <c r="D1015" i="7"/>
  <c r="D1016" i="7"/>
  <c r="D1017" i="7"/>
  <c r="D1018" i="7"/>
  <c r="D1019" i="7"/>
  <c r="D1020" i="7"/>
  <c r="D1021" i="7"/>
  <c r="D1022" i="7"/>
  <c r="D1023" i="7"/>
  <c r="D1024" i="7"/>
  <c r="D1025" i="7"/>
  <c r="D1026" i="7"/>
  <c r="D1027" i="7"/>
  <c r="D1028" i="7"/>
  <c r="D1029" i="7"/>
  <c r="D1030" i="7"/>
  <c r="D1031" i="7"/>
  <c r="D1032" i="7"/>
  <c r="D1033" i="7"/>
  <c r="D1034" i="7"/>
  <c r="D1035" i="7"/>
  <c r="D1036" i="7"/>
  <c r="D1037" i="7"/>
  <c r="D1038" i="7"/>
  <c r="D1039" i="7"/>
  <c r="D1040" i="7"/>
  <c r="D1041" i="7"/>
  <c r="D1042" i="7"/>
  <c r="D1043" i="7"/>
  <c r="D1044" i="7"/>
  <c r="D1045" i="7"/>
  <c r="D1046" i="7"/>
  <c r="D1047" i="7"/>
  <c r="D1048" i="7"/>
  <c r="D1049" i="7"/>
  <c r="D1050" i="7"/>
  <c r="D1051" i="7"/>
  <c r="D1052" i="7"/>
  <c r="D1053" i="7"/>
  <c r="D1054" i="7"/>
  <c r="D1055" i="7"/>
  <c r="D1056" i="7"/>
  <c r="D1057" i="7"/>
  <c r="D1058" i="7"/>
  <c r="D1059" i="7"/>
  <c r="D1060" i="7"/>
  <c r="D1061" i="7"/>
  <c r="D1062" i="7"/>
  <c r="D1063" i="7"/>
  <c r="D1064" i="7"/>
  <c r="D1065" i="7"/>
  <c r="D1066" i="7"/>
  <c r="D1067" i="7"/>
  <c r="D1068" i="7"/>
  <c r="D1069" i="7"/>
  <c r="D1070" i="7"/>
  <c r="D1071" i="7"/>
  <c r="D1072" i="7"/>
  <c r="D1073" i="7"/>
  <c r="D1074" i="7"/>
  <c r="D1075" i="7"/>
  <c r="D1076" i="7"/>
  <c r="D1077" i="7"/>
  <c r="D1078" i="7"/>
  <c r="D1079" i="7"/>
  <c r="D1080" i="7"/>
  <c r="D1081" i="7"/>
  <c r="D1082" i="7"/>
  <c r="D1083" i="7"/>
  <c r="D1084" i="7"/>
  <c r="D1085" i="7"/>
  <c r="D1086" i="7"/>
  <c r="D1087" i="7"/>
  <c r="D1088" i="7"/>
  <c r="D1089" i="7"/>
  <c r="D1090" i="7"/>
  <c r="D1091" i="7"/>
  <c r="D1092" i="7"/>
  <c r="D1093" i="7"/>
  <c r="D1094" i="7"/>
  <c r="D1095" i="7"/>
  <c r="D1096" i="7"/>
  <c r="D1097" i="7"/>
  <c r="D1098" i="7"/>
  <c r="D1099" i="7"/>
  <c r="D1100" i="7"/>
  <c r="D1101" i="7"/>
  <c r="D1102" i="7"/>
  <c r="D1103" i="7"/>
  <c r="D1104" i="7"/>
  <c r="D1105" i="7"/>
  <c r="D1106" i="7"/>
  <c r="D1107" i="7"/>
  <c r="D1108" i="7"/>
  <c r="D1109" i="7"/>
  <c r="D1110" i="7"/>
  <c r="D1111" i="7"/>
  <c r="D1112" i="7"/>
  <c r="D1113" i="7"/>
  <c r="D1114" i="7"/>
  <c r="D1115" i="7"/>
  <c r="D1116" i="7"/>
  <c r="D1117" i="7"/>
  <c r="D1118" i="7"/>
  <c r="D1119" i="7"/>
  <c r="D1120" i="7"/>
  <c r="D1121" i="7"/>
  <c r="D1122" i="7"/>
  <c r="D1123" i="7"/>
  <c r="D1124" i="7"/>
  <c r="D1125" i="7"/>
  <c r="D1126" i="7"/>
  <c r="D1127" i="7"/>
  <c r="D1128" i="7"/>
  <c r="D1129" i="7"/>
  <c r="D1130" i="7"/>
  <c r="D1131" i="7"/>
  <c r="D1132" i="7"/>
  <c r="D1133" i="7"/>
  <c r="D1134" i="7"/>
  <c r="D1135" i="7"/>
  <c r="D1136" i="7"/>
  <c r="D1137" i="7"/>
  <c r="D1138" i="7"/>
  <c r="D1139" i="7"/>
  <c r="D1140" i="7"/>
  <c r="D1141" i="7"/>
  <c r="D1142" i="7"/>
  <c r="D1143" i="7"/>
  <c r="D1144" i="7"/>
  <c r="D1145" i="7"/>
  <c r="D1146" i="7"/>
  <c r="D1147" i="7"/>
  <c r="D1148" i="7"/>
  <c r="D1149" i="7"/>
  <c r="D1150" i="7"/>
  <c r="D1151" i="7"/>
  <c r="D1152" i="7"/>
  <c r="D1153" i="7"/>
  <c r="D1154" i="7"/>
  <c r="D1155" i="7"/>
  <c r="D1156" i="7"/>
  <c r="D1157" i="7"/>
  <c r="D1158" i="7"/>
  <c r="D1159" i="7"/>
  <c r="D1160" i="7"/>
  <c r="D1161" i="7"/>
  <c r="D1162" i="7"/>
  <c r="D1163" i="7"/>
  <c r="D1164" i="7"/>
  <c r="D1165" i="7"/>
  <c r="D1166" i="7"/>
  <c r="D1167" i="7"/>
  <c r="D1168" i="7"/>
  <c r="D1169" i="7"/>
  <c r="D1170" i="7"/>
  <c r="D1171" i="7"/>
  <c r="D1172" i="7"/>
  <c r="D1173" i="7"/>
  <c r="D1174" i="7"/>
  <c r="D1175" i="7"/>
  <c r="D1176" i="7"/>
  <c r="D1177" i="7"/>
  <c r="D1178" i="7"/>
  <c r="D1179" i="7"/>
  <c r="D1180" i="7"/>
  <c r="D1181" i="7"/>
  <c r="D1182" i="7"/>
  <c r="D1183" i="7"/>
  <c r="D1184" i="7"/>
  <c r="D1185" i="7"/>
  <c r="D1186" i="7"/>
  <c r="D1187" i="7"/>
  <c r="D1188" i="7"/>
  <c r="D1189" i="7"/>
  <c r="D1190" i="7"/>
  <c r="D1191" i="7"/>
  <c r="D1192" i="7"/>
  <c r="D1193" i="7"/>
  <c r="D1194" i="7"/>
  <c r="D1195" i="7"/>
  <c r="D1196" i="7"/>
  <c r="D1197" i="7"/>
  <c r="D1198" i="7"/>
  <c r="D1199" i="7"/>
  <c r="D1200" i="7"/>
  <c r="D1201" i="7"/>
  <c r="D1202" i="7"/>
  <c r="D1203" i="7"/>
  <c r="D1204" i="7"/>
  <c r="D1205" i="7"/>
  <c r="D1206" i="7"/>
  <c r="D1207" i="7"/>
  <c r="D1208" i="7"/>
  <c r="D1209" i="7"/>
  <c r="D1210" i="7"/>
  <c r="D1211" i="7"/>
  <c r="D1212" i="7"/>
  <c r="D1213" i="7"/>
  <c r="D1214" i="7"/>
  <c r="D1215" i="7"/>
  <c r="D1216" i="7"/>
  <c r="D1217" i="7"/>
  <c r="D1218" i="7"/>
  <c r="D1219" i="7"/>
  <c r="D1220" i="7"/>
  <c r="D1221" i="7"/>
  <c r="D1222" i="7"/>
  <c r="D1223" i="7"/>
  <c r="D1224" i="7"/>
  <c r="D1225" i="7"/>
  <c r="D1226" i="7"/>
  <c r="D1227" i="7"/>
  <c r="D1228" i="7"/>
  <c r="D1229" i="7"/>
  <c r="D1230" i="7"/>
  <c r="D1231" i="7"/>
  <c r="D1232" i="7"/>
  <c r="D1233" i="7"/>
  <c r="D1234" i="7"/>
  <c r="D1235" i="7"/>
  <c r="D1236" i="7"/>
  <c r="D1237" i="7"/>
  <c r="D1238" i="7"/>
  <c r="D1239" i="7"/>
  <c r="D1240" i="7"/>
  <c r="D1241" i="7"/>
  <c r="D1242" i="7"/>
  <c r="D1243" i="7"/>
  <c r="D1244" i="7"/>
  <c r="D1245" i="7"/>
  <c r="D1246" i="7"/>
  <c r="D1247" i="7"/>
  <c r="D1248" i="7"/>
  <c r="D1249" i="7"/>
  <c r="D1250" i="7"/>
  <c r="D1251" i="7"/>
  <c r="D1252" i="7"/>
  <c r="D1253" i="7"/>
  <c r="D1254" i="7"/>
  <c r="D1255" i="7"/>
  <c r="D1256" i="7"/>
  <c r="D1257" i="7"/>
  <c r="D1258" i="7"/>
  <c r="D1259" i="7"/>
  <c r="D1260" i="7"/>
  <c r="D1261" i="7"/>
  <c r="D1262" i="7"/>
  <c r="D1263" i="7"/>
  <c r="D1264" i="7"/>
  <c r="D1265" i="7"/>
  <c r="D1266" i="7"/>
  <c r="D1267" i="7"/>
  <c r="D1268" i="7"/>
  <c r="D1269" i="7"/>
  <c r="D1270" i="7"/>
  <c r="D1271" i="7"/>
  <c r="D1272" i="7"/>
  <c r="D1273" i="7"/>
  <c r="D1274" i="7"/>
  <c r="D1275" i="7"/>
  <c r="D1276" i="7"/>
  <c r="D1277" i="7"/>
  <c r="D1278" i="7"/>
  <c r="D1279" i="7"/>
  <c r="D1280" i="7"/>
  <c r="D1281" i="7"/>
  <c r="D1282" i="7"/>
  <c r="D1283" i="7"/>
  <c r="D1284" i="7"/>
  <c r="D1285" i="7"/>
  <c r="D1286" i="7"/>
  <c r="D1287" i="7"/>
  <c r="D1288" i="7"/>
  <c r="D1289" i="7"/>
  <c r="D1290" i="7"/>
  <c r="D1291" i="7"/>
  <c r="D1292" i="7"/>
  <c r="D1293" i="7"/>
  <c r="D1294" i="7"/>
  <c r="D1295" i="7"/>
  <c r="D1296" i="7"/>
  <c r="D1297" i="7"/>
  <c r="D1298" i="7"/>
  <c r="D1299" i="7"/>
  <c r="D1300" i="7"/>
  <c r="D1301" i="7"/>
  <c r="D1302" i="7"/>
  <c r="D1303" i="7"/>
  <c r="D1304" i="7"/>
  <c r="D1305" i="7"/>
  <c r="D1306" i="7"/>
  <c r="D1307" i="7"/>
  <c r="D1308" i="7"/>
  <c r="D1309" i="7"/>
  <c r="D1310" i="7"/>
  <c r="D1311" i="7"/>
  <c r="D1312" i="7"/>
  <c r="D1313" i="7"/>
  <c r="D1314" i="7"/>
  <c r="D1315" i="7"/>
  <c r="D1316" i="7"/>
  <c r="D1317" i="7"/>
  <c r="D1318" i="7"/>
  <c r="D1319" i="7"/>
  <c r="D1320" i="7"/>
  <c r="D1321" i="7"/>
  <c r="D1322" i="7"/>
  <c r="D1323" i="7"/>
  <c r="D1324" i="7"/>
  <c r="D1325" i="7"/>
  <c r="D1326" i="7"/>
  <c r="D1327" i="7"/>
  <c r="D1328" i="7"/>
  <c r="D1329" i="7"/>
  <c r="D1330" i="7"/>
  <c r="D1331" i="7"/>
  <c r="D1332" i="7"/>
  <c r="D1333" i="7"/>
  <c r="D1334" i="7"/>
  <c r="D1335" i="7"/>
  <c r="D1336" i="7"/>
  <c r="D1337" i="7"/>
  <c r="D1338" i="7"/>
  <c r="D1339" i="7"/>
  <c r="D1340" i="7"/>
  <c r="D1341" i="7"/>
  <c r="D1342" i="7"/>
  <c r="D1343" i="7"/>
  <c r="D1344" i="7"/>
  <c r="D1345" i="7"/>
  <c r="D1346" i="7"/>
  <c r="D1347" i="7"/>
  <c r="D1348" i="7"/>
  <c r="D1349" i="7"/>
  <c r="D1350" i="7"/>
  <c r="D1351" i="7"/>
  <c r="D1352" i="7"/>
  <c r="D1353" i="7"/>
  <c r="D1354" i="7"/>
  <c r="D1355" i="7"/>
  <c r="D1356" i="7"/>
  <c r="D1357" i="7"/>
  <c r="D1358" i="7"/>
  <c r="D1359" i="7"/>
  <c r="D1360" i="7"/>
  <c r="D1361" i="7"/>
  <c r="D1362" i="7"/>
  <c r="D1363" i="7"/>
  <c r="D1364" i="7"/>
  <c r="D1365" i="7"/>
  <c r="D1366" i="7"/>
  <c r="D1367" i="7"/>
  <c r="D1368" i="7"/>
  <c r="D1369" i="7"/>
  <c r="D1370" i="7"/>
  <c r="D1371" i="7"/>
  <c r="D1372" i="7"/>
  <c r="D1373" i="7"/>
  <c r="D1374" i="7"/>
  <c r="D1375" i="7"/>
  <c r="D1376" i="7"/>
  <c r="D1377" i="7"/>
  <c r="D1378" i="7"/>
  <c r="D1379" i="7"/>
  <c r="D1380" i="7"/>
  <c r="D1381" i="7"/>
  <c r="D1382" i="7"/>
  <c r="D1383" i="7"/>
  <c r="D1384" i="7"/>
  <c r="D1385" i="7"/>
  <c r="D1386" i="7"/>
  <c r="D1387" i="7"/>
  <c r="D1388" i="7"/>
  <c r="D1389" i="7"/>
  <c r="D1390" i="7"/>
  <c r="D1391" i="7"/>
  <c r="D1392" i="7"/>
  <c r="D1393" i="7"/>
  <c r="D1394" i="7"/>
  <c r="D1395" i="7"/>
  <c r="D1396" i="7"/>
  <c r="D1397" i="7"/>
  <c r="D1398" i="7"/>
  <c r="D1399" i="7"/>
  <c r="D1400" i="7"/>
  <c r="D1401" i="7"/>
  <c r="D1402" i="7"/>
  <c r="D1403" i="7"/>
  <c r="D1404" i="7"/>
  <c r="D1405" i="7"/>
  <c r="D1406" i="7"/>
  <c r="D1407" i="7"/>
  <c r="D1408" i="7"/>
  <c r="D1409" i="7"/>
  <c r="D1410" i="7"/>
  <c r="D1411" i="7"/>
  <c r="D1412" i="7"/>
  <c r="D1413" i="7"/>
  <c r="D1414" i="7"/>
  <c r="D1415" i="7"/>
  <c r="D1416" i="7"/>
  <c r="D1417" i="7"/>
  <c r="D1418" i="7"/>
  <c r="D1419" i="7"/>
  <c r="D1420" i="7"/>
  <c r="D1421" i="7"/>
  <c r="D1422" i="7"/>
  <c r="D1423" i="7"/>
  <c r="D1424" i="7"/>
  <c r="D1425" i="7"/>
  <c r="D1426" i="7"/>
  <c r="D1427" i="7"/>
  <c r="D1428" i="7"/>
  <c r="D1429" i="7"/>
  <c r="D1430" i="7"/>
  <c r="D1431" i="7"/>
  <c r="D1432" i="7"/>
  <c r="D1433" i="7"/>
  <c r="D1434" i="7"/>
  <c r="D1435" i="7"/>
  <c r="D1436" i="7"/>
  <c r="D1437" i="7"/>
  <c r="D1438" i="7"/>
  <c r="D1439" i="7"/>
  <c r="D1440" i="7"/>
  <c r="D1441" i="7"/>
  <c r="D1442" i="7"/>
  <c r="D1443" i="7"/>
  <c r="D1444" i="7"/>
  <c r="D1445" i="7"/>
  <c r="D1446" i="7"/>
  <c r="D1447" i="7"/>
  <c r="D1448" i="7"/>
  <c r="D1449" i="7"/>
  <c r="D1450" i="7"/>
  <c r="D1451" i="7"/>
  <c r="D1452" i="7"/>
  <c r="D1453" i="7"/>
  <c r="D1454" i="7"/>
  <c r="D1455" i="7"/>
  <c r="D1456" i="7"/>
  <c r="D1457" i="7"/>
  <c r="D1458" i="7"/>
  <c r="D1459" i="7"/>
  <c r="D1460" i="7"/>
  <c r="D1461" i="7"/>
  <c r="D1462" i="7"/>
  <c r="D1463" i="7"/>
  <c r="D1464" i="7"/>
  <c r="D1465" i="7"/>
  <c r="D1466" i="7"/>
  <c r="D1467" i="7"/>
  <c r="D1468" i="7"/>
  <c r="D1469" i="7"/>
  <c r="D1470" i="7"/>
  <c r="D1471" i="7"/>
  <c r="D1472" i="7"/>
  <c r="D1473" i="7"/>
  <c r="D1474" i="7"/>
  <c r="D1475" i="7"/>
  <c r="D1476" i="7"/>
  <c r="D1477" i="7"/>
  <c r="D1478" i="7"/>
  <c r="D1479" i="7"/>
  <c r="D1480" i="7"/>
  <c r="D1481" i="7"/>
  <c r="D1482" i="7"/>
  <c r="D1483" i="7"/>
  <c r="D1484" i="7"/>
  <c r="D1485" i="7"/>
  <c r="D1486" i="7"/>
  <c r="D1487" i="7"/>
  <c r="D1488" i="7"/>
  <c r="D1489" i="7"/>
  <c r="D1490" i="7"/>
  <c r="D1491" i="7"/>
  <c r="D1492" i="7"/>
  <c r="D1493" i="7"/>
  <c r="D1494" i="7"/>
  <c r="D1495" i="7"/>
  <c r="D1496" i="7"/>
  <c r="D1497" i="7"/>
  <c r="D1498" i="7"/>
  <c r="D1499" i="7"/>
  <c r="D1500" i="7"/>
  <c r="D1501" i="7"/>
  <c r="D1502" i="7"/>
  <c r="D1503" i="7"/>
  <c r="D1504" i="7"/>
  <c r="D1505" i="7"/>
  <c r="D1506" i="7"/>
  <c r="D1507" i="7"/>
  <c r="D1508" i="7"/>
  <c r="D1509" i="7"/>
  <c r="D1510" i="7"/>
  <c r="D1511" i="7"/>
  <c r="D1512" i="7"/>
  <c r="D1513" i="7"/>
  <c r="D1514" i="7"/>
  <c r="D1515" i="7"/>
  <c r="D1516" i="7"/>
  <c r="D1517" i="7"/>
  <c r="D1518" i="7"/>
  <c r="D1519" i="7"/>
  <c r="D1520" i="7"/>
  <c r="D1521" i="7"/>
  <c r="D1522" i="7"/>
  <c r="D1523" i="7"/>
  <c r="D1524" i="7"/>
  <c r="D1525" i="7"/>
  <c r="D1526" i="7"/>
  <c r="D1527" i="7"/>
  <c r="D1528" i="7"/>
  <c r="D1529" i="7"/>
  <c r="D1530" i="7"/>
  <c r="D1531" i="7"/>
  <c r="D1532" i="7"/>
  <c r="D1533" i="7"/>
  <c r="D1534" i="7"/>
  <c r="D1535" i="7"/>
  <c r="D1536" i="7"/>
  <c r="D1537" i="7"/>
  <c r="D1538" i="7"/>
  <c r="D1539" i="7"/>
  <c r="D1540" i="7"/>
  <c r="D1541" i="7"/>
  <c r="D1542" i="7"/>
  <c r="D1543" i="7"/>
  <c r="D1544" i="7"/>
  <c r="D1545" i="7"/>
  <c r="D1546" i="7"/>
  <c r="D1547" i="7"/>
  <c r="D1548" i="7"/>
  <c r="D1549" i="7"/>
  <c r="D1550" i="7"/>
  <c r="D1551" i="7"/>
  <c r="D1552" i="7"/>
  <c r="D1553" i="7"/>
  <c r="D1554" i="7"/>
  <c r="D1555" i="7"/>
  <c r="D1556" i="7"/>
  <c r="D1557" i="7"/>
  <c r="D1558" i="7"/>
  <c r="D1559" i="7"/>
  <c r="D1560" i="7"/>
  <c r="D1561" i="7"/>
  <c r="D1562" i="7"/>
  <c r="D1563" i="7"/>
  <c r="D1564" i="7"/>
  <c r="D1565" i="7"/>
  <c r="D1566" i="7"/>
  <c r="D1567" i="7"/>
  <c r="D1568" i="7"/>
  <c r="D1569" i="7"/>
  <c r="D1570" i="7"/>
  <c r="D1571" i="7"/>
  <c r="D1572" i="7"/>
  <c r="D1573" i="7"/>
  <c r="D1574" i="7"/>
  <c r="D1575" i="7"/>
  <c r="D1576" i="7"/>
  <c r="D1577" i="7"/>
  <c r="D1578" i="7"/>
  <c r="D1579" i="7"/>
  <c r="D1580" i="7"/>
  <c r="D1581" i="7"/>
  <c r="D1582" i="7"/>
  <c r="D1583" i="7"/>
  <c r="D1584" i="7"/>
  <c r="D1585" i="7"/>
  <c r="D1586" i="7"/>
  <c r="D1587" i="7"/>
  <c r="D1588" i="7"/>
  <c r="D1589" i="7"/>
  <c r="D1590" i="7"/>
  <c r="D1591" i="7"/>
  <c r="D1592" i="7"/>
  <c r="D1593" i="7"/>
  <c r="D1594" i="7"/>
  <c r="D1595" i="7"/>
  <c r="D1596" i="7"/>
  <c r="D1597" i="7"/>
  <c r="D1598" i="7"/>
  <c r="D1599" i="7"/>
  <c r="D1600" i="7"/>
  <c r="D1601" i="7"/>
  <c r="D1602" i="7"/>
  <c r="D1603" i="7"/>
  <c r="D1604" i="7"/>
  <c r="D1605" i="7"/>
  <c r="D1606" i="7"/>
  <c r="D1607" i="7"/>
  <c r="D1608" i="7"/>
  <c r="D1609" i="7"/>
  <c r="D1610" i="7"/>
  <c r="D1611" i="7"/>
  <c r="D1612" i="7"/>
  <c r="D1613" i="7"/>
  <c r="D1614" i="7"/>
  <c r="D1615" i="7"/>
  <c r="D1616" i="7"/>
  <c r="D1617" i="7"/>
  <c r="D1618" i="7"/>
  <c r="D1619" i="7"/>
  <c r="D1620" i="7"/>
  <c r="D1621" i="7"/>
  <c r="D1622" i="7"/>
  <c r="D1623" i="7"/>
  <c r="D1624" i="7"/>
  <c r="D1625" i="7"/>
  <c r="D1626" i="7"/>
  <c r="D1627" i="7"/>
  <c r="D1628" i="7"/>
  <c r="D1629" i="7"/>
  <c r="D1630" i="7"/>
  <c r="D1631" i="7"/>
  <c r="D1632" i="7"/>
  <c r="D1633" i="7"/>
  <c r="D1634" i="7"/>
  <c r="D1635" i="7"/>
  <c r="D1636" i="7"/>
  <c r="D1637" i="7"/>
  <c r="D1638" i="7"/>
  <c r="D1639" i="7"/>
  <c r="D1640" i="7"/>
  <c r="D1641" i="7"/>
  <c r="D1642" i="7"/>
  <c r="D1643" i="7"/>
  <c r="D1644" i="7"/>
  <c r="D1645" i="7"/>
  <c r="D1646" i="7"/>
  <c r="D1647" i="7"/>
  <c r="D1648" i="7"/>
  <c r="D1649" i="7"/>
  <c r="D1650" i="7"/>
  <c r="D1651" i="7"/>
  <c r="D1652" i="7"/>
  <c r="D1653" i="7"/>
  <c r="D1654" i="7"/>
  <c r="D1655" i="7"/>
  <c r="D1656" i="7"/>
  <c r="D1657" i="7"/>
  <c r="D1658" i="7"/>
  <c r="D1659" i="7"/>
  <c r="D1660" i="7"/>
  <c r="D1661" i="7"/>
  <c r="D1662" i="7"/>
  <c r="D1663" i="7"/>
  <c r="D1664" i="7"/>
  <c r="D1665" i="7"/>
  <c r="D1666" i="7"/>
  <c r="D1667" i="7"/>
  <c r="D1668" i="7"/>
  <c r="D1669" i="7"/>
  <c r="D1670" i="7"/>
  <c r="D1671" i="7"/>
  <c r="D1672" i="7"/>
  <c r="D1673" i="7"/>
  <c r="D1674" i="7"/>
  <c r="D1675" i="7"/>
  <c r="D1676" i="7"/>
  <c r="D1677" i="7"/>
  <c r="D1678" i="7"/>
  <c r="D1679" i="7"/>
  <c r="D1680" i="7"/>
  <c r="D1681" i="7"/>
  <c r="D1682" i="7"/>
  <c r="D1683" i="7"/>
  <c r="D1684" i="7"/>
  <c r="D1685" i="7"/>
  <c r="D1686" i="7"/>
  <c r="D1687" i="7"/>
  <c r="D1688" i="7"/>
  <c r="D1689" i="7"/>
  <c r="D1690" i="7"/>
  <c r="D1691" i="7"/>
  <c r="D1692" i="7"/>
  <c r="D1693" i="7"/>
  <c r="D1694" i="7"/>
  <c r="D1695" i="7"/>
  <c r="D1696" i="7"/>
  <c r="D1697" i="7"/>
  <c r="D1698" i="7"/>
  <c r="D1699" i="7"/>
  <c r="D1700" i="7"/>
  <c r="D1701" i="7"/>
  <c r="D1702" i="7"/>
  <c r="D1703" i="7"/>
  <c r="D1704" i="7"/>
  <c r="D1705" i="7"/>
  <c r="D1706" i="7"/>
  <c r="D1707" i="7"/>
  <c r="D1708" i="7"/>
  <c r="D1709" i="7"/>
  <c r="D1710" i="7"/>
  <c r="D1711" i="7"/>
  <c r="D1712" i="7"/>
  <c r="D1713" i="7"/>
  <c r="D1714" i="7"/>
  <c r="D1715" i="7"/>
  <c r="D1716" i="7"/>
  <c r="D1717" i="7"/>
  <c r="D1718" i="7"/>
  <c r="D1719" i="7"/>
  <c r="D1720" i="7"/>
  <c r="D1721" i="7"/>
  <c r="D1722" i="7"/>
  <c r="D1723" i="7"/>
  <c r="D1724" i="7"/>
  <c r="D1725" i="7"/>
  <c r="D1726" i="7"/>
  <c r="D1727" i="7"/>
  <c r="D1728" i="7"/>
  <c r="D1729" i="7"/>
  <c r="D1730" i="7"/>
  <c r="D1731" i="7"/>
  <c r="D1732" i="7"/>
  <c r="D1733" i="7"/>
  <c r="D1734" i="7"/>
  <c r="D1735" i="7"/>
  <c r="D1736" i="7"/>
  <c r="D1737" i="7"/>
  <c r="D1738" i="7"/>
  <c r="D1739" i="7"/>
  <c r="D1740" i="7"/>
  <c r="D1741" i="7"/>
  <c r="D1742" i="7"/>
  <c r="D1743" i="7"/>
  <c r="D1744" i="7"/>
  <c r="D1745" i="7"/>
  <c r="D1746" i="7"/>
  <c r="D1747" i="7"/>
  <c r="D1748" i="7"/>
  <c r="D1749" i="7"/>
  <c r="D1750" i="7"/>
  <c r="D1751" i="7"/>
  <c r="D1752" i="7"/>
  <c r="D1753" i="7"/>
  <c r="D1754" i="7"/>
  <c r="D1755" i="7"/>
  <c r="D1756" i="7"/>
  <c r="D1757" i="7"/>
  <c r="D1758" i="7"/>
  <c r="D1759" i="7"/>
  <c r="D1760" i="7"/>
  <c r="D1761" i="7"/>
  <c r="D1762" i="7"/>
  <c r="D1763" i="7"/>
  <c r="D1764" i="7"/>
  <c r="D1765" i="7"/>
  <c r="D1766" i="7"/>
  <c r="D1767" i="7"/>
  <c r="D1768" i="7"/>
  <c r="D1769" i="7"/>
  <c r="D1770" i="7"/>
  <c r="D1771" i="7"/>
  <c r="D1772" i="7"/>
  <c r="D1773" i="7"/>
  <c r="D1774" i="7"/>
  <c r="D1775" i="7"/>
  <c r="D1776" i="7"/>
  <c r="D1777" i="7"/>
  <c r="D1778" i="7"/>
  <c r="D1779" i="7"/>
  <c r="D1780" i="7"/>
  <c r="D1781" i="7"/>
  <c r="D1782" i="7"/>
  <c r="D1783" i="7"/>
  <c r="D1784" i="7"/>
  <c r="D1785" i="7"/>
  <c r="D1786" i="7"/>
  <c r="D1787" i="7"/>
  <c r="D1788" i="7"/>
  <c r="D1789" i="7"/>
  <c r="D1790" i="7"/>
  <c r="D1791" i="7"/>
  <c r="D1792" i="7"/>
  <c r="D1793" i="7"/>
  <c r="D1794" i="7"/>
  <c r="D1795" i="7"/>
  <c r="D1796" i="7"/>
  <c r="D1797" i="7"/>
  <c r="D1798" i="7"/>
  <c r="D1799" i="7"/>
  <c r="D1800" i="7"/>
  <c r="D1801" i="7"/>
  <c r="D1802" i="7"/>
  <c r="D1803" i="7"/>
  <c r="D1804" i="7"/>
  <c r="D1805" i="7"/>
  <c r="D1806" i="7"/>
  <c r="D1807" i="7"/>
  <c r="D1808" i="7"/>
  <c r="D1809" i="7"/>
  <c r="D1810" i="7"/>
  <c r="D1811" i="7"/>
  <c r="D1812" i="7"/>
  <c r="D1813" i="7"/>
  <c r="D1814" i="7"/>
  <c r="D1815" i="7"/>
  <c r="D1816" i="7"/>
  <c r="D1817" i="7"/>
  <c r="D1818" i="7"/>
  <c r="D1819" i="7"/>
  <c r="D1820" i="7"/>
  <c r="D1821" i="7"/>
  <c r="D1822" i="7"/>
  <c r="D1823" i="7"/>
  <c r="D1824" i="7"/>
  <c r="D1825" i="7"/>
  <c r="D1826" i="7"/>
  <c r="D1827" i="7"/>
  <c r="D1828" i="7"/>
  <c r="D1829" i="7"/>
  <c r="D1830" i="7"/>
  <c r="D1831" i="7"/>
  <c r="D1832" i="7"/>
  <c r="D1833" i="7"/>
  <c r="D1834" i="7"/>
  <c r="D1835" i="7"/>
  <c r="D1836" i="7"/>
  <c r="D1837" i="7"/>
  <c r="D1838" i="7"/>
  <c r="D1839" i="7"/>
  <c r="D1840" i="7"/>
  <c r="D1841" i="7"/>
  <c r="D1842" i="7"/>
  <c r="D1843" i="7"/>
  <c r="D1844" i="7"/>
  <c r="D1845" i="7"/>
  <c r="D1846" i="7"/>
  <c r="D1847" i="7"/>
  <c r="D1848" i="7"/>
  <c r="D1849" i="7"/>
  <c r="D1850" i="7"/>
  <c r="D1851" i="7"/>
  <c r="D1852" i="7"/>
  <c r="D1853" i="7"/>
  <c r="D1854" i="7"/>
  <c r="D1855" i="7"/>
  <c r="D1856" i="7"/>
  <c r="D1857" i="7"/>
  <c r="D1858" i="7"/>
  <c r="D1859" i="7"/>
  <c r="D1860" i="7"/>
  <c r="D1861" i="7"/>
  <c r="D1862" i="7"/>
  <c r="D1863" i="7"/>
  <c r="D1864" i="7"/>
  <c r="D1865" i="7"/>
  <c r="D1866" i="7"/>
  <c r="D1867" i="7"/>
  <c r="D1868" i="7"/>
  <c r="D1869" i="7"/>
  <c r="D1870" i="7"/>
  <c r="D1871" i="7"/>
  <c r="D1872" i="7"/>
  <c r="D1873" i="7"/>
  <c r="D1874" i="7"/>
  <c r="D1875" i="7"/>
  <c r="D1876" i="7"/>
  <c r="D1877" i="7"/>
  <c r="D1878" i="7"/>
  <c r="D1879" i="7"/>
  <c r="D1880" i="7"/>
  <c r="D1881" i="7"/>
  <c r="D1882" i="7"/>
  <c r="D1883" i="7"/>
  <c r="D1884" i="7"/>
  <c r="D1885" i="7"/>
  <c r="D1886" i="7"/>
  <c r="D1887" i="7"/>
  <c r="D1888" i="7"/>
  <c r="D1889" i="7"/>
  <c r="D1890" i="7"/>
  <c r="D1891" i="7"/>
  <c r="D1892" i="7"/>
  <c r="D1893" i="7"/>
  <c r="D1894" i="7"/>
  <c r="D1895" i="7"/>
  <c r="D1896" i="7"/>
  <c r="D1897" i="7"/>
  <c r="D1898" i="7"/>
  <c r="D1899" i="7"/>
  <c r="D1900" i="7"/>
  <c r="D1901" i="7"/>
  <c r="D1902" i="7"/>
  <c r="D1903" i="7"/>
  <c r="D1904" i="7"/>
  <c r="D1905" i="7"/>
  <c r="D1906" i="7"/>
  <c r="D1907" i="7"/>
  <c r="D1908" i="7"/>
  <c r="D1909" i="7"/>
  <c r="D1910" i="7"/>
  <c r="D1911" i="7"/>
  <c r="D1912" i="7"/>
  <c r="D1913" i="7"/>
  <c r="D1914" i="7"/>
  <c r="D1915" i="7"/>
  <c r="D1916" i="7"/>
  <c r="D1917" i="7"/>
  <c r="D1918" i="7"/>
  <c r="D1919" i="7"/>
  <c r="D1920" i="7"/>
  <c r="D1921" i="7"/>
  <c r="D1922" i="7"/>
  <c r="D1923" i="7"/>
  <c r="D1924" i="7"/>
  <c r="D1925" i="7"/>
  <c r="D1926" i="7"/>
  <c r="D1927" i="7"/>
  <c r="D1928" i="7"/>
  <c r="D1929" i="7"/>
  <c r="D1930" i="7"/>
  <c r="D1931" i="7"/>
  <c r="D1932" i="7"/>
  <c r="D1933" i="7"/>
  <c r="D1934" i="7"/>
  <c r="D1935" i="7"/>
  <c r="D1936" i="7"/>
  <c r="D1937" i="7"/>
  <c r="D1938" i="7"/>
  <c r="D1939" i="7"/>
  <c r="D1940" i="7"/>
  <c r="D1941" i="7"/>
  <c r="D1942" i="7"/>
  <c r="D1943" i="7"/>
  <c r="D1944" i="7"/>
  <c r="D1945" i="7"/>
  <c r="D1946" i="7"/>
  <c r="D1947" i="7"/>
  <c r="D1948" i="7"/>
  <c r="D1949" i="7"/>
  <c r="D1950" i="7"/>
  <c r="D1951" i="7"/>
  <c r="D1952" i="7"/>
  <c r="D1953" i="7"/>
  <c r="D1954" i="7"/>
  <c r="D1955" i="7"/>
  <c r="D1956" i="7"/>
  <c r="D1957" i="7"/>
  <c r="D1958" i="7"/>
  <c r="D1959" i="7"/>
  <c r="D1960" i="7"/>
  <c r="D1961" i="7"/>
  <c r="D1962" i="7"/>
  <c r="D1963" i="7"/>
  <c r="D1964" i="7"/>
  <c r="D1965" i="7"/>
  <c r="D1966" i="7"/>
  <c r="D1967" i="7"/>
  <c r="D1968" i="7"/>
  <c r="D1969" i="7"/>
  <c r="D1970" i="7"/>
  <c r="D1971" i="7"/>
  <c r="D1972" i="7"/>
  <c r="D1973" i="7"/>
  <c r="D1974" i="7"/>
  <c r="D1975" i="7"/>
  <c r="D1976" i="7"/>
  <c r="D1977" i="7"/>
  <c r="D1978" i="7"/>
  <c r="D1979" i="7"/>
  <c r="D1980" i="7"/>
  <c r="D1981" i="7"/>
  <c r="D1982" i="7"/>
  <c r="D1983" i="7"/>
  <c r="D1984" i="7"/>
  <c r="D1985" i="7"/>
  <c r="D1986" i="7"/>
  <c r="D1987" i="7"/>
  <c r="D1988" i="7"/>
  <c r="D1989" i="7"/>
  <c r="D1990" i="7"/>
  <c r="D1991" i="7"/>
  <c r="D1992" i="7"/>
  <c r="D1993" i="7"/>
  <c r="D1994" i="7"/>
  <c r="D1995" i="7"/>
  <c r="D1996" i="7"/>
  <c r="D1997" i="7"/>
  <c r="D1998" i="7"/>
  <c r="D1999" i="7"/>
  <c r="D2000" i="7"/>
  <c r="D2001" i="7"/>
  <c r="D2002" i="7"/>
  <c r="D2003" i="7"/>
  <c r="D2004" i="7"/>
  <c r="D2005" i="7"/>
  <c r="D2006" i="7"/>
  <c r="D2007" i="7"/>
  <c r="D2008" i="7"/>
  <c r="D2009" i="7"/>
  <c r="D2010" i="7"/>
  <c r="D2011" i="7"/>
  <c r="D2012" i="7"/>
  <c r="D2013" i="7"/>
  <c r="D2014" i="7"/>
  <c r="D2015" i="7"/>
  <c r="D2016" i="7"/>
  <c r="D2017" i="7"/>
  <c r="D2018" i="7"/>
  <c r="D2019" i="7"/>
  <c r="D2020" i="7"/>
  <c r="D2021" i="7"/>
  <c r="D2022" i="7"/>
  <c r="D2023" i="7"/>
  <c r="D2024" i="7"/>
  <c r="D2025" i="7"/>
  <c r="D2026" i="7"/>
  <c r="D2027" i="7"/>
  <c r="D2028" i="7"/>
  <c r="D2029" i="7"/>
  <c r="D2030" i="7"/>
  <c r="D2031" i="7"/>
  <c r="D2032" i="7"/>
  <c r="D2033" i="7"/>
  <c r="D2034" i="7"/>
  <c r="D2035" i="7"/>
  <c r="D2036" i="7"/>
  <c r="D2037" i="7"/>
  <c r="D2038" i="7"/>
  <c r="D2039" i="7"/>
  <c r="D2040" i="7"/>
  <c r="D2041" i="7"/>
  <c r="D2042" i="7"/>
  <c r="D2043" i="7"/>
  <c r="D2044" i="7"/>
  <c r="D2045" i="7"/>
  <c r="D2046" i="7"/>
  <c r="D2047" i="7"/>
  <c r="D2048" i="7"/>
  <c r="D2049" i="7"/>
  <c r="D2050" i="7"/>
  <c r="D2051" i="7"/>
  <c r="D2052" i="7"/>
  <c r="D2053" i="7"/>
  <c r="D2054" i="7"/>
  <c r="D2055" i="7"/>
  <c r="D2056" i="7"/>
  <c r="D2057" i="7"/>
  <c r="D2058" i="7"/>
  <c r="D2059" i="7"/>
  <c r="D2060" i="7"/>
  <c r="D2061" i="7"/>
  <c r="D2062" i="7"/>
  <c r="D2063" i="7"/>
  <c r="D2064" i="7"/>
  <c r="D2065" i="7"/>
  <c r="D2066" i="7"/>
  <c r="D2067" i="7"/>
  <c r="D2068" i="7"/>
  <c r="D2069" i="7"/>
  <c r="D2070" i="7"/>
  <c r="D2071" i="7"/>
  <c r="D2072" i="7"/>
  <c r="D2073" i="7"/>
  <c r="D2074" i="7"/>
  <c r="D2075" i="7"/>
  <c r="D2076" i="7"/>
  <c r="D2077" i="7"/>
  <c r="D2078" i="7"/>
  <c r="D2079" i="7"/>
  <c r="D2080" i="7"/>
  <c r="D2081" i="7"/>
  <c r="D2082" i="7"/>
  <c r="D2083" i="7"/>
  <c r="D2084" i="7"/>
  <c r="D2085" i="7"/>
  <c r="D2086" i="7"/>
  <c r="D2087" i="7"/>
  <c r="D2088" i="7"/>
  <c r="D2089" i="7"/>
  <c r="D2090" i="7"/>
  <c r="D2091" i="7"/>
  <c r="D2092" i="7"/>
  <c r="D2093" i="7"/>
  <c r="D2094" i="7"/>
  <c r="D2095" i="7"/>
  <c r="D2096" i="7"/>
  <c r="D2097" i="7"/>
  <c r="D2098" i="7"/>
  <c r="D2099" i="7"/>
  <c r="D2100" i="7"/>
  <c r="D2101" i="7"/>
  <c r="D2102" i="7"/>
  <c r="D2103" i="7"/>
  <c r="D2104" i="7"/>
  <c r="D2105" i="7"/>
  <c r="D2106" i="7"/>
  <c r="D2107" i="7"/>
  <c r="D2108" i="7"/>
  <c r="D2109" i="7"/>
  <c r="D2110" i="7"/>
  <c r="D2111" i="7"/>
  <c r="D2112" i="7"/>
  <c r="D2113" i="7"/>
  <c r="D2114" i="7"/>
  <c r="D2115" i="7"/>
  <c r="D2116" i="7"/>
  <c r="D2117" i="7"/>
  <c r="D2118" i="7"/>
  <c r="D2119" i="7"/>
  <c r="D2120" i="7"/>
  <c r="D2121" i="7"/>
  <c r="D2122" i="7"/>
  <c r="D2123" i="7"/>
  <c r="D2124" i="7"/>
  <c r="D2125" i="7"/>
  <c r="D2126" i="7"/>
  <c r="D2127" i="7"/>
  <c r="D2128" i="7"/>
  <c r="D2129" i="7"/>
  <c r="D2130" i="7"/>
  <c r="D2131" i="7"/>
  <c r="D2132" i="7"/>
  <c r="D2133" i="7"/>
  <c r="D2134" i="7"/>
  <c r="D2135" i="7"/>
  <c r="D2136" i="7"/>
  <c r="D2137" i="7"/>
  <c r="D2138" i="7"/>
  <c r="D2139" i="7"/>
  <c r="D2140" i="7"/>
  <c r="D2141" i="7"/>
  <c r="D2142" i="7"/>
  <c r="D2143" i="7"/>
  <c r="D2144" i="7"/>
  <c r="D2145" i="7"/>
  <c r="D2146" i="7"/>
  <c r="D2147" i="7"/>
  <c r="D2148" i="7"/>
  <c r="D2149" i="7"/>
  <c r="D2150" i="7"/>
  <c r="D2151" i="7"/>
  <c r="D2152" i="7"/>
  <c r="D2153" i="7"/>
  <c r="D2154" i="7"/>
  <c r="D2155" i="7"/>
  <c r="D2156" i="7"/>
  <c r="D2157" i="7"/>
  <c r="D2158" i="7"/>
  <c r="D2159" i="7"/>
  <c r="D2160" i="7"/>
  <c r="D2161" i="7"/>
  <c r="D2162" i="7"/>
  <c r="D2163" i="7"/>
  <c r="D2164" i="7"/>
  <c r="D2165" i="7"/>
  <c r="D2166" i="7"/>
  <c r="D2167" i="7"/>
  <c r="D2168" i="7"/>
  <c r="D2169" i="7"/>
  <c r="D2170" i="7"/>
  <c r="D2171" i="7"/>
  <c r="D2172" i="7"/>
  <c r="D2173" i="7"/>
  <c r="D2174" i="7"/>
  <c r="D2175" i="7"/>
  <c r="D2176" i="7"/>
  <c r="D2177" i="7"/>
  <c r="D2178" i="7"/>
  <c r="D2179" i="7"/>
  <c r="D2180" i="7"/>
  <c r="D2181" i="7"/>
  <c r="D2182" i="7"/>
  <c r="D2183" i="7"/>
  <c r="D2184" i="7"/>
  <c r="D2185" i="7"/>
  <c r="D2186" i="7"/>
  <c r="D2187" i="7"/>
  <c r="D2188" i="7"/>
  <c r="D2189" i="7"/>
  <c r="D2190" i="7"/>
  <c r="D2191" i="7"/>
  <c r="D2192" i="7"/>
  <c r="D2193" i="7"/>
  <c r="D2194" i="7"/>
  <c r="D2195" i="7"/>
  <c r="D2196" i="7"/>
  <c r="D2197" i="7"/>
  <c r="D2198" i="7"/>
  <c r="D2199" i="7"/>
  <c r="D2200" i="7"/>
  <c r="D2201" i="7"/>
  <c r="D2202" i="7"/>
  <c r="D2203" i="7"/>
  <c r="D2204" i="7"/>
  <c r="D2205" i="7"/>
  <c r="D2206" i="7"/>
  <c r="D2207" i="7"/>
  <c r="D2208" i="7"/>
  <c r="D2209" i="7"/>
  <c r="D2210" i="7"/>
  <c r="D2211" i="7"/>
  <c r="D2212" i="7"/>
  <c r="D2213" i="7"/>
  <c r="D2214" i="7"/>
  <c r="D2215" i="7"/>
  <c r="D2216" i="7"/>
  <c r="D2217" i="7"/>
  <c r="D2218" i="7"/>
  <c r="D2219" i="7"/>
  <c r="D2220" i="7"/>
  <c r="D2221" i="7"/>
  <c r="D2222" i="7"/>
  <c r="D2223" i="7"/>
  <c r="D2224" i="7"/>
  <c r="D2225" i="7"/>
  <c r="D2226" i="7"/>
  <c r="D2227" i="7"/>
  <c r="D2228" i="7"/>
  <c r="D2229" i="7"/>
  <c r="D2230" i="7"/>
  <c r="D2231" i="7"/>
  <c r="D2232" i="7"/>
  <c r="D2233" i="7"/>
  <c r="D2234" i="7"/>
  <c r="D2235" i="7"/>
  <c r="D2236" i="7"/>
  <c r="D2237" i="7"/>
  <c r="D2238" i="7"/>
  <c r="D2239" i="7"/>
  <c r="D2240" i="7"/>
  <c r="D2241" i="7"/>
  <c r="D2242" i="7"/>
  <c r="D2243" i="7"/>
  <c r="D2244" i="7"/>
  <c r="D2245" i="7"/>
  <c r="D2246" i="7"/>
  <c r="D2247" i="7"/>
  <c r="D2248" i="7"/>
  <c r="D2249" i="7"/>
  <c r="D2250" i="7"/>
  <c r="D2251" i="7"/>
  <c r="D2252" i="7"/>
  <c r="D2253" i="7"/>
  <c r="D2254" i="7"/>
  <c r="D2255" i="7"/>
  <c r="D2256" i="7"/>
  <c r="D2257" i="7"/>
  <c r="D2258" i="7"/>
  <c r="D2259" i="7"/>
  <c r="D2260" i="7"/>
  <c r="D2261" i="7"/>
  <c r="D2262" i="7"/>
  <c r="D2263" i="7"/>
  <c r="D2264" i="7"/>
  <c r="D2265" i="7"/>
  <c r="D2266" i="7"/>
  <c r="D2267" i="7"/>
  <c r="D2268" i="7"/>
  <c r="D2269" i="7"/>
  <c r="D2270" i="7"/>
  <c r="D2271" i="7"/>
  <c r="D2272" i="7"/>
  <c r="D2273" i="7"/>
  <c r="D2274" i="7"/>
  <c r="D2275" i="7"/>
  <c r="D2276" i="7"/>
  <c r="D2277" i="7"/>
  <c r="D2278" i="7"/>
  <c r="D2279" i="7"/>
  <c r="D2280" i="7"/>
  <c r="D2281" i="7"/>
  <c r="D2282" i="7"/>
  <c r="D2283" i="7"/>
  <c r="D2284" i="7"/>
  <c r="D2285" i="7"/>
  <c r="D2286" i="7"/>
  <c r="D2287" i="7"/>
  <c r="D2288" i="7"/>
  <c r="D2289" i="7"/>
  <c r="D2290" i="7"/>
  <c r="D2291" i="7"/>
  <c r="D2292" i="7"/>
  <c r="D2293" i="7"/>
  <c r="D2294" i="7"/>
  <c r="D2295" i="7"/>
  <c r="D2296" i="7"/>
  <c r="D2297" i="7"/>
  <c r="D2298" i="7"/>
  <c r="D2299" i="7"/>
  <c r="D2300" i="7"/>
  <c r="D2301" i="7"/>
  <c r="D2302" i="7"/>
  <c r="D2303" i="7"/>
  <c r="D2304" i="7"/>
  <c r="D2305" i="7"/>
  <c r="D2306" i="7"/>
  <c r="D2307" i="7"/>
  <c r="D2308" i="7"/>
  <c r="D2309" i="7"/>
  <c r="D2310" i="7"/>
  <c r="D2311" i="7"/>
  <c r="D2312" i="7"/>
  <c r="D2313" i="7"/>
  <c r="D2314" i="7"/>
  <c r="D2315" i="7"/>
  <c r="D2316" i="7"/>
  <c r="D2317" i="7"/>
  <c r="D2318" i="7"/>
  <c r="D2319" i="7"/>
  <c r="D2320" i="7"/>
  <c r="D2321" i="7"/>
  <c r="D2322" i="7"/>
  <c r="D2323" i="7"/>
  <c r="D2324" i="7"/>
  <c r="D2325" i="7"/>
  <c r="D2326" i="7"/>
  <c r="D2327" i="7"/>
  <c r="D2328" i="7"/>
  <c r="D2329" i="7"/>
  <c r="D2330" i="7"/>
  <c r="D2331" i="7"/>
  <c r="D2332" i="7"/>
  <c r="D2333" i="7"/>
  <c r="D2334" i="7"/>
  <c r="D2335" i="7"/>
  <c r="D2336" i="7"/>
  <c r="D2337" i="7"/>
  <c r="D2338" i="7"/>
  <c r="D2339" i="7"/>
  <c r="D2340" i="7"/>
  <c r="D2341" i="7"/>
  <c r="D2342" i="7"/>
  <c r="D2343" i="7"/>
  <c r="D2344" i="7"/>
  <c r="D2345" i="7"/>
  <c r="D2346" i="7"/>
  <c r="D2347" i="7"/>
  <c r="D2348" i="7"/>
  <c r="D2349" i="7"/>
  <c r="D2350" i="7"/>
  <c r="D2351" i="7"/>
  <c r="D2352" i="7"/>
  <c r="D2353" i="7"/>
  <c r="D2354" i="7"/>
  <c r="D2355" i="7"/>
  <c r="D2356" i="7"/>
  <c r="D2357" i="7"/>
  <c r="D2358" i="7"/>
  <c r="D2359" i="7"/>
  <c r="D2360" i="7"/>
  <c r="D2361" i="7"/>
  <c r="D2362" i="7"/>
  <c r="D2363" i="7"/>
  <c r="D2364" i="7"/>
  <c r="D2365" i="7"/>
  <c r="D2366" i="7"/>
  <c r="D2367" i="7"/>
  <c r="D2368" i="7"/>
  <c r="D2369" i="7"/>
  <c r="D2370" i="7"/>
  <c r="D2371" i="7"/>
  <c r="D2372" i="7"/>
  <c r="D2373" i="7"/>
  <c r="D2374" i="7"/>
  <c r="D2375" i="7"/>
  <c r="D2376" i="7"/>
  <c r="D2377" i="7"/>
  <c r="D2378" i="7"/>
  <c r="D2379" i="7"/>
  <c r="D2380" i="7"/>
  <c r="D2381" i="7"/>
  <c r="D2382" i="7"/>
  <c r="D2383" i="7"/>
  <c r="D2384" i="7"/>
  <c r="D2385" i="7"/>
  <c r="D2386" i="7"/>
  <c r="D2387" i="7"/>
  <c r="D2388" i="7"/>
  <c r="D2389" i="7"/>
  <c r="D2390" i="7"/>
  <c r="D2391" i="7"/>
  <c r="D2392" i="7"/>
  <c r="D2393" i="7"/>
  <c r="D2394" i="7"/>
  <c r="D2395" i="7"/>
  <c r="D2396" i="7"/>
  <c r="D2397" i="7"/>
  <c r="D2398" i="7"/>
  <c r="D2399" i="7"/>
  <c r="D2400" i="7"/>
  <c r="D2401" i="7"/>
  <c r="D2402" i="7"/>
  <c r="D2403" i="7"/>
  <c r="D2404" i="7"/>
  <c r="D2405" i="7"/>
  <c r="D2406" i="7"/>
  <c r="D2407" i="7"/>
  <c r="D2408" i="7"/>
  <c r="D2409" i="7"/>
  <c r="D2410" i="7"/>
  <c r="D2411" i="7"/>
  <c r="D2412" i="7"/>
  <c r="D2413" i="7"/>
  <c r="D2414" i="7"/>
  <c r="D2415" i="7"/>
  <c r="D2416" i="7"/>
  <c r="D2417" i="7"/>
  <c r="D2418" i="7"/>
  <c r="D2419" i="7"/>
  <c r="D2420" i="7"/>
  <c r="D2421" i="7"/>
  <c r="D2422" i="7"/>
  <c r="D2423" i="7"/>
  <c r="D2424" i="7"/>
  <c r="D2425" i="7"/>
  <c r="D2426" i="7"/>
  <c r="D2427" i="7"/>
  <c r="D2428" i="7"/>
  <c r="D2429" i="7"/>
  <c r="D2430" i="7"/>
  <c r="D2431" i="7"/>
  <c r="D2432" i="7"/>
  <c r="D2433" i="7"/>
  <c r="D2434" i="7"/>
  <c r="D2435" i="7"/>
  <c r="D2436" i="7"/>
  <c r="D2437" i="7"/>
  <c r="D2438" i="7"/>
  <c r="D2439" i="7"/>
  <c r="D2440" i="7"/>
  <c r="D2441" i="7"/>
  <c r="D2442" i="7"/>
  <c r="D2443" i="7"/>
  <c r="D2444" i="7"/>
  <c r="D2445" i="7"/>
  <c r="D2446" i="7"/>
  <c r="D2447" i="7"/>
  <c r="D2448" i="7"/>
  <c r="D2449" i="7"/>
  <c r="D2450" i="7"/>
  <c r="D2451" i="7"/>
  <c r="D2452" i="7"/>
  <c r="D2453" i="7"/>
  <c r="D2454" i="7"/>
  <c r="D2455" i="7"/>
  <c r="D2456" i="7"/>
  <c r="D2457" i="7"/>
  <c r="D2458" i="7"/>
  <c r="D2459" i="7"/>
  <c r="D2460" i="7"/>
  <c r="D2461" i="7"/>
  <c r="D2462" i="7"/>
  <c r="D2463" i="7"/>
  <c r="D2464" i="7"/>
  <c r="D2465" i="7"/>
  <c r="D2466" i="7"/>
  <c r="D2467" i="7"/>
  <c r="D2468" i="7"/>
  <c r="D2469" i="7"/>
  <c r="D2470" i="7"/>
  <c r="D2471" i="7"/>
  <c r="D2472" i="7"/>
  <c r="D2473" i="7"/>
  <c r="D2474" i="7"/>
  <c r="D2475" i="7"/>
  <c r="D2476" i="7"/>
  <c r="D2477" i="7"/>
  <c r="D2478" i="7"/>
  <c r="D2479" i="7"/>
  <c r="D2480" i="7"/>
  <c r="D2481" i="7"/>
  <c r="D2482" i="7"/>
  <c r="D2483" i="7"/>
  <c r="D2484" i="7"/>
  <c r="D2485" i="7"/>
  <c r="D2486" i="7"/>
  <c r="D2487" i="7"/>
  <c r="D2488" i="7"/>
  <c r="D2489" i="7"/>
  <c r="D2490" i="7"/>
  <c r="D2491" i="7"/>
  <c r="D2492" i="7"/>
  <c r="D2493" i="7"/>
  <c r="D2494" i="7"/>
  <c r="D2495" i="7"/>
  <c r="D2496" i="7"/>
  <c r="D2497" i="7"/>
  <c r="D2498" i="7"/>
  <c r="D2499" i="7"/>
  <c r="D2500" i="7"/>
  <c r="D2501" i="7"/>
  <c r="D2502" i="7"/>
  <c r="D2503" i="7"/>
  <c r="D2504" i="7"/>
  <c r="D2505" i="7"/>
  <c r="D2506" i="7"/>
  <c r="D2507" i="7"/>
  <c r="D2508" i="7"/>
  <c r="D2509" i="7"/>
  <c r="D2510" i="7"/>
  <c r="D2511" i="7"/>
  <c r="D2512" i="7"/>
  <c r="D2513" i="7"/>
  <c r="D2514" i="7"/>
  <c r="D2515" i="7"/>
  <c r="D2516" i="7"/>
  <c r="D2517" i="7"/>
  <c r="D2518" i="7"/>
  <c r="D2519" i="7"/>
  <c r="D2520" i="7"/>
  <c r="D2521" i="7"/>
  <c r="D2522" i="7"/>
  <c r="D2523" i="7"/>
  <c r="D2524" i="7"/>
  <c r="D2525" i="7"/>
  <c r="D2526" i="7"/>
  <c r="D2527" i="7"/>
  <c r="D2528" i="7"/>
  <c r="D2529" i="7"/>
  <c r="D2530" i="7"/>
  <c r="D2531" i="7"/>
  <c r="D2532" i="7"/>
  <c r="D2533" i="7"/>
  <c r="D2534" i="7"/>
  <c r="D2535" i="7"/>
  <c r="D2536" i="7"/>
  <c r="D2537" i="7"/>
  <c r="D2538" i="7"/>
  <c r="D2539" i="7"/>
  <c r="D2540" i="7"/>
  <c r="D2541" i="7"/>
  <c r="D2542" i="7"/>
  <c r="D2543" i="7"/>
  <c r="D2544" i="7"/>
  <c r="D2545" i="7"/>
  <c r="D2546" i="7"/>
  <c r="D2547" i="7"/>
  <c r="D2548" i="7"/>
  <c r="D2549" i="7"/>
  <c r="D2550" i="7"/>
  <c r="D2551" i="7"/>
  <c r="D2552" i="7"/>
  <c r="D2553" i="7"/>
  <c r="D2554" i="7"/>
  <c r="D2555" i="7"/>
  <c r="D2556" i="7"/>
  <c r="D2557" i="7"/>
  <c r="D2558" i="7"/>
  <c r="D2559" i="7"/>
  <c r="D2560" i="7"/>
  <c r="D2561" i="7"/>
  <c r="D2562" i="7"/>
  <c r="D2563" i="7"/>
  <c r="D2564" i="7"/>
  <c r="D2565" i="7"/>
  <c r="D2566" i="7"/>
  <c r="D2567" i="7"/>
  <c r="D2568" i="7"/>
  <c r="D2569" i="7"/>
  <c r="D2570" i="7"/>
  <c r="D2571" i="7"/>
  <c r="D2572" i="7"/>
  <c r="D2573" i="7"/>
  <c r="D2574" i="7"/>
  <c r="D2575" i="7"/>
  <c r="D2576" i="7"/>
  <c r="D2577" i="7"/>
  <c r="D2578" i="7"/>
  <c r="D2579" i="7"/>
  <c r="D2580" i="7"/>
  <c r="D2581" i="7"/>
  <c r="D2582" i="7"/>
  <c r="D2583" i="7"/>
  <c r="D2584" i="7"/>
  <c r="D2585" i="7"/>
  <c r="D2586" i="7"/>
  <c r="D2587" i="7"/>
  <c r="D2588" i="7"/>
  <c r="D2589" i="7"/>
  <c r="D2590" i="7"/>
  <c r="D2591" i="7"/>
  <c r="D2592" i="7"/>
  <c r="D2593" i="7"/>
  <c r="D2594" i="7"/>
  <c r="D2595" i="7"/>
  <c r="D2596" i="7"/>
  <c r="D2597" i="7"/>
  <c r="D2598" i="7"/>
  <c r="D2599" i="7"/>
  <c r="D2600" i="7"/>
  <c r="D2601" i="7"/>
  <c r="D2602" i="7"/>
  <c r="D2603" i="7"/>
  <c r="D2604" i="7"/>
  <c r="D2605" i="7"/>
  <c r="D2606" i="7"/>
  <c r="D2607" i="7"/>
  <c r="D2608" i="7"/>
  <c r="D2609" i="7"/>
  <c r="D2610" i="7"/>
  <c r="D2611" i="7"/>
  <c r="D2612" i="7"/>
  <c r="D2613" i="7"/>
  <c r="D2614" i="7"/>
  <c r="D2615" i="7"/>
  <c r="D2616" i="7"/>
  <c r="D2617" i="7"/>
  <c r="D2618" i="7"/>
  <c r="D2619" i="7"/>
  <c r="D2620" i="7"/>
  <c r="D2621" i="7"/>
  <c r="D2622" i="7"/>
  <c r="D2623" i="7"/>
  <c r="D2624" i="7"/>
  <c r="D2625" i="7"/>
  <c r="D2626" i="7"/>
  <c r="D2627" i="7"/>
  <c r="D2628" i="7"/>
  <c r="D2629" i="7"/>
  <c r="D2630" i="7"/>
  <c r="D2631" i="7"/>
  <c r="D2632" i="7"/>
  <c r="D2633" i="7"/>
  <c r="D2634" i="7"/>
  <c r="D2635" i="7"/>
  <c r="D2636" i="7"/>
  <c r="D2637" i="7"/>
  <c r="D2638" i="7"/>
  <c r="D2639" i="7"/>
  <c r="D2640" i="7"/>
  <c r="D2641" i="7"/>
  <c r="D2642" i="7"/>
  <c r="D2643" i="7"/>
  <c r="D2644" i="7"/>
  <c r="D2645" i="7"/>
  <c r="D2646" i="7"/>
  <c r="D2647" i="7"/>
  <c r="D2648" i="7"/>
  <c r="D2649" i="7"/>
  <c r="D2650" i="7"/>
  <c r="D2651" i="7"/>
  <c r="D2652" i="7"/>
  <c r="D2653" i="7"/>
  <c r="D2654" i="7"/>
  <c r="D2655" i="7"/>
  <c r="D2656" i="7"/>
  <c r="D2657" i="7"/>
  <c r="D2658" i="7"/>
  <c r="D2659" i="7"/>
  <c r="D2660" i="7"/>
  <c r="D2661" i="7"/>
  <c r="D2662" i="7"/>
  <c r="D2663" i="7"/>
  <c r="D2664" i="7"/>
  <c r="D2665" i="7"/>
  <c r="D2666" i="7"/>
  <c r="D2667" i="7"/>
  <c r="D2668" i="7"/>
  <c r="D2669" i="7"/>
  <c r="D2670" i="7"/>
  <c r="D2671" i="7"/>
  <c r="D2672" i="7"/>
  <c r="D2673" i="7"/>
  <c r="D2674" i="7"/>
  <c r="D2675" i="7"/>
  <c r="D2676" i="7"/>
  <c r="D2677" i="7"/>
  <c r="D2678" i="7"/>
  <c r="D2679" i="7"/>
  <c r="D2680" i="7"/>
  <c r="D2681" i="7"/>
  <c r="D2682" i="7"/>
  <c r="D2683" i="7"/>
  <c r="D2684" i="7"/>
  <c r="D2685" i="7"/>
  <c r="D2686" i="7"/>
  <c r="D2687" i="7"/>
  <c r="D2688" i="7"/>
  <c r="D2689" i="7"/>
  <c r="D2690" i="7"/>
  <c r="D2691" i="7"/>
  <c r="D2692" i="7"/>
  <c r="D2693" i="7"/>
  <c r="D2694" i="7"/>
  <c r="D2695" i="7"/>
  <c r="D2696" i="7"/>
  <c r="D2697" i="7"/>
  <c r="D2698" i="7"/>
  <c r="D2699" i="7"/>
  <c r="D2700" i="7"/>
  <c r="D2701" i="7"/>
  <c r="D2702" i="7"/>
  <c r="D2703" i="7"/>
  <c r="D2704" i="7"/>
  <c r="D2705" i="7"/>
  <c r="D2706" i="7"/>
  <c r="D2707" i="7"/>
  <c r="D2708" i="7"/>
  <c r="D2709" i="7"/>
  <c r="D2710" i="7"/>
  <c r="D2711" i="7"/>
  <c r="D2712" i="7"/>
  <c r="D2713" i="7"/>
  <c r="D2714" i="7"/>
  <c r="D2715" i="7"/>
  <c r="D2716" i="7"/>
  <c r="D2717" i="7"/>
  <c r="D2718" i="7"/>
  <c r="D2719" i="7"/>
  <c r="D2720" i="7"/>
  <c r="D2721" i="7"/>
  <c r="D2722" i="7"/>
  <c r="D2723" i="7"/>
  <c r="D2724" i="7"/>
  <c r="D2725" i="7"/>
  <c r="D2726" i="7"/>
  <c r="D2727" i="7"/>
  <c r="D2728" i="7"/>
  <c r="D2729" i="7"/>
  <c r="D2730" i="7"/>
  <c r="D2731" i="7"/>
  <c r="D2732" i="7"/>
  <c r="D2733" i="7"/>
  <c r="D2734" i="7"/>
  <c r="D2735" i="7"/>
  <c r="D2736" i="7"/>
  <c r="D2737" i="7"/>
  <c r="D2738" i="7"/>
  <c r="D2739" i="7"/>
  <c r="D2740" i="7"/>
  <c r="D2741" i="7"/>
  <c r="D2742" i="7"/>
  <c r="D2743" i="7"/>
  <c r="D2744" i="7"/>
  <c r="D2745" i="7"/>
  <c r="D2746" i="7"/>
  <c r="D2747" i="7"/>
  <c r="D2748" i="7"/>
  <c r="D2749" i="7"/>
  <c r="D2750" i="7"/>
  <c r="D2751" i="7"/>
  <c r="D2752" i="7"/>
  <c r="D2753" i="7"/>
  <c r="D2754" i="7"/>
  <c r="D2755" i="7"/>
  <c r="D2756" i="7"/>
  <c r="D2757" i="7"/>
  <c r="D2758" i="7"/>
  <c r="D2759" i="7"/>
  <c r="D2760" i="7"/>
  <c r="D2761" i="7"/>
  <c r="D2762" i="7"/>
  <c r="D2763" i="7"/>
  <c r="D2764" i="7"/>
  <c r="D2765" i="7"/>
  <c r="D2766" i="7"/>
  <c r="D2767" i="7"/>
  <c r="D2768" i="7"/>
  <c r="D2769" i="7"/>
  <c r="D2770" i="7"/>
  <c r="D2771" i="7"/>
  <c r="D2772" i="7"/>
  <c r="D2773" i="7"/>
  <c r="D2774" i="7"/>
  <c r="D2775" i="7"/>
  <c r="D2776" i="7"/>
  <c r="D2777" i="7"/>
  <c r="D2778" i="7"/>
  <c r="D2779" i="7"/>
  <c r="D2780" i="7"/>
  <c r="D2781" i="7"/>
  <c r="D2782" i="7"/>
  <c r="D2783" i="7"/>
  <c r="D2784" i="7"/>
  <c r="D2785" i="7"/>
  <c r="D2786" i="7"/>
  <c r="D2787" i="7"/>
  <c r="D2788" i="7"/>
  <c r="D2789" i="7"/>
  <c r="D2790" i="7"/>
  <c r="D2791" i="7"/>
  <c r="D2792" i="7"/>
  <c r="D2793" i="7"/>
  <c r="D2794" i="7"/>
  <c r="D2795" i="7"/>
  <c r="D2796" i="7"/>
  <c r="D2797" i="7"/>
  <c r="D2798" i="7"/>
  <c r="D2799" i="7"/>
  <c r="D2800" i="7"/>
  <c r="D2801" i="7"/>
  <c r="D2802" i="7"/>
  <c r="D2803" i="7"/>
  <c r="D2804" i="7"/>
  <c r="D2805" i="7"/>
  <c r="D2806" i="7"/>
  <c r="D2807" i="7"/>
  <c r="D2808" i="7"/>
  <c r="D2809" i="7"/>
  <c r="D2810" i="7"/>
  <c r="D2811" i="7"/>
  <c r="D2812" i="7"/>
  <c r="D2813" i="7"/>
  <c r="D2814" i="7"/>
  <c r="D2815" i="7"/>
  <c r="D2816" i="7"/>
  <c r="D2817" i="7"/>
  <c r="D2818" i="7"/>
  <c r="D2819" i="7"/>
  <c r="D2820" i="7"/>
  <c r="D2821" i="7"/>
  <c r="D2822" i="7"/>
  <c r="D2823" i="7"/>
  <c r="D2824" i="7"/>
  <c r="D2825" i="7"/>
  <c r="D2826" i="7"/>
  <c r="D2827" i="7"/>
  <c r="D2828" i="7"/>
  <c r="D2829" i="7"/>
  <c r="D2830" i="7"/>
  <c r="D2831" i="7"/>
  <c r="D2832" i="7"/>
  <c r="D2833" i="7"/>
  <c r="D2834" i="7"/>
  <c r="D2835" i="7"/>
  <c r="D2836" i="7"/>
  <c r="D2837" i="7"/>
  <c r="D2838" i="7"/>
  <c r="D2839" i="7"/>
  <c r="D2840" i="7"/>
  <c r="D2841" i="7"/>
  <c r="D2842" i="7"/>
  <c r="D2843" i="7"/>
  <c r="D2844" i="7"/>
  <c r="D2845" i="7"/>
  <c r="D2846" i="7"/>
  <c r="D2847" i="7"/>
  <c r="D2848" i="7"/>
  <c r="D2849" i="7"/>
  <c r="D2850" i="7"/>
  <c r="D2851" i="7"/>
  <c r="D2852" i="7"/>
  <c r="D2853" i="7"/>
  <c r="D2854" i="7"/>
  <c r="D2855" i="7"/>
  <c r="D2856" i="7"/>
  <c r="D2857" i="7"/>
  <c r="D2858" i="7"/>
  <c r="D2859" i="7"/>
  <c r="D2860" i="7"/>
  <c r="D2861" i="7"/>
  <c r="D2862" i="7"/>
  <c r="D2863" i="7"/>
  <c r="D2864" i="7"/>
  <c r="D2865" i="7"/>
  <c r="D2866" i="7"/>
  <c r="D2867" i="7"/>
  <c r="D2868" i="7"/>
  <c r="D2869" i="7"/>
  <c r="D2870" i="7"/>
  <c r="D2871" i="7"/>
  <c r="D2872" i="7"/>
  <c r="D2873" i="7"/>
  <c r="D2874" i="7"/>
  <c r="D2875" i="7"/>
  <c r="D2876" i="7"/>
  <c r="D2877" i="7"/>
  <c r="D2878" i="7"/>
  <c r="D2879" i="7"/>
  <c r="D2880" i="7"/>
  <c r="D2881" i="7"/>
  <c r="D2882" i="7"/>
  <c r="D2883" i="7"/>
  <c r="D2884" i="7"/>
  <c r="D2885" i="7"/>
  <c r="D2886" i="7"/>
  <c r="D2887" i="7"/>
  <c r="D2888" i="7"/>
  <c r="D2889" i="7"/>
  <c r="D2890" i="7"/>
  <c r="D2891" i="7"/>
  <c r="D2892" i="7"/>
  <c r="D2893" i="7"/>
  <c r="D2894" i="7"/>
  <c r="D2895" i="7"/>
  <c r="D2896" i="7"/>
  <c r="D2897" i="7"/>
  <c r="D2898" i="7"/>
  <c r="D2899" i="7"/>
  <c r="D2900" i="7"/>
  <c r="D2901" i="7"/>
  <c r="D2902" i="7"/>
  <c r="D2903" i="7"/>
  <c r="D2904" i="7"/>
  <c r="D2905" i="7"/>
  <c r="D2906" i="7"/>
  <c r="D2907" i="7"/>
  <c r="D2908" i="7"/>
  <c r="D2909" i="7"/>
  <c r="D2910" i="7"/>
  <c r="D2911" i="7"/>
  <c r="D2912" i="7"/>
  <c r="D2913" i="7"/>
  <c r="D2914" i="7"/>
  <c r="D2915" i="7"/>
  <c r="D2916" i="7"/>
  <c r="D2917" i="7"/>
  <c r="D2918" i="7"/>
  <c r="D2919" i="7"/>
  <c r="D2920" i="7"/>
  <c r="D2921" i="7"/>
  <c r="D2922" i="7"/>
  <c r="D2923" i="7"/>
  <c r="D2924" i="7"/>
  <c r="D2925" i="7"/>
  <c r="D2926" i="7"/>
  <c r="D2927" i="7"/>
  <c r="D2928" i="7"/>
  <c r="D2929" i="7"/>
  <c r="D2930" i="7"/>
  <c r="D2931" i="7"/>
  <c r="D2932" i="7"/>
  <c r="D2933" i="7"/>
  <c r="D2934" i="7"/>
  <c r="D2935" i="7"/>
  <c r="D2936" i="7"/>
  <c r="D2937" i="7"/>
  <c r="D2938" i="7"/>
  <c r="D2939" i="7"/>
  <c r="D2940" i="7"/>
  <c r="D2941" i="7"/>
  <c r="D2942" i="7"/>
  <c r="D2943" i="7"/>
  <c r="D2944" i="7"/>
  <c r="D2945" i="7"/>
  <c r="D2946" i="7"/>
  <c r="D2947" i="7"/>
  <c r="D2948" i="7"/>
  <c r="D2949" i="7"/>
  <c r="D2950" i="7"/>
  <c r="D2951" i="7"/>
  <c r="D2952" i="7"/>
  <c r="D2953" i="7"/>
  <c r="D2954" i="7"/>
  <c r="D2955" i="7"/>
  <c r="D2956" i="7"/>
  <c r="D2957" i="7"/>
  <c r="D2958" i="7"/>
  <c r="D2959" i="7"/>
  <c r="D2960" i="7"/>
  <c r="D2961" i="7"/>
  <c r="D2962" i="7"/>
  <c r="D2963" i="7"/>
  <c r="D2964" i="7"/>
  <c r="D2965" i="7"/>
  <c r="D2966" i="7"/>
  <c r="D2967" i="7"/>
  <c r="D2968" i="7"/>
  <c r="D2969" i="7"/>
  <c r="D2970" i="7"/>
  <c r="D2971" i="7"/>
  <c r="D2972" i="7"/>
  <c r="D2973" i="7"/>
  <c r="D2974" i="7"/>
  <c r="D2975" i="7"/>
  <c r="D2976" i="7"/>
  <c r="D2977" i="7"/>
  <c r="D2978" i="7"/>
  <c r="D2979" i="7"/>
  <c r="D2980" i="7"/>
  <c r="D2981" i="7"/>
  <c r="D2982" i="7"/>
  <c r="D2983" i="7"/>
  <c r="D2984" i="7"/>
  <c r="D2985" i="7"/>
  <c r="D2986" i="7"/>
  <c r="D2987" i="7"/>
  <c r="D2988" i="7"/>
  <c r="D2989" i="7"/>
  <c r="D2990" i="7"/>
  <c r="D2991" i="7"/>
  <c r="D2992" i="7"/>
  <c r="D2993" i="7"/>
  <c r="D2994" i="7"/>
  <c r="D2995" i="7"/>
  <c r="D2996" i="7"/>
  <c r="D2997" i="7"/>
  <c r="D2998" i="7"/>
  <c r="D2999" i="7"/>
  <c r="D3000" i="7"/>
  <c r="D3001" i="7"/>
  <c r="D3002" i="7"/>
  <c r="D3003" i="7"/>
  <c r="D3004" i="7"/>
  <c r="D3005" i="7"/>
  <c r="D3006" i="7"/>
  <c r="D3007" i="7"/>
  <c r="D3008" i="7"/>
  <c r="D3009" i="7"/>
  <c r="D3010" i="7"/>
  <c r="D3011" i="7"/>
  <c r="D3012" i="7"/>
  <c r="D3013" i="7"/>
  <c r="D3014" i="7"/>
  <c r="D3015" i="7"/>
  <c r="D3016" i="7"/>
  <c r="D3017" i="7"/>
  <c r="D3018" i="7"/>
  <c r="D3019" i="7"/>
  <c r="D3020" i="7"/>
  <c r="D3021" i="7"/>
  <c r="D3022" i="7"/>
  <c r="D3023" i="7"/>
  <c r="D3024" i="7"/>
  <c r="D3025" i="7"/>
  <c r="D3026" i="7"/>
  <c r="D3027" i="7"/>
  <c r="D3028" i="7"/>
  <c r="D3029" i="7"/>
  <c r="D3030" i="7"/>
  <c r="D3031" i="7"/>
  <c r="D3032" i="7"/>
  <c r="D3033" i="7"/>
  <c r="D3034" i="7"/>
  <c r="D3035" i="7"/>
  <c r="D3036" i="7"/>
  <c r="D3037" i="7"/>
  <c r="D3038" i="7"/>
  <c r="D3039" i="7"/>
  <c r="D3040" i="7"/>
  <c r="D3041" i="7"/>
  <c r="D3042" i="7"/>
  <c r="D3043" i="7"/>
  <c r="D3044" i="7"/>
  <c r="D3045" i="7"/>
  <c r="D3046" i="7"/>
  <c r="D3047" i="7"/>
  <c r="D3048" i="7"/>
  <c r="D3049" i="7"/>
  <c r="D3050" i="7"/>
  <c r="D3051" i="7"/>
  <c r="D3052" i="7"/>
  <c r="D3053" i="7"/>
  <c r="D3054" i="7"/>
  <c r="D3055" i="7"/>
  <c r="D3056" i="7"/>
  <c r="D3057" i="7"/>
  <c r="D3058" i="7"/>
  <c r="D3059" i="7"/>
  <c r="D3060" i="7"/>
  <c r="D3061" i="7"/>
  <c r="D3062" i="7"/>
  <c r="D3063" i="7"/>
  <c r="D3064" i="7"/>
  <c r="D3065" i="7"/>
  <c r="D3066" i="7"/>
  <c r="D3067" i="7"/>
  <c r="D3068" i="7"/>
  <c r="D3069" i="7"/>
  <c r="D3070" i="7"/>
  <c r="D3071" i="7"/>
  <c r="D3072" i="7"/>
  <c r="D3073" i="7"/>
  <c r="D3074" i="7"/>
  <c r="D3075" i="7"/>
  <c r="D3076" i="7"/>
  <c r="D3077" i="7"/>
  <c r="D3078" i="7"/>
  <c r="D3079" i="7"/>
  <c r="D3080" i="7"/>
  <c r="D3081" i="7"/>
  <c r="D3082" i="7"/>
  <c r="D3083" i="7"/>
  <c r="D3084" i="7"/>
  <c r="D3085" i="7"/>
  <c r="D3086" i="7"/>
  <c r="D3087" i="7"/>
  <c r="D3088" i="7"/>
  <c r="D3089" i="7"/>
  <c r="D3090" i="7"/>
  <c r="D3091" i="7"/>
  <c r="D3092" i="7"/>
  <c r="D3093" i="7"/>
  <c r="D3094" i="7"/>
  <c r="D3095" i="7"/>
  <c r="D3096" i="7"/>
  <c r="D3097" i="7"/>
  <c r="D3098" i="7"/>
  <c r="D3099" i="7"/>
  <c r="D3100" i="7"/>
  <c r="D3101" i="7"/>
  <c r="D3102" i="7"/>
  <c r="D3103" i="7"/>
  <c r="D3104" i="7"/>
  <c r="D3105" i="7"/>
  <c r="D3106" i="7"/>
  <c r="D3107" i="7"/>
  <c r="D3108" i="7"/>
  <c r="D3109" i="7"/>
  <c r="D3110" i="7"/>
  <c r="D3111" i="7"/>
  <c r="D3112" i="7"/>
  <c r="D3113" i="7"/>
  <c r="D3114" i="7"/>
  <c r="D3115" i="7"/>
  <c r="D3116" i="7"/>
  <c r="D3117" i="7"/>
  <c r="D3118" i="7"/>
  <c r="D3119" i="7"/>
  <c r="D3120" i="7"/>
  <c r="D3121" i="7"/>
  <c r="D3122" i="7"/>
  <c r="D3123" i="7"/>
  <c r="D3124" i="7"/>
  <c r="D3125" i="7"/>
  <c r="D3126" i="7"/>
  <c r="D3127" i="7"/>
  <c r="D3128" i="7"/>
  <c r="D3129" i="7"/>
  <c r="D3130" i="7"/>
  <c r="D3131" i="7"/>
  <c r="D3132" i="7"/>
  <c r="D3133" i="7"/>
  <c r="D3134" i="7"/>
  <c r="D3135" i="7"/>
  <c r="D3136" i="7"/>
  <c r="D3137" i="7"/>
  <c r="D3138" i="7"/>
  <c r="D3139" i="7"/>
  <c r="D3140" i="7"/>
  <c r="D3141" i="7"/>
  <c r="D3142" i="7"/>
  <c r="D3143" i="7"/>
  <c r="D3144" i="7"/>
  <c r="D3145" i="7"/>
  <c r="D3146" i="7"/>
  <c r="D3147" i="7"/>
  <c r="D3148" i="7"/>
  <c r="D3149" i="7"/>
  <c r="D3150" i="7"/>
  <c r="D3151" i="7"/>
  <c r="D3152" i="7"/>
  <c r="D3153" i="7"/>
  <c r="D3154" i="7"/>
  <c r="D3155" i="7"/>
  <c r="D3156" i="7"/>
  <c r="D3157" i="7"/>
  <c r="D3158" i="7"/>
  <c r="D3159" i="7"/>
  <c r="D3160" i="7"/>
  <c r="D3161" i="7"/>
  <c r="D3162" i="7"/>
  <c r="D3163" i="7"/>
  <c r="D3164" i="7"/>
  <c r="D3165" i="7"/>
  <c r="D3166" i="7"/>
  <c r="D3167" i="7"/>
  <c r="D3168" i="7"/>
  <c r="D3169" i="7"/>
  <c r="D3170" i="7"/>
  <c r="D3171" i="7"/>
  <c r="D3172" i="7"/>
  <c r="D3173" i="7"/>
  <c r="D3174" i="7"/>
  <c r="D3175" i="7"/>
  <c r="D3176" i="7"/>
  <c r="D3177" i="7"/>
  <c r="D3178" i="7"/>
  <c r="D3179" i="7"/>
  <c r="D3180" i="7"/>
  <c r="D3181" i="7"/>
  <c r="D3182" i="7"/>
  <c r="D3183" i="7"/>
  <c r="D3184" i="7"/>
  <c r="D3185" i="7"/>
  <c r="D3186" i="7"/>
  <c r="D3187" i="7"/>
  <c r="D3188" i="7"/>
  <c r="D3189" i="7"/>
  <c r="D3190" i="7"/>
  <c r="D3191" i="7"/>
  <c r="D3192" i="7"/>
  <c r="D3193" i="7"/>
  <c r="D3194" i="7"/>
  <c r="D3195" i="7"/>
  <c r="D3196" i="7"/>
  <c r="D3197" i="7"/>
  <c r="D3198" i="7"/>
  <c r="D3199" i="7"/>
  <c r="D3200" i="7"/>
  <c r="D3201" i="7"/>
  <c r="D3202" i="7"/>
  <c r="D3203" i="7"/>
  <c r="D3204" i="7"/>
  <c r="D3205" i="7"/>
  <c r="D3206" i="7"/>
  <c r="D3207" i="7"/>
  <c r="D3208" i="7"/>
  <c r="D3209" i="7"/>
  <c r="D3210" i="7"/>
  <c r="D3211" i="7"/>
  <c r="D3212" i="7"/>
  <c r="D3213" i="7"/>
  <c r="D3214" i="7"/>
  <c r="D3215" i="7"/>
  <c r="D3216" i="7"/>
  <c r="D3217" i="7"/>
  <c r="D3218" i="7"/>
  <c r="D3219" i="7"/>
  <c r="D3220" i="7"/>
  <c r="D3221" i="7"/>
  <c r="D3222" i="7"/>
  <c r="D3223" i="7"/>
  <c r="D3224" i="7"/>
  <c r="D3225" i="7"/>
  <c r="D3226" i="7"/>
  <c r="D3227" i="7"/>
  <c r="D3228" i="7"/>
  <c r="D3229" i="7"/>
  <c r="D3230" i="7"/>
  <c r="D3231" i="7"/>
  <c r="D3232" i="7"/>
  <c r="D3233" i="7"/>
  <c r="D3234" i="7"/>
  <c r="D3235" i="7"/>
  <c r="D3236" i="7"/>
  <c r="D3237" i="7"/>
  <c r="D3238" i="7"/>
  <c r="D3239" i="7"/>
  <c r="D3240" i="7"/>
  <c r="D3241" i="7"/>
  <c r="D3242" i="7"/>
  <c r="D3243" i="7"/>
  <c r="D3244" i="7"/>
  <c r="D3245" i="7"/>
  <c r="D3246" i="7"/>
  <c r="D3247" i="7"/>
  <c r="D3248" i="7"/>
  <c r="D3249" i="7"/>
  <c r="D3250" i="7"/>
  <c r="D3251" i="7"/>
  <c r="D3252" i="7"/>
  <c r="D3253" i="7"/>
  <c r="D3254" i="7"/>
  <c r="D3255" i="7"/>
  <c r="D3256" i="7"/>
  <c r="D3257" i="7"/>
  <c r="D3258" i="7"/>
  <c r="D3259" i="7"/>
  <c r="D3260" i="7"/>
  <c r="D3261" i="7"/>
  <c r="D3262" i="7"/>
  <c r="D3263" i="7"/>
  <c r="D3264" i="7"/>
  <c r="D3265" i="7"/>
  <c r="D3266" i="7"/>
  <c r="D3267" i="7"/>
  <c r="D3268" i="7"/>
  <c r="D3269" i="7"/>
  <c r="D3270" i="7"/>
  <c r="D3271" i="7"/>
  <c r="D3272" i="7"/>
  <c r="D3273" i="7"/>
  <c r="D3274" i="7"/>
  <c r="D3275" i="7"/>
  <c r="D3276" i="7"/>
  <c r="D3277" i="7"/>
  <c r="D3278" i="7"/>
  <c r="D3279" i="7"/>
  <c r="D3280" i="7"/>
  <c r="D3281" i="7"/>
  <c r="D3282" i="7"/>
  <c r="D3283" i="7"/>
  <c r="D3284" i="7"/>
  <c r="D3285" i="7"/>
  <c r="D3286" i="7"/>
  <c r="D3287" i="7"/>
  <c r="D3288" i="7"/>
  <c r="D3289" i="7"/>
  <c r="D3290" i="7"/>
  <c r="D3291" i="7"/>
  <c r="D3292" i="7"/>
  <c r="D3293" i="7"/>
  <c r="D3294" i="7"/>
  <c r="D3295" i="7"/>
  <c r="D3296" i="7"/>
  <c r="D3297" i="7"/>
  <c r="D3298" i="7"/>
  <c r="D3299" i="7"/>
  <c r="D3300" i="7"/>
  <c r="D3301" i="7"/>
  <c r="D3302" i="7"/>
  <c r="D3303" i="7"/>
  <c r="D3304" i="7"/>
  <c r="D3305" i="7"/>
  <c r="D3306" i="7"/>
  <c r="D3307" i="7"/>
  <c r="D3308" i="7"/>
  <c r="D3309" i="7"/>
  <c r="D3310" i="7"/>
  <c r="D3311" i="7"/>
  <c r="D3312" i="7"/>
  <c r="D3313" i="7"/>
  <c r="D3314" i="7"/>
  <c r="D3315" i="7"/>
  <c r="D3316" i="7"/>
  <c r="D3317" i="7"/>
  <c r="D3318" i="7"/>
  <c r="D3319" i="7"/>
  <c r="D3320" i="7"/>
  <c r="D3321" i="7"/>
  <c r="D3322" i="7"/>
  <c r="D3323" i="7"/>
  <c r="D3324" i="7"/>
  <c r="D3325" i="7"/>
  <c r="D3326" i="7"/>
  <c r="D3327" i="7"/>
  <c r="D3328" i="7"/>
  <c r="D3329" i="7"/>
  <c r="D3330" i="7"/>
  <c r="D3331" i="7"/>
  <c r="D3332" i="7"/>
  <c r="D3333" i="7"/>
  <c r="D3334" i="7"/>
  <c r="D3335" i="7"/>
  <c r="D3336" i="7"/>
  <c r="D3337" i="7"/>
  <c r="D3338" i="7"/>
  <c r="D3339" i="7"/>
  <c r="D3340" i="7"/>
  <c r="D3341" i="7"/>
  <c r="D3342" i="7"/>
  <c r="D3343" i="7"/>
  <c r="D3344" i="7"/>
  <c r="D3345" i="7"/>
  <c r="D3346" i="7"/>
  <c r="D3347" i="7"/>
  <c r="D3348" i="7"/>
  <c r="D3349" i="7"/>
  <c r="D3350" i="7"/>
  <c r="D3351" i="7"/>
  <c r="D3352" i="7"/>
  <c r="D3353" i="7"/>
  <c r="D3354" i="7"/>
  <c r="D3355" i="7"/>
  <c r="D3356" i="7"/>
  <c r="D3357" i="7"/>
  <c r="D3358" i="7"/>
  <c r="D3359" i="7"/>
  <c r="D3360" i="7"/>
  <c r="D3361" i="7"/>
  <c r="D3362" i="7"/>
  <c r="D3363" i="7"/>
  <c r="D3364" i="7"/>
  <c r="D3365" i="7"/>
  <c r="D3366" i="7"/>
  <c r="D3367" i="7"/>
  <c r="D3368" i="7"/>
  <c r="D3369" i="7"/>
  <c r="D3370" i="7"/>
  <c r="D3371" i="7"/>
  <c r="D3372" i="7"/>
  <c r="D3373" i="7"/>
  <c r="D3374" i="7"/>
  <c r="D3375" i="7"/>
  <c r="D3376" i="7"/>
  <c r="D3377" i="7"/>
  <c r="D3378" i="7"/>
  <c r="D3379" i="7"/>
  <c r="D3380" i="7"/>
  <c r="D3381" i="7"/>
  <c r="D3382" i="7"/>
  <c r="D3383" i="7"/>
  <c r="D3384" i="7"/>
  <c r="D3385" i="7"/>
  <c r="D3386" i="7"/>
  <c r="D3387" i="7"/>
  <c r="D3388" i="7"/>
  <c r="D3389" i="7"/>
  <c r="D3390" i="7"/>
  <c r="D3391" i="7"/>
  <c r="D3392" i="7"/>
  <c r="D3393" i="7"/>
  <c r="D3394" i="7"/>
  <c r="D3395" i="7"/>
  <c r="D3396" i="7"/>
  <c r="D3397" i="7"/>
  <c r="D3398" i="7"/>
  <c r="D3399" i="7"/>
  <c r="D3400" i="7"/>
  <c r="D3401" i="7"/>
  <c r="D3402" i="7"/>
  <c r="D3403" i="7"/>
  <c r="D3404" i="7"/>
  <c r="D3405" i="7"/>
  <c r="D3406" i="7"/>
  <c r="D3407" i="7"/>
  <c r="D3408" i="7"/>
  <c r="D3409" i="7"/>
  <c r="D3410" i="7"/>
  <c r="D3411" i="7"/>
  <c r="D3412" i="7"/>
  <c r="D3413" i="7"/>
  <c r="D3414" i="7"/>
  <c r="D3415" i="7"/>
  <c r="D3416" i="7"/>
  <c r="D3417" i="7"/>
  <c r="D3418" i="7"/>
  <c r="D3419" i="7"/>
  <c r="D3420" i="7"/>
  <c r="D3421" i="7"/>
  <c r="D3422" i="7"/>
  <c r="D3423" i="7"/>
  <c r="D3424" i="7"/>
  <c r="D3425" i="7"/>
  <c r="D3426" i="7"/>
  <c r="D3427" i="7"/>
  <c r="D3428" i="7"/>
  <c r="D3429" i="7"/>
  <c r="D3430" i="7"/>
  <c r="D3431" i="7"/>
  <c r="D3432" i="7"/>
  <c r="D3433" i="7"/>
  <c r="D3434" i="7"/>
  <c r="D3435" i="7"/>
  <c r="D3436" i="7"/>
  <c r="D3437" i="7"/>
  <c r="D3438" i="7"/>
  <c r="D3439" i="7"/>
  <c r="D3440" i="7"/>
  <c r="D3441" i="7"/>
  <c r="D3442" i="7"/>
  <c r="D3443" i="7"/>
  <c r="D3444" i="7"/>
  <c r="D3445" i="7"/>
  <c r="D3446" i="7"/>
  <c r="D3447" i="7"/>
  <c r="D3448" i="7"/>
  <c r="D3449" i="7"/>
  <c r="D3450" i="7"/>
  <c r="D3451" i="7"/>
  <c r="D3452" i="7"/>
  <c r="D3453" i="7"/>
  <c r="D3454" i="7"/>
  <c r="D3455" i="7"/>
  <c r="D3456" i="7"/>
  <c r="D3457" i="7"/>
  <c r="D3458" i="7"/>
  <c r="D3459" i="7"/>
  <c r="D3460" i="7"/>
  <c r="D3461" i="7"/>
  <c r="D3462" i="7"/>
  <c r="D3463" i="7"/>
  <c r="D3464" i="7"/>
  <c r="D3465" i="7"/>
  <c r="D3466" i="7"/>
  <c r="D3467" i="7"/>
  <c r="D3468" i="7"/>
  <c r="D3469" i="7"/>
  <c r="D3470" i="7"/>
  <c r="D3471" i="7"/>
  <c r="D3472" i="7"/>
  <c r="D3473" i="7"/>
  <c r="D3474" i="7"/>
  <c r="D3475" i="7"/>
  <c r="D3476" i="7"/>
  <c r="D3477" i="7"/>
  <c r="D3478" i="7"/>
  <c r="D3479" i="7"/>
  <c r="D3480" i="7"/>
  <c r="D3481" i="7"/>
  <c r="D3482" i="7"/>
  <c r="D3483" i="7"/>
  <c r="D3484" i="7"/>
  <c r="D3485" i="7"/>
  <c r="D3486" i="7"/>
  <c r="D3487" i="7"/>
  <c r="D3488" i="7"/>
  <c r="D3489" i="7"/>
  <c r="D3490" i="7"/>
  <c r="D3491" i="7"/>
  <c r="D3492" i="7"/>
  <c r="D3493" i="7"/>
  <c r="D3494" i="7"/>
  <c r="D3495" i="7"/>
  <c r="D3496" i="7"/>
  <c r="D3497" i="7"/>
  <c r="D3498" i="7"/>
  <c r="D3499" i="7"/>
  <c r="D3500" i="7"/>
  <c r="D3501" i="7"/>
  <c r="D3502" i="7"/>
  <c r="D3503" i="7"/>
  <c r="D3504" i="7"/>
  <c r="D3505" i="7"/>
  <c r="D3506" i="7"/>
  <c r="D3507" i="7"/>
  <c r="D3508" i="7"/>
  <c r="D3509" i="7"/>
  <c r="D3510" i="7"/>
  <c r="D3511" i="7"/>
  <c r="D3512" i="7"/>
  <c r="D3513" i="7"/>
  <c r="D3514" i="7"/>
  <c r="D3515" i="7"/>
  <c r="D3516" i="7"/>
  <c r="D3517" i="7"/>
  <c r="D3518" i="7"/>
  <c r="D3519" i="7"/>
  <c r="D3520" i="7"/>
  <c r="D3521" i="7"/>
  <c r="D3522" i="7"/>
  <c r="D3523" i="7"/>
  <c r="D3524" i="7"/>
  <c r="D3525" i="7"/>
  <c r="D3526" i="7"/>
  <c r="D3527" i="7"/>
  <c r="D3528" i="7"/>
  <c r="D3529" i="7"/>
  <c r="D3530" i="7"/>
  <c r="D3531" i="7"/>
  <c r="D3532" i="7"/>
  <c r="D3533" i="7"/>
  <c r="D3534" i="7"/>
  <c r="D3535" i="7"/>
  <c r="D3536" i="7"/>
  <c r="D3537" i="7"/>
  <c r="D3538" i="7"/>
  <c r="D3539" i="7"/>
  <c r="D3540" i="7"/>
  <c r="D3541" i="7"/>
  <c r="D3542" i="7"/>
  <c r="D3543" i="7"/>
  <c r="D3544" i="7"/>
  <c r="D3545" i="7"/>
  <c r="D3546" i="7"/>
  <c r="D3547" i="7"/>
  <c r="D3548" i="7"/>
  <c r="D3549" i="7"/>
  <c r="D3550" i="7"/>
  <c r="D3551" i="7"/>
  <c r="D3552" i="7"/>
  <c r="D3553" i="7"/>
  <c r="D3554" i="7"/>
  <c r="D3555" i="7"/>
  <c r="D3556" i="7"/>
  <c r="D3557" i="7"/>
  <c r="D3558" i="7"/>
  <c r="D3559" i="7"/>
  <c r="D3560" i="7"/>
  <c r="D3561" i="7"/>
  <c r="D3562" i="7"/>
  <c r="D3563" i="7"/>
  <c r="D3564" i="7"/>
  <c r="D3565" i="7"/>
  <c r="D3566" i="7"/>
  <c r="D3567" i="7"/>
  <c r="D3568" i="7"/>
  <c r="D3569" i="7"/>
  <c r="D3570" i="7"/>
  <c r="D3571" i="7"/>
  <c r="D3572" i="7"/>
  <c r="D3573" i="7"/>
  <c r="D3574" i="7"/>
  <c r="D3575" i="7"/>
  <c r="D3576" i="7"/>
  <c r="D3577" i="7"/>
  <c r="D3578" i="7"/>
  <c r="D3579" i="7"/>
  <c r="D3580" i="7"/>
  <c r="D3581" i="7"/>
  <c r="D3582" i="7"/>
  <c r="D3583" i="7"/>
  <c r="D3584" i="7"/>
  <c r="D3585" i="7"/>
  <c r="D3586" i="7"/>
  <c r="D3587" i="7"/>
  <c r="D3588" i="7"/>
  <c r="D3589" i="7"/>
  <c r="D3590" i="7"/>
  <c r="D3591" i="7"/>
  <c r="D3592" i="7"/>
  <c r="D3593" i="7"/>
  <c r="D3594" i="7"/>
  <c r="D3595" i="7"/>
  <c r="D3596" i="7"/>
  <c r="D3597" i="7"/>
  <c r="D3598" i="7"/>
  <c r="D3599" i="7"/>
  <c r="D3600" i="7"/>
  <c r="D3601" i="7"/>
  <c r="D3602" i="7"/>
  <c r="D3603" i="7"/>
  <c r="D3604" i="7"/>
  <c r="D3605" i="7"/>
  <c r="D3606" i="7"/>
  <c r="D3607" i="7"/>
  <c r="D3608" i="7"/>
  <c r="D3609" i="7"/>
  <c r="D3610" i="7"/>
  <c r="D3611" i="7"/>
  <c r="D3612" i="7"/>
  <c r="D3613" i="7"/>
  <c r="D3614" i="7"/>
  <c r="D3615" i="7"/>
  <c r="D3616" i="7"/>
  <c r="D3617" i="7"/>
  <c r="D3618" i="7"/>
  <c r="D3619" i="7"/>
  <c r="D3620" i="7"/>
  <c r="D3621" i="7"/>
  <c r="D3622" i="7"/>
  <c r="D3623" i="7"/>
  <c r="D3624" i="7"/>
  <c r="D3625" i="7"/>
  <c r="D3626" i="7"/>
  <c r="D3627" i="7"/>
  <c r="D3628" i="7"/>
  <c r="D3629" i="7"/>
  <c r="D3630" i="7"/>
  <c r="D3631" i="7"/>
  <c r="D3632" i="7"/>
  <c r="D3633" i="7"/>
  <c r="D3634" i="7"/>
  <c r="D3635" i="7"/>
  <c r="D3636" i="7"/>
  <c r="D3637" i="7"/>
  <c r="D3638" i="7"/>
  <c r="D3639" i="7"/>
  <c r="D3640" i="7"/>
  <c r="D3641" i="7"/>
  <c r="D3642" i="7"/>
  <c r="D3643" i="7"/>
  <c r="D3644" i="7"/>
  <c r="D3645" i="7"/>
  <c r="D3646" i="7"/>
  <c r="D3647" i="7"/>
  <c r="D3648" i="7"/>
  <c r="D3649" i="7"/>
  <c r="D3650" i="7"/>
  <c r="D3651" i="7"/>
  <c r="D3652" i="7"/>
  <c r="D3653" i="7"/>
  <c r="D3654" i="7"/>
  <c r="D3655" i="7"/>
  <c r="D3656" i="7"/>
  <c r="D3657" i="7"/>
  <c r="D3658" i="7"/>
  <c r="D3659" i="7"/>
  <c r="D3660" i="7"/>
  <c r="D3661" i="7"/>
  <c r="D3662" i="7"/>
  <c r="D3663" i="7"/>
  <c r="D3664" i="7"/>
  <c r="D3665" i="7"/>
  <c r="D3666" i="7"/>
  <c r="D3667" i="7"/>
  <c r="D3668" i="7"/>
  <c r="D3669" i="7"/>
  <c r="D3670" i="7"/>
  <c r="D3671" i="7"/>
  <c r="D3672" i="7"/>
  <c r="D3673" i="7"/>
  <c r="D3674" i="7"/>
  <c r="D3675" i="7"/>
  <c r="D3676" i="7"/>
  <c r="D3677" i="7"/>
  <c r="D3678" i="7"/>
  <c r="D3679" i="7"/>
  <c r="D3680" i="7"/>
  <c r="D3681" i="7"/>
  <c r="D3682" i="7"/>
  <c r="D3683" i="7"/>
  <c r="D3684" i="7"/>
  <c r="D3685" i="7"/>
  <c r="D3686" i="7"/>
  <c r="D3687" i="7"/>
  <c r="D3688" i="7"/>
  <c r="D3689" i="7"/>
  <c r="D3690" i="7"/>
  <c r="D3691" i="7"/>
  <c r="D3692" i="7"/>
  <c r="D3693" i="7"/>
  <c r="D3694" i="7"/>
  <c r="D3695" i="7"/>
  <c r="D3696" i="7"/>
  <c r="D3697" i="7"/>
  <c r="D3698" i="7"/>
  <c r="D3699" i="7"/>
  <c r="D3700" i="7"/>
  <c r="D3701" i="7"/>
  <c r="D3702" i="7"/>
  <c r="D3703" i="7"/>
  <c r="D3704" i="7"/>
  <c r="D3705" i="7"/>
  <c r="D3706" i="7"/>
  <c r="D3707" i="7"/>
  <c r="D3708" i="7"/>
  <c r="D3709" i="7"/>
  <c r="D3710" i="7"/>
  <c r="D3711" i="7"/>
  <c r="D3712" i="7"/>
  <c r="J4" i="6"/>
  <c r="J5" i="6" s="1"/>
  <c r="J3" i="6"/>
  <c r="J3" i="5"/>
  <c r="I3" i="5"/>
  <c r="H3" i="5" l="1"/>
  <c r="R5" i="1"/>
  <c r="R9" i="1"/>
  <c r="F40" i="5"/>
  <c r="H17" i="5" l="1"/>
  <c r="H18" i="5"/>
  <c r="H19" i="5"/>
  <c r="H20" i="5"/>
  <c r="H21" i="5"/>
  <c r="H22" i="5"/>
  <c r="H23" i="5"/>
  <c r="H24" i="5"/>
  <c r="H25" i="5"/>
  <c r="H26" i="5"/>
  <c r="H27" i="5"/>
  <c r="H28" i="5"/>
  <c r="H29" i="5"/>
  <c r="H30" i="5"/>
  <c r="H31" i="5"/>
  <c r="H32" i="5"/>
  <c r="H33" i="5"/>
  <c r="H34" i="5"/>
  <c r="H35" i="5"/>
  <c r="H36" i="5"/>
  <c r="H37" i="5"/>
  <c r="H38" i="5"/>
  <c r="H39" i="5"/>
  <c r="H4" i="5"/>
  <c r="H5" i="5"/>
  <c r="H6" i="5"/>
  <c r="H7" i="5"/>
  <c r="H8" i="5"/>
  <c r="H9" i="5"/>
  <c r="H10" i="5"/>
  <c r="H11" i="5"/>
  <c r="H12" i="5"/>
  <c r="H13" i="5"/>
  <c r="H14" i="5"/>
  <c r="H15" i="5"/>
  <c r="H16"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3" i="5"/>
  <c r="F3" i="3"/>
  <c r="F5" i="3"/>
  <c r="F4" i="3"/>
  <c r="R11" i="1"/>
  <c r="R10" i="1"/>
  <c r="R8" i="1"/>
  <c r="R7" i="1"/>
  <c r="R4" i="1"/>
  <c r="O24" i="1"/>
  <c r="F41"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02719B-BA17-4EC1-9126-0D5845434955}" keepAlive="1" name="Query - IMDB_Movies" description="Connection to the 'IMDB_Movies' query in the workbook." type="5" refreshedVersion="8" background="1" saveData="1">
    <dbPr connection="Provider=Microsoft.Mashup.OleDb.1;Data Source=$Workbook$;Location=IMDB_Movies;Extended Properties=&quot;&quot;" command="SELECT * FROM [IMDB_Movies]"/>
  </connection>
  <connection id="2" xr16:uid="{F951F327-936C-4903-8C18-0D33B81D425B}" keepAlive="1" name="Query - IMDB_Movies (2)" description="Connection to the 'IMDB_Movies (2)' query in the workbook." type="5" refreshedVersion="8" background="1" saveData="1">
    <dbPr connection="Provider=Microsoft.Mashup.OleDb.1;Data Source=$Workbook$;Location=&quot;IMDB_Movies (2)&quot;;Extended Properties=&quot;&quot;" command="SELECT * FROM [IMDB_Movies (2)]"/>
  </connection>
</connections>
</file>

<file path=xl/sharedStrings.xml><?xml version="1.0" encoding="utf-8"?>
<sst xmlns="http://schemas.openxmlformats.org/spreadsheetml/2006/main" count="55623" uniqueCount="9952">
  <si>
    <t>movie_imdb_link</t>
  </si>
  <si>
    <t>language</t>
  </si>
  <si>
    <t>country</t>
  </si>
  <si>
    <t>budget</t>
  </si>
  <si>
    <t>Action|Adventure|Fantasy|Sci-Fi</t>
  </si>
  <si>
    <t>Avatar </t>
  </si>
  <si>
    <t>http://www.imdb.com/title/tt0499549/?ref_=fn_tt_tt_1</t>
  </si>
  <si>
    <t>English</t>
  </si>
  <si>
    <t>USA</t>
  </si>
  <si>
    <t>Action|Adventure|Fantasy</t>
  </si>
  <si>
    <t>Pirates of the Caribbean: At World's End </t>
  </si>
  <si>
    <t>http://www.imdb.com/title/tt0449088/?ref_=fn_tt_tt_1</t>
  </si>
  <si>
    <t>Action|Adventure|Thriller</t>
  </si>
  <si>
    <t>Spectre </t>
  </si>
  <si>
    <t>http://www.imdb.com/title/tt2379713/?ref_=fn_tt_tt_1</t>
  </si>
  <si>
    <t>UK</t>
  </si>
  <si>
    <t>Action|Thriller</t>
  </si>
  <si>
    <t>The Dark Knight Rises </t>
  </si>
  <si>
    <t>http://www.imdb.com/title/tt1345836/?ref_=fn_tt_tt_1</t>
  </si>
  <si>
    <t>Documentary</t>
  </si>
  <si>
    <t>Action|Adventure|Sci-Fi</t>
  </si>
  <si>
    <t>John Carter </t>
  </si>
  <si>
    <t>http://www.imdb.com/title/tt0401729/?ref_=fn_tt_tt_1</t>
  </si>
  <si>
    <t>Action|Adventure|Romance</t>
  </si>
  <si>
    <t>Spider-Man 3 </t>
  </si>
  <si>
    <t>http://www.imdb.com/title/tt0413300/?ref_=fn_tt_tt_1</t>
  </si>
  <si>
    <t>Adventure|Animation|Comedy|Family|Fantasy|Musical|Romance</t>
  </si>
  <si>
    <t>Tangled </t>
  </si>
  <si>
    <t>http://www.imdb.com/title/tt0398286/?ref_=fn_tt_tt_1</t>
  </si>
  <si>
    <t>Avengers: Age of Ultron </t>
  </si>
  <si>
    <t>http://www.imdb.com/title/tt2395427/?ref_=fn_tt_tt_1</t>
  </si>
  <si>
    <t>Adventure|Family|Fantasy|Mystery</t>
  </si>
  <si>
    <t>Harry Potter and the Half-Blood Prince </t>
  </si>
  <si>
    <t>http://www.imdb.com/title/tt0417741/?ref_=fn_tt_tt_1</t>
  </si>
  <si>
    <t>Batman v Superman: Dawn of Justice </t>
  </si>
  <si>
    <t>http://www.imdb.com/title/tt2975590/?ref_=fn_tt_tt_1</t>
  </si>
  <si>
    <t>Action|Adventure</t>
  </si>
  <si>
    <t>Quantum of Solace </t>
  </si>
  <si>
    <t>http://www.imdb.com/title/tt0830515/?ref_=fn_tt_tt_1</t>
  </si>
  <si>
    <t>Pirates of the Caribbean: Dead Man's Chest </t>
  </si>
  <si>
    <t>http://www.imdb.com/title/tt0383574/?ref_=fn_tt_tt_1</t>
  </si>
  <si>
    <t>Action|Adventure|Western</t>
  </si>
  <si>
    <t>The Lone Ranger </t>
  </si>
  <si>
    <t>http://www.imdb.com/title/tt1210819/?ref_=fn_tt_tt_1</t>
  </si>
  <si>
    <t>Man of Steel </t>
  </si>
  <si>
    <t>http://www.imdb.com/title/tt0770828/?ref_=fn_tt_tt_1</t>
  </si>
  <si>
    <t>Action|Adventure|Family|Fantasy</t>
  </si>
  <si>
    <t>The Chronicles of Narnia: Prince Caspian </t>
  </si>
  <si>
    <t>http://www.imdb.com/title/tt0499448/?ref_=fn_tt_tt_1</t>
  </si>
  <si>
    <t>The Avengers </t>
  </si>
  <si>
    <t>http://www.imdb.com/title/tt0848228/?ref_=fn_tt_tt_1</t>
  </si>
  <si>
    <t>Pirates of the Caribbean: On Stranger Tides </t>
  </si>
  <si>
    <t>http://www.imdb.com/title/tt1298650/?ref_=fn_tt_tt_1</t>
  </si>
  <si>
    <t>Action|Adventure|Comedy|Family|Fantasy|Sci-Fi</t>
  </si>
  <si>
    <t>Men in Black 3 </t>
  </si>
  <si>
    <t>http://www.imdb.com/title/tt1409024/?ref_=fn_tt_tt_1</t>
  </si>
  <si>
    <t>Adventure|Fantasy</t>
  </si>
  <si>
    <t>The Hobbit: The Battle of the Five Armies </t>
  </si>
  <si>
    <t>http://www.imdb.com/title/tt2310332/?ref_=fn_tt_tt_1</t>
  </si>
  <si>
    <t>New Zealand</t>
  </si>
  <si>
    <t>The Amazing Spider-Man </t>
  </si>
  <si>
    <t>http://www.imdb.com/title/tt0948470/?ref_=fn_tt_tt_1</t>
  </si>
  <si>
    <t>Action|Adventure|Drama|History</t>
  </si>
  <si>
    <t>Robin Hood </t>
  </si>
  <si>
    <t>http://www.imdb.com/title/tt0955308/?ref_=fn_tt_tt_1</t>
  </si>
  <si>
    <t>The Hobbit: The Desolation of Smaug </t>
  </si>
  <si>
    <t>http://www.imdb.com/title/tt1170358/?ref_=fn_tt_tt_1</t>
  </si>
  <si>
    <t>Adventure|Family|Fantasy</t>
  </si>
  <si>
    <t>The Golden Compass </t>
  </si>
  <si>
    <t>http://www.imdb.com/title/tt0385752/?ref_=fn_tt_tt_1</t>
  </si>
  <si>
    <t>Action|Adventure|Drama|Romance</t>
  </si>
  <si>
    <t>King Kong </t>
  </si>
  <si>
    <t>http://www.imdb.com/title/tt0360717/?ref_=fn_tt_tt_1</t>
  </si>
  <si>
    <t>Drama|Romance</t>
  </si>
  <si>
    <t>Titanic </t>
  </si>
  <si>
    <t>http://www.imdb.com/title/tt0120338/?ref_=fn_tt_tt_1</t>
  </si>
  <si>
    <t>Captain America: Civil War </t>
  </si>
  <si>
    <t>http://www.imdb.com/title/tt3498820/?ref_=fn_tt_tt_1</t>
  </si>
  <si>
    <t>Action|Adventure|Sci-Fi|Thriller</t>
  </si>
  <si>
    <t>Battleship </t>
  </si>
  <si>
    <t>http://www.imdb.com/title/tt1440129/?ref_=fn_tt_tt_1</t>
  </si>
  <si>
    <t>Jurassic World </t>
  </si>
  <si>
    <t>http://www.imdb.com/title/tt0369610/?ref_=fn_tt_tt_1</t>
  </si>
  <si>
    <t>Skyfall </t>
  </si>
  <si>
    <t>http://www.imdb.com/title/tt1074638/?ref_=fn_tt_tt_1</t>
  </si>
  <si>
    <t>Action|Adventure|Fantasy|Romance</t>
  </si>
  <si>
    <t>Spider-Man 2 </t>
  </si>
  <si>
    <t>http://www.imdb.com/title/tt0316654/?ref_=fn_tt_tt_1</t>
  </si>
  <si>
    <t>Iron Man 3 </t>
  </si>
  <si>
    <t>http://www.imdb.com/title/tt1300854/?ref_=fn_tt_tt_1</t>
  </si>
  <si>
    <t>Alice in Wonderland </t>
  </si>
  <si>
    <t>http://www.imdb.com/title/tt1014759/?ref_=fn_tt_tt_1</t>
  </si>
  <si>
    <t>Action|Adventure|Fantasy|Sci-Fi|Thriller</t>
  </si>
  <si>
    <t>X-Men: The Last Stand </t>
  </si>
  <si>
    <t>http://www.imdb.com/title/tt0376994/?ref_=fn_tt_tt_1</t>
  </si>
  <si>
    <t>Canada</t>
  </si>
  <si>
    <t>Adventure|Animation|Comedy|Family|Fantasy</t>
  </si>
  <si>
    <t>Monsters University </t>
  </si>
  <si>
    <t>http://www.imdb.com/title/tt1453405/?ref_=fn_tt_tt_1</t>
  </si>
  <si>
    <t>Transformers: Revenge of the Fallen </t>
  </si>
  <si>
    <t>http://www.imdb.com/title/tt1055369/?ref_=fn_tt_tt_1</t>
  </si>
  <si>
    <t>Transformers: Age of Extinction </t>
  </si>
  <si>
    <t>http://www.imdb.com/title/tt2109248/?ref_=fn_tt_tt_1</t>
  </si>
  <si>
    <t>Oz the Great and Powerful </t>
  </si>
  <si>
    <t>http://www.imdb.com/title/tt1623205/?ref_=fn_tt_tt_1</t>
  </si>
  <si>
    <t>The Amazing Spider-Man 2 </t>
  </si>
  <si>
    <t>http://www.imdb.com/title/tt1872181/?ref_=fn_tt_tt_1</t>
  </si>
  <si>
    <t>TRON: Legacy </t>
  </si>
  <si>
    <t>http://www.imdb.com/title/tt1104001/?ref_=fn_tt_tt_1</t>
  </si>
  <si>
    <t>Adventure|Animation|Comedy|Family|Sport</t>
  </si>
  <si>
    <t>Cars 2 </t>
  </si>
  <si>
    <t>http://www.imdb.com/title/tt1216475/?ref_=fn_tt_tt_1</t>
  </si>
  <si>
    <t>Green Lantern </t>
  </si>
  <si>
    <t>http://www.imdb.com/title/tt1133985/?ref_=fn_tt_tt_1</t>
  </si>
  <si>
    <t>Toy Story 3 </t>
  </si>
  <si>
    <t>http://www.imdb.com/title/tt0435761/?ref_=fn_tt_tt_1</t>
  </si>
  <si>
    <t>Terminator Salvation </t>
  </si>
  <si>
    <t>http://www.imdb.com/title/tt0438488/?ref_=fn_tt_tt_1</t>
  </si>
  <si>
    <t>Action|Crime|Thriller</t>
  </si>
  <si>
    <t>Furious 7 </t>
  </si>
  <si>
    <t>http://www.imdb.com/title/tt2820852/?ref_=fn_tt_tt_1</t>
  </si>
  <si>
    <t>Action|Adventure|Horror|Sci-Fi|Thriller</t>
  </si>
  <si>
    <t>World War Z </t>
  </si>
  <si>
    <t>http://www.imdb.com/title/tt0816711/?ref_=fn_tt_tt_1</t>
  </si>
  <si>
    <t>X-Men: Days of Future Past </t>
  </si>
  <si>
    <t>http://www.imdb.com/title/tt1877832/?ref_=fn_tt_tt_1</t>
  </si>
  <si>
    <t>Star Trek Into Darkness </t>
  </si>
  <si>
    <t>http://www.imdb.com/title/tt1408101/?ref_=fn_tt_tt_1</t>
  </si>
  <si>
    <t>Jack the Giant Slayer </t>
  </si>
  <si>
    <t>http://www.imdb.com/title/tt1351685/?ref_=fn_tt_tt_1</t>
  </si>
  <si>
    <t>The Great Gatsby </t>
  </si>
  <si>
    <t>http://www.imdb.com/title/tt1343092/?ref_=fn_tt_tt_1</t>
  </si>
  <si>
    <t>Australia</t>
  </si>
  <si>
    <t>Prince of Persia: The Sands of Time </t>
  </si>
  <si>
    <t>http://www.imdb.com/title/tt0473075/?ref_=fn_tt_tt_1</t>
  </si>
  <si>
    <t>Pacific Rim </t>
  </si>
  <si>
    <t>http://www.imdb.com/title/tt1663662/?ref_=fn_tt_tt_1</t>
  </si>
  <si>
    <t>Transformers: Dark of the Moon </t>
  </si>
  <si>
    <t>http://www.imdb.com/title/tt1399103/?ref_=fn_tt_tt_1</t>
  </si>
  <si>
    <t>Indiana Jones and the Kingdom of the Crystal Skull </t>
  </si>
  <si>
    <t>http://www.imdb.com/title/tt0367882/?ref_=fn_tt_tt_1</t>
  </si>
  <si>
    <t>Brave </t>
  </si>
  <si>
    <t>http://www.imdb.com/title/tt1217209/?ref_=fn_tt_tt_1</t>
  </si>
  <si>
    <t>Star Trek Beyond </t>
  </si>
  <si>
    <t>http://www.imdb.com/title/tt2660888/?ref_=fn_tt_tt_1</t>
  </si>
  <si>
    <t>Adventure|Animation|Family|Sci-Fi</t>
  </si>
  <si>
    <t>WALL·E </t>
  </si>
  <si>
    <t>http://www.imdb.com/title/tt0910970/?ref_=fn_tt_tt_1</t>
  </si>
  <si>
    <t>Action|Comedy|Crime|Thriller</t>
  </si>
  <si>
    <t>Rush Hour 3 </t>
  </si>
  <si>
    <t>http://www.imdb.com/title/tt0293564/?ref_=fn_tt_tt_1</t>
  </si>
  <si>
    <t>2012 </t>
  </si>
  <si>
    <t>http://www.imdb.com/title/tt1190080/?ref_=fn_tt_tt_1</t>
  </si>
  <si>
    <t>Animation|Drama|Family|Fantasy</t>
  </si>
  <si>
    <t>A Christmas Carol </t>
  </si>
  <si>
    <t>http://www.imdb.com/title/tt1067106/?ref_=fn_tt_tt_1</t>
  </si>
  <si>
    <t>Jupiter Ascending </t>
  </si>
  <si>
    <t>http://www.imdb.com/title/tt1617661/?ref_=fn_tt_tt_1</t>
  </si>
  <si>
    <t>The Legend of Tarzan </t>
  </si>
  <si>
    <t>http://www.imdb.com/title/tt0918940/?ref_=fn_tt_tt_1</t>
  </si>
  <si>
    <t>The Chronicles of Narnia: The Lion, the Witch and the Wardrobe </t>
  </si>
  <si>
    <t>http://www.imdb.com/title/tt0363771/?ref_=fn_tt_tt_1</t>
  </si>
  <si>
    <t>X-Men: Apocalypse </t>
  </si>
  <si>
    <t>http://www.imdb.com/title/tt3385516/?ref_=fn_tt_tt_1</t>
  </si>
  <si>
    <t>Action|Crime|Drama|Thriller</t>
  </si>
  <si>
    <t>The Dark Knight </t>
  </si>
  <si>
    <t>http://www.imdb.com/title/tt0468569/?ref_=fn_tt_tt_1</t>
  </si>
  <si>
    <t>Adventure|Animation|Comedy|Family</t>
  </si>
  <si>
    <t>Up </t>
  </si>
  <si>
    <t>http://www.imdb.com/title/tt1049413/?ref_=fn_tt_tt_1</t>
  </si>
  <si>
    <t>Action|Adventure|Animation|Comedy|Family|Sci-Fi</t>
  </si>
  <si>
    <t>Monsters vs. Aliens </t>
  </si>
  <si>
    <t>http://www.imdb.com/title/tt0892782/?ref_=fn_tt_tt_1</t>
  </si>
  <si>
    <t>Iron Man </t>
  </si>
  <si>
    <t>http://www.imdb.com/title/tt0371746/?ref_=fn_tt_tt_1</t>
  </si>
  <si>
    <t>Adventure|Drama|Family|Mystery</t>
  </si>
  <si>
    <t>Hugo </t>
  </si>
  <si>
    <t>http://www.imdb.com/title/tt0970179/?ref_=fn_tt_tt_1</t>
  </si>
  <si>
    <t>Action|Comedy|Sci-Fi|Western</t>
  </si>
  <si>
    <t>Wild Wild West </t>
  </si>
  <si>
    <t>http://www.imdb.com/title/tt0120891/?ref_=fn_tt_tt_1</t>
  </si>
  <si>
    <t>Action|Adventure|Fantasy|Horror|Thriller</t>
  </si>
  <si>
    <t>The Mummy: Tomb of the Dragon Emperor </t>
  </si>
  <si>
    <t>http://www.imdb.com/title/tt0859163/?ref_=fn_tt_tt_1</t>
  </si>
  <si>
    <t>Action|Adventure|Comedy|Sci-Fi</t>
  </si>
  <si>
    <t>Suicide Squad </t>
  </si>
  <si>
    <t>http://www.imdb.com/title/tt1386697/?ref_=fn_tt_tt_1</t>
  </si>
  <si>
    <t>Comedy|Family|Fantasy</t>
  </si>
  <si>
    <t>Evan Almighty </t>
  </si>
  <si>
    <t>http://www.imdb.com/title/tt0413099/?ref_=fn_tt_tt_1</t>
  </si>
  <si>
    <t>Edge of Tomorrow </t>
  </si>
  <si>
    <t>http://www.imdb.com/title/tt1631867/?ref_=fn_tt_tt_1</t>
  </si>
  <si>
    <t>Waterworld </t>
  </si>
  <si>
    <t>http://www.imdb.com/title/tt0114898/?ref_=fn_tt_tt_1</t>
  </si>
  <si>
    <t>G.I. Joe: The Rise of Cobra </t>
  </si>
  <si>
    <t>http://www.imdb.com/title/tt1046173/?ref_=fn_tt_tt_1</t>
  </si>
  <si>
    <t>Adventure|Animation|Comedy|Drama|Family|Fantasy</t>
  </si>
  <si>
    <t>Inside Out </t>
  </si>
  <si>
    <t>http://www.imdb.com/title/tt2096673/?ref_=fn_tt_tt_1</t>
  </si>
  <si>
    <t>Adventure|Drama|Family|Fantasy</t>
  </si>
  <si>
    <t>The Jungle Book </t>
  </si>
  <si>
    <t>http://www.imdb.com/title/tt3040964/?ref_=fn_tt_tt_1</t>
  </si>
  <si>
    <t>Iron Man 2 </t>
  </si>
  <si>
    <t>http://www.imdb.com/title/tt1228705/?ref_=fn_tt_tt_1</t>
  </si>
  <si>
    <t>Action|Adventure|Drama|Fantasy</t>
  </si>
  <si>
    <t>Snow White and the Huntsman </t>
  </si>
  <si>
    <t>http://www.imdb.com/title/tt1735898/?ref_=fn_tt_tt_1</t>
  </si>
  <si>
    <t>Action|Adventure|Family|Fantasy|Romance</t>
  </si>
  <si>
    <t>Maleficent </t>
  </si>
  <si>
    <t>http://www.imdb.com/title/tt1587310/?ref_=fn_tt_tt_1</t>
  </si>
  <si>
    <t>Action|Adventure|Drama|Sci-Fi</t>
  </si>
  <si>
    <t>Dawn of the Planet of the Apes </t>
  </si>
  <si>
    <t>http://www.imdb.com/title/tt2103281/?ref_=fn_tt_tt_1</t>
  </si>
  <si>
    <t>Action|Adventure|Romance|Sci-Fi</t>
  </si>
  <si>
    <t>Belgium</t>
  </si>
  <si>
    <t>47 Ronin </t>
  </si>
  <si>
    <t>http://www.imdb.com/title/tt1335975/?ref_=fn_tt_tt_1</t>
  </si>
  <si>
    <t>Captain America: The Winter Soldier </t>
  </si>
  <si>
    <t>http://www.imdb.com/title/tt1843866/?ref_=fn_tt_tt_1</t>
  </si>
  <si>
    <t>Shrek Forever After </t>
  </si>
  <si>
    <t>http://www.imdb.com/title/tt0892791/?ref_=fn_tt_tt_1</t>
  </si>
  <si>
    <t>Action|Adventure|Family|Mystery|Sci-Fi</t>
  </si>
  <si>
    <t>Tomorrowland </t>
  </si>
  <si>
    <t>http://www.imdb.com/title/tt1964418/?ref_=fn_tt_tt_1</t>
  </si>
  <si>
    <t>Action|Adventure|Animation|Comedy|Drama|Family|Sci-Fi</t>
  </si>
  <si>
    <t>Big Hero 6 </t>
  </si>
  <si>
    <t>http://www.imdb.com/title/tt2245084/?ref_=fn_tt_tt_1</t>
  </si>
  <si>
    <t>Adventure|Animation|Comedy|Family|Sci-Fi</t>
  </si>
  <si>
    <t>Wreck-It Ralph </t>
  </si>
  <si>
    <t>http://www.imdb.com/title/tt1772341/?ref_=fn_tt_tt_1</t>
  </si>
  <si>
    <t>Adventure|Animation|Family|Fantasy</t>
  </si>
  <si>
    <t>The Polar Express </t>
  </si>
  <si>
    <t>http://www.imdb.com/title/tt0338348/?ref_=fn_tt_tt_1</t>
  </si>
  <si>
    <t>Independence Day: Resurgence </t>
  </si>
  <si>
    <t>http://www.imdb.com/title/tt1628841/?ref_=fn_tt_tt_1</t>
  </si>
  <si>
    <t>How to Train Your Dragon </t>
  </si>
  <si>
    <t>http://www.imdb.com/title/tt0892769/?ref_=fn_tt_tt_1</t>
  </si>
  <si>
    <t>Action|Sci-Fi</t>
  </si>
  <si>
    <t>Terminator 3: Rise of the Machines </t>
  </si>
  <si>
    <t>http://www.imdb.com/title/tt0181852/?ref_=fn_tt_tt_1</t>
  </si>
  <si>
    <t>Guardians of the Galaxy </t>
  </si>
  <si>
    <t>http://www.imdb.com/title/tt2015381/?ref_=fn_tt_tt_1</t>
  </si>
  <si>
    <t>Adventure|Drama|Sci-Fi</t>
  </si>
  <si>
    <t>Interstellar </t>
  </si>
  <si>
    <t>http://www.imdb.com/title/tt0816692/?ref_=fn_tt_tt_1</t>
  </si>
  <si>
    <t>Inception </t>
  </si>
  <si>
    <t>http://www.imdb.com/title/tt1375666/?ref_=fn_tt_tt_1</t>
  </si>
  <si>
    <t>Japanese</t>
  </si>
  <si>
    <t>Japan</t>
  </si>
  <si>
    <t>The Hobbit: An Unexpected Journey </t>
  </si>
  <si>
    <t>http://www.imdb.com/title/tt0903624/?ref_=fn_tt_tt_1</t>
  </si>
  <si>
    <t>The Fast and the Furious </t>
  </si>
  <si>
    <t>http://www.imdb.com/title/tt0232500/?ref_=fn_tt_tt_1</t>
  </si>
  <si>
    <t>Drama|Fantasy|Romance</t>
  </si>
  <si>
    <t>The Curious Case of Benjamin Button </t>
  </si>
  <si>
    <t>http://www.imdb.com/title/tt0421715/?ref_=fn_tt_tt_1</t>
  </si>
  <si>
    <t>X-Men: First Class </t>
  </si>
  <si>
    <t>http://www.imdb.com/title/tt1270798/?ref_=fn_tt_tt_1</t>
  </si>
  <si>
    <t>Adventure|Sci-Fi</t>
  </si>
  <si>
    <t>The Hunger Games: Mockingjay - Part 2 </t>
  </si>
  <si>
    <t>http://www.imdb.com/title/tt1951266/?ref_=fn_tt_tt_1</t>
  </si>
  <si>
    <t>The Sorcerer's Apprentice </t>
  </si>
  <si>
    <t>http://www.imdb.com/title/tt0963966/?ref_=fn_tt_tt_1</t>
  </si>
  <si>
    <t>Action|Adventure|Drama|Thriller</t>
  </si>
  <si>
    <t>Poseidon </t>
  </si>
  <si>
    <t>http://www.imdb.com/title/tt0409182/?ref_=fn_tt_tt_1</t>
  </si>
  <si>
    <t>Alice Through the Looking Glass </t>
  </si>
  <si>
    <t>http://www.imdb.com/title/tt2567026/?ref_=fn_tt_tt_1</t>
  </si>
  <si>
    <t>Shrek the Third </t>
  </si>
  <si>
    <t>http://www.imdb.com/title/tt0413267/?ref_=fn_tt_tt_1</t>
  </si>
  <si>
    <t>Warcraft </t>
  </si>
  <si>
    <t>http://www.imdb.com/title/tt0803096/?ref_=fn_tt_tt_1</t>
  </si>
  <si>
    <t>Terminator Genisys </t>
  </si>
  <si>
    <t>http://www.imdb.com/title/tt1340138/?ref_=fn_tt_tt_1</t>
  </si>
  <si>
    <t>The Chronicles of Narnia: The Voyage of the Dawn Treader </t>
  </si>
  <si>
    <t>http://www.imdb.com/title/tt0980970/?ref_=fn_tt_tt_1</t>
  </si>
  <si>
    <t>Action|Drama|History|Romance|War</t>
  </si>
  <si>
    <t>Pearl Harbor </t>
  </si>
  <si>
    <t>http://www.imdb.com/title/tt0213149/?ref_=fn_tt_tt_1</t>
  </si>
  <si>
    <t>Transformers </t>
  </si>
  <si>
    <t>http://www.imdb.com/title/tt0418279/?ref_=fn_tt_tt_1</t>
  </si>
  <si>
    <t>Action|Adventure|Biography|Drama|History|Romance|War</t>
  </si>
  <si>
    <t>Alexander </t>
  </si>
  <si>
    <t>http://www.imdb.com/title/tt0346491/?ref_=fn_tt_tt_1</t>
  </si>
  <si>
    <t>Germany</t>
  </si>
  <si>
    <t>Harry Potter and the Order of the Phoenix </t>
  </si>
  <si>
    <t>http://www.imdb.com/title/tt0373889/?ref_=fn_tt_tt_1</t>
  </si>
  <si>
    <t>Harry Potter and the Goblet of Fire </t>
  </si>
  <si>
    <t>http://www.imdb.com/title/tt0330373/?ref_=fn_tt_tt_1</t>
  </si>
  <si>
    <t>Action|Drama</t>
  </si>
  <si>
    <t>Hancock </t>
  </si>
  <si>
    <t>http://www.imdb.com/title/tt0448157/?ref_=fn_tt_tt_1</t>
  </si>
  <si>
    <t>Drama|Horror|Sci-Fi</t>
  </si>
  <si>
    <t>I Am Legend </t>
  </si>
  <si>
    <t>http://www.imdb.com/title/tt0480249/?ref_=fn_tt_tt_1</t>
  </si>
  <si>
    <t>Adventure|Comedy|Family|Fantasy</t>
  </si>
  <si>
    <t>Charlie and the Chocolate Factory </t>
  </si>
  <si>
    <t>http://www.imdb.com/title/tt0367594/?ref_=fn_tt_tt_1</t>
  </si>
  <si>
    <t>Animation|Comedy|Family|Fantasy</t>
  </si>
  <si>
    <t>Ratatouille </t>
  </si>
  <si>
    <t>http://www.imdb.com/title/tt0382932/?ref_=fn_tt_tt_1</t>
  </si>
  <si>
    <t>Batman Begins </t>
  </si>
  <si>
    <t>http://www.imdb.com/title/tt0372784/?ref_=fn_tt_tt_1</t>
  </si>
  <si>
    <t>Action|Adventure|Animation|Comedy|Family</t>
  </si>
  <si>
    <t>Madagascar: Escape 2 Africa </t>
  </si>
  <si>
    <t>http://www.imdb.com/title/tt0479952/?ref_=fn_tt_tt_1</t>
  </si>
  <si>
    <t>Night at the Museum: Battle of the Smithsonian </t>
  </si>
  <si>
    <t>http://www.imdb.com/title/tt1078912/?ref_=fn_tt_tt_1</t>
  </si>
  <si>
    <t>X-Men Origins: Wolverine </t>
  </si>
  <si>
    <t>http://www.imdb.com/title/tt0458525/?ref_=fn_tt_tt_1</t>
  </si>
  <si>
    <t>The Matrix Revolutions </t>
  </si>
  <si>
    <t>http://www.imdb.com/title/tt0242653/?ref_=fn_tt_tt_1</t>
  </si>
  <si>
    <t>Adventure|Animation|Comedy|Family|Fantasy|Musical</t>
  </si>
  <si>
    <t>Frozen </t>
  </si>
  <si>
    <t>http://www.imdb.com/title/tt2294629/?ref_=fn_tt_tt_1</t>
  </si>
  <si>
    <t>The Matrix Reloaded </t>
  </si>
  <si>
    <t>http://www.imdb.com/title/tt0234215/?ref_=fn_tt_tt_1</t>
  </si>
  <si>
    <t>Thor: The Dark World </t>
  </si>
  <si>
    <t>http://www.imdb.com/title/tt1981115/?ref_=fn_tt_tt_1</t>
  </si>
  <si>
    <t>Mad Max: Fury Road </t>
  </si>
  <si>
    <t>http://www.imdb.com/title/tt1392190/?ref_=fn_tt_tt_1</t>
  </si>
  <si>
    <t>Mystery|Thriller</t>
  </si>
  <si>
    <t>Angels &amp; Demons </t>
  </si>
  <si>
    <t>http://www.imdb.com/title/tt0808151/?ref_=fn_tt_tt_1</t>
  </si>
  <si>
    <t>Thor </t>
  </si>
  <si>
    <t>http://www.imdb.com/title/tt0800369/?ref_=fn_tt_tt_1</t>
  </si>
  <si>
    <t>Adventure|Animation|Comedy|Drama|Family</t>
  </si>
  <si>
    <t>Bolt </t>
  </si>
  <si>
    <t>http://www.imdb.com/title/tt0397892/?ref_=fn_tt_tt_1</t>
  </si>
  <si>
    <t>Action|Adventure|Animation|Comedy|Family|Fantasy|Sci-Fi</t>
  </si>
  <si>
    <t>G-Force </t>
  </si>
  <si>
    <t>http://www.imdb.com/title/tt0436339/?ref_=fn_tt_tt_1</t>
  </si>
  <si>
    <t>Wrath of the Titans </t>
  </si>
  <si>
    <t>http://www.imdb.com/title/tt1646987/?ref_=fn_tt_tt_1</t>
  </si>
  <si>
    <t>Comedy|Fantasy|Horror</t>
  </si>
  <si>
    <t>Dark Shadows </t>
  </si>
  <si>
    <t>http://www.imdb.com/title/tt1077368/?ref_=fn_tt_tt_1</t>
  </si>
  <si>
    <t>Mission: Impossible - Rogue Nation </t>
  </si>
  <si>
    <t>http://www.imdb.com/title/tt2381249/?ref_=fn_tt_tt_1</t>
  </si>
  <si>
    <t>China</t>
  </si>
  <si>
    <t>Drama|Fantasy|Horror|Thriller</t>
  </si>
  <si>
    <t>The Wolfman </t>
  </si>
  <si>
    <t>http://www.imdb.com/title/tt0780653/?ref_=fn_tt_tt_1</t>
  </si>
  <si>
    <t>Bee Movie </t>
  </si>
  <si>
    <t>http://www.imdb.com/title/tt0389790/?ref_=fn_tt_tt_1</t>
  </si>
  <si>
    <t>Kung Fu Panda 2 </t>
  </si>
  <si>
    <t>http://www.imdb.com/title/tt1302011/?ref_=fn_tt_tt_1</t>
  </si>
  <si>
    <t>The Last Airbender </t>
  </si>
  <si>
    <t>http://www.imdb.com/title/tt0938283/?ref_=fn_tt_tt_1</t>
  </si>
  <si>
    <t>Mission: Impossible III </t>
  </si>
  <si>
    <t>http://www.imdb.com/title/tt0317919/?ref_=fn_tt_tt_1</t>
  </si>
  <si>
    <t>Action|Drama|Thriller</t>
  </si>
  <si>
    <t>White House Down </t>
  </si>
  <si>
    <t>http://www.imdb.com/title/tt2334879/?ref_=fn_tt_tt_1</t>
  </si>
  <si>
    <t>Mars Needs Moms </t>
  </si>
  <si>
    <t>http://www.imdb.com/title/tt1305591/?ref_=fn_tt_tt_1</t>
  </si>
  <si>
    <t>Flushed Away </t>
  </si>
  <si>
    <t>http://www.imdb.com/title/tt0424095/?ref_=fn_tt_tt_1</t>
  </si>
  <si>
    <t>Pan </t>
  </si>
  <si>
    <t>http://www.imdb.com/title/tt3332064/?ref_=fn_tt_tt_1</t>
  </si>
  <si>
    <t>Mr. Peabody &amp; Sherman </t>
  </si>
  <si>
    <t>http://www.imdb.com/title/tt0864835/?ref_=fn_tt_tt_1</t>
  </si>
  <si>
    <t>Adventure</t>
  </si>
  <si>
    <t>Troy </t>
  </si>
  <si>
    <t>http://www.imdb.com/title/tt0332452/?ref_=fn_tt_tt_1</t>
  </si>
  <si>
    <t>Madagascar 3: Europe's Most Wanted </t>
  </si>
  <si>
    <t>http://www.imdb.com/title/tt1277953/?ref_=fn_tt_tt_1</t>
  </si>
  <si>
    <t>Die Another Day </t>
  </si>
  <si>
    <t>http://www.imdb.com/title/tt0246460/?ref_=fn_tt_tt_1</t>
  </si>
  <si>
    <t>Action|Comedy|Fantasy|Sci-Fi</t>
  </si>
  <si>
    <t>Ghostbusters </t>
  </si>
  <si>
    <t>http://www.imdb.com/title/tt1289401/?ref_=fn_tt_tt_1</t>
  </si>
  <si>
    <t>Armageddon </t>
  </si>
  <si>
    <t>http://www.imdb.com/title/tt0120591/?ref_=fn_tt_tt_1</t>
  </si>
  <si>
    <t>Action|Adventure|Comedy|Family|Fantasy|Mystery|Sci-Fi</t>
  </si>
  <si>
    <t>Men in Black II </t>
  </si>
  <si>
    <t>http://www.imdb.com/title/tt0120912/?ref_=fn_tt_tt_1</t>
  </si>
  <si>
    <t>Action|Adventure|Animation|Fantasy</t>
  </si>
  <si>
    <t>Beowulf </t>
  </si>
  <si>
    <t>http://www.imdb.com/title/tt0442933/?ref_=fn_tt_tt_1</t>
  </si>
  <si>
    <t>Kung Fu Panda 3 </t>
  </si>
  <si>
    <t>http://www.imdb.com/title/tt2267968/?ref_=fn_tt_tt_1</t>
  </si>
  <si>
    <t>Mission: Impossible - Ghost Protocol </t>
  </si>
  <si>
    <t>http://www.imdb.com/title/tt1229238/?ref_=fn_tt_tt_1</t>
  </si>
  <si>
    <t>Rise of the Guardians </t>
  </si>
  <si>
    <t>http://www.imdb.com/title/tt1446192/?ref_=fn_tt_tt_1</t>
  </si>
  <si>
    <t>Comedy|Crime</t>
  </si>
  <si>
    <t>Fun with Dick and Jane </t>
  </si>
  <si>
    <t>http://www.imdb.com/title/tt0369441/?ref_=fn_tt_tt_1</t>
  </si>
  <si>
    <t>Action|Drama|History|War</t>
  </si>
  <si>
    <t>The Last Samurai </t>
  </si>
  <si>
    <t>http://www.imdb.com/title/tt0325710/?ref_=fn_tt_tt_1</t>
  </si>
  <si>
    <t>Action|Adventure|Drama</t>
  </si>
  <si>
    <t>Exodus: Gods and Kings </t>
  </si>
  <si>
    <t>http://www.imdb.com/title/tt1528100/?ref_=fn_tt_tt_1</t>
  </si>
  <si>
    <t>Star Trek </t>
  </si>
  <si>
    <t>http://www.imdb.com/title/tt0796366/?ref_=fn_tt_tt_1</t>
  </si>
  <si>
    <t>Spider-Man </t>
  </si>
  <si>
    <t>http://www.imdb.com/title/tt0145487/?ref_=fn_tt_tt_1</t>
  </si>
  <si>
    <t>Action|Adventure|Animation|Comedy|Family|Fantasy</t>
  </si>
  <si>
    <t>How to Train Your Dragon 2 </t>
  </si>
  <si>
    <t>http://www.imdb.com/title/tt1646971/?ref_=fn_tt_tt_1</t>
  </si>
  <si>
    <t>Gods of Egypt </t>
  </si>
  <si>
    <t>http://www.imdb.com/title/tt2404233/?ref_=fn_tt_tt_1</t>
  </si>
  <si>
    <t>Stealth </t>
  </si>
  <si>
    <t>http://www.imdb.com/title/tt0382992/?ref_=fn_tt_tt_1</t>
  </si>
  <si>
    <t>Action|Drama|Mystery|Sci-Fi</t>
  </si>
  <si>
    <t>Watchmen </t>
  </si>
  <si>
    <t>http://www.imdb.com/title/tt0409459/?ref_=fn_tt_tt_1</t>
  </si>
  <si>
    <t>Lethal Weapon 4 </t>
  </si>
  <si>
    <t>http://www.imdb.com/title/tt0122151/?ref_=fn_tt_tt_1</t>
  </si>
  <si>
    <t>Hulk </t>
  </si>
  <si>
    <t>http://www.imdb.com/title/tt0286716/?ref_=fn_tt_tt_1</t>
  </si>
  <si>
    <t>G.I. Joe: Retaliation </t>
  </si>
  <si>
    <t>http://www.imdb.com/title/tt1583421/?ref_=fn_tt_tt_1</t>
  </si>
  <si>
    <t>Action|Adventure|Comedy|Thriller</t>
  </si>
  <si>
    <t>Sahara </t>
  </si>
  <si>
    <t>http://www.imdb.com/title/tt0318649/?ref_=fn_tt_tt_1</t>
  </si>
  <si>
    <t>Action|Adventure|Animation|Fantasy|Romance|Sci-Fi</t>
  </si>
  <si>
    <t>Final Fantasy: The Spirits Within </t>
  </si>
  <si>
    <t>http://www.imdb.com/title/tt0173840/?ref_=fn_tt_tt_1</t>
  </si>
  <si>
    <t>Captain America: The First Avenger </t>
  </si>
  <si>
    <t>http://www.imdb.com/title/tt0458339/?ref_=fn_tt_tt_1</t>
  </si>
  <si>
    <t>The World Is Not Enough </t>
  </si>
  <si>
    <t>http://www.imdb.com/title/tt0143145/?ref_=fn_tt_tt_1</t>
  </si>
  <si>
    <t>Action|Adventure|Drama|History|War</t>
  </si>
  <si>
    <t>Master and Commander: The Far Side of the World </t>
  </si>
  <si>
    <t>http://www.imdb.com/title/tt0311113/?ref_=fn_tt_tt_1</t>
  </si>
  <si>
    <t>Adventure|Drama|Fantasy|Romance</t>
  </si>
  <si>
    <t>The Twilight Saga: Breaking Dawn - Part 2 </t>
  </si>
  <si>
    <t>http://www.imdb.com/title/tt1673434/?ref_=fn_tt_tt_1</t>
  </si>
  <si>
    <t>Animation|Comedy|Family|Musical</t>
  </si>
  <si>
    <t>Happy Feet 2 </t>
  </si>
  <si>
    <t>http://www.imdb.com/title/tt1402488/?ref_=fn_tt_tt_1</t>
  </si>
  <si>
    <t>The Incredible Hulk </t>
  </si>
  <si>
    <t>http://www.imdb.com/title/tt0800080/?ref_=fn_tt_tt_1</t>
  </si>
  <si>
    <t>Action|Crime|Drama|Mystery|Thriller</t>
  </si>
  <si>
    <t>The BFG </t>
  </si>
  <si>
    <t>http://www.imdb.com/title/tt3691740/?ref_=fn_tt_tt_1</t>
  </si>
  <si>
    <t>Adventure|Drama|Thriller|Western</t>
  </si>
  <si>
    <t>The Revenant </t>
  </si>
  <si>
    <t>http://www.imdb.com/title/tt1663202/?ref_=fn_tt_tt_1</t>
  </si>
  <si>
    <t>Turbo </t>
  </si>
  <si>
    <t>http://www.imdb.com/title/tt1860353/?ref_=fn_tt_tt_1</t>
  </si>
  <si>
    <t>Adventure|Animation|Comedy|Family|Western</t>
  </si>
  <si>
    <t>Rango </t>
  </si>
  <si>
    <t>http://www.imdb.com/title/tt1192628/?ref_=fn_tt_tt_1</t>
  </si>
  <si>
    <t>Penguins of Madagascar </t>
  </si>
  <si>
    <t>http://www.imdb.com/title/tt1911658/?ref_=fn_tt_tt_1</t>
  </si>
  <si>
    <t>Action|Mystery|Thriller</t>
  </si>
  <si>
    <t>The Bourne Ultimatum </t>
  </si>
  <si>
    <t>http://www.imdb.com/title/tt0440963/?ref_=fn_tt_tt_1</t>
  </si>
  <si>
    <t>Ant-Man </t>
  </si>
  <si>
    <t>http://www.imdb.com/title/tt0478970/?ref_=fn_tt_tt_1</t>
  </si>
  <si>
    <t>Adventure|Sci-Fi|Thriller</t>
  </si>
  <si>
    <t>The Hunger Games: Catching Fire </t>
  </si>
  <si>
    <t>http://www.imdb.com/title/tt1951264/?ref_=fn_tt_tt_1</t>
  </si>
  <si>
    <t>Adventure|Animation|Comedy|Family|Fantasy|Sci-Fi</t>
  </si>
  <si>
    <t>Home </t>
  </si>
  <si>
    <t>http://www.imdb.com/title/tt2224026/?ref_=fn_tt_tt_1</t>
  </si>
  <si>
    <t>War of the Worlds </t>
  </si>
  <si>
    <t>http://www.imdb.com/title/tt0407304/?ref_=fn_tt_tt_1</t>
  </si>
  <si>
    <t>Bad Boys II </t>
  </si>
  <si>
    <t>http://www.imdb.com/title/tt0172156/?ref_=fn_tt_tt_1</t>
  </si>
  <si>
    <t>Puss in Boots </t>
  </si>
  <si>
    <t>http://www.imdb.com/title/tt0448694/?ref_=fn_tt_tt_1</t>
  </si>
  <si>
    <t>Action|Crime|Mystery|Thriller</t>
  </si>
  <si>
    <t>Salt </t>
  </si>
  <si>
    <t>http://www.imdb.com/title/tt0944835/?ref_=fn_tt_tt_1</t>
  </si>
  <si>
    <t>Noah </t>
  </si>
  <si>
    <t>http://www.imdb.com/title/tt1959490/?ref_=fn_tt_tt_1</t>
  </si>
  <si>
    <t>Action|Adventure|Family|Mystery</t>
  </si>
  <si>
    <t>The Adventures of Tintin </t>
  </si>
  <si>
    <t>http://www.imdb.com/title/tt0983193/?ref_=fn_tt_tt_1</t>
  </si>
  <si>
    <t>Harry Potter and the Prisoner of Azkaban </t>
  </si>
  <si>
    <t>http://www.imdb.com/title/tt0304141/?ref_=fn_tt_tt_1</t>
  </si>
  <si>
    <t>Adventure|Drama|Romance|War</t>
  </si>
  <si>
    <t>Australia </t>
  </si>
  <si>
    <t>http://www.imdb.com/title/tt0455824/?ref_=fn_tt_tt_1</t>
  </si>
  <si>
    <t>After Earth </t>
  </si>
  <si>
    <t>http://www.imdb.com/title/tt1815862/?ref_=fn_tt_tt_1</t>
  </si>
  <si>
    <t>Adventure|Animation|Family|Thriller</t>
  </si>
  <si>
    <t>Dinosaur </t>
  </si>
  <si>
    <t>http://www.imdb.com/title/tt0130623/?ref_=fn_tt_tt_1</t>
  </si>
  <si>
    <t>Action|Fantasy</t>
  </si>
  <si>
    <t>Night at the Museum: Secret of the Tomb </t>
  </si>
  <si>
    <t>http://www.imdb.com/title/tt2692250/?ref_=fn_tt_tt_1</t>
  </si>
  <si>
    <t>Action|Animation|Comedy|Family|Sci-Fi</t>
  </si>
  <si>
    <t>Megamind </t>
  </si>
  <si>
    <t>http://www.imdb.com/title/tt1001526/?ref_=fn_tt_tt_1</t>
  </si>
  <si>
    <t>Harry Potter and the Sorcerer's Stone </t>
  </si>
  <si>
    <t>http://www.imdb.com/title/tt0241527/?ref_=fn_tt_tt_1</t>
  </si>
  <si>
    <t>Action|Comedy|Fantasy</t>
  </si>
  <si>
    <t>R.I.P.D. </t>
  </si>
  <si>
    <t>http://www.imdb.com/title/tt0790736/?ref_=fn_tt_tt_1</t>
  </si>
  <si>
    <t>Pirates of the Caribbean: The Curse of the Black Pearl </t>
  </si>
  <si>
    <t>http://www.imdb.com/title/tt0325980/?ref_=fn_tt_tt_1</t>
  </si>
  <si>
    <t>Fantasy</t>
  </si>
  <si>
    <t>The Hunger Games: Mockingjay - Part 1 </t>
  </si>
  <si>
    <t>http://www.imdb.com/title/tt1951265/?ref_=fn_tt_tt_1</t>
  </si>
  <si>
    <t>The Da Vinci Code </t>
  </si>
  <si>
    <t>http://www.imdb.com/title/tt0382625/?ref_=fn_tt_tt_1</t>
  </si>
  <si>
    <t>Adventure|Animation|Comedy|Family|Musical</t>
  </si>
  <si>
    <t>Rio 2 </t>
  </si>
  <si>
    <t>http://www.imdb.com/title/tt2357291/?ref_=fn_tt_tt_1</t>
  </si>
  <si>
    <t>X-Men 2 </t>
  </si>
  <si>
    <t>http://www.imdb.com/title/tt0290334/?ref_=fn_tt_tt_1</t>
  </si>
  <si>
    <t>Fast Five </t>
  </si>
  <si>
    <t>http://www.imdb.com/title/tt1596343/?ref_=fn_tt_tt_1</t>
  </si>
  <si>
    <t>Action|Adventure|Crime|Mystery|Thriller</t>
  </si>
  <si>
    <t>Sherlock Holmes: A Game of Shadows </t>
  </si>
  <si>
    <t>http://www.imdb.com/title/tt1515091/?ref_=fn_tt_tt_1</t>
  </si>
  <si>
    <t>Clash of the Titans </t>
  </si>
  <si>
    <t>http://www.imdb.com/title/tt0800320/?ref_=fn_tt_tt_1</t>
  </si>
  <si>
    <t>Total Recall </t>
  </si>
  <si>
    <t>http://www.imdb.com/title/tt0100802/?ref_=fn_tt_tt_1</t>
  </si>
  <si>
    <t>Action|Adventure|History</t>
  </si>
  <si>
    <t>The 13th Warrior </t>
  </si>
  <si>
    <t>http://www.imdb.com/title/tt0120657/?ref_=fn_tt_tt_1</t>
  </si>
  <si>
    <t>The Bourne Legacy </t>
  </si>
  <si>
    <t>http://www.imdb.com/title/tt1194173/?ref_=fn_tt_tt_1</t>
  </si>
  <si>
    <t>Action</t>
  </si>
  <si>
    <t>Batman &amp; Robin </t>
  </si>
  <si>
    <t>http://www.imdb.com/title/tt0118688/?ref_=fn_tt_tt_1</t>
  </si>
  <si>
    <t>How the Grinch Stole Christmas </t>
  </si>
  <si>
    <t>http://www.imdb.com/title/tt0170016/?ref_=fn_tt_tt_1</t>
  </si>
  <si>
    <t>The Day After Tomorrow </t>
  </si>
  <si>
    <t>http://www.imdb.com/title/tt0319262/?ref_=fn_tt_tt_1</t>
  </si>
  <si>
    <t>Mission: Impossible II </t>
  </si>
  <si>
    <t>http://www.imdb.com/title/tt0120755/?ref_=fn_tt_tt_1</t>
  </si>
  <si>
    <t>The Perfect Storm </t>
  </si>
  <si>
    <t>http://www.imdb.com/title/tt0177971/?ref_=fn_tt_tt_1</t>
  </si>
  <si>
    <t>Fantastic 4: Rise of the Silver Surfer </t>
  </si>
  <si>
    <t>http://www.imdb.com/title/tt0486576/?ref_=fn_tt_tt_1</t>
  </si>
  <si>
    <t>Adventure|Drama|Fantasy</t>
  </si>
  <si>
    <t>Life of Pi </t>
  </si>
  <si>
    <t>http://www.imdb.com/title/tt0454876/?ref_=fn_tt_tt_1</t>
  </si>
  <si>
    <t>Action|Fantasy|Thriller</t>
  </si>
  <si>
    <t>Ghost Rider </t>
  </si>
  <si>
    <t>http://www.imdb.com/title/tt0259324/?ref_=fn_tt_tt_1</t>
  </si>
  <si>
    <t>Jason Bourne </t>
  </si>
  <si>
    <t>http://www.imdb.com/title/tt4196776/?ref_=fn_tt_tt_1</t>
  </si>
  <si>
    <t>Action|Adventure|Comedy|Crime</t>
  </si>
  <si>
    <t>Charlie's Angels: Full Throttle </t>
  </si>
  <si>
    <t>http://www.imdb.com/title/tt0305357/?ref_=fn_tt_tt_1</t>
  </si>
  <si>
    <t>Adventure|Mystery|Sci-Fi</t>
  </si>
  <si>
    <t>Prometheus </t>
  </si>
  <si>
    <t>http://www.imdb.com/title/tt1446714/?ref_=fn_tt_tt_1</t>
  </si>
  <si>
    <t>Stuart Little 2 </t>
  </si>
  <si>
    <t>http://www.imdb.com/title/tt0243585/?ref_=fn_tt_tt_1</t>
  </si>
  <si>
    <t>Action|Drama|Sci-Fi|Thriller</t>
  </si>
  <si>
    <t>Elysium </t>
  </si>
  <si>
    <t>http://www.imdb.com/title/tt1535108/?ref_=fn_tt_tt_1</t>
  </si>
  <si>
    <t>The Chronicles of Riddick </t>
  </si>
  <si>
    <t>http://www.imdb.com/title/tt0296572/?ref_=fn_tt_tt_1</t>
  </si>
  <si>
    <t>Action|Crime|Sci-Fi|Thriller</t>
  </si>
  <si>
    <t>RoboCop </t>
  </si>
  <si>
    <t>http://www.imdb.com/title/tt1234721/?ref_=fn_tt_tt_1</t>
  </si>
  <si>
    <t>Action|Family|Sport</t>
  </si>
  <si>
    <t>Speed Racer </t>
  </si>
  <si>
    <t>http://www.imdb.com/title/tt0811080/?ref_=fn_tt_tt_1</t>
  </si>
  <si>
    <t>Comedy|Drama|Romance</t>
  </si>
  <si>
    <t>How Do You Know </t>
  </si>
  <si>
    <t>http://www.imdb.com/title/tt1341188/?ref_=fn_tt_tt_1</t>
  </si>
  <si>
    <t>Action|Comedy|Romance</t>
  </si>
  <si>
    <t>Knight and Day </t>
  </si>
  <si>
    <t>http://www.imdb.com/title/tt1013743/?ref_=fn_tt_tt_1</t>
  </si>
  <si>
    <t>Action|Adventure|Mystery|Sci-Fi</t>
  </si>
  <si>
    <t>Oblivion </t>
  </si>
  <si>
    <t>http://www.imdb.com/title/tt1483013/?ref_=fn_tt_tt_1</t>
  </si>
  <si>
    <t>Star Wars: Episode III - Revenge of the Sith </t>
  </si>
  <si>
    <t>http://www.imdb.com/title/tt0121766/?ref_=fn_tt_tt_1</t>
  </si>
  <si>
    <t>Star Wars: Episode II - Attack of the Clones </t>
  </si>
  <si>
    <t>http://www.imdb.com/title/tt0121765/?ref_=fn_tt_tt_1</t>
  </si>
  <si>
    <t>Monsters, Inc. </t>
  </si>
  <si>
    <t>http://www.imdb.com/title/tt0198781/?ref_=fn_tt_tt_1</t>
  </si>
  <si>
    <t>The Wolverine </t>
  </si>
  <si>
    <t>http://www.imdb.com/title/tt1430132/?ref_=fn_tt_tt_1</t>
  </si>
  <si>
    <t>Star Wars: Episode I - The Phantom Menace </t>
  </si>
  <si>
    <t>http://www.imdb.com/title/tt0120915/?ref_=fn_tt_tt_1</t>
  </si>
  <si>
    <t>The Croods </t>
  </si>
  <si>
    <t>http://www.imdb.com/title/tt0481499/?ref_=fn_tt_tt_1</t>
  </si>
  <si>
    <t>French</t>
  </si>
  <si>
    <t>France</t>
  </si>
  <si>
    <t>Action|Drama|War</t>
  </si>
  <si>
    <t>Windtalkers </t>
  </si>
  <si>
    <t>http://www.imdb.com/title/tt0245562/?ref_=fn_tt_tt_1</t>
  </si>
  <si>
    <t>The Huntsman: Winter's War </t>
  </si>
  <si>
    <t>http://www.imdb.com/title/tt2381991/?ref_=fn_tt_tt_1</t>
  </si>
  <si>
    <t>Teenage Mutant Ninja Turtles </t>
  </si>
  <si>
    <t>http://www.imdb.com/title/tt1291150/?ref_=fn_tt_tt_1</t>
  </si>
  <si>
    <t>Adventure|Drama|Sci-Fi|Thriller</t>
  </si>
  <si>
    <t>Gravity </t>
  </si>
  <si>
    <t>http://www.imdb.com/title/tt1454468/?ref_=fn_tt_tt_1</t>
  </si>
  <si>
    <t>Dante's Peak </t>
  </si>
  <si>
    <t>http://www.imdb.com/title/tt0118928/?ref_=fn_tt_tt_1</t>
  </si>
  <si>
    <t>Teenage Mutant Ninja Turtles: Out of the Shadows </t>
  </si>
  <si>
    <t>http://www.imdb.com/title/tt3949660/?ref_=fn_tt_tt_1</t>
  </si>
  <si>
    <t>Fantastic Four </t>
  </si>
  <si>
    <t>http://www.imdb.com/title/tt1502712/?ref_=fn_tt_tt_1</t>
  </si>
  <si>
    <t>Action|Adventure|Comedy|Family|Fantasy</t>
  </si>
  <si>
    <t>Night at the Museum </t>
  </si>
  <si>
    <t>http://www.imdb.com/title/tt0477347/?ref_=fn_tt_tt_1</t>
  </si>
  <si>
    <t>San Andreas </t>
  </si>
  <si>
    <t>http://www.imdb.com/title/tt2126355/?ref_=fn_tt_tt_1</t>
  </si>
  <si>
    <t>Tomorrow Never Dies </t>
  </si>
  <si>
    <t>http://www.imdb.com/title/tt0120347/?ref_=fn_tt_tt_1</t>
  </si>
  <si>
    <t>The Patriot </t>
  </si>
  <si>
    <t>http://www.imdb.com/title/tt0187393/?ref_=fn_tt_tt_1</t>
  </si>
  <si>
    <t>Crime|Thriller</t>
  </si>
  <si>
    <t>Ocean's Twelve </t>
  </si>
  <si>
    <t>http://www.imdb.com/title/tt0349903/?ref_=fn_tt_tt_1</t>
  </si>
  <si>
    <t>Action|Comedy|Crime|Romance|Thriller</t>
  </si>
  <si>
    <t>Mr. &amp; Mrs. Smith </t>
  </si>
  <si>
    <t>http://www.imdb.com/title/tt0356910/?ref_=fn_tt_tt_1</t>
  </si>
  <si>
    <t>Insurgent </t>
  </si>
  <si>
    <t>http://www.imdb.com/title/tt2908446/?ref_=fn_tt_tt_1</t>
  </si>
  <si>
    <t>Biography|Drama</t>
  </si>
  <si>
    <t>The Aviator </t>
  </si>
  <si>
    <t>http://www.imdb.com/title/tt0338751/?ref_=fn_tt_tt_1</t>
  </si>
  <si>
    <t>Gulliver's Travels </t>
  </si>
  <si>
    <t>http://www.imdb.com/title/tt1320261/?ref_=fn_tt_tt_1</t>
  </si>
  <si>
    <t>Action|Comedy|Crime|Sci-Fi|Thriller</t>
  </si>
  <si>
    <t>The Green Hornet </t>
  </si>
  <si>
    <t>http://www.imdb.com/title/tt0990407/?ref_=fn_tt_tt_1</t>
  </si>
  <si>
    <t>Action|Drama|Fantasy|War</t>
  </si>
  <si>
    <t>300: Rise of an Empire </t>
  </si>
  <si>
    <t>http://www.imdb.com/title/tt1253863/?ref_=fn_tt_tt_1</t>
  </si>
  <si>
    <t>The Smurfs </t>
  </si>
  <si>
    <t>http://www.imdb.com/title/tt0472181/?ref_=fn_tt_tt_1</t>
  </si>
  <si>
    <t>Animation|Comedy|Family|Music|Western</t>
  </si>
  <si>
    <t>Home on the Range </t>
  </si>
  <si>
    <t>http://www.imdb.com/title/tt0299172/?ref_=fn_tt_tt_1</t>
  </si>
  <si>
    <t>Action|Adventure|Mystery|Sci-Fi|Thriller</t>
  </si>
  <si>
    <t>Allegiant </t>
  </si>
  <si>
    <t>http://www.imdb.com/title/tt3410834/?ref_=fn_tt_tt_1</t>
  </si>
  <si>
    <t>Action|Drama|Sci-Fi|Sport</t>
  </si>
  <si>
    <t>Real Steel </t>
  </si>
  <si>
    <t>http://www.imdb.com/title/tt0433035/?ref_=fn_tt_tt_1</t>
  </si>
  <si>
    <t>The Smurfs 2 </t>
  </si>
  <si>
    <t>http://www.imdb.com/title/tt2017020/?ref_=fn_tt_tt_1</t>
  </si>
  <si>
    <t>Action|Crime|Romance|Thriller</t>
  </si>
  <si>
    <t>Speed 2: Cruise Control </t>
  </si>
  <si>
    <t>http://www.imdb.com/title/tt0120179/?ref_=fn_tt_tt_1</t>
  </si>
  <si>
    <t>Ender's Game </t>
  </si>
  <si>
    <t>http://www.imdb.com/title/tt1731141/?ref_=fn_tt_tt_1</t>
  </si>
  <si>
    <t>Live Free or Die Hard </t>
  </si>
  <si>
    <t>http://www.imdb.com/title/tt0337978/?ref_=fn_tt_tt_1</t>
  </si>
  <si>
    <t>The Lord of the Rings: The Fellowship of the Ring </t>
  </si>
  <si>
    <t>http://www.imdb.com/title/tt0120737/?ref_=fn_tt_tt_1</t>
  </si>
  <si>
    <t>Action|Adventure|Comedy</t>
  </si>
  <si>
    <t>Around the World in 80 Days </t>
  </si>
  <si>
    <t>http://www.imdb.com/title/tt0327437/?ref_=fn_tt_tt_1</t>
  </si>
  <si>
    <t>Biography|Drama|Sport</t>
  </si>
  <si>
    <t>Ali </t>
  </si>
  <si>
    <t>http://www.imdb.com/title/tt0248667/?ref_=fn_tt_tt_1</t>
  </si>
  <si>
    <t>Action|Mystery|Sci-Fi|Thriller</t>
  </si>
  <si>
    <t>I, Robot </t>
  </si>
  <si>
    <t>http://www.imdb.com/title/tt0343818/?ref_=fn_tt_tt_1</t>
  </si>
  <si>
    <t>Kingdom of Heaven </t>
  </si>
  <si>
    <t>http://www.imdb.com/title/tt0320661/?ref_=fn_tt_tt_1</t>
  </si>
  <si>
    <t>Stuart Little </t>
  </si>
  <si>
    <t>http://www.imdb.com/title/tt0164912/?ref_=fn_tt_tt_1</t>
  </si>
  <si>
    <t>Animation|Family|Fantasy|Musical|Romance</t>
  </si>
  <si>
    <t>The Princess and the Frog </t>
  </si>
  <si>
    <t>http://www.imdb.com/title/tt0780521/?ref_=fn_tt_tt_1</t>
  </si>
  <si>
    <t>The Martian </t>
  </si>
  <si>
    <t>http://www.imdb.com/title/tt3659388/?ref_=fn_tt_tt_1</t>
  </si>
  <si>
    <t>Comedy</t>
  </si>
  <si>
    <t>Action|Adventure|Romance|Sci-Fi|Thriller</t>
  </si>
  <si>
    <t>The Island </t>
  </si>
  <si>
    <t>http://www.imdb.com/title/tt0399201/?ref_=fn_tt_tt_1</t>
  </si>
  <si>
    <t>Comedy|Romance</t>
  </si>
  <si>
    <t>Town &amp; Country </t>
  </si>
  <si>
    <t>http://www.imdb.com/title/tt0141907/?ref_=fn_tt_tt_1</t>
  </si>
  <si>
    <t>New Line</t>
  </si>
  <si>
    <t>Gone in Sixty Seconds </t>
  </si>
  <si>
    <t>http://www.imdb.com/title/tt0187078/?ref_=fn_tt_tt_1</t>
  </si>
  <si>
    <t>Action|Drama|Romance</t>
  </si>
  <si>
    <t>Gladiator </t>
  </si>
  <si>
    <t>http://www.imdb.com/title/tt0172495/?ref_=fn_tt_tt_1</t>
  </si>
  <si>
    <t>Minority Report </t>
  </si>
  <si>
    <t>http://www.imdb.com/title/tt0181689/?ref_=fn_tt_tt_1</t>
  </si>
  <si>
    <t>Harry Potter and the Chamber of Secrets </t>
  </si>
  <si>
    <t>http://www.imdb.com/title/tt0295297/?ref_=fn_tt_tt_1</t>
  </si>
  <si>
    <t>Casino Royale </t>
  </si>
  <si>
    <t>http://www.imdb.com/title/tt0381061/?ref_=fn_tt_tt_1</t>
  </si>
  <si>
    <t>Planet of the Apes </t>
  </si>
  <si>
    <t>http://www.imdb.com/title/tt0133152/?ref_=fn_tt_tt_1</t>
  </si>
  <si>
    <t>Terminator 2: Judgment Day </t>
  </si>
  <si>
    <t>http://www.imdb.com/title/tt0103064/?ref_=fn_tt_tt_1</t>
  </si>
  <si>
    <t>Biography|Crime|Drama|History|Romance</t>
  </si>
  <si>
    <t>Public Enemies </t>
  </si>
  <si>
    <t>http://www.imdb.com/title/tt1152836/?ref_=fn_tt_tt_1</t>
  </si>
  <si>
    <t>Biography|Crime|Drama</t>
  </si>
  <si>
    <t>American Gangster </t>
  </si>
  <si>
    <t>http://www.imdb.com/title/tt0765429/?ref_=fn_tt_tt_1</t>
  </si>
  <si>
    <t>Action|Comedy|Thriller</t>
  </si>
  <si>
    <t>True Lies </t>
  </si>
  <si>
    <t>http://www.imdb.com/title/tt0111503/?ref_=fn_tt_tt_1</t>
  </si>
  <si>
    <t>The Taking of Pelham 1 2 3 </t>
  </si>
  <si>
    <t>http://www.imdb.com/title/tt1111422/?ref_=fn_tt_tt_1</t>
  </si>
  <si>
    <t>Little Fockers </t>
  </si>
  <si>
    <t>http://www.imdb.com/title/tt0970866/?ref_=fn_tt_tt_1</t>
  </si>
  <si>
    <t>Action|Comedy|Crime</t>
  </si>
  <si>
    <t>The Other Guys </t>
  </si>
  <si>
    <t>http://www.imdb.com/title/tt1386588/?ref_=fn_tt_tt_1</t>
  </si>
  <si>
    <t>Action|Drama|Mystery|Thriller</t>
  </si>
  <si>
    <t>Eraser </t>
  </si>
  <si>
    <t>http://www.imdb.com/title/tt0116213/?ref_=fn_tt_tt_1</t>
  </si>
  <si>
    <t>Drama|Western</t>
  </si>
  <si>
    <t>Django Unchained </t>
  </si>
  <si>
    <t>http://www.imdb.com/title/tt1853728/?ref_=fn_tt_tt_1</t>
  </si>
  <si>
    <t>Animation|Drama|Family|Musical|Romance</t>
  </si>
  <si>
    <t>The Hunchback of Notre Dame </t>
  </si>
  <si>
    <t>http://www.imdb.com/title/tt0116583/?ref_=fn_tt_tt_1</t>
  </si>
  <si>
    <t>The Emperor's New Groove </t>
  </si>
  <si>
    <t>http://www.imdb.com/title/tt0120917/?ref_=fn_tt_tt_1</t>
  </si>
  <si>
    <t>The Expendables 2 </t>
  </si>
  <si>
    <t>http://www.imdb.com/title/tt1764651/?ref_=fn_tt_tt_1</t>
  </si>
  <si>
    <t>Action|Adventure|Comedy|Family|Mystery</t>
  </si>
  <si>
    <t>National Treasure </t>
  </si>
  <si>
    <t>http://www.imdb.com/title/tt0368891/?ref_=fn_tt_tt_1</t>
  </si>
  <si>
    <t>Eragon </t>
  </si>
  <si>
    <t>http://www.imdb.com/title/tt0449010/?ref_=fn_tt_tt_1</t>
  </si>
  <si>
    <t>Where the Wild Things Are </t>
  </si>
  <si>
    <t>http://www.imdb.com/title/tt0386117/?ref_=fn_tt_tt_1</t>
  </si>
  <si>
    <t>Epic </t>
  </si>
  <si>
    <t>http://www.imdb.com/title/tt0848537/?ref_=fn_tt_tt_1</t>
  </si>
  <si>
    <t>Action|Romance|Thriller</t>
  </si>
  <si>
    <t>The Tourist </t>
  </si>
  <si>
    <t>http://www.imdb.com/title/tt1243957/?ref_=fn_tt_tt_1</t>
  </si>
  <si>
    <t>Action|Fantasy|Horror|Mystery</t>
  </si>
  <si>
    <t>End of Days </t>
  </si>
  <si>
    <t>http://www.imdb.com/title/tt0146675/?ref_=fn_tt_tt_1</t>
  </si>
  <si>
    <t>Adventure|Drama|Thriller</t>
  </si>
  <si>
    <t>Blood Diamond </t>
  </si>
  <si>
    <t>http://www.imdb.com/title/tt0450259/?ref_=fn_tt_tt_1</t>
  </si>
  <si>
    <t>Biography|Comedy|Crime|Drama</t>
  </si>
  <si>
    <t>The Wolf of Wall Street </t>
  </si>
  <si>
    <t>http://www.imdb.com/title/tt0993846/?ref_=fn_tt_tt_1</t>
  </si>
  <si>
    <t>Batman Forever </t>
  </si>
  <si>
    <t>http://www.imdb.com/title/tt0112462/?ref_=fn_tt_tt_1</t>
  </si>
  <si>
    <t>Action|Sci-Fi|War</t>
  </si>
  <si>
    <t>Starship Troopers </t>
  </si>
  <si>
    <t>http://www.imdb.com/title/tt0120201/?ref_=fn_tt_tt_1</t>
  </si>
  <si>
    <t>Drama|Sci-Fi</t>
  </si>
  <si>
    <t>Cloud Atlas </t>
  </si>
  <si>
    <t>http://www.imdb.com/title/tt1371111/?ref_=fn_tt_tt_1</t>
  </si>
  <si>
    <t>Action|Adventure|Animation|Family|Fantasy</t>
  </si>
  <si>
    <t>Legend of the Guardians: The Owls of Ga'Hoole </t>
  </si>
  <si>
    <t>http://www.imdb.com/title/tt1219342/?ref_=fn_tt_tt_1</t>
  </si>
  <si>
    <t>Action|Crime|Fantasy|Romance|Thriller</t>
  </si>
  <si>
    <t>Catwoman </t>
  </si>
  <si>
    <t>http://www.imdb.com/title/tt0327554/?ref_=fn_tt_tt_1</t>
  </si>
  <si>
    <t>Hercules </t>
  </si>
  <si>
    <t>http://www.imdb.com/title/tt1267297/?ref_=fn_tt_tt_1</t>
  </si>
  <si>
    <t>Treasure Planet </t>
  </si>
  <si>
    <t>http://www.imdb.com/title/tt0133240/?ref_=fn_tt_tt_1</t>
  </si>
  <si>
    <t>Adventure|Comedy|Sci-Fi</t>
  </si>
  <si>
    <t>Land of the Lost </t>
  </si>
  <si>
    <t>http://www.imdb.com/title/tt0457400/?ref_=fn_tt_tt_1</t>
  </si>
  <si>
    <t>The Expendables 3 </t>
  </si>
  <si>
    <t>http://www.imdb.com/title/tt2333784/?ref_=fn_tt_tt_1</t>
  </si>
  <si>
    <t>Action|Crime|Sport|Thriller</t>
  </si>
  <si>
    <t>Point Break </t>
  </si>
  <si>
    <t>http://www.imdb.com/title/tt2058673/?ref_=fn_tt_tt_1</t>
  </si>
  <si>
    <t>Son of the Mask </t>
  </si>
  <si>
    <t>http://www.imdb.com/title/tt0362165/?ref_=fn_tt_tt_1</t>
  </si>
  <si>
    <t>Action|Adventure|Biography|Drama|History|Thriller</t>
  </si>
  <si>
    <t>In the Heart of the Sea </t>
  </si>
  <si>
    <t>http://www.imdb.com/title/tt1390411/?ref_=fn_tt_tt_1</t>
  </si>
  <si>
    <t>Action|Comedy|Sci-Fi</t>
  </si>
  <si>
    <t>The Adventures of Pluto Nash </t>
  </si>
  <si>
    <t>http://www.imdb.com/title/tt0180052/?ref_=fn_tt_tt_1</t>
  </si>
  <si>
    <t>Action|Drama|Thriller|War</t>
  </si>
  <si>
    <t>Green Zone </t>
  </si>
  <si>
    <t>http://www.imdb.com/title/tt0947810/?ref_=fn_tt_tt_1</t>
  </si>
  <si>
    <t>The Peanuts Movie </t>
  </si>
  <si>
    <t>http://www.imdb.com/title/tt2452042/?ref_=fn_tt_tt_1</t>
  </si>
  <si>
    <t>Drama|Mystery|Thriller</t>
  </si>
  <si>
    <t>The Spanish Prisoner </t>
  </si>
  <si>
    <t>http://www.imdb.com/title/tt0120176/?ref_=fn_tt_tt_1</t>
  </si>
  <si>
    <t>Action|Adventure|Fantasy|Thriller</t>
  </si>
  <si>
    <t>The Mummy Returns </t>
  </si>
  <si>
    <t>http://www.imdb.com/title/tt0209163/?ref_=fn_tt_tt_1</t>
  </si>
  <si>
    <t>Crime|Drama</t>
  </si>
  <si>
    <t>Gangs of New York </t>
  </si>
  <si>
    <t>http://www.imdb.com/title/tt0217505/?ref_=fn_tt_tt_1</t>
  </si>
  <si>
    <t>Drama|History|Romance|War</t>
  </si>
  <si>
    <t>The Flowers of War </t>
  </si>
  <si>
    <t>http://www.imdb.com/title/tt1410063/?ref_=fn_tt_tt_1</t>
  </si>
  <si>
    <t>Mandarin</t>
  </si>
  <si>
    <t>Animation|Comedy|Family|Sport</t>
  </si>
  <si>
    <t>Surf's Up </t>
  </si>
  <si>
    <t>http://www.imdb.com/title/tt0423294/?ref_=fn_tt_tt_1</t>
  </si>
  <si>
    <t>Comedy|Sci-Fi|Thriller</t>
  </si>
  <si>
    <t>The Stepford Wives </t>
  </si>
  <si>
    <t>http://www.imdb.com/title/tt0327162/?ref_=fn_tt_tt_1</t>
  </si>
  <si>
    <t>Drama|History|War</t>
  </si>
  <si>
    <t>Black Hawk Down </t>
  </si>
  <si>
    <t>http://www.imdb.com/title/tt0265086/?ref_=fn_tt_tt_1</t>
  </si>
  <si>
    <t>The Campaign </t>
  </si>
  <si>
    <t>http://www.imdb.com/title/tt1790886/?ref_=fn_tt_tt_1</t>
  </si>
  <si>
    <t>The Fifth Element </t>
  </si>
  <si>
    <t>http://www.imdb.com/title/tt0119116/?ref_=fn_tt_tt_1</t>
  </si>
  <si>
    <t>Sex and the City 2 </t>
  </si>
  <si>
    <t>http://www.imdb.com/title/tt1261945/?ref_=fn_tt_tt_1</t>
  </si>
  <si>
    <t>Adventure|Animation|Comedy|Family|Romance</t>
  </si>
  <si>
    <t>The Road to El Dorado </t>
  </si>
  <si>
    <t>http://www.imdb.com/title/tt0138749/?ref_=fn_tt_tt_1</t>
  </si>
  <si>
    <t>Ice Age: Continental Drift </t>
  </si>
  <si>
    <t>http://www.imdb.com/title/tt1667889/?ref_=fn_tt_tt_1</t>
  </si>
  <si>
    <t>Drama|Family|Fantasy|Romance</t>
  </si>
  <si>
    <t>Cinderella </t>
  </si>
  <si>
    <t>http://www.imdb.com/title/tt1661199/?ref_=fn_tt_tt_1</t>
  </si>
  <si>
    <t>Drama|Fantasy|Thriller</t>
  </si>
  <si>
    <t>The Lovely Bones </t>
  </si>
  <si>
    <t>http://www.imdb.com/title/tt0380510/?ref_=fn_tt_tt_1</t>
  </si>
  <si>
    <t>Finding Nemo </t>
  </si>
  <si>
    <t>http://www.imdb.com/title/tt0266543/?ref_=fn_tt_tt_1</t>
  </si>
  <si>
    <t>The Lord of the Rings: The Return of the King </t>
  </si>
  <si>
    <t>http://www.imdb.com/title/tt0167260/?ref_=fn_tt_tt_1</t>
  </si>
  <si>
    <t>The Lord of the Rings: The Two Towers </t>
  </si>
  <si>
    <t>http://www.imdb.com/title/tt0167261/?ref_=fn_tt_tt_1</t>
  </si>
  <si>
    <t>Seventh Son </t>
  </si>
  <si>
    <t>http://www.imdb.com/title/tt1121096/?ref_=fn_tt_tt_1</t>
  </si>
  <si>
    <t>Lara Croft: Tomb Raider </t>
  </si>
  <si>
    <t>http://www.imdb.com/title/tt0146316/?ref_=fn_tt_tt_1</t>
  </si>
  <si>
    <t>Drama|Mystery|Romance|Sci-Fi|Thriller</t>
  </si>
  <si>
    <t>Transcendence </t>
  </si>
  <si>
    <t>http://www.imdb.com/title/tt2209764/?ref_=fn_tt_tt_1</t>
  </si>
  <si>
    <t>Jurassic Park III </t>
  </si>
  <si>
    <t>http://www.imdb.com/title/tt0163025/?ref_=fn_tt_tt_1</t>
  </si>
  <si>
    <t>Rise of the Planet of the Apes </t>
  </si>
  <si>
    <t>http://www.imdb.com/title/tt1318514/?ref_=fn_tt_tt_1</t>
  </si>
  <si>
    <t>The Spiderwick Chronicles </t>
  </si>
  <si>
    <t>http://www.imdb.com/title/tt0416236/?ref_=fn_tt_tt_1</t>
  </si>
  <si>
    <t>A Good Day to Die Hard </t>
  </si>
  <si>
    <t>http://www.imdb.com/title/tt1606378/?ref_=fn_tt_tt_1</t>
  </si>
  <si>
    <t>Drama|History|War|Western</t>
  </si>
  <si>
    <t>The Alamo </t>
  </si>
  <si>
    <t>http://www.imdb.com/title/tt0318974/?ref_=fn_tt_tt_1</t>
  </si>
  <si>
    <t>Action|Adventure|Animation|Family</t>
  </si>
  <si>
    <t>The Incredibles </t>
  </si>
  <si>
    <t>http://www.imdb.com/title/tt0317705/?ref_=fn_tt_tt_1</t>
  </si>
  <si>
    <t>Cutthroat Island </t>
  </si>
  <si>
    <t>http://www.imdb.com/title/tt0112760/?ref_=fn_tt_tt_1</t>
  </si>
  <si>
    <t>Percy Jackson &amp; the Olympians: The Lightning Thief </t>
  </si>
  <si>
    <t>http://www.imdb.com/title/tt0814255/?ref_=fn_tt_tt_1</t>
  </si>
  <si>
    <t>Adventure|Comedy|Family|Mystery|Sci-Fi</t>
  </si>
  <si>
    <t>Men in Black </t>
  </si>
  <si>
    <t>http://www.imdb.com/title/tt0119654/?ref_=fn_tt_tt_1</t>
  </si>
  <si>
    <t>Toy Story 2 </t>
  </si>
  <si>
    <t>http://www.imdb.com/title/tt0120363/?ref_=fn_tt_tt_1</t>
  </si>
  <si>
    <t>Unstoppable </t>
  </si>
  <si>
    <t>http://www.imdb.com/title/tt0477080/?ref_=fn_tt_tt_1</t>
  </si>
  <si>
    <t>Rush Hour 2 </t>
  </si>
  <si>
    <t>http://www.imdb.com/title/tt0266915/?ref_=fn_tt_tt_1</t>
  </si>
  <si>
    <t>Drama|Fantasy|Horror|Mystery|Thriller</t>
  </si>
  <si>
    <t>What Lies Beneath </t>
  </si>
  <si>
    <t>http://www.imdb.com/title/tt0161081/?ref_=fn_tt_tt_1</t>
  </si>
  <si>
    <t>Animation|Comedy|Family|Sci-Fi</t>
  </si>
  <si>
    <t>Cloudy with a Chance of Meatballs </t>
  </si>
  <si>
    <t>http://www.imdb.com/title/tt0844471/?ref_=fn_tt_tt_1</t>
  </si>
  <si>
    <t>Ice Age: Dawn of the Dinosaurs </t>
  </si>
  <si>
    <t>http://www.imdb.com/title/tt1080016/?ref_=fn_tt_tt_1</t>
  </si>
  <si>
    <t>Adventure|Comedy|Drama|Fantasy|Romance</t>
  </si>
  <si>
    <t>The Secret Life of Walter Mitty </t>
  </si>
  <si>
    <t>http://www.imdb.com/title/tt0359950/?ref_=fn_tt_tt_1</t>
  </si>
  <si>
    <t>Action|Adventure|Comedy|Crime|Thriller</t>
  </si>
  <si>
    <t>Charlie's Angels </t>
  </si>
  <si>
    <t>http://www.imdb.com/title/tt0160127/?ref_=fn_tt_tt_1</t>
  </si>
  <si>
    <t>Crime|Drama|Thriller</t>
  </si>
  <si>
    <t>The Departed </t>
  </si>
  <si>
    <t>http://www.imdb.com/title/tt0407887/?ref_=fn_tt_tt_1</t>
  </si>
  <si>
    <t>Adventure|Animation|Family|Fantasy|Musical|War</t>
  </si>
  <si>
    <t>Mulan </t>
  </si>
  <si>
    <t>http://www.imdb.com/title/tt0120762/?ref_=fn_tt_tt_1</t>
  </si>
  <si>
    <t>Action|Comedy</t>
  </si>
  <si>
    <t>Tropic Thunder </t>
  </si>
  <si>
    <t>http://www.imdb.com/title/tt0942385/?ref_=fn_tt_tt_1</t>
  </si>
  <si>
    <t>Crime|Drama|Mystery|Thriller</t>
  </si>
  <si>
    <t>The Girl with the Dragon Tattoo </t>
  </si>
  <si>
    <t>http://www.imdb.com/title/tt1568346/?ref_=fn_tt_tt_1</t>
  </si>
  <si>
    <t>Die Hard with a Vengeance </t>
  </si>
  <si>
    <t>http://www.imdb.com/title/tt0112864/?ref_=fn_tt_tt_1</t>
  </si>
  <si>
    <t>Sherlock Holmes </t>
  </si>
  <si>
    <t>http://www.imdb.com/title/tt0988045/?ref_=fn_tt_tt_1</t>
  </si>
  <si>
    <t>Adventure|Drama|History</t>
  </si>
  <si>
    <t>Action|Adventure|Animation|Family|Fantasy|Sci-Fi</t>
  </si>
  <si>
    <t>Atlantis: The Lost Empire </t>
  </si>
  <si>
    <t>http://www.imdb.com/title/tt0230011/?ref_=fn_tt_tt_1</t>
  </si>
  <si>
    <t>Adventure|Animation|Comedy|Family|Fantasy|Music</t>
  </si>
  <si>
    <t>Alvin and the Chipmunks: The Road Chip </t>
  </si>
  <si>
    <t>http://www.imdb.com/title/tt2974918/?ref_=fn_tt_tt_1</t>
  </si>
  <si>
    <t>Drama|History|Thriller|War</t>
  </si>
  <si>
    <t>Valkyrie </t>
  </si>
  <si>
    <t>http://www.imdb.com/title/tt0985699/?ref_=fn_tt_tt_1</t>
  </si>
  <si>
    <t>You Don't Mess with the Zohan </t>
  </si>
  <si>
    <t>http://www.imdb.com/title/tt0960144/?ref_=fn_tt_tt_1</t>
  </si>
  <si>
    <t>Action|Animation|Comedy|Sci-Fi</t>
  </si>
  <si>
    <t>Pixels </t>
  </si>
  <si>
    <t>http://www.imdb.com/title/tt2120120/?ref_=fn_tt_tt_1</t>
  </si>
  <si>
    <t>A.I. Artificial Intelligence </t>
  </si>
  <si>
    <t>http://www.imdb.com/title/tt0212720/?ref_=fn_tt_tt_1</t>
  </si>
  <si>
    <t>Comedy|Family|Fantasy|Horror|Mystery</t>
  </si>
  <si>
    <t>The Haunted Mansion </t>
  </si>
  <si>
    <t>http://www.imdb.com/title/tt0338094/?ref_=fn_tt_tt_1</t>
  </si>
  <si>
    <t>Drama|Mystery|Sci-Fi|Thriller</t>
  </si>
  <si>
    <t>Contact </t>
  </si>
  <si>
    <t>http://www.imdb.com/title/tt0118884/?ref_=fn_tt_tt_1</t>
  </si>
  <si>
    <t>Action|Horror|Sci-Fi|Thriller</t>
  </si>
  <si>
    <t>Hollow Man </t>
  </si>
  <si>
    <t>http://www.imdb.com/title/tt0164052/?ref_=fn_tt_tt_1</t>
  </si>
  <si>
    <t>Crime|Mystery|Thriller</t>
  </si>
  <si>
    <t>The Interpreter </t>
  </si>
  <si>
    <t>http://www.imdb.com/title/tt0373926/?ref_=fn_tt_tt_1</t>
  </si>
  <si>
    <t>Aboriginal</t>
  </si>
  <si>
    <t>Percy Jackson: Sea of Monsters </t>
  </si>
  <si>
    <t>http://www.imdb.com/title/tt1854564/?ref_=fn_tt_tt_1</t>
  </si>
  <si>
    <t>Lara Croft Tomb Raider: The Cradle of Life </t>
  </si>
  <si>
    <t>http://www.imdb.com/title/tt0325703/?ref_=fn_tt_tt_1</t>
  </si>
  <si>
    <t>Action|Adventure|Comedy|Crime|Mystery|Thriller</t>
  </si>
  <si>
    <t>Now You See Me 2 </t>
  </si>
  <si>
    <t>http://www.imdb.com/title/tt3110958/?ref_=fn_tt_tt_1</t>
  </si>
  <si>
    <t>The Saint </t>
  </si>
  <si>
    <t>http://www.imdb.com/title/tt0120053/?ref_=fn_tt_tt_1</t>
  </si>
  <si>
    <t>Spy Game </t>
  </si>
  <si>
    <t>http://www.imdb.com/title/tt0266987/?ref_=fn_tt_tt_1</t>
  </si>
  <si>
    <t>Mission to Mars </t>
  </si>
  <si>
    <t>http://www.imdb.com/title/tt0183523/?ref_=fn_tt_tt_1</t>
  </si>
  <si>
    <t>Rio </t>
  </si>
  <si>
    <t>http://www.imdb.com/title/tt1436562/?ref_=fn_tt_tt_1</t>
  </si>
  <si>
    <t>Comedy|Drama|Sci-Fi</t>
  </si>
  <si>
    <t>Bicentennial Man </t>
  </si>
  <si>
    <t>http://www.imdb.com/title/tt0182789/?ref_=fn_tt_tt_1</t>
  </si>
  <si>
    <t>Volcano </t>
  </si>
  <si>
    <t>http://www.imdb.com/title/tt0120461/?ref_=fn_tt_tt_1</t>
  </si>
  <si>
    <t>The Devil's Own </t>
  </si>
  <si>
    <t>http://www.imdb.com/title/tt0118972/?ref_=fn_tt_tt_1</t>
  </si>
  <si>
    <t>K-19: The Widowmaker </t>
  </si>
  <si>
    <t>http://www.imdb.com/title/tt0267626/?ref_=fn_tt_tt_1</t>
  </si>
  <si>
    <t>Conan the Barbarian </t>
  </si>
  <si>
    <t>http://www.imdb.com/title/tt0082198/?ref_=fn_tt_tt_1</t>
  </si>
  <si>
    <t>Cinderella Man </t>
  </si>
  <si>
    <t>http://www.imdb.com/title/tt0352248/?ref_=fn_tt_tt_1</t>
  </si>
  <si>
    <t>Action|Family|Fantasy|Musical</t>
  </si>
  <si>
    <t>The Nutcracker in 3D </t>
  </si>
  <si>
    <t>http://www.imdb.com/title/tt1041804/?ref_=fn_tt_tt_1</t>
  </si>
  <si>
    <t>Drama|History|Sport</t>
  </si>
  <si>
    <t>Seabiscuit </t>
  </si>
  <si>
    <t>http://www.imdb.com/title/tt0329575/?ref_=fn_tt_tt_1</t>
  </si>
  <si>
    <t>Twister </t>
  </si>
  <si>
    <t>http://www.imdb.com/title/tt0117998/?ref_=fn_tt_tt_1</t>
  </si>
  <si>
    <t>Adventure|Drama|Romance</t>
  </si>
  <si>
    <t>Cast Away </t>
  </si>
  <si>
    <t>http://www.imdb.com/title/tt0162222/?ref_=fn_tt_tt_1</t>
  </si>
  <si>
    <t>Animation|Comedy|Family|Music|Romance</t>
  </si>
  <si>
    <t>Happy Feet </t>
  </si>
  <si>
    <t>http://www.imdb.com/title/tt0366548/?ref_=fn_tt_tt_1</t>
  </si>
  <si>
    <t>The Bourne Supremacy </t>
  </si>
  <si>
    <t>http://www.imdb.com/title/tt0372183/?ref_=fn_tt_tt_1</t>
  </si>
  <si>
    <t>Air Force One </t>
  </si>
  <si>
    <t>http://www.imdb.com/title/tt0118571/?ref_=fn_tt_tt_1</t>
  </si>
  <si>
    <t>Ocean's Eleven </t>
  </si>
  <si>
    <t>http://www.imdb.com/title/tt0240772/?ref_=fn_tt_tt_1</t>
  </si>
  <si>
    <t>The Three Musketeers </t>
  </si>
  <si>
    <t>http://www.imdb.com/title/tt1509767/?ref_=fn_tt_tt_1</t>
  </si>
  <si>
    <t>Hotel Transylvania </t>
  </si>
  <si>
    <t>http://www.imdb.com/title/tt0837562/?ref_=fn_tt_tt_1</t>
  </si>
  <si>
    <t>Animation|Comedy|Family|Fantasy|Musical|Romance</t>
  </si>
  <si>
    <t>Enchanted </t>
  </si>
  <si>
    <t>http://www.imdb.com/title/tt0461770/?ref_=fn_tt_tt_1</t>
  </si>
  <si>
    <t>Safe House </t>
  </si>
  <si>
    <t>http://www.imdb.com/title/tt1599348/?ref_=fn_tt_tt_1</t>
  </si>
  <si>
    <t>Adventure|Comedy|Family</t>
  </si>
  <si>
    <t>102 Dalmatians </t>
  </si>
  <si>
    <t>http://www.imdb.com/title/tt0211181/?ref_=fn_tt_tt_1</t>
  </si>
  <si>
    <t>Tower Heist </t>
  </si>
  <si>
    <t>http://www.imdb.com/title/tt0471042/?ref_=fn_tt_tt_1</t>
  </si>
  <si>
    <t>The Holiday </t>
  </si>
  <si>
    <t>http://www.imdb.com/title/tt0457939/?ref_=fn_tt_tt_1</t>
  </si>
  <si>
    <t>Enemy of the State </t>
  </si>
  <si>
    <t>http://www.imdb.com/title/tt0120660/?ref_=fn_tt_tt_1</t>
  </si>
  <si>
    <t>It's Complicated </t>
  </si>
  <si>
    <t>http://www.imdb.com/title/tt1230414/?ref_=fn_tt_tt_1</t>
  </si>
  <si>
    <t>Ocean's Thirteen </t>
  </si>
  <si>
    <t>http://www.imdb.com/title/tt0496806/?ref_=fn_tt_tt_1</t>
  </si>
  <si>
    <t>Open Season </t>
  </si>
  <si>
    <t>http://www.imdb.com/title/tt0400717/?ref_=fn_tt_tt_1</t>
  </si>
  <si>
    <t>Divergent </t>
  </si>
  <si>
    <t>http://www.imdb.com/title/tt1840309/?ref_=fn_tt_tt_1</t>
  </si>
  <si>
    <t>Enemy at the Gates </t>
  </si>
  <si>
    <t>http://www.imdb.com/title/tt0215750/?ref_=fn_tt_tt_1</t>
  </si>
  <si>
    <t>The Rundown </t>
  </si>
  <si>
    <t>http://www.imdb.com/title/tt0327850/?ref_=fn_tt_tt_1</t>
  </si>
  <si>
    <t>Action|Adventure|Comedy|Fantasy</t>
  </si>
  <si>
    <t>Last Action Hero </t>
  </si>
  <si>
    <t>http://www.imdb.com/title/tt0107362/?ref_=fn_tt_tt_1</t>
  </si>
  <si>
    <t>Memoirs of a Geisha </t>
  </si>
  <si>
    <t>http://www.imdb.com/title/tt0397535/?ref_=fn_tt_tt_1</t>
  </si>
  <si>
    <t>The Fast and the Furious: Tokyo Drift </t>
  </si>
  <si>
    <t>http://www.imdb.com/title/tt0463985/?ref_=fn_tt_tt_1</t>
  </si>
  <si>
    <t>Arthur Christmas </t>
  </si>
  <si>
    <t>http://www.imdb.com/title/tt1430607/?ref_=fn_tt_tt_1</t>
  </si>
  <si>
    <t>Meet Joe Black </t>
  </si>
  <si>
    <t>http://www.imdb.com/title/tt0119643/?ref_=fn_tt_tt_1</t>
  </si>
  <si>
    <t>Collateral Damage </t>
  </si>
  <si>
    <t>http://www.imdb.com/title/tt0233469/?ref_=fn_tt_tt_1</t>
  </si>
  <si>
    <t>Comedy|Drama|Music|Musical</t>
  </si>
  <si>
    <t>Adventure|Comedy|Drama|Family|Fantasy</t>
  </si>
  <si>
    <t>Mirror Mirror </t>
  </si>
  <si>
    <t>http://www.imdb.com/title/tt1667353/?ref_=fn_tt_tt_1</t>
  </si>
  <si>
    <t>The Core </t>
  </si>
  <si>
    <t>http://www.imdb.com/title/tt0298814/?ref_=fn_tt_tt_1</t>
  </si>
  <si>
    <t>Comedy|Romance|Sci-Fi</t>
  </si>
  <si>
    <t>Nutty Professor II: The Klumps </t>
  </si>
  <si>
    <t>http://www.imdb.com/title/tt0144528/?ref_=fn_tt_tt_1</t>
  </si>
  <si>
    <t>Adventure|Comedy|Mystery</t>
  </si>
  <si>
    <t>Scooby-Doo </t>
  </si>
  <si>
    <t>http://www.imdb.com/title/tt0267913/?ref_=fn_tt_tt_1</t>
  </si>
  <si>
    <t>Dredd </t>
  </si>
  <si>
    <t>http://www.imdb.com/title/tt1343727/?ref_=fn_tt_tt_1</t>
  </si>
  <si>
    <t>Comedy|Drama|Fantasy|Romance</t>
  </si>
  <si>
    <t>Click </t>
  </si>
  <si>
    <t>http://www.imdb.com/title/tt0389860/?ref_=fn_tt_tt_1</t>
  </si>
  <si>
    <t>Action|Comedy|Family|Fantasy</t>
  </si>
  <si>
    <t>Cats &amp; Dogs: The Revenge of Kitty Galore </t>
  </si>
  <si>
    <t>http://www.imdb.com/title/tt1287468/?ref_=fn_tt_tt_1</t>
  </si>
  <si>
    <t>Jumper </t>
  </si>
  <si>
    <t>http://www.imdb.com/title/tt0489099/?ref_=fn_tt_tt_1</t>
  </si>
  <si>
    <t>Action|Adventure|Fantasy|Horror|Sci-Fi</t>
  </si>
  <si>
    <t>Hellboy II: The Golden Army </t>
  </si>
  <si>
    <t>http://www.imdb.com/title/tt0411477/?ref_=fn_tt_tt_1</t>
  </si>
  <si>
    <t>Crime|Drama|History|Mystery|Thriller</t>
  </si>
  <si>
    <t>Zodiac </t>
  </si>
  <si>
    <t>http://www.imdb.com/title/tt0443706/?ref_=fn_tt_tt_1</t>
  </si>
  <si>
    <t>The 6th Day </t>
  </si>
  <si>
    <t>http://www.imdb.com/title/tt0216216/?ref_=fn_tt_tt_1</t>
  </si>
  <si>
    <t>Comedy|Drama</t>
  </si>
  <si>
    <t>Bruce Almighty </t>
  </si>
  <si>
    <t>http://www.imdb.com/title/tt0315327/?ref_=fn_tt_tt_1</t>
  </si>
  <si>
    <t>The Expendables </t>
  </si>
  <si>
    <t>http://www.imdb.com/title/tt1320253/?ref_=fn_tt_tt_1</t>
  </si>
  <si>
    <t>Mission: Impossible </t>
  </si>
  <si>
    <t>http://www.imdb.com/title/tt0117060/?ref_=fn_tt_tt_1</t>
  </si>
  <si>
    <t>The Hunger Games </t>
  </si>
  <si>
    <t>http://www.imdb.com/title/tt1392170/?ref_=fn_tt_tt_1</t>
  </si>
  <si>
    <t>The Hangover Part II </t>
  </si>
  <si>
    <t>http://www.imdb.com/title/tt1411697/?ref_=fn_tt_tt_1</t>
  </si>
  <si>
    <t>Batman Returns </t>
  </si>
  <si>
    <t>http://www.imdb.com/title/tt0103776/?ref_=fn_tt_tt_1</t>
  </si>
  <si>
    <t>Over the Hedge </t>
  </si>
  <si>
    <t>http://www.imdb.com/title/tt0327084/?ref_=fn_tt_tt_1</t>
  </si>
  <si>
    <t>Adventure|Animation|Comedy|Drama|Family|Fantasy|Sci-Fi</t>
  </si>
  <si>
    <t>Lilo &amp; Stitch </t>
  </si>
  <si>
    <t>http://www.imdb.com/title/tt0275847/?ref_=fn_tt_tt_1</t>
  </si>
  <si>
    <t>Action|Drama|Romance|Sci-Fi|Thriller</t>
  </si>
  <si>
    <t>Deep Impact </t>
  </si>
  <si>
    <t>http://www.imdb.com/title/tt0120647/?ref_=fn_tt_tt_1</t>
  </si>
  <si>
    <t>RED 2 </t>
  </si>
  <si>
    <t>http://www.imdb.com/title/tt1821694/?ref_=fn_tt_tt_1</t>
  </si>
  <si>
    <t>Comedy|Crime|Sport</t>
  </si>
  <si>
    <t>The Longest Yard </t>
  </si>
  <si>
    <t>http://www.imdb.com/title/tt0398165/?ref_=fn_tt_tt_1</t>
  </si>
  <si>
    <t>Alvin and the Chipmunks: Chipwrecked </t>
  </si>
  <si>
    <t>http://www.imdb.com/title/tt1615918/?ref_=fn_tt_tt_1</t>
  </si>
  <si>
    <t>Grown Ups 2 </t>
  </si>
  <si>
    <t>http://www.imdb.com/title/tt2191701/?ref_=fn_tt_tt_1</t>
  </si>
  <si>
    <t>Get Smart </t>
  </si>
  <si>
    <t>http://www.imdb.com/title/tt0425061/?ref_=fn_tt_tt_1</t>
  </si>
  <si>
    <t>Something's Gotta Give </t>
  </si>
  <si>
    <t>http://www.imdb.com/title/tt0337741/?ref_=fn_tt_tt_1</t>
  </si>
  <si>
    <t>Shutter Island </t>
  </si>
  <si>
    <t>http://www.imdb.com/title/tt1130884/?ref_=fn_tt_tt_1</t>
  </si>
  <si>
    <t>Four Christmases </t>
  </si>
  <si>
    <t>http://www.imdb.com/title/tt0369436/?ref_=fn_tt_tt_1</t>
  </si>
  <si>
    <t>Robots </t>
  </si>
  <si>
    <t>http://www.imdb.com/title/tt0358082/?ref_=fn_tt_tt_1</t>
  </si>
  <si>
    <t>Face/Off </t>
  </si>
  <si>
    <t>http://www.imdb.com/title/tt0119094/?ref_=fn_tt_tt_1</t>
  </si>
  <si>
    <t>Comedy|Family|Fantasy|Romance</t>
  </si>
  <si>
    <t>Bedtime Stories </t>
  </si>
  <si>
    <t>http://www.imdb.com/title/tt0960731/?ref_=fn_tt_tt_1</t>
  </si>
  <si>
    <t>Road to Perdition </t>
  </si>
  <si>
    <t>http://www.imdb.com/title/tt0257044/?ref_=fn_tt_tt_1</t>
  </si>
  <si>
    <t>Just Go with It </t>
  </si>
  <si>
    <t>http://www.imdb.com/title/tt1564367/?ref_=fn_tt_tt_1</t>
  </si>
  <si>
    <t>Con Air </t>
  </si>
  <si>
    <t>http://www.imdb.com/title/tt0118880/?ref_=fn_tt_tt_1</t>
  </si>
  <si>
    <t>Eagle Eye </t>
  </si>
  <si>
    <t>http://www.imdb.com/title/tt1059786/?ref_=fn_tt_tt_1</t>
  </si>
  <si>
    <t>Adventure|Drama|History|Romance|War</t>
  </si>
  <si>
    <t>Cold Mountain </t>
  </si>
  <si>
    <t>http://www.imdb.com/title/tt0159365/?ref_=fn_tt_tt_1</t>
  </si>
  <si>
    <t>The Book of Eli </t>
  </si>
  <si>
    <t>http://www.imdb.com/title/tt1037705/?ref_=fn_tt_tt_1</t>
  </si>
  <si>
    <t>Comedy|Family|Sci-Fi</t>
  </si>
  <si>
    <t>Flubber </t>
  </si>
  <si>
    <t>http://www.imdb.com/title/tt0119137/?ref_=fn_tt_tt_1</t>
  </si>
  <si>
    <t>Fantasy|Horror|Mystery|Thriller</t>
  </si>
  <si>
    <t>The Haunting </t>
  </si>
  <si>
    <t>http://www.imdb.com/title/tt0171363/?ref_=fn_tt_tt_1</t>
  </si>
  <si>
    <t>Adventure|Animation|Comedy|Family|Fantasy|Sci-Fi|Sport</t>
  </si>
  <si>
    <t>Space Jam </t>
  </si>
  <si>
    <t>http://www.imdb.com/title/tt0117705/?ref_=fn_tt_tt_1</t>
  </si>
  <si>
    <t>Adventure|Comedy|Crime|Family|Mystery</t>
  </si>
  <si>
    <t>The Pink Panther </t>
  </si>
  <si>
    <t>http://www.imdb.com/title/tt0383216/?ref_=fn_tt_tt_1</t>
  </si>
  <si>
    <t>Drama|Sci-Fi|Thriller</t>
  </si>
  <si>
    <t>The Day the Earth Stood Still </t>
  </si>
  <si>
    <t>http://www.imdb.com/title/tt0970416/?ref_=fn_tt_tt_1</t>
  </si>
  <si>
    <t>Action|Crime|Mystery|Romance|Thriller</t>
  </si>
  <si>
    <t>Conspiracy Theory </t>
  </si>
  <si>
    <t>http://www.imdb.com/title/tt0118883/?ref_=fn_tt_tt_1</t>
  </si>
  <si>
    <t>Fury </t>
  </si>
  <si>
    <t>http://www.imdb.com/title/tt2713180/?ref_=fn_tt_tt_1</t>
  </si>
  <si>
    <t>Action|Adventure|Comedy|Romance</t>
  </si>
  <si>
    <t>Six Days Seven Nights </t>
  </si>
  <si>
    <t>http://www.imdb.com/title/tt0120828/?ref_=fn_tt_tt_1</t>
  </si>
  <si>
    <t>Yogi Bear </t>
  </si>
  <si>
    <t>http://www.imdb.com/title/tt1302067/?ref_=fn_tt_tt_1</t>
  </si>
  <si>
    <t>Adventure|Animation|Family|Western</t>
  </si>
  <si>
    <t>Spirit: Stallion of the Cimarron </t>
  </si>
  <si>
    <t>http://www.imdb.com/title/tt0166813/?ref_=fn_tt_tt_1</t>
  </si>
  <si>
    <t>Comedy|Family|Romance</t>
  </si>
  <si>
    <t>Zookeeper </t>
  </si>
  <si>
    <t>http://www.imdb.com/title/tt1222817/?ref_=fn_tt_tt_1</t>
  </si>
  <si>
    <t>Action|Adventure|Family|Sci-Fi|Thriller</t>
  </si>
  <si>
    <t>Lost in Space </t>
  </si>
  <si>
    <t>http://www.imdb.com/title/tt0120738/?ref_=fn_tt_tt_1</t>
  </si>
  <si>
    <t>The Manchurian Candidate </t>
  </si>
  <si>
    <t>http://www.imdb.com/title/tt0368008/?ref_=fn_tt_tt_1</t>
  </si>
  <si>
    <t>Hotel Transylvania 2 </t>
  </si>
  <si>
    <t>http://www.imdb.com/title/tt2510894/?ref_=fn_tt_tt_1</t>
  </si>
  <si>
    <t>Animation|Family|Fantasy|Music</t>
  </si>
  <si>
    <t>Fantasia 2000 </t>
  </si>
  <si>
    <t>http://www.imdb.com/title/tt0120910/?ref_=fn_tt_tt_1</t>
  </si>
  <si>
    <t>The Time Machine </t>
  </si>
  <si>
    <t>http://www.imdb.com/title/tt0268695/?ref_=fn_tt_tt_1</t>
  </si>
  <si>
    <t>Action|Adventure|Family|Fantasy|Thriller</t>
  </si>
  <si>
    <t>Mighty Joe Young </t>
  </si>
  <si>
    <t>http://www.imdb.com/title/tt0120751/?ref_=fn_tt_tt_1</t>
  </si>
  <si>
    <t>Swordfish </t>
  </si>
  <si>
    <t>http://www.imdb.com/title/tt0244244/?ref_=fn_tt_tt_1</t>
  </si>
  <si>
    <t>Spanish</t>
  </si>
  <si>
    <t>What Dreams May Come </t>
  </si>
  <si>
    <t>http://www.imdb.com/title/tt0120889/?ref_=fn_tt_tt_1</t>
  </si>
  <si>
    <t>Comedy|Fantasy</t>
  </si>
  <si>
    <t>Little Nicky </t>
  </si>
  <si>
    <t>http://www.imdb.com/title/tt0185431/?ref_=fn_tt_tt_1</t>
  </si>
  <si>
    <t>Action|Adventure|Comedy|Fantasy|Thriller</t>
  </si>
  <si>
    <t>The Brothers Grimm </t>
  </si>
  <si>
    <t>http://www.imdb.com/title/tt0355295/?ref_=fn_tt_tt_1</t>
  </si>
  <si>
    <t>Mars Attacks! </t>
  </si>
  <si>
    <t>http://www.imdb.com/title/tt0116996/?ref_=fn_tt_tt_1</t>
  </si>
  <si>
    <t>Action|Sci-Fi|Thriller</t>
  </si>
  <si>
    <t>Surrogates </t>
  </si>
  <si>
    <t>http://www.imdb.com/title/tt0986263/?ref_=fn_tt_tt_1</t>
  </si>
  <si>
    <t>Drama|History|Thriller</t>
  </si>
  <si>
    <t>Thirteen Days </t>
  </si>
  <si>
    <t>http://www.imdb.com/title/tt0146309/?ref_=fn_tt_tt_1</t>
  </si>
  <si>
    <t>Daylight </t>
  </si>
  <si>
    <t>http://www.imdb.com/title/tt0116040/?ref_=fn_tt_tt_1</t>
  </si>
  <si>
    <t>Adventure|Animation|Family</t>
  </si>
  <si>
    <t>Walking with Dinosaurs 3D </t>
  </si>
  <si>
    <t>http://www.imdb.com/title/tt1762399/?ref_=fn_tt_tt_1</t>
  </si>
  <si>
    <t>Battlefield Earth </t>
  </si>
  <si>
    <t>http://www.imdb.com/title/tt0185183/?ref_=fn_tt_tt_1</t>
  </si>
  <si>
    <t>Looney Tunes: Back in Action </t>
  </si>
  <si>
    <t>http://www.imdb.com/title/tt0318155/?ref_=fn_tt_tt_1</t>
  </si>
  <si>
    <t>Drama|Musical|Romance</t>
  </si>
  <si>
    <t>Nine </t>
  </si>
  <si>
    <t>http://www.imdb.com/title/tt0875034/?ref_=fn_tt_tt_1</t>
  </si>
  <si>
    <t>Timeline </t>
  </si>
  <si>
    <t>http://www.imdb.com/title/tt0300556/?ref_=fn_tt_tt_1</t>
  </si>
  <si>
    <t>The Postman </t>
  </si>
  <si>
    <t>http://www.imdb.com/title/tt0119925/?ref_=fn_tt_tt_1</t>
  </si>
  <si>
    <t>Babe: Pig in the City </t>
  </si>
  <si>
    <t>http://www.imdb.com/title/tt0120595/?ref_=fn_tt_tt_1</t>
  </si>
  <si>
    <t>The Last Witch Hunter </t>
  </si>
  <si>
    <t>http://www.imdb.com/title/tt1618442/?ref_=fn_tt_tt_1</t>
  </si>
  <si>
    <t>Red Planet </t>
  </si>
  <si>
    <t>http://www.imdb.com/title/tt0199753/?ref_=fn_tt_tt_1</t>
  </si>
  <si>
    <t>Arthur and the Invisibles </t>
  </si>
  <si>
    <t>http://www.imdb.com/title/tt0344854/?ref_=fn_tt_tt_1</t>
  </si>
  <si>
    <t>Documentary|Drama</t>
  </si>
  <si>
    <t>Oceans </t>
  </si>
  <si>
    <t>http://www.imdb.com/title/tt0765128/?ref_=fn_tt_tt_1</t>
  </si>
  <si>
    <t>A Sound of Thunder </t>
  </si>
  <si>
    <t>http://www.imdb.com/title/tt0318081/?ref_=fn_tt_tt_1</t>
  </si>
  <si>
    <t>Action|Adventure|Drama|History|Romance</t>
  </si>
  <si>
    <t>Mexico</t>
  </si>
  <si>
    <t>A Beautiful Mind </t>
  </si>
  <si>
    <t>http://www.imdb.com/title/tt0268978/?ref_=fn_tt_tt_1</t>
  </si>
  <si>
    <t>Adventure|Animation|Drama|Family|Musical</t>
  </si>
  <si>
    <t>The Lion King </t>
  </si>
  <si>
    <t>http://www.imdb.com/title/tt0110357/?ref_=fn_tt_tt_1</t>
  </si>
  <si>
    <t>Journey 2: The Mysterious Island </t>
  </si>
  <si>
    <t>http://www.imdb.com/title/tt1397514/?ref_=fn_tt_tt_1</t>
  </si>
  <si>
    <t>Animation|Comedy|Family|Fantasy|Sci-Fi</t>
  </si>
  <si>
    <t>Cloudy with a Chance of Meatballs 2 </t>
  </si>
  <si>
    <t>http://www.imdb.com/title/tt1985966/?ref_=fn_tt_tt_1</t>
  </si>
  <si>
    <t>Red Dragon </t>
  </si>
  <si>
    <t>http://www.imdb.com/title/tt0289765/?ref_=fn_tt_tt_1</t>
  </si>
  <si>
    <t>Hidalgo </t>
  </si>
  <si>
    <t>http://www.imdb.com/title/tt0317648/?ref_=fn_tt_tt_1</t>
  </si>
  <si>
    <t>Jack and Jill </t>
  </si>
  <si>
    <t>http://www.imdb.com/title/tt0810913/?ref_=fn_tt_tt_1</t>
  </si>
  <si>
    <t>2 Fast 2 Furious </t>
  </si>
  <si>
    <t>http://www.imdb.com/title/tt0322259/?ref_=fn_tt_tt_1</t>
  </si>
  <si>
    <t>Adventure|Animation|Drama|Family|Fantasy</t>
  </si>
  <si>
    <t>The Little Prince </t>
  </si>
  <si>
    <t>http://www.imdb.com/title/tt1754656/?ref_=fn_tt_tt_1</t>
  </si>
  <si>
    <t>Sci-Fi|Thriller</t>
  </si>
  <si>
    <t>The Invasion </t>
  </si>
  <si>
    <t>http://www.imdb.com/title/tt0427392/?ref_=fn_tt_tt_1</t>
  </si>
  <si>
    <t>The Adventures of Rocky &amp; Bullwinkle </t>
  </si>
  <si>
    <t>http://www.imdb.com/title/tt0131704/?ref_=fn_tt_tt_1</t>
  </si>
  <si>
    <t>Animation|Comedy|Family</t>
  </si>
  <si>
    <t>The Secret Life of Pets </t>
  </si>
  <si>
    <t>http://www.imdb.com/title/tt2709768/?ref_=fn_tt_tt_1</t>
  </si>
  <si>
    <t>The League of Extraordinary Gentlemen </t>
  </si>
  <si>
    <t>http://www.imdb.com/title/tt0311429/?ref_=fn_tt_tt_1</t>
  </si>
  <si>
    <t>Despicable Me 2 </t>
  </si>
  <si>
    <t>http://www.imdb.com/title/tt1690953/?ref_=fn_tt_tt_1</t>
  </si>
  <si>
    <t>Independence Day </t>
  </si>
  <si>
    <t>http://www.imdb.com/title/tt0116629/?ref_=fn_tt_tt_1</t>
  </si>
  <si>
    <t>The Lost World: Jurassic Park </t>
  </si>
  <si>
    <t>http://www.imdb.com/title/tt0119567/?ref_=fn_tt_tt_1</t>
  </si>
  <si>
    <t>Madagascar </t>
  </si>
  <si>
    <t>http://www.imdb.com/title/tt0351283/?ref_=fn_tt_tt_1</t>
  </si>
  <si>
    <t>Children of Men </t>
  </si>
  <si>
    <t>http://www.imdb.com/title/tt0206634/?ref_=fn_tt_tt_1</t>
  </si>
  <si>
    <t>X-Men </t>
  </si>
  <si>
    <t>http://www.imdb.com/title/tt0120903/?ref_=fn_tt_tt_1</t>
  </si>
  <si>
    <t>Action|Crime|Fantasy|Thriller</t>
  </si>
  <si>
    <t>Wanted </t>
  </si>
  <si>
    <t>http://www.imdb.com/title/tt0493464/?ref_=fn_tt_tt_1</t>
  </si>
  <si>
    <t>The Rock </t>
  </si>
  <si>
    <t>http://www.imdb.com/title/tt0117500/?ref_=fn_tt_tt_1</t>
  </si>
  <si>
    <t>Ice Age: The Meltdown </t>
  </si>
  <si>
    <t>http://www.imdb.com/title/tt0438097/?ref_=fn_tt_tt_1</t>
  </si>
  <si>
    <t>50 First Dates </t>
  </si>
  <si>
    <t>http://www.imdb.com/title/tt0343660/?ref_=fn_tt_tt_1</t>
  </si>
  <si>
    <t>Comedy|Drama|Family|Music|Musical|Romance</t>
  </si>
  <si>
    <t>Hairspray </t>
  </si>
  <si>
    <t>http://www.imdb.com/title/tt0427327/?ref_=fn_tt_tt_1</t>
  </si>
  <si>
    <t>Horror|Mystery|Thriller</t>
  </si>
  <si>
    <t>Exorcist: The Beginning </t>
  </si>
  <si>
    <t>http://www.imdb.com/title/tt0204313/?ref_=fn_tt_tt_1</t>
  </si>
  <si>
    <t>Action|Adventure|Comedy|Family|Sci-Fi</t>
  </si>
  <si>
    <t>Inspector Gadget </t>
  </si>
  <si>
    <t>http://www.imdb.com/title/tt0141369/?ref_=fn_tt_tt_1</t>
  </si>
  <si>
    <t>Now You See Me </t>
  </si>
  <si>
    <t>http://www.imdb.com/title/tt1670345/?ref_=fn_tt_tt_1</t>
  </si>
  <si>
    <t>Grown Ups </t>
  </si>
  <si>
    <t>http://www.imdb.com/title/tt1375670/?ref_=fn_tt_tt_1</t>
  </si>
  <si>
    <t>The Terminal </t>
  </si>
  <si>
    <t>http://www.imdb.com/title/tt0362227/?ref_=fn_tt_tt_1</t>
  </si>
  <si>
    <t>Comedy|Family</t>
  </si>
  <si>
    <t>Hotel for Dogs </t>
  </si>
  <si>
    <t>http://www.imdb.com/title/tt0785006/?ref_=fn_tt_tt_1</t>
  </si>
  <si>
    <t>Vertical Limit </t>
  </si>
  <si>
    <t>http://www.imdb.com/title/tt0190865/?ref_=fn_tt_tt_1</t>
  </si>
  <si>
    <t>Biography|Comedy|Drama|History</t>
  </si>
  <si>
    <t>Charlie Wilson's War </t>
  </si>
  <si>
    <t>http://www.imdb.com/title/tt0472062/?ref_=fn_tt_tt_1</t>
  </si>
  <si>
    <t>Shark Tale </t>
  </si>
  <si>
    <t>http://www.imdb.com/title/tt0307453/?ref_=fn_tt_tt_1</t>
  </si>
  <si>
    <t>Drama|Music|Musical</t>
  </si>
  <si>
    <t>Dreamgirls </t>
  </si>
  <si>
    <t>http://www.imdb.com/title/tt0443489/?ref_=fn_tt_tt_1</t>
  </si>
  <si>
    <t>Crime|Drama|Mystery</t>
  </si>
  <si>
    <t>Comedy|Crime|Music</t>
  </si>
  <si>
    <t>Be Cool </t>
  </si>
  <si>
    <t>http://www.imdb.com/title/tt0377471/?ref_=fn_tt_tt_1</t>
  </si>
  <si>
    <t>Munich </t>
  </si>
  <si>
    <t>http://www.imdb.com/title/tt0408306/?ref_=fn_tt_tt_1</t>
  </si>
  <si>
    <t>Tears of the Sun </t>
  </si>
  <si>
    <t>http://www.imdb.com/title/tt0314353/?ref_=fn_tt_tt_1</t>
  </si>
  <si>
    <t>Action|Comedy|Romance|Thriller</t>
  </si>
  <si>
    <t>Killers </t>
  </si>
  <si>
    <t>http://www.imdb.com/title/tt1103153/?ref_=fn_tt_tt_1</t>
  </si>
  <si>
    <t>The Man from U.N.C.L.E. </t>
  </si>
  <si>
    <t>http://www.imdb.com/title/tt1638355/?ref_=fn_tt_tt_1</t>
  </si>
  <si>
    <t>Spanglish </t>
  </si>
  <si>
    <t>http://www.imdb.com/title/tt0371246/?ref_=fn_tt_tt_1</t>
  </si>
  <si>
    <t>Animation|Comedy|Family|Fantasy|Mystery</t>
  </si>
  <si>
    <t>Monster House </t>
  </si>
  <si>
    <t>http://www.imdb.com/title/tt0385880/?ref_=fn_tt_tt_1</t>
  </si>
  <si>
    <t>Comedy|Crime|Drama|Romance</t>
  </si>
  <si>
    <t>Bandits </t>
  </si>
  <si>
    <t>http://www.imdb.com/title/tt0219965/?ref_=fn_tt_tt_1</t>
  </si>
  <si>
    <t>Action|Adventure|Romance|Thriller</t>
  </si>
  <si>
    <t>First Knight </t>
  </si>
  <si>
    <t>http://www.imdb.com/title/tt0113071/?ref_=fn_tt_tt_1</t>
  </si>
  <si>
    <t>Drama|History|Romance</t>
  </si>
  <si>
    <t>Anna and the King </t>
  </si>
  <si>
    <t>http://www.imdb.com/title/tt0166485/?ref_=fn_tt_tt_1</t>
  </si>
  <si>
    <t>Action|Drama|Fantasy|Romance</t>
  </si>
  <si>
    <t>Immortals </t>
  </si>
  <si>
    <t>http://www.imdb.com/title/tt1253864/?ref_=fn_tt_tt_1</t>
  </si>
  <si>
    <t>Hostage </t>
  </si>
  <si>
    <t>http://www.imdb.com/title/tt0340163/?ref_=fn_tt_tt_1</t>
  </si>
  <si>
    <t>Action|Adventure|Animation|Family|Sci-Fi</t>
  </si>
  <si>
    <t>Titan A.E. </t>
  </si>
  <si>
    <t>http://www.imdb.com/title/tt0120913/?ref_=fn_tt_tt_1</t>
  </si>
  <si>
    <t>Hollywood Homicide </t>
  </si>
  <si>
    <t>http://www.imdb.com/title/tt0329717/?ref_=fn_tt_tt_1</t>
  </si>
  <si>
    <t>Action|Drama|Sci-Fi</t>
  </si>
  <si>
    <t>Soldier </t>
  </si>
  <si>
    <t>http://www.imdb.com/title/tt0120157/?ref_=fn_tt_tt_1</t>
  </si>
  <si>
    <t>Drama|Horror|Sci-Fi|Thriller</t>
  </si>
  <si>
    <t>Animation|Comedy|Fantasy</t>
  </si>
  <si>
    <t>Monkeybone </t>
  </si>
  <si>
    <t>http://www.imdb.com/title/tt0166276/?ref_=fn_tt_tt_1</t>
  </si>
  <si>
    <t>Flight of the Phoenix </t>
  </si>
  <si>
    <t>http://www.imdb.com/title/tt0377062/?ref_=fn_tt_tt_1</t>
  </si>
  <si>
    <t>Unbreakable </t>
  </si>
  <si>
    <t>http://www.imdb.com/title/tt0217869/?ref_=fn_tt_tt_1</t>
  </si>
  <si>
    <t>Minions </t>
  </si>
  <si>
    <t>http://www.imdb.com/title/tt2293640/?ref_=fn_tt_tt_1</t>
  </si>
  <si>
    <t>Sucker Punch </t>
  </si>
  <si>
    <t>http://www.imdb.com/title/tt0978764/?ref_=fn_tt_tt_1</t>
  </si>
  <si>
    <t>Snake Eyes </t>
  </si>
  <si>
    <t>http://www.imdb.com/title/tt0120832/?ref_=fn_tt_tt_1</t>
  </si>
  <si>
    <t>Sphere </t>
  </si>
  <si>
    <t>http://www.imdb.com/title/tt0120184/?ref_=fn_tt_tt_1</t>
  </si>
  <si>
    <t>Action|Animation|Comedy|Family</t>
  </si>
  <si>
    <t>The Angry Birds Movie </t>
  </si>
  <si>
    <t>http://www.imdb.com/title/tt1985949/?ref_=fn_tt_tt_1</t>
  </si>
  <si>
    <t>Funny People </t>
  </si>
  <si>
    <t>http://www.imdb.com/title/tt1201167/?ref_=fn_tt_tt_1</t>
  </si>
  <si>
    <t>The Kingdom </t>
  </si>
  <si>
    <t>http://www.imdb.com/title/tt0431197/?ref_=fn_tt_tt_1</t>
  </si>
  <si>
    <t>Action|Comedy|Sport</t>
  </si>
  <si>
    <t>Talladega Nights: The Ballad of Ricky Bobby </t>
  </si>
  <si>
    <t>http://www.imdb.com/title/tt0415306/?ref_=fn_tt_tt_1</t>
  </si>
  <si>
    <t>Dr. Dolittle 2 </t>
  </si>
  <si>
    <t>http://www.imdb.com/title/tt0240462/?ref_=fn_tt_tt_1</t>
  </si>
  <si>
    <t>Biography|Drama|History|War</t>
  </si>
  <si>
    <t>Braveheart </t>
  </si>
  <si>
    <t>http://www.imdb.com/title/tt0112573/?ref_=fn_tt_tt_1</t>
  </si>
  <si>
    <t>Adventure|Animation|Comedy</t>
  </si>
  <si>
    <t>The Simpsons Movie </t>
  </si>
  <si>
    <t>http://www.imdb.com/title/tt0462538/?ref_=fn_tt_tt_1</t>
  </si>
  <si>
    <t>The Majestic </t>
  </si>
  <si>
    <t>http://www.imdb.com/title/tt0268995/?ref_=fn_tt_tt_1</t>
  </si>
  <si>
    <t>Action|Drama|Sport</t>
  </si>
  <si>
    <t>Driven </t>
  </si>
  <si>
    <t>http://www.imdb.com/title/tt0132245/?ref_=fn_tt_tt_1</t>
  </si>
  <si>
    <t>Adventure|Drama|Family</t>
  </si>
  <si>
    <t>Two Brothers </t>
  </si>
  <si>
    <t>http://www.imdb.com/title/tt0338512/?ref_=fn_tt_tt_1</t>
  </si>
  <si>
    <t>Drama|Mystery|Romance|Thriller</t>
  </si>
  <si>
    <t>The Village </t>
  </si>
  <si>
    <t>http://www.imdb.com/title/tt0368447/?ref_=fn_tt_tt_1</t>
  </si>
  <si>
    <t>Doctor Dolittle </t>
  </si>
  <si>
    <t>http://www.imdb.com/title/tt0118998/?ref_=fn_tt_tt_1</t>
  </si>
  <si>
    <t>Signs </t>
  </si>
  <si>
    <t>http://www.imdb.com/title/tt0286106/?ref_=fn_tt_tt_1</t>
  </si>
  <si>
    <t>Adventure|Animation|Comedy|Family|Fantasy|Romance</t>
  </si>
  <si>
    <t>Shrek 2 </t>
  </si>
  <si>
    <t>http://www.imdb.com/title/tt0298148/?ref_=fn_tt_tt_1</t>
  </si>
  <si>
    <t>Cars </t>
  </si>
  <si>
    <t>http://www.imdb.com/title/tt0317219/?ref_=fn_tt_tt_1</t>
  </si>
  <si>
    <t>Runaway Bride </t>
  </si>
  <si>
    <t>http://www.imdb.com/title/tt0163187/?ref_=fn_tt_tt_1</t>
  </si>
  <si>
    <t>xXx </t>
  </si>
  <si>
    <t>http://www.imdb.com/title/tt0295701/?ref_=fn_tt_tt_1</t>
  </si>
  <si>
    <t>The SpongeBob Movie: Sponge Out of Water </t>
  </si>
  <si>
    <t>http://www.imdb.com/title/tt2279373/?ref_=fn_tt_tt_1</t>
  </si>
  <si>
    <t>Ransom </t>
  </si>
  <si>
    <t>http://www.imdb.com/title/tt0117438/?ref_=fn_tt_tt_1</t>
  </si>
  <si>
    <t>Adventure|Drama|War</t>
  </si>
  <si>
    <t>Inglourious Basterds </t>
  </si>
  <si>
    <t>http://www.imdb.com/title/tt0361748/?ref_=fn_tt_tt_1</t>
  </si>
  <si>
    <t>Hook </t>
  </si>
  <si>
    <t>http://www.imdb.com/title/tt0102057/?ref_=fn_tt_tt_1</t>
  </si>
  <si>
    <t>Die Hard 2 </t>
  </si>
  <si>
    <t>http://www.imdb.com/title/tt0099423/?ref_=fn_tt_tt_1</t>
  </si>
  <si>
    <t>Action|Adventure|Crime|Thriller</t>
  </si>
  <si>
    <t>S.W.A.T. </t>
  </si>
  <si>
    <t>http://www.imdb.com/title/tt0257076/?ref_=fn_tt_tt_1</t>
  </si>
  <si>
    <t>Fantasy|Mystery|Romance|Sci-Fi|Thriller</t>
  </si>
  <si>
    <t>Vanilla Sky </t>
  </si>
  <si>
    <t>http://www.imdb.com/title/tt0259711/?ref_=fn_tt_tt_1</t>
  </si>
  <si>
    <t>Drama|Fantasy|Mystery|Thriller</t>
  </si>
  <si>
    <t>Lady in the Water </t>
  </si>
  <si>
    <t>http://www.imdb.com/title/tt0452637/?ref_=fn_tt_tt_1</t>
  </si>
  <si>
    <t>AVP: Alien vs. Predator </t>
  </si>
  <si>
    <t>http://www.imdb.com/title/tt0370263/?ref_=fn_tt_tt_1</t>
  </si>
  <si>
    <t>Animation|Comedy|Family|Fantasy|Music</t>
  </si>
  <si>
    <t>Alvin and the Chipmunks: The Squeakquel </t>
  </si>
  <si>
    <t>http://www.imdb.com/title/tt1231580/?ref_=fn_tt_tt_1</t>
  </si>
  <si>
    <t>We Were Soldiers </t>
  </si>
  <si>
    <t>http://www.imdb.com/title/tt0277434/?ref_=fn_tt_tt_1</t>
  </si>
  <si>
    <t>Olympus Has Fallen </t>
  </si>
  <si>
    <t>http://www.imdb.com/title/tt2302755/?ref_=fn_tt_tt_1</t>
  </si>
  <si>
    <t>Star Trek: Insurrection </t>
  </si>
  <si>
    <t>http://www.imdb.com/title/tt0120844/?ref_=fn_tt_tt_1</t>
  </si>
  <si>
    <t>Battle Los Angeles </t>
  </si>
  <si>
    <t>http://www.imdb.com/title/tt1217613/?ref_=fn_tt_tt_1</t>
  </si>
  <si>
    <t>Big Fish </t>
  </si>
  <si>
    <t>http://www.imdb.com/title/tt0319061/?ref_=fn_tt_tt_1</t>
  </si>
  <si>
    <t>Drama|Horror|Romance|Thriller</t>
  </si>
  <si>
    <t>Wolf </t>
  </si>
  <si>
    <t>http://www.imdb.com/title/tt0111742/?ref_=fn_tt_tt_1</t>
  </si>
  <si>
    <t>Drama|War</t>
  </si>
  <si>
    <t>War Horse </t>
  </si>
  <si>
    <t>http://www.imdb.com/title/tt1568911/?ref_=fn_tt_tt_1</t>
  </si>
  <si>
    <t>The Monuments Men </t>
  </si>
  <si>
    <t>http://www.imdb.com/title/tt2177771/?ref_=fn_tt_tt_1</t>
  </si>
  <si>
    <t>The Abyss </t>
  </si>
  <si>
    <t>http://www.imdb.com/title/tt0096754/?ref_=fn_tt_tt_1</t>
  </si>
  <si>
    <t>Drama</t>
  </si>
  <si>
    <t>Wall Street: Money Never Sleeps </t>
  </si>
  <si>
    <t>http://www.imdb.com/title/tt1027718/?ref_=fn_tt_tt_1</t>
  </si>
  <si>
    <t>Action|Drama|Fantasy|Horror|War</t>
  </si>
  <si>
    <t>Dracula Untold </t>
  </si>
  <si>
    <t>http://www.imdb.com/title/tt0829150/?ref_=fn_tt_tt_1</t>
  </si>
  <si>
    <t>The Siege </t>
  </si>
  <si>
    <t>http://www.imdb.com/title/tt0133952/?ref_=fn_tt_tt_1</t>
  </si>
  <si>
    <t>Adventure|Family|Fantasy|Romance</t>
  </si>
  <si>
    <t>Stardust </t>
  </si>
  <si>
    <t>http://www.imdb.com/title/tt0486655/?ref_=fn_tt_tt_1</t>
  </si>
  <si>
    <t>Adventure|Biography|Drama|History|War</t>
  </si>
  <si>
    <t>Seven Years in Tibet </t>
  </si>
  <si>
    <t>http://www.imdb.com/title/tt0120102/?ref_=fn_tt_tt_1</t>
  </si>
  <si>
    <t>The Dilemma </t>
  </si>
  <si>
    <t>http://www.imdb.com/title/tt1578275/?ref_=fn_tt_tt_1</t>
  </si>
  <si>
    <t>Bad Company </t>
  </si>
  <si>
    <t>http://www.imdb.com/title/tt0280486/?ref_=fn_tt_tt_1</t>
  </si>
  <si>
    <t>Action|Adventure|Horror|Sci-Fi</t>
  </si>
  <si>
    <t>Doom </t>
  </si>
  <si>
    <t>http://www.imdb.com/title/tt0419706/?ref_=fn_tt_tt_1</t>
  </si>
  <si>
    <t>I Spy </t>
  </si>
  <si>
    <t>http://www.imdb.com/title/tt0297181/?ref_=fn_tt_tt_1</t>
  </si>
  <si>
    <t>Action|Fantasy|Horror</t>
  </si>
  <si>
    <t>Underworld: Awakening </t>
  </si>
  <si>
    <t>http://www.imdb.com/title/tt1496025/?ref_=fn_tt_tt_1</t>
  </si>
  <si>
    <t>Comedy|Drama|Musical|Romance</t>
  </si>
  <si>
    <t>Rock of Ages </t>
  </si>
  <si>
    <t>http://www.imdb.com/title/tt1336608/?ref_=fn_tt_tt_1</t>
  </si>
  <si>
    <t>Hart's War </t>
  </si>
  <si>
    <t>http://www.imdb.com/title/tt0251114/?ref_=fn_tt_tt_1</t>
  </si>
  <si>
    <t>Killer Elite </t>
  </si>
  <si>
    <t>http://www.imdb.com/title/tt1448755/?ref_=fn_tt_tt_1</t>
  </si>
  <si>
    <t>Action|Sci-Fi|Sport</t>
  </si>
  <si>
    <t>Rollerball </t>
  </si>
  <si>
    <t>http://www.imdb.com/title/tt0246894/?ref_=fn_tt_tt_1</t>
  </si>
  <si>
    <t>Ballistic: Ecks vs. Sever </t>
  </si>
  <si>
    <t>http://www.imdb.com/title/tt0308208/?ref_=fn_tt_tt_1</t>
  </si>
  <si>
    <t>Hard Rain </t>
  </si>
  <si>
    <t>http://www.imdb.com/title/tt0120696/?ref_=fn_tt_tt_1</t>
  </si>
  <si>
    <t>Action|Adventure|Animation|Comedy|Crime|Family|Fantasy</t>
  </si>
  <si>
    <t>Osmosis Jones </t>
  </si>
  <si>
    <t>http://www.imdb.com/title/tt0181739/?ref_=fn_tt_tt_1</t>
  </si>
  <si>
    <t>Adventure|Animation|Family|Fantasy|Musical</t>
  </si>
  <si>
    <t>Legends of Oz: Dorothy's Return </t>
  </si>
  <si>
    <t>http://www.imdb.com/title/tt0884726/?ref_=fn_tt_tt_1</t>
  </si>
  <si>
    <t>Blackhat </t>
  </si>
  <si>
    <t>http://www.imdb.com/title/tt2717822/?ref_=fn_tt_tt_1</t>
  </si>
  <si>
    <t>Basic Instinct 2 </t>
  </si>
  <si>
    <t>http://www.imdb.com/title/tt0430912/?ref_=fn_tt_tt_1</t>
  </si>
  <si>
    <t>Action|Crime|Mystery|Sci-Fi|Thriller</t>
  </si>
  <si>
    <t>Escape Plan </t>
  </si>
  <si>
    <t>http://www.imdb.com/title/tt1211956/?ref_=fn_tt_tt_1</t>
  </si>
  <si>
    <t>The Legend of Hercules </t>
  </si>
  <si>
    <t>http://www.imdb.com/title/tt1043726/?ref_=fn_tt_tt_1</t>
  </si>
  <si>
    <t>The Sum of All Fears </t>
  </si>
  <si>
    <t>http://www.imdb.com/title/tt0164184/?ref_=fn_tt_tt_1</t>
  </si>
  <si>
    <t>The Twilight Saga: Eclipse </t>
  </si>
  <si>
    <t>http://www.imdb.com/title/tt1325004/?ref_=fn_tt_tt_1</t>
  </si>
  <si>
    <t>The Score </t>
  </si>
  <si>
    <t>http://www.imdb.com/title/tt0227445/?ref_=fn_tt_tt_1</t>
  </si>
  <si>
    <t>Despicable Me </t>
  </si>
  <si>
    <t>http://www.imdb.com/title/tt1323594/?ref_=fn_tt_tt_1</t>
  </si>
  <si>
    <t>Action|Comedy|Crime|Drama|Thriller</t>
  </si>
  <si>
    <t>Money Train </t>
  </si>
  <si>
    <t>http://www.imdb.com/title/tt0113845/?ref_=fn_tt_tt_1</t>
  </si>
  <si>
    <t>Ted 2 </t>
  </si>
  <si>
    <t>http://www.imdb.com/title/tt2637276/?ref_=fn_tt_tt_1</t>
  </si>
  <si>
    <t>Adventure|Drama|History|Romance</t>
  </si>
  <si>
    <t>Agora </t>
  </si>
  <si>
    <t>http://www.imdb.com/title/tt1186830/?ref_=fn_tt_tt_1</t>
  </si>
  <si>
    <t>Spain</t>
  </si>
  <si>
    <t>Mystery Men </t>
  </si>
  <si>
    <t>http://www.imdb.com/title/tt0132347/?ref_=fn_tt_tt_1</t>
  </si>
  <si>
    <t>Hall Pass </t>
  </si>
  <si>
    <t>http://www.imdb.com/title/tt0480687/?ref_=fn_tt_tt_1</t>
  </si>
  <si>
    <t>Biography|Drama|Thriller</t>
  </si>
  <si>
    <t>The Insider </t>
  </si>
  <si>
    <t>http://www.imdb.com/title/tt0140352/?ref_=fn_tt_tt_1</t>
  </si>
  <si>
    <t>Body of Lies </t>
  </si>
  <si>
    <t>http://www.imdb.com/title/tt0758774/?ref_=fn_tt_tt_1</t>
  </si>
  <si>
    <t>Abraham Lincoln: Vampire Hunter </t>
  </si>
  <si>
    <t>http://www.imdb.com/title/tt1611224/?ref_=fn_tt_tt_1</t>
  </si>
  <si>
    <t>Entrapment </t>
  </si>
  <si>
    <t>http://www.imdb.com/title/tt0137494/?ref_=fn_tt_tt_1</t>
  </si>
  <si>
    <t>The X Files </t>
  </si>
  <si>
    <t>http://www.imdb.com/title/tt0120902/?ref_=fn_tt_tt_1</t>
  </si>
  <si>
    <t>Action|Adventure|Fantasy|War</t>
  </si>
  <si>
    <t>The Last Legion </t>
  </si>
  <si>
    <t>http://www.imdb.com/title/tt0462396/?ref_=fn_tt_tt_1</t>
  </si>
  <si>
    <t>Saving Private Ryan </t>
  </si>
  <si>
    <t>http://www.imdb.com/title/tt0120815/?ref_=fn_tt_tt_1</t>
  </si>
  <si>
    <t>Need for Speed </t>
  </si>
  <si>
    <t>http://www.imdb.com/title/tt2369135/?ref_=fn_tt_tt_1</t>
  </si>
  <si>
    <t>Comedy|Fantasy|Romance</t>
  </si>
  <si>
    <t>What Women Want </t>
  </si>
  <si>
    <t>http://www.imdb.com/title/tt0207201/?ref_=fn_tt_tt_1</t>
  </si>
  <si>
    <t>Ice Age </t>
  </si>
  <si>
    <t>http://www.imdb.com/title/tt0268380/?ref_=fn_tt_tt_1</t>
  </si>
  <si>
    <t>Dreamcatcher </t>
  </si>
  <si>
    <t>http://www.imdb.com/title/tt0285531/?ref_=fn_tt_tt_1</t>
  </si>
  <si>
    <t>Lincoln </t>
  </si>
  <si>
    <t>http://www.imdb.com/title/tt0443272/?ref_=fn_tt_tt_1</t>
  </si>
  <si>
    <t>The Matrix </t>
  </si>
  <si>
    <t>http://www.imdb.com/title/tt0133093/?ref_=fn_tt_tt_1</t>
  </si>
  <si>
    <t>Apollo 13 </t>
  </si>
  <si>
    <t>http://www.imdb.com/title/tt0112384/?ref_=fn_tt_tt_1</t>
  </si>
  <si>
    <t>The Santa Clause 2 </t>
  </si>
  <si>
    <t>http://www.imdb.com/title/tt0304669/?ref_=fn_tt_tt_1</t>
  </si>
  <si>
    <t>Les Misérables </t>
  </si>
  <si>
    <t>http://www.imdb.com/title/tt1707386/?ref_=fn_tt_tt_1</t>
  </si>
  <si>
    <t>You've Got Mail </t>
  </si>
  <si>
    <t>http://www.imdb.com/title/tt0128853/?ref_=fn_tt_tt_1</t>
  </si>
  <si>
    <t>Step Brothers </t>
  </si>
  <si>
    <t>http://www.imdb.com/title/tt0838283/?ref_=fn_tt_tt_1</t>
  </si>
  <si>
    <t>Action|Adventure|Comedy|Romance|Thriller|Western</t>
  </si>
  <si>
    <t>The Mask of Zorro </t>
  </si>
  <si>
    <t>http://www.imdb.com/title/tt0120746/?ref_=fn_tt_tt_1</t>
  </si>
  <si>
    <t>Due Date </t>
  </si>
  <si>
    <t>http://www.imdb.com/title/tt1231583/?ref_=fn_tt_tt_1</t>
  </si>
  <si>
    <t>Biography|Drama|Sport|War</t>
  </si>
  <si>
    <t>Unbroken </t>
  </si>
  <si>
    <t>http://www.imdb.com/title/tt1809398/?ref_=fn_tt_tt_1</t>
  </si>
  <si>
    <t>Space Cowboys </t>
  </si>
  <si>
    <t>http://www.imdb.com/title/tt0186566/?ref_=fn_tt_tt_1</t>
  </si>
  <si>
    <t>Cliffhanger </t>
  </si>
  <si>
    <t>http://www.imdb.com/title/tt0106582/?ref_=fn_tt_tt_1</t>
  </si>
  <si>
    <t>Broken Arrow </t>
  </si>
  <si>
    <t>http://www.imdb.com/title/tt0115759/?ref_=fn_tt_tt_1</t>
  </si>
  <si>
    <t>The Kid </t>
  </si>
  <si>
    <t>http://www.imdb.com/title/tt0219854/?ref_=fn_tt_tt_1</t>
  </si>
  <si>
    <t>World Trade Center </t>
  </si>
  <si>
    <t>http://www.imdb.com/title/tt0469641/?ref_=fn_tt_tt_1</t>
  </si>
  <si>
    <t>Mona Lisa Smile </t>
  </si>
  <si>
    <t>http://www.imdb.com/title/tt0304415/?ref_=fn_tt_tt_1</t>
  </si>
  <si>
    <t>The Dictator </t>
  </si>
  <si>
    <t>http://www.imdb.com/title/tt1645170/?ref_=fn_tt_tt_1</t>
  </si>
  <si>
    <t>Eyes Wide Shut </t>
  </si>
  <si>
    <t>http://www.imdb.com/title/tt0120663/?ref_=fn_tt_tt_1</t>
  </si>
  <si>
    <t>Comedy|Drama|Family|Musical</t>
  </si>
  <si>
    <t>Annie </t>
  </si>
  <si>
    <t>http://www.imdb.com/title/tt1823664/?ref_=fn_tt_tt_1</t>
  </si>
  <si>
    <t>Focus </t>
  </si>
  <si>
    <t>http://www.imdb.com/title/tt2381941/?ref_=fn_tt_tt_1</t>
  </si>
  <si>
    <t>This Means War </t>
  </si>
  <si>
    <t>http://www.imdb.com/title/tt1596350/?ref_=fn_tt_tt_1</t>
  </si>
  <si>
    <t>Action|Adventure|Fantasy|Horror|Sci-Fi|Thriller</t>
  </si>
  <si>
    <t>Blade: Trinity </t>
  </si>
  <si>
    <t>http://www.imdb.com/title/tt0359013/?ref_=fn_tt_tt_1</t>
  </si>
  <si>
    <t>Primary Colors </t>
  </si>
  <si>
    <t>http://www.imdb.com/title/tt0119942/?ref_=fn_tt_tt_1</t>
  </si>
  <si>
    <t>Resident Evil: Retribution </t>
  </si>
  <si>
    <t>http://www.imdb.com/title/tt1855325/?ref_=fn_tt_tt_1</t>
  </si>
  <si>
    <t>Death Race </t>
  </si>
  <si>
    <t>http://www.imdb.com/title/tt0452608/?ref_=fn_tt_tt_1</t>
  </si>
  <si>
    <t>The Long Kiss Goodnight </t>
  </si>
  <si>
    <t>http://www.imdb.com/title/tt0116908/?ref_=fn_tt_tt_1</t>
  </si>
  <si>
    <t>Proof of Life </t>
  </si>
  <si>
    <t>http://www.imdb.com/title/tt0228750/?ref_=fn_tt_tt_1</t>
  </si>
  <si>
    <t>Zathura: A Space Adventure </t>
  </si>
  <si>
    <t>http://www.imdb.com/title/tt0406375/?ref_=fn_tt_tt_1</t>
  </si>
  <si>
    <t>Drama|Sport</t>
  </si>
  <si>
    <t>We Are Marshall </t>
  </si>
  <si>
    <t>http://www.imdb.com/title/tt0758794/?ref_=fn_tt_tt_1</t>
  </si>
  <si>
    <t>Hudson Hawk </t>
  </si>
  <si>
    <t>http://www.imdb.com/title/tt0102070/?ref_=fn_tt_tt_1</t>
  </si>
  <si>
    <t>Lucky Numbers </t>
  </si>
  <si>
    <t>http://www.imdb.com/title/tt0219952/?ref_=fn_tt_tt_1</t>
  </si>
  <si>
    <t>Action|Fantasy|Sci-Fi|Thriller</t>
  </si>
  <si>
    <t>I, Frankenstein </t>
  </si>
  <si>
    <t>http://www.imdb.com/title/tt1418377/?ref_=fn_tt_tt_1</t>
  </si>
  <si>
    <t>Oliver Twist </t>
  </si>
  <si>
    <t>http://www.imdb.com/title/tt0380599/?ref_=fn_tt_tt_1</t>
  </si>
  <si>
    <t>Elektra </t>
  </si>
  <si>
    <t>http://www.imdb.com/title/tt0357277/?ref_=fn_tt_tt_1</t>
  </si>
  <si>
    <t>Sin City: A Dame to Kill For </t>
  </si>
  <si>
    <t>http://www.imdb.com/title/tt0458481/?ref_=fn_tt_tt_1</t>
  </si>
  <si>
    <t>Drama|Mystery|Romance</t>
  </si>
  <si>
    <t>Random Hearts </t>
  </si>
  <si>
    <t>http://www.imdb.com/title/tt0156934/?ref_=fn_tt_tt_1</t>
  </si>
  <si>
    <t>Adventure|Biography|Drama|History|Sport|Thriller</t>
  </si>
  <si>
    <t>Everest </t>
  </si>
  <si>
    <t>http://www.imdb.com/title/tt2719848/?ref_=fn_tt_tt_1</t>
  </si>
  <si>
    <t>Crime|Drama|Fantasy</t>
  </si>
  <si>
    <t>Perfume: The Story of a Murderer </t>
  </si>
  <si>
    <t>http://www.imdb.com/title/tt0396171/?ref_=fn_tt_tt_1</t>
  </si>
  <si>
    <t>Austin Powers in Goldmember </t>
  </si>
  <si>
    <t>http://www.imdb.com/title/tt0295178/?ref_=fn_tt_tt_1</t>
  </si>
  <si>
    <t>Astro Boy </t>
  </si>
  <si>
    <t>http://www.imdb.com/title/tt0375568/?ref_=fn_tt_tt_1</t>
  </si>
  <si>
    <t>Hong Kong</t>
  </si>
  <si>
    <t>Jurassic Park </t>
  </si>
  <si>
    <t>http://www.imdb.com/title/tt0107290/?ref_=fn_tt_tt_1</t>
  </si>
  <si>
    <t>Adventure|Biography|Crime|Drama|Western</t>
  </si>
  <si>
    <t>Wyatt Earp </t>
  </si>
  <si>
    <t>http://www.imdb.com/title/tt0111756/?ref_=fn_tt_tt_1</t>
  </si>
  <si>
    <t>Clear and Present Danger </t>
  </si>
  <si>
    <t>http://www.imdb.com/title/tt0109444/?ref_=fn_tt_tt_1</t>
  </si>
  <si>
    <t>Dragon Blade </t>
  </si>
  <si>
    <t>http://www.imdb.com/title/tt3672840/?ref_=fn_tt_tt_1</t>
  </si>
  <si>
    <t>Littleman </t>
  </si>
  <si>
    <t>http://www.imdb.com/title/tt0430304/?ref_=fn_tt_tt_1</t>
  </si>
  <si>
    <t>Action|War</t>
  </si>
  <si>
    <t>U-571 </t>
  </si>
  <si>
    <t>http://www.imdb.com/title/tt0141926/?ref_=fn_tt_tt_1</t>
  </si>
  <si>
    <t>The American President </t>
  </si>
  <si>
    <t>http://www.imdb.com/title/tt0112346/?ref_=fn_tt_tt_1</t>
  </si>
  <si>
    <t>Comedy|Romance|Sport</t>
  </si>
  <si>
    <t>The Love Guru </t>
  </si>
  <si>
    <t>http://www.imdb.com/title/tt0811138/?ref_=fn_tt_tt_1</t>
  </si>
  <si>
    <t>3000 Miles to Graceland </t>
  </si>
  <si>
    <t>http://www.imdb.com/title/tt0233142/?ref_=fn_tt_tt_1</t>
  </si>
  <si>
    <t>Crime|Drama|Mystery|Thriller|Western</t>
  </si>
  <si>
    <t>The Hateful Eight </t>
  </si>
  <si>
    <t>http://www.imdb.com/title/tt3460252/?ref_=fn_tt_tt_1</t>
  </si>
  <si>
    <t>Comedy|Sport</t>
  </si>
  <si>
    <t>Blades of Glory </t>
  </si>
  <si>
    <t>http://www.imdb.com/title/tt0445934/?ref_=fn_tt_tt_1</t>
  </si>
  <si>
    <t>Hop </t>
  </si>
  <si>
    <t>http://www.imdb.com/title/tt1411704/?ref_=fn_tt_tt_1</t>
  </si>
  <si>
    <t>300 </t>
  </si>
  <si>
    <t>http://www.imdb.com/title/tt0416449/?ref_=fn_tt_tt_1</t>
  </si>
  <si>
    <t>Meet the Fockers </t>
  </si>
  <si>
    <t>http://www.imdb.com/title/tt0290002/?ref_=fn_tt_tt_1</t>
  </si>
  <si>
    <t>Comedy|Drama|Family</t>
  </si>
  <si>
    <t>Marley &amp; Me </t>
  </si>
  <si>
    <t>http://www.imdb.com/title/tt0822832/?ref_=fn_tt_tt_1</t>
  </si>
  <si>
    <t>Crime|Drama|Fantasy|Mystery</t>
  </si>
  <si>
    <t>The Green Mile </t>
  </si>
  <si>
    <t>http://www.imdb.com/title/tt0120689/?ref_=fn_tt_tt_1</t>
  </si>
  <si>
    <t>Chicken Little </t>
  </si>
  <si>
    <t>http://www.imdb.com/title/tt0371606/?ref_=fn_tt_tt_1</t>
  </si>
  <si>
    <t>Gone Girl </t>
  </si>
  <si>
    <t>http://www.imdb.com/title/tt2267998/?ref_=fn_tt_tt_1</t>
  </si>
  <si>
    <t>The Bourne Identity </t>
  </si>
  <si>
    <t>http://www.imdb.com/title/tt0258463/?ref_=fn_tt_tt_1</t>
  </si>
  <si>
    <t>GoldenEye </t>
  </si>
  <si>
    <t>http://www.imdb.com/title/tt0113189/?ref_=fn_tt_tt_1</t>
  </si>
  <si>
    <t>The General's Daughter </t>
  </si>
  <si>
    <t>http://www.imdb.com/title/tt0144214/?ref_=fn_tt_tt_1</t>
  </si>
  <si>
    <t>The Truman Show </t>
  </si>
  <si>
    <t>http://www.imdb.com/title/tt0120382/?ref_=fn_tt_tt_1</t>
  </si>
  <si>
    <t>Adventure|Animation|Biography|Drama|Family|Fantasy|Musical</t>
  </si>
  <si>
    <t>The Prince of Egypt </t>
  </si>
  <si>
    <t>http://www.imdb.com/title/tt0120794/?ref_=fn_tt_tt_1</t>
  </si>
  <si>
    <t>Daddy Day Care </t>
  </si>
  <si>
    <t>http://www.imdb.com/title/tt0317303/?ref_=fn_tt_tt_1</t>
  </si>
  <si>
    <t>2 Guns </t>
  </si>
  <si>
    <t>http://www.imdb.com/title/tt1272878/?ref_=fn_tt_tt_1</t>
  </si>
  <si>
    <t>Cats &amp; Dogs </t>
  </si>
  <si>
    <t>http://www.imdb.com/title/tt0239395/?ref_=fn_tt_tt_1</t>
  </si>
  <si>
    <t>The Italian Job </t>
  </si>
  <si>
    <t>http://www.imdb.com/title/tt0317740/?ref_=fn_tt_tt_1</t>
  </si>
  <si>
    <t>Antz </t>
  </si>
  <si>
    <t>http://www.imdb.com/title/tt0120587/?ref_=fn_tt_tt_1</t>
  </si>
  <si>
    <t>Couples Retreat </t>
  </si>
  <si>
    <t>http://www.imdb.com/title/tt1078940/?ref_=fn_tt_tt_1</t>
  </si>
  <si>
    <t>Days of Thunder </t>
  </si>
  <si>
    <t>http://www.imdb.com/title/tt0099371/?ref_=fn_tt_tt_1</t>
  </si>
  <si>
    <t>Cheaper by the Dozen 2 </t>
  </si>
  <si>
    <t>http://www.imdb.com/title/tt0452598/?ref_=fn_tt_tt_1</t>
  </si>
  <si>
    <t>The Scorch Trials </t>
  </si>
  <si>
    <t>http://www.imdb.com/title/tt4046784/?ref_=fn_tt_tt_1</t>
  </si>
  <si>
    <t>Eat Pray Love </t>
  </si>
  <si>
    <t>http://www.imdb.com/title/tt0879870/?ref_=fn_tt_tt_1</t>
  </si>
  <si>
    <t>The Family Man </t>
  </si>
  <si>
    <t>http://www.imdb.com/title/tt0218967/?ref_=fn_tt_tt_1</t>
  </si>
  <si>
    <t>RED </t>
  </si>
  <si>
    <t>http://www.imdb.com/title/tt1245526/?ref_=fn_tt_tt_1</t>
  </si>
  <si>
    <t>Any Given Sunday </t>
  </si>
  <si>
    <t>http://www.imdb.com/title/tt0146838/?ref_=fn_tt_tt_1</t>
  </si>
  <si>
    <t>Drama|Romance|Western</t>
  </si>
  <si>
    <t>The Horse Whisperer </t>
  </si>
  <si>
    <t>http://www.imdb.com/title/tt0119314/?ref_=fn_tt_tt_1</t>
  </si>
  <si>
    <t>Collateral </t>
  </si>
  <si>
    <t>http://www.imdb.com/title/tt0369339/?ref_=fn_tt_tt_1</t>
  </si>
  <si>
    <t>The Scorpion King </t>
  </si>
  <si>
    <t>http://www.imdb.com/title/tt0277296/?ref_=fn_tt_tt_1</t>
  </si>
  <si>
    <t>Ladder 49 </t>
  </si>
  <si>
    <t>http://www.imdb.com/title/tt0349710/?ref_=fn_tt_tt_1</t>
  </si>
  <si>
    <t>Jack Reacher </t>
  </si>
  <si>
    <t>http://www.imdb.com/title/tt0790724/?ref_=fn_tt_tt_1</t>
  </si>
  <si>
    <t>Deep Blue Sea </t>
  </si>
  <si>
    <t>http://www.imdb.com/title/tt0149261/?ref_=fn_tt_tt_1</t>
  </si>
  <si>
    <t>Documentary|Music</t>
  </si>
  <si>
    <t>This Is It </t>
  </si>
  <si>
    <t>http://www.imdb.com/title/tt1477715/?ref_=fn_tt_tt_1</t>
  </si>
  <si>
    <t>Drama|Thriller</t>
  </si>
  <si>
    <t>Contagion </t>
  </si>
  <si>
    <t>http://www.imdb.com/title/tt1598778/?ref_=fn_tt_tt_1</t>
  </si>
  <si>
    <t>Kangaroo Jack </t>
  </si>
  <si>
    <t>http://www.imdb.com/title/tt0257568/?ref_=fn_tt_tt_1</t>
  </si>
  <si>
    <t>Animation|Family|Fantasy</t>
  </si>
  <si>
    <t>Coraline </t>
  </si>
  <si>
    <t>http://www.imdb.com/title/tt0327597/?ref_=fn_tt_tt_1</t>
  </si>
  <si>
    <t>The Happening </t>
  </si>
  <si>
    <t>http://www.imdb.com/title/tt0949731/?ref_=fn_tt_tt_1</t>
  </si>
  <si>
    <t>Man on Fire </t>
  </si>
  <si>
    <t>http://www.imdb.com/title/tt0328107/?ref_=fn_tt_tt_1</t>
  </si>
  <si>
    <t>The Shaggy Dog </t>
  </si>
  <si>
    <t>http://www.imdb.com/title/tt0393735/?ref_=fn_tt_tt_1</t>
  </si>
  <si>
    <t>Starsky &amp; Hutch </t>
  </si>
  <si>
    <t>http://www.imdb.com/title/tt0335438/?ref_=fn_tt_tt_1</t>
  </si>
  <si>
    <t>Jingle All the Way </t>
  </si>
  <si>
    <t>http://www.imdb.com/title/tt0116705/?ref_=fn_tt_tt_1</t>
  </si>
  <si>
    <t>Action|Fantasy|Horror|Sci-Fi</t>
  </si>
  <si>
    <t>Hellboy </t>
  </si>
  <si>
    <t>http://www.imdb.com/title/tt0167190/?ref_=fn_tt_tt_1</t>
  </si>
  <si>
    <t>A Civil Action </t>
  </si>
  <si>
    <t>http://www.imdb.com/title/tt0120633/?ref_=fn_tt_tt_1</t>
  </si>
  <si>
    <t>ParaNorman </t>
  </si>
  <si>
    <t>http://www.imdb.com/title/tt1623288/?ref_=fn_tt_tt_1</t>
  </si>
  <si>
    <t>The Jackal </t>
  </si>
  <si>
    <t>http://www.imdb.com/title/tt0119395/?ref_=fn_tt_tt_1</t>
  </si>
  <si>
    <t>Paycheck </t>
  </si>
  <si>
    <t>http://www.imdb.com/title/tt0338337/?ref_=fn_tt_tt_1</t>
  </si>
  <si>
    <t>Up Close &amp; Personal </t>
  </si>
  <si>
    <t>http://www.imdb.com/title/tt0118055/?ref_=fn_tt_tt_1</t>
  </si>
  <si>
    <t>The Tale of Despereaux </t>
  </si>
  <si>
    <t>http://www.imdb.com/title/tt0420238/?ref_=fn_tt_tt_1</t>
  </si>
  <si>
    <t>The Tuxedo </t>
  </si>
  <si>
    <t>http://www.imdb.com/title/tt0290095/?ref_=fn_tt_tt_1</t>
  </si>
  <si>
    <t>Under Siege 2: Dark Territory </t>
  </si>
  <si>
    <t>http://www.imdb.com/title/tt0114781/?ref_=fn_tt_tt_1</t>
  </si>
  <si>
    <t>Jack Ryan: Shadow Recruit </t>
  </si>
  <si>
    <t>http://www.imdb.com/title/tt1205537/?ref_=fn_tt_tt_1</t>
  </si>
  <si>
    <t>Biography|Comedy|Drama</t>
  </si>
  <si>
    <t>Joy </t>
  </si>
  <si>
    <t>http://www.imdb.com/title/tt2446980/?ref_=fn_tt_tt_1</t>
  </si>
  <si>
    <t>London Has Fallen </t>
  </si>
  <si>
    <t>http://www.imdb.com/title/tt3300542/?ref_=fn_tt_tt_1</t>
  </si>
  <si>
    <t>Action|Horror|Sci-Fi</t>
  </si>
  <si>
    <t>Alien: Resurrection </t>
  </si>
  <si>
    <t>http://www.imdb.com/title/tt0118583/?ref_=fn_tt_tt_1</t>
  </si>
  <si>
    <t>Shooter </t>
  </si>
  <si>
    <t>http://www.imdb.com/title/tt0822854/?ref_=fn_tt_tt_1</t>
  </si>
  <si>
    <t>The Boxtrolls </t>
  </si>
  <si>
    <t>http://www.imdb.com/title/tt0787474/?ref_=fn_tt_tt_1</t>
  </si>
  <si>
    <t>Practical Magic </t>
  </si>
  <si>
    <t>http://www.imdb.com/title/tt0120791/?ref_=fn_tt_tt_1</t>
  </si>
  <si>
    <t>The Lego Movie </t>
  </si>
  <si>
    <t>http://www.imdb.com/title/tt1490017/?ref_=fn_tt_tt_1</t>
  </si>
  <si>
    <t>Miss Congeniality 2: Armed and Fabulous </t>
  </si>
  <si>
    <t>http://www.imdb.com/title/tt0385307/?ref_=fn_tt_tt_1</t>
  </si>
  <si>
    <t>Reign of Fire </t>
  </si>
  <si>
    <t>http://www.imdb.com/title/tt0253556/?ref_=fn_tt_tt_1</t>
  </si>
  <si>
    <t>Gangster Squad </t>
  </si>
  <si>
    <t>http://www.imdb.com/title/tt1321870/?ref_=fn_tt_tt_1</t>
  </si>
  <si>
    <t>Adventure|Comedy</t>
  </si>
  <si>
    <t>Year One </t>
  </si>
  <si>
    <t>http://www.imdb.com/title/tt1045778/?ref_=fn_tt_tt_1</t>
  </si>
  <si>
    <t>Biography|Drama|History|Sport</t>
  </si>
  <si>
    <t>Invictus </t>
  </si>
  <si>
    <t>http://www.imdb.com/title/tt1057500/?ref_=fn_tt_tt_1</t>
  </si>
  <si>
    <t>Comedy|Crime|Romance|Thriller</t>
  </si>
  <si>
    <t>Duplicity </t>
  </si>
  <si>
    <t>http://www.imdb.com/title/tt1135487/?ref_=fn_tt_tt_1</t>
  </si>
  <si>
    <t>My Favorite Martian </t>
  </si>
  <si>
    <t>http://www.imdb.com/title/tt0120764/?ref_=fn_tt_tt_1</t>
  </si>
  <si>
    <t>The Sentinel </t>
  </si>
  <si>
    <t>http://www.imdb.com/title/tt0443632/?ref_=fn_tt_tt_1</t>
  </si>
  <si>
    <t>Planet 51 </t>
  </si>
  <si>
    <t>http://www.imdb.com/title/tt0762125/?ref_=fn_tt_tt_1</t>
  </si>
  <si>
    <t>Star Trek: Nemesis </t>
  </si>
  <si>
    <t>http://www.imdb.com/title/tt0253754/?ref_=fn_tt_tt_1</t>
  </si>
  <si>
    <t>Comedy|Crime|Romance</t>
  </si>
  <si>
    <t>Intolerable Cruelty </t>
  </si>
  <si>
    <t>http://www.imdb.com/title/tt0138524/?ref_=fn_tt_tt_1</t>
  </si>
  <si>
    <t>Edge of Darkness </t>
  </si>
  <si>
    <t>http://www.imdb.com/title/tt1226273/?ref_=fn_tt_tt_1</t>
  </si>
  <si>
    <t>Horror|Mystery|Sci-Fi|Thriller</t>
  </si>
  <si>
    <t>The Relic </t>
  </si>
  <si>
    <t>http://www.imdb.com/title/tt0120004/?ref_=fn_tt_tt_1</t>
  </si>
  <si>
    <t>Analyze That </t>
  </si>
  <si>
    <t>http://www.imdb.com/title/tt0289848/?ref_=fn_tt_tt_1</t>
  </si>
  <si>
    <t>Righteous Kill </t>
  </si>
  <si>
    <t>http://www.imdb.com/title/tt1034331/?ref_=fn_tt_tt_1</t>
  </si>
  <si>
    <t>Mercury Rising </t>
  </si>
  <si>
    <t>http://www.imdb.com/title/tt0120749/?ref_=fn_tt_tt_1</t>
  </si>
  <si>
    <t>Biography|Drama|Music</t>
  </si>
  <si>
    <t>The Soloist </t>
  </si>
  <si>
    <t>http://www.imdb.com/title/tt0821642/?ref_=fn_tt_tt_1</t>
  </si>
  <si>
    <t>Drama|Fantasy|Sport</t>
  </si>
  <si>
    <t>The Legend of Bagger Vance </t>
  </si>
  <si>
    <t>http://www.imdb.com/title/tt0146984/?ref_=fn_tt_tt_1</t>
  </si>
  <si>
    <t>Adventure|Comedy|Drama|Music</t>
  </si>
  <si>
    <t>Almost Famous </t>
  </si>
  <si>
    <t>http://www.imdb.com/title/tt0181875/?ref_=fn_tt_tt_1</t>
  </si>
  <si>
    <t>xXx: State of the Union </t>
  </si>
  <si>
    <t>http://www.imdb.com/title/tt0329774/?ref_=fn_tt_tt_1</t>
  </si>
  <si>
    <t>Action|Fantasy|Horror|Sci-Fi|Thriller</t>
  </si>
  <si>
    <t>Priest </t>
  </si>
  <si>
    <t>http://www.imdb.com/title/tt0822847/?ref_=fn_tt_tt_1</t>
  </si>
  <si>
    <t>Adventure|Animation|Comedy|Drama|Family|Fantasy|Romance</t>
  </si>
  <si>
    <t>Sinbad: Legend of the Seven Seas </t>
  </si>
  <si>
    <t>http://www.imdb.com/title/tt0165982/?ref_=fn_tt_tt_1</t>
  </si>
  <si>
    <t>Horror|Sci-Fi|Thriller</t>
  </si>
  <si>
    <t>Event Horizon </t>
  </si>
  <si>
    <t>http://www.imdb.com/title/tt0119081/?ref_=fn_tt_tt_1</t>
  </si>
  <si>
    <t>Drama|Fantasy|Mystery|Romance|Thriller</t>
  </si>
  <si>
    <t>Dragonfly </t>
  </si>
  <si>
    <t>http://www.imdb.com/title/tt0259288/?ref_=fn_tt_tt_1</t>
  </si>
  <si>
    <t>The Black Dahlia </t>
  </si>
  <si>
    <t>http://www.imdb.com/title/tt0387877/?ref_=fn_tt_tt_1</t>
  </si>
  <si>
    <t>Action|Adventure|Drama|History|Romance|War</t>
  </si>
  <si>
    <t>Flyboys </t>
  </si>
  <si>
    <t>http://www.imdb.com/title/tt0454824/?ref_=fn_tt_tt_1</t>
  </si>
  <si>
    <t>The Last Castle </t>
  </si>
  <si>
    <t>http://www.imdb.com/title/tt0272020/?ref_=fn_tt_tt_1</t>
  </si>
  <si>
    <t>Supernova </t>
  </si>
  <si>
    <t>http://www.imdb.com/title/tt0134983/?ref_=fn_tt_tt_1</t>
  </si>
  <si>
    <t>Drama|Fantasy|Mystery|Romance</t>
  </si>
  <si>
    <t>Winter's Tale </t>
  </si>
  <si>
    <t>http://www.imdb.com/title/tt1837709/?ref_=fn_tt_tt_1</t>
  </si>
  <si>
    <t>Fantasy|Horror|Mystery|Romance</t>
  </si>
  <si>
    <t>The Mortal Instruments: City of Bones </t>
  </si>
  <si>
    <t>http://www.imdb.com/title/tt1538403/?ref_=fn_tt_tt_1</t>
  </si>
  <si>
    <t>Drama|Horror|Thriller</t>
  </si>
  <si>
    <t>Dark Water </t>
  </si>
  <si>
    <t>http://www.imdb.com/title/tt0382628/?ref_=fn_tt_tt_1</t>
  </si>
  <si>
    <t>Edtv </t>
  </si>
  <si>
    <t>http://www.imdb.com/title/tt0131369/?ref_=fn_tt_tt_1</t>
  </si>
  <si>
    <t>Inkheart </t>
  </si>
  <si>
    <t>http://www.imdb.com/title/tt0494238/?ref_=fn_tt_tt_1</t>
  </si>
  <si>
    <t>The Spirit </t>
  </si>
  <si>
    <t>http://www.imdb.com/title/tt0831887/?ref_=fn_tt_tt_1</t>
  </si>
  <si>
    <t>Action|Comedy|Mystery|Romance</t>
  </si>
  <si>
    <t>Mortdecai </t>
  </si>
  <si>
    <t>http://www.imdb.com/title/tt3045616/?ref_=fn_tt_tt_1</t>
  </si>
  <si>
    <t>In the Name of the King: A Dungeon Siege Tale </t>
  </si>
  <si>
    <t>http://www.imdb.com/title/tt0460780/?ref_=fn_tt_tt_1</t>
  </si>
  <si>
    <t>Beyond Borders </t>
  </si>
  <si>
    <t>http://www.imdb.com/title/tt0294357/?ref_=fn_tt_tt_1</t>
  </si>
  <si>
    <t>The Great Raid </t>
  </si>
  <si>
    <t>http://www.imdb.com/title/tt0326905/?ref_=fn_tt_tt_1</t>
  </si>
  <si>
    <t>Filipino</t>
  </si>
  <si>
    <t>Action|Adventure|Comedy|Romance|Sci-Fi</t>
  </si>
  <si>
    <t>Deadpool </t>
  </si>
  <si>
    <t>http://www.imdb.com/title/tt1431045/?ref_=fn_tt_tt_1</t>
  </si>
  <si>
    <t>Holy Man </t>
  </si>
  <si>
    <t>http://www.imdb.com/title/tt0120701/?ref_=fn_tt_tt_1</t>
  </si>
  <si>
    <t>Action|Biography|Drama|History|Thriller|War</t>
  </si>
  <si>
    <t>American Sniper </t>
  </si>
  <si>
    <t>http://www.imdb.com/title/tt2179136/?ref_=fn_tt_tt_1</t>
  </si>
  <si>
    <t>Adventure|Comedy|Family|Fantasy|Horror</t>
  </si>
  <si>
    <t>Goosebumps </t>
  </si>
  <si>
    <t>http://www.imdb.com/title/tt1051904/?ref_=fn_tt_tt_1</t>
  </si>
  <si>
    <t>Just Like Heaven </t>
  </si>
  <si>
    <t>http://www.imdb.com/title/tt0425123/?ref_=fn_tt_tt_1</t>
  </si>
  <si>
    <t>Comedy|Family|Romance|Sci-Fi</t>
  </si>
  <si>
    <t>The Flintstones in Viva Rock Vegas </t>
  </si>
  <si>
    <t>http://www.imdb.com/title/tt0158622/?ref_=fn_tt_tt_1</t>
  </si>
  <si>
    <t>Action|Adventure|Thriller|War</t>
  </si>
  <si>
    <t>Rambo III </t>
  </si>
  <si>
    <t>http://www.imdb.com/title/tt0095956/?ref_=fn_tt_tt_1</t>
  </si>
  <si>
    <t>Comedy|Drama|Romance|Sport</t>
  </si>
  <si>
    <t>Leatherheads </t>
  </si>
  <si>
    <t>http://www.imdb.com/title/tt0379865/?ref_=fn_tt_tt_1</t>
  </si>
  <si>
    <t>Comedy|Western</t>
  </si>
  <si>
    <t>Did You Hear About the Morgans? </t>
  </si>
  <si>
    <t>http://www.imdb.com/title/tt1314228/?ref_=fn_tt_tt_1</t>
  </si>
  <si>
    <t>The Internship </t>
  </si>
  <si>
    <t>http://www.imdb.com/title/tt2234155/?ref_=fn_tt_tt_1</t>
  </si>
  <si>
    <t>Resident Evil: Afterlife </t>
  </si>
  <si>
    <t>http://www.imdb.com/title/tt1220634/?ref_=fn_tt_tt_1</t>
  </si>
  <si>
    <t>Red Tails </t>
  </si>
  <si>
    <t>http://www.imdb.com/title/tt0485985/?ref_=fn_tt_tt_1</t>
  </si>
  <si>
    <t>The Devil's Advocate </t>
  </si>
  <si>
    <t>http://www.imdb.com/title/tt0118971/?ref_=fn_tt_tt_1</t>
  </si>
  <si>
    <t>That's My Boy </t>
  </si>
  <si>
    <t>http://www.imdb.com/title/tt1232200/?ref_=fn_tt_tt_1</t>
  </si>
  <si>
    <t>DragonHeart </t>
  </si>
  <si>
    <t>http://www.imdb.com/title/tt0116136/?ref_=fn_tt_tt_1</t>
  </si>
  <si>
    <t>Action|Comedy|Crime|Drama</t>
  </si>
  <si>
    <t>After the Sunset </t>
  </si>
  <si>
    <t>http://www.imdb.com/title/tt0367479/?ref_=fn_tt_tt_1</t>
  </si>
  <si>
    <t>Ghost Rider: Spirit of Vengeance </t>
  </si>
  <si>
    <t>http://www.imdb.com/title/tt1071875/?ref_=fn_tt_tt_1</t>
  </si>
  <si>
    <t>Drama|Music|Romance|War</t>
  </si>
  <si>
    <t>Captain Corelli's Mandolin </t>
  </si>
  <si>
    <t>http://www.imdb.com/title/tt0238112/?ref_=fn_tt_tt_1</t>
  </si>
  <si>
    <t>Action|Comedy|Drama|Family|Thriller</t>
  </si>
  <si>
    <t>The Pacifier </t>
  </si>
  <si>
    <t>http://www.imdb.com/title/tt0395699/?ref_=fn_tt_tt_1</t>
  </si>
  <si>
    <t>Action|Crime</t>
  </si>
  <si>
    <t>Walking Tall </t>
  </si>
  <si>
    <t>http://www.imdb.com/title/tt0351977/?ref_=fn_tt_tt_1</t>
  </si>
  <si>
    <t>Forrest Gump </t>
  </si>
  <si>
    <t>http://www.imdb.com/title/tt0109830/?ref_=fn_tt_tt_1</t>
  </si>
  <si>
    <t>Alvin and the Chipmunks </t>
  </si>
  <si>
    <t>http://www.imdb.com/title/tt0952640/?ref_=fn_tt_tt_1</t>
  </si>
  <si>
    <t>Meet the Parents </t>
  </si>
  <si>
    <t>http://www.imdb.com/title/tt0212338/?ref_=fn_tt_tt_1</t>
  </si>
  <si>
    <t>Adventure|Animation|Drama|Family|History|Musical|Romance</t>
  </si>
  <si>
    <t>Pocahontas </t>
  </si>
  <si>
    <t>http://www.imdb.com/title/tt0114148/?ref_=fn_tt_tt_1</t>
  </si>
  <si>
    <t>Action|Adventure|Drama|Romance|Sci-Fi</t>
  </si>
  <si>
    <t>Superman </t>
  </si>
  <si>
    <t>http://www.imdb.com/title/tt0078346/?ref_=fn_tt_tt_1</t>
  </si>
  <si>
    <t>The Nutty Professor </t>
  </si>
  <si>
    <t>http://www.imdb.com/title/tt0117218/?ref_=fn_tt_tt_1</t>
  </si>
  <si>
    <t>Hitch </t>
  </si>
  <si>
    <t>http://www.imdb.com/title/tt0386588/?ref_=fn_tt_tt_1</t>
  </si>
  <si>
    <t>Action|Adventure|Comedy|Family|Romance</t>
  </si>
  <si>
    <t>George of the Jungle </t>
  </si>
  <si>
    <t>http://www.imdb.com/title/tt0119190/?ref_=fn_tt_tt_1</t>
  </si>
  <si>
    <t>American Wedding </t>
  </si>
  <si>
    <t>http://www.imdb.com/title/tt0328828/?ref_=fn_tt_tt_1</t>
  </si>
  <si>
    <t>Captain Phillips </t>
  </si>
  <si>
    <t>http://www.imdb.com/title/tt1535109/?ref_=fn_tt_tt_1</t>
  </si>
  <si>
    <t>Date Night </t>
  </si>
  <si>
    <t>http://www.imdb.com/title/tt1279935/?ref_=fn_tt_tt_1</t>
  </si>
  <si>
    <t>Casper </t>
  </si>
  <si>
    <t>http://www.imdb.com/title/tt0112642/?ref_=fn_tt_tt_1</t>
  </si>
  <si>
    <t>The Equalizer </t>
  </si>
  <si>
    <t>http://www.imdb.com/title/tt0455944/?ref_=fn_tt_tt_1</t>
  </si>
  <si>
    <t>Maid in Manhattan </t>
  </si>
  <si>
    <t>http://www.imdb.com/title/tt0252076/?ref_=fn_tt_tt_1</t>
  </si>
  <si>
    <t>Crimson Tide </t>
  </si>
  <si>
    <t>http://www.imdb.com/title/tt0112740/?ref_=fn_tt_tt_1</t>
  </si>
  <si>
    <t>The Pursuit of Happyness </t>
  </si>
  <si>
    <t>http://www.imdb.com/title/tt0454921/?ref_=fn_tt_tt_1</t>
  </si>
  <si>
    <t>Flightplan </t>
  </si>
  <si>
    <t>http://www.imdb.com/title/tt0408790/?ref_=fn_tt_tt_1</t>
  </si>
  <si>
    <t>Disclosure </t>
  </si>
  <si>
    <t>http://www.imdb.com/title/tt0109635/?ref_=fn_tt_tt_1</t>
  </si>
  <si>
    <t>City of Angels </t>
  </si>
  <si>
    <t>http://www.imdb.com/title/tt0120632/?ref_=fn_tt_tt_1</t>
  </si>
  <si>
    <t>Kill Bill: Vol. 1 </t>
  </si>
  <si>
    <t>http://www.imdb.com/title/tt0266697/?ref_=fn_tt_tt_1</t>
  </si>
  <si>
    <t>Bowfinger </t>
  </si>
  <si>
    <t>http://www.imdb.com/title/tt0131325/?ref_=fn_tt_tt_1</t>
  </si>
  <si>
    <t>Kill Bill: Vol. 2 </t>
  </si>
  <si>
    <t>http://www.imdb.com/title/tt0378194/?ref_=fn_tt_tt_1</t>
  </si>
  <si>
    <t>Tango &amp; Cash </t>
  </si>
  <si>
    <t>http://www.imdb.com/title/tt0098439/?ref_=fn_tt_tt_1</t>
  </si>
  <si>
    <t>Death Becomes Her </t>
  </si>
  <si>
    <t>http://www.imdb.com/title/tt0104070/?ref_=fn_tt_tt_1</t>
  </si>
  <si>
    <t>Action|Adventure|Comedy|Western</t>
  </si>
  <si>
    <t>Shanghai Noon </t>
  </si>
  <si>
    <t>http://www.imdb.com/title/tt0184894/?ref_=fn_tt_tt_1</t>
  </si>
  <si>
    <t>Executive Decision </t>
  </si>
  <si>
    <t>http://www.imdb.com/title/tt0116253/?ref_=fn_tt_tt_1</t>
  </si>
  <si>
    <t>Mr. Popper's Penguins </t>
  </si>
  <si>
    <t>http://www.imdb.com/title/tt1396218/?ref_=fn_tt_tt_1</t>
  </si>
  <si>
    <t>The Forbidden Kingdom </t>
  </si>
  <si>
    <t>http://www.imdb.com/title/tt0865556/?ref_=fn_tt_tt_1</t>
  </si>
  <si>
    <t>Free Birds </t>
  </si>
  <si>
    <t>http://www.imdb.com/title/tt1621039/?ref_=fn_tt_tt_1</t>
  </si>
  <si>
    <t>Alien 3 </t>
  </si>
  <si>
    <t>http://www.imdb.com/title/tt0103644/?ref_=fn_tt_tt_1</t>
  </si>
  <si>
    <t>Ronin </t>
  </si>
  <si>
    <t>http://www.imdb.com/title/tt0122690/?ref_=fn_tt_tt_1</t>
  </si>
  <si>
    <t>Adventure|Drama|Horror|Thriller</t>
  </si>
  <si>
    <t>The Ghost and the Darkness </t>
  </si>
  <si>
    <t>http://www.imdb.com/title/tt0116409/?ref_=fn_tt_tt_1</t>
  </si>
  <si>
    <t>Paddington </t>
  </si>
  <si>
    <t>http://www.imdb.com/title/tt1109624/?ref_=fn_tt_tt_1</t>
  </si>
  <si>
    <t>The Watch </t>
  </si>
  <si>
    <t>http://www.imdb.com/title/tt1298649/?ref_=fn_tt_tt_1</t>
  </si>
  <si>
    <t>The Hunted </t>
  </si>
  <si>
    <t>http://www.imdb.com/title/tt0269347/?ref_=fn_tt_tt_1</t>
  </si>
  <si>
    <t>Instinct </t>
  </si>
  <si>
    <t>http://www.imdb.com/title/tt0128278/?ref_=fn_tt_tt_1</t>
  </si>
  <si>
    <t>Stuck on You </t>
  </si>
  <si>
    <t>http://www.imdb.com/title/tt0338466/?ref_=fn_tt_tt_1</t>
  </si>
  <si>
    <t>Semi-Pro </t>
  </si>
  <si>
    <t>http://www.imdb.com/title/tt0839980/?ref_=fn_tt_tt_1</t>
  </si>
  <si>
    <t>The Pirates! Band of Misfits </t>
  </si>
  <si>
    <t>http://www.imdb.com/title/tt1430626/?ref_=fn_tt_tt_1</t>
  </si>
  <si>
    <t>Chain Reaction </t>
  </si>
  <si>
    <t>http://www.imdb.com/title/tt0115857/?ref_=fn_tt_tt_1</t>
  </si>
  <si>
    <t>Action|Drama|Sport|Thriller</t>
  </si>
  <si>
    <t>The Fan </t>
  </si>
  <si>
    <t>http://www.imdb.com/title/tt0116277/?ref_=fn_tt_tt_1</t>
  </si>
  <si>
    <t>Drama|Musical|Romance|Thriller</t>
  </si>
  <si>
    <t>The Phantom of the Opera </t>
  </si>
  <si>
    <t>http://www.imdb.com/title/tt0293508/?ref_=fn_tt_tt_1</t>
  </si>
  <si>
    <t>Elizabeth: The Golden Age </t>
  </si>
  <si>
    <t>http://www.imdb.com/title/tt0414055/?ref_=fn_tt_tt_1</t>
  </si>
  <si>
    <t>Æon Flux </t>
  </si>
  <si>
    <t>http://www.imdb.com/title/tt0402022/?ref_=fn_tt_tt_1</t>
  </si>
  <si>
    <t>Gods and Generals </t>
  </si>
  <si>
    <t>http://www.imdb.com/title/tt0279111/?ref_=fn_tt_tt_1</t>
  </si>
  <si>
    <t>Comedy|Drama|Family|Fantasy</t>
  </si>
  <si>
    <t>Imagine That </t>
  </si>
  <si>
    <t>http://www.imdb.com/title/tt0780567/?ref_=fn_tt_tt_1</t>
  </si>
  <si>
    <t>Adventure|Comedy|Crime|Family|Musical</t>
  </si>
  <si>
    <t>Muppets Most Wanted </t>
  </si>
  <si>
    <t>http://www.imdb.com/title/tt2281587/?ref_=fn_tt_tt_1</t>
  </si>
  <si>
    <t>Thunderbirds </t>
  </si>
  <si>
    <t>http://www.imdb.com/title/tt0167456/?ref_=fn_tt_tt_1</t>
  </si>
  <si>
    <t>Drama|Music|Musical|Romance</t>
  </si>
  <si>
    <t>Burlesque </t>
  </si>
  <si>
    <t>http://www.imdb.com/title/tt1126591/?ref_=fn_tt_tt_1</t>
  </si>
  <si>
    <t>Drama|Mystery|Romance|War</t>
  </si>
  <si>
    <t>A Very Long Engagement </t>
  </si>
  <si>
    <t>http://www.imdb.com/title/tt0344510/?ref_=fn_tt_tt_1</t>
  </si>
  <si>
    <t>Crime|Drama|Romance</t>
  </si>
  <si>
    <t>Crime|Horror|Mystery|Thriller</t>
  </si>
  <si>
    <t>Blade II </t>
  </si>
  <si>
    <t>http://www.imdb.com/title/tt0187738/?ref_=fn_tt_tt_1</t>
  </si>
  <si>
    <t>Seven Pounds </t>
  </si>
  <si>
    <t>http://www.imdb.com/title/tt0814314/?ref_=fn_tt_tt_1</t>
  </si>
  <si>
    <t>Bullet to the Head </t>
  </si>
  <si>
    <t>http://www.imdb.com/title/tt1308729/?ref_=fn_tt_tt_1</t>
  </si>
  <si>
    <t>The Godfather: Part III </t>
  </si>
  <si>
    <t>http://www.imdb.com/title/tt0099674/?ref_=fn_tt_tt_1</t>
  </si>
  <si>
    <t>Elizabethtown </t>
  </si>
  <si>
    <t>http://www.imdb.com/title/tt0368709/?ref_=fn_tt_tt_1</t>
  </si>
  <si>
    <t>You, Me and Dupree </t>
  </si>
  <si>
    <t>http://www.imdb.com/title/tt0463034/?ref_=fn_tt_tt_1</t>
  </si>
  <si>
    <t>Superman II </t>
  </si>
  <si>
    <t>http://www.imdb.com/title/tt0081573/?ref_=fn_tt_tt_1</t>
  </si>
  <si>
    <t>Gigli </t>
  </si>
  <si>
    <t>http://www.imdb.com/title/tt0299930/?ref_=fn_tt_tt_1</t>
  </si>
  <si>
    <t>All the King's Men </t>
  </si>
  <si>
    <t>http://www.imdb.com/title/tt0405676/?ref_=fn_tt_tt_1</t>
  </si>
  <si>
    <t>Shaft </t>
  </si>
  <si>
    <t>http://www.imdb.com/title/tt0162650/?ref_=fn_tt_tt_1</t>
  </si>
  <si>
    <t>Adventure|Animation|Drama|Family|Fantasy|Musical|Mystery|Romance</t>
  </si>
  <si>
    <t>Anastasia </t>
  </si>
  <si>
    <t>http://www.imdb.com/title/tt0118617/?ref_=fn_tt_tt_1</t>
  </si>
  <si>
    <t>Moulin Rouge! </t>
  </si>
  <si>
    <t>http://www.imdb.com/title/tt0203009/?ref_=fn_tt_tt_1</t>
  </si>
  <si>
    <t>Domestic Disturbance </t>
  </si>
  <si>
    <t>http://www.imdb.com/title/tt0249478/?ref_=fn_tt_tt_1</t>
  </si>
  <si>
    <t>Black Mass </t>
  </si>
  <si>
    <t>http://www.imdb.com/title/tt1355683/?ref_=fn_tt_tt_1</t>
  </si>
  <si>
    <t>Flags of Our Fathers </t>
  </si>
  <si>
    <t>http://www.imdb.com/title/tt0418689/?ref_=fn_tt_tt_1</t>
  </si>
  <si>
    <t>Law Abiding Citizen </t>
  </si>
  <si>
    <t>http://www.imdb.com/title/tt1197624/?ref_=fn_tt_tt_1</t>
  </si>
  <si>
    <t>Action|Horror|Thriller</t>
  </si>
  <si>
    <t>Grindhouse </t>
  </si>
  <si>
    <t>http://www.imdb.com/title/tt0462322/?ref_=fn_tt_tt_1</t>
  </si>
  <si>
    <t>Drama|History|Horror</t>
  </si>
  <si>
    <t>Beloved </t>
  </si>
  <si>
    <t>http://www.imdb.com/title/tt0120603/?ref_=fn_tt_tt_1</t>
  </si>
  <si>
    <t>Drama|Romance|Sport</t>
  </si>
  <si>
    <t>Catch Me If You Can </t>
  </si>
  <si>
    <t>http://www.imdb.com/title/tt0264464/?ref_=fn_tt_tt_1</t>
  </si>
  <si>
    <t>Zero Dark Thirty </t>
  </si>
  <si>
    <t>http://www.imdb.com/title/tt1790885/?ref_=fn_tt_tt_1</t>
  </si>
  <si>
    <t>The Break-Up </t>
  </si>
  <si>
    <t>http://www.imdb.com/title/tt0452594/?ref_=fn_tt_tt_1</t>
  </si>
  <si>
    <t>Comedy|Family|Musical|Romance</t>
  </si>
  <si>
    <t>Mamma Mia! </t>
  </si>
  <si>
    <t>http://www.imdb.com/title/tt0795421/?ref_=fn_tt_tt_1</t>
  </si>
  <si>
    <t>Valentine's Day </t>
  </si>
  <si>
    <t>http://www.imdb.com/title/tt0817230/?ref_=fn_tt_tt_1</t>
  </si>
  <si>
    <t>The Dukes of Hazzard </t>
  </si>
  <si>
    <t>http://www.imdb.com/title/tt0377818/?ref_=fn_tt_tt_1</t>
  </si>
  <si>
    <t>The Thin Red Line </t>
  </si>
  <si>
    <t>http://www.imdb.com/title/tt0120863/?ref_=fn_tt_tt_1</t>
  </si>
  <si>
    <t>The Change-Up </t>
  </si>
  <si>
    <t>http://www.imdb.com/title/tt1488555/?ref_=fn_tt_tt_1</t>
  </si>
  <si>
    <t>Man on the Moon </t>
  </si>
  <si>
    <t>http://www.imdb.com/title/tt0125664/?ref_=fn_tt_tt_1</t>
  </si>
  <si>
    <t>Casino </t>
  </si>
  <si>
    <t>http://www.imdb.com/title/tt0112641/?ref_=fn_tt_tt_1</t>
  </si>
  <si>
    <t>From Paris with Love </t>
  </si>
  <si>
    <t>http://www.imdb.com/title/tt1179034/?ref_=fn_tt_tt_1</t>
  </si>
  <si>
    <t>Bulletproof Monk </t>
  </si>
  <si>
    <t>http://www.imdb.com/title/tt0245803/?ref_=fn_tt_tt_1</t>
  </si>
  <si>
    <t>Me, Myself &amp; Irene </t>
  </si>
  <si>
    <t>http://www.imdb.com/title/tt0183505/?ref_=fn_tt_tt_1</t>
  </si>
  <si>
    <t>Barnyard </t>
  </si>
  <si>
    <t>http://www.imdb.com/title/tt0414853/?ref_=fn_tt_tt_1</t>
  </si>
  <si>
    <t>The Twilight Saga: New Moon </t>
  </si>
  <si>
    <t>http://www.imdb.com/title/tt1259571/?ref_=fn_tt_tt_1</t>
  </si>
  <si>
    <t>Shrek </t>
  </si>
  <si>
    <t>http://www.imdb.com/title/tt0126029/?ref_=fn_tt_tt_1</t>
  </si>
  <si>
    <t>Romance|Sci-Fi|Thriller</t>
  </si>
  <si>
    <t>The Adjustment Bureau </t>
  </si>
  <si>
    <t>http://www.imdb.com/title/tt1385826/?ref_=fn_tt_tt_1</t>
  </si>
  <si>
    <t>Robin Hood: Prince of Thieves </t>
  </si>
  <si>
    <t>http://www.imdb.com/title/tt0102798/?ref_=fn_tt_tt_1</t>
  </si>
  <si>
    <t>Jerry Maguire </t>
  </si>
  <si>
    <t>http://www.imdb.com/title/tt0116695/?ref_=fn_tt_tt_1</t>
  </si>
  <si>
    <t>Ted </t>
  </si>
  <si>
    <t>http://www.imdb.com/title/tt1637725/?ref_=fn_tt_tt_1</t>
  </si>
  <si>
    <t>As Good as It Gets </t>
  </si>
  <si>
    <t>http://www.imdb.com/title/tt0119822/?ref_=fn_tt_tt_1</t>
  </si>
  <si>
    <t>Biography|Comedy|Drama|Romance</t>
  </si>
  <si>
    <t>Patch Adams </t>
  </si>
  <si>
    <t>http://www.imdb.com/title/tt0129290/?ref_=fn_tt_tt_1</t>
  </si>
  <si>
    <t>Anchorman 2: The Legend Continues </t>
  </si>
  <si>
    <t>http://www.imdb.com/title/tt1229340/?ref_=fn_tt_tt_1</t>
  </si>
  <si>
    <t>Mr. Deeds </t>
  </si>
  <si>
    <t>http://www.imdb.com/title/tt0280590/?ref_=fn_tt_tt_1</t>
  </si>
  <si>
    <t>Mystery|Sci-Fi|Thriller</t>
  </si>
  <si>
    <t>Super 8 </t>
  </si>
  <si>
    <t>http://www.imdb.com/title/tt1650062/?ref_=fn_tt_tt_1</t>
  </si>
  <si>
    <t>Erin Brockovich </t>
  </si>
  <si>
    <t>http://www.imdb.com/title/tt0195685/?ref_=fn_tt_tt_1</t>
  </si>
  <si>
    <t>How to Lose a Guy in 10 Days </t>
  </si>
  <si>
    <t>http://www.imdb.com/title/tt0251127/?ref_=fn_tt_tt_1</t>
  </si>
  <si>
    <t>22 Jump Street </t>
  </si>
  <si>
    <t>http://www.imdb.com/title/tt2294449/?ref_=fn_tt_tt_1</t>
  </si>
  <si>
    <t>Drama|Fantasy|Horror</t>
  </si>
  <si>
    <t>Interview with the Vampire: The Vampire Chronicles </t>
  </si>
  <si>
    <t>http://www.imdb.com/title/tt0110148/?ref_=fn_tt_tt_1</t>
  </si>
  <si>
    <t>Yes Man </t>
  </si>
  <si>
    <t>http://www.imdb.com/title/tt1068680/?ref_=fn_tt_tt_1</t>
  </si>
  <si>
    <t>Central Intelligence </t>
  </si>
  <si>
    <t>http://www.imdb.com/title/tt1489889/?ref_=fn_tt_tt_1</t>
  </si>
  <si>
    <t>Stepmom </t>
  </si>
  <si>
    <t>http://www.imdb.com/title/tt0120686/?ref_=fn_tt_tt_1</t>
  </si>
  <si>
    <t>Daddy's Home </t>
  </si>
  <si>
    <t>http://www.imdb.com/title/tt1528854/?ref_=fn_tt_tt_1</t>
  </si>
  <si>
    <t>Adventure|Comedy|Drama|Fantasy|Musical</t>
  </si>
  <si>
    <t>Into the Woods </t>
  </si>
  <si>
    <t>http://www.imdb.com/title/tt2180411/?ref_=fn_tt_tt_1</t>
  </si>
  <si>
    <t>Inside Man </t>
  </si>
  <si>
    <t>http://www.imdb.com/title/tt0454848/?ref_=fn_tt_tt_1</t>
  </si>
  <si>
    <t>Payback </t>
  </si>
  <si>
    <t>http://www.imdb.com/title/tt0120784/?ref_=fn_tt_tt_1</t>
  </si>
  <si>
    <t>Congo </t>
  </si>
  <si>
    <t>http://www.imdb.com/title/tt0112715/?ref_=fn_tt_tt_1</t>
  </si>
  <si>
    <t>Knowing </t>
  </si>
  <si>
    <t>http://www.imdb.com/title/tt0448011/?ref_=fn_tt_tt_1</t>
  </si>
  <si>
    <t>Failure to Launch </t>
  </si>
  <si>
    <t>http://www.imdb.com/title/tt0427229/?ref_=fn_tt_tt_1</t>
  </si>
  <si>
    <t>Horror|Mystery</t>
  </si>
  <si>
    <t>Crazy, Stupid, Love. </t>
  </si>
  <si>
    <t>http://www.imdb.com/title/tt1570728/?ref_=fn_tt_tt_1</t>
  </si>
  <si>
    <t>Garfield </t>
  </si>
  <si>
    <t>http://www.imdb.com/title/tt0356634/?ref_=fn_tt_tt_1</t>
  </si>
  <si>
    <t>Christmas with the Kranks </t>
  </si>
  <si>
    <t>http://www.imdb.com/title/tt0388419/?ref_=fn_tt_tt_1</t>
  </si>
  <si>
    <t>Moneyball </t>
  </si>
  <si>
    <t>http://www.imdb.com/title/tt1210166/?ref_=fn_tt_tt_1</t>
  </si>
  <si>
    <t>Outbreak </t>
  </si>
  <si>
    <t>http://www.imdb.com/title/tt0114069/?ref_=fn_tt_tt_1</t>
  </si>
  <si>
    <t>Non-Stop </t>
  </si>
  <si>
    <t>http://www.imdb.com/title/tt2024469/?ref_=fn_tt_tt_1</t>
  </si>
  <si>
    <t>Action|Adventure|Family|Fantasy|Sci-Fi|Thriller</t>
  </si>
  <si>
    <t>Race to Witch Mountain </t>
  </si>
  <si>
    <t>http://www.imdb.com/title/tt1075417/?ref_=fn_tt_tt_1</t>
  </si>
  <si>
    <t>V for Vendetta </t>
  </si>
  <si>
    <t>http://www.imdb.com/title/tt0434409/?ref_=fn_tt_tt_1</t>
  </si>
  <si>
    <t>Shanghai Knights </t>
  </si>
  <si>
    <t>http://www.imdb.com/title/tt0300471/?ref_=fn_tt_tt_1</t>
  </si>
  <si>
    <t>Curious George </t>
  </si>
  <si>
    <t>http://www.imdb.com/title/tt0381971/?ref_=fn_tt_tt_1</t>
  </si>
  <si>
    <t>Adventure|Comedy|Family|Fantasy|Romance|Sport</t>
  </si>
  <si>
    <t>Herbie Fully Loaded </t>
  </si>
  <si>
    <t>http://www.imdb.com/title/tt0400497/?ref_=fn_tt_tt_1</t>
  </si>
  <si>
    <t>Don't Say a Word </t>
  </si>
  <si>
    <t>http://www.imdb.com/title/tt0260866/?ref_=fn_tt_tt_1</t>
  </si>
  <si>
    <t>Hansel &amp; Gretel: Witch Hunters </t>
  </si>
  <si>
    <t>http://www.imdb.com/title/tt1428538/?ref_=fn_tt_tt_1</t>
  </si>
  <si>
    <t>Unfaithful </t>
  </si>
  <si>
    <t>http://www.imdb.com/title/tt0250797/?ref_=fn_tt_tt_1</t>
  </si>
  <si>
    <t>I Am Number Four </t>
  </si>
  <si>
    <t>http://www.imdb.com/title/tt1464540/?ref_=fn_tt_tt_1</t>
  </si>
  <si>
    <t>Syriana </t>
  </si>
  <si>
    <t>http://www.imdb.com/title/tt0365737/?ref_=fn_tt_tt_1</t>
  </si>
  <si>
    <t>13 Hours </t>
  </si>
  <si>
    <t>http://www.imdb.com/title/tt4172430/?ref_=fn_tt_tt_1</t>
  </si>
  <si>
    <t>The Book of Life </t>
  </si>
  <si>
    <t>http://www.imdb.com/title/tt2262227/?ref_=fn_tt_tt_1</t>
  </si>
  <si>
    <t>Firewall </t>
  </si>
  <si>
    <t>http://www.imdb.com/title/tt0408345/?ref_=fn_tt_tt_1</t>
  </si>
  <si>
    <t>Absolute Power </t>
  </si>
  <si>
    <t>http://www.imdb.com/title/tt0118548/?ref_=fn_tt_tt_1</t>
  </si>
  <si>
    <t>G.I. Jane </t>
  </si>
  <si>
    <t>http://www.imdb.com/title/tt0119173/?ref_=fn_tt_tt_1</t>
  </si>
  <si>
    <t>The Game </t>
  </si>
  <si>
    <t>http://www.imdb.com/title/tt0119174/?ref_=fn_tt_tt_1</t>
  </si>
  <si>
    <t>Adventure|Horror|Mystery</t>
  </si>
  <si>
    <t>Silent Hill </t>
  </si>
  <si>
    <t>http://www.imdb.com/title/tt0384537/?ref_=fn_tt_tt_1</t>
  </si>
  <si>
    <t>The Replacements </t>
  </si>
  <si>
    <t>http://www.imdb.com/title/tt0191397/?ref_=fn_tt_tt_1</t>
  </si>
  <si>
    <t>American Reunion </t>
  </si>
  <si>
    <t>http://www.imdb.com/title/tt1605630/?ref_=fn_tt_tt_1</t>
  </si>
  <si>
    <t>The Negotiator </t>
  </si>
  <si>
    <t>http://www.imdb.com/title/tt0120768/?ref_=fn_tt_tt_1</t>
  </si>
  <si>
    <t>Into the Storm </t>
  </si>
  <si>
    <t>http://www.imdb.com/title/tt2106361/?ref_=fn_tt_tt_1</t>
  </si>
  <si>
    <t>Beverly Hills Cop III </t>
  </si>
  <si>
    <t>http://www.imdb.com/title/tt0109254/?ref_=fn_tt_tt_1</t>
  </si>
  <si>
    <t>Gremlins 2: The New Batch </t>
  </si>
  <si>
    <t>http://www.imdb.com/title/tt0099700/?ref_=fn_tt_tt_1</t>
  </si>
  <si>
    <t>The Judge </t>
  </si>
  <si>
    <t>http://www.imdb.com/title/tt1872194/?ref_=fn_tt_tt_1</t>
  </si>
  <si>
    <t>The Peacemaker </t>
  </si>
  <si>
    <t>http://www.imdb.com/title/tt0119874/?ref_=fn_tt_tt_1</t>
  </si>
  <si>
    <t>Resident Evil: Apocalypse </t>
  </si>
  <si>
    <t>http://www.imdb.com/title/tt0318627/?ref_=fn_tt_tt_1</t>
  </si>
  <si>
    <t>Bridget Jones: The Edge of Reason </t>
  </si>
  <si>
    <t>http://www.imdb.com/title/tt0317198/?ref_=fn_tt_tt_1</t>
  </si>
  <si>
    <t>Crime|Drama|Romance|Thriller</t>
  </si>
  <si>
    <t>Out of Time </t>
  </si>
  <si>
    <t>http://www.imdb.com/title/tt0313443/?ref_=fn_tt_tt_1</t>
  </si>
  <si>
    <t>On Deadly Ground </t>
  </si>
  <si>
    <t>http://www.imdb.com/title/tt0110725/?ref_=fn_tt_tt_1</t>
  </si>
  <si>
    <t>The Adventures of Sharkboy and Lavagirl 3-D </t>
  </si>
  <si>
    <t>http://www.imdb.com/title/tt0424774/?ref_=fn_tt_tt_1</t>
  </si>
  <si>
    <t>The Beach </t>
  </si>
  <si>
    <t>http://www.imdb.com/title/tt0163978/?ref_=fn_tt_tt_1</t>
  </si>
  <si>
    <t>Raising Helen </t>
  </si>
  <si>
    <t>http://www.imdb.com/title/tt0350028/?ref_=fn_tt_tt_1</t>
  </si>
  <si>
    <t>Ninja Assassin </t>
  </si>
  <si>
    <t>http://www.imdb.com/title/tt1186367/?ref_=fn_tt_tt_1</t>
  </si>
  <si>
    <t>For Love of the Game </t>
  </si>
  <si>
    <t>http://www.imdb.com/title/tt0126916/?ref_=fn_tt_tt_1</t>
  </si>
  <si>
    <t>Comedy|Crime|Drama|Thriller</t>
  </si>
  <si>
    <t>Striptease </t>
  </si>
  <si>
    <t>http://www.imdb.com/title/tt0117765/?ref_=fn_tt_tt_1</t>
  </si>
  <si>
    <t>Marmaduke </t>
  </si>
  <si>
    <t>http://www.imdb.com/title/tt1392197/?ref_=fn_tt_tt_1</t>
  </si>
  <si>
    <t>Drama|Fantasy</t>
  </si>
  <si>
    <t>Hereafter </t>
  </si>
  <si>
    <t>http://www.imdb.com/title/tt1212419/?ref_=fn_tt_tt_1</t>
  </si>
  <si>
    <t>Murder by Numbers </t>
  </si>
  <si>
    <t>http://www.imdb.com/title/tt0264935/?ref_=fn_tt_tt_1</t>
  </si>
  <si>
    <t>Assassins </t>
  </si>
  <si>
    <t>http://www.imdb.com/title/tt0112401/?ref_=fn_tt_tt_1</t>
  </si>
  <si>
    <t>Hannibal Rising </t>
  </si>
  <si>
    <t>http://www.imdb.com/title/tt0367959/?ref_=fn_tt_tt_1</t>
  </si>
  <si>
    <t>The Story of Us </t>
  </si>
  <si>
    <t>http://www.imdb.com/title/tt0160916/?ref_=fn_tt_tt_1</t>
  </si>
  <si>
    <t>The Host </t>
  </si>
  <si>
    <t>http://www.imdb.com/title/tt1517260/?ref_=fn_tt_tt_1</t>
  </si>
  <si>
    <t>Basic </t>
  </si>
  <si>
    <t>http://www.imdb.com/title/tt0264395/?ref_=fn_tt_tt_1</t>
  </si>
  <si>
    <t>Blood Work </t>
  </si>
  <si>
    <t>http://www.imdb.com/title/tt0309377/?ref_=fn_tt_tt_1</t>
  </si>
  <si>
    <t>The International </t>
  </si>
  <si>
    <t>http://www.imdb.com/title/tt0963178/?ref_=fn_tt_tt_1</t>
  </si>
  <si>
    <t>Escape from L.A. </t>
  </si>
  <si>
    <t>http://www.imdb.com/title/tt0116225/?ref_=fn_tt_tt_1</t>
  </si>
  <si>
    <t>The Iron Giant </t>
  </si>
  <si>
    <t>http://www.imdb.com/title/tt0129167/?ref_=fn_tt_tt_1</t>
  </si>
  <si>
    <t>Adventure|Comedy|Drama</t>
  </si>
  <si>
    <t>The Life Aquatic with Steve Zissou </t>
  </si>
  <si>
    <t>http://www.imdb.com/title/tt0362270/?ref_=fn_tt_tt_1</t>
  </si>
  <si>
    <t>Action|Biography|Drama|History|War</t>
  </si>
  <si>
    <t>Free State of Jones </t>
  </si>
  <si>
    <t>http://www.imdb.com/title/tt1124037/?ref_=fn_tt_tt_1</t>
  </si>
  <si>
    <t>The Life of David Gale </t>
  </si>
  <si>
    <t>http://www.imdb.com/title/tt0289992/?ref_=fn_tt_tt_1</t>
  </si>
  <si>
    <t>Man of the House </t>
  </si>
  <si>
    <t>http://www.imdb.com/title/tt0331933/?ref_=fn_tt_tt_1</t>
  </si>
  <si>
    <t>Run All Night </t>
  </si>
  <si>
    <t>http://www.imdb.com/title/tt2199571/?ref_=fn_tt_tt_1</t>
  </si>
  <si>
    <t>Eastern Promises </t>
  </si>
  <si>
    <t>http://www.imdb.com/title/tt0765443/?ref_=fn_tt_tt_1</t>
  </si>
  <si>
    <t>Into the Blue </t>
  </si>
  <si>
    <t>http://www.imdb.com/title/tt0378109/?ref_=fn_tt_tt_1</t>
  </si>
  <si>
    <t>The Messenger: The Story of Joan of Arc </t>
  </si>
  <si>
    <t>http://www.imdb.com/title/tt0151137/?ref_=fn_tt_tt_1</t>
  </si>
  <si>
    <t>Adventure|Comedy|Fantasy</t>
  </si>
  <si>
    <t>Your Highness </t>
  </si>
  <si>
    <t>http://www.imdb.com/title/tt1240982/?ref_=fn_tt_tt_1</t>
  </si>
  <si>
    <t>Dream House </t>
  </si>
  <si>
    <t>http://www.imdb.com/title/tt1462041/?ref_=fn_tt_tt_1</t>
  </si>
  <si>
    <t>Mad City </t>
  </si>
  <si>
    <t>http://www.imdb.com/title/tt0119592/?ref_=fn_tt_tt_1</t>
  </si>
  <si>
    <t>Adventure|Comedy|Crime|Drama|Family</t>
  </si>
  <si>
    <t>Baby's Day Out </t>
  </si>
  <si>
    <t>http://www.imdb.com/title/tt0109190/?ref_=fn_tt_tt_1</t>
  </si>
  <si>
    <t>Fair Game </t>
  </si>
  <si>
    <t>http://www.imdb.com/title/tt0977855/?ref_=fn_tt_tt_1</t>
  </si>
  <si>
    <t>Action|Biography|Crime|Drama|Thriller</t>
  </si>
  <si>
    <t>Domino </t>
  </si>
  <si>
    <t>http://www.imdb.com/title/tt0421054/?ref_=fn_tt_tt_1</t>
  </si>
  <si>
    <t>Jade </t>
  </si>
  <si>
    <t>http://www.imdb.com/title/tt0113451/?ref_=fn_tt_tt_1</t>
  </si>
  <si>
    <t>Gamer </t>
  </si>
  <si>
    <t>http://www.imdb.com/title/tt1034032/?ref_=fn_tt_tt_1</t>
  </si>
  <si>
    <t>Beautiful Creatures </t>
  </si>
  <si>
    <t>http://www.imdb.com/title/tt1559547/?ref_=fn_tt_tt_1</t>
  </si>
  <si>
    <t>Death to Smoochy </t>
  </si>
  <si>
    <t>http://www.imdb.com/title/tt0266452/?ref_=fn_tt_tt_1</t>
  </si>
  <si>
    <t>Zoolander 2 </t>
  </si>
  <si>
    <t>http://www.imdb.com/title/tt1608290/?ref_=fn_tt_tt_1</t>
  </si>
  <si>
    <t>The Big Bounce </t>
  </si>
  <si>
    <t>http://www.imdb.com/title/tt0315824/?ref_=fn_tt_tt_1</t>
  </si>
  <si>
    <t>Comedy|Sci-Fi</t>
  </si>
  <si>
    <t>What Planet Are You From? </t>
  </si>
  <si>
    <t>http://www.imdb.com/title/tt0181151/?ref_=fn_tt_tt_1</t>
  </si>
  <si>
    <t>Drive Angry </t>
  </si>
  <si>
    <t>http://www.imdb.com/title/tt1502404/?ref_=fn_tt_tt_1</t>
  </si>
  <si>
    <t>Street Fighter: The Legend of Chun-Li </t>
  </si>
  <si>
    <t>http://www.imdb.com/title/tt0891592/?ref_=fn_tt_tt_1</t>
  </si>
  <si>
    <t>The One </t>
  </si>
  <si>
    <t>http://www.imdb.com/title/tt0267804/?ref_=fn_tt_tt_1</t>
  </si>
  <si>
    <t>Drama|Romance|Sci-Fi</t>
  </si>
  <si>
    <t>Action|Adventure|Comedy|Crime|Music|Mystery</t>
  </si>
  <si>
    <t>The Adventures of Ford Fairlane </t>
  </si>
  <si>
    <t>http://www.imdb.com/title/tt0098987/?ref_=fn_tt_tt_1</t>
  </si>
  <si>
    <t>Comedy|Drama|Music</t>
  </si>
  <si>
    <t>Traffic </t>
  </si>
  <si>
    <t>http://www.imdb.com/title/tt0181865/?ref_=fn_tt_tt_1</t>
  </si>
  <si>
    <t>Indiana Jones and the Last Crusade </t>
  </si>
  <si>
    <t>http://www.imdb.com/title/tt0097576/?ref_=fn_tt_tt_1</t>
  </si>
  <si>
    <t>Action|Crime|Drama|Sci-Fi|Thriller</t>
  </si>
  <si>
    <t>Chappie </t>
  </si>
  <si>
    <t>http://www.imdb.com/title/tt1823672/?ref_=fn_tt_tt_1</t>
  </si>
  <si>
    <t>The Bone Collector </t>
  </si>
  <si>
    <t>http://www.imdb.com/title/tt0145681/?ref_=fn_tt_tt_1</t>
  </si>
  <si>
    <t>Panic Room </t>
  </si>
  <si>
    <t>http://www.imdb.com/title/tt0258000/?ref_=fn_tt_tt_1</t>
  </si>
  <si>
    <t>Horror|Thriller</t>
  </si>
  <si>
    <t>Action|Adventure|Comedy|Drama|War</t>
  </si>
  <si>
    <t>Three Kings </t>
  </si>
  <si>
    <t>http://www.imdb.com/title/tt0120188/?ref_=fn_tt_tt_1</t>
  </si>
  <si>
    <t>Child 44 </t>
  </si>
  <si>
    <t>http://www.imdb.com/title/tt1014763/?ref_=fn_tt_tt_1</t>
  </si>
  <si>
    <t>Czech Republic</t>
  </si>
  <si>
    <t>Rat Race </t>
  </si>
  <si>
    <t>http://www.imdb.com/title/tt0250687/?ref_=fn_tt_tt_1</t>
  </si>
  <si>
    <t>Drama|Mystery|Sci-Fi</t>
  </si>
  <si>
    <t>K-PAX </t>
  </si>
  <si>
    <t>http://www.imdb.com/title/tt0272152/?ref_=fn_tt_tt_1</t>
  </si>
  <si>
    <t>Kate &amp; Leopold </t>
  </si>
  <si>
    <t>http://www.imdb.com/title/tt0035423/?ref_=fn_tt_tt_1</t>
  </si>
  <si>
    <t>Bedazzled </t>
  </si>
  <si>
    <t>http://www.imdb.com/title/tt0230030/?ref_=fn_tt_tt_1</t>
  </si>
  <si>
    <t>Crime|Drama|Music</t>
  </si>
  <si>
    <t>The Cotton Club </t>
  </si>
  <si>
    <t>http://www.imdb.com/title/tt0087089/?ref_=fn_tt_tt_1</t>
  </si>
  <si>
    <t>Adventure|Crime|Drama|Western</t>
  </si>
  <si>
    <t>3:10 to Yuma </t>
  </si>
  <si>
    <t>http://www.imdb.com/title/tt0381849/?ref_=fn_tt_tt_1</t>
  </si>
  <si>
    <t>Taken 3 </t>
  </si>
  <si>
    <t>http://www.imdb.com/title/tt2446042/?ref_=fn_tt_tt_1</t>
  </si>
  <si>
    <t>Out of Sight </t>
  </si>
  <si>
    <t>http://www.imdb.com/title/tt0120780/?ref_=fn_tt_tt_1</t>
  </si>
  <si>
    <t>Comedy|Drama|Thriller</t>
  </si>
  <si>
    <t>The Cable Guy </t>
  </si>
  <si>
    <t>http://www.imdb.com/title/tt0115798/?ref_=fn_tt_tt_1</t>
  </si>
  <si>
    <t>Drama|Romance|War</t>
  </si>
  <si>
    <t>Hindi</t>
  </si>
  <si>
    <t>India</t>
  </si>
  <si>
    <t>Action|Comedy|Crime|Music|Romance|Thriller</t>
  </si>
  <si>
    <t>Dick Tracy </t>
  </si>
  <si>
    <t>http://www.imdb.com/title/tt0099422/?ref_=fn_tt_tt_1</t>
  </si>
  <si>
    <t>Crime|Romance|Thriller</t>
  </si>
  <si>
    <t>The Thomas Crown Affair </t>
  </si>
  <si>
    <t>http://www.imdb.com/title/tt0155267/?ref_=fn_tt_tt_1</t>
  </si>
  <si>
    <t>Russian</t>
  </si>
  <si>
    <t>Happily N'Ever After </t>
  </si>
  <si>
    <t>http://www.imdb.com/title/tt0308353/?ref_=fn_tt_tt_1</t>
  </si>
  <si>
    <t>Mary Reilly </t>
  </si>
  <si>
    <t>http://www.imdb.com/title/tt0117002/?ref_=fn_tt_tt_1</t>
  </si>
  <si>
    <t>My Best Friend's Wedding </t>
  </si>
  <si>
    <t>http://www.imdb.com/title/tt0119738/?ref_=fn_tt_tt_1</t>
  </si>
  <si>
    <t>America's Sweethearts </t>
  </si>
  <si>
    <t>http://www.imdb.com/title/tt0265029/?ref_=fn_tt_tt_1</t>
  </si>
  <si>
    <t>Insomnia </t>
  </si>
  <si>
    <t>http://www.imdb.com/title/tt0278504/?ref_=fn_tt_tt_1</t>
  </si>
  <si>
    <t>Action|Adventure|Drama|Sci-Fi|Thriller</t>
  </si>
  <si>
    <t>Star Trek: First Contact </t>
  </si>
  <si>
    <t>http://www.imdb.com/title/tt0117731/?ref_=fn_tt_tt_1</t>
  </si>
  <si>
    <t>Action|Drama|Fantasy|Thriller|Western</t>
  </si>
  <si>
    <t>Jonah Hex </t>
  </si>
  <si>
    <t>http://www.imdb.com/title/tt1075747/?ref_=fn_tt_tt_1</t>
  </si>
  <si>
    <t>Action|Drama|Mystery|Thriller|War</t>
  </si>
  <si>
    <t>Courage Under Fire </t>
  </si>
  <si>
    <t>http://www.imdb.com/title/tt0115956/?ref_=fn_tt_tt_1</t>
  </si>
  <si>
    <t>Liar Liar </t>
  </si>
  <si>
    <t>http://www.imdb.com/title/tt0119528/?ref_=fn_tt_tt_1</t>
  </si>
  <si>
    <t>Biography|Crime|Drama|Thriller</t>
  </si>
  <si>
    <t>The Infiltrator </t>
  </si>
  <si>
    <t>http://www.imdb.com/title/tt1355631/?ref_=fn_tt_tt_1</t>
  </si>
  <si>
    <t>South Korea</t>
  </si>
  <si>
    <t>The Flintstones </t>
  </si>
  <si>
    <t>http://www.imdb.com/title/tt0109813/?ref_=fn_tt_tt_1</t>
  </si>
  <si>
    <t>Taken 2 </t>
  </si>
  <si>
    <t>http://www.imdb.com/title/tt1397280/?ref_=fn_tt_tt_1</t>
  </si>
  <si>
    <t>Action|Comedy|Crime|Romance</t>
  </si>
  <si>
    <t>Miss Congeniality </t>
  </si>
  <si>
    <t>http://www.imdb.com/title/tt0212346/?ref_=fn_tt_tt_1</t>
  </si>
  <si>
    <t>Action|Adventure|Family|Fantasy|Sci-Fi</t>
  </si>
  <si>
    <t>Journey to the Center of the Earth </t>
  </si>
  <si>
    <t>http://www.imdb.com/title/tt0373051/?ref_=fn_tt_tt_1</t>
  </si>
  <si>
    <t>The Princess Diaries 2: Royal Engagement </t>
  </si>
  <si>
    <t>http://www.imdb.com/title/tt0368933/?ref_=fn_tt_tt_1</t>
  </si>
  <si>
    <t>The Pelican Brief </t>
  </si>
  <si>
    <t>http://www.imdb.com/title/tt0107798/?ref_=fn_tt_tt_1</t>
  </si>
  <si>
    <t>The Client </t>
  </si>
  <si>
    <t>http://www.imdb.com/title/tt0109446/?ref_=fn_tt_tt_1</t>
  </si>
  <si>
    <t>The Bucket List </t>
  </si>
  <si>
    <t>http://www.imdb.com/title/tt0825232/?ref_=fn_tt_tt_1</t>
  </si>
  <si>
    <t>Patriot Games </t>
  </si>
  <si>
    <t>http://www.imdb.com/title/tt0105112/?ref_=fn_tt_tt_1</t>
  </si>
  <si>
    <t>Monster-in-Law </t>
  </si>
  <si>
    <t>http://www.imdb.com/title/tt0369735/?ref_=fn_tt_tt_1</t>
  </si>
  <si>
    <t>Prisoners </t>
  </si>
  <si>
    <t>http://www.imdb.com/title/tt1392214/?ref_=fn_tt_tt_1</t>
  </si>
  <si>
    <t>Training Day </t>
  </si>
  <si>
    <t>http://www.imdb.com/title/tt0139654/?ref_=fn_tt_tt_1</t>
  </si>
  <si>
    <t>Galaxy Quest </t>
  </si>
  <si>
    <t>http://www.imdb.com/title/tt0177789/?ref_=fn_tt_tt_1</t>
  </si>
  <si>
    <t>Scary Movie 2 </t>
  </si>
  <si>
    <t>http://www.imdb.com/title/tt0257106/?ref_=fn_tt_tt_1</t>
  </si>
  <si>
    <t>Adventure|Comedy|Family|Musical</t>
  </si>
  <si>
    <t>The Muppets </t>
  </si>
  <si>
    <t>http://www.imdb.com/title/tt1204342/?ref_=fn_tt_tt_1</t>
  </si>
  <si>
    <t>Action|Horror</t>
  </si>
  <si>
    <t>Blade </t>
  </si>
  <si>
    <t>http://www.imdb.com/title/tt0120611/?ref_=fn_tt_tt_1</t>
  </si>
  <si>
    <t>Coach Carter </t>
  </si>
  <si>
    <t>http://www.imdb.com/title/tt0393162/?ref_=fn_tt_tt_1</t>
  </si>
  <si>
    <t>Action|Adventure|Horror|Thriller</t>
  </si>
  <si>
    <t>Anaconda </t>
  </si>
  <si>
    <t>http://www.imdb.com/title/tt0118615/?ref_=fn_tt_tt_1</t>
  </si>
  <si>
    <t>Comedy|Drama|Music|Romance</t>
  </si>
  <si>
    <t>Coyote Ugly </t>
  </si>
  <si>
    <t>http://www.imdb.com/title/tt0200550/?ref_=fn_tt_tt_1</t>
  </si>
  <si>
    <t>Love Actually </t>
  </si>
  <si>
    <t>http://www.imdb.com/title/tt0314331/?ref_=fn_tt_tt_1</t>
  </si>
  <si>
    <t>A Bug's Life </t>
  </si>
  <si>
    <t>http://www.imdb.com/title/tt0120623/?ref_=fn_tt_tt_1</t>
  </si>
  <si>
    <t>From Hell </t>
  </si>
  <si>
    <t>http://www.imdb.com/title/tt0120681/?ref_=fn_tt_tt_1</t>
  </si>
  <si>
    <t>Action|Crime|Drama|Romance|Thriller</t>
  </si>
  <si>
    <t>The Specialist </t>
  </si>
  <si>
    <t>http://www.imdb.com/title/tt0111255/?ref_=fn_tt_tt_1</t>
  </si>
  <si>
    <t>Peru</t>
  </si>
  <si>
    <t>Tin Cup </t>
  </si>
  <si>
    <t>http://www.imdb.com/title/tt0117918/?ref_=fn_tt_tt_1</t>
  </si>
  <si>
    <t>Comedy|Family|Romance|Sport</t>
  </si>
  <si>
    <t>Kicking &amp; Screaming </t>
  </si>
  <si>
    <t>http://www.imdb.com/title/tt0384642/?ref_=fn_tt_tt_1</t>
  </si>
  <si>
    <t>The Hitchhiker's Guide to the Galaxy </t>
  </si>
  <si>
    <t>http://www.imdb.com/title/tt0371724/?ref_=fn_tt_tt_1</t>
  </si>
  <si>
    <t>Fat Albert </t>
  </si>
  <si>
    <t>http://www.imdb.com/title/tt0396592/?ref_=fn_tt_tt_1</t>
  </si>
  <si>
    <t>Resident Evil: Extinction </t>
  </si>
  <si>
    <t>http://www.imdb.com/title/tt0432021/?ref_=fn_tt_tt_1</t>
  </si>
  <si>
    <t>Last Holiday </t>
  </si>
  <si>
    <t>http://www.imdb.com/title/tt0408985/?ref_=fn_tt_tt_1</t>
  </si>
  <si>
    <t>The River Wild </t>
  </si>
  <si>
    <t>http://www.imdb.com/title/tt0110997/?ref_=fn_tt_tt_1</t>
  </si>
  <si>
    <t>Drama|Family|Fantasy</t>
  </si>
  <si>
    <t>The Indian in the Cupboard </t>
  </si>
  <si>
    <t>http://www.imdb.com/title/tt0113419/?ref_=fn_tt_tt_1</t>
  </si>
  <si>
    <t>Savages </t>
  </si>
  <si>
    <t>http://www.imdb.com/title/tt1615065/?ref_=fn_tt_tt_1</t>
  </si>
  <si>
    <t>Cellular </t>
  </si>
  <si>
    <t>http://www.imdb.com/title/tt0337921/?ref_=fn_tt_tt_1</t>
  </si>
  <si>
    <t>Johnny English </t>
  </si>
  <si>
    <t>http://www.imdb.com/title/tt0274166/?ref_=fn_tt_tt_1</t>
  </si>
  <si>
    <t>The Ant Bully </t>
  </si>
  <si>
    <t>http://www.imdb.com/title/tt0429589/?ref_=fn_tt_tt_1</t>
  </si>
  <si>
    <t>Dune </t>
  </si>
  <si>
    <t>http://www.imdb.com/title/tt0087182/?ref_=fn_tt_tt_1</t>
  </si>
  <si>
    <t>Drama|Fantasy|Musical|Romance</t>
  </si>
  <si>
    <t>Across the Universe </t>
  </si>
  <si>
    <t>http://www.imdb.com/title/tt0445922/?ref_=fn_tt_tt_1</t>
  </si>
  <si>
    <t>Revolutionary Road </t>
  </si>
  <si>
    <t>http://www.imdb.com/title/tt0959337/?ref_=fn_tt_tt_1</t>
  </si>
  <si>
    <t>16 Blocks </t>
  </si>
  <si>
    <t>http://www.imdb.com/title/tt0450232/?ref_=fn_tt_tt_1</t>
  </si>
  <si>
    <t>Babylon A.D. </t>
  </si>
  <si>
    <t>http://www.imdb.com/title/tt0364970/?ref_=fn_tt_tt_1</t>
  </si>
  <si>
    <t>The Glimmer Man </t>
  </si>
  <si>
    <t>http://www.imdb.com/title/tt0116421/?ref_=fn_tt_tt_1</t>
  </si>
  <si>
    <t>Multiplicity </t>
  </si>
  <si>
    <t>http://www.imdb.com/title/tt0117108/?ref_=fn_tt_tt_1</t>
  </si>
  <si>
    <t>Adventure|Comedy|Family|Fantasy|Sci-Fi</t>
  </si>
  <si>
    <t>Aliens in the Attic </t>
  </si>
  <si>
    <t>http://www.imdb.com/title/tt0775552/?ref_=fn_tt_tt_1</t>
  </si>
  <si>
    <t>The Pledge </t>
  </si>
  <si>
    <t>http://www.imdb.com/title/tt0237572/?ref_=fn_tt_tt_1</t>
  </si>
  <si>
    <t>Comedy|Musical</t>
  </si>
  <si>
    <t>The Producers </t>
  </si>
  <si>
    <t>http://www.imdb.com/title/tt0395251/?ref_=fn_tt_tt_1</t>
  </si>
  <si>
    <t>The Phantom </t>
  </si>
  <si>
    <t>http://www.imdb.com/title/tt0117331/?ref_=fn_tt_tt_1</t>
  </si>
  <si>
    <t>All the Pretty Horses </t>
  </si>
  <si>
    <t>http://www.imdb.com/title/tt0149624/?ref_=fn_tt_tt_1</t>
  </si>
  <si>
    <t>Biography|Drama|History</t>
  </si>
  <si>
    <t>Nixon </t>
  </si>
  <si>
    <t>http://www.imdb.com/title/tt0113987/?ref_=fn_tt_tt_1</t>
  </si>
  <si>
    <t>The Ghost Writer </t>
  </si>
  <si>
    <t>http://www.imdb.com/title/tt1139328/?ref_=fn_tt_tt_1</t>
  </si>
  <si>
    <t>Deep Rising </t>
  </si>
  <si>
    <t>http://www.imdb.com/title/tt0118956/?ref_=fn_tt_tt_1</t>
  </si>
  <si>
    <t>Action|Crime|Drama|Thriller|War</t>
  </si>
  <si>
    <t>Miracle at St. Anna </t>
  </si>
  <si>
    <t>http://www.imdb.com/title/tt1046997/?ref_=fn_tt_tt_1</t>
  </si>
  <si>
    <t>Curse of the Golden Flower </t>
  </si>
  <si>
    <t>http://www.imdb.com/title/tt0473444/?ref_=fn_tt_tt_1</t>
  </si>
  <si>
    <t>Bangkok Dangerous </t>
  </si>
  <si>
    <t>http://www.imdb.com/title/tt0814022/?ref_=fn_tt_tt_1</t>
  </si>
  <si>
    <t>Comedy|Crime|Thriller</t>
  </si>
  <si>
    <t>Big Trouble </t>
  </si>
  <si>
    <t>http://www.imdb.com/title/tt0246464/?ref_=fn_tt_tt_1</t>
  </si>
  <si>
    <t>Love in the Time of Cholera </t>
  </si>
  <si>
    <t>http://www.imdb.com/title/tt0484740/?ref_=fn_tt_tt_1</t>
  </si>
  <si>
    <t>Drama|Fantasy|Horror|Mystery</t>
  </si>
  <si>
    <t>Shadow Conspiracy </t>
  </si>
  <si>
    <t>http://www.imdb.com/title/tt0120107/?ref_=fn_tt_tt_1</t>
  </si>
  <si>
    <t>Johnny English Reborn </t>
  </si>
  <si>
    <t>http://www.imdb.com/title/tt1634122/?ref_=fn_tt_tt_1</t>
  </si>
  <si>
    <t>Biography|Drama|History|Thriller</t>
  </si>
  <si>
    <t>Argo </t>
  </si>
  <si>
    <t>http://www.imdb.com/title/tt1024648/?ref_=fn_tt_tt_1</t>
  </si>
  <si>
    <t>Action|Adventure|Crime|Drama|Mystery|Thriller</t>
  </si>
  <si>
    <t>The Fugitive </t>
  </si>
  <si>
    <t>http://www.imdb.com/title/tt0106977/?ref_=fn_tt_tt_1</t>
  </si>
  <si>
    <t>The Bounty Hunter </t>
  </si>
  <si>
    <t>http://www.imdb.com/title/tt1038919/?ref_=fn_tt_tt_1</t>
  </si>
  <si>
    <t>Sleepers </t>
  </si>
  <si>
    <t>http://www.imdb.com/title/tt0117665/?ref_=fn_tt_tt_1</t>
  </si>
  <si>
    <t>Rambo: First Blood Part II </t>
  </si>
  <si>
    <t>http://www.imdb.com/title/tt0089880/?ref_=fn_tt_tt_1</t>
  </si>
  <si>
    <t>The Juror </t>
  </si>
  <si>
    <t>http://www.imdb.com/title/tt0116731/?ref_=fn_tt_tt_1</t>
  </si>
  <si>
    <t>Animation|Family|Fantasy|Musical</t>
  </si>
  <si>
    <t>Pinocchio </t>
  </si>
  <si>
    <t>http://www.imdb.com/title/tt0032910/?ref_=fn_tt_tt_1</t>
  </si>
  <si>
    <t>Adventure|Drama|Western</t>
  </si>
  <si>
    <t>Heaven's Gate </t>
  </si>
  <si>
    <t>http://www.imdb.com/title/tt0080855/?ref_=fn_tt_tt_1</t>
  </si>
  <si>
    <t>Underworld: Evolution </t>
  </si>
  <si>
    <t>http://www.imdb.com/title/tt0401855/?ref_=fn_tt_tt_1</t>
  </si>
  <si>
    <t>Victor Frankenstein </t>
  </si>
  <si>
    <t>http://www.imdb.com/title/tt1976009/?ref_=fn_tt_tt_1</t>
  </si>
  <si>
    <t>Finding Forrester </t>
  </si>
  <si>
    <t>http://www.imdb.com/title/tt0181536/?ref_=fn_tt_tt_1</t>
  </si>
  <si>
    <t>28 Days </t>
  </si>
  <si>
    <t>http://www.imdb.com/title/tt0191754/?ref_=fn_tt_tt_1</t>
  </si>
  <si>
    <t>Unleashed </t>
  </si>
  <si>
    <t>http://www.imdb.com/title/tt0342258/?ref_=fn_tt_tt_1</t>
  </si>
  <si>
    <t>The Sweetest Thing </t>
  </si>
  <si>
    <t>http://www.imdb.com/title/tt0253867/?ref_=fn_tt_tt_1</t>
  </si>
  <si>
    <t>The Firm </t>
  </si>
  <si>
    <t>http://www.imdb.com/title/tt0106918/?ref_=fn_tt_tt_1</t>
  </si>
  <si>
    <t>Charlie St. Cloud </t>
  </si>
  <si>
    <t>http://www.imdb.com/title/tt1438254/?ref_=fn_tt_tt_1</t>
  </si>
  <si>
    <t>The Mechanic </t>
  </si>
  <si>
    <t>http://www.imdb.com/title/tt0472399/?ref_=fn_tt_tt_1</t>
  </si>
  <si>
    <t>21 Jump Street </t>
  </si>
  <si>
    <t>http://www.imdb.com/title/tt1232829/?ref_=fn_tt_tt_1</t>
  </si>
  <si>
    <t>Notting Hill </t>
  </si>
  <si>
    <t>http://www.imdb.com/title/tt0125439/?ref_=fn_tt_tt_1</t>
  </si>
  <si>
    <t>Chicken Run </t>
  </si>
  <si>
    <t>http://www.imdb.com/title/tt0120630/?ref_=fn_tt_tt_1</t>
  </si>
  <si>
    <t>Along Came Polly </t>
  </si>
  <si>
    <t>http://www.imdb.com/title/tt0343135/?ref_=fn_tt_tt_1</t>
  </si>
  <si>
    <t>Boomerang </t>
  </si>
  <si>
    <t>http://www.imdb.com/title/tt0103859/?ref_=fn_tt_tt_1</t>
  </si>
  <si>
    <t>The Heat </t>
  </si>
  <si>
    <t>http://www.imdb.com/title/tt2404463/?ref_=fn_tt_tt_1</t>
  </si>
  <si>
    <t>Biography|Drama|History|Romance</t>
  </si>
  <si>
    <t>Cleopatra </t>
  </si>
  <si>
    <t>http://www.imdb.com/title/tt0056937/?ref_=fn_tt_tt_1</t>
  </si>
  <si>
    <t>Here Comes the Boom </t>
  </si>
  <si>
    <t>http://www.imdb.com/title/tt1648179/?ref_=fn_tt_tt_1</t>
  </si>
  <si>
    <t>High Crimes </t>
  </si>
  <si>
    <t>http://www.imdb.com/title/tt0257756/?ref_=fn_tt_tt_1</t>
  </si>
  <si>
    <t>The Mirror Has Two Faces </t>
  </si>
  <si>
    <t>http://www.imdb.com/title/tt0117057/?ref_=fn_tt_tt_1</t>
  </si>
  <si>
    <t>Drama|Horror|Mystery|Thriller</t>
  </si>
  <si>
    <t>The Mothman Prophecies </t>
  </si>
  <si>
    <t>http://www.imdb.com/title/tt0265349/?ref_=fn_tt_tt_1</t>
  </si>
  <si>
    <t>Brüno </t>
  </si>
  <si>
    <t>http://www.imdb.com/title/tt0889583/?ref_=fn_tt_tt_1</t>
  </si>
  <si>
    <t>Licence to Kill </t>
  </si>
  <si>
    <t>http://www.imdb.com/title/tt0097742/?ref_=fn_tt_tt_1</t>
  </si>
  <si>
    <t>Red Riding Hood </t>
  </si>
  <si>
    <t>http://www.imdb.com/title/tt1486185/?ref_=fn_tt_tt_1</t>
  </si>
  <si>
    <t>15 Minutes </t>
  </si>
  <si>
    <t>http://www.imdb.com/title/tt0179626/?ref_=fn_tt_tt_1</t>
  </si>
  <si>
    <t>Super Mario Bros. </t>
  </si>
  <si>
    <t>http://www.imdb.com/title/tt0108255/?ref_=fn_tt_tt_1</t>
  </si>
  <si>
    <t>Lord of War </t>
  </si>
  <si>
    <t>http://www.imdb.com/title/tt0399295/?ref_=fn_tt_tt_1</t>
  </si>
  <si>
    <t>Hero </t>
  </si>
  <si>
    <t>http://www.imdb.com/title/tt0299977/?ref_=fn_tt_tt_1</t>
  </si>
  <si>
    <t>One for the Money </t>
  </si>
  <si>
    <t>http://www.imdb.com/title/tt1598828/?ref_=fn_tt_tt_1</t>
  </si>
  <si>
    <t>The Interview </t>
  </si>
  <si>
    <t>http://www.imdb.com/title/tt2788710/?ref_=fn_tt_tt_1</t>
  </si>
  <si>
    <t>Action|Fantasy|Western</t>
  </si>
  <si>
    <t>The Warrior's Way </t>
  </si>
  <si>
    <t>http://www.imdb.com/title/tt1032751/?ref_=fn_tt_tt_1</t>
  </si>
  <si>
    <t>Comedy|War</t>
  </si>
  <si>
    <t>Micmacs </t>
  </si>
  <si>
    <t>http://www.imdb.com/title/tt1149361/?ref_=fn_tt_tt_1</t>
  </si>
  <si>
    <t>Drama|Music</t>
  </si>
  <si>
    <t>8 Mile </t>
  </si>
  <si>
    <t>http://www.imdb.com/title/tt0298203/?ref_=fn_tt_tt_1</t>
  </si>
  <si>
    <t>A Knight's Tale </t>
  </si>
  <si>
    <t>http://www.imdb.com/title/tt0183790/?ref_=fn_tt_tt_1</t>
  </si>
  <si>
    <t>The Medallion </t>
  </si>
  <si>
    <t>http://www.imdb.com/title/tt0288045/?ref_=fn_tt_tt_1</t>
  </si>
  <si>
    <t>The Sixth Sense </t>
  </si>
  <si>
    <t>http://www.imdb.com/title/tt0167404/?ref_=fn_tt_tt_1</t>
  </si>
  <si>
    <t>Man on a Ledge </t>
  </si>
  <si>
    <t>http://www.imdb.com/title/tt1568338/?ref_=fn_tt_tt_1</t>
  </si>
  <si>
    <t>The Big Year </t>
  </si>
  <si>
    <t>http://www.imdb.com/title/tt1053810/?ref_=fn_tt_tt_1</t>
  </si>
  <si>
    <t>Action|Drama|Family|Sport</t>
  </si>
  <si>
    <t>The Karate Kid </t>
  </si>
  <si>
    <t>http://www.imdb.com/title/tt0087538/?ref_=fn_tt_tt_1</t>
  </si>
  <si>
    <t>American Hustle </t>
  </si>
  <si>
    <t>http://www.imdb.com/title/tt1800241/?ref_=fn_tt_tt_1</t>
  </si>
  <si>
    <t>The Proposal </t>
  </si>
  <si>
    <t>http://www.imdb.com/title/tt1041829/?ref_=fn_tt_tt_1</t>
  </si>
  <si>
    <t>Double Jeopardy </t>
  </si>
  <si>
    <t>http://www.imdb.com/title/tt0150377/?ref_=fn_tt_tt_1</t>
  </si>
  <si>
    <t>Back to the Future Part II </t>
  </si>
  <si>
    <t>http://www.imdb.com/title/tt0096874/?ref_=fn_tt_tt_1</t>
  </si>
  <si>
    <t>Lucy </t>
  </si>
  <si>
    <t>http://www.imdb.com/title/tt2872732/?ref_=fn_tt_tt_1</t>
  </si>
  <si>
    <t>Fifty Shades of Grey </t>
  </si>
  <si>
    <t>http://www.imdb.com/title/tt2322441/?ref_=fn_tt_tt_1</t>
  </si>
  <si>
    <t>Spy Kids 3-D: Game Over </t>
  </si>
  <si>
    <t>http://www.imdb.com/title/tt0338459/?ref_=fn_tt_tt_1</t>
  </si>
  <si>
    <t>A Time to Kill </t>
  </si>
  <si>
    <t>http://www.imdb.com/title/tt0117913/?ref_=fn_tt_tt_1</t>
  </si>
  <si>
    <t>Cheaper by the Dozen </t>
  </si>
  <si>
    <t>http://www.imdb.com/title/tt0349205/?ref_=fn_tt_tt_1</t>
  </si>
  <si>
    <t>Action|Biography|Drama|Thriller|War</t>
  </si>
  <si>
    <t>Lone Survivor </t>
  </si>
  <si>
    <t>http://www.imdb.com/title/tt1091191/?ref_=fn_tt_tt_1</t>
  </si>
  <si>
    <t>Comedy|Drama|Sport</t>
  </si>
  <si>
    <t>A League of Their Own </t>
  </si>
  <si>
    <t>http://www.imdb.com/title/tt0104694/?ref_=fn_tt_tt_1</t>
  </si>
  <si>
    <t>The Conjuring 2 </t>
  </si>
  <si>
    <t>http://www.imdb.com/title/tt3065204/?ref_=fn_tt_tt_1</t>
  </si>
  <si>
    <t>The Social Network </t>
  </si>
  <si>
    <t>http://www.imdb.com/title/tt1285016/?ref_=fn_tt_tt_1</t>
  </si>
  <si>
    <t>He's Just Not That Into You </t>
  </si>
  <si>
    <t>http://www.imdb.com/title/tt1001508/?ref_=fn_tt_tt_1</t>
  </si>
  <si>
    <t>Scary Movie 4 </t>
  </si>
  <si>
    <t>http://www.imdb.com/title/tt0362120/?ref_=fn_tt_tt_1</t>
  </si>
  <si>
    <t>Scream 3 </t>
  </si>
  <si>
    <t>http://www.imdb.com/title/tt0134084/?ref_=fn_tt_tt_1</t>
  </si>
  <si>
    <t>Adventure|Comedy|Sci-Fi|Western</t>
  </si>
  <si>
    <t>Back to the Future Part III </t>
  </si>
  <si>
    <t>http://www.imdb.com/title/tt0099088/?ref_=fn_tt_tt_1</t>
  </si>
  <si>
    <t>Get Hard </t>
  </si>
  <si>
    <t>http://www.imdb.com/title/tt2561572/?ref_=fn_tt_tt_1</t>
  </si>
  <si>
    <t>Fantasy|Horror|Romance</t>
  </si>
  <si>
    <t>Bram Stoker's Dracula </t>
  </si>
  <si>
    <t>http://www.imdb.com/title/tt0103874/?ref_=fn_tt_tt_1</t>
  </si>
  <si>
    <t>Biography|Drama|Romance</t>
  </si>
  <si>
    <t>Julie &amp; Julia </t>
  </si>
  <si>
    <t>http://www.imdb.com/title/tt1135503/?ref_=fn_tt_tt_1</t>
  </si>
  <si>
    <t>42 </t>
  </si>
  <si>
    <t>http://www.imdb.com/title/tt0453562/?ref_=fn_tt_tt_1</t>
  </si>
  <si>
    <t>The Talented Mr. Ripley </t>
  </si>
  <si>
    <t>http://www.imdb.com/title/tt0134119/?ref_=fn_tt_tt_1</t>
  </si>
  <si>
    <t>Eight Below </t>
  </si>
  <si>
    <t>http://www.imdb.com/title/tt0397313/?ref_=fn_tt_tt_1</t>
  </si>
  <si>
    <t>The Intern </t>
  </si>
  <si>
    <t>http://www.imdb.com/title/tt2361509/?ref_=fn_tt_tt_1</t>
  </si>
  <si>
    <t>Ride Along 2 </t>
  </si>
  <si>
    <t>http://www.imdb.com/title/tt2869728/?ref_=fn_tt_tt_1</t>
  </si>
  <si>
    <t>Action|Adventure|Drama|Romance|War</t>
  </si>
  <si>
    <t>The Last of the Mohicans </t>
  </si>
  <si>
    <t>http://www.imdb.com/title/tt0104691/?ref_=fn_tt_tt_1</t>
  </si>
  <si>
    <t>Ray </t>
  </si>
  <si>
    <t>http://www.imdb.com/title/tt0350258/?ref_=fn_tt_tt_1</t>
  </si>
  <si>
    <t>Sin City </t>
  </si>
  <si>
    <t>http://www.imdb.com/title/tt0401792/?ref_=fn_tt_tt_1</t>
  </si>
  <si>
    <t>Vantage Point </t>
  </si>
  <si>
    <t>http://www.imdb.com/title/tt0443274/?ref_=fn_tt_tt_1</t>
  </si>
  <si>
    <t>I Love You, Man </t>
  </si>
  <si>
    <t>http://www.imdb.com/title/tt1155056/?ref_=fn_tt_tt_1</t>
  </si>
  <si>
    <t>Shallow Hal </t>
  </si>
  <si>
    <t>http://www.imdb.com/title/tt0256380/?ref_=fn_tt_tt_1</t>
  </si>
  <si>
    <t>JFK </t>
  </si>
  <si>
    <t>http://www.imdb.com/title/tt0102138/?ref_=fn_tt_tt_1</t>
  </si>
  <si>
    <t>Big Momma's House 2 </t>
  </si>
  <si>
    <t>http://www.imdb.com/title/tt0421729/?ref_=fn_tt_tt_1</t>
  </si>
  <si>
    <t>Adventure|Comedy|Crime|Romance</t>
  </si>
  <si>
    <t>The Mexican </t>
  </si>
  <si>
    <t>http://www.imdb.com/title/tt0236493/?ref_=fn_tt_tt_1</t>
  </si>
  <si>
    <t>Comedy|Drama|Family|Fantasy|Romance</t>
  </si>
  <si>
    <t>17 Again </t>
  </si>
  <si>
    <t>http://www.imdb.com/title/tt0974661/?ref_=fn_tt_tt_1</t>
  </si>
  <si>
    <t>The Other Woman </t>
  </si>
  <si>
    <t>http://www.imdb.com/title/tt2203939/?ref_=fn_tt_tt_1</t>
  </si>
  <si>
    <t>Horror</t>
  </si>
  <si>
    <t>The Final Destination </t>
  </si>
  <si>
    <t>http://www.imdb.com/title/tt1144884/?ref_=fn_tt_tt_1</t>
  </si>
  <si>
    <t>Bridge of Spies </t>
  </si>
  <si>
    <t>http://www.imdb.com/title/tt3682448/?ref_=fn_tt_tt_1</t>
  </si>
  <si>
    <t>Behind Enemy Lines </t>
  </si>
  <si>
    <t>http://www.imdb.com/title/tt0159273/?ref_=fn_tt_tt_1</t>
  </si>
  <si>
    <t>Comedy|Music</t>
  </si>
  <si>
    <t>Shall We Dance </t>
  </si>
  <si>
    <t>http://www.imdb.com/title/tt0358135/?ref_=fn_tt_tt_1</t>
  </si>
  <si>
    <t>Small Soldiers </t>
  </si>
  <si>
    <t>http://www.imdb.com/title/tt0122718/?ref_=fn_tt_tt_1</t>
  </si>
  <si>
    <t>Spawn </t>
  </si>
  <si>
    <t>http://www.imdb.com/title/tt0120177/?ref_=fn_tt_tt_1</t>
  </si>
  <si>
    <t>Action|Adventure|Drama|Romance|Thriller</t>
  </si>
  <si>
    <t>The Count of Monte Cristo </t>
  </si>
  <si>
    <t>http://www.imdb.com/title/tt0245844/?ref_=fn_tt_tt_1</t>
  </si>
  <si>
    <t>The Lincoln Lawyer </t>
  </si>
  <si>
    <t>http://www.imdb.com/title/tt1189340/?ref_=fn_tt_tt_1</t>
  </si>
  <si>
    <t>Unknown </t>
  </si>
  <si>
    <t>http://www.imdb.com/title/tt1401152/?ref_=fn_tt_tt_1</t>
  </si>
  <si>
    <t>The Prestige </t>
  </si>
  <si>
    <t>http://www.imdb.com/title/tt0482571/?ref_=fn_tt_tt_1</t>
  </si>
  <si>
    <t>Horrible Bosses 2 </t>
  </si>
  <si>
    <t>http://www.imdb.com/title/tt2170439/?ref_=fn_tt_tt_1</t>
  </si>
  <si>
    <t>Escape from Planet Earth </t>
  </si>
  <si>
    <t>http://www.imdb.com/title/tt0765446/?ref_=fn_tt_tt_1</t>
  </si>
  <si>
    <t>Apocalypto </t>
  </si>
  <si>
    <t>http://www.imdb.com/title/tt0472043/?ref_=fn_tt_tt_1</t>
  </si>
  <si>
    <t>Maya</t>
  </si>
  <si>
    <t>The Living Daylights </t>
  </si>
  <si>
    <t>http://www.imdb.com/title/tt0093428/?ref_=fn_tt_tt_1</t>
  </si>
  <si>
    <t>Predators </t>
  </si>
  <si>
    <t>http://www.imdb.com/title/tt1424381/?ref_=fn_tt_tt_1</t>
  </si>
  <si>
    <t>Legal Eagles </t>
  </si>
  <si>
    <t>http://www.imdb.com/title/tt0091396/?ref_=fn_tt_tt_1</t>
  </si>
  <si>
    <t>Secret Window </t>
  </si>
  <si>
    <t>http://www.imdb.com/title/tt0363988/?ref_=fn_tt_tt_1</t>
  </si>
  <si>
    <t>The Lake House </t>
  </si>
  <si>
    <t>http://www.imdb.com/title/tt0410297/?ref_=fn_tt_tt_1</t>
  </si>
  <si>
    <t>The Skeleton Key </t>
  </si>
  <si>
    <t>http://www.imdb.com/title/tt0397101/?ref_=fn_tt_tt_1</t>
  </si>
  <si>
    <t>The Odd Life of Timothy Green </t>
  </si>
  <si>
    <t>http://www.imdb.com/title/tt1462769/?ref_=fn_tt_tt_1</t>
  </si>
  <si>
    <t>Made of Honor </t>
  </si>
  <si>
    <t>http://www.imdb.com/title/tt0866439/?ref_=fn_tt_tt_1</t>
  </si>
  <si>
    <t>Biography|Drama|Music|Musical</t>
  </si>
  <si>
    <t>Jersey Boys </t>
  </si>
  <si>
    <t>http://www.imdb.com/title/tt1742044/?ref_=fn_tt_tt_1</t>
  </si>
  <si>
    <t>The Rainmaker </t>
  </si>
  <si>
    <t>http://www.imdb.com/title/tt0119978/?ref_=fn_tt_tt_1</t>
  </si>
  <si>
    <t>Gothika </t>
  </si>
  <si>
    <t>http://www.imdb.com/title/tt0348836/?ref_=fn_tt_tt_1</t>
  </si>
  <si>
    <t>Drama|History</t>
  </si>
  <si>
    <t>Amistad </t>
  </si>
  <si>
    <t>http://www.imdb.com/title/tt0118607/?ref_=fn_tt_tt_1</t>
  </si>
  <si>
    <t>Medicine Man </t>
  </si>
  <si>
    <t>http://www.imdb.com/title/tt0104839/?ref_=fn_tt_tt_1</t>
  </si>
  <si>
    <t>Aliens vs. Predator: Requiem </t>
  </si>
  <si>
    <t>http://www.imdb.com/title/tt0758730/?ref_=fn_tt_tt_1</t>
  </si>
  <si>
    <t>Autumn in New York </t>
  </si>
  <si>
    <t>http://www.imdb.com/title/tt0174480/?ref_=fn_tt_tt_1</t>
  </si>
  <si>
    <t>Comedy|Music|Romance</t>
  </si>
  <si>
    <t>Paul </t>
  </si>
  <si>
    <t>http://www.imdb.com/title/tt1092026/?ref_=fn_tt_tt_1</t>
  </si>
  <si>
    <t>The Guilt Trip </t>
  </si>
  <si>
    <t>http://www.imdb.com/title/tt1694020/?ref_=fn_tt_tt_1</t>
  </si>
  <si>
    <t>Scream 4 </t>
  </si>
  <si>
    <t>http://www.imdb.com/title/tt1262416/?ref_=fn_tt_tt_1</t>
  </si>
  <si>
    <t>8MM </t>
  </si>
  <si>
    <t>http://www.imdb.com/title/tt0134273/?ref_=fn_tt_tt_1</t>
  </si>
  <si>
    <t>The Doors </t>
  </si>
  <si>
    <t>http://www.imdb.com/title/tt0101761/?ref_=fn_tt_tt_1</t>
  </si>
  <si>
    <t>Sex Tape </t>
  </si>
  <si>
    <t>http://www.imdb.com/title/tt1956620/?ref_=fn_tt_tt_1</t>
  </si>
  <si>
    <t>Hanging Up </t>
  </si>
  <si>
    <t>http://www.imdb.com/title/tt0162983/?ref_=fn_tt_tt_1</t>
  </si>
  <si>
    <t>Final Destination 5 </t>
  </si>
  <si>
    <t>http://www.imdb.com/title/tt1622979/?ref_=fn_tt_tt_1</t>
  </si>
  <si>
    <t>Mickey Blue Eyes </t>
  </si>
  <si>
    <t>http://www.imdb.com/title/tt0130121/?ref_=fn_tt_tt_1</t>
  </si>
  <si>
    <t>Pay It Forward </t>
  </si>
  <si>
    <t>http://www.imdb.com/title/tt0223897/?ref_=fn_tt_tt_1</t>
  </si>
  <si>
    <t>Fever Pitch </t>
  </si>
  <si>
    <t>http://www.imdb.com/title/tt0332047/?ref_=fn_tt_tt_1</t>
  </si>
  <si>
    <t>Drillbit Taylor </t>
  </si>
  <si>
    <t>http://www.imdb.com/title/tt0817538/?ref_=fn_tt_tt_1</t>
  </si>
  <si>
    <t>A Million Ways to Die in the West </t>
  </si>
  <si>
    <t>http://www.imdb.com/title/tt2557490/?ref_=fn_tt_tt_1</t>
  </si>
  <si>
    <t>Action|Adventure|Crime|Fantasy|Mystery|Thriller</t>
  </si>
  <si>
    <t>The Shadow </t>
  </si>
  <si>
    <t>http://www.imdb.com/title/tt0111143/?ref_=fn_tt_tt_1</t>
  </si>
  <si>
    <t>Adventure|Drama|Mystery</t>
  </si>
  <si>
    <t>Extremely Loud &amp; Incredibly Close </t>
  </si>
  <si>
    <t>http://www.imdb.com/title/tt0477302/?ref_=fn_tt_tt_1</t>
  </si>
  <si>
    <t>Morning Glory </t>
  </si>
  <si>
    <t>http://www.imdb.com/title/tt1126618/?ref_=fn_tt_tt_1</t>
  </si>
  <si>
    <t>Biography|Crime|Drama|Music</t>
  </si>
  <si>
    <t>Get Rich or Die Tryin' </t>
  </si>
  <si>
    <t>http://www.imdb.com/title/tt0430308/?ref_=fn_tt_tt_1</t>
  </si>
  <si>
    <t>The Art of War </t>
  </si>
  <si>
    <t>http://www.imdb.com/title/tt0160009/?ref_=fn_tt_tt_1</t>
  </si>
  <si>
    <t>Rent </t>
  </si>
  <si>
    <t>http://www.imdb.com/title/tt0294870/?ref_=fn_tt_tt_1</t>
  </si>
  <si>
    <t>Crime|Drama|Horror|Thriller</t>
  </si>
  <si>
    <t>Bless the Child </t>
  </si>
  <si>
    <t>http://www.imdb.com/title/tt0163983/?ref_=fn_tt_tt_1</t>
  </si>
  <si>
    <t>The Out-of-Towners </t>
  </si>
  <si>
    <t>http://www.imdb.com/title/tt0129280/?ref_=fn_tt_tt_1</t>
  </si>
  <si>
    <t>The Island of Dr. Moreau </t>
  </si>
  <si>
    <t>http://www.imdb.com/title/tt0116654/?ref_=fn_tt_tt_1</t>
  </si>
  <si>
    <t>The Musketeer </t>
  </si>
  <si>
    <t>http://www.imdb.com/title/tt0246544/?ref_=fn_tt_tt_1</t>
  </si>
  <si>
    <t>The Other Boleyn Girl </t>
  </si>
  <si>
    <t>http://www.imdb.com/title/tt0467200/?ref_=fn_tt_tt_1</t>
  </si>
  <si>
    <t>Sweet November </t>
  </si>
  <si>
    <t>http://www.imdb.com/title/tt0230838/?ref_=fn_tt_tt_1</t>
  </si>
  <si>
    <t>The Reaping </t>
  </si>
  <si>
    <t>http://www.imdb.com/title/tt0444682/?ref_=fn_tt_tt_1</t>
  </si>
  <si>
    <t>Mean Streets </t>
  </si>
  <si>
    <t>http://www.imdb.com/title/tt0070379/?ref_=fn_tt_tt_1</t>
  </si>
  <si>
    <t>Renaissance Man </t>
  </si>
  <si>
    <t>http://www.imdb.com/title/tt0110971/?ref_=fn_tt_tt_1</t>
  </si>
  <si>
    <t>Colombiana </t>
  </si>
  <si>
    <t>http://www.imdb.com/title/tt1657507/?ref_=fn_tt_tt_1</t>
  </si>
  <si>
    <t>Adventure|Animation|Comedy|Drama|Family|Fantasy|Musical</t>
  </si>
  <si>
    <t>The Magic Sword: Quest for Camelot </t>
  </si>
  <si>
    <t>http://www.imdb.com/title/tt0120800/?ref_=fn_tt_tt_1</t>
  </si>
  <si>
    <t>City by the Sea </t>
  </si>
  <si>
    <t>http://www.imdb.com/title/tt0269095/?ref_=fn_tt_tt_1</t>
  </si>
  <si>
    <t>At First Sight </t>
  </si>
  <si>
    <t>http://www.imdb.com/title/tt0132512/?ref_=fn_tt_tt_1</t>
  </si>
  <si>
    <t>Torque </t>
  </si>
  <si>
    <t>http://www.imdb.com/title/tt0329691/?ref_=fn_tt_tt_1</t>
  </si>
  <si>
    <t>City Hall </t>
  </si>
  <si>
    <t>http://www.imdb.com/title/tt0115907/?ref_=fn_tt_tt_1</t>
  </si>
  <si>
    <t>Showgirls </t>
  </si>
  <si>
    <t>http://www.imdb.com/title/tt0114436/?ref_=fn_tt_tt_1</t>
  </si>
  <si>
    <t>Marie Antoinette </t>
  </si>
  <si>
    <t>http://www.imdb.com/title/tt0422720/?ref_=fn_tt_tt_1</t>
  </si>
  <si>
    <t>Kiss of Death </t>
  </si>
  <si>
    <t>http://www.imdb.com/title/tt0113552/?ref_=fn_tt_tt_1</t>
  </si>
  <si>
    <t>Get Carter </t>
  </si>
  <si>
    <t>http://www.imdb.com/title/tt0208988/?ref_=fn_tt_tt_1</t>
  </si>
  <si>
    <t>The Impossible </t>
  </si>
  <si>
    <t>http://www.imdb.com/title/tt1649419/?ref_=fn_tt_tt_1</t>
  </si>
  <si>
    <t>Action|Adventure|Comedy|Music|Thriller</t>
  </si>
  <si>
    <t>Ishtar </t>
  </si>
  <si>
    <t>http://www.imdb.com/title/tt0093278/?ref_=fn_tt_tt_1</t>
  </si>
  <si>
    <t>Adventure|Animation|Comedy|Crime|Family</t>
  </si>
  <si>
    <t>Fantastic Mr. Fox </t>
  </si>
  <si>
    <t>http://www.imdb.com/title/tt0432283/?ref_=fn_tt_tt_1</t>
  </si>
  <si>
    <t>Life or Something Like It </t>
  </si>
  <si>
    <t>http://www.imdb.com/title/tt0282687/?ref_=fn_tt_tt_1</t>
  </si>
  <si>
    <t>Comedy|Romance|Sci-Fi|Thriller</t>
  </si>
  <si>
    <t>Memoirs of an Invisible Man </t>
  </si>
  <si>
    <t>http://www.imdb.com/title/tt0104850/?ref_=fn_tt_tt_1</t>
  </si>
  <si>
    <t>Amélie </t>
  </si>
  <si>
    <t>http://www.imdb.com/title/tt0211915/?ref_=fn_tt_tt_1</t>
  </si>
  <si>
    <t>Comedy|Crime|Family|Romance</t>
  </si>
  <si>
    <t>New York Minute </t>
  </si>
  <si>
    <t>http://www.imdb.com/title/tt0363282/?ref_=fn_tt_tt_1</t>
  </si>
  <si>
    <t>Alfie </t>
  </si>
  <si>
    <t>http://www.imdb.com/title/tt0375173/?ref_=fn_tt_tt_1</t>
  </si>
  <si>
    <t>Big Miracle </t>
  </si>
  <si>
    <t>http://www.imdb.com/title/tt1430615/?ref_=fn_tt_tt_1</t>
  </si>
  <si>
    <t>The Deep End of the Ocean </t>
  </si>
  <si>
    <t>http://www.imdb.com/title/tt0120646/?ref_=fn_tt_tt_1</t>
  </si>
  <si>
    <t>Crime|Horror|Thriller</t>
  </si>
  <si>
    <t>Feardotcom </t>
  </si>
  <si>
    <t>http://www.imdb.com/title/tt0295254/?ref_=fn_tt_tt_1</t>
  </si>
  <si>
    <t>Cirque du Freak: The Vampire's Assistant </t>
  </si>
  <si>
    <t>http://www.imdb.com/title/tt0450405/?ref_=fn_tt_tt_1</t>
  </si>
  <si>
    <t>Duplex </t>
  </si>
  <si>
    <t>http://www.imdb.com/title/tt0266489/?ref_=fn_tt_tt_1</t>
  </si>
  <si>
    <t>Raise the Titanic </t>
  </si>
  <si>
    <t>http://www.imdb.com/title/tt0081400/?ref_=fn_tt_tt_1</t>
  </si>
  <si>
    <t>Universal Soldier: The Return </t>
  </si>
  <si>
    <t>http://www.imdb.com/title/tt0176269/?ref_=fn_tt_tt_1</t>
  </si>
  <si>
    <t>Action|Horror|Mystery|Sci-Fi|Thriller</t>
  </si>
  <si>
    <t>Pandorum </t>
  </si>
  <si>
    <t>http://www.imdb.com/title/tt1188729/?ref_=fn_tt_tt_1</t>
  </si>
  <si>
    <t>Impostor </t>
  </si>
  <si>
    <t>http://www.imdb.com/title/tt0160399/?ref_=fn_tt_tt_1</t>
  </si>
  <si>
    <t>Extreme Ops </t>
  </si>
  <si>
    <t>http://www.imdb.com/title/tt0283160/?ref_=fn_tt_tt_1</t>
  </si>
  <si>
    <t>Comedy|Fantasy|Sci-Fi</t>
  </si>
  <si>
    <t>Just Visiting </t>
  </si>
  <si>
    <t>http://www.imdb.com/title/tt0189192/?ref_=fn_tt_tt_1</t>
  </si>
  <si>
    <t>Sunshine </t>
  </si>
  <si>
    <t>http://www.imdb.com/title/tt0448134/?ref_=fn_tt_tt_1</t>
  </si>
  <si>
    <t>A Thousand Words </t>
  </si>
  <si>
    <t>http://www.imdb.com/title/tt0763831/?ref_=fn_tt_tt_1</t>
  </si>
  <si>
    <t>Adventure|Animation|Comedy|Fantasy|Romance</t>
  </si>
  <si>
    <t>Delgo </t>
  </si>
  <si>
    <t>http://www.imdb.com/title/tt0361500/?ref_=fn_tt_tt_1</t>
  </si>
  <si>
    <t>The Gunman </t>
  </si>
  <si>
    <t>http://www.imdb.com/title/tt2515034/?ref_=fn_tt_tt_1</t>
  </si>
  <si>
    <t>Action|Adventure|Family|Thriller</t>
  </si>
  <si>
    <t>Alex Rider: Operation Stormbreaker </t>
  </si>
  <si>
    <t>http://www.imdb.com/title/tt0457495/?ref_=fn_tt_tt_1</t>
  </si>
  <si>
    <t>Disturbia </t>
  </si>
  <si>
    <t>http://www.imdb.com/title/tt0486822/?ref_=fn_tt_tt_1</t>
  </si>
  <si>
    <t>Hackers </t>
  </si>
  <si>
    <t>http://www.imdb.com/title/tt0113243/?ref_=fn_tt_tt_1</t>
  </si>
  <si>
    <t>Adventure|Comedy|Drama|Romance|Thriller|War</t>
  </si>
  <si>
    <t>The Hunting Party </t>
  </si>
  <si>
    <t>http://www.imdb.com/title/tt0455782/?ref_=fn_tt_tt_1</t>
  </si>
  <si>
    <t>The Hudsucker Proxy </t>
  </si>
  <si>
    <t>http://www.imdb.com/title/tt0110074/?ref_=fn_tt_tt_1</t>
  </si>
  <si>
    <t>The Warlords </t>
  </si>
  <si>
    <t>http://www.imdb.com/title/tt0913968/?ref_=fn_tt_tt_1</t>
  </si>
  <si>
    <t>Nomad: The Warrior </t>
  </si>
  <si>
    <t>http://www.imdb.com/title/tt0374089/?ref_=fn_tt_tt_1</t>
  </si>
  <si>
    <t>Kazakh</t>
  </si>
  <si>
    <t>Snowpiercer </t>
  </si>
  <si>
    <t>http://www.imdb.com/title/tt1706620/?ref_=fn_tt_tt_1</t>
  </si>
  <si>
    <t>Action|Drama|Fantasy</t>
  </si>
  <si>
    <t>The Crow </t>
  </si>
  <si>
    <t>http://www.imdb.com/title/tt0109506/?ref_=fn_tt_tt_1</t>
  </si>
  <si>
    <t>Action|Adventure|Drama|Fantasy|War</t>
  </si>
  <si>
    <t>Baahubali: The Beginning </t>
  </si>
  <si>
    <t>http://www.imdb.com/title/tt2631186/?ref_=fn_tt_tt_1</t>
  </si>
  <si>
    <t>Telugu</t>
  </si>
  <si>
    <t>Drama|Fantasy|Romance|Sci-Fi</t>
  </si>
  <si>
    <t>The Time Traveler's Wife </t>
  </si>
  <si>
    <t>http://www.imdb.com/title/tt0452694/?ref_=fn_tt_tt_1</t>
  </si>
  <si>
    <t>Animation|Comedy|Family|Horror|Sci-Fi</t>
  </si>
  <si>
    <t>Frankenweenie </t>
  </si>
  <si>
    <t>http://www.imdb.com/title/tt1142977/?ref_=fn_tt_tt_1</t>
  </si>
  <si>
    <t>Serenity </t>
  </si>
  <si>
    <t>http://www.imdb.com/title/tt0379786/?ref_=fn_tt_tt_1</t>
  </si>
  <si>
    <t>Biography|Drama|Romance|Sport</t>
  </si>
  <si>
    <t>Against the Ropes </t>
  </si>
  <si>
    <t>http://www.imdb.com/title/tt0312329/?ref_=fn_tt_tt_1</t>
  </si>
  <si>
    <t>Superman III </t>
  </si>
  <si>
    <t>http://www.imdb.com/title/tt0086393/?ref_=fn_tt_tt_1</t>
  </si>
  <si>
    <t>Grudge Match </t>
  </si>
  <si>
    <t>http://www.imdb.com/title/tt1661382/?ref_=fn_tt_tt_1</t>
  </si>
  <si>
    <t>Red Cliff </t>
  </si>
  <si>
    <t>http://www.imdb.com/title/tt0425637/?ref_=fn_tt_tt_1</t>
  </si>
  <si>
    <t>Sweet Home Alabama </t>
  </si>
  <si>
    <t>http://www.imdb.com/title/tt0256415/?ref_=fn_tt_tt_1</t>
  </si>
  <si>
    <t>The Ugly Truth </t>
  </si>
  <si>
    <t>http://www.imdb.com/title/tt1142988/?ref_=fn_tt_tt_1</t>
  </si>
  <si>
    <t>Sgt. Bilko </t>
  </si>
  <si>
    <t>http://www.imdb.com/title/tt0117608/?ref_=fn_tt_tt_1</t>
  </si>
  <si>
    <t>Spy Kids 2: Island of Lost Dreams </t>
  </si>
  <si>
    <t>http://www.imdb.com/title/tt0287717/?ref_=fn_tt_tt_1</t>
  </si>
  <si>
    <t>Star Trek: Generations </t>
  </si>
  <si>
    <t>http://www.imdb.com/title/tt0111280/?ref_=fn_tt_tt_1</t>
  </si>
  <si>
    <t>Action|Biography|Drama</t>
  </si>
  <si>
    <t>The Grandmaster </t>
  </si>
  <si>
    <t>http://www.imdb.com/title/tt1462900/?ref_=fn_tt_tt_1</t>
  </si>
  <si>
    <t>Water for Elephants </t>
  </si>
  <si>
    <t>http://www.imdb.com/title/tt1067583/?ref_=fn_tt_tt_1</t>
  </si>
  <si>
    <t>The Hurricane </t>
  </si>
  <si>
    <t>http://www.imdb.com/title/tt0174856/?ref_=fn_tt_tt_1</t>
  </si>
  <si>
    <t>Enough </t>
  </si>
  <si>
    <t>http://www.imdb.com/title/tt0278435/?ref_=fn_tt_tt_1</t>
  </si>
  <si>
    <t>Heartbreakers </t>
  </si>
  <si>
    <t>http://www.imdb.com/title/tt0125022/?ref_=fn_tt_tt_1</t>
  </si>
  <si>
    <t>Angel Eyes </t>
  </si>
  <si>
    <t>http://www.imdb.com/title/tt0225071/?ref_=fn_tt_tt_1</t>
  </si>
  <si>
    <t>Joe Somebody </t>
  </si>
  <si>
    <t>http://www.imdb.com/title/tt0279889/?ref_=fn_tt_tt_1</t>
  </si>
  <si>
    <t>The Ninth Gate </t>
  </si>
  <si>
    <t>http://www.imdb.com/title/tt0142688/?ref_=fn_tt_tt_1</t>
  </si>
  <si>
    <t>Extreme Measures </t>
  </si>
  <si>
    <t>http://www.imdb.com/title/tt0116259/?ref_=fn_tt_tt_1</t>
  </si>
  <si>
    <t>Rock Star </t>
  </si>
  <si>
    <t>http://www.imdb.com/title/tt0202470/?ref_=fn_tt_tt_1</t>
  </si>
  <si>
    <t>Precious </t>
  </si>
  <si>
    <t>http://www.imdb.com/title/tt0929632/?ref_=fn_tt_tt_1</t>
  </si>
  <si>
    <t>Adventure|Drama</t>
  </si>
  <si>
    <t>White Squall </t>
  </si>
  <si>
    <t>http://www.imdb.com/title/tt0118158/?ref_=fn_tt_tt_1</t>
  </si>
  <si>
    <t>Horror|Mystery|Sci-Fi</t>
  </si>
  <si>
    <t>The Thing </t>
  </si>
  <si>
    <t>http://www.imdb.com/title/tt0084787/?ref_=fn_tt_tt_1</t>
  </si>
  <si>
    <t>Riddick </t>
  </si>
  <si>
    <t>http://www.imdb.com/title/tt1411250/?ref_=fn_tt_tt_1</t>
  </si>
  <si>
    <t>Switchback </t>
  </si>
  <si>
    <t>http://www.imdb.com/title/tt0119210/?ref_=fn_tt_tt_1</t>
  </si>
  <si>
    <t>Action|Adventure|Drama|Thriller|Western</t>
  </si>
  <si>
    <t>Texas Rangers </t>
  </si>
  <si>
    <t>http://www.imdb.com/title/tt0193560/?ref_=fn_tt_tt_1</t>
  </si>
  <si>
    <t>Adventure|Family|Fantasy|Sci-Fi</t>
  </si>
  <si>
    <t>City of Ember </t>
  </si>
  <si>
    <t>http://www.imdb.com/title/tt0970411/?ref_=fn_tt_tt_1</t>
  </si>
  <si>
    <t>The Master </t>
  </si>
  <si>
    <t>http://www.imdb.com/title/tt1560747/?ref_=fn_tt_tt_1</t>
  </si>
  <si>
    <t>Italy</t>
  </si>
  <si>
    <t>The Express </t>
  </si>
  <si>
    <t>http://www.imdb.com/title/tt0469903/?ref_=fn_tt_tt_1</t>
  </si>
  <si>
    <t>The 5th Wave </t>
  </si>
  <si>
    <t>http://www.imdb.com/title/tt2304933/?ref_=fn_tt_tt_1</t>
  </si>
  <si>
    <t>Creed </t>
  </si>
  <si>
    <t>http://www.imdb.com/title/tt3076658/?ref_=fn_tt_tt_1</t>
  </si>
  <si>
    <t>The Town </t>
  </si>
  <si>
    <t>http://www.imdb.com/title/tt0840361/?ref_=fn_tt_tt_1</t>
  </si>
  <si>
    <t>What to Expect When You're Expecting </t>
  </si>
  <si>
    <t>http://www.imdb.com/title/tt1586265/?ref_=fn_tt_tt_1</t>
  </si>
  <si>
    <t>Burn After Reading </t>
  </si>
  <si>
    <t>http://www.imdb.com/title/tt0887883/?ref_=fn_tt_tt_1</t>
  </si>
  <si>
    <t>Nim's Island </t>
  </si>
  <si>
    <t>http://www.imdb.com/title/tt0410377/?ref_=fn_tt_tt_1</t>
  </si>
  <si>
    <t>Action|Biography|Drama|Sport</t>
  </si>
  <si>
    <t>Rush </t>
  </si>
  <si>
    <t>http://www.imdb.com/title/tt1979320/?ref_=fn_tt_tt_1</t>
  </si>
  <si>
    <t>Magnolia </t>
  </si>
  <si>
    <t>http://www.imdb.com/title/tt0175880/?ref_=fn_tt_tt_1</t>
  </si>
  <si>
    <t>Cop Out </t>
  </si>
  <si>
    <t>http://www.imdb.com/title/tt1385867/?ref_=fn_tt_tt_1</t>
  </si>
  <si>
    <t>How to Be Single </t>
  </si>
  <si>
    <t>http://www.imdb.com/title/tt1292566/?ref_=fn_tt_tt_1</t>
  </si>
  <si>
    <t>Drama|Family</t>
  </si>
  <si>
    <t>Dolphin Tale </t>
  </si>
  <si>
    <t>http://www.imdb.com/title/tt1564349/?ref_=fn_tt_tt_1</t>
  </si>
  <si>
    <t>Twilight </t>
  </si>
  <si>
    <t>http://www.imdb.com/title/tt1099212/?ref_=fn_tt_tt_1</t>
  </si>
  <si>
    <t>John Q </t>
  </si>
  <si>
    <t>http://www.imdb.com/title/tt0251160/?ref_=fn_tt_tt_1</t>
  </si>
  <si>
    <t>Blue Streak </t>
  </si>
  <si>
    <t>http://www.imdb.com/title/tt0181316/?ref_=fn_tt_tt_1</t>
  </si>
  <si>
    <t>We're the Millers </t>
  </si>
  <si>
    <t>http://www.imdb.com/title/tt1723121/?ref_=fn_tt_tt_1</t>
  </si>
  <si>
    <t>Russia</t>
  </si>
  <si>
    <t>Breakdown </t>
  </si>
  <si>
    <t>http://www.imdb.com/title/tt0118771/?ref_=fn_tt_tt_1</t>
  </si>
  <si>
    <t>Never Say Never Again </t>
  </si>
  <si>
    <t>http://www.imdb.com/title/tt0086006/?ref_=fn_tt_tt_1</t>
  </si>
  <si>
    <t>Hot Tub Time Machine </t>
  </si>
  <si>
    <t>http://www.imdb.com/title/tt1231587/?ref_=fn_tt_tt_1</t>
  </si>
  <si>
    <t>Dolphin Tale 2 </t>
  </si>
  <si>
    <t>http://www.imdb.com/title/tt2978462/?ref_=fn_tt_tt_1</t>
  </si>
  <si>
    <t>Action|Adventure|Crime|Drama|Family|Fantasy|Romance|Thriller</t>
  </si>
  <si>
    <t>Reindeer Games </t>
  </si>
  <si>
    <t>http://www.imdb.com/title/tt0184858/?ref_=fn_tt_tt_1</t>
  </si>
  <si>
    <t>A Man Apart </t>
  </si>
  <si>
    <t>http://www.imdb.com/title/tt0266465/?ref_=fn_tt_tt_1</t>
  </si>
  <si>
    <t>Aloha </t>
  </si>
  <si>
    <t>http://www.imdb.com/title/tt1243974/?ref_=fn_tt_tt_1</t>
  </si>
  <si>
    <t>Ghosts of Mississippi </t>
  </si>
  <si>
    <t>http://www.imdb.com/title/tt0116410/?ref_=fn_tt_tt_1</t>
  </si>
  <si>
    <t>Snow Falling on Cedars </t>
  </si>
  <si>
    <t>http://www.imdb.com/title/tt0120834/?ref_=fn_tt_tt_1</t>
  </si>
  <si>
    <t>The Rite </t>
  </si>
  <si>
    <t>http://www.imdb.com/title/tt1161864/?ref_=fn_tt_tt_1</t>
  </si>
  <si>
    <t>Gattaca </t>
  </si>
  <si>
    <t>http://www.imdb.com/title/tt0119177/?ref_=fn_tt_tt_1</t>
  </si>
  <si>
    <t>Biography|Comedy|Romance</t>
  </si>
  <si>
    <t>Isn't She Great </t>
  </si>
  <si>
    <t>http://www.imdb.com/title/tt0141399/?ref_=fn_tt_tt_1</t>
  </si>
  <si>
    <t>Space Chimps </t>
  </si>
  <si>
    <t>http://www.imdb.com/title/tt0482603/?ref_=fn_tt_tt_1</t>
  </si>
  <si>
    <t>Head of State </t>
  </si>
  <si>
    <t>http://www.imdb.com/title/tt0325537/?ref_=fn_tt_tt_1</t>
  </si>
  <si>
    <t>The Hangover </t>
  </si>
  <si>
    <t>http://www.imdb.com/title/tt1119646/?ref_=fn_tt_tt_1</t>
  </si>
  <si>
    <t>Action|Biography|Drama|History</t>
  </si>
  <si>
    <t>Ip Man 3 </t>
  </si>
  <si>
    <t>http://www.imdb.com/title/tt2888046/?ref_=fn_tt_tt_1</t>
  </si>
  <si>
    <t>Cantonese</t>
  </si>
  <si>
    <t>Austin Powers: The Spy Who Shagged Me </t>
  </si>
  <si>
    <t>http://www.imdb.com/title/tt0145660/?ref_=fn_tt_tt_1</t>
  </si>
  <si>
    <t>Batman </t>
  </si>
  <si>
    <t>http://www.imdb.com/title/tt0096895/?ref_=fn_tt_tt_1</t>
  </si>
  <si>
    <t>Biography|Drama|War</t>
  </si>
  <si>
    <t>There Be Dragons </t>
  </si>
  <si>
    <t>http://www.imdb.com/title/tt1316616/?ref_=fn_tt_tt_1</t>
  </si>
  <si>
    <t>Lethal Weapon 3 </t>
  </si>
  <si>
    <t>http://www.imdb.com/title/tt0104714/?ref_=fn_tt_tt_1</t>
  </si>
  <si>
    <t>The Blind Side </t>
  </si>
  <si>
    <t>http://www.imdb.com/title/tt0878804/?ref_=fn_tt_tt_1</t>
  </si>
  <si>
    <t>Spy Kids </t>
  </si>
  <si>
    <t>http://www.imdb.com/title/tt0227538/?ref_=fn_tt_tt_1</t>
  </si>
  <si>
    <t>Horrible Bosses </t>
  </si>
  <si>
    <t>http://www.imdb.com/title/tt1499658/?ref_=fn_tt_tt_1</t>
  </si>
  <si>
    <t>True Grit </t>
  </si>
  <si>
    <t>http://www.imdb.com/title/tt1403865/?ref_=fn_tt_tt_1</t>
  </si>
  <si>
    <t>The Devil Wears Prada </t>
  </si>
  <si>
    <t>http://www.imdb.com/title/tt0458352/?ref_=fn_tt_tt_1</t>
  </si>
  <si>
    <t>Star Trek: The Motion Picture </t>
  </si>
  <si>
    <t>http://www.imdb.com/title/tt0079945/?ref_=fn_tt_tt_1</t>
  </si>
  <si>
    <t>Identity Thief </t>
  </si>
  <si>
    <t>http://www.imdb.com/title/tt2024432/?ref_=fn_tt_tt_1</t>
  </si>
  <si>
    <t>Cape Fear </t>
  </si>
  <si>
    <t>http://www.imdb.com/title/tt0101540/?ref_=fn_tt_tt_1</t>
  </si>
  <si>
    <t>21 </t>
  </si>
  <si>
    <t>http://www.imdb.com/title/tt0478087/?ref_=fn_tt_tt_1</t>
  </si>
  <si>
    <t>Trainwreck </t>
  </si>
  <si>
    <t>http://www.imdb.com/title/tt3152624/?ref_=fn_tt_tt_1</t>
  </si>
  <si>
    <t>Guess Who </t>
  </si>
  <si>
    <t>http://www.imdb.com/title/tt0372237/?ref_=fn_tt_tt_1</t>
  </si>
  <si>
    <t>The English Patient </t>
  </si>
  <si>
    <t>http://www.imdb.com/title/tt0116209/?ref_=fn_tt_tt_1</t>
  </si>
  <si>
    <t>L.A. Confidential </t>
  </si>
  <si>
    <t>http://www.imdb.com/title/tt0119488/?ref_=fn_tt_tt_1</t>
  </si>
  <si>
    <t>Adventure|Comedy|Family|Sci-Fi</t>
  </si>
  <si>
    <t>Sky High </t>
  </si>
  <si>
    <t>http://www.imdb.com/title/tt0405325/?ref_=fn_tt_tt_1</t>
  </si>
  <si>
    <t>In &amp; Out </t>
  </si>
  <si>
    <t>http://www.imdb.com/title/tt0119360/?ref_=fn_tt_tt_1</t>
  </si>
  <si>
    <t>Species </t>
  </si>
  <si>
    <t>http://www.imdb.com/title/tt0114508/?ref_=fn_tt_tt_1</t>
  </si>
  <si>
    <t>A Nightmare on Elm Street </t>
  </si>
  <si>
    <t>http://www.imdb.com/title/tt0087800/?ref_=fn_tt_tt_1</t>
  </si>
  <si>
    <t>The Cell </t>
  </si>
  <si>
    <t>http://www.imdb.com/title/tt0209958/?ref_=fn_tt_tt_1</t>
  </si>
  <si>
    <t>The Man in the Iron Mask </t>
  </si>
  <si>
    <t>http://www.imdb.com/title/tt0120744/?ref_=fn_tt_tt_1</t>
  </si>
  <si>
    <t>Biography|Drama|Family|History|Sport</t>
  </si>
  <si>
    <t>Secretariat </t>
  </si>
  <si>
    <t>http://www.imdb.com/title/tt1028576/?ref_=fn_tt_tt_1</t>
  </si>
  <si>
    <t>TMNT </t>
  </si>
  <si>
    <t>http://www.imdb.com/title/tt0453556/?ref_=fn_tt_tt_1</t>
  </si>
  <si>
    <t>Radio </t>
  </si>
  <si>
    <t>http://www.imdb.com/title/tt0316465/?ref_=fn_tt_tt_1</t>
  </si>
  <si>
    <t>Friends with Benefits </t>
  </si>
  <si>
    <t>http://www.imdb.com/title/tt1632708/?ref_=fn_tt_tt_1</t>
  </si>
  <si>
    <t>Neighbors 2: Sorority Rising </t>
  </si>
  <si>
    <t>http://www.imdb.com/title/tt4438848/?ref_=fn_tt_tt_1</t>
  </si>
  <si>
    <t>Biography|Comedy|Drama|History|Music</t>
  </si>
  <si>
    <t>Saving Mr. Banks </t>
  </si>
  <si>
    <t>http://www.imdb.com/title/tt2140373/?ref_=fn_tt_tt_1</t>
  </si>
  <si>
    <t>Malcolm X </t>
  </si>
  <si>
    <t>http://www.imdb.com/title/tt0104797/?ref_=fn_tt_tt_1</t>
  </si>
  <si>
    <t>This Is 40 </t>
  </si>
  <si>
    <t>http://www.imdb.com/title/tt1758830/?ref_=fn_tt_tt_1</t>
  </si>
  <si>
    <t>Old Dogs </t>
  </si>
  <si>
    <t>http://www.imdb.com/title/tt0976238/?ref_=fn_tt_tt_1</t>
  </si>
  <si>
    <t>Underworld: Rise of the Lycans </t>
  </si>
  <si>
    <t>http://www.imdb.com/title/tt0834001/?ref_=fn_tt_tt_1</t>
  </si>
  <si>
    <t>License to Wed </t>
  </si>
  <si>
    <t>http://www.imdb.com/title/tt0762114/?ref_=fn_tt_tt_1</t>
  </si>
  <si>
    <t>The Benchwarmers </t>
  </si>
  <si>
    <t>http://www.imdb.com/title/tt0437863/?ref_=fn_tt_tt_1</t>
  </si>
  <si>
    <t>Donnie Brasco </t>
  </si>
  <si>
    <t>http://www.imdb.com/title/tt0119008/?ref_=fn_tt_tt_1</t>
  </si>
  <si>
    <t>Resident Evil </t>
  </si>
  <si>
    <t>http://www.imdb.com/title/tt0120804/?ref_=fn_tt_tt_1</t>
  </si>
  <si>
    <t>Fantasy|Horror</t>
  </si>
  <si>
    <t>Poltergeist </t>
  </si>
  <si>
    <t>http://www.imdb.com/title/tt0084516/?ref_=fn_tt_tt_1</t>
  </si>
  <si>
    <t>The Ladykillers </t>
  </si>
  <si>
    <t>http://www.imdb.com/title/tt0335245/?ref_=fn_tt_tt_1</t>
  </si>
  <si>
    <t>Max Payne </t>
  </si>
  <si>
    <t>http://www.imdb.com/title/tt0467197/?ref_=fn_tt_tt_1</t>
  </si>
  <si>
    <t>In Time </t>
  </si>
  <si>
    <t>http://www.imdb.com/title/tt1637688/?ref_=fn_tt_tt_1</t>
  </si>
  <si>
    <t>The Back-up Plan </t>
  </si>
  <si>
    <t>http://www.imdb.com/title/tt1212436/?ref_=fn_tt_tt_1</t>
  </si>
  <si>
    <t>Something Borrowed </t>
  </si>
  <si>
    <t>http://www.imdb.com/title/tt0491152/?ref_=fn_tt_tt_1</t>
  </si>
  <si>
    <t>Black Knight </t>
  </si>
  <si>
    <t>http://www.imdb.com/title/tt0265087/?ref_=fn_tt_tt_1</t>
  </si>
  <si>
    <t>Comedy|Drama|Family|Sport</t>
  </si>
  <si>
    <t>Street Fighter </t>
  </si>
  <si>
    <t>http://www.imdb.com/title/tt0111301/?ref_=fn_tt_tt_1</t>
  </si>
  <si>
    <t>The Pianist </t>
  </si>
  <si>
    <t>http://www.imdb.com/title/tt0253474/?ref_=fn_tt_tt_1</t>
  </si>
  <si>
    <t>The Nativity Story </t>
  </si>
  <si>
    <t>http://www.imdb.com/title/tt0762121/?ref_=fn_tt_tt_1</t>
  </si>
  <si>
    <t>House of Wax </t>
  </si>
  <si>
    <t>http://www.imdb.com/title/tt0397065/?ref_=fn_tt_tt_1</t>
  </si>
  <si>
    <t>Closer </t>
  </si>
  <si>
    <t>http://www.imdb.com/title/tt0376541/?ref_=fn_tt_tt_1</t>
  </si>
  <si>
    <t>J. Edgar </t>
  </si>
  <si>
    <t>http://www.imdb.com/title/tt1616195/?ref_=fn_tt_tt_1</t>
  </si>
  <si>
    <t>Mirrors </t>
  </si>
  <si>
    <t>http://www.imdb.com/title/tt0790686/?ref_=fn_tt_tt_1</t>
  </si>
  <si>
    <t>Queen of the Damned </t>
  </si>
  <si>
    <t>http://www.imdb.com/title/tt0238546/?ref_=fn_tt_tt_1</t>
  </si>
  <si>
    <t>Predator 2 </t>
  </si>
  <si>
    <t>http://www.imdb.com/title/tt0100403/?ref_=fn_tt_tt_1</t>
  </si>
  <si>
    <t>Untraceable </t>
  </si>
  <si>
    <t>http://www.imdb.com/title/tt0880578/?ref_=fn_tt_tt_1</t>
  </si>
  <si>
    <t>Comedy|Drama|Romance|Sci-Fi</t>
  </si>
  <si>
    <t>Blast from the Past </t>
  </si>
  <si>
    <t>http://www.imdb.com/title/tt0124298/?ref_=fn_tt_tt_1</t>
  </si>
  <si>
    <t>Jersey Girl </t>
  </si>
  <si>
    <t>http://www.imdb.com/title/tt0300051/?ref_=fn_tt_tt_1</t>
  </si>
  <si>
    <t>Alex Cross </t>
  </si>
  <si>
    <t>http://www.imdb.com/title/tt1712170/?ref_=fn_tt_tt_1</t>
  </si>
  <si>
    <t>Midnight in the Garden of Good and Evil </t>
  </si>
  <si>
    <t>http://www.imdb.com/title/tt0119668/?ref_=fn_tt_tt_1</t>
  </si>
  <si>
    <t>Nanny McPhee Returns </t>
  </si>
  <si>
    <t>http://www.imdb.com/title/tt1415283/?ref_=fn_tt_tt_1</t>
  </si>
  <si>
    <t>Hoffa </t>
  </si>
  <si>
    <t>http://www.imdb.com/title/tt0104427/?ref_=fn_tt_tt_1</t>
  </si>
  <si>
    <t>The X Files: I Want to Believe </t>
  </si>
  <si>
    <t>http://www.imdb.com/title/tt0443701/?ref_=fn_tt_tt_1</t>
  </si>
  <si>
    <t>Ella Enchanted </t>
  </si>
  <si>
    <t>http://www.imdb.com/title/tt0327679/?ref_=fn_tt_tt_1</t>
  </si>
  <si>
    <t>Concussion </t>
  </si>
  <si>
    <t>http://www.imdb.com/title/tt3322364/?ref_=fn_tt_tt_1</t>
  </si>
  <si>
    <t>Abduction </t>
  </si>
  <si>
    <t>http://www.imdb.com/title/tt1600195/?ref_=fn_tt_tt_1</t>
  </si>
  <si>
    <t>Adventure|Animation|Comedy|Family|War</t>
  </si>
  <si>
    <t>Valiant </t>
  </si>
  <si>
    <t>http://www.imdb.com/title/tt0361089/?ref_=fn_tt_tt_1</t>
  </si>
  <si>
    <t>Wonder Boys </t>
  </si>
  <si>
    <t>http://www.imdb.com/title/tt0185014/?ref_=fn_tt_tt_1</t>
  </si>
  <si>
    <t>Action|Comedy|Sci-Fi|Thriller</t>
  </si>
  <si>
    <t>Superhero Movie </t>
  </si>
  <si>
    <t>http://www.imdb.com/title/tt0426592/?ref_=fn_tt_tt_1</t>
  </si>
  <si>
    <t>Broken City </t>
  </si>
  <si>
    <t>http://www.imdb.com/title/tt1235522/?ref_=fn_tt_tt_1</t>
  </si>
  <si>
    <t>Comedy|Horror</t>
  </si>
  <si>
    <t>Cursed </t>
  </si>
  <si>
    <t>http://www.imdb.com/title/tt0257516/?ref_=fn_tt_tt_1</t>
  </si>
  <si>
    <t>Premium Rush </t>
  </si>
  <si>
    <t>http://www.imdb.com/title/tt1547234/?ref_=fn_tt_tt_1</t>
  </si>
  <si>
    <t>Hot Pursuit </t>
  </si>
  <si>
    <t>http://www.imdb.com/title/tt2967224/?ref_=fn_tt_tt_1</t>
  </si>
  <si>
    <t>The Four Feathers </t>
  </si>
  <si>
    <t>http://www.imdb.com/title/tt0240510/?ref_=fn_tt_tt_1</t>
  </si>
  <si>
    <t>Parker </t>
  </si>
  <si>
    <t>http://www.imdb.com/title/tt1904996/?ref_=fn_tt_tt_1</t>
  </si>
  <si>
    <t>Wimbledon </t>
  </si>
  <si>
    <t>http://www.imdb.com/title/tt0360201/?ref_=fn_tt_tt_1</t>
  </si>
  <si>
    <t>Furry Vengeance </t>
  </si>
  <si>
    <t>http://www.imdb.com/title/tt0492389/?ref_=fn_tt_tt_1</t>
  </si>
  <si>
    <t>Drama|Thriller|War</t>
  </si>
  <si>
    <t>Lions for Lambs </t>
  </si>
  <si>
    <t>http://www.imdb.com/title/tt0891527/?ref_=fn_tt_tt_1</t>
  </si>
  <si>
    <t>Flight of the Intruder </t>
  </si>
  <si>
    <t>http://www.imdb.com/title/tt0099587/?ref_=fn_tt_tt_1</t>
  </si>
  <si>
    <t>Walk Hard: The Dewey Cox Story </t>
  </si>
  <si>
    <t>http://www.imdb.com/title/tt0841046/?ref_=fn_tt_tt_1</t>
  </si>
  <si>
    <t>The Shipping News </t>
  </si>
  <si>
    <t>http://www.imdb.com/title/tt0120824/?ref_=fn_tt_tt_1</t>
  </si>
  <si>
    <t>Action|Western</t>
  </si>
  <si>
    <t>American Outlaws </t>
  </si>
  <si>
    <t>http://www.imdb.com/title/tt0244000/?ref_=fn_tt_tt_1</t>
  </si>
  <si>
    <t>The Young Victoria </t>
  </si>
  <si>
    <t>http://www.imdb.com/title/tt0962736/?ref_=fn_tt_tt_1</t>
  </si>
  <si>
    <t>Whiteout </t>
  </si>
  <si>
    <t>http://www.imdb.com/title/tt0365929/?ref_=fn_tt_tt_1</t>
  </si>
  <si>
    <t>The Tree of Life </t>
  </si>
  <si>
    <t>http://www.imdb.com/title/tt0478304/?ref_=fn_tt_tt_1</t>
  </si>
  <si>
    <t>Knock Off </t>
  </si>
  <si>
    <t>http://www.imdb.com/title/tt0120724/?ref_=fn_tt_tt_1</t>
  </si>
  <si>
    <t>Aruba</t>
  </si>
  <si>
    <t>Sabotage </t>
  </si>
  <si>
    <t>http://www.imdb.com/title/tt1742334/?ref_=fn_tt_tt_1</t>
  </si>
  <si>
    <t>The Order </t>
  </si>
  <si>
    <t>http://www.imdb.com/title/tt0304711/?ref_=fn_tt_tt_1</t>
  </si>
  <si>
    <t>Punisher: War Zone </t>
  </si>
  <si>
    <t>http://www.imdb.com/title/tt0450314/?ref_=fn_tt_tt_1</t>
  </si>
  <si>
    <t>Action|Adventure|Family|Sci-Fi</t>
  </si>
  <si>
    <t>Zoom </t>
  </si>
  <si>
    <t>http://www.imdb.com/title/tt0383060/?ref_=fn_tt_tt_1</t>
  </si>
  <si>
    <t>Adventure|Biography|Drama|Thriller</t>
  </si>
  <si>
    <t>The Walk </t>
  </si>
  <si>
    <t>http://www.imdb.com/title/tt3488710/?ref_=fn_tt_tt_1</t>
  </si>
  <si>
    <t>Warriors of Virtue </t>
  </si>
  <si>
    <t>http://www.imdb.com/title/tt0120479/?ref_=fn_tt_tt_1</t>
  </si>
  <si>
    <t>A Good Year </t>
  </si>
  <si>
    <t>http://www.imdb.com/title/tt0401445/?ref_=fn_tt_tt_1</t>
  </si>
  <si>
    <t>Radio Flyer </t>
  </si>
  <si>
    <t>http://www.imdb.com/title/tt0105211/?ref_=fn_tt_tt_1</t>
  </si>
  <si>
    <t>Smilla's Sense of Snow </t>
  </si>
  <si>
    <t>http://www.imdb.com/title/tt0120152/?ref_=fn_tt_tt_1</t>
  </si>
  <si>
    <t>Denmark</t>
  </si>
  <si>
    <t>Femme Fatale </t>
  </si>
  <si>
    <t>http://www.imdb.com/title/tt0280665/?ref_=fn_tt_tt_1</t>
  </si>
  <si>
    <t>Drama|Romance|War|Western</t>
  </si>
  <si>
    <t>Ride with the Devil </t>
  </si>
  <si>
    <t>http://www.imdb.com/title/tt0134154/?ref_=fn_tt_tt_1</t>
  </si>
  <si>
    <t>The Maze Runner </t>
  </si>
  <si>
    <t>http://www.imdb.com/title/tt1790864/?ref_=fn_tt_tt_1</t>
  </si>
  <si>
    <t>Unfinished Business </t>
  </si>
  <si>
    <t>http://www.imdb.com/title/tt2358925/?ref_=fn_tt_tt_1</t>
  </si>
  <si>
    <t>The Age of Innocence </t>
  </si>
  <si>
    <t>http://www.imdb.com/title/tt0106226/?ref_=fn_tt_tt_1</t>
  </si>
  <si>
    <t>The Fountain </t>
  </si>
  <si>
    <t>http://www.imdb.com/title/tt0414993/?ref_=fn_tt_tt_1</t>
  </si>
  <si>
    <t>Action|Adventure|Comedy|Drama|Thriller</t>
  </si>
  <si>
    <t>Chill Factor </t>
  </si>
  <si>
    <t>http://www.imdb.com/title/tt0163579/?ref_=fn_tt_tt_1</t>
  </si>
  <si>
    <t>Stolen </t>
  </si>
  <si>
    <t>http://www.imdb.com/title/tt1656186/?ref_=fn_tt_tt_1</t>
  </si>
  <si>
    <t>Ponyo </t>
  </si>
  <si>
    <t>http://www.imdb.com/title/tt0876563/?ref_=fn_tt_tt_1</t>
  </si>
  <si>
    <t>The Longest Ride </t>
  </si>
  <si>
    <t>http://www.imdb.com/title/tt2726560/?ref_=fn_tt_tt_1</t>
  </si>
  <si>
    <t>The Astronaut's Wife </t>
  </si>
  <si>
    <t>http://www.imdb.com/title/tt0138304/?ref_=fn_tt_tt_1</t>
  </si>
  <si>
    <t>I Dreamed of Africa </t>
  </si>
  <si>
    <t>http://www.imdb.com/title/tt0167203/?ref_=fn_tt_tt_1</t>
  </si>
  <si>
    <t>Playing for Keeps </t>
  </si>
  <si>
    <t>http://www.imdb.com/title/tt1540128/?ref_=fn_tt_tt_1</t>
  </si>
  <si>
    <t>Mandela: Long Walk to Freedom </t>
  </si>
  <si>
    <t>http://www.imdb.com/title/tt2304771/?ref_=fn_tt_tt_1</t>
  </si>
  <si>
    <t>A Few Good Men </t>
  </si>
  <si>
    <t>http://www.imdb.com/title/tt0104257/?ref_=fn_tt_tt_1</t>
  </si>
  <si>
    <t>Exit Wounds </t>
  </si>
  <si>
    <t>http://www.imdb.com/title/tt0242445/?ref_=fn_tt_tt_1</t>
  </si>
  <si>
    <t>Big Momma's House </t>
  </si>
  <si>
    <t>http://www.imdb.com/title/tt0208003/?ref_=fn_tt_tt_1</t>
  </si>
  <si>
    <t>Thunder and the House of Magic </t>
  </si>
  <si>
    <t>http://www.imdb.com/title/tt3148834/?ref_=fn_tt_tt_1</t>
  </si>
  <si>
    <t>The Darkest Hour </t>
  </si>
  <si>
    <t>http://www.imdb.com/title/tt1093357/?ref_=fn_tt_tt_1</t>
  </si>
  <si>
    <t>Drama|Music|Romance</t>
  </si>
  <si>
    <t>Step Up Revolution </t>
  </si>
  <si>
    <t>http://www.imdb.com/title/tt1800741/?ref_=fn_tt_tt_1</t>
  </si>
  <si>
    <t>Action|Adventure|Crime|Drama|Thriller</t>
  </si>
  <si>
    <t>Snakes on a Plane </t>
  </si>
  <si>
    <t>http://www.imdb.com/title/tt0417148/?ref_=fn_tt_tt_1</t>
  </si>
  <si>
    <t>The Watcher </t>
  </si>
  <si>
    <t>http://www.imdb.com/title/tt0204626/?ref_=fn_tt_tt_1</t>
  </si>
  <si>
    <t>The Punisher </t>
  </si>
  <si>
    <t>http://www.imdb.com/title/tt0330793/?ref_=fn_tt_tt_1</t>
  </si>
  <si>
    <t>Goal! The Dream Begins </t>
  </si>
  <si>
    <t>http://www.imdb.com/title/tt0380389/?ref_=fn_tt_tt_1</t>
  </si>
  <si>
    <t>Safe </t>
  </si>
  <si>
    <t>http://www.imdb.com/title/tt1656190/?ref_=fn_tt_tt_1</t>
  </si>
  <si>
    <t>Pushing Tin </t>
  </si>
  <si>
    <t>http://www.imdb.com/title/tt0120797/?ref_=fn_tt_tt_1</t>
  </si>
  <si>
    <t>Star Wars: Episode VI - Return of the Jedi </t>
  </si>
  <si>
    <t>http://www.imdb.com/title/tt0086190/?ref_=fn_tt_tt_1</t>
  </si>
  <si>
    <t>Doomsday </t>
  </si>
  <si>
    <t>http://www.imdb.com/title/tt0483607/?ref_=fn_tt_tt_1</t>
  </si>
  <si>
    <t>The Reader </t>
  </si>
  <si>
    <t>http://www.imdb.com/title/tt0976051/?ref_=fn_tt_tt_1</t>
  </si>
  <si>
    <t>Elf </t>
  </si>
  <si>
    <t>http://www.imdb.com/title/tt0319343/?ref_=fn_tt_tt_1</t>
  </si>
  <si>
    <t>Phenomenon </t>
  </si>
  <si>
    <t>http://www.imdb.com/title/tt0117333/?ref_=fn_tt_tt_1</t>
  </si>
  <si>
    <t>Adventure|Comedy|Family|Sport</t>
  </si>
  <si>
    <t>Snow Dogs </t>
  </si>
  <si>
    <t>http://www.imdb.com/title/tt0281373/?ref_=fn_tt_tt_1</t>
  </si>
  <si>
    <t>Comedy|Drama|Fantasy</t>
  </si>
  <si>
    <t>Scrooged </t>
  </si>
  <si>
    <t>http://www.imdb.com/title/tt0096061/?ref_=fn_tt_tt_1</t>
  </si>
  <si>
    <t>Comedy|Family|Sport</t>
  </si>
  <si>
    <t>Nacho Libre </t>
  </si>
  <si>
    <t>http://www.imdb.com/title/tt0457510/?ref_=fn_tt_tt_1</t>
  </si>
  <si>
    <t>Bridesmaids </t>
  </si>
  <si>
    <t>http://www.imdb.com/title/tt1478338/?ref_=fn_tt_tt_1</t>
  </si>
  <si>
    <t>This Is the End </t>
  </si>
  <si>
    <t>http://www.imdb.com/title/tt1245492/?ref_=fn_tt_tt_1</t>
  </si>
  <si>
    <t>Stigmata </t>
  </si>
  <si>
    <t>http://www.imdb.com/title/tt0145531/?ref_=fn_tt_tt_1</t>
  </si>
  <si>
    <t>Men of Honor </t>
  </si>
  <si>
    <t>http://www.imdb.com/title/tt0203019/?ref_=fn_tt_tt_1</t>
  </si>
  <si>
    <t>The Big Wedding </t>
  </si>
  <si>
    <t>http://www.imdb.com/title/tt1931435/?ref_=fn_tt_tt_1</t>
  </si>
  <si>
    <t>Big Mommas: Like Father, Like Son </t>
  </si>
  <si>
    <t>http://www.imdb.com/title/tt1464174/?ref_=fn_tt_tt_1</t>
  </si>
  <si>
    <t>Source Code </t>
  </si>
  <si>
    <t>http://www.imdb.com/title/tt0945513/?ref_=fn_tt_tt_1</t>
  </si>
  <si>
    <t>Alive </t>
  </si>
  <si>
    <t>http://www.imdb.com/title/tt0106246/?ref_=fn_tt_tt_1</t>
  </si>
  <si>
    <t>The Number 23 </t>
  </si>
  <si>
    <t>http://www.imdb.com/title/tt0481369/?ref_=fn_tt_tt_1</t>
  </si>
  <si>
    <t>Action|Adventure|Drama|Family</t>
  </si>
  <si>
    <t>The Young and Prodigious T.S. Spivet </t>
  </si>
  <si>
    <t>http://www.imdb.com/title/tt1981107/?ref_=fn_tt_tt_1</t>
  </si>
  <si>
    <t>Action|Comedy|War</t>
  </si>
  <si>
    <t>Drama|Family|Sport</t>
  </si>
  <si>
    <t>Dreamer: Inspired by a True Story </t>
  </si>
  <si>
    <t>http://www.imdb.com/title/tt0418647/?ref_=fn_tt_tt_1</t>
  </si>
  <si>
    <t>A History of Violence </t>
  </si>
  <si>
    <t>http://www.imdb.com/title/tt0399146/?ref_=fn_tt_tt_1</t>
  </si>
  <si>
    <t>Transporter 2 </t>
  </si>
  <si>
    <t>http://www.imdb.com/title/tt0388482/?ref_=fn_tt_tt_1</t>
  </si>
  <si>
    <t>Action|Thriller|Western</t>
  </si>
  <si>
    <t>The Quick and the Dead </t>
  </si>
  <si>
    <t>http://www.imdb.com/title/tt0114214/?ref_=fn_tt_tt_1</t>
  </si>
  <si>
    <t>Laws of Attraction </t>
  </si>
  <si>
    <t>http://www.imdb.com/title/tt0323033/?ref_=fn_tt_tt_1</t>
  </si>
  <si>
    <t>Ireland</t>
  </si>
  <si>
    <t>Bringing Out the Dead </t>
  </si>
  <si>
    <t>http://www.imdb.com/title/tt0163988/?ref_=fn_tt_tt_1</t>
  </si>
  <si>
    <t>Repo Men </t>
  </si>
  <si>
    <t>http://www.imdb.com/title/tt1053424/?ref_=fn_tt_tt_1</t>
  </si>
  <si>
    <t>Action|Drama|Fantasy|Horror|Thriller</t>
  </si>
  <si>
    <t>Dragon Wars: D-War </t>
  </si>
  <si>
    <t>http://www.imdb.com/title/tt0372873/?ref_=fn_tt_tt_1</t>
  </si>
  <si>
    <t>Bogus </t>
  </si>
  <si>
    <t>http://www.imdb.com/title/tt0115725/?ref_=fn_tt_tt_1</t>
  </si>
  <si>
    <t>The Incredible Burt Wonderstone </t>
  </si>
  <si>
    <t>http://www.imdb.com/title/tt0790628/?ref_=fn_tt_tt_1</t>
  </si>
  <si>
    <t>Animation|Comedy|Family|Fantasy|Musical</t>
  </si>
  <si>
    <t>Cats Don't Dance </t>
  </si>
  <si>
    <t>http://www.imdb.com/title/tt0118829/?ref_=fn_tt_tt_1</t>
  </si>
  <si>
    <t>Cradle Will Rock </t>
  </si>
  <si>
    <t>http://www.imdb.com/title/tt0150216/?ref_=fn_tt_tt_1</t>
  </si>
  <si>
    <t>The Good German </t>
  </si>
  <si>
    <t>http://www.imdb.com/title/tt0452624/?ref_=fn_tt_tt_1</t>
  </si>
  <si>
    <t>Apocalypse Now </t>
  </si>
  <si>
    <t>http://www.imdb.com/title/tt0078788/?ref_=fn_tt_tt_1</t>
  </si>
  <si>
    <t>Going the Distance </t>
  </si>
  <si>
    <t>http://www.imdb.com/title/tt1322312/?ref_=fn_tt_tt_1</t>
  </si>
  <si>
    <t>Mr. Holland's Opus </t>
  </si>
  <si>
    <t>http://www.imdb.com/title/tt0113862/?ref_=fn_tt_tt_1</t>
  </si>
  <si>
    <t>Action|Crime|Drama|Mystery|Sci-Fi|Thriller</t>
  </si>
  <si>
    <t>Criminal </t>
  </si>
  <si>
    <t>http://www.imdb.com/title/tt3014866/?ref_=fn_tt_tt_1</t>
  </si>
  <si>
    <t>Out of Africa </t>
  </si>
  <si>
    <t>http://www.imdb.com/title/tt0089755/?ref_=fn_tt_tt_1</t>
  </si>
  <si>
    <t>Flight </t>
  </si>
  <si>
    <t>http://www.imdb.com/title/tt1907668/?ref_=fn_tt_tt_1</t>
  </si>
  <si>
    <t>Moonraker </t>
  </si>
  <si>
    <t>http://www.imdb.com/title/tt0079574/?ref_=fn_tt_tt_1</t>
  </si>
  <si>
    <t>Adventure|Comedy|Crime|Drama</t>
  </si>
  <si>
    <t>The Grand Budapest Hotel </t>
  </si>
  <si>
    <t>http://www.imdb.com/title/tt2278388/?ref_=fn_tt_tt_1</t>
  </si>
  <si>
    <t>Drama|Mystery</t>
  </si>
  <si>
    <t>Hearts in Atlantis </t>
  </si>
  <si>
    <t>http://www.imdb.com/title/tt0252501/?ref_=fn_tt_tt_1</t>
  </si>
  <si>
    <t>Comedy|Fantasy|Horror|Thriller</t>
  </si>
  <si>
    <t>Arachnophobia </t>
  </si>
  <si>
    <t>http://www.imdb.com/title/tt0099052/?ref_=fn_tt_tt_1</t>
  </si>
  <si>
    <t>Crime|Drama|Mystery|Sci-Fi|Thriller</t>
  </si>
  <si>
    <t>Frequency </t>
  </si>
  <si>
    <t>http://www.imdb.com/title/tt0186151/?ref_=fn_tt_tt_1</t>
  </si>
  <si>
    <t>Vacation </t>
  </si>
  <si>
    <t>http://www.imdb.com/title/tt1524930/?ref_=fn_tt_tt_1</t>
  </si>
  <si>
    <t>Get Shorty </t>
  </si>
  <si>
    <t>http://www.imdb.com/title/tt0113161/?ref_=fn_tt_tt_1</t>
  </si>
  <si>
    <t>Comedy|Crime|Musical</t>
  </si>
  <si>
    <t>Chicago </t>
  </si>
  <si>
    <t>http://www.imdb.com/title/tt0299658/?ref_=fn_tt_tt_1</t>
  </si>
  <si>
    <t>Big Daddy </t>
  </si>
  <si>
    <t>http://www.imdb.com/title/tt0142342/?ref_=fn_tt_tt_1</t>
  </si>
  <si>
    <t>American Pie 2 </t>
  </si>
  <si>
    <t>http://www.imdb.com/title/tt0252866/?ref_=fn_tt_tt_1</t>
  </si>
  <si>
    <t>Toy Story </t>
  </si>
  <si>
    <t>http://www.imdb.com/title/tt0114709/?ref_=fn_tt_tt_1</t>
  </si>
  <si>
    <t>Speed </t>
  </si>
  <si>
    <t>http://www.imdb.com/title/tt0111257/?ref_=fn_tt_tt_1</t>
  </si>
  <si>
    <t>The Vow </t>
  </si>
  <si>
    <t>http://www.imdb.com/title/tt1606389/?ref_=fn_tt_tt_1</t>
  </si>
  <si>
    <t>Extraordinary Measures </t>
  </si>
  <si>
    <t>http://www.imdb.com/title/tt1244659/?ref_=fn_tt_tt_1</t>
  </si>
  <si>
    <t>Remember the Titans </t>
  </si>
  <si>
    <t>http://www.imdb.com/title/tt0210945/?ref_=fn_tt_tt_1</t>
  </si>
  <si>
    <t>The Hunt for Red October </t>
  </si>
  <si>
    <t>http://www.imdb.com/title/tt0099810/?ref_=fn_tt_tt_1</t>
  </si>
  <si>
    <t>Lee Daniels' The Butler </t>
  </si>
  <si>
    <t>http://www.imdb.com/title/tt1327773/?ref_=fn_tt_tt_1</t>
  </si>
  <si>
    <t>Dodgeball: A True Underdog Story </t>
  </si>
  <si>
    <t>http://www.imdb.com/title/tt0364725/?ref_=fn_tt_tt_1</t>
  </si>
  <si>
    <t>The Addams Family </t>
  </si>
  <si>
    <t>http://www.imdb.com/title/tt0101272/?ref_=fn_tt_tt_1</t>
  </si>
  <si>
    <t>Ace Ventura: When Nature Calls </t>
  </si>
  <si>
    <t>http://www.imdb.com/title/tt0112281/?ref_=fn_tt_tt_1</t>
  </si>
  <si>
    <t>The Princess Diaries </t>
  </si>
  <si>
    <t>http://www.imdb.com/title/tt0247638/?ref_=fn_tt_tt_1</t>
  </si>
  <si>
    <t>The First Wives Club </t>
  </si>
  <si>
    <t>http://www.imdb.com/title/tt0116313/?ref_=fn_tt_tt_1</t>
  </si>
  <si>
    <t>Se7en </t>
  </si>
  <si>
    <t>http://www.imdb.com/title/tt0114369/?ref_=fn_tt_tt_1</t>
  </si>
  <si>
    <t>District 9 </t>
  </si>
  <si>
    <t>http://www.imdb.com/title/tt1136608/?ref_=fn_tt_tt_1</t>
  </si>
  <si>
    <t>South Africa</t>
  </si>
  <si>
    <t>The SpongeBob SquarePants Movie </t>
  </si>
  <si>
    <t>http://www.imdb.com/title/tt0345950/?ref_=fn_tt_tt_1</t>
  </si>
  <si>
    <t>Mystic River </t>
  </si>
  <si>
    <t>http://www.imdb.com/title/tt0327056/?ref_=fn_tt_tt_1</t>
  </si>
  <si>
    <t>Million Dollar Baby </t>
  </si>
  <si>
    <t>http://www.imdb.com/title/tt0405159/?ref_=fn_tt_tt_1</t>
  </si>
  <si>
    <t>Analyze This </t>
  </si>
  <si>
    <t>http://www.imdb.com/title/tt0122933/?ref_=fn_tt_tt_1</t>
  </si>
  <si>
    <t>The Notebook </t>
  </si>
  <si>
    <t>http://www.imdb.com/title/tt0332280/?ref_=fn_tt_tt_1</t>
  </si>
  <si>
    <t>Comedy|Drama|Family|Music|Romance</t>
  </si>
  <si>
    <t>Hannah Montana: The Movie </t>
  </si>
  <si>
    <t>http://www.imdb.com/title/tt1114677/?ref_=fn_tt_tt_1</t>
  </si>
  <si>
    <t>Rugrats in Paris: The Movie </t>
  </si>
  <si>
    <t>http://www.imdb.com/title/tt0213203/?ref_=fn_tt_tt_1</t>
  </si>
  <si>
    <t>The Prince of Tides </t>
  </si>
  <si>
    <t>http://www.imdb.com/title/tt0102713/?ref_=fn_tt_tt_1</t>
  </si>
  <si>
    <t>Legends of the Fall </t>
  </si>
  <si>
    <t>http://www.imdb.com/title/tt0110322/?ref_=fn_tt_tt_1</t>
  </si>
  <si>
    <t>Up in the Air </t>
  </si>
  <si>
    <t>http://www.imdb.com/title/tt1193138/?ref_=fn_tt_tt_1</t>
  </si>
  <si>
    <t>About Schmidt </t>
  </si>
  <si>
    <t>http://www.imdb.com/title/tt0257360/?ref_=fn_tt_tt_1</t>
  </si>
  <si>
    <t>Comedy|Horror|Romance</t>
  </si>
  <si>
    <t>Warm Bodies </t>
  </si>
  <si>
    <t>http://www.imdb.com/title/tt1588173/?ref_=fn_tt_tt_1</t>
  </si>
  <si>
    <t>Looper </t>
  </si>
  <si>
    <t>http://www.imdb.com/title/tt1276104/?ref_=fn_tt_tt_1</t>
  </si>
  <si>
    <t>Down to Earth </t>
  </si>
  <si>
    <t>http://www.imdb.com/title/tt0231775/?ref_=fn_tt_tt_1</t>
  </si>
  <si>
    <t>Babe </t>
  </si>
  <si>
    <t>http://www.imdb.com/title/tt0112431/?ref_=fn_tt_tt_1</t>
  </si>
  <si>
    <t>Hope Springs </t>
  </si>
  <si>
    <t>http://www.imdb.com/title/tt1535438/?ref_=fn_tt_tt_1</t>
  </si>
  <si>
    <t>Forgetting Sarah Marshall </t>
  </si>
  <si>
    <t>http://www.imdb.com/title/tt0800039/?ref_=fn_tt_tt_1</t>
  </si>
  <si>
    <t>Four Brothers </t>
  </si>
  <si>
    <t>http://www.imdb.com/title/tt0430105/?ref_=fn_tt_tt_1</t>
  </si>
  <si>
    <t>Baby Mama </t>
  </si>
  <si>
    <t>http://www.imdb.com/title/tt0871426/?ref_=fn_tt_tt_1</t>
  </si>
  <si>
    <t>Hope Floats </t>
  </si>
  <si>
    <t>http://www.imdb.com/title/tt0119313/?ref_=fn_tt_tt_1</t>
  </si>
  <si>
    <t>Bride Wars </t>
  </si>
  <si>
    <t>http://www.imdb.com/title/tt0901476/?ref_=fn_tt_tt_1</t>
  </si>
  <si>
    <t>Without a Paddle </t>
  </si>
  <si>
    <t>http://www.imdb.com/title/tt0364751/?ref_=fn_tt_tt_1</t>
  </si>
  <si>
    <t>13 Going on 30 </t>
  </si>
  <si>
    <t>http://www.imdb.com/title/tt0337563/?ref_=fn_tt_tt_1</t>
  </si>
  <si>
    <t>Midnight in Paris </t>
  </si>
  <si>
    <t>http://www.imdb.com/title/tt1605783/?ref_=fn_tt_tt_1</t>
  </si>
  <si>
    <t>The Nut Job </t>
  </si>
  <si>
    <t>http://www.imdb.com/title/tt1821658/?ref_=fn_tt_tt_1</t>
  </si>
  <si>
    <t>Blow </t>
  </si>
  <si>
    <t>http://www.imdb.com/title/tt0221027/?ref_=fn_tt_tt_1</t>
  </si>
  <si>
    <t>Message in a Bottle </t>
  </si>
  <si>
    <t>http://www.imdb.com/title/tt0139462/?ref_=fn_tt_tt_1</t>
  </si>
  <si>
    <t>Star Trek V: The Final Frontier </t>
  </si>
  <si>
    <t>http://www.imdb.com/title/tt0098382/?ref_=fn_tt_tt_1</t>
  </si>
  <si>
    <t>Comedy|Family|Fantasy|Sport</t>
  </si>
  <si>
    <t>Like Mike </t>
  </si>
  <si>
    <t>http://www.imdb.com/title/tt0308506/?ref_=fn_tt_tt_1</t>
  </si>
  <si>
    <t>Naked Gun 33 1/3: The Final Insult </t>
  </si>
  <si>
    <t>http://www.imdb.com/title/tt0110622/?ref_=fn_tt_tt_1</t>
  </si>
  <si>
    <t>A View to a Kill </t>
  </si>
  <si>
    <t>http://www.imdb.com/title/tt0090264/?ref_=fn_tt_tt_1</t>
  </si>
  <si>
    <t>Animation|Comedy|Family|Mystery|Sci-Fi</t>
  </si>
  <si>
    <t>The Curse of the Were-Rabbit </t>
  </si>
  <si>
    <t>http://www.imdb.com/title/tt0312004/?ref_=fn_tt_tt_1</t>
  </si>
  <si>
    <t>P.S. I Love You </t>
  </si>
  <si>
    <t>http://www.imdb.com/title/tt0431308/?ref_=fn_tt_tt_1</t>
  </si>
  <si>
    <t>Atonement </t>
  </si>
  <si>
    <t>http://www.imdb.com/title/tt0783233/?ref_=fn_tt_tt_1</t>
  </si>
  <si>
    <t>Letters to Juliet </t>
  </si>
  <si>
    <t>http://www.imdb.com/title/tt0892318/?ref_=fn_tt_tt_1</t>
  </si>
  <si>
    <t>Black Rain </t>
  </si>
  <si>
    <t>http://www.imdb.com/title/tt0096933/?ref_=fn_tt_tt_1</t>
  </si>
  <si>
    <t>Animation|Drama|Family|Fantasy|Musical|Romance</t>
  </si>
  <si>
    <t>Corpse Bride </t>
  </si>
  <si>
    <t>http://www.imdb.com/title/tt0121164/?ref_=fn_tt_tt_1</t>
  </si>
  <si>
    <t>Sicario </t>
  </si>
  <si>
    <t>http://www.imdb.com/title/tt3397884/?ref_=fn_tt_tt_1</t>
  </si>
  <si>
    <t>Southpaw </t>
  </si>
  <si>
    <t>http://www.imdb.com/title/tt1798684/?ref_=fn_tt_tt_1</t>
  </si>
  <si>
    <t>Drag Me to Hell </t>
  </si>
  <si>
    <t>http://www.imdb.com/title/tt1127180/?ref_=fn_tt_tt_1</t>
  </si>
  <si>
    <t>The Age of Adaline </t>
  </si>
  <si>
    <t>http://www.imdb.com/title/tt1655441/?ref_=fn_tt_tt_1</t>
  </si>
  <si>
    <t>Secondhand Lions </t>
  </si>
  <si>
    <t>http://www.imdb.com/title/tt0327137/?ref_=fn_tt_tt_1</t>
  </si>
  <si>
    <t>Step Up 3D </t>
  </si>
  <si>
    <t>http://www.imdb.com/title/tt1193631/?ref_=fn_tt_tt_1</t>
  </si>
  <si>
    <t>Blue Crush </t>
  </si>
  <si>
    <t>http://www.imdb.com/title/tt0300532/?ref_=fn_tt_tt_1</t>
  </si>
  <si>
    <t>Stranger Than Fiction </t>
  </si>
  <si>
    <t>http://www.imdb.com/title/tt0420223/?ref_=fn_tt_tt_1</t>
  </si>
  <si>
    <t>30 Days of Night </t>
  </si>
  <si>
    <t>http://www.imdb.com/title/tt0389722/?ref_=fn_tt_tt_1</t>
  </si>
  <si>
    <t>The Cabin in the Woods </t>
  </si>
  <si>
    <t>http://www.imdb.com/title/tt1259521/?ref_=fn_tt_tt_1</t>
  </si>
  <si>
    <t>Meet the Spartans </t>
  </si>
  <si>
    <t>http://www.imdb.com/title/tt1073498/?ref_=fn_tt_tt_1</t>
  </si>
  <si>
    <t>Midnight Run </t>
  </si>
  <si>
    <t>http://www.imdb.com/title/tt0095631/?ref_=fn_tt_tt_1</t>
  </si>
  <si>
    <t>The Running Man </t>
  </si>
  <si>
    <t>http://www.imdb.com/title/tt0093894/?ref_=fn_tt_tt_1</t>
  </si>
  <si>
    <t>Comedy|Horror|Musical|Sci-Fi</t>
  </si>
  <si>
    <t>Little Shop of Horrors </t>
  </si>
  <si>
    <t>http://www.imdb.com/title/tt0091419/?ref_=fn_tt_tt_1</t>
  </si>
  <si>
    <t>Hanna </t>
  </si>
  <si>
    <t>http://www.imdb.com/title/tt0993842/?ref_=fn_tt_tt_1</t>
  </si>
  <si>
    <t>Mortal Kombat: Annihilation </t>
  </si>
  <si>
    <t>http://www.imdb.com/title/tt0119707/?ref_=fn_tt_tt_1</t>
  </si>
  <si>
    <t>Larry Crowne </t>
  </si>
  <si>
    <t>http://www.imdb.com/title/tt1583420/?ref_=fn_tt_tt_1</t>
  </si>
  <si>
    <t>Carrie </t>
  </si>
  <si>
    <t>http://www.imdb.com/title/tt1939659/?ref_=fn_tt_tt_1</t>
  </si>
  <si>
    <t>Take the Lead </t>
  </si>
  <si>
    <t>http://www.imdb.com/title/tt0446046/?ref_=fn_tt_tt_1</t>
  </si>
  <si>
    <t>Crime|Drama|Sport</t>
  </si>
  <si>
    <t>Gridiron Gang </t>
  </si>
  <si>
    <t>http://www.imdb.com/title/tt0421206/?ref_=fn_tt_tt_1</t>
  </si>
  <si>
    <t>What's the Worst That Could Happen? </t>
  </si>
  <si>
    <t>http://www.imdb.com/title/tt0161083/?ref_=fn_tt_tt_1</t>
  </si>
  <si>
    <t>Action|Adventure|Animation|Drama|Mystery|Sci-Fi|Thriller</t>
  </si>
  <si>
    <t>9 </t>
  </si>
  <si>
    <t>http://www.imdb.com/title/tt0472033/?ref_=fn_tt_tt_1</t>
  </si>
  <si>
    <t>Side Effects </t>
  </si>
  <si>
    <t>http://www.imdb.com/title/tt2053463/?ref_=fn_tt_tt_1</t>
  </si>
  <si>
    <t>Winnie the Pooh </t>
  </si>
  <si>
    <t>http://www.imdb.com/title/tt1449283/?ref_=fn_tt_tt_1</t>
  </si>
  <si>
    <t>Dumb and Dumberer: When Harry Met Lloyd </t>
  </si>
  <si>
    <t>http://www.imdb.com/title/tt0329028/?ref_=fn_tt_tt_1</t>
  </si>
  <si>
    <t>Bulworth </t>
  </si>
  <si>
    <t>http://www.imdb.com/title/tt0118798/?ref_=fn_tt_tt_1</t>
  </si>
  <si>
    <t>Get on Up </t>
  </si>
  <si>
    <t>http://www.imdb.com/title/tt2473602/?ref_=fn_tt_tt_1</t>
  </si>
  <si>
    <t>One True Thing </t>
  </si>
  <si>
    <t>http://www.imdb.com/title/tt0120776/?ref_=fn_tt_tt_1</t>
  </si>
  <si>
    <t>Virtuosity </t>
  </si>
  <si>
    <t>http://www.imdb.com/title/tt0114857/?ref_=fn_tt_tt_1</t>
  </si>
  <si>
    <t>My Super Ex-Girlfriend </t>
  </si>
  <si>
    <t>http://www.imdb.com/title/tt0465624/?ref_=fn_tt_tt_1</t>
  </si>
  <si>
    <t>Deliver Us from Evil </t>
  </si>
  <si>
    <t>http://www.imdb.com/title/tt2377322/?ref_=fn_tt_tt_1</t>
  </si>
  <si>
    <t>Sanctum </t>
  </si>
  <si>
    <t>http://www.imdb.com/title/tt0881320/?ref_=fn_tt_tt_1</t>
  </si>
  <si>
    <t>Little Black Book </t>
  </si>
  <si>
    <t>http://www.imdb.com/title/tt0361841/?ref_=fn_tt_tt_1</t>
  </si>
  <si>
    <t>The Five-Year Engagement </t>
  </si>
  <si>
    <t>http://www.imdb.com/title/tt1195478/?ref_=fn_tt_tt_1</t>
  </si>
  <si>
    <t>Mr 3000 </t>
  </si>
  <si>
    <t>http://www.imdb.com/title/tt0339412/?ref_=fn_tt_tt_1</t>
  </si>
  <si>
    <t>The Next Three Days </t>
  </si>
  <si>
    <t>http://www.imdb.com/title/tt1458175/?ref_=fn_tt_tt_1</t>
  </si>
  <si>
    <t>Ultraviolet </t>
  </si>
  <si>
    <t>http://www.imdb.com/title/tt0370032/?ref_=fn_tt_tt_1</t>
  </si>
  <si>
    <t>Assault on Precinct 13 </t>
  </si>
  <si>
    <t>http://www.imdb.com/title/tt0398712/?ref_=fn_tt_tt_1</t>
  </si>
  <si>
    <t>The Replacement Killers </t>
  </si>
  <si>
    <t>http://www.imdb.com/title/tt0120008/?ref_=fn_tt_tt_1</t>
  </si>
  <si>
    <t>Action|Adventure|Crime|Drama|Romance</t>
  </si>
  <si>
    <t>Fled </t>
  </si>
  <si>
    <t>http://www.imdb.com/title/tt0116320/?ref_=fn_tt_tt_1</t>
  </si>
  <si>
    <t>Action|Comedy|Horror</t>
  </si>
  <si>
    <t>Eight Legged Freaks </t>
  </si>
  <si>
    <t>http://www.imdb.com/title/tt0271367/?ref_=fn_tt_tt_1</t>
  </si>
  <si>
    <t>Love &amp; Other Drugs </t>
  </si>
  <si>
    <t>http://www.imdb.com/title/tt0758752/?ref_=fn_tt_tt_1</t>
  </si>
  <si>
    <t>88 Minutes </t>
  </si>
  <si>
    <t>http://www.imdb.com/title/tt0411061/?ref_=fn_tt_tt_1</t>
  </si>
  <si>
    <t>North Country </t>
  </si>
  <si>
    <t>http://www.imdb.com/title/tt0395972/?ref_=fn_tt_tt_1</t>
  </si>
  <si>
    <t>The Whole Ten Yards </t>
  </si>
  <si>
    <t>http://www.imdb.com/title/tt0327247/?ref_=fn_tt_tt_1</t>
  </si>
  <si>
    <t>Splice </t>
  </si>
  <si>
    <t>http://www.imdb.com/title/tt1017460/?ref_=fn_tt_tt_1</t>
  </si>
  <si>
    <t>Howard the Duck </t>
  </si>
  <si>
    <t>http://www.imdb.com/title/tt0091225/?ref_=fn_tt_tt_1</t>
  </si>
  <si>
    <t>Pride and Glory </t>
  </si>
  <si>
    <t>http://www.imdb.com/title/tt0482572/?ref_=fn_tt_tt_1</t>
  </si>
  <si>
    <t>Adventure|Horror|Thriller</t>
  </si>
  <si>
    <t>The Cave </t>
  </si>
  <si>
    <t>http://www.imdb.com/title/tt0402901/?ref_=fn_tt_tt_1</t>
  </si>
  <si>
    <t>Alex &amp; Emma </t>
  </si>
  <si>
    <t>http://www.imdb.com/title/tt0318283/?ref_=fn_tt_tt_1</t>
  </si>
  <si>
    <t>Wicker Park </t>
  </si>
  <si>
    <t>http://www.imdb.com/title/tt0324554/?ref_=fn_tt_tt_1</t>
  </si>
  <si>
    <t>Fright Night </t>
  </si>
  <si>
    <t>http://www.imdb.com/title/tt1438176/?ref_=fn_tt_tt_1</t>
  </si>
  <si>
    <t>The New World </t>
  </si>
  <si>
    <t>http://www.imdb.com/title/tt0402399/?ref_=fn_tt_tt_1</t>
  </si>
  <si>
    <t>Wing Commander </t>
  </si>
  <si>
    <t>http://www.imdb.com/title/tt0131646/?ref_=fn_tt_tt_1</t>
  </si>
  <si>
    <t>In Dreams </t>
  </si>
  <si>
    <t>http://www.imdb.com/title/tt0120710/?ref_=fn_tt_tt_1</t>
  </si>
  <si>
    <t>Dragonball: Evolution </t>
  </si>
  <si>
    <t>http://www.imdb.com/title/tt1098327/?ref_=fn_tt_tt_1</t>
  </si>
  <si>
    <t>The Last Stand </t>
  </si>
  <si>
    <t>http://www.imdb.com/title/tt1549920/?ref_=fn_tt_tt_1</t>
  </si>
  <si>
    <t>Godsend </t>
  </si>
  <si>
    <t>http://www.imdb.com/title/tt0335121/?ref_=fn_tt_tt_1</t>
  </si>
  <si>
    <t>Chasing Liberty </t>
  </si>
  <si>
    <t>http://www.imdb.com/title/tt0360139/?ref_=fn_tt_tt_1</t>
  </si>
  <si>
    <t>Hoodwinked Too! Hood vs. Evil </t>
  </si>
  <si>
    <t>http://www.imdb.com/title/tt0844993/?ref_=fn_tt_tt_1</t>
  </si>
  <si>
    <t>An Unfinished Life </t>
  </si>
  <si>
    <t>http://www.imdb.com/title/tt0350261/?ref_=fn_tt_tt_1</t>
  </si>
  <si>
    <t>Adventure|Fantasy|Mystery</t>
  </si>
  <si>
    <t>The Imaginarium of Doctor Parnassus </t>
  </si>
  <si>
    <t>http://www.imdb.com/title/tt1054606/?ref_=fn_tt_tt_1</t>
  </si>
  <si>
    <t>Icelandic</t>
  </si>
  <si>
    <t>Iceland</t>
  </si>
  <si>
    <t>Runner Runner </t>
  </si>
  <si>
    <t>http://www.imdb.com/title/tt2364841/?ref_=fn_tt_tt_1</t>
  </si>
  <si>
    <t>Antitrust </t>
  </si>
  <si>
    <t>http://www.imdb.com/title/tt0218817/?ref_=fn_tt_tt_1</t>
  </si>
  <si>
    <t>Glory </t>
  </si>
  <si>
    <t>http://www.imdb.com/title/tt0097441/?ref_=fn_tt_tt_1</t>
  </si>
  <si>
    <t>Once Upon a Time in America </t>
  </si>
  <si>
    <t>http://www.imdb.com/title/tt0087843/?ref_=fn_tt_tt_1</t>
  </si>
  <si>
    <t>Dead Man Down </t>
  </si>
  <si>
    <t>http://www.imdb.com/title/tt2101341/?ref_=fn_tt_tt_1</t>
  </si>
  <si>
    <t>The Merchant of Venice </t>
  </si>
  <si>
    <t>http://www.imdb.com/title/tt0379889/?ref_=fn_tt_tt_1</t>
  </si>
  <si>
    <t>The Good Thief </t>
  </si>
  <si>
    <t>http://www.imdb.com/title/tt0281820/?ref_=fn_tt_tt_1</t>
  </si>
  <si>
    <t>Miss Potter </t>
  </si>
  <si>
    <t>http://www.imdb.com/title/tt0482546/?ref_=fn_tt_tt_1</t>
  </si>
  <si>
    <t>The Promise </t>
  </si>
  <si>
    <t>http://www.imdb.com/title/tt0417976/?ref_=fn_tt_tt_1</t>
  </si>
  <si>
    <t>DOA: Dead or Alive </t>
  </si>
  <si>
    <t>http://www.imdb.com/title/tt0398913/?ref_=fn_tt_tt_1</t>
  </si>
  <si>
    <t>Biography|Crime|Drama|History|Western</t>
  </si>
  <si>
    <t>The Assassination of Jesse James by the Coward Robert Ford </t>
  </si>
  <si>
    <t>http://www.imdb.com/title/tt0443680/?ref_=fn_tt_tt_1</t>
  </si>
  <si>
    <t>1911 </t>
  </si>
  <si>
    <t>http://www.imdb.com/title/tt1772230/?ref_=fn_tt_tt_1</t>
  </si>
  <si>
    <t>Action|Biography|Crime|Drama</t>
  </si>
  <si>
    <t>Machine Gun Preacher </t>
  </si>
  <si>
    <t>http://www.imdb.com/title/tt1586752/?ref_=fn_tt_tt_1</t>
  </si>
  <si>
    <t>German</t>
  </si>
  <si>
    <t>Adventure|Animation|Fantasy</t>
  </si>
  <si>
    <t>Pitch Perfect 2 </t>
  </si>
  <si>
    <t>http://www.imdb.com/title/tt2848292/?ref_=fn_tt_tt_1</t>
  </si>
  <si>
    <t>Biography|Drama|Music|Romance</t>
  </si>
  <si>
    <t>Walk the Line </t>
  </si>
  <si>
    <t>http://www.imdb.com/title/tt0358273/?ref_=fn_tt_tt_1</t>
  </si>
  <si>
    <t>Keeping the Faith </t>
  </si>
  <si>
    <t>http://www.imdb.com/title/tt0171433/?ref_=fn_tt_tt_1</t>
  </si>
  <si>
    <t>The Borrowers </t>
  </si>
  <si>
    <t>http://www.imdb.com/title/tt0118755/?ref_=fn_tt_tt_1</t>
  </si>
  <si>
    <t>Frost/Nixon </t>
  </si>
  <si>
    <t>http://www.imdb.com/title/tt0870111/?ref_=fn_tt_tt_1</t>
  </si>
  <si>
    <t>Serving Sara </t>
  </si>
  <si>
    <t>http://www.imdb.com/title/tt0261289/?ref_=fn_tt_tt_1</t>
  </si>
  <si>
    <t>The Boss </t>
  </si>
  <si>
    <t>http://www.imdb.com/title/tt2702724/?ref_=fn_tt_tt_1</t>
  </si>
  <si>
    <t>Cry Freedom </t>
  </si>
  <si>
    <t>http://www.imdb.com/title/tt0092804/?ref_=fn_tt_tt_1</t>
  </si>
  <si>
    <t>Mumford </t>
  </si>
  <si>
    <t>http://www.imdb.com/title/tt0140397/?ref_=fn_tt_tt_1</t>
  </si>
  <si>
    <t>Seed of Chucky </t>
  </si>
  <si>
    <t>http://www.imdb.com/title/tt0387575/?ref_=fn_tt_tt_1</t>
  </si>
  <si>
    <t>Romania</t>
  </si>
  <si>
    <t>The Jacket </t>
  </si>
  <si>
    <t>http://www.imdb.com/title/tt0366627/?ref_=fn_tt_tt_1</t>
  </si>
  <si>
    <t>Aladdin </t>
  </si>
  <si>
    <t>http://www.imdb.com/title/tt0103639/?ref_=fn_tt_tt_1</t>
  </si>
  <si>
    <t>Biography|Crime|Drama|History|Music</t>
  </si>
  <si>
    <t>Straight Outta Compton </t>
  </si>
  <si>
    <t>http://www.imdb.com/title/tt1398426/?ref_=fn_tt_tt_1</t>
  </si>
  <si>
    <t>Adventure|Animation|Comedy|Drama|Family|Musical</t>
  </si>
  <si>
    <t>The Rugrats Movie </t>
  </si>
  <si>
    <t>http://www.imdb.com/title/tt0134067/?ref_=fn_tt_tt_1</t>
  </si>
  <si>
    <t>Along Came a Spider </t>
  </si>
  <si>
    <t>http://www.imdb.com/title/tt0164334/?ref_=fn_tt_tt_1</t>
  </si>
  <si>
    <t>Once Upon a Time in Mexico </t>
  </si>
  <si>
    <t>http://www.imdb.com/title/tt0285823/?ref_=fn_tt_tt_1</t>
  </si>
  <si>
    <t>Die Hard </t>
  </si>
  <si>
    <t>http://www.imdb.com/title/tt0095016/?ref_=fn_tt_tt_1</t>
  </si>
  <si>
    <t>Role Models </t>
  </si>
  <si>
    <t>http://www.imdb.com/title/tt0430922/?ref_=fn_tt_tt_1</t>
  </si>
  <si>
    <t>The Big Short </t>
  </si>
  <si>
    <t>http://www.imdb.com/title/tt1596363/?ref_=fn_tt_tt_1</t>
  </si>
  <si>
    <t>Taking Woodstock </t>
  </si>
  <si>
    <t>http://www.imdb.com/title/tt1127896/?ref_=fn_tt_tt_1</t>
  </si>
  <si>
    <t>Miracle </t>
  </si>
  <si>
    <t>http://www.imdb.com/title/tt0349825/?ref_=fn_tt_tt_1</t>
  </si>
  <si>
    <t>Dawn of the Dead </t>
  </si>
  <si>
    <t>http://www.imdb.com/title/tt0363547/?ref_=fn_tt_tt_1</t>
  </si>
  <si>
    <t>The Wedding Planner </t>
  </si>
  <si>
    <t>http://www.imdb.com/title/tt0209475/?ref_=fn_tt_tt_1</t>
  </si>
  <si>
    <t>The Royal Tenenbaums </t>
  </si>
  <si>
    <t>http://www.imdb.com/title/tt0265666/?ref_=fn_tt_tt_1</t>
  </si>
  <si>
    <t>Identity </t>
  </si>
  <si>
    <t>http://www.imdb.com/title/tt0309698/?ref_=fn_tt_tt_1</t>
  </si>
  <si>
    <t>Last Vegas </t>
  </si>
  <si>
    <t>http://www.imdb.com/title/tt1204975/?ref_=fn_tt_tt_1</t>
  </si>
  <si>
    <t>For Your Eyes Only </t>
  </si>
  <si>
    <t>http://www.imdb.com/title/tt0082398/?ref_=fn_tt_tt_1</t>
  </si>
  <si>
    <t>Serendipity </t>
  </si>
  <si>
    <t>http://www.imdb.com/title/tt0240890/?ref_=fn_tt_tt_1</t>
  </si>
  <si>
    <t>Timecop </t>
  </si>
  <si>
    <t>http://www.imdb.com/title/tt0111438/?ref_=fn_tt_tt_1</t>
  </si>
  <si>
    <t>Zoolander </t>
  </si>
  <si>
    <t>http://www.imdb.com/title/tt0196229/?ref_=fn_tt_tt_1</t>
  </si>
  <si>
    <t>Drama|Romance|Thriller</t>
  </si>
  <si>
    <t>Safe Haven </t>
  </si>
  <si>
    <t>http://www.imdb.com/title/tt1702439/?ref_=fn_tt_tt_1</t>
  </si>
  <si>
    <t>Hocus Pocus </t>
  </si>
  <si>
    <t>http://www.imdb.com/title/tt0107120/?ref_=fn_tt_tt_1</t>
  </si>
  <si>
    <t>No Reservations </t>
  </si>
  <si>
    <t>http://www.imdb.com/title/tt0481141/?ref_=fn_tt_tt_1</t>
  </si>
  <si>
    <t>Kick-Ass </t>
  </si>
  <si>
    <t>http://www.imdb.com/title/tt1250777/?ref_=fn_tt_tt_1</t>
  </si>
  <si>
    <t>30 Minutes or Less </t>
  </si>
  <si>
    <t>http://www.imdb.com/title/tt1622547/?ref_=fn_tt_tt_1</t>
  </si>
  <si>
    <t>Action|Fantasy|Horror|Thriller</t>
  </si>
  <si>
    <t>Dracula 2000 </t>
  </si>
  <si>
    <t>http://www.imdb.com/title/tt0219653/?ref_=fn_tt_tt_1</t>
  </si>
  <si>
    <t>Alexander and the Terrible, Horrible, No Good, Very Bad Day </t>
  </si>
  <si>
    <t>http://www.imdb.com/title/tt1698641/?ref_=fn_tt_tt_1</t>
  </si>
  <si>
    <t>Pride &amp; Prejudice </t>
  </si>
  <si>
    <t>http://www.imdb.com/title/tt0414387/?ref_=fn_tt_tt_1</t>
  </si>
  <si>
    <t>Blade Runner </t>
  </si>
  <si>
    <t>http://www.imdb.com/title/tt0083658/?ref_=fn_tt_tt_1</t>
  </si>
  <si>
    <t>Adventure|Biography</t>
  </si>
  <si>
    <t>Rob Roy </t>
  </si>
  <si>
    <t>http://www.imdb.com/title/tt0114287/?ref_=fn_tt_tt_1</t>
  </si>
  <si>
    <t>3 Days to Kill </t>
  </si>
  <si>
    <t>http://www.imdb.com/title/tt2172934/?ref_=fn_tt_tt_1</t>
  </si>
  <si>
    <t>We Own the Night </t>
  </si>
  <si>
    <t>http://www.imdb.com/title/tt0498399/?ref_=fn_tt_tt_1</t>
  </si>
  <si>
    <t>Lost Souls </t>
  </si>
  <si>
    <t>http://www.imdb.com/title/tt0160484/?ref_=fn_tt_tt_1</t>
  </si>
  <si>
    <t>Winged Migration </t>
  </si>
  <si>
    <t>http://www.imdb.com/title/tt0301727/?ref_=fn_tt_tt_1</t>
  </si>
  <si>
    <t>Just My Luck </t>
  </si>
  <si>
    <t>http://www.imdb.com/title/tt0397078/?ref_=fn_tt_tt_1</t>
  </si>
  <si>
    <t>Mystery, Alaska </t>
  </si>
  <si>
    <t>http://www.imdb.com/title/tt0134618/?ref_=fn_tt_tt_1</t>
  </si>
  <si>
    <t>Action|Comedy|Family</t>
  </si>
  <si>
    <t>The Spy Next Door </t>
  </si>
  <si>
    <t>http://www.imdb.com/title/tt1273678/?ref_=fn_tt_tt_1</t>
  </si>
  <si>
    <t>A Simple Wish </t>
  </si>
  <si>
    <t>http://www.imdb.com/title/tt0120133/?ref_=fn_tt_tt_1</t>
  </si>
  <si>
    <t>Ghosts of Mars </t>
  </si>
  <si>
    <t>http://www.imdb.com/title/tt0228333/?ref_=fn_tt_tt_1</t>
  </si>
  <si>
    <t>Our Brand Is Crisis </t>
  </si>
  <si>
    <t>http://www.imdb.com/title/tt1018765/?ref_=fn_tt_tt_1</t>
  </si>
  <si>
    <t>Action|Horror|Romance</t>
  </si>
  <si>
    <t>Pride and Prejudice and Zombies </t>
  </si>
  <si>
    <t>http://www.imdb.com/title/tt1374989/?ref_=fn_tt_tt_1</t>
  </si>
  <si>
    <t>How to Lose Friends &amp; Alienate People </t>
  </si>
  <si>
    <t>http://www.imdb.com/title/tt0455538/?ref_=fn_tt_tt_1</t>
  </si>
  <si>
    <t>Kick-Ass 2 </t>
  </si>
  <si>
    <t>http://www.imdb.com/title/tt1650554/?ref_=fn_tt_tt_1</t>
  </si>
  <si>
    <t>Brick Mansions </t>
  </si>
  <si>
    <t>http://www.imdb.com/title/tt1430612/?ref_=fn_tt_tt_1</t>
  </si>
  <si>
    <t>Octopussy </t>
  </si>
  <si>
    <t>http://www.imdb.com/title/tt0086034/?ref_=fn_tt_tt_1</t>
  </si>
  <si>
    <t>My Sister's Keeper </t>
  </si>
  <si>
    <t>http://www.imdb.com/title/tt1078588/?ref_=fn_tt_tt_1</t>
  </si>
  <si>
    <t>Welcome Home, Roscoe Jenkins </t>
  </si>
  <si>
    <t>http://www.imdb.com/title/tt0494652/?ref_=fn_tt_tt_1</t>
  </si>
  <si>
    <t>A Passage to India </t>
  </si>
  <si>
    <t>http://www.imdb.com/title/tt0087892/?ref_=fn_tt_tt_1</t>
  </si>
  <si>
    <t>Notes on a Scandal </t>
  </si>
  <si>
    <t>http://www.imdb.com/title/tt0465551/?ref_=fn_tt_tt_1</t>
  </si>
  <si>
    <t>Rendition </t>
  </si>
  <si>
    <t>http://www.imdb.com/title/tt0804522/?ref_=fn_tt_tt_1</t>
  </si>
  <si>
    <t>Star Trek VI: The Undiscovered Country </t>
  </si>
  <si>
    <t>http://www.imdb.com/title/tt0102975/?ref_=fn_tt_tt_1</t>
  </si>
  <si>
    <t>Divine Secrets of the Ya-Ya Sisterhood </t>
  </si>
  <si>
    <t>http://www.imdb.com/title/tt0279778/?ref_=fn_tt_tt_1</t>
  </si>
  <si>
    <t>Kiss the Girls </t>
  </si>
  <si>
    <t>http://www.imdb.com/title/tt0119468/?ref_=fn_tt_tt_1</t>
  </si>
  <si>
    <t>Action|Comedy|Crime|Music</t>
  </si>
  <si>
    <t>The Blues Brothers </t>
  </si>
  <si>
    <t>http://www.imdb.com/title/tt0080455/?ref_=fn_tt_tt_1</t>
  </si>
  <si>
    <t>Comedy|Drama|Family|Romance</t>
  </si>
  <si>
    <t>Joyful Noise </t>
  </si>
  <si>
    <t>http://www.imdb.com/title/tt1710396/?ref_=fn_tt_tt_1</t>
  </si>
  <si>
    <t>About a Boy </t>
  </si>
  <si>
    <t>http://www.imdb.com/title/tt0276751/?ref_=fn_tt_tt_1</t>
  </si>
  <si>
    <t>Lake Placid </t>
  </si>
  <si>
    <t>http://www.imdb.com/title/tt0139414/?ref_=fn_tt_tt_1</t>
  </si>
  <si>
    <t>Lucky Number Slevin </t>
  </si>
  <si>
    <t>http://www.imdb.com/title/tt0425210/?ref_=fn_tt_tt_1</t>
  </si>
  <si>
    <t>The Right Stuff </t>
  </si>
  <si>
    <t>http://www.imdb.com/title/tt0086197/?ref_=fn_tt_tt_1</t>
  </si>
  <si>
    <t>Anonymous </t>
  </si>
  <si>
    <t>http://www.imdb.com/title/tt1521197/?ref_=fn_tt_tt_1</t>
  </si>
  <si>
    <t>West Germany</t>
  </si>
  <si>
    <t>Action|Drama|Fantasy|Mystery|Sci-Fi|Thriller</t>
  </si>
  <si>
    <t>Dark City </t>
  </si>
  <si>
    <t>http://www.imdb.com/title/tt0118929/?ref_=fn_tt_tt_1</t>
  </si>
  <si>
    <t>The Duchess </t>
  </si>
  <si>
    <t>http://www.imdb.com/title/tt0864761/?ref_=fn_tt_tt_1</t>
  </si>
  <si>
    <t>Action|Crime|Drama|History|Western</t>
  </si>
  <si>
    <t>The Newton Boys </t>
  </si>
  <si>
    <t>http://www.imdb.com/title/tt0120769/?ref_=fn_tt_tt_1</t>
  </si>
  <si>
    <t>Case 39 </t>
  </si>
  <si>
    <t>http://www.imdb.com/title/tt0795351/?ref_=fn_tt_tt_1</t>
  </si>
  <si>
    <t>Suspect Zero </t>
  </si>
  <si>
    <t>http://www.imdb.com/title/tt0324127/?ref_=fn_tt_tt_1</t>
  </si>
  <si>
    <t>Martian Child </t>
  </si>
  <si>
    <t>http://www.imdb.com/title/tt0415965/?ref_=fn_tt_tt_1</t>
  </si>
  <si>
    <t>Spy Kids: All the Time in the World in 4D </t>
  </si>
  <si>
    <t>http://www.imdb.com/title/tt1517489/?ref_=fn_tt_tt_1</t>
  </si>
  <si>
    <t>Money Monster </t>
  </si>
  <si>
    <t>http://www.imdb.com/title/tt2241351/?ref_=fn_tt_tt_1</t>
  </si>
  <si>
    <t>Formula 51 </t>
  </si>
  <si>
    <t>http://www.imdb.com/title/tt0227984/?ref_=fn_tt_tt_1</t>
  </si>
  <si>
    <t>Comedy|Crime|Drama</t>
  </si>
  <si>
    <t>Flawless </t>
  </si>
  <si>
    <t>http://www.imdb.com/title/tt0155711/?ref_=fn_tt_tt_1</t>
  </si>
  <si>
    <t>Mindhunters </t>
  </si>
  <si>
    <t>http://www.imdb.com/title/tt0297284/?ref_=fn_tt_tt_1</t>
  </si>
  <si>
    <t>What Just Happened </t>
  </si>
  <si>
    <t>http://www.imdb.com/title/tt0486674/?ref_=fn_tt_tt_1</t>
  </si>
  <si>
    <t>The Statement </t>
  </si>
  <si>
    <t>http://www.imdb.com/title/tt0340376/?ref_=fn_tt_tt_1</t>
  </si>
  <si>
    <t>Paul Blart: Mall Cop </t>
  </si>
  <si>
    <t>http://www.imdb.com/title/tt1114740/?ref_=fn_tt_tt_1</t>
  </si>
  <si>
    <t>Comedy|Family|Fantasy|Music|Romance</t>
  </si>
  <si>
    <t>Freaky Friday </t>
  </si>
  <si>
    <t>http://www.imdb.com/title/tt0322330/?ref_=fn_tt_tt_1</t>
  </si>
  <si>
    <t>The 40-Year-Old Virgin </t>
  </si>
  <si>
    <t>http://www.imdb.com/title/tt0405422/?ref_=fn_tt_tt_1</t>
  </si>
  <si>
    <t>Shakespeare in Love </t>
  </si>
  <si>
    <t>http://www.imdb.com/title/tt0138097/?ref_=fn_tt_tt_1</t>
  </si>
  <si>
    <t>A Walk Among the Tombstones </t>
  </si>
  <si>
    <t>http://www.imdb.com/title/tt0365907/?ref_=fn_tt_tt_1</t>
  </si>
  <si>
    <t>Kindergarten Cop </t>
  </si>
  <si>
    <t>http://www.imdb.com/title/tt0099938/?ref_=fn_tt_tt_1</t>
  </si>
  <si>
    <t>Pineapple Express </t>
  </si>
  <si>
    <t>http://www.imdb.com/title/tt0910936/?ref_=fn_tt_tt_1</t>
  </si>
  <si>
    <t>Ever After: A Cinderella Story </t>
  </si>
  <si>
    <t>http://www.imdb.com/title/tt0120631/?ref_=fn_tt_tt_1</t>
  </si>
  <si>
    <t>Open Range </t>
  </si>
  <si>
    <t>http://www.imdb.com/title/tt0316356/?ref_=fn_tt_tt_1</t>
  </si>
  <si>
    <t>Flatliners </t>
  </si>
  <si>
    <t>http://www.imdb.com/title/tt0099582/?ref_=fn_tt_tt_1</t>
  </si>
  <si>
    <t>A Bridge Too Far </t>
  </si>
  <si>
    <t>http://www.imdb.com/title/tt0075784/?ref_=fn_tt_tt_1</t>
  </si>
  <si>
    <t>Red Eye </t>
  </si>
  <si>
    <t>http://www.imdb.com/title/tt0421239/?ref_=fn_tt_tt_1</t>
  </si>
  <si>
    <t>Final Destination 2 </t>
  </si>
  <si>
    <t>http://www.imdb.com/title/tt0309593/?ref_=fn_tt_tt_1</t>
  </si>
  <si>
    <t>Adventure|Comedy|Crime|Music</t>
  </si>
  <si>
    <t>O Brother, Where Art Thou? </t>
  </si>
  <si>
    <t>http://www.imdb.com/title/tt0190590/?ref_=fn_tt_tt_1</t>
  </si>
  <si>
    <t>Legion </t>
  </si>
  <si>
    <t>http://www.imdb.com/title/tt1038686/?ref_=fn_tt_tt_1</t>
  </si>
  <si>
    <t>Pain &amp; Gain </t>
  </si>
  <si>
    <t>http://www.imdb.com/title/tt1980209/?ref_=fn_tt_tt_1</t>
  </si>
  <si>
    <t>In Good Company </t>
  </si>
  <si>
    <t>http://www.imdb.com/title/tt0385267/?ref_=fn_tt_tt_1</t>
  </si>
  <si>
    <t>Action|Crime|Drama|Western</t>
  </si>
  <si>
    <t>Silverado </t>
  </si>
  <si>
    <t>http://www.imdb.com/title/tt0090022/?ref_=fn_tt_tt_1</t>
  </si>
  <si>
    <t>Brothers </t>
  </si>
  <si>
    <t>http://www.imdb.com/title/tt0765010/?ref_=fn_tt_tt_1</t>
  </si>
  <si>
    <t>Action|Adventure|Comedy|Family|Romance|Sci-Fi</t>
  </si>
  <si>
    <t>Agent Cody Banks 2: Destination London </t>
  </si>
  <si>
    <t>http://www.imdb.com/title/tt0358349/?ref_=fn_tt_tt_1</t>
  </si>
  <si>
    <t>New Year's Eve </t>
  </si>
  <si>
    <t>http://www.imdb.com/title/tt1598822/?ref_=fn_tt_tt_1</t>
  </si>
  <si>
    <t>Original Sin </t>
  </si>
  <si>
    <t>http://www.imdb.com/title/tt0218922/?ref_=fn_tt_tt_1</t>
  </si>
  <si>
    <t>The Raven </t>
  </si>
  <si>
    <t>http://www.imdb.com/title/tt1486192/?ref_=fn_tt_tt_1</t>
  </si>
  <si>
    <t>Welcome to Mooseport </t>
  </si>
  <si>
    <t>http://www.imdb.com/title/tt0361925/?ref_=fn_tt_tt_1</t>
  </si>
  <si>
    <t>Action|Fantasy|Romance|Sci-Fi</t>
  </si>
  <si>
    <t>Highlander: The Final Dimension </t>
  </si>
  <si>
    <t>http://www.imdb.com/title/tt0110027/?ref_=fn_tt_tt_1</t>
  </si>
  <si>
    <t>Blood and Wine </t>
  </si>
  <si>
    <t>http://www.imdb.com/title/tt0115710/?ref_=fn_tt_tt_1</t>
  </si>
  <si>
    <t>Comedy|Crime|Mystery|Romance</t>
  </si>
  <si>
    <t>The Curse of the Jade Scorpion </t>
  </si>
  <si>
    <t>http://www.imdb.com/title/tt0256524/?ref_=fn_tt_tt_1</t>
  </si>
  <si>
    <t>Adventure|Family</t>
  </si>
  <si>
    <t>Flipper </t>
  </si>
  <si>
    <t>http://www.imdb.com/title/tt0116322/?ref_=fn_tt_tt_1</t>
  </si>
  <si>
    <t>Self/less </t>
  </si>
  <si>
    <t>http://www.imdb.com/title/tt2140379/?ref_=fn_tt_tt_1</t>
  </si>
  <si>
    <t>The Constant Gardener </t>
  </si>
  <si>
    <t>http://www.imdb.com/title/tt0387131/?ref_=fn_tt_tt_1</t>
  </si>
  <si>
    <t>The Passion of the Christ </t>
  </si>
  <si>
    <t>http://www.imdb.com/title/tt0335345/?ref_=fn_tt_tt_1</t>
  </si>
  <si>
    <t>Aramaic</t>
  </si>
  <si>
    <t>Mrs. Doubtfire </t>
  </si>
  <si>
    <t>http://www.imdb.com/title/tt0107614/?ref_=fn_tt_tt_1</t>
  </si>
  <si>
    <t>Rain Man </t>
  </si>
  <si>
    <t>http://www.imdb.com/title/tt0095953/?ref_=fn_tt_tt_1</t>
  </si>
  <si>
    <t>Gran Torino </t>
  </si>
  <si>
    <t>http://www.imdb.com/title/tt1205489/?ref_=fn_tt_tt_1</t>
  </si>
  <si>
    <t>W. </t>
  </si>
  <si>
    <t>http://www.imdb.com/title/tt1175491/?ref_=fn_tt_tt_1</t>
  </si>
  <si>
    <t>Taken </t>
  </si>
  <si>
    <t>http://www.imdb.com/title/tt0936501/?ref_=fn_tt_tt_1</t>
  </si>
  <si>
    <t>The Best of Me </t>
  </si>
  <si>
    <t>http://www.imdb.com/title/tt1972779/?ref_=fn_tt_tt_1</t>
  </si>
  <si>
    <t>Action|Drama|Music|Romance</t>
  </si>
  <si>
    <t>The Bodyguard </t>
  </si>
  <si>
    <t>http://www.imdb.com/title/tt0103855/?ref_=fn_tt_tt_1</t>
  </si>
  <si>
    <t>Schindler's List </t>
  </si>
  <si>
    <t>http://www.imdb.com/title/tt0108052/?ref_=fn_tt_tt_1</t>
  </si>
  <si>
    <t>The Help </t>
  </si>
  <si>
    <t>http://www.imdb.com/title/tt1454029/?ref_=fn_tt_tt_1</t>
  </si>
  <si>
    <t>The Fifth Estate </t>
  </si>
  <si>
    <t>http://www.imdb.com/title/tt1837703/?ref_=fn_tt_tt_1</t>
  </si>
  <si>
    <t>Adventure|Comedy|Family|Fantasy|Horror|Mystery</t>
  </si>
  <si>
    <t>Scooby-Doo 2: Monsters Unleashed </t>
  </si>
  <si>
    <t>http://www.imdb.com/title/tt0331632/?ref_=fn_tt_tt_1</t>
  </si>
  <si>
    <t>Adventure|Fantasy|Mystery|Thriller</t>
  </si>
  <si>
    <t>Jimmy Neutron: Boy Genius </t>
  </si>
  <si>
    <t>http://www.imdb.com/title/tt0268397/?ref_=fn_tt_tt_1</t>
  </si>
  <si>
    <t>Cloverfield </t>
  </si>
  <si>
    <t>http://www.imdb.com/title/tt1060277/?ref_=fn_tt_tt_1</t>
  </si>
  <si>
    <t>Teenage Mutant Ninja Turtles II: The Secret of the Ooze </t>
  </si>
  <si>
    <t>http://www.imdb.com/title/tt0103060/?ref_=fn_tt_tt_1</t>
  </si>
  <si>
    <t>The Untouchables </t>
  </si>
  <si>
    <t>http://www.imdb.com/title/tt0094226/?ref_=fn_tt_tt_1</t>
  </si>
  <si>
    <t>No Country for Old Men </t>
  </si>
  <si>
    <t>http://www.imdb.com/title/tt0477348/?ref_=fn_tt_tt_1</t>
  </si>
  <si>
    <t>Ride Along </t>
  </si>
  <si>
    <t>http://www.imdb.com/title/tt1408253/?ref_=fn_tt_tt_1</t>
  </si>
  <si>
    <t>Bridget Jones's Diary </t>
  </si>
  <si>
    <t>http://www.imdb.com/title/tt0243155/?ref_=fn_tt_tt_1</t>
  </si>
  <si>
    <t>Chocolat </t>
  </si>
  <si>
    <t>http://www.imdb.com/title/tt0241303/?ref_=fn_tt_tt_1</t>
  </si>
  <si>
    <t>Legally Blonde 2: Red, White &amp; Blonde </t>
  </si>
  <si>
    <t>http://www.imdb.com/title/tt0333780/?ref_=fn_tt_tt_1</t>
  </si>
  <si>
    <t>Parental Guidance </t>
  </si>
  <si>
    <t>http://www.imdb.com/title/tt1047540/?ref_=fn_tt_tt_1</t>
  </si>
  <si>
    <t>No Strings Attached </t>
  </si>
  <si>
    <t>http://www.imdb.com/title/tt1411238/?ref_=fn_tt_tt_1</t>
  </si>
  <si>
    <t>Action|Biography|Drama|History|Romance|Western</t>
  </si>
  <si>
    <t>Tombstone </t>
  </si>
  <si>
    <t>http://www.imdb.com/title/tt0108358/?ref_=fn_tt_tt_1</t>
  </si>
  <si>
    <t>Romeo Must Die </t>
  </si>
  <si>
    <t>http://www.imdb.com/title/tt0165929/?ref_=fn_tt_tt_1</t>
  </si>
  <si>
    <t>Final Destination 3 </t>
  </si>
  <si>
    <t>http://www.imdb.com/title/tt0414982/?ref_=fn_tt_tt_1</t>
  </si>
  <si>
    <t>The Lucky One </t>
  </si>
  <si>
    <t>http://www.imdb.com/title/tt1327194/?ref_=fn_tt_tt_1</t>
  </si>
  <si>
    <t>Bridge to Terabithia </t>
  </si>
  <si>
    <t>http://www.imdb.com/title/tt0398808/?ref_=fn_tt_tt_1</t>
  </si>
  <si>
    <t>Biography|Drama|Family</t>
  </si>
  <si>
    <t>Finding Neverland </t>
  </si>
  <si>
    <t>http://www.imdb.com/title/tt0308644/?ref_=fn_tt_tt_1</t>
  </si>
  <si>
    <t>A Madea Christmas </t>
  </si>
  <si>
    <t>http://www.imdb.com/title/tt2609758/?ref_=fn_tt_tt_1</t>
  </si>
  <si>
    <t>The Grey </t>
  </si>
  <si>
    <t>http://www.imdb.com/title/tt1601913/?ref_=fn_tt_tt_1</t>
  </si>
  <si>
    <t>Hide and Seek </t>
  </si>
  <si>
    <t>http://www.imdb.com/title/tt0382077/?ref_=fn_tt_tt_1</t>
  </si>
  <si>
    <t>Anchorman: The Legend of Ron Burgundy </t>
  </si>
  <si>
    <t>http://www.imdb.com/title/tt0357413/?ref_=fn_tt_tt_1</t>
  </si>
  <si>
    <t>Goodfellas </t>
  </si>
  <si>
    <t>http://www.imdb.com/title/tt0099685/?ref_=fn_tt_tt_1</t>
  </si>
  <si>
    <t>Action|Adventure|Comedy|Crime|Family|Romance|Thriller</t>
  </si>
  <si>
    <t>Agent Cody Banks </t>
  </si>
  <si>
    <t>http://www.imdb.com/title/tt0313911/?ref_=fn_tt_tt_1</t>
  </si>
  <si>
    <t>Nanny McPhee </t>
  </si>
  <si>
    <t>http://www.imdb.com/title/tt0396752/?ref_=fn_tt_tt_1</t>
  </si>
  <si>
    <t>Scarface </t>
  </si>
  <si>
    <t>http://www.imdb.com/title/tt0086250/?ref_=fn_tt_tt_1</t>
  </si>
  <si>
    <t>Nothing to Lose </t>
  </si>
  <si>
    <t>http://www.imdb.com/title/tt0119807/?ref_=fn_tt_tt_1</t>
  </si>
  <si>
    <t>The Last Emperor </t>
  </si>
  <si>
    <t>http://www.imdb.com/title/tt0093389/?ref_=fn_tt_tt_1</t>
  </si>
  <si>
    <t>Contraband </t>
  </si>
  <si>
    <t>http://www.imdb.com/title/tt1524137/?ref_=fn_tt_tt_1</t>
  </si>
  <si>
    <t>Money Talks </t>
  </si>
  <si>
    <t>http://www.imdb.com/title/tt0119695/?ref_=fn_tt_tt_1</t>
  </si>
  <si>
    <t>There Will Be Blood </t>
  </si>
  <si>
    <t>http://www.imdb.com/title/tt0469494/?ref_=fn_tt_tt_1</t>
  </si>
  <si>
    <t>The Wild Thornberrys Movie </t>
  </si>
  <si>
    <t>http://www.imdb.com/title/tt0282120/?ref_=fn_tt_tt_1</t>
  </si>
  <si>
    <t>Rugrats Go Wild </t>
  </si>
  <si>
    <t>http://www.imdb.com/title/tt0337711/?ref_=fn_tt_tt_1</t>
  </si>
  <si>
    <t>Undercover Brother </t>
  </si>
  <si>
    <t>http://www.imdb.com/title/tt0279493/?ref_=fn_tt_tt_1</t>
  </si>
  <si>
    <t>The Sisterhood of the Traveling Pants </t>
  </si>
  <si>
    <t>http://www.imdb.com/title/tt0403508/?ref_=fn_tt_tt_1</t>
  </si>
  <si>
    <t>Kiss of the Dragon </t>
  </si>
  <si>
    <t>http://www.imdb.com/title/tt0271027/?ref_=fn_tt_tt_1</t>
  </si>
  <si>
    <t>The House Bunny </t>
  </si>
  <si>
    <t>http://www.imdb.com/title/tt0852713/?ref_=fn_tt_tt_1</t>
  </si>
  <si>
    <t>Million Dollar Arm </t>
  </si>
  <si>
    <t>http://www.imdb.com/title/tt1647668/?ref_=fn_tt_tt_1</t>
  </si>
  <si>
    <t>The Giver </t>
  </si>
  <si>
    <t>http://www.imdb.com/title/tt0435651/?ref_=fn_tt_tt_1</t>
  </si>
  <si>
    <t>What a Girl Wants </t>
  </si>
  <si>
    <t>http://www.imdb.com/title/tt0286788/?ref_=fn_tt_tt_1</t>
  </si>
  <si>
    <t>Jeepers Creepers II </t>
  </si>
  <si>
    <t>http://www.imdb.com/title/tt0301470/?ref_=fn_tt_tt_1</t>
  </si>
  <si>
    <t>Good Luck Chuck </t>
  </si>
  <si>
    <t>http://www.imdb.com/title/tt0452625/?ref_=fn_tt_tt_1</t>
  </si>
  <si>
    <t>Cradle 2 the Grave </t>
  </si>
  <si>
    <t>http://www.imdb.com/title/tt0306685/?ref_=fn_tt_tt_1</t>
  </si>
  <si>
    <t>The Hours </t>
  </si>
  <si>
    <t>http://www.imdb.com/title/tt0274558/?ref_=fn_tt_tt_1</t>
  </si>
  <si>
    <t>She's the Man </t>
  </si>
  <si>
    <t>http://www.imdb.com/title/tt0454945/?ref_=fn_tt_tt_1</t>
  </si>
  <si>
    <t>Mr. Bean's Holiday </t>
  </si>
  <si>
    <t>http://www.imdb.com/title/tt0453451/?ref_=fn_tt_tt_1</t>
  </si>
  <si>
    <t>Anacondas: The Hunt for the Blood Orchid </t>
  </si>
  <si>
    <t>http://www.imdb.com/title/tt0366174/?ref_=fn_tt_tt_1</t>
  </si>
  <si>
    <t>Blood Ties </t>
  </si>
  <si>
    <t>http://www.imdb.com/title/tt1747958/?ref_=fn_tt_tt_1</t>
  </si>
  <si>
    <t>August Rush </t>
  </si>
  <si>
    <t>http://www.imdb.com/title/tt0426931/?ref_=fn_tt_tt_1</t>
  </si>
  <si>
    <t>Elizabeth </t>
  </si>
  <si>
    <t>http://www.imdb.com/title/tt0127536/?ref_=fn_tt_tt_1</t>
  </si>
  <si>
    <t>Comedy|Fantasy|Horror|Romance</t>
  </si>
  <si>
    <t>Bride of Chucky </t>
  </si>
  <si>
    <t>http://www.imdb.com/title/tt0144120/?ref_=fn_tt_tt_1</t>
  </si>
  <si>
    <t>Tora! Tora! Tora! </t>
  </si>
  <si>
    <t>http://www.imdb.com/title/tt0066473/?ref_=fn_tt_tt_1</t>
  </si>
  <si>
    <t>Comedy|Family|Music</t>
  </si>
  <si>
    <t>Spice World </t>
  </si>
  <si>
    <t>http://www.imdb.com/title/tt0120185/?ref_=fn_tt_tt_1</t>
  </si>
  <si>
    <t>Action|Comedy|Music</t>
  </si>
  <si>
    <t>Dance Flick </t>
  </si>
  <si>
    <t>http://www.imdb.com/title/tt1153706/?ref_=fn_tt_tt_1</t>
  </si>
  <si>
    <t>The Shawshank Redemption </t>
  </si>
  <si>
    <t>http://www.imdb.com/title/tt0111161/?ref_=fn_tt_tt_1</t>
  </si>
  <si>
    <t>Adventure|Comedy|Crime</t>
  </si>
  <si>
    <t>Crocodile Dundee in Los Angeles </t>
  </si>
  <si>
    <t>http://www.imdb.com/title/tt0231402/?ref_=fn_tt_tt_1</t>
  </si>
  <si>
    <t>Kingpin </t>
  </si>
  <si>
    <t>http://www.imdb.com/title/tt0116778/?ref_=fn_tt_tt_1</t>
  </si>
  <si>
    <t>The Gambler </t>
  </si>
  <si>
    <t>http://www.imdb.com/title/tt2039393/?ref_=fn_tt_tt_1</t>
  </si>
  <si>
    <t>August: Osage County </t>
  </si>
  <si>
    <t>http://www.imdb.com/title/tt1322269/?ref_=fn_tt_tt_1</t>
  </si>
  <si>
    <t>A Lot Like Love </t>
  </si>
  <si>
    <t>http://www.imdb.com/title/tt0391304/?ref_=fn_tt_tt_1</t>
  </si>
  <si>
    <t>Biography|Comedy|Drama|Sport</t>
  </si>
  <si>
    <t>Eddie the Eagle </t>
  </si>
  <si>
    <t>http://www.imdb.com/title/tt1083452/?ref_=fn_tt_tt_1</t>
  </si>
  <si>
    <t>He Got Game </t>
  </si>
  <si>
    <t>http://www.imdb.com/title/tt0124718/?ref_=fn_tt_tt_1</t>
  </si>
  <si>
    <t>Don Juan DeMarco </t>
  </si>
  <si>
    <t>http://www.imdb.com/title/tt0112883/?ref_=fn_tt_tt_1</t>
  </si>
  <si>
    <t>Dear John </t>
  </si>
  <si>
    <t>http://www.imdb.com/title/tt0989757/?ref_=fn_tt_tt_1</t>
  </si>
  <si>
    <t>The Losers </t>
  </si>
  <si>
    <t>http://www.imdb.com/title/tt0480255/?ref_=fn_tt_tt_1</t>
  </si>
  <si>
    <t>Fantasy|Horror|Thriller</t>
  </si>
  <si>
    <t>Don't Be Afraid of the Dark </t>
  </si>
  <si>
    <t>http://www.imdb.com/title/tt1270761/?ref_=fn_tt_tt_1</t>
  </si>
  <si>
    <t>Comedy|Drama|Romance|Thriller</t>
  </si>
  <si>
    <t>Punch-Drunk Love </t>
  </si>
  <si>
    <t>http://www.imdb.com/title/tt0272338/?ref_=fn_tt_tt_1</t>
  </si>
  <si>
    <t>EuroTrip </t>
  </si>
  <si>
    <t>http://www.imdb.com/title/tt0356150/?ref_=fn_tt_tt_1</t>
  </si>
  <si>
    <t>Half Past Dead </t>
  </si>
  <si>
    <t>http://www.imdb.com/title/tt0297162/?ref_=fn_tt_tt_1</t>
  </si>
  <si>
    <t>Adventure|Comedy|Family|Romance</t>
  </si>
  <si>
    <t>Unaccompanied Minors </t>
  </si>
  <si>
    <t>http://www.imdb.com/title/tt0488658/?ref_=fn_tt_tt_1</t>
  </si>
  <si>
    <t>Bright Lights, Big City </t>
  </si>
  <si>
    <t>http://www.imdb.com/title/tt0094799/?ref_=fn_tt_tt_1</t>
  </si>
  <si>
    <t>Adventure|Family|Fantasy|Musical</t>
  </si>
  <si>
    <t>The Adventures of Pinocchio </t>
  </si>
  <si>
    <t>http://www.imdb.com/title/tt0115472/?ref_=fn_tt_tt_1</t>
  </si>
  <si>
    <t>Italian</t>
  </si>
  <si>
    <t>The Box </t>
  </si>
  <si>
    <t>http://www.imdb.com/title/tt0362478/?ref_=fn_tt_tt_1</t>
  </si>
  <si>
    <t>The Ruins </t>
  </si>
  <si>
    <t>http://www.imdb.com/title/tt0963794/?ref_=fn_tt_tt_1</t>
  </si>
  <si>
    <t>The Next Best Thing </t>
  </si>
  <si>
    <t>http://www.imdb.com/title/tt0156841/?ref_=fn_tt_tt_1</t>
  </si>
  <si>
    <t>My Soul to Take </t>
  </si>
  <si>
    <t>http://www.imdb.com/title/tt0872230/?ref_=fn_tt_tt_1</t>
  </si>
  <si>
    <t>The Girl Next Door </t>
  </si>
  <si>
    <t>http://www.imdb.com/title/tt0265208/?ref_=fn_tt_tt_1</t>
  </si>
  <si>
    <t>Maximum Risk </t>
  </si>
  <si>
    <t>http://www.imdb.com/title/tt0117011/?ref_=fn_tt_tt_1</t>
  </si>
  <si>
    <t>Stealing Harvard </t>
  </si>
  <si>
    <t>http://www.imdb.com/title/tt0265808/?ref_=fn_tt_tt_1</t>
  </si>
  <si>
    <t>Biography|Crime|Drama|History|Thriller</t>
  </si>
  <si>
    <t>Legend </t>
  </si>
  <si>
    <t>http://www.imdb.com/title/tt3569230/?ref_=fn_tt_tt_1</t>
  </si>
  <si>
    <t>Shark Night 3D </t>
  </si>
  <si>
    <t>http://www.imdb.com/title/tt1633356/?ref_=fn_tt_tt_1</t>
  </si>
  <si>
    <t>Draft Day </t>
  </si>
  <si>
    <t>http://www.imdb.com/title/tt2223990/?ref_=fn_tt_tt_1</t>
  </si>
  <si>
    <t>Crime|Drama|History</t>
  </si>
  <si>
    <t>The Conspirator </t>
  </si>
  <si>
    <t>http://www.imdb.com/title/tt0968264/?ref_=fn_tt_tt_1</t>
  </si>
  <si>
    <t>Lords of Dogtown </t>
  </si>
  <si>
    <t>http://www.imdb.com/title/tt0355702/?ref_=fn_tt_tt_1</t>
  </si>
  <si>
    <t>The 33 </t>
  </si>
  <si>
    <t>http://www.imdb.com/title/tt2006295/?ref_=fn_tt_tt_1</t>
  </si>
  <si>
    <t>Chile</t>
  </si>
  <si>
    <t>Big Trouble in Little China </t>
  </si>
  <si>
    <t>http://www.imdb.com/title/tt0090728/?ref_=fn_tt_tt_1</t>
  </si>
  <si>
    <t>Warrior </t>
  </si>
  <si>
    <t>http://www.imdb.com/title/tt1291584/?ref_=fn_tt_tt_1</t>
  </si>
  <si>
    <t>Biography|Drama|Thriller|War</t>
  </si>
  <si>
    <t>Michael Collins </t>
  </si>
  <si>
    <t>http://www.imdb.com/title/tt0117039/?ref_=fn_tt_tt_1</t>
  </si>
  <si>
    <t>Gettysburg </t>
  </si>
  <si>
    <t>http://www.imdb.com/title/tt0107007/?ref_=fn_tt_tt_1</t>
  </si>
  <si>
    <t>Stop-Loss </t>
  </si>
  <si>
    <t>http://www.imdb.com/title/tt0489281/?ref_=fn_tt_tt_1</t>
  </si>
  <si>
    <t>Drama|Music|Mystery|Romance|Thriller</t>
  </si>
  <si>
    <t>Abandon </t>
  </si>
  <si>
    <t>http://www.imdb.com/title/tt0267248/?ref_=fn_tt_tt_1</t>
  </si>
  <si>
    <t>Brokedown Palace </t>
  </si>
  <si>
    <t>http://www.imdb.com/title/tt0120620/?ref_=fn_tt_tt_1</t>
  </si>
  <si>
    <t>The Possession </t>
  </si>
  <si>
    <t>http://www.imdb.com/title/tt0431021/?ref_=fn_tt_tt_1</t>
  </si>
  <si>
    <t>Mrs. Winterbourne </t>
  </si>
  <si>
    <t>http://www.imdb.com/title/tt0117104/?ref_=fn_tt_tt_1</t>
  </si>
  <si>
    <t>Straw Dogs </t>
  </si>
  <si>
    <t>http://www.imdb.com/title/tt0999913/?ref_=fn_tt_tt_1</t>
  </si>
  <si>
    <t>The Hoax </t>
  </si>
  <si>
    <t>http://www.imdb.com/title/tt0462338/?ref_=fn_tt_tt_1</t>
  </si>
  <si>
    <t>Stone Cold </t>
  </si>
  <si>
    <t>http://www.imdb.com/title/tt0102984/?ref_=fn_tt_tt_1</t>
  </si>
  <si>
    <t>The Road </t>
  </si>
  <si>
    <t>http://www.imdb.com/title/tt0898367/?ref_=fn_tt_tt_1</t>
  </si>
  <si>
    <t>Underclassman </t>
  </si>
  <si>
    <t>http://www.imdb.com/title/tt0373416/?ref_=fn_tt_tt_1</t>
  </si>
  <si>
    <t>Say It Isn't So </t>
  </si>
  <si>
    <t>http://www.imdb.com/title/tt0239949/?ref_=fn_tt_tt_1</t>
  </si>
  <si>
    <t>The World's Fastest Indian </t>
  </si>
  <si>
    <t>http://www.imdb.com/title/tt0412080/?ref_=fn_tt_tt_1</t>
  </si>
  <si>
    <t>Tank Girl </t>
  </si>
  <si>
    <t>http://www.imdb.com/title/tt0114614/?ref_=fn_tt_tt_1</t>
  </si>
  <si>
    <t>King's Ransom </t>
  </si>
  <si>
    <t>http://www.imdb.com/title/tt0388183/?ref_=fn_tt_tt_1</t>
  </si>
  <si>
    <t>Blindness </t>
  </si>
  <si>
    <t>http://www.imdb.com/title/tt0861689/?ref_=fn_tt_tt_1</t>
  </si>
  <si>
    <t>Where the Truth Lies </t>
  </si>
  <si>
    <t>http://www.imdb.com/title/tt0373450/?ref_=fn_tt_tt_1</t>
  </si>
  <si>
    <t>Without Limits </t>
  </si>
  <si>
    <t>http://www.imdb.com/title/tt0119934/?ref_=fn_tt_tt_1</t>
  </si>
  <si>
    <t>Me and Orson Welles </t>
  </si>
  <si>
    <t>http://www.imdb.com/title/tt1175506/?ref_=fn_tt_tt_1</t>
  </si>
  <si>
    <t>Crime|Drama|Mystery|Romance</t>
  </si>
  <si>
    <t>The Best Offer </t>
  </si>
  <si>
    <t>http://www.imdb.com/title/tt1924396/?ref_=fn_tt_tt_1</t>
  </si>
  <si>
    <t>Bad Lieutenant: Port of Call New Orleans </t>
  </si>
  <si>
    <t>http://www.imdb.com/title/tt1095217/?ref_=fn_tt_tt_1</t>
  </si>
  <si>
    <t>Little White Lies </t>
  </si>
  <si>
    <t>http://www.imdb.com/title/tt1440232/?ref_=fn_tt_tt_1</t>
  </si>
  <si>
    <t>Love Ranch </t>
  </si>
  <si>
    <t>http://www.imdb.com/title/tt1125929/?ref_=fn_tt_tt_1</t>
  </si>
  <si>
    <t>The Counselor </t>
  </si>
  <si>
    <t>http://www.imdb.com/title/tt2193215/?ref_=fn_tt_tt_1</t>
  </si>
  <si>
    <t>Kung Fu Killer </t>
  </si>
  <si>
    <t>http://www.imdb.com/title/tt2952602/?ref_=fn_tt_tt_1</t>
  </si>
  <si>
    <t>Dangerous Liaisons </t>
  </si>
  <si>
    <t>http://www.imdb.com/title/tt0094947/?ref_=fn_tt_tt_1</t>
  </si>
  <si>
    <t>On the Road </t>
  </si>
  <si>
    <t>http://www.imdb.com/title/tt0337692/?ref_=fn_tt_tt_1</t>
  </si>
  <si>
    <t>Star Trek IV: The Voyage Home </t>
  </si>
  <si>
    <t>http://www.imdb.com/title/tt0092007/?ref_=fn_tt_tt_1</t>
  </si>
  <si>
    <t>Rocky Balboa </t>
  </si>
  <si>
    <t>http://www.imdb.com/title/tt0479143/?ref_=fn_tt_tt_1</t>
  </si>
  <si>
    <t>Scream 2 </t>
  </si>
  <si>
    <t>http://www.imdb.com/title/tt0120082/?ref_=fn_tt_tt_1</t>
  </si>
  <si>
    <t>Action|Drama|Western</t>
  </si>
  <si>
    <t>Jane Got a Gun </t>
  </si>
  <si>
    <t>http://www.imdb.com/title/tt2140037/?ref_=fn_tt_tt_1</t>
  </si>
  <si>
    <t>Think Like a Man Too </t>
  </si>
  <si>
    <t>http://www.imdb.com/title/tt2239832/?ref_=fn_tt_tt_1</t>
  </si>
  <si>
    <t>The Whole Nine Yards </t>
  </si>
  <si>
    <t>http://www.imdb.com/title/tt0190138/?ref_=fn_tt_tt_1</t>
  </si>
  <si>
    <t>Footloose </t>
  </si>
  <si>
    <t>http://www.imdb.com/title/tt0087277/?ref_=fn_tt_tt_1</t>
  </si>
  <si>
    <t>Old School </t>
  </si>
  <si>
    <t>http://www.imdb.com/title/tt0302886/?ref_=fn_tt_tt_1</t>
  </si>
  <si>
    <t>The Fisher King </t>
  </si>
  <si>
    <t>http://www.imdb.com/title/tt0101889/?ref_=fn_tt_tt_1</t>
  </si>
  <si>
    <t>I Still Know What You Did Last Summer </t>
  </si>
  <si>
    <t>http://www.imdb.com/title/tt0130018/?ref_=fn_tt_tt_1</t>
  </si>
  <si>
    <t>Return to Me </t>
  </si>
  <si>
    <t>http://www.imdb.com/title/tt0122459/?ref_=fn_tt_tt_1</t>
  </si>
  <si>
    <t>Zack and Miri Make a Porno </t>
  </si>
  <si>
    <t>http://www.imdb.com/title/tt1007028/?ref_=fn_tt_tt_1</t>
  </si>
  <si>
    <t>Nurse Betty </t>
  </si>
  <si>
    <t>http://www.imdb.com/title/tt0171580/?ref_=fn_tt_tt_1</t>
  </si>
  <si>
    <t>The Men Who Stare at Goats </t>
  </si>
  <si>
    <t>http://www.imdb.com/title/tt1234548/?ref_=fn_tt_tt_1</t>
  </si>
  <si>
    <t>Double Take </t>
  </si>
  <si>
    <t>http://www.imdb.com/title/tt0238948/?ref_=fn_tt_tt_1</t>
  </si>
  <si>
    <t>Girl, Interrupted </t>
  </si>
  <si>
    <t>http://www.imdb.com/title/tt0172493/?ref_=fn_tt_tt_1</t>
  </si>
  <si>
    <t>Win a Date with Tad Hamilton! </t>
  </si>
  <si>
    <t>http://www.imdb.com/title/tt0335559/?ref_=fn_tt_tt_1</t>
  </si>
  <si>
    <t>Adventure|Comedy|Family|Fantasy|Music|Sci-Fi</t>
  </si>
  <si>
    <t>Muppets from Space </t>
  </si>
  <si>
    <t>http://www.imdb.com/title/tt0158811/?ref_=fn_tt_tt_1</t>
  </si>
  <si>
    <t>Adventure|Family|Fantasy|Music|Musical</t>
  </si>
  <si>
    <t>The Wiz </t>
  </si>
  <si>
    <t>http://www.imdb.com/title/tt0078504/?ref_=fn_tt_tt_1</t>
  </si>
  <si>
    <t>Ready to Rumble </t>
  </si>
  <si>
    <t>http://www.imdb.com/title/tt0217756/?ref_=fn_tt_tt_1</t>
  </si>
  <si>
    <t>Play It to the Bone </t>
  </si>
  <si>
    <t>http://www.imdb.com/title/tt0196857/?ref_=fn_tt_tt_1</t>
  </si>
  <si>
    <t>I Don't Know How She Does It </t>
  </si>
  <si>
    <t>http://www.imdb.com/title/tt1742650/?ref_=fn_tt_tt_1</t>
  </si>
  <si>
    <t>Piranha 3D </t>
  </si>
  <si>
    <t>http://www.imdb.com/title/tt0464154/?ref_=fn_tt_tt_1</t>
  </si>
  <si>
    <t>Beyond the Sea </t>
  </si>
  <si>
    <t>http://www.imdb.com/title/tt0363473/?ref_=fn_tt_tt_1</t>
  </si>
  <si>
    <t>Meet the Deedles </t>
  </si>
  <si>
    <t>http://www.imdb.com/title/tt0120645/?ref_=fn_tt_tt_1</t>
  </si>
  <si>
    <t>Action|Adventure|Animation|Comedy|Fantasy</t>
  </si>
  <si>
    <t>The Princess and the Cobbler </t>
  </si>
  <si>
    <t>http://www.imdb.com/title/tt0112389/?ref_=fn_tt_tt_1</t>
  </si>
  <si>
    <t>The Bridge of San Luis Rey </t>
  </si>
  <si>
    <t>http://www.imdb.com/title/tt0356443/?ref_=fn_tt_tt_1</t>
  </si>
  <si>
    <t>Faster </t>
  </si>
  <si>
    <t>http://www.imdb.com/title/tt1433108/?ref_=fn_tt_tt_1</t>
  </si>
  <si>
    <t>Howl's Moving Castle </t>
  </si>
  <si>
    <t>http://www.imdb.com/title/tt0347149/?ref_=fn_tt_tt_1</t>
  </si>
  <si>
    <t>Adventure|Comedy|Horror|Sci-Fi</t>
  </si>
  <si>
    <t>Zombieland </t>
  </si>
  <si>
    <t>http://www.imdb.com/title/tt1156398/?ref_=fn_tt_tt_1</t>
  </si>
  <si>
    <t>The Waterboy </t>
  </si>
  <si>
    <t>http://www.imdb.com/title/tt0120484/?ref_=fn_tt_tt_1</t>
  </si>
  <si>
    <t>Star Wars: Episode V - The Empire Strikes Back </t>
  </si>
  <si>
    <t>http://www.imdb.com/title/tt0080684/?ref_=fn_tt_tt_1</t>
  </si>
  <si>
    <t>Bad Boys </t>
  </si>
  <si>
    <t>http://www.imdb.com/title/tt0112442/?ref_=fn_tt_tt_1</t>
  </si>
  <si>
    <t>The Naked Gun 2½: The Smell of Fear </t>
  </si>
  <si>
    <t>http://www.imdb.com/title/tt0102510/?ref_=fn_tt_tt_1</t>
  </si>
  <si>
    <t>Final Destination </t>
  </si>
  <si>
    <t>http://www.imdb.com/title/tt0195714/?ref_=fn_tt_tt_1</t>
  </si>
  <si>
    <t>The Ides of March </t>
  </si>
  <si>
    <t>http://www.imdb.com/title/tt1124035/?ref_=fn_tt_tt_1</t>
  </si>
  <si>
    <t>Horror|Sci-Fi</t>
  </si>
  <si>
    <t>Pitch Black </t>
  </si>
  <si>
    <t>http://www.imdb.com/title/tt0134847/?ref_=fn_tt_tt_1</t>
  </si>
  <si>
    <t>Someone Like You... </t>
  </si>
  <si>
    <t>http://www.imdb.com/title/tt0244970/?ref_=fn_tt_tt_1</t>
  </si>
  <si>
    <t>Her </t>
  </si>
  <si>
    <t>http://www.imdb.com/title/tt1798709/?ref_=fn_tt_tt_1</t>
  </si>
  <si>
    <t>Joy Ride </t>
  </si>
  <si>
    <t>http://www.imdb.com/title/tt0206314/?ref_=fn_tt_tt_1</t>
  </si>
  <si>
    <t>The Adventurer: The Curse of the Midas Box </t>
  </si>
  <si>
    <t>http://www.imdb.com/title/tt1376213/?ref_=fn_tt_tt_1</t>
  </si>
  <si>
    <t>Anywhere But Here </t>
  </si>
  <si>
    <t>http://www.imdb.com/title/tt0149691/?ref_=fn_tt_tt_1</t>
  </si>
  <si>
    <t>The Crew </t>
  </si>
  <si>
    <t>http://www.imdb.com/title/tt0198386/?ref_=fn_tt_tt_1</t>
  </si>
  <si>
    <t>Haywire </t>
  </si>
  <si>
    <t>http://www.imdb.com/title/tt1506999/?ref_=fn_tt_tt_1</t>
  </si>
  <si>
    <t>Jaws: The Revenge </t>
  </si>
  <si>
    <t>http://www.imdb.com/title/tt0093300/?ref_=fn_tt_tt_1</t>
  </si>
  <si>
    <t>Marvin's Room </t>
  </si>
  <si>
    <t>http://www.imdb.com/title/tt0116999/?ref_=fn_tt_tt_1</t>
  </si>
  <si>
    <t>Biography|Comedy|Drama|Family|Sport</t>
  </si>
  <si>
    <t>The Longshots </t>
  </si>
  <si>
    <t>http://www.imdb.com/title/tt1091751/?ref_=fn_tt_tt_1</t>
  </si>
  <si>
    <t>The End of the Affair </t>
  </si>
  <si>
    <t>http://www.imdb.com/title/tt0172396/?ref_=fn_tt_tt_1</t>
  </si>
  <si>
    <t>Action|Crime|Drama|Thriller|Western</t>
  </si>
  <si>
    <t>Harley Davidson and the Marlboro Man </t>
  </si>
  <si>
    <t>http://www.imdb.com/title/tt0102005/?ref_=fn_tt_tt_1</t>
  </si>
  <si>
    <t>Coco Before Chanel </t>
  </si>
  <si>
    <t>http://www.imdb.com/title/tt1035736/?ref_=fn_tt_tt_1</t>
  </si>
  <si>
    <t>Chéri </t>
  </si>
  <si>
    <t>http://www.imdb.com/title/tt1179258/?ref_=fn_tt_tt_1</t>
  </si>
  <si>
    <t>Vanity Fair </t>
  </si>
  <si>
    <t>http://www.imdb.com/title/tt0241025/?ref_=fn_tt_tt_1</t>
  </si>
  <si>
    <t>1408 </t>
  </si>
  <si>
    <t>http://www.imdb.com/title/tt0450385/?ref_=fn_tt_tt_1</t>
  </si>
  <si>
    <t>Spaceballs </t>
  </si>
  <si>
    <t>http://www.imdb.com/title/tt0094012/?ref_=fn_tt_tt_1</t>
  </si>
  <si>
    <t>The Water Diviner </t>
  </si>
  <si>
    <t>http://www.imdb.com/title/tt3007512/?ref_=fn_tt_tt_1</t>
  </si>
  <si>
    <t>Drama|Fantasy|Romance|Thriller</t>
  </si>
  <si>
    <t>Ghost </t>
  </si>
  <si>
    <t>http://www.imdb.com/title/tt0099653/?ref_=fn_tt_tt_1</t>
  </si>
  <si>
    <t>There's Something About Mary </t>
  </si>
  <si>
    <t>http://www.imdb.com/title/tt0129387/?ref_=fn_tt_tt_1</t>
  </si>
  <si>
    <t>The Santa Clause </t>
  </si>
  <si>
    <t>http://www.imdb.com/title/tt0111070/?ref_=fn_tt_tt_1</t>
  </si>
  <si>
    <t>The Rookie </t>
  </si>
  <si>
    <t>http://www.imdb.com/title/tt0265662/?ref_=fn_tt_tt_1</t>
  </si>
  <si>
    <t>The Game Plan </t>
  </si>
  <si>
    <t>http://www.imdb.com/title/tt0492956/?ref_=fn_tt_tt_1</t>
  </si>
  <si>
    <t>The Bridges of Madison County </t>
  </si>
  <si>
    <t>http://www.imdb.com/title/tt0112579/?ref_=fn_tt_tt_1</t>
  </si>
  <si>
    <t>The Animal </t>
  </si>
  <si>
    <t>http://www.imdb.com/title/tt0255798/?ref_=fn_tt_tt_1</t>
  </si>
  <si>
    <t>The Hundred-Foot Journey </t>
  </si>
  <si>
    <t>http://www.imdb.com/title/tt2980648/?ref_=fn_tt_tt_1</t>
  </si>
  <si>
    <t>The Net </t>
  </si>
  <si>
    <t>http://www.imdb.com/title/tt0113957/?ref_=fn_tt_tt_1</t>
  </si>
  <si>
    <t>I Am Sam </t>
  </si>
  <si>
    <t>http://www.imdb.com/title/tt0277027/?ref_=fn_tt_tt_1</t>
  </si>
  <si>
    <t>Son of God </t>
  </si>
  <si>
    <t>http://www.imdb.com/title/tt3210686/?ref_=fn_tt_tt_1</t>
  </si>
  <si>
    <t>Underworld </t>
  </si>
  <si>
    <t>http://www.imdb.com/title/tt0320691/?ref_=fn_tt_tt_1</t>
  </si>
  <si>
    <t>Derailed </t>
  </si>
  <si>
    <t>http://www.imdb.com/title/tt0398017/?ref_=fn_tt_tt_1</t>
  </si>
  <si>
    <t>The Informant! </t>
  </si>
  <si>
    <t>http://www.imdb.com/title/tt1130080/?ref_=fn_tt_tt_1</t>
  </si>
  <si>
    <t>Shadowlands </t>
  </si>
  <si>
    <t>http://www.imdb.com/title/tt0108101/?ref_=fn_tt_tt_1</t>
  </si>
  <si>
    <t>Deuce Bigalow: European Gigolo </t>
  </si>
  <si>
    <t>http://www.imdb.com/title/tt0367652/?ref_=fn_tt_tt_1</t>
  </si>
  <si>
    <t>Delivery Man </t>
  </si>
  <si>
    <t>http://www.imdb.com/title/tt2387559/?ref_=fn_tt_tt_1</t>
  </si>
  <si>
    <t>Thriller</t>
  </si>
  <si>
    <t>Saving Silverman </t>
  </si>
  <si>
    <t>http://www.imdb.com/title/tt0239948/?ref_=fn_tt_tt_1</t>
  </si>
  <si>
    <t>Diary of a Wimpy Kid: Dog Days </t>
  </si>
  <si>
    <t>http://www.imdb.com/title/tt2023453/?ref_=fn_tt_tt_1</t>
  </si>
  <si>
    <t>Summer of Sam </t>
  </si>
  <si>
    <t>http://www.imdb.com/title/tt0162677/?ref_=fn_tt_tt_1</t>
  </si>
  <si>
    <t>Jay and Silent Bob Strike Back </t>
  </si>
  <si>
    <t>http://www.imdb.com/title/tt0261392/?ref_=fn_tt_tt_1</t>
  </si>
  <si>
    <t>The Glass House </t>
  </si>
  <si>
    <t>http://www.imdb.com/title/tt0221218/?ref_=fn_tt_tt_1</t>
  </si>
  <si>
    <t>Comedy|Mystery</t>
  </si>
  <si>
    <t>Hail, Caesar! </t>
  </si>
  <si>
    <t>http://www.imdb.com/title/tt0475290/?ref_=fn_tt_tt_1</t>
  </si>
  <si>
    <t>Josie and the Pussycats </t>
  </si>
  <si>
    <t>http://www.imdb.com/title/tt0236348/?ref_=fn_tt_tt_1</t>
  </si>
  <si>
    <t>Homefront </t>
  </si>
  <si>
    <t>http://www.imdb.com/title/tt2312718/?ref_=fn_tt_tt_1</t>
  </si>
  <si>
    <t>The Little Vampire </t>
  </si>
  <si>
    <t>http://www.imdb.com/title/tt0192255/?ref_=fn_tt_tt_1</t>
  </si>
  <si>
    <t>I Heart Huckabees </t>
  </si>
  <si>
    <t>http://www.imdb.com/title/tt0356721/?ref_=fn_tt_tt_1</t>
  </si>
  <si>
    <t>RoboCop 3 </t>
  </si>
  <si>
    <t>http://www.imdb.com/title/tt0107978/?ref_=fn_tt_tt_1</t>
  </si>
  <si>
    <t>Megiddo: The Omega Code 2 </t>
  </si>
  <si>
    <t>http://www.imdb.com/title/tt0263728/?ref_=fn_tt_tt_1</t>
  </si>
  <si>
    <t>Comedy|Drama|Musical|Romance|War</t>
  </si>
  <si>
    <t>Darling Lili </t>
  </si>
  <si>
    <t>http://www.imdb.com/title/tt0065611/?ref_=fn_tt_tt_1</t>
  </si>
  <si>
    <t>Dudley Do-Right </t>
  </si>
  <si>
    <t>http://www.imdb.com/title/tt0160236/?ref_=fn_tt_tt_1</t>
  </si>
  <si>
    <t>The Transporter Refueled </t>
  </si>
  <si>
    <t>http://www.imdb.com/title/tt2938956/?ref_=fn_tt_tt_1</t>
  </si>
  <si>
    <t>Black Book </t>
  </si>
  <si>
    <t>http://www.imdb.com/title/tt0389557/?ref_=fn_tt_tt_1</t>
  </si>
  <si>
    <t>Dutch</t>
  </si>
  <si>
    <t>Netherlands</t>
  </si>
  <si>
    <t>Drama|History|Music|Romance|War</t>
  </si>
  <si>
    <t>Joyeux Noel </t>
  </si>
  <si>
    <t>http://www.imdb.com/title/tt0424205/?ref_=fn_tt_tt_1</t>
  </si>
  <si>
    <t>Hit and Run </t>
  </si>
  <si>
    <t>http://www.imdb.com/title/tt2097307/?ref_=fn_tt_tt_1</t>
  </si>
  <si>
    <t>Mad Money </t>
  </si>
  <si>
    <t>http://www.imdb.com/title/tt0951216/?ref_=fn_tt_tt_1</t>
  </si>
  <si>
    <t>Before I Go to Sleep </t>
  </si>
  <si>
    <t>http://www.imdb.com/title/tt1726592/?ref_=fn_tt_tt_1</t>
  </si>
  <si>
    <t>Stone </t>
  </si>
  <si>
    <t>http://www.imdb.com/title/tt1423995/?ref_=fn_tt_tt_1</t>
  </si>
  <si>
    <t>Out of the Furnace </t>
  </si>
  <si>
    <t>http://www.imdb.com/title/tt1206543/?ref_=fn_tt_tt_1</t>
  </si>
  <si>
    <t>Michael Clayton </t>
  </si>
  <si>
    <t>http://www.imdb.com/title/tt0465538/?ref_=fn_tt_tt_1</t>
  </si>
  <si>
    <t>My Fellow Americans </t>
  </si>
  <si>
    <t>http://www.imdb.com/title/tt0117119/?ref_=fn_tt_tt_1</t>
  </si>
  <si>
    <t>Arlington Road </t>
  </si>
  <si>
    <t>http://www.imdb.com/title/tt0137363/?ref_=fn_tt_tt_1</t>
  </si>
  <si>
    <t>To Rome with Love </t>
  </si>
  <si>
    <t>http://www.imdb.com/title/tt1859650/?ref_=fn_tt_tt_1</t>
  </si>
  <si>
    <t>Firefox </t>
  </si>
  <si>
    <t>http://www.imdb.com/title/tt0083943/?ref_=fn_tt_tt_1</t>
  </si>
  <si>
    <t>Animation|Comedy|Fantasy|Musical</t>
  </si>
  <si>
    <t>South Park: Bigger Longer &amp; Uncut </t>
  </si>
  <si>
    <t>http://www.imdb.com/title/tt0158983/?ref_=fn_tt_tt_1</t>
  </si>
  <si>
    <t>Death at a Funeral </t>
  </si>
  <si>
    <t>http://www.imdb.com/title/tt0795368/?ref_=fn_tt_tt_1</t>
  </si>
  <si>
    <t>Teenage Mutant Ninja Turtles III </t>
  </si>
  <si>
    <t>http://www.imdb.com/title/tt0108308/?ref_=fn_tt_tt_1</t>
  </si>
  <si>
    <t>Hardball </t>
  </si>
  <si>
    <t>http://www.imdb.com/title/tt0180734/?ref_=fn_tt_tt_1</t>
  </si>
  <si>
    <t>Silver Linings Playbook </t>
  </si>
  <si>
    <t>http://www.imdb.com/title/tt1045658/?ref_=fn_tt_tt_1</t>
  </si>
  <si>
    <t>Freedom Writers </t>
  </si>
  <si>
    <t>http://www.imdb.com/title/tt0463998/?ref_=fn_tt_tt_1</t>
  </si>
  <si>
    <t>The Transporter </t>
  </si>
  <si>
    <t>http://www.imdb.com/title/tt0293662/?ref_=fn_tt_tt_1</t>
  </si>
  <si>
    <t>Never Back Down </t>
  </si>
  <si>
    <t>http://www.imdb.com/title/tt1023111/?ref_=fn_tt_tt_1</t>
  </si>
  <si>
    <t>The Rage: Carrie 2 </t>
  </si>
  <si>
    <t>http://www.imdb.com/title/tt0144814/?ref_=fn_tt_tt_1</t>
  </si>
  <si>
    <t>Away We Go </t>
  </si>
  <si>
    <t>http://www.imdb.com/title/tt1176740/?ref_=fn_tt_tt_1</t>
  </si>
  <si>
    <t>Swing Vote </t>
  </si>
  <si>
    <t>http://www.imdb.com/title/tt1027862/?ref_=fn_tt_tt_1</t>
  </si>
  <si>
    <t>Moonlight Mile </t>
  </si>
  <si>
    <t>http://www.imdb.com/title/tt0179098/?ref_=fn_tt_tt_1</t>
  </si>
  <si>
    <t>Tinker Tailor Soldier Spy </t>
  </si>
  <si>
    <t>http://www.imdb.com/title/tt1340800/?ref_=fn_tt_tt_1</t>
  </si>
  <si>
    <t>Molly </t>
  </si>
  <si>
    <t>http://www.imdb.com/title/tt0143746/?ref_=fn_tt_tt_1</t>
  </si>
  <si>
    <t>The Beaver </t>
  </si>
  <si>
    <t>http://www.imdb.com/title/tt1321860/?ref_=fn_tt_tt_1</t>
  </si>
  <si>
    <t>The Best Little Whorehouse in Texas </t>
  </si>
  <si>
    <t>http://www.imdb.com/title/tt0083642/?ref_=fn_tt_tt_1</t>
  </si>
  <si>
    <t>eXistenZ </t>
  </si>
  <si>
    <t>http://www.imdb.com/title/tt0120907/?ref_=fn_tt_tt_1</t>
  </si>
  <si>
    <t>Raiders of the Lost Ark </t>
  </si>
  <si>
    <t>http://www.imdb.com/title/tt0082971/?ref_=fn_tt_tt_1</t>
  </si>
  <si>
    <t>Close Encounters of the Third Kind </t>
  </si>
  <si>
    <t>http://www.imdb.com/title/tt0075860/?ref_=fn_tt_tt_1</t>
  </si>
  <si>
    <t>Pulse </t>
  </si>
  <si>
    <t>http://www.imdb.com/title/tt0454919/?ref_=fn_tt_tt_1</t>
  </si>
  <si>
    <t>Beverly Hills Cop II </t>
  </si>
  <si>
    <t>http://www.imdb.com/title/tt0092644/?ref_=fn_tt_tt_1</t>
  </si>
  <si>
    <t>Bringing Down the House </t>
  </si>
  <si>
    <t>http://www.imdb.com/title/tt0305669/?ref_=fn_tt_tt_1</t>
  </si>
  <si>
    <t>The Silence of the Lambs </t>
  </si>
  <si>
    <t>http://www.imdb.com/title/tt0102926/?ref_=fn_tt_tt_1</t>
  </si>
  <si>
    <t>Wayne's World </t>
  </si>
  <si>
    <t>http://www.imdb.com/title/tt0105793/?ref_=fn_tt_tt_1</t>
  </si>
  <si>
    <t>Action|Comedy|Documentary</t>
  </si>
  <si>
    <t>Jackass 3D </t>
  </si>
  <si>
    <t>http://www.imdb.com/title/tt1116184/?ref_=fn_tt_tt_1</t>
  </si>
  <si>
    <t>Jaws 2 </t>
  </si>
  <si>
    <t>http://www.imdb.com/title/tt0077766/?ref_=fn_tt_tt_1</t>
  </si>
  <si>
    <t>Adventure|Comedy|Drama|Family|Romance</t>
  </si>
  <si>
    <t>Beverly Hills Chihuahua </t>
  </si>
  <si>
    <t>http://www.imdb.com/title/tt1014775/?ref_=fn_tt_tt_1</t>
  </si>
  <si>
    <t>The Conjuring </t>
  </si>
  <si>
    <t>http://www.imdb.com/title/tt1457767/?ref_=fn_tt_tt_1</t>
  </si>
  <si>
    <t>Are We There Yet? </t>
  </si>
  <si>
    <t>http://www.imdb.com/title/tt0368578/?ref_=fn_tt_tt_1</t>
  </si>
  <si>
    <t>Tammy </t>
  </si>
  <si>
    <t>http://www.imdb.com/title/tt2103254/?ref_=fn_tt_tt_1</t>
  </si>
  <si>
    <t>School of Rock </t>
  </si>
  <si>
    <t>http://www.imdb.com/title/tt0332379/?ref_=fn_tt_tt_1</t>
  </si>
  <si>
    <t>Mortal Kombat </t>
  </si>
  <si>
    <t>http://www.imdb.com/title/tt0113855/?ref_=fn_tt_tt_1</t>
  </si>
  <si>
    <t>White Chicks </t>
  </si>
  <si>
    <t>http://www.imdb.com/title/tt0381707/?ref_=fn_tt_tt_1</t>
  </si>
  <si>
    <t>The Descendants </t>
  </si>
  <si>
    <t>http://www.imdb.com/title/tt1033575/?ref_=fn_tt_tt_1</t>
  </si>
  <si>
    <t>Adventure|Comedy|Drama|Family|Mystery</t>
  </si>
  <si>
    <t>Holes </t>
  </si>
  <si>
    <t>http://www.imdb.com/title/tt0311289/?ref_=fn_tt_tt_1</t>
  </si>
  <si>
    <t>Drama|Family|Music|Romance</t>
  </si>
  <si>
    <t>The Last Song </t>
  </si>
  <si>
    <t>http://www.imdb.com/title/tt1294226/?ref_=fn_tt_tt_1</t>
  </si>
  <si>
    <t>12 Years a Slave </t>
  </si>
  <si>
    <t>http://www.imdb.com/title/tt2024544/?ref_=fn_tt_tt_1</t>
  </si>
  <si>
    <t>Drumline </t>
  </si>
  <si>
    <t>http://www.imdb.com/title/tt0303933/?ref_=fn_tt_tt_1</t>
  </si>
  <si>
    <t>Why Did I Get Married Too? </t>
  </si>
  <si>
    <t>http://www.imdb.com/title/tt1391137/?ref_=fn_tt_tt_1</t>
  </si>
  <si>
    <t>Fantasy|Romance</t>
  </si>
  <si>
    <t>Edward Scissorhands </t>
  </si>
  <si>
    <t>http://www.imdb.com/title/tt0099487/?ref_=fn_tt_tt_1</t>
  </si>
  <si>
    <t>Me Before You </t>
  </si>
  <si>
    <t>http://www.imdb.com/title/tt2674426/?ref_=fn_tt_tt_1</t>
  </si>
  <si>
    <t>Madea's Witness Protection </t>
  </si>
  <si>
    <t>http://www.imdb.com/title/tt2215285/?ref_=fn_tt_tt_1</t>
  </si>
  <si>
    <t>Bad Moms </t>
  </si>
  <si>
    <t>http://www.imdb.com/title/tt4651520/?ref_=fn_tt_tt_1</t>
  </si>
  <si>
    <t>Date Movie </t>
  </si>
  <si>
    <t>http://www.imdb.com/title/tt0466342/?ref_=fn_tt_tt_1</t>
  </si>
  <si>
    <t>Return to Never Land </t>
  </si>
  <si>
    <t>http://www.imdb.com/title/tt0280030/?ref_=fn_tt_tt_1</t>
  </si>
  <si>
    <t>Selma </t>
  </si>
  <si>
    <t>http://www.imdb.com/title/tt1020072/?ref_=fn_tt_tt_1</t>
  </si>
  <si>
    <t>Adventure|Animation|Family|Musical</t>
  </si>
  <si>
    <t>The Jungle Book 2 </t>
  </si>
  <si>
    <t>http://www.imdb.com/title/tt0283426/?ref_=fn_tt_tt_1</t>
  </si>
  <si>
    <t>Boogeyman </t>
  </si>
  <si>
    <t>http://www.imdb.com/title/tt0357507/?ref_=fn_tt_tt_1</t>
  </si>
  <si>
    <t>Premonition </t>
  </si>
  <si>
    <t>http://www.imdb.com/title/tt0477071/?ref_=fn_tt_tt_1</t>
  </si>
  <si>
    <t>Animation|Comedy|Drama|Family|Musical</t>
  </si>
  <si>
    <t>The Tigger Movie </t>
  </si>
  <si>
    <t>http://www.imdb.com/title/tt0220099/?ref_=fn_tt_tt_1</t>
  </si>
  <si>
    <t>Max </t>
  </si>
  <si>
    <t>http://www.imdb.com/title/tt3369806/?ref_=fn_tt_tt_1</t>
  </si>
  <si>
    <t>Epic Movie </t>
  </si>
  <si>
    <t>http://www.imdb.com/title/tt0799949/?ref_=fn_tt_tt_1</t>
  </si>
  <si>
    <t>Biography|Crime|Drama|History</t>
  </si>
  <si>
    <t>Spotlight </t>
  </si>
  <si>
    <t>http://www.imdb.com/title/tt1895587/?ref_=fn_tt_tt_1</t>
  </si>
  <si>
    <t>Lakeview Terrace </t>
  </si>
  <si>
    <t>http://www.imdb.com/title/tt0947802/?ref_=fn_tt_tt_1</t>
  </si>
  <si>
    <t>The Grudge 2 </t>
  </si>
  <si>
    <t>http://www.imdb.com/title/tt0433386/?ref_=fn_tt_tt_1</t>
  </si>
  <si>
    <t>How Stella Got Her Groove Back </t>
  </si>
  <si>
    <t>http://www.imdb.com/title/tt0120703/?ref_=fn_tt_tt_1</t>
  </si>
  <si>
    <t>Adventure|Comedy|Fantasy|Music|Sci-Fi</t>
  </si>
  <si>
    <t>Bill &amp; Ted's Bogus Journey </t>
  </si>
  <si>
    <t>http://www.imdb.com/title/tt0101452/?ref_=fn_tt_tt_1</t>
  </si>
  <si>
    <t>Man of the Year </t>
  </si>
  <si>
    <t>http://www.imdb.com/title/tt0483726/?ref_=fn_tt_tt_1</t>
  </si>
  <si>
    <t>The American </t>
  </si>
  <si>
    <t>http://www.imdb.com/title/tt1440728/?ref_=fn_tt_tt_1</t>
  </si>
  <si>
    <t>Selena </t>
  </si>
  <si>
    <t>http://www.imdb.com/title/tt0120094/?ref_=fn_tt_tt_1</t>
  </si>
  <si>
    <t>Vampires Suck </t>
  </si>
  <si>
    <t>http://www.imdb.com/title/tt1666186/?ref_=fn_tt_tt_1</t>
  </si>
  <si>
    <t>Babel </t>
  </si>
  <si>
    <t>http://www.imdb.com/title/tt0449467/?ref_=fn_tt_tt_1</t>
  </si>
  <si>
    <t>This Is Where I Leave You </t>
  </si>
  <si>
    <t>http://www.imdb.com/title/tt1371150/?ref_=fn_tt_tt_1</t>
  </si>
  <si>
    <t>Doubt </t>
  </si>
  <si>
    <t>http://www.imdb.com/title/tt0918927/?ref_=fn_tt_tt_1</t>
  </si>
  <si>
    <t>Team America: World Police </t>
  </si>
  <si>
    <t>http://www.imdb.com/title/tt0372588/?ref_=fn_tt_tt_1</t>
  </si>
  <si>
    <t>Texas Chainsaw 3D </t>
  </si>
  <si>
    <t>http://www.imdb.com/title/tt1572315/?ref_=fn_tt_tt_1</t>
  </si>
  <si>
    <t>Copycat </t>
  </si>
  <si>
    <t>http://www.imdb.com/title/tt0112722/?ref_=fn_tt_tt_1</t>
  </si>
  <si>
    <t>Scary Movie 5 </t>
  </si>
  <si>
    <t>http://www.imdb.com/title/tt0795461/?ref_=fn_tt_tt_1</t>
  </si>
  <si>
    <t>Milk </t>
  </si>
  <si>
    <t>http://www.imdb.com/title/tt1013753/?ref_=fn_tt_tt_1</t>
  </si>
  <si>
    <t>Action|Adventure|Drama|Mystery</t>
  </si>
  <si>
    <t>Risen </t>
  </si>
  <si>
    <t>http://www.imdb.com/title/tt3231054/?ref_=fn_tt_tt_1</t>
  </si>
  <si>
    <t>Ghost Ship </t>
  </si>
  <si>
    <t>http://www.imdb.com/title/tt0288477/?ref_=fn_tt_tt_1</t>
  </si>
  <si>
    <t>A Very Harold &amp; Kumar 3D Christmas </t>
  </si>
  <si>
    <t>http://www.imdb.com/title/tt1268799/?ref_=fn_tt_tt_1</t>
  </si>
  <si>
    <t>Wild Things </t>
  </si>
  <si>
    <t>http://www.imdb.com/title/tt0120890/?ref_=fn_tt_tt_1</t>
  </si>
  <si>
    <t>The Debt </t>
  </si>
  <si>
    <t>http://www.imdb.com/title/tt1226753/?ref_=fn_tt_tt_1</t>
  </si>
  <si>
    <t>High Fidelity </t>
  </si>
  <si>
    <t>http://www.imdb.com/title/tt0146882/?ref_=fn_tt_tt_1</t>
  </si>
  <si>
    <t>One Missed Call </t>
  </si>
  <si>
    <t>http://www.imdb.com/title/tt0479968/?ref_=fn_tt_tt_1</t>
  </si>
  <si>
    <t>Eye for an Eye </t>
  </si>
  <si>
    <t>http://www.imdb.com/title/tt0116260/?ref_=fn_tt_tt_1</t>
  </si>
  <si>
    <t>The Bank Job </t>
  </si>
  <si>
    <t>http://www.imdb.com/title/tt0200465/?ref_=fn_tt_tt_1</t>
  </si>
  <si>
    <t>Eternal Sunshine of the Spotless Mind </t>
  </si>
  <si>
    <t>http://www.imdb.com/title/tt0338013/?ref_=fn_tt_tt_1</t>
  </si>
  <si>
    <t>You Again </t>
  </si>
  <si>
    <t>http://www.imdb.com/title/tt1414382/?ref_=fn_tt_tt_1</t>
  </si>
  <si>
    <t>Street Kings </t>
  </si>
  <si>
    <t>http://www.imdb.com/title/tt0421073/?ref_=fn_tt_tt_1</t>
  </si>
  <si>
    <t>The World's End </t>
  </si>
  <si>
    <t>http://www.imdb.com/title/tt1213663/?ref_=fn_tt_tt_1</t>
  </si>
  <si>
    <t>Comedy|Crime|Family|Mystery|Romance|Thriller</t>
  </si>
  <si>
    <t>Nancy Drew </t>
  </si>
  <si>
    <t>http://www.imdb.com/title/tt0479500/?ref_=fn_tt_tt_1</t>
  </si>
  <si>
    <t>Daybreakers </t>
  </si>
  <si>
    <t>http://www.imdb.com/title/tt0433362/?ref_=fn_tt_tt_1</t>
  </si>
  <si>
    <t>She's Out of My League </t>
  </si>
  <si>
    <t>http://www.imdb.com/title/tt0815236/?ref_=fn_tt_tt_1</t>
  </si>
  <si>
    <t>Monte Carlo </t>
  </si>
  <si>
    <t>http://www.imdb.com/title/tt1067774/?ref_=fn_tt_tt_1</t>
  </si>
  <si>
    <t>Hungary</t>
  </si>
  <si>
    <t>Stay Alive </t>
  </si>
  <si>
    <t>http://www.imdb.com/title/tt0441796/?ref_=fn_tt_tt_1</t>
  </si>
  <si>
    <t>Action|Adventure|Drama|Romance|Western</t>
  </si>
  <si>
    <t>Quigley Down Under </t>
  </si>
  <si>
    <t>http://www.imdb.com/title/tt0102744/?ref_=fn_tt_tt_1</t>
  </si>
  <si>
    <t>Alpha and Omega </t>
  </si>
  <si>
    <t>http://www.imdb.com/title/tt1213012/?ref_=fn_tt_tt_1</t>
  </si>
  <si>
    <t>The Covenant </t>
  </si>
  <si>
    <t>http://www.imdb.com/title/tt0475944/?ref_=fn_tt_tt_1</t>
  </si>
  <si>
    <t>Shorts </t>
  </si>
  <si>
    <t>http://www.imdb.com/title/tt1100119/?ref_=fn_tt_tt_1</t>
  </si>
  <si>
    <t>To Die For </t>
  </si>
  <si>
    <t>http://www.imdb.com/title/tt0114681/?ref_=fn_tt_tt_1</t>
  </si>
  <si>
    <t>Adventure|Crime|Mystery|Sci-Fi|Thriller</t>
  </si>
  <si>
    <t>Nerve </t>
  </si>
  <si>
    <t>http://www.imdb.com/title/tt3531824/?ref_=fn_tt_tt_1</t>
  </si>
  <si>
    <t>Crime|Drama|Western</t>
  </si>
  <si>
    <t>Vampires </t>
  </si>
  <si>
    <t>http://www.imdb.com/title/tt0120877/?ref_=fn_tt_tt_1</t>
  </si>
  <si>
    <t>Psycho </t>
  </si>
  <si>
    <t>http://www.imdb.com/title/tt0054215/?ref_=fn_tt_tt_1</t>
  </si>
  <si>
    <t>My Best Friend's Girl </t>
  </si>
  <si>
    <t>http://www.imdb.com/title/tt1046163/?ref_=fn_tt_tt_1</t>
  </si>
  <si>
    <t>Endless Love </t>
  </si>
  <si>
    <t>http://www.imdb.com/title/tt2318092/?ref_=fn_tt_tt_1</t>
  </si>
  <si>
    <t>Georgia Rule </t>
  </si>
  <si>
    <t>http://www.imdb.com/title/tt0791304/?ref_=fn_tt_tt_1</t>
  </si>
  <si>
    <t>Under the Rainbow </t>
  </si>
  <si>
    <t>http://www.imdb.com/title/tt0083254/?ref_=fn_tt_tt_1</t>
  </si>
  <si>
    <t>Adventure|Comedy|Drama|Fantasy</t>
  </si>
  <si>
    <t>Simon Birch </t>
  </si>
  <si>
    <t>http://www.imdb.com/title/tt0124879/?ref_=fn_tt_tt_1</t>
  </si>
  <si>
    <t>Reign Over Me </t>
  </si>
  <si>
    <t>http://www.imdb.com/title/tt0490204/?ref_=fn_tt_tt_1</t>
  </si>
  <si>
    <t>Adventure|Biography|Drama</t>
  </si>
  <si>
    <t>Into the Wild </t>
  </si>
  <si>
    <t>http://www.imdb.com/title/tt0758758/?ref_=fn_tt_tt_1</t>
  </si>
  <si>
    <t>School for Scoundrels </t>
  </si>
  <si>
    <t>http://www.imdb.com/title/tt0462519/?ref_=fn_tt_tt_1</t>
  </si>
  <si>
    <t>Adventure|Drama|Horror|Mystery|Thriller</t>
  </si>
  <si>
    <t>Silent Hill: Revelation 3D </t>
  </si>
  <si>
    <t>http://www.imdb.com/title/tt0938330/?ref_=fn_tt_tt_1</t>
  </si>
  <si>
    <t>Crime|Fantasy|Horror</t>
  </si>
  <si>
    <t>From Dusk Till Dawn </t>
  </si>
  <si>
    <t>http://www.imdb.com/title/tt0116367/?ref_=fn_tt_tt_1</t>
  </si>
  <si>
    <t>Animation|Family|Fantasy|Mystery</t>
  </si>
  <si>
    <t>Pooh's Heffalump Movie </t>
  </si>
  <si>
    <t>http://www.imdb.com/title/tt0407121/?ref_=fn_tt_tt_1</t>
  </si>
  <si>
    <t>Home for the Holidays </t>
  </si>
  <si>
    <t>http://www.imdb.com/title/tt0113321/?ref_=fn_tt_tt_1</t>
  </si>
  <si>
    <t>Action|Comedy|Crime|Fantasy</t>
  </si>
  <si>
    <t>Kung Fu Hustle </t>
  </si>
  <si>
    <t>http://www.imdb.com/title/tt0373074/?ref_=fn_tt_tt_1</t>
  </si>
  <si>
    <t>Comedy|Family|Music|Musical</t>
  </si>
  <si>
    <t>The Country Bears </t>
  </si>
  <si>
    <t>http://www.imdb.com/title/tt0276033/?ref_=fn_tt_tt_1</t>
  </si>
  <si>
    <t>The Kite Runner </t>
  </si>
  <si>
    <t>http://www.imdb.com/title/tt0419887/?ref_=fn_tt_tt_1</t>
  </si>
  <si>
    <t>Dari</t>
  </si>
  <si>
    <t>21 Grams </t>
  </si>
  <si>
    <t>http://www.imdb.com/title/tt0315733/?ref_=fn_tt_tt_1</t>
  </si>
  <si>
    <t>Paparazzi </t>
  </si>
  <si>
    <t>http://www.imdb.com/title/tt0338325/?ref_=fn_tt_tt_1</t>
  </si>
  <si>
    <t>A Guy Thing </t>
  </si>
  <si>
    <t>http://www.imdb.com/title/tt0295289/?ref_=fn_tt_tt_1</t>
  </si>
  <si>
    <t>Loser </t>
  </si>
  <si>
    <t>http://www.imdb.com/title/tt0217630/?ref_=fn_tt_tt_1</t>
  </si>
  <si>
    <t>The Greatest Story Ever Told </t>
  </si>
  <si>
    <t>http://www.imdb.com/title/tt0059245/?ref_=fn_tt_tt_1</t>
  </si>
  <si>
    <t>Disaster Movie </t>
  </si>
  <si>
    <t>http://www.imdb.com/title/tt1213644/?ref_=fn_tt_tt_1</t>
  </si>
  <si>
    <t>Armored </t>
  </si>
  <si>
    <t>http://www.imdb.com/title/tt0913354/?ref_=fn_tt_tt_1</t>
  </si>
  <si>
    <t>The Man Who Knew Too Little </t>
  </si>
  <si>
    <t>http://www.imdb.com/title/tt0120483/?ref_=fn_tt_tt_1</t>
  </si>
  <si>
    <t>What's Your Number? </t>
  </si>
  <si>
    <t>http://www.imdb.com/title/tt0770703/?ref_=fn_tt_tt_1</t>
  </si>
  <si>
    <t>Lockout </t>
  </si>
  <si>
    <t>http://www.imdb.com/title/tt1592525/?ref_=fn_tt_tt_1</t>
  </si>
  <si>
    <t>Crank: High Voltage </t>
  </si>
  <si>
    <t>http://www.imdb.com/title/tt1121931/?ref_=fn_tt_tt_1</t>
  </si>
  <si>
    <t>Bullets Over Broadway </t>
  </si>
  <si>
    <t>http://www.imdb.com/title/tt0109348/?ref_=fn_tt_tt_1</t>
  </si>
  <si>
    <t>One Night with the King </t>
  </si>
  <si>
    <t>http://www.imdb.com/title/tt0430431/?ref_=fn_tt_tt_1</t>
  </si>
  <si>
    <t>Drama|Mystery|Romance|Thriller|War</t>
  </si>
  <si>
    <t>The Quiet American </t>
  </si>
  <si>
    <t>http://www.imdb.com/title/tt0258068/?ref_=fn_tt_tt_1</t>
  </si>
  <si>
    <t>The Weather Man </t>
  </si>
  <si>
    <t>http://www.imdb.com/title/tt0384680/?ref_=fn_tt_tt_1</t>
  </si>
  <si>
    <t>Action|Crime|Drama|Sport</t>
  </si>
  <si>
    <t>Undisputed </t>
  </si>
  <si>
    <t>http://www.imdb.com/title/tt0281322/?ref_=fn_tt_tt_1</t>
  </si>
  <si>
    <t>Ghost Town </t>
  </si>
  <si>
    <t>http://www.imdb.com/title/tt0995039/?ref_=fn_tt_tt_1</t>
  </si>
  <si>
    <t>12 Rounds </t>
  </si>
  <si>
    <t>http://www.imdb.com/title/tt1160368/?ref_=fn_tt_tt_1</t>
  </si>
  <si>
    <t>Let Me In </t>
  </si>
  <si>
    <t>http://www.imdb.com/title/tt1228987/?ref_=fn_tt_tt_1</t>
  </si>
  <si>
    <t>3 Ninjas Kick Back </t>
  </si>
  <si>
    <t>http://www.imdb.com/title/tt0109015/?ref_=fn_tt_tt_1</t>
  </si>
  <si>
    <t>Be Kind Rewind </t>
  </si>
  <si>
    <t>http://www.imdb.com/title/tt0799934/?ref_=fn_tt_tt_1</t>
  </si>
  <si>
    <t>Comedy|Drama|Music|War</t>
  </si>
  <si>
    <t>Mrs Henderson Presents </t>
  </si>
  <si>
    <t>http://www.imdb.com/title/tt0413015/?ref_=fn_tt_tt_1</t>
  </si>
  <si>
    <t>Triple 9 </t>
  </si>
  <si>
    <t>http://www.imdb.com/title/tt1712261/?ref_=fn_tt_tt_1</t>
  </si>
  <si>
    <t>Deconstructing Harry </t>
  </si>
  <si>
    <t>http://www.imdb.com/title/tt0118954/?ref_=fn_tt_tt_1</t>
  </si>
  <si>
    <t>Three to Tango </t>
  </si>
  <si>
    <t>http://www.imdb.com/title/tt0144640/?ref_=fn_tt_tt_1</t>
  </si>
  <si>
    <t>Burnt </t>
  </si>
  <si>
    <t>http://www.imdb.com/title/tt2503944/?ref_=fn_tt_tt_1</t>
  </si>
  <si>
    <t>We're No Angels </t>
  </si>
  <si>
    <t>http://www.imdb.com/title/tt0098625/?ref_=fn_tt_tt_1</t>
  </si>
  <si>
    <t>Comedy|Musical|Romance</t>
  </si>
  <si>
    <t>Everyone Says I Love You </t>
  </si>
  <si>
    <t>http://www.imdb.com/title/tt0116242/?ref_=fn_tt_tt_1</t>
  </si>
  <si>
    <t>Death Sentence </t>
  </si>
  <si>
    <t>http://www.imdb.com/title/tt0804461/?ref_=fn_tt_tt_1</t>
  </si>
  <si>
    <t>Everybody's Fine </t>
  </si>
  <si>
    <t>http://www.imdb.com/title/tt0780511/?ref_=fn_tt_tt_1</t>
  </si>
  <si>
    <t>Superbabies: Baby Geniuses 2 </t>
  </si>
  <si>
    <t>http://www.imdb.com/title/tt0270846/?ref_=fn_tt_tt_1</t>
  </si>
  <si>
    <t>The Man </t>
  </si>
  <si>
    <t>http://www.imdb.com/title/tt0399327/?ref_=fn_tt_tt_1</t>
  </si>
  <si>
    <t>Code Name: The Cleaner </t>
  </si>
  <si>
    <t>http://www.imdb.com/title/tt0462229/?ref_=fn_tt_tt_1</t>
  </si>
  <si>
    <t>Connie and Carla </t>
  </si>
  <si>
    <t>http://www.imdb.com/title/tt0345074/?ref_=fn_tt_tt_1</t>
  </si>
  <si>
    <t>Comedy|Crime|Drama|Mystery|Romance</t>
  </si>
  <si>
    <t>Inherent Vice </t>
  </si>
  <si>
    <t>http://www.imdb.com/title/tt1791528/?ref_=fn_tt_tt_1</t>
  </si>
  <si>
    <t>Doogal </t>
  </si>
  <si>
    <t>http://www.imdb.com/title/tt0763304/?ref_=fn_tt_tt_1</t>
  </si>
  <si>
    <t>Battle of the Year </t>
  </si>
  <si>
    <t>http://www.imdb.com/title/tt1532958/?ref_=fn_tt_tt_1</t>
  </si>
  <si>
    <t>An American Carol </t>
  </si>
  <si>
    <t>http://www.imdb.com/title/tt1190617/?ref_=fn_tt_tt_1</t>
  </si>
  <si>
    <t>Machete Kills </t>
  </si>
  <si>
    <t>http://www.imdb.com/title/tt2002718/?ref_=fn_tt_tt_1</t>
  </si>
  <si>
    <t>Willard </t>
  </si>
  <si>
    <t>http://www.imdb.com/title/tt0310357/?ref_=fn_tt_tt_1</t>
  </si>
  <si>
    <t>Strange Wilderness </t>
  </si>
  <si>
    <t>http://www.imdb.com/title/tt0489282/?ref_=fn_tt_tt_1</t>
  </si>
  <si>
    <t>Biography|Comedy|Drama|History|Music|Musical</t>
  </si>
  <si>
    <t>Topsy-Turvy </t>
  </si>
  <si>
    <t>http://www.imdb.com/title/tt0151568/?ref_=fn_tt_tt_1</t>
  </si>
  <si>
    <t>Little Boy </t>
  </si>
  <si>
    <t>http://www.imdb.com/title/tt1810683/?ref_=fn_tt_tt_1</t>
  </si>
  <si>
    <t>A Dangerous Method </t>
  </si>
  <si>
    <t>http://www.imdb.com/title/tt1571222/?ref_=fn_tt_tt_1</t>
  </si>
  <si>
    <t>Animation|Drama|Mystery|Sci-Fi|Thriller</t>
  </si>
  <si>
    <t>A Scanner Darkly </t>
  </si>
  <si>
    <t>http://www.imdb.com/title/tt0405296/?ref_=fn_tt_tt_1</t>
  </si>
  <si>
    <t>Chasing Mavericks </t>
  </si>
  <si>
    <t>http://www.imdb.com/title/tt1629757/?ref_=fn_tt_tt_1</t>
  </si>
  <si>
    <t>Alone in the Dark </t>
  </si>
  <si>
    <t>http://www.imdb.com/title/tt0369226/?ref_=fn_tt_tt_1</t>
  </si>
  <si>
    <t>Bandslam </t>
  </si>
  <si>
    <t>http://www.imdb.com/title/tt0976222/?ref_=fn_tt_tt_1</t>
  </si>
  <si>
    <t>Birth </t>
  </si>
  <si>
    <t>http://www.imdb.com/title/tt0337876/?ref_=fn_tt_tt_1</t>
  </si>
  <si>
    <t>A Most Violent Year </t>
  </si>
  <si>
    <t>http://www.imdb.com/title/tt2937898/?ref_=fn_tt_tt_1</t>
  </si>
  <si>
    <t>Flash of Genius </t>
  </si>
  <si>
    <t>http://www.imdb.com/title/tt1054588/?ref_=fn_tt_tt_1</t>
  </si>
  <si>
    <t>I'm Not There. </t>
  </si>
  <si>
    <t>http://www.imdb.com/title/tt0368794/?ref_=fn_tt_tt_1</t>
  </si>
  <si>
    <t>The Cold Light of Day </t>
  </si>
  <si>
    <t>http://www.imdb.com/title/tt1366365/?ref_=fn_tt_tt_1</t>
  </si>
  <si>
    <t>Adventure|Comedy|Drama|Romance</t>
  </si>
  <si>
    <t>The Brothers Bloom </t>
  </si>
  <si>
    <t>http://www.imdb.com/title/tt0844286/?ref_=fn_tt_tt_1</t>
  </si>
  <si>
    <t>Synecdoche, New York </t>
  </si>
  <si>
    <t>http://www.imdb.com/title/tt0383028/?ref_=fn_tt_tt_1</t>
  </si>
  <si>
    <t>Princess Mononoke </t>
  </si>
  <si>
    <t>http://www.imdb.com/title/tt0119698/?ref_=fn_tt_tt_1</t>
  </si>
  <si>
    <t>Comedy|Drama|Mystery|Romance|Thriller|War</t>
  </si>
  <si>
    <t>Bon voyage </t>
  </si>
  <si>
    <t>http://www.imdb.com/title/tt0310778/?ref_=fn_tt_tt_1</t>
  </si>
  <si>
    <t>Biography|Comedy|Musical</t>
  </si>
  <si>
    <t>Can't Stop the Music </t>
  </si>
  <si>
    <t>http://www.imdb.com/title/tt0080492/?ref_=fn_tt_tt_1</t>
  </si>
  <si>
    <t>The Proposition </t>
  </si>
  <si>
    <t>http://www.imdb.com/title/tt0421238/?ref_=fn_tt_tt_1</t>
  </si>
  <si>
    <t>Courage </t>
  </si>
  <si>
    <t>http://www.imdb.com/title/tt3719896/?ref_=fn_tt_tt_1</t>
  </si>
  <si>
    <t>Marci X </t>
  </si>
  <si>
    <t>http://www.imdb.com/title/tt0266747/?ref_=fn_tt_tt_1</t>
  </si>
  <si>
    <t>Equilibrium </t>
  </si>
  <si>
    <t>http://www.imdb.com/title/tt0238380/?ref_=fn_tt_tt_1</t>
  </si>
  <si>
    <t>The Children of Huang Shi </t>
  </si>
  <si>
    <t>http://www.imdb.com/title/tt0889588/?ref_=fn_tt_tt_1</t>
  </si>
  <si>
    <t>The Yards </t>
  </si>
  <si>
    <t>http://www.imdb.com/title/tt0138946/?ref_=fn_tt_tt_1</t>
  </si>
  <si>
    <t>The Oogieloves in the Big Balloon Adventure </t>
  </si>
  <si>
    <t>http://www.imdb.com/title/tt1520498/?ref_=fn_tt_tt_1</t>
  </si>
  <si>
    <t>By the Sea </t>
  </si>
  <si>
    <t>http://www.imdb.com/title/tt3707106/?ref_=fn_tt_tt_1</t>
  </si>
  <si>
    <t>Action|Adventure|Animation|Family|Sci-Fi|Thriller</t>
  </si>
  <si>
    <t>Steamboy </t>
  </si>
  <si>
    <t>http://www.imdb.com/title/tt0348121/?ref_=fn_tt_tt_1</t>
  </si>
  <si>
    <t>The Game of Their Lives </t>
  </si>
  <si>
    <t>http://www.imdb.com/title/tt0354595/?ref_=fn_tt_tt_1</t>
  </si>
  <si>
    <t>Rapa Nui </t>
  </si>
  <si>
    <t>http://www.imdb.com/title/tt0110944/?ref_=fn_tt_tt_1</t>
  </si>
  <si>
    <t>Comedy|Family|Fantasy|Sci-Fi</t>
  </si>
  <si>
    <t>Les couloirs du temps: Les visiteurs II </t>
  </si>
  <si>
    <t>http://www.imdb.com/title/tt0120882/?ref_=fn_tt_tt_1</t>
  </si>
  <si>
    <t>Action|Comedy|Crime|Fantasy|Horror|Mystery|Sci-Fi|Thriller</t>
  </si>
  <si>
    <t>Dylan Dog: Dead of Night </t>
  </si>
  <si>
    <t>http://www.imdb.com/title/tt1013860/?ref_=fn_tt_tt_1</t>
  </si>
  <si>
    <t>People I Know </t>
  </si>
  <si>
    <t>http://www.imdb.com/title/tt0274711/?ref_=fn_tt_tt_1</t>
  </si>
  <si>
    <t>The Tempest </t>
  </si>
  <si>
    <t>http://www.imdb.com/title/tt1274300/?ref_=fn_tt_tt_1</t>
  </si>
  <si>
    <t>Animation</t>
  </si>
  <si>
    <t>The Painted Veil </t>
  </si>
  <si>
    <t>http://www.imdb.com/title/tt0446755/?ref_=fn_tt_tt_1</t>
  </si>
  <si>
    <t>The Baader Meinhof Complex </t>
  </si>
  <si>
    <t>http://www.imdb.com/title/tt0765432/?ref_=fn_tt_tt_1</t>
  </si>
  <si>
    <t>Dances with Wolves </t>
  </si>
  <si>
    <t>http://www.imdb.com/title/tt0099348/?ref_=fn_tt_tt_1</t>
  </si>
  <si>
    <t>Bad Teacher </t>
  </si>
  <si>
    <t>http://www.imdb.com/title/tt1284575/?ref_=fn_tt_tt_1</t>
  </si>
  <si>
    <t>A Cinderella Story </t>
  </si>
  <si>
    <t>http://www.imdb.com/title/tt0356470/?ref_=fn_tt_tt_1</t>
  </si>
  <si>
    <t>Scream </t>
  </si>
  <si>
    <t>http://www.imdb.com/title/tt0117571/?ref_=fn_tt_tt_1</t>
  </si>
  <si>
    <t>Thir13en Ghosts </t>
  </si>
  <si>
    <t>http://www.imdb.com/title/tt0245674/?ref_=fn_tt_tt_1</t>
  </si>
  <si>
    <t>Drama|Horror</t>
  </si>
  <si>
    <t>Back to the Future </t>
  </si>
  <si>
    <t>http://www.imdb.com/title/tt0088763/?ref_=fn_tt_tt_1</t>
  </si>
  <si>
    <t>House on Haunted Hill </t>
  </si>
  <si>
    <t>http://www.imdb.com/title/tt0185371/?ref_=fn_tt_tt_1</t>
  </si>
  <si>
    <t>I Can Do Bad All by Myself </t>
  </si>
  <si>
    <t>http://www.imdb.com/title/tt1385912/?ref_=fn_tt_tt_1</t>
  </si>
  <si>
    <t>The Switch </t>
  </si>
  <si>
    <t>http://www.imdb.com/title/tt0889573/?ref_=fn_tt_tt_1</t>
  </si>
  <si>
    <t>Just Married </t>
  </si>
  <si>
    <t>http://www.imdb.com/title/tt0305711/?ref_=fn_tt_tt_1</t>
  </si>
  <si>
    <t>The Devil's Double </t>
  </si>
  <si>
    <t>http://www.imdb.com/title/tt1270262/?ref_=fn_tt_tt_1</t>
  </si>
  <si>
    <t>Thomas and the Magic Railroad </t>
  </si>
  <si>
    <t>http://www.imdb.com/title/tt0205461/?ref_=fn_tt_tt_1</t>
  </si>
  <si>
    <t>The Crazies </t>
  </si>
  <si>
    <t>http://www.imdb.com/title/tt0455407/?ref_=fn_tt_tt_1</t>
  </si>
  <si>
    <t>Spirited Away </t>
  </si>
  <si>
    <t>http://www.imdb.com/title/tt0245429/?ref_=fn_tt_tt_1</t>
  </si>
  <si>
    <t>The Bounty </t>
  </si>
  <si>
    <t>http://www.imdb.com/title/tt0086993/?ref_=fn_tt_tt_1</t>
  </si>
  <si>
    <t>The Book Thief </t>
  </si>
  <si>
    <t>http://www.imdb.com/title/tt0816442/?ref_=fn_tt_tt_1</t>
  </si>
  <si>
    <t>Adventure|Comedy|Romance</t>
  </si>
  <si>
    <t>Sex Drive </t>
  </si>
  <si>
    <t>http://www.imdb.com/title/tt1135985/?ref_=fn_tt_tt_1</t>
  </si>
  <si>
    <t>Leap Year </t>
  </si>
  <si>
    <t>http://www.imdb.com/title/tt1216492/?ref_=fn_tt_tt_1</t>
  </si>
  <si>
    <t>Take Me Home Tonight </t>
  </si>
  <si>
    <t>http://www.imdb.com/title/tt0810922/?ref_=fn_tt_tt_1</t>
  </si>
  <si>
    <t>Family|Fantasy|Music</t>
  </si>
  <si>
    <t>The Nutcracker </t>
  </si>
  <si>
    <t>http://www.imdb.com/title/tt0107719/?ref_=fn_tt_tt_1</t>
  </si>
  <si>
    <t>Crime|Drama|Music|Thriller</t>
  </si>
  <si>
    <t>Kansas City </t>
  </si>
  <si>
    <t>http://www.imdb.com/title/tt0116745/?ref_=fn_tt_tt_1</t>
  </si>
  <si>
    <t>Hebrew</t>
  </si>
  <si>
    <t>The Amityville Horror </t>
  </si>
  <si>
    <t>http://www.imdb.com/title/tt0384806/?ref_=fn_tt_tt_1</t>
  </si>
  <si>
    <t>Adaptation. </t>
  </si>
  <si>
    <t>http://www.imdb.com/title/tt0268126/?ref_=fn_tt_tt_1</t>
  </si>
  <si>
    <t>Land of the Dead </t>
  </si>
  <si>
    <t>http://www.imdb.com/title/tt0418819/?ref_=fn_tt_tt_1</t>
  </si>
  <si>
    <t>Fear and Loathing in Las Vegas </t>
  </si>
  <si>
    <t>http://www.imdb.com/title/tt0120669/?ref_=fn_tt_tt_1</t>
  </si>
  <si>
    <t>The Invention of Lying </t>
  </si>
  <si>
    <t>http://www.imdb.com/title/tt1058017/?ref_=fn_tt_tt_1</t>
  </si>
  <si>
    <t>Neighbors </t>
  </si>
  <si>
    <t>http://www.imdb.com/title/tt2004420/?ref_=fn_tt_tt_1</t>
  </si>
  <si>
    <t>The Mask </t>
  </si>
  <si>
    <t>http://www.imdb.com/title/tt0110475/?ref_=fn_tt_tt_1</t>
  </si>
  <si>
    <t>Big </t>
  </si>
  <si>
    <t>http://www.imdb.com/title/tt0094737/?ref_=fn_tt_tt_1</t>
  </si>
  <si>
    <t>Borat: Cultural Learnings of America for Make Benefit Glorious Nation of Kazakhstan </t>
  </si>
  <si>
    <t>http://www.imdb.com/title/tt0443453/?ref_=fn_tt_tt_1</t>
  </si>
  <si>
    <t>Legally Blonde </t>
  </si>
  <si>
    <t>http://www.imdb.com/title/tt0250494/?ref_=fn_tt_tt_1</t>
  </si>
  <si>
    <t>Star Trek III: The Search for Spock </t>
  </si>
  <si>
    <t>http://www.imdb.com/title/tt0088170/?ref_=fn_tt_tt_1</t>
  </si>
  <si>
    <t>The Exorcism of Emily Rose </t>
  </si>
  <si>
    <t>http://www.imdb.com/title/tt0404032/?ref_=fn_tt_tt_1</t>
  </si>
  <si>
    <t>Deuce Bigalow: Male Gigolo </t>
  </si>
  <si>
    <t>http://www.imdb.com/title/tt0205000/?ref_=fn_tt_tt_1</t>
  </si>
  <si>
    <t>Action|Drama|Fantasy|Mystery|Thriller</t>
  </si>
  <si>
    <t>Left Behind </t>
  </si>
  <si>
    <t>http://www.imdb.com/title/tt2467046/?ref_=fn_tt_tt_1</t>
  </si>
  <si>
    <t>The Family Stone </t>
  </si>
  <si>
    <t>http://www.imdb.com/title/tt0356680/?ref_=fn_tt_tt_1</t>
  </si>
  <si>
    <t>Barbershop 2: Back in Business </t>
  </si>
  <si>
    <t>http://www.imdb.com/title/tt0337579/?ref_=fn_tt_tt_1</t>
  </si>
  <si>
    <t>Bad Santa </t>
  </si>
  <si>
    <t>http://www.imdb.com/title/tt0307987/?ref_=fn_tt_tt_1</t>
  </si>
  <si>
    <t>Austin Powers: International Man of Mystery </t>
  </si>
  <si>
    <t>http://www.imdb.com/title/tt0118655/?ref_=fn_tt_tt_1</t>
  </si>
  <si>
    <t>My Big Fat Greek Wedding 2 </t>
  </si>
  <si>
    <t>http://www.imdb.com/title/tt3760922/?ref_=fn_tt_tt_1</t>
  </si>
  <si>
    <t>Diary of a Wimpy Kid: Rodrick Rules </t>
  </si>
  <si>
    <t>http://www.imdb.com/title/tt1650043/?ref_=fn_tt_tt_1</t>
  </si>
  <si>
    <t>Predator </t>
  </si>
  <si>
    <t>http://www.imdb.com/title/tt0093773/?ref_=fn_tt_tt_1</t>
  </si>
  <si>
    <t>Biography|Drama|History|Music</t>
  </si>
  <si>
    <t>Amadeus </t>
  </si>
  <si>
    <t>http://www.imdb.com/title/tt0086879/?ref_=fn_tt_tt_1</t>
  </si>
  <si>
    <t>Prom Night </t>
  </si>
  <si>
    <t>http://www.imdb.com/title/tt0926129/?ref_=fn_tt_tt_1</t>
  </si>
  <si>
    <t>Mean Girls </t>
  </si>
  <si>
    <t>http://www.imdb.com/title/tt0377092/?ref_=fn_tt_tt_1</t>
  </si>
  <si>
    <t>Under the Tuscan Sun </t>
  </si>
  <si>
    <t>http://www.imdb.com/title/tt0328589/?ref_=fn_tt_tt_1</t>
  </si>
  <si>
    <t>Gosford Park </t>
  </si>
  <si>
    <t>http://www.imdb.com/title/tt0280707/?ref_=fn_tt_tt_1</t>
  </si>
  <si>
    <t>Peggy Sue Got Married </t>
  </si>
  <si>
    <t>http://www.imdb.com/title/tt0091738/?ref_=fn_tt_tt_1</t>
  </si>
  <si>
    <t>Birdman or (The Unexpected Virtue of Ignorance) </t>
  </si>
  <si>
    <t>http://www.imdb.com/title/tt2562232/?ref_=fn_tt_tt_1</t>
  </si>
  <si>
    <t>United 93 </t>
  </si>
  <si>
    <t>http://www.imdb.com/title/tt0475276/?ref_=fn_tt_tt_1</t>
  </si>
  <si>
    <t>Honey </t>
  </si>
  <si>
    <t>http://www.imdb.com/title/tt0322589/?ref_=fn_tt_tt_1</t>
  </si>
  <si>
    <t>Spy Hard </t>
  </si>
  <si>
    <t>http://www.imdb.com/title/tt0117723/?ref_=fn_tt_tt_1</t>
  </si>
  <si>
    <t>The Fog </t>
  </si>
  <si>
    <t>http://www.imdb.com/title/tt0080749/?ref_=fn_tt_tt_1</t>
  </si>
  <si>
    <t>Biography|Drama|Family|Sport</t>
  </si>
  <si>
    <t>Soul Surfer </t>
  </si>
  <si>
    <t>http://www.imdb.com/title/tt1596346/?ref_=fn_tt_tt_1</t>
  </si>
  <si>
    <t>Comedy|Drama|War</t>
  </si>
  <si>
    <t>Observe and Report </t>
  </si>
  <si>
    <t>http://www.imdb.com/title/tt1197628/?ref_=fn_tt_tt_1</t>
  </si>
  <si>
    <t>Conan the Destroyer </t>
  </si>
  <si>
    <t>http://www.imdb.com/title/tt0087078/?ref_=fn_tt_tt_1</t>
  </si>
  <si>
    <t>Raging Bull </t>
  </si>
  <si>
    <t>http://www.imdb.com/title/tt0081398/?ref_=fn_tt_tt_1</t>
  </si>
  <si>
    <t>Love Happens </t>
  </si>
  <si>
    <t>http://www.imdb.com/title/tt0899106/?ref_=fn_tt_tt_1</t>
  </si>
  <si>
    <t>Young Sherlock Holmes </t>
  </si>
  <si>
    <t>http://www.imdb.com/title/tt0090357/?ref_=fn_tt_tt_1</t>
  </si>
  <si>
    <t>Fame </t>
  </si>
  <si>
    <t>http://www.imdb.com/title/tt1016075/?ref_=fn_tt_tt_1</t>
  </si>
  <si>
    <t>127 Hours </t>
  </si>
  <si>
    <t>http://www.imdb.com/title/tt1542344/?ref_=fn_tt_tt_1</t>
  </si>
  <si>
    <t>Small Time Crooks </t>
  </si>
  <si>
    <t>http://www.imdb.com/title/tt0196216/?ref_=fn_tt_tt_1</t>
  </si>
  <si>
    <t>Center Stage </t>
  </si>
  <si>
    <t>http://www.imdb.com/title/tt0210616/?ref_=fn_tt_tt_1</t>
  </si>
  <si>
    <t>Love the Coopers </t>
  </si>
  <si>
    <t>http://www.imdb.com/title/tt2279339/?ref_=fn_tt_tt_1</t>
  </si>
  <si>
    <t>Catch That Kid </t>
  </si>
  <si>
    <t>http://www.imdb.com/title/tt0337917/?ref_=fn_tt_tt_1</t>
  </si>
  <si>
    <t>Life as a House </t>
  </si>
  <si>
    <t>http://www.imdb.com/title/tt0264796/?ref_=fn_tt_tt_1</t>
  </si>
  <si>
    <t>Steve Jobs </t>
  </si>
  <si>
    <t>http://www.imdb.com/title/tt2080374/?ref_=fn_tt_tt_1</t>
  </si>
  <si>
    <t>I Love You, Beth Cooper </t>
  </si>
  <si>
    <t>http://www.imdb.com/title/tt1032815/?ref_=fn_tt_tt_1</t>
  </si>
  <si>
    <t>Youth in Revolt </t>
  </si>
  <si>
    <t>http://www.imdb.com/title/tt0403702/?ref_=fn_tt_tt_1</t>
  </si>
  <si>
    <t>The Legend of the Lone Ranger </t>
  </si>
  <si>
    <t>http://www.imdb.com/title/tt0082648/?ref_=fn_tt_tt_1</t>
  </si>
  <si>
    <t>The Tailor of Panama </t>
  </si>
  <si>
    <t>http://www.imdb.com/title/tt0236784/?ref_=fn_tt_tt_1</t>
  </si>
  <si>
    <t>Getaway </t>
  </si>
  <si>
    <t>http://www.imdb.com/title/tt2167202/?ref_=fn_tt_tt_1</t>
  </si>
  <si>
    <t>The Ice Storm </t>
  </si>
  <si>
    <t>http://www.imdb.com/title/tt0119349/?ref_=fn_tt_tt_1</t>
  </si>
  <si>
    <t>And So It Goes </t>
  </si>
  <si>
    <t>http://www.imdb.com/title/tt2465146/?ref_=fn_tt_tt_1</t>
  </si>
  <si>
    <t>Troop Beverly Hills </t>
  </si>
  <si>
    <t>http://www.imdb.com/title/tt0098519/?ref_=fn_tt_tt_1</t>
  </si>
  <si>
    <t>Being Julia </t>
  </si>
  <si>
    <t>http://www.imdb.com/title/tt0340012/?ref_=fn_tt_tt_1</t>
  </si>
  <si>
    <t>9½ Weeks </t>
  </si>
  <si>
    <t>http://www.imdb.com/title/tt0091635/?ref_=fn_tt_tt_1</t>
  </si>
  <si>
    <t>Dragonslayer </t>
  </si>
  <si>
    <t>http://www.imdb.com/title/tt0082288/?ref_=fn_tt_tt_1</t>
  </si>
  <si>
    <t>The Last Station </t>
  </si>
  <si>
    <t>http://www.imdb.com/title/tt0824758/?ref_=fn_tt_tt_1</t>
  </si>
  <si>
    <t>Ed Wood </t>
  </si>
  <si>
    <t>http://www.imdb.com/title/tt0109707/?ref_=fn_tt_tt_1</t>
  </si>
  <si>
    <t>Labor Day </t>
  </si>
  <si>
    <t>http://www.imdb.com/title/tt1967545/?ref_=fn_tt_tt_1</t>
  </si>
  <si>
    <t>Mongol: The Rise of Genghis Khan </t>
  </si>
  <si>
    <t>http://www.imdb.com/title/tt0416044/?ref_=fn_tt_tt_1</t>
  </si>
  <si>
    <t>Mongolian</t>
  </si>
  <si>
    <t>RocknRolla </t>
  </si>
  <si>
    <t>http://www.imdb.com/title/tt1032755/?ref_=fn_tt_tt_1</t>
  </si>
  <si>
    <t>Megaforce </t>
  </si>
  <si>
    <t>http://www.imdb.com/title/tt0084316/?ref_=fn_tt_tt_1</t>
  </si>
  <si>
    <t>Hamlet </t>
  </si>
  <si>
    <t>http://www.imdb.com/title/tt0116477/?ref_=fn_tt_tt_1</t>
  </si>
  <si>
    <t>Midnight Special </t>
  </si>
  <si>
    <t>http://www.imdb.com/title/tt2649554/?ref_=fn_tt_tt_1</t>
  </si>
  <si>
    <t>Greece</t>
  </si>
  <si>
    <t>Anything Else </t>
  </si>
  <si>
    <t>http://www.imdb.com/title/tt0313792/?ref_=fn_tt_tt_1</t>
  </si>
  <si>
    <t>Biography|Drama|Romance|War</t>
  </si>
  <si>
    <t>The Railway Man </t>
  </si>
  <si>
    <t>http://www.imdb.com/title/tt2058107/?ref_=fn_tt_tt_1</t>
  </si>
  <si>
    <t>The White Ribbon </t>
  </si>
  <si>
    <t>http://www.imdb.com/title/tt1149362/?ref_=fn_tt_tt_1</t>
  </si>
  <si>
    <t>Action|Horror|Romance|Sci-Fi|Thriller</t>
  </si>
  <si>
    <t>The Wraith </t>
  </si>
  <si>
    <t>http://www.imdb.com/title/tt0092240/?ref_=fn_tt_tt_1</t>
  </si>
  <si>
    <t>The Salton Sea </t>
  </si>
  <si>
    <t>http://www.imdb.com/title/tt0235737/?ref_=fn_tt_tt_1</t>
  </si>
  <si>
    <t>Music</t>
  </si>
  <si>
    <t>Action|Drama|History|Romance|War|Western</t>
  </si>
  <si>
    <t>One Man's Hero </t>
  </si>
  <si>
    <t>http://www.imdb.com/title/tt0120775/?ref_=fn_tt_tt_1</t>
  </si>
  <si>
    <t>Action|Animation|Sci-Fi|Thriller</t>
  </si>
  <si>
    <t>Renaissance </t>
  </si>
  <si>
    <t>http://www.imdb.com/title/tt0386741/?ref_=fn_tt_tt_1</t>
  </si>
  <si>
    <t>Superbad </t>
  </si>
  <si>
    <t>http://www.imdb.com/title/tt0829482/?ref_=fn_tt_tt_1</t>
  </si>
  <si>
    <t>Step Up 2: The Streets </t>
  </si>
  <si>
    <t>http://www.imdb.com/title/tt1023481/?ref_=fn_tt_tt_1</t>
  </si>
  <si>
    <t>Action|Animation|Comedy|Crime|Family</t>
  </si>
  <si>
    <t>Hoodwinked! </t>
  </si>
  <si>
    <t>http://www.imdb.com/title/tt0443536/?ref_=fn_tt_tt_1</t>
  </si>
  <si>
    <t>Hotel Rwanda </t>
  </si>
  <si>
    <t>http://www.imdb.com/title/tt0395169/?ref_=fn_tt_tt_1</t>
  </si>
  <si>
    <t>Hitman </t>
  </si>
  <si>
    <t>http://www.imdb.com/title/tt0465494/?ref_=fn_tt_tt_1</t>
  </si>
  <si>
    <t>City of Ghosts </t>
  </si>
  <si>
    <t>http://www.imdb.com/title/tt0164003/?ref_=fn_tt_tt_1</t>
  </si>
  <si>
    <t>The Others </t>
  </si>
  <si>
    <t>http://www.imdb.com/title/tt0230600/?ref_=fn_tt_tt_1</t>
  </si>
  <si>
    <t>Aliens </t>
  </si>
  <si>
    <t>http://www.imdb.com/title/tt0090605/?ref_=fn_tt_tt_1</t>
  </si>
  <si>
    <t>Drama|Family|Musical|Romance</t>
  </si>
  <si>
    <t>My Fair Lady </t>
  </si>
  <si>
    <t>http://www.imdb.com/title/tt0058385/?ref_=fn_tt_tt_1</t>
  </si>
  <si>
    <t>I Know What You Did Last Summer </t>
  </si>
  <si>
    <t>http://www.imdb.com/title/tt0119345/?ref_=fn_tt_tt_1</t>
  </si>
  <si>
    <t>Let's Be Cops </t>
  </si>
  <si>
    <t>http://www.imdb.com/title/tt1924435/?ref_=fn_tt_tt_1</t>
  </si>
  <si>
    <t>Sideways </t>
  </si>
  <si>
    <t>http://www.imdb.com/title/tt0375063/?ref_=fn_tt_tt_1</t>
  </si>
  <si>
    <t>Beerfest </t>
  </si>
  <si>
    <t>http://www.imdb.com/title/tt0486551/?ref_=fn_tt_tt_1</t>
  </si>
  <si>
    <t>Halloween </t>
  </si>
  <si>
    <t>http://www.imdb.com/title/tt0077651/?ref_=fn_tt_tt_1</t>
  </si>
  <si>
    <t>Comedy|Drama|Family|Fantasy|Sci-Fi</t>
  </si>
  <si>
    <t>Good Boy! </t>
  </si>
  <si>
    <t>http://www.imdb.com/title/tt0326900/?ref_=fn_tt_tt_1</t>
  </si>
  <si>
    <t>The Best Man Holiday </t>
  </si>
  <si>
    <t>http://www.imdb.com/title/tt2083355/?ref_=fn_tt_tt_1</t>
  </si>
  <si>
    <t>Smokin' Aces </t>
  </si>
  <si>
    <t>http://www.imdb.com/title/tt0475394/?ref_=fn_tt_tt_1</t>
  </si>
  <si>
    <t>Saw 3D: The Final Chapter </t>
  </si>
  <si>
    <t>http://www.imdb.com/title/tt1477076/?ref_=fn_tt_tt_1</t>
  </si>
  <si>
    <t>40 Days and 40 Nights </t>
  </si>
  <si>
    <t>http://www.imdb.com/title/tt0243736/?ref_=fn_tt_tt_1</t>
  </si>
  <si>
    <t>A Night at the Roxbury </t>
  </si>
  <si>
    <t>http://www.imdb.com/title/tt0120770/?ref_=fn_tt_tt_1</t>
  </si>
  <si>
    <t>The Hills Have Eyes </t>
  </si>
  <si>
    <t>http://www.imdb.com/title/tt0454841/?ref_=fn_tt_tt_1</t>
  </si>
  <si>
    <t>Dickie Roberts: Former Child Star </t>
  </si>
  <si>
    <t>http://www.imdb.com/title/tt0325258/?ref_=fn_tt_tt_1</t>
  </si>
  <si>
    <t>McFarland, USA </t>
  </si>
  <si>
    <t>http://www.imdb.com/title/tt2097298/?ref_=fn_tt_tt_1</t>
  </si>
  <si>
    <t>Pitch Perfect </t>
  </si>
  <si>
    <t>http://www.imdb.com/title/tt1981677/?ref_=fn_tt_tt_1</t>
  </si>
  <si>
    <t>Summer Catch </t>
  </si>
  <si>
    <t>http://www.imdb.com/title/tt0234829/?ref_=fn_tt_tt_1</t>
  </si>
  <si>
    <t>A Simple Plan </t>
  </si>
  <si>
    <t>http://www.imdb.com/title/tt0120324/?ref_=fn_tt_tt_1</t>
  </si>
  <si>
    <t>They </t>
  </si>
  <si>
    <t>http://www.imdb.com/title/tt0283632/?ref_=fn_tt_tt_1</t>
  </si>
  <si>
    <t>Larry the Cable Guy: Health Inspector </t>
  </si>
  <si>
    <t>http://www.imdb.com/title/tt0462395/?ref_=fn_tt_tt_1</t>
  </si>
  <si>
    <t>Adventure|Comedy|Family|Fantasy|Musical</t>
  </si>
  <si>
    <t>The Adventures of Elmo in Grouchland </t>
  </si>
  <si>
    <t>http://www.imdb.com/title/tt0159421/?ref_=fn_tt_tt_1</t>
  </si>
  <si>
    <t>Brooklyn's Finest </t>
  </si>
  <si>
    <t>http://www.imdb.com/title/tt1210042/?ref_=fn_tt_tt_1</t>
  </si>
  <si>
    <t>Evil Dead </t>
  </si>
  <si>
    <t>http://www.imdb.com/title/tt1288558/?ref_=fn_tt_tt_1</t>
  </si>
  <si>
    <t>My Life in Ruins </t>
  </si>
  <si>
    <t>http://www.imdb.com/title/tt0865559/?ref_=fn_tt_tt_1</t>
  </si>
  <si>
    <t>American Dreamz </t>
  </si>
  <si>
    <t>http://www.imdb.com/title/tt0465142/?ref_=fn_tt_tt_1</t>
  </si>
  <si>
    <t>Superman IV: The Quest for Peace </t>
  </si>
  <si>
    <t>http://www.imdb.com/title/tt0094074/?ref_=fn_tt_tt_1</t>
  </si>
  <si>
    <t>Running Scared </t>
  </si>
  <si>
    <t>http://www.imdb.com/title/tt0404390/?ref_=fn_tt_tt_1</t>
  </si>
  <si>
    <t>Adventure|Crime|Drama|Romance</t>
  </si>
  <si>
    <t>Shanghai Surprise </t>
  </si>
  <si>
    <t>http://www.imdb.com/title/tt0091934/?ref_=fn_tt_tt_1</t>
  </si>
  <si>
    <t>The Illusionist </t>
  </si>
  <si>
    <t>http://www.imdb.com/title/tt0443543/?ref_=fn_tt_tt_1</t>
  </si>
  <si>
    <t>Roar </t>
  </si>
  <si>
    <t>http://www.imdb.com/title/tt0083001/?ref_=fn_tt_tt_1</t>
  </si>
  <si>
    <t>Veronica Guerin </t>
  </si>
  <si>
    <t>http://www.imdb.com/title/tt0312549/?ref_=fn_tt_tt_1</t>
  </si>
  <si>
    <t>Escobar: Paradise Lost </t>
  </si>
  <si>
    <t>http://www.imdb.com/title/tt2515030/?ref_=fn_tt_tt_1</t>
  </si>
  <si>
    <t>Comedy|Mystery|Sci-Fi|Thriller</t>
  </si>
  <si>
    <t>Southland Tales </t>
  </si>
  <si>
    <t>http://www.imdb.com/title/tt0405336/?ref_=fn_tt_tt_1</t>
  </si>
  <si>
    <t>Sci-Fi</t>
  </si>
  <si>
    <t>The Apparition </t>
  </si>
  <si>
    <t>http://www.imdb.com/title/tt1433822/?ref_=fn_tt_tt_1</t>
  </si>
  <si>
    <t>My Girl </t>
  </si>
  <si>
    <t>http://www.imdb.com/title/tt0102492/?ref_=fn_tt_tt_1</t>
  </si>
  <si>
    <t>Fur: An Imaginary Portrait of Diane Arbus </t>
  </si>
  <si>
    <t>http://www.imdb.com/title/tt0422295/?ref_=fn_tt_tt_1</t>
  </si>
  <si>
    <t>Wall Street </t>
  </si>
  <si>
    <t>http://www.imdb.com/title/tt0094291/?ref_=fn_tt_tt_1</t>
  </si>
  <si>
    <t>Sense and Sensibility </t>
  </si>
  <si>
    <t>http://www.imdb.com/title/tt0114388/?ref_=fn_tt_tt_1</t>
  </si>
  <si>
    <t>Becoming Jane </t>
  </si>
  <si>
    <t>http://www.imdb.com/title/tt0416508/?ref_=fn_tt_tt_1</t>
  </si>
  <si>
    <t>Sydney White </t>
  </si>
  <si>
    <t>http://www.imdb.com/title/tt0815244/?ref_=fn_tt_tt_1</t>
  </si>
  <si>
    <t>House of Sand and Fog </t>
  </si>
  <si>
    <t>http://www.imdb.com/title/tt0315983/?ref_=fn_tt_tt_1</t>
  </si>
  <si>
    <t>Dead Poets Society </t>
  </si>
  <si>
    <t>http://www.imdb.com/title/tt0097165/?ref_=fn_tt_tt_1</t>
  </si>
  <si>
    <t>Dumb &amp; Dumber </t>
  </si>
  <si>
    <t>http://www.imdb.com/title/tt0109686/?ref_=fn_tt_tt_1</t>
  </si>
  <si>
    <t>When Harry Met Sally... </t>
  </si>
  <si>
    <t>http://www.imdb.com/title/tt0098635/?ref_=fn_tt_tt_1</t>
  </si>
  <si>
    <t>The Verdict </t>
  </si>
  <si>
    <t>http://www.imdb.com/title/tt0084855/?ref_=fn_tt_tt_1</t>
  </si>
  <si>
    <t>Road Trip </t>
  </si>
  <si>
    <t>http://www.imdb.com/title/tt0215129/?ref_=fn_tt_tt_1</t>
  </si>
  <si>
    <t>Varsity Blues </t>
  </si>
  <si>
    <t>http://www.imdb.com/title/tt0139699/?ref_=fn_tt_tt_1</t>
  </si>
  <si>
    <t>The Artist </t>
  </si>
  <si>
    <t>http://www.imdb.com/title/tt1655442/?ref_=fn_tt_tt_1</t>
  </si>
  <si>
    <t>The Unborn </t>
  </si>
  <si>
    <t>http://www.imdb.com/title/tt1139668/?ref_=fn_tt_tt_1</t>
  </si>
  <si>
    <t>Moonrise Kingdom </t>
  </si>
  <si>
    <t>http://www.imdb.com/title/tt1748122/?ref_=fn_tt_tt_1</t>
  </si>
  <si>
    <t>The Texas Chainsaw Massacre: The Beginning </t>
  </si>
  <si>
    <t>http://www.imdb.com/title/tt0420294/?ref_=fn_tt_tt_1</t>
  </si>
  <si>
    <t>The Young Messiah </t>
  </si>
  <si>
    <t>http://www.imdb.com/title/tt1002563/?ref_=fn_tt_tt_1</t>
  </si>
  <si>
    <t>The Master of Disguise </t>
  </si>
  <si>
    <t>http://www.imdb.com/title/tt0295427/?ref_=fn_tt_tt_1</t>
  </si>
  <si>
    <t>Drama|Fantasy|War</t>
  </si>
  <si>
    <t>Pan's Labyrinth </t>
  </si>
  <si>
    <t>http://www.imdb.com/title/tt0457430/?ref_=fn_tt_tt_1</t>
  </si>
  <si>
    <t>Action|Comedy|Crime|Family</t>
  </si>
  <si>
    <t>See Spot Run </t>
  </si>
  <si>
    <t>http://www.imdb.com/title/tt0250720/?ref_=fn_tt_tt_1</t>
  </si>
  <si>
    <t>Baby Boy </t>
  </si>
  <si>
    <t>http://www.imdb.com/title/tt0255819/?ref_=fn_tt_tt_1</t>
  </si>
  <si>
    <t>The Roommate </t>
  </si>
  <si>
    <t>http://www.imdb.com/title/tt1265990/?ref_=fn_tt_tt_1</t>
  </si>
  <si>
    <t>Double Impact </t>
  </si>
  <si>
    <t>http://www.imdb.com/title/tt0101764/?ref_=fn_tt_tt_1</t>
  </si>
  <si>
    <t>Action|Comedy|Mystery</t>
  </si>
  <si>
    <t>Hot Fuzz </t>
  </si>
  <si>
    <t>http://www.imdb.com/title/tt0425112/?ref_=fn_tt_tt_1</t>
  </si>
  <si>
    <t>The Women </t>
  </si>
  <si>
    <t>http://www.imdb.com/title/tt0430770/?ref_=fn_tt_tt_1</t>
  </si>
  <si>
    <t>Vicky Cristina Barcelona </t>
  </si>
  <si>
    <t>http://www.imdb.com/title/tt0497465/?ref_=fn_tt_tt_1</t>
  </si>
  <si>
    <t>Swedish</t>
  </si>
  <si>
    <t>Sweden</t>
  </si>
  <si>
    <t>Boys and Girls </t>
  </si>
  <si>
    <t>http://www.imdb.com/title/tt0204175/?ref_=fn_tt_tt_1</t>
  </si>
  <si>
    <t>White Oleander </t>
  </si>
  <si>
    <t>http://www.imdb.com/title/tt0283139/?ref_=fn_tt_tt_1</t>
  </si>
  <si>
    <t>Jennifer's Body </t>
  </si>
  <si>
    <t>http://www.imdb.com/title/tt1131734/?ref_=fn_tt_tt_1</t>
  </si>
  <si>
    <t>Comedy|Crime|Mystery</t>
  </si>
  <si>
    <t>Drowning Mona </t>
  </si>
  <si>
    <t>http://www.imdb.com/title/tt0186045/?ref_=fn_tt_tt_1</t>
  </si>
  <si>
    <t>Radio Days </t>
  </si>
  <si>
    <t>http://www.imdb.com/title/tt0093818/?ref_=fn_tt_tt_1</t>
  </si>
  <si>
    <t>Remember Me </t>
  </si>
  <si>
    <t>http://www.imdb.com/title/tt1403981/?ref_=fn_tt_tt_1</t>
  </si>
  <si>
    <t>How to Deal </t>
  </si>
  <si>
    <t>http://www.imdb.com/title/tt0319524/?ref_=fn_tt_tt_1</t>
  </si>
  <si>
    <t>My Stepmother Is an Alien </t>
  </si>
  <si>
    <t>http://www.imdb.com/title/tt0095687/?ref_=fn_tt_tt_1</t>
  </si>
  <si>
    <t>Philadelphia </t>
  </si>
  <si>
    <t>http://www.imdb.com/title/tt0107818/?ref_=fn_tt_tt_1</t>
  </si>
  <si>
    <t>The Thirteenth Floor </t>
  </si>
  <si>
    <t>http://www.imdb.com/title/tt0139809/?ref_=fn_tt_tt_1</t>
  </si>
  <si>
    <t>Duets </t>
  </si>
  <si>
    <t>http://www.imdb.com/title/tt0134630/?ref_=fn_tt_tt_1</t>
  </si>
  <si>
    <t>Hollywood Ending </t>
  </si>
  <si>
    <t>http://www.imdb.com/title/tt0278823/?ref_=fn_tt_tt_1</t>
  </si>
  <si>
    <t>Detroit Rock City </t>
  </si>
  <si>
    <t>http://www.imdb.com/title/tt0165710/?ref_=fn_tt_tt_1</t>
  </si>
  <si>
    <t>Highlander </t>
  </si>
  <si>
    <t>http://www.imdb.com/title/tt0091203/?ref_=fn_tt_tt_1</t>
  </si>
  <si>
    <t>Things We Lost in the Fire </t>
  </si>
  <si>
    <t>http://www.imdb.com/title/tt0469623/?ref_=fn_tt_tt_1</t>
  </si>
  <si>
    <t>Action|Crime|Sci-Fi</t>
  </si>
  <si>
    <t>Steel </t>
  </si>
  <si>
    <t>http://www.imdb.com/title/tt0120207/?ref_=fn_tt_tt_1</t>
  </si>
  <si>
    <t>The Immigrant </t>
  </si>
  <si>
    <t>http://www.imdb.com/title/tt1951181/?ref_=fn_tt_tt_1</t>
  </si>
  <si>
    <t>The White Countess </t>
  </si>
  <si>
    <t>http://www.imdb.com/title/tt0384686/?ref_=fn_tt_tt_1</t>
  </si>
  <si>
    <t>Trance </t>
  </si>
  <si>
    <t>http://www.imdb.com/title/tt1924429/?ref_=fn_tt_tt_1</t>
  </si>
  <si>
    <t>Soul Plane </t>
  </si>
  <si>
    <t>http://www.imdb.com/title/tt0367085/?ref_=fn_tt_tt_1</t>
  </si>
  <si>
    <t>Good </t>
  </si>
  <si>
    <t>http://www.imdb.com/title/tt0436364/?ref_=fn_tt_tt_1</t>
  </si>
  <si>
    <t>Enter the Void </t>
  </si>
  <si>
    <t>http://www.imdb.com/title/tt1191111/?ref_=fn_tt_tt_1</t>
  </si>
  <si>
    <t>Vamps </t>
  </si>
  <si>
    <t>http://www.imdb.com/title/tt1545106/?ref_=fn_tt_tt_1</t>
  </si>
  <si>
    <t>The Homesman </t>
  </si>
  <si>
    <t>http://www.imdb.com/title/tt2398231/?ref_=fn_tt_tt_1</t>
  </si>
  <si>
    <t>Juwanna Mann </t>
  </si>
  <si>
    <t>http://www.imdb.com/title/tt0247444/?ref_=fn_tt_tt_1</t>
  </si>
  <si>
    <t>Norway</t>
  </si>
  <si>
    <t>Slow Burn </t>
  </si>
  <si>
    <t>http://www.imdb.com/title/tt0376196/?ref_=fn_tt_tt_1</t>
  </si>
  <si>
    <t>Wasabi </t>
  </si>
  <si>
    <t>http://www.imdb.com/title/tt0281364/?ref_=fn_tt_tt_1</t>
  </si>
  <si>
    <t>Comedy|Horror|Sci-Fi</t>
  </si>
  <si>
    <t>Slither </t>
  </si>
  <si>
    <t>http://www.imdb.com/title/tt0439815/?ref_=fn_tt_tt_1</t>
  </si>
  <si>
    <t>Beverly Hills Cop </t>
  </si>
  <si>
    <t>http://www.imdb.com/title/tt0086960/?ref_=fn_tt_tt_1</t>
  </si>
  <si>
    <t>Home Alone </t>
  </si>
  <si>
    <t>http://www.imdb.com/title/tt0099785/?ref_=fn_tt_tt_1</t>
  </si>
  <si>
    <t>3 Men and a Baby </t>
  </si>
  <si>
    <t>http://www.imdb.com/title/tt0094137/?ref_=fn_tt_tt_1</t>
  </si>
  <si>
    <t>Tootsie </t>
  </si>
  <si>
    <t>http://www.imdb.com/title/tt0084805/?ref_=fn_tt_tt_1</t>
  </si>
  <si>
    <t>Top Gun </t>
  </si>
  <si>
    <t>http://www.imdb.com/title/tt0092099/?ref_=fn_tt_tt_1</t>
  </si>
  <si>
    <t>Crouching Tiger, Hidden Dragon </t>
  </si>
  <si>
    <t>http://www.imdb.com/title/tt0190332/?ref_=fn_tt_tt_1</t>
  </si>
  <si>
    <t>Taiwan</t>
  </si>
  <si>
    <t>The King's Speech </t>
  </si>
  <si>
    <t>http://www.imdb.com/title/tt1504320/?ref_=fn_tt_tt_1</t>
  </si>
  <si>
    <t>Twins </t>
  </si>
  <si>
    <t>http://www.imdb.com/title/tt0096320/?ref_=fn_tt_tt_1</t>
  </si>
  <si>
    <t>The Yellow Handkerchief </t>
  </si>
  <si>
    <t>http://www.imdb.com/title/tt0954990/?ref_=fn_tt_tt_1</t>
  </si>
  <si>
    <t>The Color Purple </t>
  </si>
  <si>
    <t>http://www.imdb.com/title/tt0088939/?ref_=fn_tt_tt_1</t>
  </si>
  <si>
    <t>Action|Comedy|Drama|Thriller</t>
  </si>
  <si>
    <t>Korean</t>
  </si>
  <si>
    <t>The Imitation Game </t>
  </si>
  <si>
    <t>http://www.imdb.com/title/tt2084970/?ref_=fn_tt_tt_1</t>
  </si>
  <si>
    <t>Private Benjamin </t>
  </si>
  <si>
    <t>http://www.imdb.com/title/tt0081375/?ref_=fn_tt_tt_1</t>
  </si>
  <si>
    <t>Diary of a Wimpy Kid </t>
  </si>
  <si>
    <t>http://www.imdb.com/title/tt1196141/?ref_=fn_tt_tt_1</t>
  </si>
  <si>
    <t>Mama </t>
  </si>
  <si>
    <t>http://www.imdb.com/title/tt2023587/?ref_=fn_tt_tt_1</t>
  </si>
  <si>
    <t>National Lampoon's Vacation </t>
  </si>
  <si>
    <t>http://www.imdb.com/title/tt0085995/?ref_=fn_tt_tt_1</t>
  </si>
  <si>
    <t>Bad Grandpa </t>
  </si>
  <si>
    <t>http://www.imdb.com/title/tt3063516/?ref_=fn_tt_tt_1</t>
  </si>
  <si>
    <t>The Queen </t>
  </si>
  <si>
    <t>http://www.imdb.com/title/tt0436697/?ref_=fn_tt_tt_1</t>
  </si>
  <si>
    <t>Beetlejuice </t>
  </si>
  <si>
    <t>http://www.imdb.com/title/tt0094721/?ref_=fn_tt_tt_1</t>
  </si>
  <si>
    <t>Why Did I Get Married? </t>
  </si>
  <si>
    <t>http://www.imdb.com/title/tt0906108/?ref_=fn_tt_tt_1</t>
  </si>
  <si>
    <t>Drama|Family|Romance</t>
  </si>
  <si>
    <t>Little Women </t>
  </si>
  <si>
    <t>http://www.imdb.com/title/tt0110367/?ref_=fn_tt_tt_1</t>
  </si>
  <si>
    <t>The Woman in Black </t>
  </si>
  <si>
    <t>http://www.imdb.com/title/tt1596365/?ref_=fn_tt_tt_1</t>
  </si>
  <si>
    <t>When a Stranger Calls </t>
  </si>
  <si>
    <t>http://www.imdb.com/title/tt0455857/?ref_=fn_tt_tt_1</t>
  </si>
  <si>
    <t>Big Fat Liar </t>
  </si>
  <si>
    <t>http://www.imdb.com/title/tt0265298/?ref_=fn_tt_tt_1</t>
  </si>
  <si>
    <t>Wag the Dog </t>
  </si>
  <si>
    <t>http://www.imdb.com/title/tt0120885/?ref_=fn_tt_tt_1</t>
  </si>
  <si>
    <t>Adventure|Comedy|Family|Music|Romance</t>
  </si>
  <si>
    <t>The Lizzie McGuire Movie </t>
  </si>
  <si>
    <t>http://www.imdb.com/title/tt0306841/?ref_=fn_tt_tt_1</t>
  </si>
  <si>
    <t>Snitch </t>
  </si>
  <si>
    <t>http://www.imdb.com/title/tt0882977/?ref_=fn_tt_tt_1</t>
  </si>
  <si>
    <t>Krampus </t>
  </si>
  <si>
    <t>http://www.imdb.com/title/tt3850590/?ref_=fn_tt_tt_1</t>
  </si>
  <si>
    <t>The Faculty </t>
  </si>
  <si>
    <t>http://www.imdb.com/title/tt0133751/?ref_=fn_tt_tt_1</t>
  </si>
  <si>
    <t>Cop Land </t>
  </si>
  <si>
    <t>http://www.imdb.com/title/tt0118887/?ref_=fn_tt_tt_1</t>
  </si>
  <si>
    <t>Not Another Teen Movie </t>
  </si>
  <si>
    <t>http://www.imdb.com/title/tt0277371/?ref_=fn_tt_tt_1</t>
  </si>
  <si>
    <t>End of Watch </t>
  </si>
  <si>
    <t>http://www.imdb.com/title/tt1855199/?ref_=fn_tt_tt_1</t>
  </si>
  <si>
    <t>The Skulls </t>
  </si>
  <si>
    <t>http://www.imdb.com/title/tt0192614/?ref_=fn_tt_tt_1</t>
  </si>
  <si>
    <t>The Theory of Everything </t>
  </si>
  <si>
    <t>http://www.imdb.com/title/tt2980516/?ref_=fn_tt_tt_1</t>
  </si>
  <si>
    <t>Where the Heart Is </t>
  </si>
  <si>
    <t>http://www.imdb.com/title/tt0198021/?ref_=fn_tt_tt_1</t>
  </si>
  <si>
    <t>Lawrence of Arabia </t>
  </si>
  <si>
    <t>http://www.imdb.com/title/tt0056172/?ref_=fn_tt_tt_1</t>
  </si>
  <si>
    <t>Halloween II </t>
  </si>
  <si>
    <t>http://www.imdb.com/title/tt1311067/?ref_=fn_tt_tt_1</t>
  </si>
  <si>
    <t>Wild </t>
  </si>
  <si>
    <t>http://www.imdb.com/title/tt2305051/?ref_=fn_tt_tt_1</t>
  </si>
  <si>
    <t>The Last House on the Left </t>
  </si>
  <si>
    <t>http://www.imdb.com/title/tt0844708/?ref_=fn_tt_tt_1</t>
  </si>
  <si>
    <t>The Wedding Date </t>
  </si>
  <si>
    <t>http://www.imdb.com/title/tt0372532/?ref_=fn_tt_tt_1</t>
  </si>
  <si>
    <t>Comedy|Horror|Thriller</t>
  </si>
  <si>
    <t>Halloween: Resurrection </t>
  </si>
  <si>
    <t>http://www.imdb.com/title/tt0220506/?ref_=fn_tt_tt_1</t>
  </si>
  <si>
    <t>The Princess Bride </t>
  </si>
  <si>
    <t>http://www.imdb.com/title/tt0093779/?ref_=fn_tt_tt_1</t>
  </si>
  <si>
    <t>The Great Debaters </t>
  </si>
  <si>
    <t>http://www.imdb.com/title/tt0427309/?ref_=fn_tt_tt_1</t>
  </si>
  <si>
    <t>Drive </t>
  </si>
  <si>
    <t>http://www.imdb.com/title/tt0780504/?ref_=fn_tt_tt_1</t>
  </si>
  <si>
    <t>Comedy|Family|Music|Romance</t>
  </si>
  <si>
    <t>Confessions of a Teenage Drama Queen </t>
  </si>
  <si>
    <t>http://www.imdb.com/title/tt0361467/?ref_=fn_tt_tt_1</t>
  </si>
  <si>
    <t>The Object of My Affection </t>
  </si>
  <si>
    <t>http://www.imdb.com/title/tt0120772/?ref_=fn_tt_tt_1</t>
  </si>
  <si>
    <t>28 Weeks Later </t>
  </si>
  <si>
    <t>http://www.imdb.com/title/tt0463854/?ref_=fn_tt_tt_1</t>
  </si>
  <si>
    <t>When the Game Stands Tall </t>
  </si>
  <si>
    <t>http://www.imdb.com/title/tt2247476/?ref_=fn_tt_tt_1</t>
  </si>
  <si>
    <t>Because of Winn-Dixie </t>
  </si>
  <si>
    <t>http://www.imdb.com/title/tt0317132/?ref_=fn_tt_tt_1</t>
  </si>
  <si>
    <t>Love &amp; Basketball </t>
  </si>
  <si>
    <t>http://www.imdb.com/title/tt0199725/?ref_=fn_tt_tt_1</t>
  </si>
  <si>
    <t>Grosse Pointe Blank </t>
  </si>
  <si>
    <t>http://www.imdb.com/title/tt0119229/?ref_=fn_tt_tt_1</t>
  </si>
  <si>
    <t>All About Steve </t>
  </si>
  <si>
    <t>http://www.imdb.com/title/tt0881891/?ref_=fn_tt_tt_1</t>
  </si>
  <si>
    <t>Adventure|Fantasy|Horror|Mystery|Thriller</t>
  </si>
  <si>
    <t>Book of Shadows: Blair Witch 2 </t>
  </si>
  <si>
    <t>http://www.imdb.com/title/tt0229260/?ref_=fn_tt_tt_1</t>
  </si>
  <si>
    <t>The Craft </t>
  </si>
  <si>
    <t>http://www.imdb.com/title/tt0115963/?ref_=fn_tt_tt_1</t>
  </si>
  <si>
    <t>Match Point </t>
  </si>
  <si>
    <t>http://www.imdb.com/title/tt0416320/?ref_=fn_tt_tt_1</t>
  </si>
  <si>
    <t>Ramona and Beezus </t>
  </si>
  <si>
    <t>http://www.imdb.com/title/tt0493949/?ref_=fn_tt_tt_1</t>
  </si>
  <si>
    <t>The Remains of the Day </t>
  </si>
  <si>
    <t>http://www.imdb.com/title/tt0107943/?ref_=fn_tt_tt_1</t>
  </si>
  <si>
    <t>Boogie Nights </t>
  </si>
  <si>
    <t>http://www.imdb.com/title/tt0118749/?ref_=fn_tt_tt_1</t>
  </si>
  <si>
    <t>Nowhere to Run </t>
  </si>
  <si>
    <t>http://www.imdb.com/title/tt0107711/?ref_=fn_tt_tt_1</t>
  </si>
  <si>
    <t>Flicka </t>
  </si>
  <si>
    <t>http://www.imdb.com/title/tt0434215/?ref_=fn_tt_tt_1</t>
  </si>
  <si>
    <t>The Hills Have Eyes II </t>
  </si>
  <si>
    <t>http://www.imdb.com/title/tt0800069/?ref_=fn_tt_tt_1</t>
  </si>
  <si>
    <t>Urban Legends: Final Cut </t>
  </si>
  <si>
    <t>http://www.imdb.com/title/tt0192731/?ref_=fn_tt_tt_1</t>
  </si>
  <si>
    <t>Tuck Everlasting </t>
  </si>
  <si>
    <t>http://www.imdb.com/title/tt0283084/?ref_=fn_tt_tt_1</t>
  </si>
  <si>
    <t>The Marine </t>
  </si>
  <si>
    <t>http://www.imdb.com/title/tt0419946/?ref_=fn_tt_tt_1</t>
  </si>
  <si>
    <t>Keanu </t>
  </si>
  <si>
    <t>http://www.imdb.com/title/tt4139124/?ref_=fn_tt_tt_1</t>
  </si>
  <si>
    <t>Country Strong </t>
  </si>
  <si>
    <t>http://www.imdb.com/title/tt1555064/?ref_=fn_tt_tt_1</t>
  </si>
  <si>
    <t>Official site</t>
  </si>
  <si>
    <t>Disturbing Behavior </t>
  </si>
  <si>
    <t>http://www.imdb.com/title/tt0134619/?ref_=fn_tt_tt_1</t>
  </si>
  <si>
    <t>The Place Beyond the Pines </t>
  </si>
  <si>
    <t>http://www.imdb.com/title/tt1817273/?ref_=fn_tt_tt_1</t>
  </si>
  <si>
    <t>The November Man </t>
  </si>
  <si>
    <t>http://www.imdb.com/title/tt2402157/?ref_=fn_tt_tt_1</t>
  </si>
  <si>
    <t>Eye of the Beholder </t>
  </si>
  <si>
    <t>http://www.imdb.com/title/tt0120662/?ref_=fn_tt_tt_1</t>
  </si>
  <si>
    <t>The Hurt Locker </t>
  </si>
  <si>
    <t>http://www.imdb.com/title/tt0887912/?ref_=fn_tt_tt_1</t>
  </si>
  <si>
    <t>Firestarter </t>
  </si>
  <si>
    <t>http://www.imdb.com/title/tt0087262/?ref_=fn_tt_tt_1</t>
  </si>
  <si>
    <t>Killing Them Softly </t>
  </si>
  <si>
    <t>http://www.imdb.com/title/tt1764234/?ref_=fn_tt_tt_1</t>
  </si>
  <si>
    <t>A Most Wanted Man </t>
  </si>
  <si>
    <t>http://www.imdb.com/title/tt1972571/?ref_=fn_tt_tt_1</t>
  </si>
  <si>
    <t>Freddy Got Fingered </t>
  </si>
  <si>
    <t>http://www.imdb.com/title/tt0240515/?ref_=fn_tt_tt_1</t>
  </si>
  <si>
    <t>Highlander: Endgame </t>
  </si>
  <si>
    <t>http://www.imdb.com/title/tt0144964/?ref_=fn_tt_tt_1</t>
  </si>
  <si>
    <t>Crime|Drama|Musical|Romance</t>
  </si>
  <si>
    <t>Idlewild </t>
  </si>
  <si>
    <t>http://www.imdb.com/title/tt0417225/?ref_=fn_tt_tt_1</t>
  </si>
  <si>
    <t>One Day </t>
  </si>
  <si>
    <t>http://www.imdb.com/title/tt1563738/?ref_=fn_tt_tt_1</t>
  </si>
  <si>
    <t>Whip It </t>
  </si>
  <si>
    <t>http://www.imdb.com/title/tt1172233/?ref_=fn_tt_tt_1</t>
  </si>
  <si>
    <t>Confidence </t>
  </si>
  <si>
    <t>http://www.imdb.com/title/tt0310910/?ref_=fn_tt_tt_1</t>
  </si>
  <si>
    <t>The Muse </t>
  </si>
  <si>
    <t>http://www.imdb.com/title/tt0164108/?ref_=fn_tt_tt_1</t>
  </si>
  <si>
    <t>De-Lovely </t>
  </si>
  <si>
    <t>http://www.imdb.com/title/tt0352277/?ref_=fn_tt_tt_1</t>
  </si>
  <si>
    <t>New York Stories </t>
  </si>
  <si>
    <t>http://www.imdb.com/title/tt0097965/?ref_=fn_tt_tt_1</t>
  </si>
  <si>
    <t>Barney's Great Adventure </t>
  </si>
  <si>
    <t>http://www.imdb.com/title/tt0120598/?ref_=fn_tt_tt_1</t>
  </si>
  <si>
    <t>The Man with the Iron Fists </t>
  </si>
  <si>
    <t>http://www.imdb.com/title/tt1258972/?ref_=fn_tt_tt_1</t>
  </si>
  <si>
    <t>Home Fries </t>
  </si>
  <si>
    <t>http://www.imdb.com/title/tt0119304/?ref_=fn_tt_tt_1</t>
  </si>
  <si>
    <t>Here on Earth </t>
  </si>
  <si>
    <t>http://www.imdb.com/title/tt0195778/?ref_=fn_tt_tt_1</t>
  </si>
  <si>
    <t>Brazil </t>
  </si>
  <si>
    <t>http://www.imdb.com/title/tt0088846/?ref_=fn_tt_tt_1</t>
  </si>
  <si>
    <t>Family|Music|Romance</t>
  </si>
  <si>
    <t>Raise Your Voice </t>
  </si>
  <si>
    <t>http://www.imdb.com/title/tt0361696/?ref_=fn_tt_tt_1</t>
  </si>
  <si>
    <t>The Big Lebowski </t>
  </si>
  <si>
    <t>http://www.imdb.com/title/tt0118715/?ref_=fn_tt_tt_1</t>
  </si>
  <si>
    <t>Black Snake Moan </t>
  </si>
  <si>
    <t>http://www.imdb.com/title/tt0462200/?ref_=fn_tt_tt_1</t>
  </si>
  <si>
    <t>Dark Blue </t>
  </si>
  <si>
    <t>http://www.imdb.com/title/tt0279331/?ref_=fn_tt_tt_1</t>
  </si>
  <si>
    <t>Biography|Drama|History|Thriller|War</t>
  </si>
  <si>
    <t>A Mighty Heart </t>
  </si>
  <si>
    <t>http://www.imdb.com/title/tt0829459/?ref_=fn_tt_tt_1</t>
  </si>
  <si>
    <t>Whatever It Takes </t>
  </si>
  <si>
    <t>http://www.imdb.com/title/tt0202402/?ref_=fn_tt_tt_1</t>
  </si>
  <si>
    <t>Boat Trip </t>
  </si>
  <si>
    <t>http://www.imdb.com/title/tt0285462/?ref_=fn_tt_tt_1</t>
  </si>
  <si>
    <t>The Importance of Being Earnest </t>
  </si>
  <si>
    <t>http://www.imdb.com/title/tt0278500/?ref_=fn_tt_tt_1</t>
  </si>
  <si>
    <t>Hoot </t>
  </si>
  <si>
    <t>http://www.imdb.com/title/tt0453494/?ref_=fn_tt_tt_1</t>
  </si>
  <si>
    <t>In Bruges </t>
  </si>
  <si>
    <t>http://www.imdb.com/title/tt0780536/?ref_=fn_tt_tt_1</t>
  </si>
  <si>
    <t>Peeples </t>
  </si>
  <si>
    <t>http://www.imdb.com/title/tt1699755/?ref_=fn_tt_tt_1</t>
  </si>
  <si>
    <t>The Rocker </t>
  </si>
  <si>
    <t>http://www.imdb.com/title/tt1031969/?ref_=fn_tt_tt_1</t>
  </si>
  <si>
    <t>Post Grad </t>
  </si>
  <si>
    <t>http://www.imdb.com/title/tt1142433/?ref_=fn_tt_tt_1</t>
  </si>
  <si>
    <t>Promised Land </t>
  </si>
  <si>
    <t>http://www.imdb.com/title/tt2091473/?ref_=fn_tt_tt_1</t>
  </si>
  <si>
    <t>Whatever Works </t>
  </si>
  <si>
    <t>http://www.imdb.com/title/tt1178663/?ref_=fn_tt_tt_1</t>
  </si>
  <si>
    <t>The In Crowd </t>
  </si>
  <si>
    <t>http://www.imdb.com/title/tt0163676/?ref_=fn_tt_tt_1</t>
  </si>
  <si>
    <t>Adventure|Crime|Drama|Mystery|Western</t>
  </si>
  <si>
    <t>Three Burials </t>
  </si>
  <si>
    <t>http://www.imdb.com/title/tt0419294/?ref_=fn_tt_tt_1</t>
  </si>
  <si>
    <t>Jakob the Liar </t>
  </si>
  <si>
    <t>http://www.imdb.com/title/tt0120716/?ref_=fn_tt_tt_1</t>
  </si>
  <si>
    <t>Kiss Kiss Bang Bang </t>
  </si>
  <si>
    <t>http://www.imdb.com/title/tt0373469/?ref_=fn_tt_tt_1</t>
  </si>
  <si>
    <t>Idle Hands </t>
  </si>
  <si>
    <t>http://www.imdb.com/title/tt0138510/?ref_=fn_tt_tt_1</t>
  </si>
  <si>
    <t>Mulholland Drive </t>
  </si>
  <si>
    <t>http://www.imdb.com/title/tt0166924/?ref_=fn_tt_tt_1</t>
  </si>
  <si>
    <t>You Will Meet a Tall Dark Stranger </t>
  </si>
  <si>
    <t>http://www.imdb.com/title/tt1182350/?ref_=fn_tt_tt_1</t>
  </si>
  <si>
    <t>Never Let Me Go </t>
  </si>
  <si>
    <t>http://www.imdb.com/title/tt1334260/?ref_=fn_tt_tt_1</t>
  </si>
  <si>
    <t>Transsiberian </t>
  </si>
  <si>
    <t>http://www.imdb.com/title/tt0800241/?ref_=fn_tt_tt_1</t>
  </si>
  <si>
    <t>The Clan of the Cave Bear </t>
  </si>
  <si>
    <t>http://www.imdb.com/title/tt0090848/?ref_=fn_tt_tt_1</t>
  </si>
  <si>
    <t>Crazy in Alabama </t>
  </si>
  <si>
    <t>http://www.imdb.com/title/tt0142201/?ref_=fn_tt_tt_1</t>
  </si>
  <si>
    <t>Funny Games </t>
  </si>
  <si>
    <t>http://www.imdb.com/title/tt0808279/?ref_=fn_tt_tt_1</t>
  </si>
  <si>
    <t>Metropolis </t>
  </si>
  <si>
    <t>http://www.imdb.com/title/tt0017136/?ref_=fn_tt_tt_1</t>
  </si>
  <si>
    <t>District B13 </t>
  </si>
  <si>
    <t>http://www.imdb.com/title/tt0414852/?ref_=fn_tt_tt_1</t>
  </si>
  <si>
    <t>Things to Do in Denver When You're Dead </t>
  </si>
  <si>
    <t>http://www.imdb.com/title/tt0114660/?ref_=fn_tt_tt_1</t>
  </si>
  <si>
    <t>The Assassin </t>
  </si>
  <si>
    <t>http://www.imdb.com/title/tt3508840/?ref_=fn_tt_tt_1</t>
  </si>
  <si>
    <t>Comedy|Crime|Drama|Thriller|War</t>
  </si>
  <si>
    <t>Buffalo Soldiers </t>
  </si>
  <si>
    <t>http://www.imdb.com/title/tt0252299/?ref_=fn_tt_tt_1</t>
  </si>
  <si>
    <t>Ong-bak 2 </t>
  </si>
  <si>
    <t>http://www.imdb.com/title/tt0785035/?ref_=fn_tt_tt_1</t>
  </si>
  <si>
    <t>Thai</t>
  </si>
  <si>
    <t>Thailand</t>
  </si>
  <si>
    <t>The Son of No One </t>
  </si>
  <si>
    <t>http://www.imdb.com/title/tt1535612/?ref_=fn_tt_tt_1</t>
  </si>
  <si>
    <t>Action|Comedy|Drama|War</t>
  </si>
  <si>
    <t>All the Queen's Men </t>
  </si>
  <si>
    <t>http://www.imdb.com/title/tt0252223/?ref_=fn_tt_tt_1</t>
  </si>
  <si>
    <t>Comedy|Drama|Fantasy|Music|Romance</t>
  </si>
  <si>
    <t>The Good Night </t>
  </si>
  <si>
    <t>http://www.imdb.com/title/tt0484111/?ref_=fn_tt_tt_1</t>
  </si>
  <si>
    <t>Biography</t>
  </si>
  <si>
    <t>Groundhog Day </t>
  </si>
  <si>
    <t>http://www.imdb.com/title/tt0107048/?ref_=fn_tt_tt_1</t>
  </si>
  <si>
    <t>Magic Mike XXL </t>
  </si>
  <si>
    <t>http://www.imdb.com/title/tt2268016/?ref_=fn_tt_tt_1</t>
  </si>
  <si>
    <t>Romeo + Juliet </t>
  </si>
  <si>
    <t>http://www.imdb.com/title/tt0117509/?ref_=fn_tt_tt_1</t>
  </si>
  <si>
    <t>Unforgiven </t>
  </si>
  <si>
    <t>http://www.imdb.com/title/tt0105695/?ref_=fn_tt_tt_1</t>
  </si>
  <si>
    <t>Manderlay </t>
  </si>
  <si>
    <t>http://www.imdb.com/title/tt0342735/?ref_=fn_tt_tt_1</t>
  </si>
  <si>
    <t>Slumdog Millionaire </t>
  </si>
  <si>
    <t>http://www.imdb.com/title/tt1010048/?ref_=fn_tt_tt_1</t>
  </si>
  <si>
    <t>Fatal Attraction </t>
  </si>
  <si>
    <t>http://www.imdb.com/title/tt0093010/?ref_=fn_tt_tt_1</t>
  </si>
  <si>
    <t>Pretty Woman </t>
  </si>
  <si>
    <t>http://www.imdb.com/title/tt0100405/?ref_=fn_tt_tt_1</t>
  </si>
  <si>
    <t>Crocodile Dundee II </t>
  </si>
  <si>
    <t>http://www.imdb.com/title/tt0092493/?ref_=fn_tt_tt_1</t>
  </si>
  <si>
    <t>Born on the Fourth of July </t>
  </si>
  <si>
    <t>http://www.imdb.com/title/tt0096969/?ref_=fn_tt_tt_1</t>
  </si>
  <si>
    <t>Cool Runnings </t>
  </si>
  <si>
    <t>http://www.imdb.com/title/tt0106611/?ref_=fn_tt_tt_1</t>
  </si>
  <si>
    <t>My Bloody Valentine </t>
  </si>
  <si>
    <t>http://www.imdb.com/title/tt1179891/?ref_=fn_tt_tt_1</t>
  </si>
  <si>
    <t>Stomp the Yard </t>
  </si>
  <si>
    <t>http://www.imdb.com/title/tt0775539/?ref_=fn_tt_tt_1</t>
  </si>
  <si>
    <t>The Spy Who Loved Me </t>
  </si>
  <si>
    <t>http://www.imdb.com/title/tt0076752/?ref_=fn_tt_tt_1</t>
  </si>
  <si>
    <t>Urban Legend </t>
  </si>
  <si>
    <t>http://www.imdb.com/title/tt0146336/?ref_=fn_tt_tt_1</t>
  </si>
  <si>
    <t>White Fang </t>
  </si>
  <si>
    <t>http://www.imdb.com/title/tt0103247/?ref_=fn_tt_tt_1</t>
  </si>
  <si>
    <t>Superstar </t>
  </si>
  <si>
    <t>http://www.imdb.com/title/tt0167427/?ref_=fn_tt_tt_1</t>
  </si>
  <si>
    <t>The Iron Lady </t>
  </si>
  <si>
    <t>http://www.imdb.com/title/tt1007029/?ref_=fn_tt_tt_1</t>
  </si>
  <si>
    <t>Jonah: A VeggieTales Movie </t>
  </si>
  <si>
    <t>http://www.imdb.com/title/tt0298388/?ref_=fn_tt_tt_1</t>
  </si>
  <si>
    <t>Poetic Justice </t>
  </si>
  <si>
    <t>http://www.imdb.com/title/tt0107840/?ref_=fn_tt_tt_1</t>
  </si>
  <si>
    <t>All About the Benjamins </t>
  </si>
  <si>
    <t>http://www.imdb.com/title/tt0278295/?ref_=fn_tt_tt_1</t>
  </si>
  <si>
    <t>Vampire in Brooklyn </t>
  </si>
  <si>
    <t>http://www.imdb.com/title/tt0114825/?ref_=fn_tt_tt_1</t>
  </si>
  <si>
    <t>An American Haunting </t>
  </si>
  <si>
    <t>http://www.imdb.com/title/tt0429573/?ref_=fn_tt_tt_1</t>
  </si>
  <si>
    <t>My Boss's Daughter </t>
  </si>
  <si>
    <t>http://www.imdb.com/title/tt0270980/?ref_=fn_tt_tt_1</t>
  </si>
  <si>
    <t>Adventure|Mystery|Thriller</t>
  </si>
  <si>
    <t>A Perfect Getaway </t>
  </si>
  <si>
    <t>http://www.imdb.com/title/tt0971209/?ref_=fn_tt_tt_1</t>
  </si>
  <si>
    <t>Our Family Wedding </t>
  </si>
  <si>
    <t>http://www.imdb.com/title/tt1305583/?ref_=fn_tt_tt_1</t>
  </si>
  <si>
    <t>Dead Man on Campus </t>
  </si>
  <si>
    <t>http://www.imdb.com/title/tt0118301/?ref_=fn_tt_tt_1</t>
  </si>
  <si>
    <t>Tea with Mussolini </t>
  </si>
  <si>
    <t>http://www.imdb.com/title/tt0120857/?ref_=fn_tt_tt_1</t>
  </si>
  <si>
    <t>Thinner </t>
  </si>
  <si>
    <t>http://www.imdb.com/title/tt0117894/?ref_=fn_tt_tt_1</t>
  </si>
  <si>
    <t>Crooklyn </t>
  </si>
  <si>
    <t>http://www.imdb.com/title/tt0109504/?ref_=fn_tt_tt_1</t>
  </si>
  <si>
    <t>Jason X </t>
  </si>
  <si>
    <t>http://www.imdb.com/title/tt0211443/?ref_=fn_tt_tt_1</t>
  </si>
  <si>
    <t>Bobby </t>
  </si>
  <si>
    <t>http://www.imdb.com/title/tt0308055/?ref_=fn_tt_tt_1</t>
  </si>
  <si>
    <t>Comedy|Mystery|Romance</t>
  </si>
  <si>
    <t>Head Over Heels </t>
  </si>
  <si>
    <t>http://www.imdb.com/title/tt0192111/?ref_=fn_tt_tt_1</t>
  </si>
  <si>
    <t>Fun Size </t>
  </si>
  <si>
    <t>http://www.imdb.com/title/tt1663143/?ref_=fn_tt_tt_1</t>
  </si>
  <si>
    <t>Little Children </t>
  </si>
  <si>
    <t>http://www.imdb.com/title/tt0404203/?ref_=fn_tt_tt_1</t>
  </si>
  <si>
    <t>Gossip </t>
  </si>
  <si>
    <t>http://www.imdb.com/title/tt0176783/?ref_=fn_tt_tt_1</t>
  </si>
  <si>
    <t>A Walk on the Moon </t>
  </si>
  <si>
    <t>http://www.imdb.com/title/tt0120613/?ref_=fn_tt_tt_1</t>
  </si>
  <si>
    <t>Catch a Fire </t>
  </si>
  <si>
    <t>http://www.imdb.com/title/tt0437232/?ref_=fn_tt_tt_1</t>
  </si>
  <si>
    <t>Soul Survivors </t>
  </si>
  <si>
    <t>http://www.imdb.com/title/tt0218619/?ref_=fn_tt_tt_1</t>
  </si>
  <si>
    <t>Jefferson in Paris </t>
  </si>
  <si>
    <t>http://www.imdb.com/title/tt0113463/?ref_=fn_tt_tt_1</t>
  </si>
  <si>
    <t>Caravans </t>
  </si>
  <si>
    <t>http://www.imdb.com/title/tt0077296/?ref_=fn_tt_tt_1</t>
  </si>
  <si>
    <t>Iran</t>
  </si>
  <si>
    <t>Mr. Turner </t>
  </si>
  <si>
    <t>http://www.imdb.com/title/tt2473794/?ref_=fn_tt_tt_1</t>
  </si>
  <si>
    <t>Biography|Crime|Drama|War</t>
  </si>
  <si>
    <t>Amen. </t>
  </si>
  <si>
    <t>http://www.imdb.com/title/tt0280653/?ref_=fn_tt_tt_1</t>
  </si>
  <si>
    <t>The Lucky Ones </t>
  </si>
  <si>
    <t>http://www.imdb.com/title/tt0981072/?ref_=fn_tt_tt_1</t>
  </si>
  <si>
    <t>Margaret </t>
  </si>
  <si>
    <t>http://www.imdb.com/title/tt0466893/?ref_=fn_tt_tt_1</t>
  </si>
  <si>
    <t>Flipped </t>
  </si>
  <si>
    <t>http://www.imdb.com/title/tt0817177/?ref_=fn_tt_tt_1</t>
  </si>
  <si>
    <t>Brokeback Mountain </t>
  </si>
  <si>
    <t>http://www.imdb.com/title/tt0388795/?ref_=fn_tt_tt_1</t>
  </si>
  <si>
    <t>Clueless </t>
  </si>
  <si>
    <t>http://www.imdb.com/title/tt0112697/?ref_=fn_tt_tt_1</t>
  </si>
  <si>
    <t>Far from Heaven </t>
  </si>
  <si>
    <t>http://www.imdb.com/title/tt0297884/?ref_=fn_tt_tt_1</t>
  </si>
  <si>
    <t>Hot Tub Time Machine 2 </t>
  </si>
  <si>
    <t>http://www.imdb.com/title/tt2637294/?ref_=fn_tt_tt_1</t>
  </si>
  <si>
    <t>Poland</t>
  </si>
  <si>
    <t>Quills </t>
  </si>
  <si>
    <t>http://www.imdb.com/title/tt0180073/?ref_=fn_tt_tt_1</t>
  </si>
  <si>
    <t>Seven Psychopaths </t>
  </si>
  <si>
    <t>http://www.imdb.com/title/tt1931533/?ref_=fn_tt_tt_1</t>
  </si>
  <si>
    <t>Downfall </t>
  </si>
  <si>
    <t>http://www.imdb.com/title/tt0363163/?ref_=fn_tt_tt_1</t>
  </si>
  <si>
    <t>The Sea Inside </t>
  </si>
  <si>
    <t>http://www.imdb.com/title/tt0369702/?ref_=fn_tt_tt_1</t>
  </si>
  <si>
    <t>Biography|Comedy|Drama|War</t>
  </si>
  <si>
    <t>Good Morning, Vietnam </t>
  </si>
  <si>
    <t>http://www.imdb.com/title/tt0093105/?ref_=fn_tt_tt_1</t>
  </si>
  <si>
    <t>The Last Godfather </t>
  </si>
  <si>
    <t>http://www.imdb.com/title/tt1584131/?ref_=fn_tt_tt_1</t>
  </si>
  <si>
    <t>Justin Bieber: Never Say Never </t>
  </si>
  <si>
    <t>http://www.imdb.com/title/tt1702443/?ref_=fn_tt_tt_1</t>
  </si>
  <si>
    <t>Black Swan </t>
  </si>
  <si>
    <t>http://www.imdb.com/title/tt0947798/?ref_=fn_tt_tt_1</t>
  </si>
  <si>
    <t>The Godfather: Part II </t>
  </si>
  <si>
    <t>http://www.imdb.com/title/tt0071562/?ref_=fn_tt_tt_1</t>
  </si>
  <si>
    <t>Save the Last Dance </t>
  </si>
  <si>
    <t>http://www.imdb.com/title/tt0206275/?ref_=fn_tt_tt_1</t>
  </si>
  <si>
    <t>A Nightmare on Elm Street 4: The Dream Master </t>
  </si>
  <si>
    <t>http://www.imdb.com/title/tt0095742/?ref_=fn_tt_tt_1</t>
  </si>
  <si>
    <t>Miracles from Heaven </t>
  </si>
  <si>
    <t>http://www.imdb.com/title/tt4257926/?ref_=fn_tt_tt_1</t>
  </si>
  <si>
    <t>Dude, Where's My Car? </t>
  </si>
  <si>
    <t>http://www.imdb.com/title/tt0242423/?ref_=fn_tt_tt_1</t>
  </si>
  <si>
    <t>Young Guns </t>
  </si>
  <si>
    <t>http://www.imdb.com/title/tt0096487/?ref_=fn_tt_tt_1</t>
  </si>
  <si>
    <t>St. Vincent </t>
  </si>
  <si>
    <t>http://www.imdb.com/title/tt2170593/?ref_=fn_tt_tt_1</t>
  </si>
  <si>
    <t>About Last Night </t>
  </si>
  <si>
    <t>http://www.imdb.com/title/tt1826590/?ref_=fn_tt_tt_1</t>
  </si>
  <si>
    <t>10 Things I Hate About You </t>
  </si>
  <si>
    <t>http://www.imdb.com/title/tt0147800/?ref_=fn_tt_tt_1</t>
  </si>
  <si>
    <t>The New Guy </t>
  </si>
  <si>
    <t>http://www.imdb.com/title/tt0241760/?ref_=fn_tt_tt_1</t>
  </si>
  <si>
    <t>Loaded Weapon 1 </t>
  </si>
  <si>
    <t>http://www.imdb.com/title/tt0107659/?ref_=fn_tt_tt_1</t>
  </si>
  <si>
    <t>The Shallows </t>
  </si>
  <si>
    <t>http://www.imdb.com/title/tt4052882/?ref_=fn_tt_tt_1</t>
  </si>
  <si>
    <t>The Butterfly Effect </t>
  </si>
  <si>
    <t>http://www.imdb.com/title/tt0289879/?ref_=fn_tt_tt_1</t>
  </si>
  <si>
    <t>Snow Day </t>
  </si>
  <si>
    <t>http://www.imdb.com/title/tt0184907/?ref_=fn_tt_tt_1</t>
  </si>
  <si>
    <t>This Christmas </t>
  </si>
  <si>
    <t>http://www.imdb.com/title/tt0937375/?ref_=fn_tt_tt_1</t>
  </si>
  <si>
    <t>Comedy|Crime|Family|Sci-Fi</t>
  </si>
  <si>
    <t>Baby Geniuses </t>
  </si>
  <si>
    <t>http://www.imdb.com/title/tt0118665/?ref_=fn_tt_tt_1</t>
  </si>
  <si>
    <t>The Big Hit </t>
  </si>
  <si>
    <t>http://www.imdb.com/title/tt0120609/?ref_=fn_tt_tt_1</t>
  </si>
  <si>
    <t>Harriet the Spy </t>
  </si>
  <si>
    <t>http://www.imdb.com/title/tt0116493/?ref_=fn_tt_tt_1</t>
  </si>
  <si>
    <t>Child's Play 2 </t>
  </si>
  <si>
    <t>http://www.imdb.com/title/tt0099253/?ref_=fn_tt_tt_1</t>
  </si>
  <si>
    <t>No Good Deed </t>
  </si>
  <si>
    <t>http://www.imdb.com/title/tt2011159/?ref_=fn_tt_tt_1</t>
  </si>
  <si>
    <t>The Mist </t>
  </si>
  <si>
    <t>http://www.imdb.com/title/tt0884328/?ref_=fn_tt_tt_1</t>
  </si>
  <si>
    <t>Ex Machina </t>
  </si>
  <si>
    <t>http://www.imdb.com/title/tt0470752/?ref_=fn_tt_tt_1</t>
  </si>
  <si>
    <t>Being John Malkovich </t>
  </si>
  <si>
    <t>http://www.imdb.com/title/tt0120601/?ref_=fn_tt_tt_1</t>
  </si>
  <si>
    <t>Two Can Play That Game </t>
  </si>
  <si>
    <t>http://www.imdb.com/title/tt0269341/?ref_=fn_tt_tt_1</t>
  </si>
  <si>
    <t>Adventure|Family|Sci-Fi</t>
  </si>
  <si>
    <t>Earth to Echo </t>
  </si>
  <si>
    <t>http://www.imdb.com/title/tt2183034/?ref_=fn_tt_tt_1</t>
  </si>
  <si>
    <t>Crazy/Beautiful </t>
  </si>
  <si>
    <t>http://www.imdb.com/title/tt0250224/?ref_=fn_tt_tt_1</t>
  </si>
  <si>
    <t>Letters from Iwo Jima </t>
  </si>
  <si>
    <t>http://www.imdb.com/title/tt0498380/?ref_=fn_tt_tt_1</t>
  </si>
  <si>
    <t>The Astronaut Farmer </t>
  </si>
  <si>
    <t>http://www.imdb.com/title/tt0469263/?ref_=fn_tt_tt_1</t>
  </si>
  <si>
    <t>Woo </t>
  </si>
  <si>
    <t>http://www.imdb.com/title/tt0120531/?ref_=fn_tt_tt_1</t>
  </si>
  <si>
    <t>Room </t>
  </si>
  <si>
    <t>http://www.imdb.com/title/tt3170832/?ref_=fn_tt_tt_1</t>
  </si>
  <si>
    <t>Serial Mom </t>
  </si>
  <si>
    <t>http://www.imdb.com/title/tt0111127/?ref_=fn_tt_tt_1</t>
  </si>
  <si>
    <t>Dick </t>
  </si>
  <si>
    <t>http://www.imdb.com/title/tt0144168/?ref_=fn_tt_tt_1</t>
  </si>
  <si>
    <t>Light It Up </t>
  </si>
  <si>
    <t>http://www.imdb.com/title/tt0172726/?ref_=fn_tt_tt_1</t>
  </si>
  <si>
    <t>54 </t>
  </si>
  <si>
    <t>http://www.imdb.com/title/tt0120577/?ref_=fn_tt_tt_1</t>
  </si>
  <si>
    <t>Adventure|Comedy|Romance|Sci-Fi</t>
  </si>
  <si>
    <t>Bubble Boy </t>
  </si>
  <si>
    <t>http://www.imdb.com/title/tt0258470/?ref_=fn_tt_tt_1</t>
  </si>
  <si>
    <t>Birthday Girl </t>
  </si>
  <si>
    <t>http://www.imdb.com/title/tt0188453/?ref_=fn_tt_tt_1</t>
  </si>
  <si>
    <t>21 &amp; Over </t>
  </si>
  <si>
    <t>http://www.imdb.com/title/tt1711425/?ref_=fn_tt_tt_1</t>
  </si>
  <si>
    <t>Paris, je t'aime </t>
  </si>
  <si>
    <t>http://www.imdb.com/title/tt0401711/?ref_=fn_tt_tt_1</t>
  </si>
  <si>
    <t>Resurrecting the Champ </t>
  </si>
  <si>
    <t>http://www.imdb.com/title/tt0416185/?ref_=fn_tt_tt_1</t>
  </si>
  <si>
    <t>Admission </t>
  </si>
  <si>
    <t>http://www.imdb.com/title/tt1814621/?ref_=fn_tt_tt_1</t>
  </si>
  <si>
    <t>The Widow of Saint-Pierre </t>
  </si>
  <si>
    <t>http://www.imdb.com/title/tt0191636/?ref_=fn_tt_tt_1</t>
  </si>
  <si>
    <t>Chloe </t>
  </si>
  <si>
    <t>http://www.imdb.com/title/tt1352824/?ref_=fn_tt_tt_1</t>
  </si>
  <si>
    <t>Faithful </t>
  </si>
  <si>
    <t>http://www.imdb.com/title/tt0116269/?ref_=fn_tt_tt_1</t>
  </si>
  <si>
    <t>Find Me Guilty </t>
  </si>
  <si>
    <t>http://www.imdb.com/title/tt0419749/?ref_=fn_tt_tt_1</t>
  </si>
  <si>
    <t>The Perks of Being a Wallflower </t>
  </si>
  <si>
    <t>http://www.imdb.com/title/tt1659337/?ref_=fn_tt_tt_1</t>
  </si>
  <si>
    <t>Excessive Force </t>
  </si>
  <si>
    <t>http://www.imdb.com/title/tt0104215/?ref_=fn_tt_tt_1</t>
  </si>
  <si>
    <t>Infamous </t>
  </si>
  <si>
    <t>http://www.imdb.com/title/tt0420609/?ref_=fn_tt_tt_1</t>
  </si>
  <si>
    <t>The Claim </t>
  </si>
  <si>
    <t>http://www.imdb.com/title/tt0218378/?ref_=fn_tt_tt_1</t>
  </si>
  <si>
    <t>The Vatican Tapes </t>
  </si>
  <si>
    <t>http://www.imdb.com/title/tt1524575/?ref_=fn_tt_tt_1</t>
  </si>
  <si>
    <t>Attack the Block </t>
  </si>
  <si>
    <t>http://www.imdb.com/title/tt1478964/?ref_=fn_tt_tt_1</t>
  </si>
  <si>
    <t>In the Land of Blood and Honey </t>
  </si>
  <si>
    <t>http://www.imdb.com/title/tt1714209/?ref_=fn_tt_tt_1</t>
  </si>
  <si>
    <t>Bosnian</t>
  </si>
  <si>
    <t>The Call </t>
  </si>
  <si>
    <t>http://www.imdb.com/title/tt1911644/?ref_=fn_tt_tt_1</t>
  </si>
  <si>
    <t>Operation Chromite </t>
  </si>
  <si>
    <t>http://www.imdb.com/title/tt4939066/?ref_=fn_tt_tt_1</t>
  </si>
  <si>
    <t>Action|Adventure|Comedy|Family</t>
  </si>
  <si>
    <t>The Crocodile Hunter: Collision Course </t>
  </si>
  <si>
    <t>http://www.imdb.com/title/tt0305396/?ref_=fn_tt_tt_1</t>
  </si>
  <si>
    <t>Biography|Comedy|Crime|Drama|Romance</t>
  </si>
  <si>
    <t>I Love You Phillip Morris </t>
  </si>
  <si>
    <t>http://www.imdb.com/title/tt1045772/?ref_=fn_tt_tt_1</t>
  </si>
  <si>
    <t>None</t>
  </si>
  <si>
    <t>Antwone Fisher </t>
  </si>
  <si>
    <t>http://www.imdb.com/title/tt0168786/?ref_=fn_tt_tt_1</t>
  </si>
  <si>
    <t>The Emperor's Club </t>
  </si>
  <si>
    <t>http://www.imdb.com/title/tt0283530/?ref_=fn_tt_tt_1</t>
  </si>
  <si>
    <t>True Romance </t>
  </si>
  <si>
    <t>http://www.imdb.com/title/tt0108399/?ref_=fn_tt_tt_1</t>
  </si>
  <si>
    <t>Glengarry Glen Ross </t>
  </si>
  <si>
    <t>http://www.imdb.com/title/tt0104348/?ref_=fn_tt_tt_1</t>
  </si>
  <si>
    <t>The Killer Inside Me </t>
  </si>
  <si>
    <t>http://www.imdb.com/title/tt0954947/?ref_=fn_tt_tt_1</t>
  </si>
  <si>
    <t>Sorority Row </t>
  </si>
  <si>
    <t>http://www.imdb.com/title/tt1232783/?ref_=fn_tt_tt_1</t>
  </si>
  <si>
    <t>Lars and the Real Girl </t>
  </si>
  <si>
    <t>http://www.imdb.com/title/tt0805564/?ref_=fn_tt_tt_1</t>
  </si>
  <si>
    <t>The Boy in the Striped Pajamas </t>
  </si>
  <si>
    <t>http://www.imdb.com/title/tt0914798/?ref_=fn_tt_tt_1</t>
  </si>
  <si>
    <t>Crime|Drama|Musical</t>
  </si>
  <si>
    <t>Dancer in the Dark </t>
  </si>
  <si>
    <t>http://www.imdb.com/title/tt0168629/?ref_=fn_tt_tt_1</t>
  </si>
  <si>
    <t>Oscar and Lucinda </t>
  </si>
  <si>
    <t>http://www.imdb.com/title/tt0119843/?ref_=fn_tt_tt_1</t>
  </si>
  <si>
    <t>The Funeral </t>
  </si>
  <si>
    <t>http://www.imdb.com/title/tt0116378/?ref_=fn_tt_tt_1</t>
  </si>
  <si>
    <t>Solitary Man </t>
  </si>
  <si>
    <t>http://www.imdb.com/title/tt1294213/?ref_=fn_tt_tt_1</t>
  </si>
  <si>
    <t>Machete </t>
  </si>
  <si>
    <t>http://www.imdb.com/title/tt0985694/?ref_=fn_tt_tt_1</t>
  </si>
  <si>
    <t>Casino Jack </t>
  </si>
  <si>
    <t>http://www.imdb.com/title/tt1194417/?ref_=fn_tt_tt_1</t>
  </si>
  <si>
    <t>The Land Before Time </t>
  </si>
  <si>
    <t>http://www.imdb.com/title/tt0095489/?ref_=fn_tt_tt_1</t>
  </si>
  <si>
    <t>Tae Guk Gi: The Brotherhood of War </t>
  </si>
  <si>
    <t>http://www.imdb.com/title/tt0386064/?ref_=fn_tt_tt_1</t>
  </si>
  <si>
    <t>The Exorcist </t>
  </si>
  <si>
    <t>http://www.imdb.com/title/tt0070047/?ref_=fn_tt_tt_1</t>
  </si>
  <si>
    <t>Jaws </t>
  </si>
  <si>
    <t>http://www.imdb.com/title/tt0073195/?ref_=fn_tt_tt_1</t>
  </si>
  <si>
    <t>American Pie </t>
  </si>
  <si>
    <t>http://www.imdb.com/title/tt0163651/?ref_=fn_tt_tt_1</t>
  </si>
  <si>
    <t>Animation|Comedy|Crime|Drama|Family</t>
  </si>
  <si>
    <t>Ernest &amp; Celestine </t>
  </si>
  <si>
    <t>http://www.imdb.com/title/tt1816518/?ref_=fn_tt_tt_1</t>
  </si>
  <si>
    <t>Action|Adventure|Comedy|Fantasy|Mystery</t>
  </si>
  <si>
    <t>The Golden Child </t>
  </si>
  <si>
    <t>http://www.imdb.com/title/tt0091129/?ref_=fn_tt_tt_1</t>
  </si>
  <si>
    <t>Think Like a Man </t>
  </si>
  <si>
    <t>http://www.imdb.com/title/tt1621045/?ref_=fn_tt_tt_1</t>
  </si>
  <si>
    <t>Barbershop </t>
  </si>
  <si>
    <t>http://www.imdb.com/title/tt0303714/?ref_=fn_tt_tt_1</t>
  </si>
  <si>
    <t>Star Trek II: The Wrath of Khan </t>
  </si>
  <si>
    <t>http://www.imdb.com/title/tt0084726/?ref_=fn_tt_tt_1</t>
  </si>
  <si>
    <t>Ace Ventura: Pet Detective </t>
  </si>
  <si>
    <t>http://www.imdb.com/title/tt0109040/?ref_=fn_tt_tt_1</t>
  </si>
  <si>
    <t>WarGames </t>
  </si>
  <si>
    <t>http://www.imdb.com/title/tt0086567/?ref_=fn_tt_tt_1</t>
  </si>
  <si>
    <t>Witness </t>
  </si>
  <si>
    <t>http://www.imdb.com/title/tt0090329/?ref_=fn_tt_tt_1</t>
  </si>
  <si>
    <t>Action|Adventure|Drama|Thriller|War</t>
  </si>
  <si>
    <t>Act of Valor </t>
  </si>
  <si>
    <t>http://www.imdb.com/title/tt1591479/?ref_=fn_tt_tt_1</t>
  </si>
  <si>
    <t>Crime|Drama|Music|Romance</t>
  </si>
  <si>
    <t>Step Up </t>
  </si>
  <si>
    <t>http://www.imdb.com/title/tt0462590/?ref_=fn_tt_tt_1</t>
  </si>
  <si>
    <t>Adventure|Animation|Comedy|Crime</t>
  </si>
  <si>
    <t>Beavis and Butt-Head Do America </t>
  </si>
  <si>
    <t>http://www.imdb.com/title/tt0115641/?ref_=fn_tt_tt_1</t>
  </si>
  <si>
    <t>Harold &amp; Kumar Escape from Guantanamo Bay </t>
  </si>
  <si>
    <t>http://www.imdb.com/title/tt0481536/?ref_=fn_tt_tt_1</t>
  </si>
  <si>
    <t>Chronicle </t>
  </si>
  <si>
    <t>http://www.imdb.com/title/tt1706593/?ref_=fn_tt_tt_1</t>
  </si>
  <si>
    <t>Yentl </t>
  </si>
  <si>
    <t>http://www.imdb.com/title/tt0086619/?ref_=fn_tt_tt_1</t>
  </si>
  <si>
    <t>Adventure|Comedy|Fantasy|Sci-Fi</t>
  </si>
  <si>
    <t>Time Bandits </t>
  </si>
  <si>
    <t>http://www.imdb.com/title/tt0081633/?ref_=fn_tt_tt_1</t>
  </si>
  <si>
    <t>Crossroads </t>
  </si>
  <si>
    <t>http://www.imdb.com/title/tt0275022/?ref_=fn_tt_tt_1</t>
  </si>
  <si>
    <t>Project X </t>
  </si>
  <si>
    <t>http://www.imdb.com/title/tt1636826/?ref_=fn_tt_tt_1</t>
  </si>
  <si>
    <t>One Hour Photo </t>
  </si>
  <si>
    <t>http://www.imdb.com/title/tt0265459/?ref_=fn_tt_tt_1</t>
  </si>
  <si>
    <t>Quarantine </t>
  </si>
  <si>
    <t>http://www.imdb.com/title/tt1082868/?ref_=fn_tt_tt_1</t>
  </si>
  <si>
    <t>The Eye </t>
  </si>
  <si>
    <t>http://www.imdb.com/title/tt0406759/?ref_=fn_tt_tt_1</t>
  </si>
  <si>
    <t>Johnson Family Vacation </t>
  </si>
  <si>
    <t>http://www.imdb.com/title/tt0359517/?ref_=fn_tt_tt_1</t>
  </si>
  <si>
    <t>How High </t>
  </si>
  <si>
    <t>http://www.imdb.com/title/tt0278488/?ref_=fn_tt_tt_1</t>
  </si>
  <si>
    <t>Comedy|Drama|Family|Fantasy|Musical</t>
  </si>
  <si>
    <t>The Muppet Christmas Carol </t>
  </si>
  <si>
    <t>http://www.imdb.com/title/tt0104940/?ref_=fn_tt_tt_1</t>
  </si>
  <si>
    <t>Frida </t>
  </si>
  <si>
    <t>http://www.imdb.com/title/tt0120679/?ref_=fn_tt_tt_1</t>
  </si>
  <si>
    <t>Katy Perry: Part of Me </t>
  </si>
  <si>
    <t>http://www.imdb.com/title/tt2215719/?ref_=fn_tt_tt_1</t>
  </si>
  <si>
    <t>The Fault in Our Stars </t>
  </si>
  <si>
    <t>http://www.imdb.com/title/tt2582846/?ref_=fn_tt_tt_1</t>
  </si>
  <si>
    <t>Rounders </t>
  </si>
  <si>
    <t>http://www.imdb.com/title/tt0128442/?ref_=fn_tt_tt_1</t>
  </si>
  <si>
    <t>Top Five </t>
  </si>
  <si>
    <t>http://www.imdb.com/title/tt2784678/?ref_=fn_tt_tt_1</t>
  </si>
  <si>
    <t>Stir of Echoes </t>
  </si>
  <si>
    <t>http://www.imdb.com/title/tt0164181/?ref_=fn_tt_tt_1</t>
  </si>
  <si>
    <t>Philomena </t>
  </si>
  <si>
    <t>http://www.imdb.com/title/tt2431286/?ref_=fn_tt_tt_1</t>
  </si>
  <si>
    <t>The Upside of Anger </t>
  </si>
  <si>
    <t>http://www.imdb.com/title/tt0365885/?ref_=fn_tt_tt_1</t>
  </si>
  <si>
    <t>Aquamarine </t>
  </si>
  <si>
    <t>http://www.imdb.com/title/tt0429591/?ref_=fn_tt_tt_1</t>
  </si>
  <si>
    <t>Paper Towns </t>
  </si>
  <si>
    <t>http://www.imdb.com/title/tt3622592/?ref_=fn_tt_tt_1</t>
  </si>
  <si>
    <t>Nebraska </t>
  </si>
  <si>
    <t>http://www.imdb.com/title/tt1821549/?ref_=fn_tt_tt_1</t>
  </si>
  <si>
    <t>Tales from the Crypt: Demon Knight </t>
  </si>
  <si>
    <t>http://www.imdb.com/title/tt0114608/?ref_=fn_tt_tt_1</t>
  </si>
  <si>
    <t>Comedy|Crime|Family</t>
  </si>
  <si>
    <t>Max Keeble's Big Move </t>
  </si>
  <si>
    <t>http://www.imdb.com/title/tt0273799/?ref_=fn_tt_tt_1</t>
  </si>
  <si>
    <t>Young Adult </t>
  </si>
  <si>
    <t>http://www.imdb.com/title/tt1625346/?ref_=fn_tt_tt_1</t>
  </si>
  <si>
    <t>Crank </t>
  </si>
  <si>
    <t>http://www.imdb.com/title/tt0479884/?ref_=fn_tt_tt_1</t>
  </si>
  <si>
    <t>Living Out Loud </t>
  </si>
  <si>
    <t>http://www.imdb.com/title/tt0120722/?ref_=fn_tt_tt_1</t>
  </si>
  <si>
    <t>Adventure|Drama|Thriller|War</t>
  </si>
  <si>
    <t>Das Boot </t>
  </si>
  <si>
    <t>http://www.imdb.com/title/tt0082096/?ref_=fn_tt_tt_1</t>
  </si>
  <si>
    <t>Sorority Boys </t>
  </si>
  <si>
    <t>http://www.imdb.com/title/tt0279781/?ref_=fn_tt_tt_1</t>
  </si>
  <si>
    <t>About Time </t>
  </si>
  <si>
    <t>http://www.imdb.com/title/tt2194499/?ref_=fn_tt_tt_1</t>
  </si>
  <si>
    <t>House of Flying Daggers </t>
  </si>
  <si>
    <t>http://www.imdb.com/title/tt0385004/?ref_=fn_tt_tt_1</t>
  </si>
  <si>
    <t>Arbitrage </t>
  </si>
  <si>
    <t>http://www.imdb.com/title/tt1764183/?ref_=fn_tt_tt_1</t>
  </si>
  <si>
    <t>Project Almanac </t>
  </si>
  <si>
    <t>http://www.imdb.com/title/tt2436386/?ref_=fn_tt_tt_1</t>
  </si>
  <si>
    <t>Cadillac Records </t>
  </si>
  <si>
    <t>http://www.imdb.com/title/tt1042877/?ref_=fn_tt_tt_1</t>
  </si>
  <si>
    <t>Screwed </t>
  </si>
  <si>
    <t>http://www.imdb.com/title/tt0156323/?ref_=fn_tt_tt_1</t>
  </si>
  <si>
    <t>Fortress </t>
  </si>
  <si>
    <t>http://www.imdb.com/title/tt0106950/?ref_=fn_tt_tt_1</t>
  </si>
  <si>
    <t>For Your Consideration </t>
  </si>
  <si>
    <t>http://www.imdb.com/title/tt0470765/?ref_=fn_tt_tt_1</t>
  </si>
  <si>
    <t>Celebrity </t>
  </si>
  <si>
    <t>http://www.imdb.com/title/tt0120533/?ref_=fn_tt_tt_1</t>
  </si>
  <si>
    <t>Running with Scissors </t>
  </si>
  <si>
    <t>http://www.imdb.com/title/tt0439289/?ref_=fn_tt_tt_1</t>
  </si>
  <si>
    <t>From Justin to Kelly </t>
  </si>
  <si>
    <t>http://www.imdb.com/title/tt0339034/?ref_=fn_tt_tt_1</t>
  </si>
  <si>
    <t>Girl 6 </t>
  </si>
  <si>
    <t>http://www.imdb.com/title/tt0116414/?ref_=fn_tt_tt_1</t>
  </si>
  <si>
    <t>In the Cut </t>
  </si>
  <si>
    <t>http://www.imdb.com/title/tt0199626/?ref_=fn_tt_tt_1</t>
  </si>
  <si>
    <t>Two Lovers </t>
  </si>
  <si>
    <t>http://www.imdb.com/title/tt1103275/?ref_=fn_tt_tt_1</t>
  </si>
  <si>
    <t>Last Orders </t>
  </si>
  <si>
    <t>http://www.imdb.com/title/tt0253200/?ref_=fn_tt_tt_1</t>
  </si>
  <si>
    <t>Comedy|Drama|Horror|Sci-Fi</t>
  </si>
  <si>
    <t>http://www.imdb.com/title/tt0468492/?ref_=fn_tt_tt_1</t>
  </si>
  <si>
    <t>Ravenous </t>
  </si>
  <si>
    <t>http://www.imdb.com/title/tt0129332/?ref_=fn_tt_tt_1</t>
  </si>
  <si>
    <t>Charlie Bartlett </t>
  </si>
  <si>
    <t>http://www.imdb.com/title/tt0423977/?ref_=fn_tt_tt_1</t>
  </si>
  <si>
    <t>The Great Beauty </t>
  </si>
  <si>
    <t>http://www.imdb.com/title/tt2358891/?ref_=fn_tt_tt_1</t>
  </si>
  <si>
    <t>The Dangerous Lives of Altar Boys </t>
  </si>
  <si>
    <t>http://www.imdb.com/title/tt0238924/?ref_=fn_tt_tt_1</t>
  </si>
  <si>
    <t>Stoker </t>
  </si>
  <si>
    <t>http://www.imdb.com/title/tt1682180/?ref_=fn_tt_tt_1</t>
  </si>
  <si>
    <t>2046 </t>
  </si>
  <si>
    <t>http://www.imdb.com/title/tt0212712/?ref_=fn_tt_tt_1</t>
  </si>
  <si>
    <t>Married Life </t>
  </si>
  <si>
    <t>http://www.imdb.com/title/tt0804505/?ref_=fn_tt_tt_1</t>
  </si>
  <si>
    <t>Duma </t>
  </si>
  <si>
    <t>http://www.imdb.com/title/tt0361715/?ref_=fn_tt_tt_1</t>
  </si>
  <si>
    <t>Ondine </t>
  </si>
  <si>
    <t>http://www.imdb.com/title/tt1235796/?ref_=fn_tt_tt_1</t>
  </si>
  <si>
    <t>Brother </t>
  </si>
  <si>
    <t>http://www.imdb.com/title/tt0222851/?ref_=fn_tt_tt_1</t>
  </si>
  <si>
    <t>Welcome to Collinwood </t>
  </si>
  <si>
    <t>http://www.imdb.com/title/tt0271259/?ref_=fn_tt_tt_1</t>
  </si>
  <si>
    <t>Critical Care </t>
  </si>
  <si>
    <t>http://www.imdb.com/title/tt0118901/?ref_=fn_tt_tt_1</t>
  </si>
  <si>
    <t>The Life Before Her Eyes </t>
  </si>
  <si>
    <t>http://www.imdb.com/title/tt0815178/?ref_=fn_tt_tt_1</t>
  </si>
  <si>
    <t>Trade </t>
  </si>
  <si>
    <t>http://www.imdb.com/title/tt0399095/?ref_=fn_tt_tt_1</t>
  </si>
  <si>
    <t>Fateless </t>
  </si>
  <si>
    <t>http://www.imdb.com/title/tt0367082/?ref_=fn_tt_tt_1</t>
  </si>
  <si>
    <t>Hungarian</t>
  </si>
  <si>
    <t>Breakfast of Champions </t>
  </si>
  <si>
    <t>http://www.imdb.com/title/tt0120618/?ref_=fn_tt_tt_1</t>
  </si>
  <si>
    <t>City of Life and Death </t>
  </si>
  <si>
    <t>http://www.imdb.com/title/tt1124052/?ref_=fn_tt_tt_1</t>
  </si>
  <si>
    <t>5 Days of War </t>
  </si>
  <si>
    <t>http://www.imdb.com/title/tt1486193/?ref_=fn_tt_tt_1</t>
  </si>
  <si>
    <t>Georgia</t>
  </si>
  <si>
    <t>10 Days in a Madhouse </t>
  </si>
  <si>
    <t>http://www.imdb.com/title/tt3453052/?ref_=fn_tt_tt_1</t>
  </si>
  <si>
    <t>Heaven Is for Real </t>
  </si>
  <si>
    <t>http://www.imdb.com/title/tt1929263/?ref_=fn_tt_tt_1</t>
  </si>
  <si>
    <t>Snatch </t>
  </si>
  <si>
    <t>http://www.imdb.com/title/tt0208092/?ref_=fn_tt_tt_1</t>
  </si>
  <si>
    <t>Pet Sematary </t>
  </si>
  <si>
    <t>http://www.imdb.com/title/tt0098084/?ref_=fn_tt_tt_1</t>
  </si>
  <si>
    <t>Madadayo </t>
  </si>
  <si>
    <t>http://www.imdb.com/title/tt0107474/?ref_=fn_tt_tt_1</t>
  </si>
  <si>
    <t>Gremlins </t>
  </si>
  <si>
    <t>http://www.imdb.com/title/tt0087363/?ref_=fn_tt_tt_1</t>
  </si>
  <si>
    <t>Star Wars: Episode IV - A New Hope </t>
  </si>
  <si>
    <t>http://www.imdb.com/title/tt0076759/?ref_=fn_tt_tt_1</t>
  </si>
  <si>
    <t>Dirty Grandpa </t>
  </si>
  <si>
    <t>http://www.imdb.com/title/tt1860213/?ref_=fn_tt_tt_1</t>
  </si>
  <si>
    <t>Doctor Zhivago </t>
  </si>
  <si>
    <t>http://www.imdb.com/title/tt0059113/?ref_=fn_tt_tt_1</t>
  </si>
  <si>
    <t>Portuguese</t>
  </si>
  <si>
    <t>High School Musical 3: Senior Year </t>
  </si>
  <si>
    <t>http://www.imdb.com/title/tt0962726/?ref_=fn_tt_tt_1</t>
  </si>
  <si>
    <t>The Fighter </t>
  </si>
  <si>
    <t>http://www.imdb.com/title/tt0964517/?ref_=fn_tt_tt_1</t>
  </si>
  <si>
    <t>My Cousin Vinny </t>
  </si>
  <si>
    <t>http://www.imdb.com/title/tt0104952/?ref_=fn_tt_tt_1</t>
  </si>
  <si>
    <t>Drama|Fantasy|Music|Romance</t>
  </si>
  <si>
    <t>If I Stay </t>
  </si>
  <si>
    <t>http://www.imdb.com/title/tt1355630/?ref_=fn_tt_tt_1</t>
  </si>
  <si>
    <t>Major League </t>
  </si>
  <si>
    <t>http://www.imdb.com/title/tt0097815/?ref_=fn_tt_tt_1</t>
  </si>
  <si>
    <t>Phone Booth </t>
  </si>
  <si>
    <t>http://www.imdb.com/title/tt0183649/?ref_=fn_tt_tt_1</t>
  </si>
  <si>
    <t>A Walk to Remember </t>
  </si>
  <si>
    <t>http://www.imdb.com/title/tt0281358/?ref_=fn_tt_tt_1</t>
  </si>
  <si>
    <t>Dead Man Walking </t>
  </si>
  <si>
    <t>http://www.imdb.com/title/tt0112818/?ref_=fn_tt_tt_1</t>
  </si>
  <si>
    <t>Cruel Intentions </t>
  </si>
  <si>
    <t>http://www.imdb.com/title/tt0139134/?ref_=fn_tt_tt_1</t>
  </si>
  <si>
    <t>Saw VI </t>
  </si>
  <si>
    <t>http://www.imdb.com/title/tt1233227/?ref_=fn_tt_tt_1</t>
  </si>
  <si>
    <t>The Secret Life of Bees </t>
  </si>
  <si>
    <t>http://www.imdb.com/title/tt0416212/?ref_=fn_tt_tt_1</t>
  </si>
  <si>
    <t>Corky Romano </t>
  </si>
  <si>
    <t>http://www.imdb.com/title/tt0250310/?ref_=fn_tt_tt_1</t>
  </si>
  <si>
    <t>Raising Cain </t>
  </si>
  <si>
    <t>http://www.imdb.com/title/tt0105217/?ref_=fn_tt_tt_1</t>
  </si>
  <si>
    <t>Invaders from Mars </t>
  </si>
  <si>
    <t>http://www.imdb.com/title/tt0091276/?ref_=fn_tt_tt_1</t>
  </si>
  <si>
    <t>Brooklyn </t>
  </si>
  <si>
    <t>http://www.imdb.com/title/tt2381111/?ref_=fn_tt_tt_1</t>
  </si>
  <si>
    <t>Out Cold </t>
  </si>
  <si>
    <t>http://www.imdb.com/title/tt0253798/?ref_=fn_tt_tt_1</t>
  </si>
  <si>
    <t>The Ladies Man </t>
  </si>
  <si>
    <t>http://www.imdb.com/title/tt0213790/?ref_=fn_tt_tt_1</t>
  </si>
  <si>
    <t>Quartet </t>
  </si>
  <si>
    <t>http://www.imdb.com/title/tt1441951/?ref_=fn_tt_tt_1</t>
  </si>
  <si>
    <t>Tomcats </t>
  </si>
  <si>
    <t>http://www.imdb.com/title/tt0246989/?ref_=fn_tt_tt_1</t>
  </si>
  <si>
    <t>Woman in Gold </t>
  </si>
  <si>
    <t>http://www.imdb.com/title/tt2404425/?ref_=fn_tt_tt_1</t>
  </si>
  <si>
    <t>Kinsey </t>
  </si>
  <si>
    <t>http://www.imdb.com/title/tt0362269/?ref_=fn_tt_tt_1</t>
  </si>
  <si>
    <t>Army of Darkness </t>
  </si>
  <si>
    <t>http://www.imdb.com/title/tt0106308/?ref_=fn_tt_tt_1</t>
  </si>
  <si>
    <t>Slackers </t>
  </si>
  <si>
    <t>http://www.imdb.com/title/tt0240900/?ref_=fn_tt_tt_1</t>
  </si>
  <si>
    <t>What's Eating Gilbert Grape </t>
  </si>
  <si>
    <t>http://www.imdb.com/title/tt0108550/?ref_=fn_tt_tt_1</t>
  </si>
  <si>
    <t>The Visual Bible: The Gospel of John </t>
  </si>
  <si>
    <t>http://www.imdb.com/title/tt0377992/?ref_=fn_tt_tt_1</t>
  </si>
  <si>
    <t>Vera Drake </t>
  </si>
  <si>
    <t>http://www.imdb.com/title/tt0383694/?ref_=fn_tt_tt_1</t>
  </si>
  <si>
    <t>The Guru </t>
  </si>
  <si>
    <t>http://www.imdb.com/title/tt0280720/?ref_=fn_tt_tt_1</t>
  </si>
  <si>
    <t>The Perez Family </t>
  </si>
  <si>
    <t>http://www.imdb.com/title/tt0114113/?ref_=fn_tt_tt_1</t>
  </si>
  <si>
    <t>Inside Llewyn Davis </t>
  </si>
  <si>
    <t>http://www.imdb.com/title/tt2042568/?ref_=fn_tt_tt_1</t>
  </si>
  <si>
    <t>O </t>
  </si>
  <si>
    <t>http://www.imdb.com/title/tt0184791/?ref_=fn_tt_tt_1</t>
  </si>
  <si>
    <t>Return to the Blue Lagoon </t>
  </si>
  <si>
    <t>http://www.imdb.com/title/tt0102782/?ref_=fn_tt_tt_1</t>
  </si>
  <si>
    <t>Copying Beethoven </t>
  </si>
  <si>
    <t>http://www.imdb.com/title/tt0424908/?ref_=fn_tt_tt_1</t>
  </si>
  <si>
    <t>Saw V </t>
  </si>
  <si>
    <t>http://www.imdb.com/title/tt1132626/?ref_=fn_tt_tt_1</t>
  </si>
  <si>
    <t>Jindabyne </t>
  </si>
  <si>
    <t>http://www.imdb.com/title/tt0382765/?ref_=fn_tt_tt_1</t>
  </si>
  <si>
    <t>Kabhi Alvida Naa Kehna </t>
  </si>
  <si>
    <t>http://www.imdb.com/title/tt0449999/?ref_=fn_tt_tt_1</t>
  </si>
  <si>
    <t>An Ideal Husband </t>
  </si>
  <si>
    <t>http://www.imdb.com/title/tt0122541/?ref_=fn_tt_tt_1</t>
  </si>
  <si>
    <t>The Last Days on Mars </t>
  </si>
  <si>
    <t>http://www.imdb.com/title/tt1709143/?ref_=fn_tt_tt_1</t>
  </si>
  <si>
    <t>Darkness </t>
  </si>
  <si>
    <t>http://www.imdb.com/title/tt0273517/?ref_=fn_tt_tt_1</t>
  </si>
  <si>
    <t>2001: A Space Odyssey </t>
  </si>
  <si>
    <t>http://www.imdb.com/title/tt0062622/?ref_=fn_tt_tt_1</t>
  </si>
  <si>
    <t>Family|Sci-Fi</t>
  </si>
  <si>
    <t>E.T. the Extra-Terrestrial </t>
  </si>
  <si>
    <t>http://www.imdb.com/title/tt0083866/?ref_=fn_tt_tt_1</t>
  </si>
  <si>
    <t>In the Land of Women </t>
  </si>
  <si>
    <t>http://www.imdb.com/title/tt0419843/?ref_=fn_tt_tt_1</t>
  </si>
  <si>
    <t>There Goes My Baby </t>
  </si>
  <si>
    <t>http://www.imdb.com/title/tt0108320/?ref_=fn_tt_tt_1</t>
  </si>
  <si>
    <t>For Greater Glory: The True Story of Cristiada </t>
  </si>
  <si>
    <t>http://www.imdb.com/title/tt1566501/?ref_=fn_tt_tt_1</t>
  </si>
  <si>
    <t>Saw III </t>
  </si>
  <si>
    <t>http://www.imdb.com/title/tt0489270/?ref_=fn_tt_tt_1</t>
  </si>
  <si>
    <t>Stripes </t>
  </si>
  <si>
    <t>http://www.imdb.com/title/tt0083131/?ref_=fn_tt_tt_1</t>
  </si>
  <si>
    <t>Bring It On </t>
  </si>
  <si>
    <t>http://www.imdb.com/title/tt0204946/?ref_=fn_tt_tt_1</t>
  </si>
  <si>
    <t>The Purge: Election Year </t>
  </si>
  <si>
    <t>http://www.imdb.com/title/tt4094724/?ref_=fn_tt_tt_1</t>
  </si>
  <si>
    <t>She's All That </t>
  </si>
  <si>
    <t>http://www.imdb.com/title/tt0160862/?ref_=fn_tt_tt_1</t>
  </si>
  <si>
    <t>Saw IV </t>
  </si>
  <si>
    <t>http://www.imdb.com/title/tt0890870/?ref_=fn_tt_tt_1</t>
  </si>
  <si>
    <t>White Noise </t>
  </si>
  <si>
    <t>http://www.imdb.com/title/tt0375210/?ref_=fn_tt_tt_1</t>
  </si>
  <si>
    <t>Madea's Family Reunion </t>
  </si>
  <si>
    <t>http://www.imdb.com/title/tt0455612/?ref_=fn_tt_tt_1</t>
  </si>
  <si>
    <t>The Color of Money </t>
  </si>
  <si>
    <t>http://www.imdb.com/title/tt0090863/?ref_=fn_tt_tt_1</t>
  </si>
  <si>
    <t>The Mighty Ducks </t>
  </si>
  <si>
    <t>http://www.imdb.com/title/tt0104868/?ref_=fn_tt_tt_1</t>
  </si>
  <si>
    <t>The Grudge </t>
  </si>
  <si>
    <t>http://www.imdb.com/title/tt0391198/?ref_=fn_tt_tt_1</t>
  </si>
  <si>
    <t>Happy Gilmore </t>
  </si>
  <si>
    <t>http://www.imdb.com/title/tt0116483/?ref_=fn_tt_tt_1</t>
  </si>
  <si>
    <t>Jeepers Creepers </t>
  </si>
  <si>
    <t>http://www.imdb.com/title/tt0263488/?ref_=fn_tt_tt_1</t>
  </si>
  <si>
    <t>Adventure|Comedy|Music|Sci-Fi</t>
  </si>
  <si>
    <t>Bill &amp; Ted's Excellent Adventure </t>
  </si>
  <si>
    <t>http://www.imdb.com/title/tt0096928/?ref_=fn_tt_tt_1</t>
  </si>
  <si>
    <t>Drama|Family|Musical</t>
  </si>
  <si>
    <t>Oliver! </t>
  </si>
  <si>
    <t>http://www.imdb.com/title/tt0063385/?ref_=fn_tt_tt_1</t>
  </si>
  <si>
    <t>The Best Exotic Marigold Hotel </t>
  </si>
  <si>
    <t>http://www.imdb.com/title/tt1412386/?ref_=fn_tt_tt_1</t>
  </si>
  <si>
    <t>Recess: School's Out </t>
  </si>
  <si>
    <t>http://www.imdb.com/title/tt0265632/?ref_=fn_tt_tt_1</t>
  </si>
  <si>
    <t>Mad Max Beyond Thunderdome </t>
  </si>
  <si>
    <t>http://www.imdb.com/title/tt0089530/?ref_=fn_tt_tt_1</t>
  </si>
  <si>
    <t>The Boy </t>
  </si>
  <si>
    <t>http://www.imdb.com/title/tt3882082/?ref_=fn_tt_tt_1</t>
  </si>
  <si>
    <t>Devil </t>
  </si>
  <si>
    <t>http://www.imdb.com/title/tt1314655/?ref_=fn_tt_tt_1</t>
  </si>
  <si>
    <t>Friday After Next </t>
  </si>
  <si>
    <t>http://www.imdb.com/title/tt0293815/?ref_=fn_tt_tt_1</t>
  </si>
  <si>
    <t>Insidious: Chapter 3 </t>
  </si>
  <si>
    <t>http://www.imdb.com/title/tt3195644/?ref_=fn_tt_tt_1</t>
  </si>
  <si>
    <t>Action|Comedy|Drama|Music</t>
  </si>
  <si>
    <t>The Last Dragon </t>
  </si>
  <si>
    <t>http://www.imdb.com/title/tt0089461/?ref_=fn_tt_tt_1</t>
  </si>
  <si>
    <t>The Lawnmower Man </t>
  </si>
  <si>
    <t>http://www.imdb.com/title/tt0104692/?ref_=fn_tt_tt_1</t>
  </si>
  <si>
    <t>Nick and Norah's Infinite Playlist </t>
  </si>
  <si>
    <t>http://www.imdb.com/title/tt0981227/?ref_=fn_tt_tt_1</t>
  </si>
  <si>
    <t>Dogma </t>
  </si>
  <si>
    <t>http://www.imdb.com/title/tt0120655/?ref_=fn_tt_tt_1</t>
  </si>
  <si>
    <t>The Banger Sisters </t>
  </si>
  <si>
    <t>http://www.imdb.com/title/tt0280460/?ref_=fn_tt_tt_1</t>
  </si>
  <si>
    <t>Fantasy|Horror|Sci-Fi</t>
  </si>
  <si>
    <t>Twilight Zone: The Movie </t>
  </si>
  <si>
    <t>http://www.imdb.com/title/tt0086491/?ref_=fn_tt_tt_1</t>
  </si>
  <si>
    <t>Road House </t>
  </si>
  <si>
    <t>http://www.imdb.com/title/tt0098206/?ref_=fn_tt_tt_1</t>
  </si>
  <si>
    <t>A Low Down Dirty Shame </t>
  </si>
  <si>
    <t>http://www.imdb.com/title/tt0110399/?ref_=fn_tt_tt_1</t>
  </si>
  <si>
    <t>Swimfan </t>
  </si>
  <si>
    <t>http://www.imdb.com/title/tt0283026/?ref_=fn_tt_tt_1</t>
  </si>
  <si>
    <t>Employee of the Month </t>
  </si>
  <si>
    <t>http://www.imdb.com/title/tt0424993/?ref_=fn_tt_tt_1</t>
  </si>
  <si>
    <t>Can't Hardly Wait </t>
  </si>
  <si>
    <t>http://www.imdb.com/title/tt0127723/?ref_=fn_tt_tt_1</t>
  </si>
  <si>
    <t>The Outsiders </t>
  </si>
  <si>
    <t>http://www.imdb.com/title/tt0086066/?ref_=fn_tt_tt_1</t>
  </si>
  <si>
    <t>Sinister 2 </t>
  </si>
  <si>
    <t>http://www.imdb.com/title/tt2752772/?ref_=fn_tt_tt_1</t>
  </si>
  <si>
    <t>Sparkle </t>
  </si>
  <si>
    <t>http://www.imdb.com/title/tt1876451/?ref_=fn_tt_tt_1</t>
  </si>
  <si>
    <t>Valentine </t>
  </si>
  <si>
    <t>http://www.imdb.com/title/tt0242998/?ref_=fn_tt_tt_1</t>
  </si>
  <si>
    <t>The Fourth Kind </t>
  </si>
  <si>
    <t>http://www.imdb.com/title/tt1220198/?ref_=fn_tt_tt_1</t>
  </si>
  <si>
    <t>A Prairie Home Companion </t>
  </si>
  <si>
    <t>http://www.imdb.com/title/tt0420087/?ref_=fn_tt_tt_1</t>
  </si>
  <si>
    <t>Sugar Hill </t>
  </si>
  <si>
    <t>http://www.imdb.com/title/tt0107079/?ref_=fn_tt_tt_1</t>
  </si>
  <si>
    <t>Rushmore </t>
  </si>
  <si>
    <t>http://www.imdb.com/title/tt0128445/?ref_=fn_tt_tt_1</t>
  </si>
  <si>
    <t>Skyline </t>
  </si>
  <si>
    <t>http://www.imdb.com/title/tt1564585/?ref_=fn_tt_tt_1</t>
  </si>
  <si>
    <t>The Second Best Exotic Marigold Hotel </t>
  </si>
  <si>
    <t>http://www.imdb.com/title/tt2555736/?ref_=fn_tt_tt_1</t>
  </si>
  <si>
    <t>Kit Kittredge: An American Girl </t>
  </si>
  <si>
    <t>http://www.imdb.com/title/tt0846308/?ref_=fn_tt_tt_1</t>
  </si>
  <si>
    <t>The Perfect Man </t>
  </si>
  <si>
    <t>http://www.imdb.com/title/tt0380623/?ref_=fn_tt_tt_1</t>
  </si>
  <si>
    <t>Mo' Better Blues </t>
  </si>
  <si>
    <t>http://www.imdb.com/title/tt0100168/?ref_=fn_tt_tt_1</t>
  </si>
  <si>
    <t>Kung Pow: Enter the Fist </t>
  </si>
  <si>
    <t>http://www.imdb.com/title/tt0240468/?ref_=fn_tt_tt_1</t>
  </si>
  <si>
    <t>Wrong Turn </t>
  </si>
  <si>
    <t>http://www.imdb.com/title/tt0295700/?ref_=fn_tt_tt_1</t>
  </si>
  <si>
    <t>Western</t>
  </si>
  <si>
    <t>The Corruptor </t>
  </si>
  <si>
    <t>http://www.imdb.com/title/tt0142192/?ref_=fn_tt_tt_1</t>
  </si>
  <si>
    <t>Mud </t>
  </si>
  <si>
    <t>http://www.imdb.com/title/tt1935179/?ref_=fn_tt_tt_1</t>
  </si>
  <si>
    <t>Reno 911!: Miami </t>
  </si>
  <si>
    <t>http://www.imdb.com/title/tt0499554/?ref_=fn_tt_tt_1</t>
  </si>
  <si>
    <t>One Direction: This Is Us </t>
  </si>
  <si>
    <t>http://www.imdb.com/title/tt2515086/?ref_=fn_tt_tt_1</t>
  </si>
  <si>
    <t>Hey Arnold! The Movie </t>
  </si>
  <si>
    <t>http://www.imdb.com/title/tt0314166/?ref_=fn_tt_tt_1</t>
  </si>
  <si>
    <t>My Week with Marilyn </t>
  </si>
  <si>
    <t>http://www.imdb.com/title/tt1655420/?ref_=fn_tt_tt_1</t>
  </si>
  <si>
    <t>The Matador </t>
  </si>
  <si>
    <t>http://www.imdb.com/title/tt0365485/?ref_=fn_tt_tt_1</t>
  </si>
  <si>
    <t>Love Jones </t>
  </si>
  <si>
    <t>http://www.imdb.com/title/tt0119572/?ref_=fn_tt_tt_1</t>
  </si>
  <si>
    <t>The Gift </t>
  </si>
  <si>
    <t>http://www.imdb.com/title/tt4178092/?ref_=fn_tt_tt_1</t>
  </si>
  <si>
    <t>End of the Spear </t>
  </si>
  <si>
    <t>http://www.imdb.com/title/tt0399862/?ref_=fn_tt_tt_1</t>
  </si>
  <si>
    <t>Get Over It </t>
  </si>
  <si>
    <t>http://www.imdb.com/title/tt0192071/?ref_=fn_tt_tt_1</t>
  </si>
  <si>
    <t>Office Space </t>
  </si>
  <si>
    <t>http://www.imdb.com/title/tt0151804/?ref_=fn_tt_tt_1</t>
  </si>
  <si>
    <t>Comedy|Romance|Thriller</t>
  </si>
  <si>
    <t>Drop Dead Gorgeous </t>
  </si>
  <si>
    <t>http://www.imdb.com/title/tt0157503/?ref_=fn_tt_tt_1</t>
  </si>
  <si>
    <t>Biography|Crime|Drama|Romance</t>
  </si>
  <si>
    <t>Big Eyes </t>
  </si>
  <si>
    <t>http://www.imdb.com/title/tt1126590/?ref_=fn_tt_tt_1</t>
  </si>
  <si>
    <t>Very Bad Things </t>
  </si>
  <si>
    <t>http://www.imdb.com/title/tt0124198/?ref_=fn_tt_tt_1</t>
  </si>
  <si>
    <t>Sleepover </t>
  </si>
  <si>
    <t>http://www.imdb.com/title/tt0368975/?ref_=fn_tt_tt_1</t>
  </si>
  <si>
    <t>MacGruber </t>
  </si>
  <si>
    <t>http://www.imdb.com/title/tt1470023/?ref_=fn_tt_tt_1</t>
  </si>
  <si>
    <t>Dirty Pretty Things </t>
  </si>
  <si>
    <t>http://www.imdb.com/title/tt0301199/?ref_=fn_tt_tt_1</t>
  </si>
  <si>
    <t>Movie 43 </t>
  </si>
  <si>
    <t>http://www.imdb.com/title/tt1333125/?ref_=fn_tt_tt_1</t>
  </si>
  <si>
    <t>Over Her Dead Body </t>
  </si>
  <si>
    <t>http://www.imdb.com/title/tt0785007/?ref_=fn_tt_tt_1</t>
  </si>
  <si>
    <t>Adventure|Comedy|Drama|Romance|Sci-Fi</t>
  </si>
  <si>
    <t>Seeking a Friend for the End of the World </t>
  </si>
  <si>
    <t>http://www.imdb.com/title/tt1307068/?ref_=fn_tt_tt_1</t>
  </si>
  <si>
    <t>American History X </t>
  </si>
  <si>
    <t>http://www.imdb.com/title/tt0120586/?ref_=fn_tt_tt_1</t>
  </si>
  <si>
    <t>The Collection </t>
  </si>
  <si>
    <t>http://www.imdb.com/title/tt1748227/?ref_=fn_tt_tt_1</t>
  </si>
  <si>
    <t>Teacher's Pet </t>
  </si>
  <si>
    <t>http://www.imdb.com/title/tt0350194/?ref_=fn_tt_tt_1</t>
  </si>
  <si>
    <t>Drama|Music|Mystery|Romance</t>
  </si>
  <si>
    <t>The Red Violin </t>
  </si>
  <si>
    <t>http://www.imdb.com/title/tt0120802/?ref_=fn_tt_tt_1</t>
  </si>
  <si>
    <t>The Straight Story </t>
  </si>
  <si>
    <t>http://www.imdb.com/title/tt0166896/?ref_=fn_tt_tt_1</t>
  </si>
  <si>
    <t>Action|Crime|Drama</t>
  </si>
  <si>
    <t>Deuces Wild </t>
  </si>
  <si>
    <t>http://www.imdb.com/title/tt0231448/?ref_=fn_tt_tt_1</t>
  </si>
  <si>
    <t>Bad Words </t>
  </si>
  <si>
    <t>http://www.imdb.com/title/tt2170299/?ref_=fn_tt_tt_1</t>
  </si>
  <si>
    <t>Black or White </t>
  </si>
  <si>
    <t>http://www.imdb.com/title/tt2883434/?ref_=fn_tt_tt_1</t>
  </si>
  <si>
    <t>On the Line </t>
  </si>
  <si>
    <t>http://www.imdb.com/title/tt0279286/?ref_=fn_tt_tt_1</t>
  </si>
  <si>
    <t>Adventure|Biography|Drama|War</t>
  </si>
  <si>
    <t>Rescue Dawn </t>
  </si>
  <si>
    <t>http://www.imdb.com/title/tt0462504/?ref_=fn_tt_tt_1</t>
  </si>
  <si>
    <t>Danny Collins </t>
  </si>
  <si>
    <t>http://www.imdb.com/title/tt1772288/?ref_=fn_tt_tt_1</t>
  </si>
  <si>
    <t>Jeff, Who Lives at Home </t>
  </si>
  <si>
    <t>http://www.imdb.com/title/tt1588334/?ref_=fn_tt_tt_1</t>
  </si>
  <si>
    <t>I Am Love </t>
  </si>
  <si>
    <t>http://www.imdb.com/title/tt1226236/?ref_=fn_tt_tt_1</t>
  </si>
  <si>
    <t>Atlas Shrugged II: The Strike </t>
  </si>
  <si>
    <t>http://www.imdb.com/title/tt1985017/?ref_=fn_tt_tt_1</t>
  </si>
  <si>
    <t>Romeo Is Bleeding </t>
  </si>
  <si>
    <t>http://www.imdb.com/title/tt0107983/?ref_=fn_tt_tt_1</t>
  </si>
  <si>
    <t>The Limey </t>
  </si>
  <si>
    <t>http://www.imdb.com/title/tt0165854/?ref_=fn_tt_tt_1</t>
  </si>
  <si>
    <t>Crash </t>
  </si>
  <si>
    <t>http://www.imdb.com/title/tt0375679/?ref_=fn_tt_tt_1</t>
  </si>
  <si>
    <t>The House of Mirth </t>
  </si>
  <si>
    <t>http://www.imdb.com/title/tt0200720/?ref_=fn_tt_tt_1</t>
  </si>
  <si>
    <t>Malone </t>
  </si>
  <si>
    <t>http://www.imdb.com/title/tt0093483/?ref_=fn_tt_tt_1</t>
  </si>
  <si>
    <t>Peaceful Warrior </t>
  </si>
  <si>
    <t>http://www.imdb.com/title/tt0438315/?ref_=fn_tt_tt_1</t>
  </si>
  <si>
    <t>Bucky Larson: Born to Be a Star </t>
  </si>
  <si>
    <t>http://www.imdb.com/title/tt1411664/?ref_=fn_tt_tt_1</t>
  </si>
  <si>
    <t>Bamboozled </t>
  </si>
  <si>
    <t>http://www.imdb.com/title/tt0215545/?ref_=fn_tt_tt_1</t>
  </si>
  <si>
    <t>The Forest </t>
  </si>
  <si>
    <t>http://www.imdb.com/title/tt3387542/?ref_=fn_tt_tt_1</t>
  </si>
  <si>
    <t>Sphinx </t>
  </si>
  <si>
    <t>http://www.imdb.com/title/tt0083113/?ref_=fn_tt_tt_1</t>
  </si>
  <si>
    <t>While We're Young </t>
  </si>
  <si>
    <t>http://www.imdb.com/title/tt1791682/?ref_=fn_tt_tt_1</t>
  </si>
  <si>
    <t>A Better Life </t>
  </si>
  <si>
    <t>http://www.imdb.com/title/tt1554091/?ref_=fn_tt_tt_1</t>
  </si>
  <si>
    <t>Gun Shy </t>
  </si>
  <si>
    <t>http://www.imdb.com/title/tt0171356/?ref_=fn_tt_tt_1</t>
  </si>
  <si>
    <t>Nicholas Nickleby </t>
  </si>
  <si>
    <t>http://www.imdb.com/title/tt0309912/?ref_=fn_tt_tt_1</t>
  </si>
  <si>
    <t>The Iceman </t>
  </si>
  <si>
    <t>http://www.imdb.com/title/tt1491044/?ref_=fn_tt_tt_1</t>
  </si>
  <si>
    <t>Killer Joe </t>
  </si>
  <si>
    <t>http://www.imdb.com/title/tt1726669/?ref_=fn_tt_tt_1</t>
  </si>
  <si>
    <t>The Joneses </t>
  </si>
  <si>
    <t>http://www.imdb.com/title/tt1285309/?ref_=fn_tt_tt_1</t>
  </si>
  <si>
    <t>Owning Mahowny </t>
  </si>
  <si>
    <t>http://www.imdb.com/title/tt0285861/?ref_=fn_tt_tt_1</t>
  </si>
  <si>
    <t>The Brothers Solomon </t>
  </si>
  <si>
    <t>http://www.imdb.com/title/tt0784972/?ref_=fn_tt_tt_1</t>
  </si>
  <si>
    <t>My Blueberry Nights </t>
  </si>
  <si>
    <t>http://www.imdb.com/title/tt0765120/?ref_=fn_tt_tt_1</t>
  </si>
  <si>
    <t>Swept Away </t>
  </si>
  <si>
    <t>http://www.imdb.com/title/tt0291502/?ref_=fn_tt_tt_1</t>
  </si>
  <si>
    <t>War, Inc. </t>
  </si>
  <si>
    <t>http://www.imdb.com/title/tt0884224/?ref_=fn_tt_tt_1</t>
  </si>
  <si>
    <t>Shaolin Soccer </t>
  </si>
  <si>
    <t>http://www.imdb.com/title/tt0286112/?ref_=fn_tt_tt_1</t>
  </si>
  <si>
    <t>The Brown Bunny </t>
  </si>
  <si>
    <t>http://www.imdb.com/title/tt0330099/?ref_=fn_tt_tt_1</t>
  </si>
  <si>
    <t>The Swindle </t>
  </si>
  <si>
    <t>http://www.imdb.com/title/tt0120018/?ref_=fn_tt_tt_1</t>
  </si>
  <si>
    <t>Rosewater </t>
  </si>
  <si>
    <t>http://www.imdb.com/title/tt2752688/?ref_=fn_tt_tt_1</t>
  </si>
  <si>
    <t>Imaginary Heroes </t>
  </si>
  <si>
    <t>http://www.imdb.com/title/tt0373024/?ref_=fn_tt_tt_1</t>
  </si>
  <si>
    <t>Action|Comedy|Drama</t>
  </si>
  <si>
    <t>High Heels and Low Lifes </t>
  </si>
  <si>
    <t>http://www.imdb.com/title/tt0253126/?ref_=fn_tt_tt_1</t>
  </si>
  <si>
    <t>Severance </t>
  </si>
  <si>
    <t>http://www.imdb.com/title/tt0464196/?ref_=fn_tt_tt_1</t>
  </si>
  <si>
    <t>Edmond </t>
  </si>
  <si>
    <t>http://www.imdb.com/title/tt0443496/?ref_=fn_tt_tt_1</t>
  </si>
  <si>
    <t>Police Academy: Mission to Moscow </t>
  </si>
  <si>
    <t>http://www.imdb.com/title/tt0110857/?ref_=fn_tt_tt_1</t>
  </si>
  <si>
    <t>Cinco de Mayo, La Batalla </t>
  </si>
  <si>
    <t>http://www.imdb.com/title/tt2553908/?ref_=fn_tt_tt_1</t>
  </si>
  <si>
    <t>An Alan Smithee Film: Burn Hollywood Burn </t>
  </si>
  <si>
    <t>http://www.imdb.com/title/tt0118577/?ref_=fn_tt_tt_1</t>
  </si>
  <si>
    <t>The Open Road </t>
  </si>
  <si>
    <t>http://www.imdb.com/title/tt1007018/?ref_=fn_tt_tt_1</t>
  </si>
  <si>
    <t>The Good Guy </t>
  </si>
  <si>
    <t>http://www.imdb.com/title/tt1247662/?ref_=fn_tt_tt_1</t>
  </si>
  <si>
    <t>Motherhood </t>
  </si>
  <si>
    <t>http://www.imdb.com/title/tt1220220/?ref_=fn_tt_tt_1</t>
  </si>
  <si>
    <t>Blonde Ambition </t>
  </si>
  <si>
    <t>http://www.imdb.com/title/tt0887719/?ref_=fn_tt_tt_1</t>
  </si>
  <si>
    <t>The Oxford Murders </t>
  </si>
  <si>
    <t>http://www.imdb.com/title/tt0488604/?ref_=fn_tt_tt_1</t>
  </si>
  <si>
    <t>Eulogy </t>
  </si>
  <si>
    <t>http://www.imdb.com/title/tt0349416/?ref_=fn_tt_tt_1</t>
  </si>
  <si>
    <t>Of Horses and Men </t>
  </si>
  <si>
    <t>http://www.imdb.com/title/tt3074732/?ref_=fn_tt_tt_1</t>
  </si>
  <si>
    <t>The Good, the Bad, the Weird </t>
  </si>
  <si>
    <t>http://www.imdb.com/title/tt0901487/?ref_=fn_tt_tt_1</t>
  </si>
  <si>
    <t>The Lost City </t>
  </si>
  <si>
    <t>http://www.imdb.com/title/tt0343996/?ref_=fn_tt_tt_1</t>
  </si>
  <si>
    <t>Next Friday </t>
  </si>
  <si>
    <t>http://www.imdb.com/title/tt0195945/?ref_=fn_tt_tt_1</t>
  </si>
  <si>
    <t>You Only Live Twice </t>
  </si>
  <si>
    <t>http://www.imdb.com/title/tt0062512/?ref_=fn_tt_tt_1</t>
  </si>
  <si>
    <t>Amour </t>
  </si>
  <si>
    <t>http://www.imdb.com/title/tt1602620/?ref_=fn_tt_tt_1</t>
  </si>
  <si>
    <t>Poltergeist III </t>
  </si>
  <si>
    <t>http://www.imdb.com/title/tt0095889/?ref_=fn_tt_tt_1</t>
  </si>
  <si>
    <t>It's a Mad, Mad, Mad, Mad World </t>
  </si>
  <si>
    <t>http://www.imdb.com/title/tt0057193/?ref_=fn_tt_tt_1</t>
  </si>
  <si>
    <t>Richard III </t>
  </si>
  <si>
    <t>http://www.imdb.com/title/tt0114279/?ref_=fn_tt_tt_1</t>
  </si>
  <si>
    <t>Action|Drama|Romance|Thriller</t>
  </si>
  <si>
    <t>Kites </t>
  </si>
  <si>
    <t>http://www.imdb.com/title/tt1198101/?ref_=fn_tt_tt_1</t>
  </si>
  <si>
    <t>Melancholia </t>
  </si>
  <si>
    <t>http://www.imdb.com/title/tt1527186/?ref_=fn_tt_tt_1</t>
  </si>
  <si>
    <t>Jab Tak Hai Jaan </t>
  </si>
  <si>
    <t>http://www.imdb.com/title/tt2176013/?ref_=fn_tt_tt_1</t>
  </si>
  <si>
    <t>Alien </t>
  </si>
  <si>
    <t>http://www.imdb.com/title/tt0078748/?ref_=fn_tt_tt_1</t>
  </si>
  <si>
    <t>The Texas Chain Saw Massacre </t>
  </si>
  <si>
    <t>http://www.imdb.com/title/tt0072271/?ref_=fn_tt_tt_1</t>
  </si>
  <si>
    <t>The Runaways </t>
  </si>
  <si>
    <t>http://www.imdb.com/title/tt1017451/?ref_=fn_tt_tt_1</t>
  </si>
  <si>
    <t>Fiddler on the Roof </t>
  </si>
  <si>
    <t>http://www.imdb.com/title/tt0067093/?ref_=fn_tt_tt_1</t>
  </si>
  <si>
    <t>Thunderball </t>
  </si>
  <si>
    <t>http://www.imdb.com/title/tt0059800/?ref_=fn_tt_tt_1</t>
  </si>
  <si>
    <t>Set It Off </t>
  </si>
  <si>
    <t>http://www.imdb.com/title/tt0117603/?ref_=fn_tt_tt_1</t>
  </si>
  <si>
    <t>The Best Man </t>
  </si>
  <si>
    <t>http://www.imdb.com/title/tt0168501/?ref_=fn_tt_tt_1</t>
  </si>
  <si>
    <t>Child's Play </t>
  </si>
  <si>
    <t>http://www.imdb.com/title/tt0094862/?ref_=fn_tt_tt_1</t>
  </si>
  <si>
    <t>Sicko </t>
  </si>
  <si>
    <t>http://www.imdb.com/title/tt0386032/?ref_=fn_tt_tt_1</t>
  </si>
  <si>
    <t>The Purge: Anarchy </t>
  </si>
  <si>
    <t>http://www.imdb.com/title/tt2975578/?ref_=fn_tt_tt_1</t>
  </si>
  <si>
    <t>Down to You </t>
  </si>
  <si>
    <t>http://www.imdb.com/title/tt0186975/?ref_=fn_tt_tt_1</t>
  </si>
  <si>
    <t>Harold &amp; Kumar Go to White Castle </t>
  </si>
  <si>
    <t>http://www.imdb.com/title/tt0366551/?ref_=fn_tt_tt_1</t>
  </si>
  <si>
    <t>The Contender </t>
  </si>
  <si>
    <t>http://www.imdb.com/title/tt0208874/?ref_=fn_tt_tt_1</t>
  </si>
  <si>
    <t>Boiler Room </t>
  </si>
  <si>
    <t>http://www.imdb.com/title/tt0181984/?ref_=fn_tt_tt_1</t>
  </si>
  <si>
    <t>Black Christmas </t>
  </si>
  <si>
    <t>http://www.imdb.com/title/tt0454082/?ref_=fn_tt_tt_1</t>
  </si>
  <si>
    <t>Action|Biography|Drama|History|Romance|War</t>
  </si>
  <si>
    <t>Henry V </t>
  </si>
  <si>
    <t>http://www.imdb.com/title/tt0097499/?ref_=fn_tt_tt_1</t>
  </si>
  <si>
    <t>The Way of the Gun </t>
  </si>
  <si>
    <t>http://www.imdb.com/title/tt0202677/?ref_=fn_tt_tt_1</t>
  </si>
  <si>
    <t>Igby Goes Down </t>
  </si>
  <si>
    <t>http://www.imdb.com/title/tt0280760/?ref_=fn_tt_tt_1</t>
  </si>
  <si>
    <t>PCU </t>
  </si>
  <si>
    <t>http://www.imdb.com/title/tt0110759/?ref_=fn_tt_tt_1</t>
  </si>
  <si>
    <t>Gracie </t>
  </si>
  <si>
    <t>http://www.imdb.com/title/tt0441007/?ref_=fn_tt_tt_1</t>
  </si>
  <si>
    <t>Trust the Man </t>
  </si>
  <si>
    <t>http://www.imdb.com/title/tt0427968/?ref_=fn_tt_tt_1</t>
  </si>
  <si>
    <t>Hamlet 2 </t>
  </si>
  <si>
    <t>http://www.imdb.com/title/tt1104733/?ref_=fn_tt_tt_1</t>
  </si>
  <si>
    <t>Glee: The 3D Concert Movie </t>
  </si>
  <si>
    <t>http://www.imdb.com/title/tt1922612/?ref_=fn_tt_tt_1</t>
  </si>
  <si>
    <t>The Legend of Suriyothai </t>
  </si>
  <si>
    <t>http://www.imdb.com/title/tt0290879/?ref_=fn_tt_tt_1</t>
  </si>
  <si>
    <t>Two Evil Eyes </t>
  </si>
  <si>
    <t>http://www.imdb.com/title/tt0100827/?ref_=fn_tt_tt_1</t>
  </si>
  <si>
    <t>All or Nothing </t>
  </si>
  <si>
    <t>http://www.imdb.com/title/tt0286261/?ref_=fn_tt_tt_1</t>
  </si>
  <si>
    <t>Princess Kaiulani </t>
  </si>
  <si>
    <t>http://www.imdb.com/title/tt1185344/?ref_=fn_tt_tt_1</t>
  </si>
  <si>
    <t>Opal Dream </t>
  </si>
  <si>
    <t>http://www.imdb.com/title/tt0420835/?ref_=fn_tt_tt_1</t>
  </si>
  <si>
    <t>Flame and Citron </t>
  </si>
  <si>
    <t>http://www.imdb.com/title/tt0920458/?ref_=fn_tt_tt_1</t>
  </si>
  <si>
    <t>Danish</t>
  </si>
  <si>
    <t>Undiscovered </t>
  </si>
  <si>
    <t>http://www.imdb.com/title/tt0434424/?ref_=fn_tt_tt_1</t>
  </si>
  <si>
    <t>Crocodile Dundee </t>
  </si>
  <si>
    <t>http://www.imdb.com/title/tt0090555/?ref_=fn_tt_tt_1</t>
  </si>
  <si>
    <t>Awake </t>
  </si>
  <si>
    <t>http://www.imdb.com/title/tt0211933/?ref_=fn_tt_tt_1</t>
  </si>
  <si>
    <t>Skin Trade </t>
  </si>
  <si>
    <t>http://www.imdb.com/title/tt1641841/?ref_=fn_tt_tt_1</t>
  </si>
  <si>
    <t>Crazy Heart </t>
  </si>
  <si>
    <t>http://www.imdb.com/title/tt1263670/?ref_=fn_tt_tt_1</t>
  </si>
  <si>
    <t>The Rose </t>
  </si>
  <si>
    <t>http://www.imdb.com/title/tt0079826/?ref_=fn_tt_tt_1</t>
  </si>
  <si>
    <t>Baggage Claim </t>
  </si>
  <si>
    <t>http://www.imdb.com/title/tt1171222/?ref_=fn_tt_tt_1</t>
  </si>
  <si>
    <t>Election </t>
  </si>
  <si>
    <t>http://www.imdb.com/title/tt0126886/?ref_=fn_tt_tt_1</t>
  </si>
  <si>
    <t>The DUFF </t>
  </si>
  <si>
    <t>http://www.imdb.com/title/tt1666801/?ref_=fn_tt_tt_1</t>
  </si>
  <si>
    <t>Glitter </t>
  </si>
  <si>
    <t>http://www.imdb.com/title/tt0118589/?ref_=fn_tt_tt_1</t>
  </si>
  <si>
    <t>Bright Star </t>
  </si>
  <si>
    <t>http://www.imdb.com/title/tt0810784/?ref_=fn_tt_tt_1</t>
  </si>
  <si>
    <t>My Name Is Khan </t>
  </si>
  <si>
    <t>http://www.imdb.com/title/tt1188996/?ref_=fn_tt_tt_1</t>
  </si>
  <si>
    <t>All Is Lost </t>
  </si>
  <si>
    <t>http://www.imdb.com/title/tt2017038/?ref_=fn_tt_tt_1</t>
  </si>
  <si>
    <t>Limbo </t>
  </si>
  <si>
    <t>http://www.imdb.com/title/tt0164085/?ref_=fn_tt_tt_1</t>
  </si>
  <si>
    <t>Horror|Musical|Sci-Fi</t>
  </si>
  <si>
    <t>Repo! The Genetic Opera </t>
  </si>
  <si>
    <t>http://www.imdb.com/title/tt0963194/?ref_=fn_tt_tt_1</t>
  </si>
  <si>
    <t>Arabic</t>
  </si>
  <si>
    <t>Pulp Fiction </t>
  </si>
  <si>
    <t>http://www.imdb.com/title/tt0110912/?ref_=fn_tt_tt_1</t>
  </si>
  <si>
    <t>Nightcrawler </t>
  </si>
  <si>
    <t>http://www.imdb.com/title/tt2872718/?ref_=fn_tt_tt_1</t>
  </si>
  <si>
    <t>Club Dread </t>
  </si>
  <si>
    <t>http://www.imdb.com/title/tt0331953/?ref_=fn_tt_tt_1</t>
  </si>
  <si>
    <t>Biography|Drama|Family|Musical|Romance</t>
  </si>
  <si>
    <t>The Sound of Music </t>
  </si>
  <si>
    <t>http://www.imdb.com/title/tt0059742/?ref_=fn_tt_tt_1</t>
  </si>
  <si>
    <t>Splash </t>
  </si>
  <si>
    <t>http://www.imdb.com/title/tt0088161/?ref_=fn_tt_tt_1</t>
  </si>
  <si>
    <t>Little Miss Sunshine </t>
  </si>
  <si>
    <t>http://www.imdb.com/title/tt0449059/?ref_=fn_tt_tt_1</t>
  </si>
  <si>
    <t>Stand by Me </t>
  </si>
  <si>
    <t>http://www.imdb.com/title/tt0092005/?ref_=fn_tt_tt_1</t>
  </si>
  <si>
    <t>28 Days Later... </t>
  </si>
  <si>
    <t>http://www.imdb.com/title/tt0289043/?ref_=fn_tt_tt_1</t>
  </si>
  <si>
    <t>You Got Served </t>
  </si>
  <si>
    <t>http://www.imdb.com/title/tt0365957/?ref_=fn_tt_tt_1</t>
  </si>
  <si>
    <t>Escape from Alcatraz </t>
  </si>
  <si>
    <t>http://www.imdb.com/title/tt0079116/?ref_=fn_tt_tt_1</t>
  </si>
  <si>
    <t>Brown Sugar </t>
  </si>
  <si>
    <t>http://www.imdb.com/title/tt0297037/?ref_=fn_tt_tt_1</t>
  </si>
  <si>
    <t>Comedy|Crime|Drama|Romance|Thriller</t>
  </si>
  <si>
    <t>A Thin Line Between Love and Hate </t>
  </si>
  <si>
    <t>http://www.imdb.com/title/tt0117891/?ref_=fn_tt_tt_1</t>
  </si>
  <si>
    <t>50/50 </t>
  </si>
  <si>
    <t>http://www.imdb.com/title/tt1306980/?ref_=fn_tt_tt_1</t>
  </si>
  <si>
    <t>Shutter </t>
  </si>
  <si>
    <t>http://www.imdb.com/title/tt0482599/?ref_=fn_tt_tt_1</t>
  </si>
  <si>
    <t>That Awkward Moment </t>
  </si>
  <si>
    <t>http://www.imdb.com/title/tt1800246/?ref_=fn_tt_tt_1</t>
  </si>
  <si>
    <t>Much Ado About Nothing </t>
  </si>
  <si>
    <t>http://www.imdb.com/title/tt0107616/?ref_=fn_tt_tt_1</t>
  </si>
  <si>
    <t>On Her Majesty's Secret Service </t>
  </si>
  <si>
    <t>http://www.imdb.com/title/tt0064757/?ref_=fn_tt_tt_1</t>
  </si>
  <si>
    <t>New Nightmare </t>
  </si>
  <si>
    <t>http://www.imdb.com/title/tt0111686/?ref_=fn_tt_tt_1</t>
  </si>
  <si>
    <t>Drive Me Crazy </t>
  </si>
  <si>
    <t>http://www.imdb.com/title/tt0164114/?ref_=fn_tt_tt_1</t>
  </si>
  <si>
    <t>Half Baked </t>
  </si>
  <si>
    <t>http://www.imdb.com/title/tt0120693/?ref_=fn_tt_tt_1</t>
  </si>
  <si>
    <t>New in Town </t>
  </si>
  <si>
    <t>http://www.imdb.com/title/tt1095174/?ref_=fn_tt_tt_1</t>
  </si>
  <si>
    <t>American Psycho </t>
  </si>
  <si>
    <t>http://www.imdb.com/title/tt0144084/?ref_=fn_tt_tt_1</t>
  </si>
  <si>
    <t>The Good Girl </t>
  </si>
  <si>
    <t>http://www.imdb.com/title/tt0279113/?ref_=fn_tt_tt_1</t>
  </si>
  <si>
    <t>The Boondock Saints II: All Saints Day </t>
  </si>
  <si>
    <t>http://www.imdb.com/title/tt1300851/?ref_=fn_tt_tt_1</t>
  </si>
  <si>
    <t>Enough Said </t>
  </si>
  <si>
    <t>http://www.imdb.com/title/tt2390361/?ref_=fn_tt_tt_1</t>
  </si>
  <si>
    <t>Easy A </t>
  </si>
  <si>
    <t>http://www.imdb.com/title/tt1282140/?ref_=fn_tt_tt_1</t>
  </si>
  <si>
    <t>Shadow of the Vampire </t>
  </si>
  <si>
    <t>http://www.imdb.com/title/tt0189998/?ref_=fn_tt_tt_1</t>
  </si>
  <si>
    <t>Prom </t>
  </si>
  <si>
    <t>http://www.imdb.com/title/tt1604171/?ref_=fn_tt_tt_1</t>
  </si>
  <si>
    <t>Held Up </t>
  </si>
  <si>
    <t>http://www.imdb.com/title/tt0165831/?ref_=fn_tt_tt_1</t>
  </si>
  <si>
    <t>Woman on Top </t>
  </si>
  <si>
    <t>http://www.imdb.com/title/tt0206420/?ref_=fn_tt_tt_1</t>
  </si>
  <si>
    <t>Animation|Comedy|Drama|Romance</t>
  </si>
  <si>
    <t>Anomalisa </t>
  </si>
  <si>
    <t>http://www.imdb.com/title/tt2401878/?ref_=fn_tt_tt_1</t>
  </si>
  <si>
    <t>Another Year </t>
  </si>
  <si>
    <t>http://www.imdb.com/title/tt1431181/?ref_=fn_tt_tt_1</t>
  </si>
  <si>
    <t>Comedy|Crime|Musical|Romance</t>
  </si>
  <si>
    <t>8 Women </t>
  </si>
  <si>
    <t>http://www.imdb.com/title/tt0283832/?ref_=fn_tt_tt_1</t>
  </si>
  <si>
    <t>Showdown in Little Tokyo </t>
  </si>
  <si>
    <t>http://www.imdb.com/title/tt0102915/?ref_=fn_tt_tt_1</t>
  </si>
  <si>
    <t>Clay Pigeons </t>
  </si>
  <si>
    <t>http://www.imdb.com/title/tt0118863/?ref_=fn_tt_tt_1</t>
  </si>
  <si>
    <t>It's Kind of a Funny Story </t>
  </si>
  <si>
    <t>http://www.imdb.com/title/tt0804497/?ref_=fn_tt_tt_1</t>
  </si>
  <si>
    <t>Made in Dagenham </t>
  </si>
  <si>
    <t>http://www.imdb.com/title/tt1371155/?ref_=fn_tt_tt_1</t>
  </si>
  <si>
    <t>When Did You Last See Your Father? </t>
  </si>
  <si>
    <t>http://www.imdb.com/title/tt0829098/?ref_=fn_tt_tt_1</t>
  </si>
  <si>
    <t>Prefontaine </t>
  </si>
  <si>
    <t>http://www.imdb.com/title/tt0119937/?ref_=fn_tt_tt_1</t>
  </si>
  <si>
    <t>The Secret of Kells </t>
  </si>
  <si>
    <t>http://www.imdb.com/title/tt0485601/?ref_=fn_tt_tt_1</t>
  </si>
  <si>
    <t>Begin Again </t>
  </si>
  <si>
    <t>http://www.imdb.com/title/tt1980929/?ref_=fn_tt_tt_1</t>
  </si>
  <si>
    <t>Down in the Valley </t>
  </si>
  <si>
    <t>http://www.imdb.com/title/tt0398027/?ref_=fn_tt_tt_1</t>
  </si>
  <si>
    <t>Brooklyn Rules </t>
  </si>
  <si>
    <t>http://www.imdb.com/title/tt0283503/?ref_=fn_tt_tt_1</t>
  </si>
  <si>
    <t>Fido </t>
  </si>
  <si>
    <t>http://www.imdb.com/title/tt0457572/?ref_=fn_tt_tt_1</t>
  </si>
  <si>
    <t>The Wendell Baker Story </t>
  </si>
  <si>
    <t>http://www.imdb.com/title/tt0373445/?ref_=fn_tt_tt_1</t>
  </si>
  <si>
    <t>Wild Target </t>
  </si>
  <si>
    <t>http://www.imdb.com/title/tt1235189/?ref_=fn_tt_tt_1</t>
  </si>
  <si>
    <t>Pathology </t>
  </si>
  <si>
    <t>http://www.imdb.com/title/tt0964539/?ref_=fn_tt_tt_1</t>
  </si>
  <si>
    <t>10th &amp; Wolf </t>
  </si>
  <si>
    <t>http://www.imdb.com/title/tt0360323/?ref_=fn_tt_tt_1</t>
  </si>
  <si>
    <t>Dear Wendy </t>
  </si>
  <si>
    <t>http://www.imdb.com/title/tt0342272/?ref_=fn_tt_tt_1</t>
  </si>
  <si>
    <t>Aloft </t>
  </si>
  <si>
    <t>http://www.imdb.com/title/tt2494384/?ref_=fn_tt_tt_1</t>
  </si>
  <si>
    <t>Action|Animation|Sci-Fi</t>
  </si>
  <si>
    <t>Akira </t>
  </si>
  <si>
    <t>http://www.imdb.com/title/tt0094625/?ref_=fn_tt_tt_1</t>
  </si>
  <si>
    <t>Imagine Me &amp; You </t>
  </si>
  <si>
    <t>http://www.imdb.com/title/tt0421994/?ref_=fn_tt_tt_1</t>
  </si>
  <si>
    <t>The Blood of Heroes </t>
  </si>
  <si>
    <t>http://www.imdb.com/title/tt0094764/?ref_=fn_tt_tt_1</t>
  </si>
  <si>
    <t>Driving Miss Daisy </t>
  </si>
  <si>
    <t>http://www.imdb.com/title/tt0097239/?ref_=fn_tt_tt_1</t>
  </si>
  <si>
    <t>Soul Food </t>
  </si>
  <si>
    <t>http://www.imdb.com/title/tt0120169/?ref_=fn_tt_tt_1</t>
  </si>
  <si>
    <t>Rumble in the Bronx </t>
  </si>
  <si>
    <t>http://www.imdb.com/title/tt0113326/?ref_=fn_tt_tt_1</t>
  </si>
  <si>
    <t>Thank You for Smoking </t>
  </si>
  <si>
    <t>http://www.imdb.com/title/tt0427944/?ref_=fn_tt_tt_1</t>
  </si>
  <si>
    <t>Hostel: Part II </t>
  </si>
  <si>
    <t>http://www.imdb.com/title/tt0498353/?ref_=fn_tt_tt_1</t>
  </si>
  <si>
    <t>An Education </t>
  </si>
  <si>
    <t>http://www.imdb.com/title/tt1174732/?ref_=fn_tt_tt_1</t>
  </si>
  <si>
    <t>The Hotel New Hampshire </t>
  </si>
  <si>
    <t>http://www.imdb.com/title/tt0087428/?ref_=fn_tt_tt_1</t>
  </si>
  <si>
    <t>Narc </t>
  </si>
  <si>
    <t>http://www.imdb.com/title/tt0272207/?ref_=fn_tt_tt_1</t>
  </si>
  <si>
    <t>Men with Brooms </t>
  </si>
  <si>
    <t>http://www.imdb.com/title/tt0263734/?ref_=fn_tt_tt_1</t>
  </si>
  <si>
    <t>Witless Protection </t>
  </si>
  <si>
    <t>http://www.imdb.com/title/tt1001562/?ref_=fn_tt_tt_1</t>
  </si>
  <si>
    <t>The Work and the Glory </t>
  </si>
  <si>
    <t>http://www.imdb.com/title/tt0410454/?ref_=fn_tt_tt_1</t>
  </si>
  <si>
    <t>Extract </t>
  </si>
  <si>
    <t>http://www.imdb.com/title/tt1225822/?ref_=fn_tt_tt_1</t>
  </si>
  <si>
    <t>Alias Betty </t>
  </si>
  <si>
    <t>http://www.imdb.com/title/tt0269329/?ref_=fn_tt_tt_1</t>
  </si>
  <si>
    <t>Drama|Romance|Sci-Fi|Thriller</t>
  </si>
  <si>
    <t>Code 46 </t>
  </si>
  <si>
    <t>http://www.imdb.com/title/tt0345061/?ref_=fn_tt_tt_1</t>
  </si>
  <si>
    <t>Albert Nobbs </t>
  </si>
  <si>
    <t>http://www.imdb.com/title/tt1602098/?ref_=fn_tt_tt_1</t>
  </si>
  <si>
    <t>Ta Ra Rum Pum </t>
  </si>
  <si>
    <t>http://www.imdb.com/title/tt0833553/?ref_=fn_tt_tt_1</t>
  </si>
  <si>
    <t>Animation|Biography|Drama|War</t>
  </si>
  <si>
    <t>Persepolis </t>
  </si>
  <si>
    <t>http://www.imdb.com/title/tt0808417/?ref_=fn_tt_tt_1</t>
  </si>
  <si>
    <t>The Neon Demon </t>
  </si>
  <si>
    <t>http://www.imdb.com/title/tt1974419/?ref_=fn_tt_tt_1</t>
  </si>
  <si>
    <t>Harry Brown </t>
  </si>
  <si>
    <t>http://www.imdb.com/title/tt1289406/?ref_=fn_tt_tt_1</t>
  </si>
  <si>
    <t>The Omega Code </t>
  </si>
  <si>
    <t>http://www.imdb.com/title/tt0203408/?ref_=fn_tt_tt_1</t>
  </si>
  <si>
    <t>Juno </t>
  </si>
  <si>
    <t>http://www.imdb.com/title/tt0467406/?ref_=fn_tt_tt_1</t>
  </si>
  <si>
    <t>Diamonds Are Forever </t>
  </si>
  <si>
    <t>http://www.imdb.com/title/tt0066995/?ref_=fn_tt_tt_1</t>
  </si>
  <si>
    <t>The Godfather </t>
  </si>
  <si>
    <t>http://www.imdb.com/title/tt0068646/?ref_=fn_tt_tt_1</t>
  </si>
  <si>
    <t>Flashdance </t>
  </si>
  <si>
    <t>http://www.imdb.com/title/tt0085549/?ref_=fn_tt_tt_1</t>
  </si>
  <si>
    <t>500 Days of Summer </t>
  </si>
  <si>
    <t>http://www.imdb.com/title/tt1022603/?ref_=fn_tt_tt_1</t>
  </si>
  <si>
    <t>The Piano </t>
  </si>
  <si>
    <t>http://www.imdb.com/title/tt0107822/?ref_=fn_tt_tt_1</t>
  </si>
  <si>
    <t>Magic Mike </t>
  </si>
  <si>
    <t>http://www.imdb.com/title/tt1915581/?ref_=fn_tt_tt_1</t>
  </si>
  <si>
    <t>Darkness Falls </t>
  </si>
  <si>
    <t>http://www.imdb.com/title/tt0282209/?ref_=fn_tt_tt_1</t>
  </si>
  <si>
    <t>Live and Let Die </t>
  </si>
  <si>
    <t>http://www.imdb.com/title/tt0070328/?ref_=fn_tt_tt_1</t>
  </si>
  <si>
    <t>My Dog Skip </t>
  </si>
  <si>
    <t>http://www.imdb.com/title/tt0156812/?ref_=fn_tt_tt_1</t>
  </si>
  <si>
    <t>Jumping the Broom </t>
  </si>
  <si>
    <t>http://www.imdb.com/title/tt1640484/?ref_=fn_tt_tt_1</t>
  </si>
  <si>
    <t>Good Night, and Good Luck. </t>
  </si>
  <si>
    <t>http://www.imdb.com/title/tt0433383/?ref_=fn_tt_tt_1</t>
  </si>
  <si>
    <t>Capote </t>
  </si>
  <si>
    <t>http://www.imdb.com/title/tt0379725/?ref_=fn_tt_tt_1</t>
  </si>
  <si>
    <t>Desperado </t>
  </si>
  <si>
    <t>http://www.imdb.com/title/tt0112851/?ref_=fn_tt_tt_1</t>
  </si>
  <si>
    <t>Logan's Run </t>
  </si>
  <si>
    <t>http://www.imdb.com/title/tt0074812/?ref_=fn_tt_tt_1</t>
  </si>
  <si>
    <t>The Man with the Golden Gun </t>
  </si>
  <si>
    <t>http://www.imdb.com/title/tt0071807/?ref_=fn_tt_tt_1</t>
  </si>
  <si>
    <t>Action Jackson </t>
  </si>
  <si>
    <t>http://www.imdb.com/title/tt0094612/?ref_=fn_tt_tt_1</t>
  </si>
  <si>
    <t>The Descent </t>
  </si>
  <si>
    <t>http://www.imdb.com/title/tt0435625/?ref_=fn_tt_tt_1</t>
  </si>
  <si>
    <t>Documentary|Sport</t>
  </si>
  <si>
    <t>Devil's Due </t>
  </si>
  <si>
    <t>http://www.imdb.com/title/tt2752758/?ref_=fn_tt_tt_1</t>
  </si>
  <si>
    <t>Flirting with Disaster </t>
  </si>
  <si>
    <t>http://www.imdb.com/title/tt0116324/?ref_=fn_tt_tt_1</t>
  </si>
  <si>
    <t>Crime|Horror</t>
  </si>
  <si>
    <t>The Devil's Rejects </t>
  </si>
  <si>
    <t>http://www.imdb.com/title/tt0395584/?ref_=fn_tt_tt_1</t>
  </si>
  <si>
    <t>Dope </t>
  </si>
  <si>
    <t>http://www.imdb.com/title/tt3850214/?ref_=fn_tt_tt_1</t>
  </si>
  <si>
    <t>In Too Deep </t>
  </si>
  <si>
    <t>http://www.imdb.com/title/tt0160401/?ref_=fn_tt_tt_1</t>
  </si>
  <si>
    <t>House of 1000 Corpses </t>
  </si>
  <si>
    <t>http://www.imdb.com/title/tt0251736/?ref_=fn_tt_tt_1</t>
  </si>
  <si>
    <t>A Serious Man </t>
  </si>
  <si>
    <t>http://www.imdb.com/title/tt1019452/?ref_=fn_tt_tt_1</t>
  </si>
  <si>
    <t>Get Low </t>
  </si>
  <si>
    <t>http://www.imdb.com/title/tt1194263/?ref_=fn_tt_tt_1</t>
  </si>
  <si>
    <t>Warlock </t>
  </si>
  <si>
    <t>http://www.imdb.com/title/tt0098622/?ref_=fn_tt_tt_1</t>
  </si>
  <si>
    <t>Beyond the Lights </t>
  </si>
  <si>
    <t>http://www.imdb.com/title/tt3125324/?ref_=fn_tt_tt_1</t>
  </si>
  <si>
    <t>A Single Man </t>
  </si>
  <si>
    <t>http://www.imdb.com/title/tt1315981/?ref_=fn_tt_tt_1</t>
  </si>
  <si>
    <t>The Last Temptation of Christ </t>
  </si>
  <si>
    <t>http://www.imdb.com/title/tt0095497/?ref_=fn_tt_tt_1</t>
  </si>
  <si>
    <t>Outside Providence </t>
  </si>
  <si>
    <t>http://www.imdb.com/title/tt0125971/?ref_=fn_tt_tt_1</t>
  </si>
  <si>
    <t>Bride &amp; Prejudice </t>
  </si>
  <si>
    <t>http://www.imdb.com/title/tt0361411/?ref_=fn_tt_tt_1</t>
  </si>
  <si>
    <t>Adventure|Biography|Drama|History</t>
  </si>
  <si>
    <t>Rabbit-Proof Fence </t>
  </si>
  <si>
    <t>http://www.imdb.com/title/tt0252444/?ref_=fn_tt_tt_1</t>
  </si>
  <si>
    <t>Who's Your Caddy? </t>
  </si>
  <si>
    <t>http://www.imdb.com/title/tt0785077/?ref_=fn_tt_tt_1</t>
  </si>
  <si>
    <t>Action|Crime|Horror|Sci-Fi|Thriller</t>
  </si>
  <si>
    <t>Split Second </t>
  </si>
  <si>
    <t>http://www.imdb.com/title/tt0105459/?ref_=fn_tt_tt_1</t>
  </si>
  <si>
    <t>The Other Side of Heaven </t>
  </si>
  <si>
    <t>http://www.imdb.com/title/tt0250371/?ref_=fn_tt_tt_1</t>
  </si>
  <si>
    <t>Veer-Zaara </t>
  </si>
  <si>
    <t>http://www.imdb.com/title/tt0420332/?ref_=fn_tt_tt_1</t>
  </si>
  <si>
    <t>Redbelt </t>
  </si>
  <si>
    <t>http://www.imdb.com/title/tt1012804/?ref_=fn_tt_tt_1</t>
  </si>
  <si>
    <t>Cyrus </t>
  </si>
  <si>
    <t>http://www.imdb.com/title/tt1336617/?ref_=fn_tt_tt_1</t>
  </si>
  <si>
    <t>A Dog of Flanders </t>
  </si>
  <si>
    <t>http://www.imdb.com/title/tt0160216/?ref_=fn_tt_tt_1</t>
  </si>
  <si>
    <t>Auto Focus </t>
  </si>
  <si>
    <t>http://www.imdb.com/title/tt0298744/?ref_=fn_tt_tt_1</t>
  </si>
  <si>
    <t>Factory Girl </t>
  </si>
  <si>
    <t>http://www.imdb.com/title/tt0432402/?ref_=fn_tt_tt_1</t>
  </si>
  <si>
    <t>We Need to Talk About Kevin </t>
  </si>
  <si>
    <t>http://www.imdb.com/title/tt1242460/?ref_=fn_tt_tt_1</t>
  </si>
  <si>
    <t>The Mighty Macs </t>
  </si>
  <si>
    <t>http://www.imdb.com/title/tt1034324/?ref_=fn_tt_tt_1</t>
  </si>
  <si>
    <t>Mother and Child </t>
  </si>
  <si>
    <t>http://www.imdb.com/title/tt1121977/?ref_=fn_tt_tt_1</t>
  </si>
  <si>
    <t>March or Die </t>
  </si>
  <si>
    <t>http://www.imdb.com/title/tt0076175/?ref_=fn_tt_tt_1</t>
  </si>
  <si>
    <t>Les visiteurs </t>
  </si>
  <si>
    <t>http://www.imdb.com/title/tt0108500/?ref_=fn_tt_tt_1</t>
  </si>
  <si>
    <t>Somewhere </t>
  </si>
  <si>
    <t>http://www.imdb.com/title/tt1421051/?ref_=fn_tt_tt_1</t>
  </si>
  <si>
    <t>Chairman of the Board </t>
  </si>
  <si>
    <t>http://www.imdb.com/title/tt0118836/?ref_=fn_tt_tt_1</t>
  </si>
  <si>
    <t>Hesher </t>
  </si>
  <si>
    <t>http://www.imdb.com/title/tt1403177/?ref_=fn_tt_tt_1</t>
  </si>
  <si>
    <t>Gerry </t>
  </si>
  <si>
    <t>http://www.imdb.com/title/tt0302674/?ref_=fn_tt_tt_1</t>
  </si>
  <si>
    <t>The Heart of Me </t>
  </si>
  <si>
    <t>http://www.imdb.com/title/tt0301390/?ref_=fn_tt_tt_1</t>
  </si>
  <si>
    <t>Freeheld </t>
  </si>
  <si>
    <t>http://www.imdb.com/title/tt1658801/?ref_=fn_tt_tt_1</t>
  </si>
  <si>
    <t>The Extra Man </t>
  </si>
  <si>
    <t>http://www.imdb.com/title/tt1361313/?ref_=fn_tt_tt_1</t>
  </si>
  <si>
    <t>Ca$h </t>
  </si>
  <si>
    <t>http://www.imdb.com/title/tt1106860/?ref_=fn_tt_tt_1</t>
  </si>
  <si>
    <t>Wah-Wah </t>
  </si>
  <si>
    <t>http://www.imdb.com/title/tt0419256/?ref_=fn_tt_tt_1</t>
  </si>
  <si>
    <t>Pale Rider </t>
  </si>
  <si>
    <t>http://www.imdb.com/title/tt0089767/?ref_=fn_tt_tt_1</t>
  </si>
  <si>
    <t>Dazed and Confused </t>
  </si>
  <si>
    <t>http://www.imdb.com/title/tt0106677/?ref_=fn_tt_tt_1</t>
  </si>
  <si>
    <t>Aimee &amp; Jaguar </t>
  </si>
  <si>
    <t>http://www.imdb.com/title/tt0130444/?ref_=fn_tt_tt_1</t>
  </si>
  <si>
    <t>The Chumscrubber </t>
  </si>
  <si>
    <t>http://www.imdb.com/title/tt0406650/?ref_=fn_tt_tt_1</t>
  </si>
  <si>
    <t>Shade </t>
  </si>
  <si>
    <t>http://www.imdb.com/title/tt0323939/?ref_=fn_tt_tt_1</t>
  </si>
  <si>
    <t>House at the End of the Street </t>
  </si>
  <si>
    <t>http://www.imdb.com/title/tt1582507/?ref_=fn_tt_tt_1</t>
  </si>
  <si>
    <t>Drama|Mystery|War</t>
  </si>
  <si>
    <t>Incendies </t>
  </si>
  <si>
    <t>http://www.imdb.com/title/tt1255953/?ref_=fn_tt_tt_1</t>
  </si>
  <si>
    <t>Remember Me, My Love </t>
  </si>
  <si>
    <t>http://www.imdb.com/title/tt0323807/?ref_=fn_tt_tt_1</t>
  </si>
  <si>
    <t>Elite Squad </t>
  </si>
  <si>
    <t>http://www.imdb.com/title/tt0861739/?ref_=fn_tt_tt_1</t>
  </si>
  <si>
    <t>Brazil</t>
  </si>
  <si>
    <t>Annabelle </t>
  </si>
  <si>
    <t>http://www.imdb.com/title/tt3322940/?ref_=fn_tt_tt_1</t>
  </si>
  <si>
    <t>Comedy|Drama|Musical</t>
  </si>
  <si>
    <t>Bran Nue Dae </t>
  </si>
  <si>
    <t>http://www.imdb.com/title/tt1148165/?ref_=fn_tt_tt_1</t>
  </si>
  <si>
    <t>Boyz n the Hood </t>
  </si>
  <si>
    <t>http://www.imdb.com/title/tt0101507/?ref_=fn_tt_tt_1</t>
  </si>
  <si>
    <t>La Bamba </t>
  </si>
  <si>
    <t>http://www.imdb.com/title/tt0093378/?ref_=fn_tt_tt_1</t>
  </si>
  <si>
    <t>Mystery|Romance|Thriller</t>
  </si>
  <si>
    <t>Dressed to Kill </t>
  </si>
  <si>
    <t>http://www.imdb.com/title/tt0080661/?ref_=fn_tt_tt_1</t>
  </si>
  <si>
    <t>Adventure|Comedy|Drama|Family</t>
  </si>
  <si>
    <t>The Adventures of Huck Finn </t>
  </si>
  <si>
    <t>http://www.imdb.com/title/tt0106223/?ref_=fn_tt_tt_1</t>
  </si>
  <si>
    <t>Go </t>
  </si>
  <si>
    <t>http://www.imdb.com/title/tt0139239/?ref_=fn_tt_tt_1</t>
  </si>
  <si>
    <t>Friends with Money </t>
  </si>
  <si>
    <t>http://www.imdb.com/title/tt0436331/?ref_=fn_tt_tt_1</t>
  </si>
  <si>
    <t>Bats </t>
  </si>
  <si>
    <t>http://www.imdb.com/title/tt0200469/?ref_=fn_tt_tt_1</t>
  </si>
  <si>
    <t>Nowhere in Africa </t>
  </si>
  <si>
    <t>http://www.imdb.com/title/tt0161860/?ref_=fn_tt_tt_1</t>
  </si>
  <si>
    <t>Shame </t>
  </si>
  <si>
    <t>http://www.imdb.com/title/tt1723811/?ref_=fn_tt_tt_1</t>
  </si>
  <si>
    <t>Layer Cake </t>
  </si>
  <si>
    <t>http://www.imdb.com/title/tt0375912/?ref_=fn_tt_tt_1</t>
  </si>
  <si>
    <t>The Work and the Glory II: American Zion </t>
  </si>
  <si>
    <t>http://www.imdb.com/title/tt0457530/?ref_=fn_tt_tt_1</t>
  </si>
  <si>
    <t>The East </t>
  </si>
  <si>
    <t>http://www.imdb.com/title/tt1869716/?ref_=fn_tt_tt_1</t>
  </si>
  <si>
    <t>A Home at the End of the World </t>
  </si>
  <si>
    <t>http://www.imdb.com/title/tt0359423/?ref_=fn_tt_tt_1</t>
  </si>
  <si>
    <t>Aberdeen </t>
  </si>
  <si>
    <t>http://www.imdb.com/title/tt0168446/?ref_=fn_tt_tt_1</t>
  </si>
  <si>
    <t>The Messenger </t>
  </si>
  <si>
    <t>http://www.imdb.com/title/tt0790712/?ref_=fn_tt_tt_1</t>
  </si>
  <si>
    <t>Control </t>
  </si>
  <si>
    <t>http://www.imdb.com/title/tt0421082/?ref_=fn_tt_tt_1</t>
  </si>
  <si>
    <t>The Terminator </t>
  </si>
  <si>
    <t>http://www.imdb.com/title/tt0088247/?ref_=fn_tt_tt_1</t>
  </si>
  <si>
    <t>Good Bye Lenin! </t>
  </si>
  <si>
    <t>http://www.imdb.com/title/tt0301357/?ref_=fn_tt_tt_1</t>
  </si>
  <si>
    <t>The Damned United </t>
  </si>
  <si>
    <t>http://www.imdb.com/title/tt1226271/?ref_=fn_tt_tt_1</t>
  </si>
  <si>
    <t>Mallrats </t>
  </si>
  <si>
    <t>http://www.imdb.com/title/tt0113749/?ref_=fn_tt_tt_1</t>
  </si>
  <si>
    <t>Musical|Romance</t>
  </si>
  <si>
    <t>Grease </t>
  </si>
  <si>
    <t>http://www.imdb.com/title/tt0077631/?ref_=fn_tt_tt_1</t>
  </si>
  <si>
    <t>Platoon </t>
  </si>
  <si>
    <t>http://www.imdb.com/title/tt0091763/?ref_=fn_tt_tt_1</t>
  </si>
  <si>
    <t>Documentary|Drama|War</t>
  </si>
  <si>
    <t>Fahrenheit 9/11 </t>
  </si>
  <si>
    <t>http://www.imdb.com/title/tt0361596/?ref_=fn_tt_tt_1</t>
  </si>
  <si>
    <t>Biography|Crime|Drama|Western</t>
  </si>
  <si>
    <t>Butch Cassidy and the Sundance Kid </t>
  </si>
  <si>
    <t>http://www.imdb.com/title/tt0064115/?ref_=fn_tt_tt_1</t>
  </si>
  <si>
    <t>Comedy|Family|Fantasy|Musical</t>
  </si>
  <si>
    <t>Mary Poppins </t>
  </si>
  <si>
    <t>http://www.imdb.com/title/tt0058331/?ref_=fn_tt_tt_1</t>
  </si>
  <si>
    <t>Ordinary People </t>
  </si>
  <si>
    <t>http://www.imdb.com/title/tt0081283/?ref_=fn_tt_tt_1</t>
  </si>
  <si>
    <t>Crime|Drama|Musical|Romance|Thriller</t>
  </si>
  <si>
    <t>West Side Story </t>
  </si>
  <si>
    <t>http://www.imdb.com/title/tt0055614/?ref_=fn_tt_tt_1</t>
  </si>
  <si>
    <t>Caddyshack </t>
  </si>
  <si>
    <t>http://www.imdb.com/title/tt0080487/?ref_=fn_tt_tt_1</t>
  </si>
  <si>
    <t>The Brothers </t>
  </si>
  <si>
    <t>http://www.imdb.com/title/tt0250274/?ref_=fn_tt_tt_1</t>
  </si>
  <si>
    <t>The Wood </t>
  </si>
  <si>
    <t>http://www.imdb.com/title/tt0161100/?ref_=fn_tt_tt_1</t>
  </si>
  <si>
    <t>The Usual Suspects </t>
  </si>
  <si>
    <t>http://www.imdb.com/title/tt0114814/?ref_=fn_tt_tt_1</t>
  </si>
  <si>
    <t>Fantasy|Horror|Romance|Thriller</t>
  </si>
  <si>
    <t>A Nightmare on Elm Street 5: The Dream Child </t>
  </si>
  <si>
    <t>http://www.imdb.com/title/tt0097981/?ref_=fn_tt_tt_1</t>
  </si>
  <si>
    <t>Van Wilder: Party Liaison </t>
  </si>
  <si>
    <t>http://www.imdb.com/title/tt0283111/?ref_=fn_tt_tt_1</t>
  </si>
  <si>
    <t>The Wrestler </t>
  </si>
  <si>
    <t>http://www.imdb.com/title/tt1125849/?ref_=fn_tt_tt_1</t>
  </si>
  <si>
    <t>Best in Show </t>
  </si>
  <si>
    <t>http://www.imdb.com/title/tt0218839/?ref_=fn_tt_tt_1</t>
  </si>
  <si>
    <t>Escape from New York </t>
  </si>
  <si>
    <t>http://www.imdb.com/title/tt0082340/?ref_=fn_tt_tt_1</t>
  </si>
  <si>
    <t>School Daze </t>
  </si>
  <si>
    <t>http://www.imdb.com/title/tt0096054/?ref_=fn_tt_tt_1</t>
  </si>
  <si>
    <t>Daddy Day Camp </t>
  </si>
  <si>
    <t>http://www.imdb.com/title/tt0462244/?ref_=fn_tt_tt_1</t>
  </si>
  <si>
    <t>Mystic Pizza </t>
  </si>
  <si>
    <t>http://www.imdb.com/title/tt0095690/?ref_=fn_tt_tt_1</t>
  </si>
  <si>
    <t>Sliding Doors </t>
  </si>
  <si>
    <t>http://www.imdb.com/title/tt0120148/?ref_=fn_tt_tt_1</t>
  </si>
  <si>
    <t>Tales from the Hood </t>
  </si>
  <si>
    <t>http://www.imdb.com/title/tt0114609/?ref_=fn_tt_tt_1</t>
  </si>
  <si>
    <t>The Last King of Scotland </t>
  </si>
  <si>
    <t>http://www.imdb.com/title/tt0455590/?ref_=fn_tt_tt_1</t>
  </si>
  <si>
    <t>Halloween 5 </t>
  </si>
  <si>
    <t>http://www.imdb.com/title/tt0097474/?ref_=fn_tt_tt_1</t>
  </si>
  <si>
    <t>Bernie </t>
  </si>
  <si>
    <t>http://www.imdb.com/title/tt1704573/?ref_=fn_tt_tt_1</t>
  </si>
  <si>
    <t>Adventure|Documentary|Short</t>
  </si>
  <si>
    <t>Dolphins and Whales 3D: Tribes of the Ocean </t>
  </si>
  <si>
    <t>http://www.imdb.com/title/tt0996382/?ref_=fn_tt_tt_1</t>
  </si>
  <si>
    <t>Pollock </t>
  </si>
  <si>
    <t>http://www.imdb.com/title/tt0183659/?ref_=fn_tt_tt_1</t>
  </si>
  <si>
    <t>200 Cigarettes </t>
  </si>
  <si>
    <t>http://www.imdb.com/title/tt0137338/?ref_=fn_tt_tt_1</t>
  </si>
  <si>
    <t>The Words </t>
  </si>
  <si>
    <t>http://www.imdb.com/title/tt1840417/?ref_=fn_tt_tt_1</t>
  </si>
  <si>
    <t>Casa de mi Padre </t>
  </si>
  <si>
    <t>http://www.imdb.com/title/tt1702425/?ref_=fn_tt_tt_1</t>
  </si>
  <si>
    <t>City Island </t>
  </si>
  <si>
    <t>http://www.imdb.com/title/tt1174730/?ref_=fn_tt_tt_1</t>
  </si>
  <si>
    <t>The Guard </t>
  </si>
  <si>
    <t>http://www.imdb.com/title/tt1540133/?ref_=fn_tt_tt_1</t>
  </si>
  <si>
    <t>College </t>
  </si>
  <si>
    <t>http://www.imdb.com/title/tt0844671/?ref_=fn_tt_tt_1</t>
  </si>
  <si>
    <t>The Virgin Suicides </t>
  </si>
  <si>
    <t>http://www.imdb.com/title/tt0159097/?ref_=fn_tt_tt_1</t>
  </si>
  <si>
    <t>Miss March </t>
  </si>
  <si>
    <t>http://www.imdb.com/title/tt1151922/?ref_=fn_tt_tt_1</t>
  </si>
  <si>
    <t>Wish I Was Here </t>
  </si>
  <si>
    <t>http://www.imdb.com/title/tt2870708/?ref_=fn_tt_tt_1</t>
  </si>
  <si>
    <t>Simply Irresistible </t>
  </si>
  <si>
    <t>http://www.imdb.com/title/tt0145893/?ref_=fn_tt_tt_1</t>
  </si>
  <si>
    <t>Hedwig and the Angry Inch </t>
  </si>
  <si>
    <t>http://www.imdb.com/title/tt0248845/?ref_=fn_tt_tt_1</t>
  </si>
  <si>
    <t>Only the Strong </t>
  </si>
  <si>
    <t>http://www.imdb.com/title/tt0107750/?ref_=fn_tt_tt_1</t>
  </si>
  <si>
    <t>Shattered Glass </t>
  </si>
  <si>
    <t>http://www.imdb.com/title/tt0323944/?ref_=fn_tt_tt_1</t>
  </si>
  <si>
    <t>Novocaine </t>
  </si>
  <si>
    <t>http://www.imdb.com/title/tt0234354/?ref_=fn_tt_tt_1</t>
  </si>
  <si>
    <t>The Wackness </t>
  </si>
  <si>
    <t>http://www.imdb.com/title/tt1082886/?ref_=fn_tt_tt_1</t>
  </si>
  <si>
    <t>Beastmaster 2: Through the Portal of Time </t>
  </si>
  <si>
    <t>http://www.imdb.com/title/tt0101412/?ref_=fn_tt_tt_1</t>
  </si>
  <si>
    <t>The 5th Quarter </t>
  </si>
  <si>
    <t>http://www.imdb.com/title/tt1130964/?ref_=fn_tt_tt_1</t>
  </si>
  <si>
    <t>The Greatest </t>
  </si>
  <si>
    <t>http://www.imdb.com/title/tt1226232/?ref_=fn_tt_tt_1</t>
  </si>
  <si>
    <t>Snow Flower and the Secret Fan </t>
  </si>
  <si>
    <t>http://www.imdb.com/title/tt1541995/?ref_=fn_tt_tt_1</t>
  </si>
  <si>
    <t>Come Early Morning </t>
  </si>
  <si>
    <t>http://www.imdb.com/title/tt0457308/?ref_=fn_tt_tt_1</t>
  </si>
  <si>
    <t>Lucky Break </t>
  </si>
  <si>
    <t>http://www.imdb.com/title/tt0246134/?ref_=fn_tt_tt_1</t>
  </si>
  <si>
    <t>Surfer, Dude </t>
  </si>
  <si>
    <t>http://www.imdb.com/title/tt0976247/?ref_=fn_tt_tt_1</t>
  </si>
  <si>
    <t>Deadfall </t>
  </si>
  <si>
    <t>http://www.imdb.com/title/tt1667310/?ref_=fn_tt_tt_1</t>
  </si>
  <si>
    <t>L'auberge espagnole </t>
  </si>
  <si>
    <t>http://www.imdb.com/title/tt0283900/?ref_=fn_tt_tt_1</t>
  </si>
  <si>
    <t>Song One </t>
  </si>
  <si>
    <t>http://www.imdb.com/title/tt2182972/?ref_=fn_tt_tt_1</t>
  </si>
  <si>
    <t>Winter in Wartime </t>
  </si>
  <si>
    <t>http://www.imdb.com/title/tt0795441/?ref_=fn_tt_tt_1</t>
  </si>
  <si>
    <t>The Protector </t>
  </si>
  <si>
    <t>http://www.imdb.com/title/tt0427954/?ref_=fn_tt_tt_1</t>
  </si>
  <si>
    <t>Bend It Like Beckham </t>
  </si>
  <si>
    <t>http://www.imdb.com/title/tt0286499/?ref_=fn_tt_tt_1</t>
  </si>
  <si>
    <t>Sunshine State </t>
  </si>
  <si>
    <t>http://www.imdb.com/title/tt0286179/?ref_=fn_tt_tt_1</t>
  </si>
  <si>
    <t>Action|Sport</t>
  </si>
  <si>
    <t>Crossover </t>
  </si>
  <si>
    <t>http://www.imdb.com/title/tt0473024/?ref_=fn_tt_tt_1</t>
  </si>
  <si>
    <t>[Rec] 2 </t>
  </si>
  <si>
    <t>http://www.imdb.com/title/tt1245112/?ref_=fn_tt_tt_1</t>
  </si>
  <si>
    <t>Musical</t>
  </si>
  <si>
    <t>The Sting </t>
  </si>
  <si>
    <t>http://www.imdb.com/title/tt0070735/?ref_=fn_tt_tt_1</t>
  </si>
  <si>
    <t>Chariots of Fire </t>
  </si>
  <si>
    <t>http://www.imdb.com/title/tt0082158/?ref_=fn_tt_tt_1</t>
  </si>
  <si>
    <t>Diary of a Mad Black Woman </t>
  </si>
  <si>
    <t>http://www.imdb.com/title/tt0422093/?ref_=fn_tt_tt_1</t>
  </si>
  <si>
    <t>Shine </t>
  </si>
  <si>
    <t>http://www.imdb.com/title/tt0117631/?ref_=fn_tt_tt_1</t>
  </si>
  <si>
    <t>Don Jon </t>
  </si>
  <si>
    <t>http://www.imdb.com/title/tt2229499/?ref_=fn_tt_tt_1</t>
  </si>
  <si>
    <t>Ghost World </t>
  </si>
  <si>
    <t>http://www.imdb.com/title/tt0162346/?ref_=fn_tt_tt_1</t>
  </si>
  <si>
    <t>Iris </t>
  </si>
  <si>
    <t>http://www.imdb.com/title/tt0280778/?ref_=fn_tt_tt_1</t>
  </si>
  <si>
    <t>The Chorus </t>
  </si>
  <si>
    <t>http://www.imdb.com/title/tt0372824/?ref_=fn_tt_tt_1</t>
  </si>
  <si>
    <t>Mambo Italiano </t>
  </si>
  <si>
    <t>http://www.imdb.com/title/tt0330602/?ref_=fn_tt_tt_1</t>
  </si>
  <si>
    <t>Wonderland </t>
  </si>
  <si>
    <t>http://www.imdb.com/title/tt0335563/?ref_=fn_tt_tt_1</t>
  </si>
  <si>
    <t>Do the Right Thing </t>
  </si>
  <si>
    <t>http://www.imdb.com/title/tt0097216/?ref_=fn_tt_tt_1</t>
  </si>
  <si>
    <t>Harvard Man </t>
  </si>
  <si>
    <t>http://www.imdb.com/title/tt0242508/?ref_=fn_tt_tt_1</t>
  </si>
  <si>
    <t>Le Havre </t>
  </si>
  <si>
    <t>http://www.imdb.com/title/tt1508675/?ref_=fn_tt_tt_1</t>
  </si>
  <si>
    <t>Finland</t>
  </si>
  <si>
    <t>R100 </t>
  </si>
  <si>
    <t>http://www.imdb.com/title/tt2914838/?ref_=fn_tt_tt_1</t>
  </si>
  <si>
    <t>Salvation Boulevard </t>
  </si>
  <si>
    <t>http://www.imdb.com/title/tt1251743/?ref_=fn_tt_tt_1</t>
  </si>
  <si>
    <t>The Ten </t>
  </si>
  <si>
    <t>http://www.imdb.com/title/tt0811106/?ref_=fn_tt_tt_1</t>
  </si>
  <si>
    <t>Headhunters </t>
  </si>
  <si>
    <t>http://www.imdb.com/title/tt1614989/?ref_=fn_tt_tt_1</t>
  </si>
  <si>
    <t>Norwegian</t>
  </si>
  <si>
    <t>Saint Ralph </t>
  </si>
  <si>
    <t>http://www.imdb.com/title/tt0384488/?ref_=fn_tt_tt_1</t>
  </si>
  <si>
    <t>Insidious: Chapter 2 </t>
  </si>
  <si>
    <t>http://www.imdb.com/title/tt2226417/?ref_=fn_tt_tt_1</t>
  </si>
  <si>
    <t>Saw II </t>
  </si>
  <si>
    <t>http://www.imdb.com/title/tt0432348/?ref_=fn_tt_tt_1</t>
  </si>
  <si>
    <t>Drama|Horror|Mystery|Sci-Fi|Thriller</t>
  </si>
  <si>
    <t>10 Cloverfield Lane </t>
  </si>
  <si>
    <t>http://www.imdb.com/title/tt1179933/?ref_=fn_tt_tt_1</t>
  </si>
  <si>
    <t>Comedy|Documentary</t>
  </si>
  <si>
    <t>Jackass: The Movie </t>
  </si>
  <si>
    <t>http://www.imdb.com/title/tt0322802/?ref_=fn_tt_tt_1</t>
  </si>
  <si>
    <t>Lights Out </t>
  </si>
  <si>
    <t>http://www.imdb.com/title/tt4786282/?ref_=fn_tt_tt_1</t>
  </si>
  <si>
    <t>Paranormal Activity 3 </t>
  </si>
  <si>
    <t>http://www.imdb.com/title/tt1778304/?ref_=fn_tt_tt_1</t>
  </si>
  <si>
    <t>Ouija </t>
  </si>
  <si>
    <t>http://www.imdb.com/title/tt1204977/?ref_=fn_tt_tt_1</t>
  </si>
  <si>
    <t>A Nightmare on Elm Street 3: Dream Warriors </t>
  </si>
  <si>
    <t>http://www.imdb.com/title/tt0093629/?ref_=fn_tt_tt_1</t>
  </si>
  <si>
    <t>Instructions Not Included </t>
  </si>
  <si>
    <t>http://www.imdb.com/title/tt2378281/?ref_=fn_tt_tt_1</t>
  </si>
  <si>
    <t>Paranormal Activity 4 </t>
  </si>
  <si>
    <t>http://www.imdb.com/title/tt2109184/?ref_=fn_tt_tt_1</t>
  </si>
  <si>
    <t>The Robe </t>
  </si>
  <si>
    <t>http://www.imdb.com/title/tt0046247/?ref_=fn_tt_tt_1</t>
  </si>
  <si>
    <t>Freddy's Dead: The Final Nightmare </t>
  </si>
  <si>
    <t>http://www.imdb.com/title/tt0101917/?ref_=fn_tt_tt_1</t>
  </si>
  <si>
    <t>Monster </t>
  </si>
  <si>
    <t>http://www.imdb.com/title/tt0340855/?ref_=fn_tt_tt_1</t>
  </si>
  <si>
    <t>Paranormal Activity: The Marked Ones </t>
  </si>
  <si>
    <t>http://www.imdb.com/title/tt2473682/?ref_=fn_tt_tt_1</t>
  </si>
  <si>
    <t>Dallas Buyers Club </t>
  </si>
  <si>
    <t>http://www.imdb.com/title/tt0790636/?ref_=fn_tt_tt_1</t>
  </si>
  <si>
    <t>The Lazarus Effect </t>
  </si>
  <si>
    <t>http://www.imdb.com/title/tt2918436/?ref_=fn_tt_tt_1</t>
  </si>
  <si>
    <t>Memento </t>
  </si>
  <si>
    <t>http://www.imdb.com/title/tt0209144/?ref_=fn_tt_tt_1</t>
  </si>
  <si>
    <t>Oculus </t>
  </si>
  <si>
    <t>http://www.imdb.com/title/tt2388715/?ref_=fn_tt_tt_1</t>
  </si>
  <si>
    <t>Clerks II </t>
  </si>
  <si>
    <t>http://www.imdb.com/title/tt0424345/?ref_=fn_tt_tt_1</t>
  </si>
  <si>
    <t>Billy Elliot </t>
  </si>
  <si>
    <t>http://www.imdb.com/title/tt0249462/?ref_=fn_tt_tt_1</t>
  </si>
  <si>
    <t>The Way Way Back </t>
  </si>
  <si>
    <t>http://www.imdb.com/title/tt1727388/?ref_=fn_tt_tt_1</t>
  </si>
  <si>
    <t>House Party 2 </t>
  </si>
  <si>
    <t>http://www.imdb.com/title/tt0102065/?ref_=fn_tt_tt_1</t>
  </si>
  <si>
    <t>Doug's 1st Movie </t>
  </si>
  <si>
    <t>http://www.imdb.com/title/tt0187819/?ref_=fn_tt_tt_1</t>
  </si>
  <si>
    <t>The Apostle </t>
  </si>
  <si>
    <t>http://www.imdb.com/title/tt0118632/?ref_=fn_tt_tt_1</t>
  </si>
  <si>
    <t>Our Idiot Brother </t>
  </si>
  <si>
    <t>http://www.imdb.com/title/tt1637706/?ref_=fn_tt_tt_1</t>
  </si>
  <si>
    <t>The Players Club </t>
  </si>
  <si>
    <t>http://www.imdb.com/title/tt0119905/?ref_=fn_tt_tt_1</t>
  </si>
  <si>
    <t>As Above, So Below </t>
  </si>
  <si>
    <t>http://www.imdb.com/title/tt2870612/?ref_=fn_tt_tt_1</t>
  </si>
  <si>
    <t>Addicted </t>
  </si>
  <si>
    <t>http://www.imdb.com/title/tt2205401/?ref_=fn_tt_tt_1</t>
  </si>
  <si>
    <t>Still Alice </t>
  </si>
  <si>
    <t>http://www.imdb.com/title/tt3316960/?ref_=fn_tt_tt_1</t>
  </si>
  <si>
    <t>Adventure|Horror</t>
  </si>
  <si>
    <t>Friday the 13th Part VIII: Jason Takes Manhattan </t>
  </si>
  <si>
    <t>http://www.imdb.com/title/tt0097388/?ref_=fn_tt_tt_1</t>
  </si>
  <si>
    <t>My Big Fat Greek Wedding </t>
  </si>
  <si>
    <t>http://www.imdb.com/title/tt0259446/?ref_=fn_tt_tt_1</t>
  </si>
  <si>
    <t>Spring Breakers </t>
  </si>
  <si>
    <t>http://www.imdb.com/title/tt2101441/?ref_=fn_tt_tt_1</t>
  </si>
  <si>
    <t>Halloween: The Curse of Michael Myers </t>
  </si>
  <si>
    <t>http://www.imdb.com/title/tt0113253/?ref_=fn_tt_tt_1</t>
  </si>
  <si>
    <t>Y Tu Mamá También </t>
  </si>
  <si>
    <t>http://www.imdb.com/title/tt0245574/?ref_=fn_tt_tt_1</t>
  </si>
  <si>
    <t>Shaun of the Dead </t>
  </si>
  <si>
    <t>http://www.imdb.com/title/tt0365748/?ref_=fn_tt_tt_1</t>
  </si>
  <si>
    <t>The Haunting of Molly Hartley </t>
  </si>
  <si>
    <t>http://www.imdb.com/title/tt1045655/?ref_=fn_tt_tt_1</t>
  </si>
  <si>
    <t>Lone Star </t>
  </si>
  <si>
    <t>http://www.imdb.com/title/tt0116905/?ref_=fn_tt_tt_1</t>
  </si>
  <si>
    <t>Halloween 4: The Return of Michael Myers </t>
  </si>
  <si>
    <t>http://www.imdb.com/title/tt0095271/?ref_=fn_tt_tt_1</t>
  </si>
  <si>
    <t>April Fool's Day </t>
  </si>
  <si>
    <t>http://www.imdb.com/title/tt0090655/?ref_=fn_tt_tt_1</t>
  </si>
  <si>
    <t>Diner </t>
  </si>
  <si>
    <t>http://www.imdb.com/title/tt0083833/?ref_=fn_tt_tt_1</t>
  </si>
  <si>
    <t>Lone Wolf McQuade </t>
  </si>
  <si>
    <t>http://www.imdb.com/title/tt0085862/?ref_=fn_tt_tt_1</t>
  </si>
  <si>
    <t>Apollo 18 </t>
  </si>
  <si>
    <t>http://www.imdb.com/title/tt1772240/?ref_=fn_tt_tt_1</t>
  </si>
  <si>
    <t>Sunshine Cleaning </t>
  </si>
  <si>
    <t>http://www.imdb.com/title/tt0862846/?ref_=fn_tt_tt_1</t>
  </si>
  <si>
    <t>No Escape </t>
  </si>
  <si>
    <t>http://www.imdb.com/title/tt1781922/?ref_=fn_tt_tt_1</t>
  </si>
  <si>
    <t>Fifty Shades of Black </t>
  </si>
  <si>
    <t>http://www.imdb.com/title/tt4667094/?ref_=fn_tt_tt_1</t>
  </si>
  <si>
    <t>Not Easily Broken </t>
  </si>
  <si>
    <t>http://www.imdb.com/title/tt0795438/?ref_=fn_tt_tt_1</t>
  </si>
  <si>
    <t>The Perfect Match </t>
  </si>
  <si>
    <t>http://www.imdb.com/title/tt4871980/?ref_=fn_tt_tt_1</t>
  </si>
  <si>
    <t>Digimon: The Movie </t>
  </si>
  <si>
    <t>http://www.imdb.com/title/tt0259974/?ref_=fn_tt_tt_1</t>
  </si>
  <si>
    <t>Saved! </t>
  </si>
  <si>
    <t>http://www.imdb.com/title/tt0332375/?ref_=fn_tt_tt_1</t>
  </si>
  <si>
    <t>The Barbarian Invasions </t>
  </si>
  <si>
    <t>http://www.imdb.com/title/tt0338135/?ref_=fn_tt_tt_1</t>
  </si>
  <si>
    <t>The Forsaken </t>
  </si>
  <si>
    <t>http://www.imdb.com/title/tt0245120/?ref_=fn_tt_tt_1</t>
  </si>
  <si>
    <t>UHF </t>
  </si>
  <si>
    <t>http://www.imdb.com/title/tt0098546/?ref_=fn_tt_tt_1</t>
  </si>
  <si>
    <t>Slums of Beverly Hills </t>
  </si>
  <si>
    <t>http://www.imdb.com/title/tt0120831/?ref_=fn_tt_tt_1</t>
  </si>
  <si>
    <t>Made </t>
  </si>
  <si>
    <t>http://www.imdb.com/title/tt0227005/?ref_=fn_tt_tt_1</t>
  </si>
  <si>
    <t>Moon </t>
  </si>
  <si>
    <t>http://www.imdb.com/title/tt1182345/?ref_=fn_tt_tt_1</t>
  </si>
  <si>
    <t>Sea Rex 3D: Journey to a Prehistoric World </t>
  </si>
  <si>
    <t>http://www.imdb.com/title/tt1529567/?ref_=fn_tt_tt_1</t>
  </si>
  <si>
    <t>The Sweet Hereafter </t>
  </si>
  <si>
    <t>http://www.imdb.com/title/tt0120255/?ref_=fn_tt_tt_1</t>
  </si>
  <si>
    <t>Of Gods and Men </t>
  </si>
  <si>
    <t>http://www.imdb.com/title/tt1588337/?ref_=fn_tt_tt_1</t>
  </si>
  <si>
    <t>Bottle Shock </t>
  </si>
  <si>
    <t>http://www.imdb.com/title/tt0914797/?ref_=fn_tt_tt_1</t>
  </si>
  <si>
    <t>Biography|Crime|Drama|Romance|Thriller</t>
  </si>
  <si>
    <t>Heavenly Creatures </t>
  </si>
  <si>
    <t>http://www.imdb.com/title/tt0110005/?ref_=fn_tt_tt_1</t>
  </si>
  <si>
    <t>Everything Must Go </t>
  </si>
  <si>
    <t>http://www.imdb.com/title/tt1531663/?ref_=fn_tt_tt_1</t>
  </si>
  <si>
    <t>Comedy|Crime|Drama|Mystery|Thriller</t>
  </si>
  <si>
    <t>Zero Effect </t>
  </si>
  <si>
    <t>http://www.imdb.com/title/tt0120906/?ref_=fn_tt_tt_1</t>
  </si>
  <si>
    <t>The Machinist </t>
  </si>
  <si>
    <t>http://www.imdb.com/title/tt0361862/?ref_=fn_tt_tt_1</t>
  </si>
  <si>
    <t>Light Sleeper </t>
  </si>
  <si>
    <t>http://www.imdb.com/title/tt0102307/?ref_=fn_tt_tt_1</t>
  </si>
  <si>
    <t>Biography|Crime|Drama|Mystery|Thriller</t>
  </si>
  <si>
    <t>Kill the Messenger </t>
  </si>
  <si>
    <t>http://www.imdb.com/title/tt1216491/?ref_=fn_tt_tt_1</t>
  </si>
  <si>
    <t>Rabbit Hole </t>
  </si>
  <si>
    <t>http://www.imdb.com/title/tt0935075/?ref_=fn_tt_tt_1</t>
  </si>
  <si>
    <t>Party Monster </t>
  </si>
  <si>
    <t>http://www.imdb.com/title/tt0320244/?ref_=fn_tt_tt_1</t>
  </si>
  <si>
    <t>Crime|Horror|Music|Thriller</t>
  </si>
  <si>
    <t>Green Room </t>
  </si>
  <si>
    <t>http://www.imdb.com/title/tt4062536/?ref_=fn_tt_tt_1</t>
  </si>
  <si>
    <t>Atlas Shrugged: Who Is John Galt? </t>
  </si>
  <si>
    <t>http://www.imdb.com/title/tt2800038/?ref_=fn_tt_tt_1</t>
  </si>
  <si>
    <t>Bottle Rocket </t>
  </si>
  <si>
    <t>http://www.imdb.com/title/tt0115734/?ref_=fn_tt_tt_1</t>
  </si>
  <si>
    <t>Albino Alligator </t>
  </si>
  <si>
    <t>http://www.imdb.com/title/tt0115495/?ref_=fn_tt_tt_1</t>
  </si>
  <si>
    <t>Crime|Documentary|War</t>
  </si>
  <si>
    <t>Lovely, Still </t>
  </si>
  <si>
    <t>http://www.imdb.com/title/tt1150947/?ref_=fn_tt_tt_1</t>
  </si>
  <si>
    <t>Desert Blue </t>
  </si>
  <si>
    <t>http://www.imdb.com/title/tt0126261/?ref_=fn_tt_tt_1</t>
  </si>
  <si>
    <t>The Visit </t>
  </si>
  <si>
    <t>http://www.imdb.com/title/tt3567288/?ref_=fn_tt_tt_1</t>
  </si>
  <si>
    <t>Crime|Thriller|War</t>
  </si>
  <si>
    <t>Redacted </t>
  </si>
  <si>
    <t>http://www.imdb.com/title/tt0937237/?ref_=fn_tt_tt_1</t>
  </si>
  <si>
    <t>Fascination </t>
  </si>
  <si>
    <t>http://www.imdb.com/title/tt0305632/?ref_=fn_tt_tt_1</t>
  </si>
  <si>
    <t>Rudderless </t>
  </si>
  <si>
    <t>http://www.imdb.com/title/tt1798243/?ref_=fn_tt_tt_1</t>
  </si>
  <si>
    <t>Family</t>
  </si>
  <si>
    <t>Comedy|Drama|Romance|War</t>
  </si>
  <si>
    <t>I Served the King of England </t>
  </si>
  <si>
    <t>http://www.imdb.com/title/tt0284363/?ref_=fn_tt_tt_1</t>
  </si>
  <si>
    <t>Czech</t>
  </si>
  <si>
    <t>Soul Kitchen </t>
  </si>
  <si>
    <t>http://www.imdb.com/title/tt1244668/?ref_=fn_tt_tt_1</t>
  </si>
  <si>
    <t>Sling Blade </t>
  </si>
  <si>
    <t>http://www.imdb.com/title/tt0117666/?ref_=fn_tt_tt_1</t>
  </si>
  <si>
    <t>Hostel </t>
  </si>
  <si>
    <t>http://www.imdb.com/title/tt0450278/?ref_=fn_tt_tt_1</t>
  </si>
  <si>
    <t>Tristram Shandy: A Cock and Bull Story </t>
  </si>
  <si>
    <t>http://www.imdb.com/title/tt0423409/?ref_=fn_tt_tt_1</t>
  </si>
  <si>
    <t>Take Shelter </t>
  </si>
  <si>
    <t>http://www.imdb.com/title/tt1675192/?ref_=fn_tt_tt_1</t>
  </si>
  <si>
    <t>Lady in White </t>
  </si>
  <si>
    <t>http://www.imdb.com/title/tt0095484/?ref_=fn_tt_tt_1</t>
  </si>
  <si>
    <t>The Texas Chainsaw Massacre 2 </t>
  </si>
  <si>
    <t>http://www.imdb.com/title/tt0092076/?ref_=fn_tt_tt_1</t>
  </si>
  <si>
    <t>Only God Forgives </t>
  </si>
  <si>
    <t>http://www.imdb.com/title/tt1602613/?ref_=fn_tt_tt_1</t>
  </si>
  <si>
    <t>The Names of Love </t>
  </si>
  <si>
    <t>http://www.imdb.com/title/tt1646974/?ref_=fn_tt_tt_1</t>
  </si>
  <si>
    <t>Savage Grace </t>
  </si>
  <si>
    <t>http://www.imdb.com/title/tt0379976/?ref_=fn_tt_tt_1</t>
  </si>
  <si>
    <t>Police Academy </t>
  </si>
  <si>
    <t>http://www.imdb.com/title/tt0087928/?ref_=fn_tt_tt_1</t>
  </si>
  <si>
    <t>Four Weddings and a Funeral </t>
  </si>
  <si>
    <t>http://www.imdb.com/title/tt0109831/?ref_=fn_tt_tt_1</t>
  </si>
  <si>
    <t>25th Hour </t>
  </si>
  <si>
    <t>http://www.imdb.com/title/tt0307901/?ref_=fn_tt_tt_1</t>
  </si>
  <si>
    <t>Bound </t>
  </si>
  <si>
    <t>http://www.imdb.com/title/tt0115736/?ref_=fn_tt_tt_1</t>
  </si>
  <si>
    <t>Requiem for a Dream </t>
  </si>
  <si>
    <t>http://www.imdb.com/title/tt0180093/?ref_=fn_tt_tt_1</t>
  </si>
  <si>
    <t>Drama|Musical</t>
  </si>
  <si>
    <t>Tango </t>
  </si>
  <si>
    <t>http://www.imdb.com/title/tt0120274/?ref_=fn_tt_tt_1</t>
  </si>
  <si>
    <t>Moms' Night Out </t>
  </si>
  <si>
    <t>http://www.imdb.com/title/tt3014666/?ref_=fn_tt_tt_1</t>
  </si>
  <si>
    <t>Donnie Darko </t>
  </si>
  <si>
    <t>http://www.imdb.com/title/tt0246578/?ref_=fn_tt_tt_1</t>
  </si>
  <si>
    <t>Character </t>
  </si>
  <si>
    <t>http://www.imdb.com/title/tt0119448/?ref_=fn_tt_tt_1</t>
  </si>
  <si>
    <t>Spun </t>
  </si>
  <si>
    <t>http://www.imdb.com/title/tt0283003/?ref_=fn_tt_tt_1</t>
  </si>
  <si>
    <t>Lady Vengeance </t>
  </si>
  <si>
    <t>http://www.imdb.com/title/tt0451094/?ref_=fn_tt_tt_1</t>
  </si>
  <si>
    <t>Mean Machine </t>
  </si>
  <si>
    <t>http://www.imdb.com/title/tt0291341/?ref_=fn_tt_tt_1</t>
  </si>
  <si>
    <t>Exiled </t>
  </si>
  <si>
    <t>http://www.imdb.com/title/tt0796212/?ref_=fn_tt_tt_1</t>
  </si>
  <si>
    <t>After.Life </t>
  </si>
  <si>
    <t>http://www.imdb.com/title/tt0838247/?ref_=fn_tt_tt_1</t>
  </si>
  <si>
    <t>One Flew Over the Cuckoo's Nest </t>
  </si>
  <si>
    <t>http://www.imdb.com/title/tt0073486/?ref_=fn_tt_tt_1</t>
  </si>
  <si>
    <t>Falcon Rising </t>
  </si>
  <si>
    <t>http://www.imdb.com/title/tt2295722/?ref_=fn_tt_tt_1</t>
  </si>
  <si>
    <t>The Sweeney </t>
  </si>
  <si>
    <t>http://www.imdb.com/title/tt0857190/?ref_=fn_tt_tt_1</t>
  </si>
  <si>
    <t>Whale Rider </t>
  </si>
  <si>
    <t>http://www.imdb.com/title/tt0298228/?ref_=fn_tt_tt_1</t>
  </si>
  <si>
    <t>Paa </t>
  </si>
  <si>
    <t>http://www.imdb.com/title/tt1532957/?ref_=fn_tt_tt_1</t>
  </si>
  <si>
    <t>Fantasy|Thriller</t>
  </si>
  <si>
    <t>Night Watch </t>
  </si>
  <si>
    <t>http://www.imdb.com/title/tt0403358/?ref_=fn_tt_tt_1</t>
  </si>
  <si>
    <t>The Crying Game </t>
  </si>
  <si>
    <t>http://www.imdb.com/title/tt0104036/?ref_=fn_tt_tt_1</t>
  </si>
  <si>
    <t>Porky's </t>
  </si>
  <si>
    <t>http://www.imdb.com/title/tt0084522/?ref_=fn_tt_tt_1</t>
  </si>
  <si>
    <t>Survival of the Dead </t>
  </si>
  <si>
    <t>http://www.imdb.com/title/tt1134854/?ref_=fn_tt_tt_1</t>
  </si>
  <si>
    <t>Lost in Translation </t>
  </si>
  <si>
    <t>http://www.imdb.com/title/tt0335266/?ref_=fn_tt_tt_1</t>
  </si>
  <si>
    <t>Annie Hall </t>
  </si>
  <si>
    <t>http://www.imdb.com/title/tt0075686/?ref_=fn_tt_tt_1</t>
  </si>
  <si>
    <t>The Greatest Show on Earth </t>
  </si>
  <si>
    <t>http://www.imdb.com/title/tt0044672/?ref_=fn_tt_tt_1</t>
  </si>
  <si>
    <t>Monster's Ball </t>
  </si>
  <si>
    <t>http://www.imdb.com/title/tt0285742/?ref_=fn_tt_tt_1</t>
  </si>
  <si>
    <t>Maggie </t>
  </si>
  <si>
    <t>http://www.imdb.com/title/tt1881002/?ref_=fn_tt_tt_1</t>
  </si>
  <si>
    <t>Leaving Las Vegas </t>
  </si>
  <si>
    <t>http://www.imdb.com/title/tt0113627/?ref_=fn_tt_tt_1</t>
  </si>
  <si>
    <t>The Boy Next Door </t>
  </si>
  <si>
    <t>http://www.imdb.com/title/tt3181822/?ref_=fn_tt_tt_1</t>
  </si>
  <si>
    <t>The Kids Are All Right </t>
  </si>
  <si>
    <t>http://www.imdb.com/title/tt0842926/?ref_=fn_tt_tt_1</t>
  </si>
  <si>
    <t>They Live </t>
  </si>
  <si>
    <t>http://www.imdb.com/title/tt0096256/?ref_=fn_tt_tt_1</t>
  </si>
  <si>
    <t>The Last Exorcism Part II </t>
  </si>
  <si>
    <t>http://www.imdb.com/title/tt2034139/?ref_=fn_tt_tt_1</t>
  </si>
  <si>
    <t>Boyhood </t>
  </si>
  <si>
    <t>http://www.imdb.com/title/tt1065073/?ref_=fn_tt_tt_1</t>
  </si>
  <si>
    <t>Scoop </t>
  </si>
  <si>
    <t>http://www.imdb.com/title/tt0457513/?ref_=fn_tt_tt_1</t>
  </si>
  <si>
    <t>The Wash </t>
  </si>
  <si>
    <t>http://www.imdb.com/title/tt0290332/?ref_=fn_tt_tt_1</t>
  </si>
  <si>
    <t>3 Strikes </t>
  </si>
  <si>
    <t>http://www.imdb.com/title/tt0199290/?ref_=fn_tt_tt_1</t>
  </si>
  <si>
    <t>Crime|Drama|Fantasy|Romance</t>
  </si>
  <si>
    <t>The Cooler </t>
  </si>
  <si>
    <t>http://www.imdb.com/title/tt0318374/?ref_=fn_tt_tt_1</t>
  </si>
  <si>
    <t>The Night Listener </t>
  </si>
  <si>
    <t>http://www.imdb.com/title/tt0448075/?ref_=fn_tt_tt_1</t>
  </si>
  <si>
    <t>The Orphanage </t>
  </si>
  <si>
    <t>http://www.imdb.com/title/tt0464141/?ref_=fn_tt_tt_1</t>
  </si>
  <si>
    <t>A Haunted House 2 </t>
  </si>
  <si>
    <t>http://www.imdb.com/title/tt2828996/?ref_=fn_tt_tt_1</t>
  </si>
  <si>
    <t>The Rules of Attraction </t>
  </si>
  <si>
    <t>http://www.imdb.com/title/tt0292644/?ref_=fn_tt_tt_1</t>
  </si>
  <si>
    <t>Four Rooms </t>
  </si>
  <si>
    <t>http://www.imdb.com/title/tt0113101/?ref_=fn_tt_tt_1</t>
  </si>
  <si>
    <t>Secretary </t>
  </si>
  <si>
    <t>http://www.imdb.com/title/tt0274812/?ref_=fn_tt_tt_1</t>
  </si>
  <si>
    <t>The Real Cancun </t>
  </si>
  <si>
    <t>http://www.imdb.com/title/tt0360916/?ref_=fn_tt_tt_1</t>
  </si>
  <si>
    <t>Talk Radio </t>
  </si>
  <si>
    <t>http://www.imdb.com/title/tt0096219/?ref_=fn_tt_tt_1</t>
  </si>
  <si>
    <t>Waiting for Guffman </t>
  </si>
  <si>
    <t>http://www.imdb.com/title/tt0118111/?ref_=fn_tt_tt_1</t>
  </si>
  <si>
    <t>Love Stinks </t>
  </si>
  <si>
    <t>http://www.imdb.com/title/tt0188863/?ref_=fn_tt_tt_1</t>
  </si>
  <si>
    <t>You Kill Me </t>
  </si>
  <si>
    <t>http://www.imdb.com/title/tt0796375/?ref_=fn_tt_tt_1</t>
  </si>
  <si>
    <t>Thumbsucker </t>
  </si>
  <si>
    <t>http://www.imdb.com/title/tt0318761/?ref_=fn_tt_tt_1</t>
  </si>
  <si>
    <t>Mirrormask </t>
  </si>
  <si>
    <t>http://www.imdb.com/title/tt0366780/?ref_=fn_tt_tt_1</t>
  </si>
  <si>
    <t>Samsara </t>
  </si>
  <si>
    <t>http://www.imdb.com/title/tt0770802/?ref_=fn_tt_tt_1</t>
  </si>
  <si>
    <t>The Barbarians </t>
  </si>
  <si>
    <t>http://www.imdb.com/title/tt0092615/?ref_=fn_tt_tt_1</t>
  </si>
  <si>
    <t>Poolhall Junkies </t>
  </si>
  <si>
    <t>http://www.imdb.com/title/tt0273982/?ref_=fn_tt_tt_1</t>
  </si>
  <si>
    <t>The Loss of Sexual Innocence </t>
  </si>
  <si>
    <t>http://www.imdb.com/title/tt0126859/?ref_=fn_tt_tt_1</t>
  </si>
  <si>
    <t>Joe </t>
  </si>
  <si>
    <t>http://www.imdb.com/title/tt2382396/?ref_=fn_tt_tt_1</t>
  </si>
  <si>
    <t>Shooting Fish </t>
  </si>
  <si>
    <t>http://www.imdb.com/title/tt0120122/?ref_=fn_tt_tt_1</t>
  </si>
  <si>
    <t>Prison </t>
  </si>
  <si>
    <t>http://www.imdb.com/title/tt0095904/?ref_=fn_tt_tt_1</t>
  </si>
  <si>
    <t>Comedy|Horror|Mystery</t>
  </si>
  <si>
    <t>Psycho Beach Party </t>
  </si>
  <si>
    <t>http://www.imdb.com/title/tt0206226/?ref_=fn_tt_tt_1</t>
  </si>
  <si>
    <t>The Big Tease </t>
  </si>
  <si>
    <t>http://www.imdb.com/title/tt0156639/?ref_=fn_tt_tt_1</t>
  </si>
  <si>
    <t>Buen Día, Ramón </t>
  </si>
  <si>
    <t>http://www.imdb.com/title/tt2876428/?ref_=fn_tt_tt_1</t>
  </si>
  <si>
    <t>Trust </t>
  </si>
  <si>
    <t>http://www.imdb.com/title/tt1529572/?ref_=fn_tt_tt_1</t>
  </si>
  <si>
    <t>An Everlasting Piece </t>
  </si>
  <si>
    <t>http://www.imdb.com/title/tt0218182/?ref_=fn_tt_tt_1</t>
  </si>
  <si>
    <t>Among Giants </t>
  </si>
  <si>
    <t>http://www.imdb.com/title/tt0122906/?ref_=fn_tt_tt_1</t>
  </si>
  <si>
    <t>Adore </t>
  </si>
  <si>
    <t>http://www.imdb.com/title/tt2103267/?ref_=fn_tt_tt_1</t>
  </si>
  <si>
    <t>Mondays in the Sun </t>
  </si>
  <si>
    <t>http://www.imdb.com/title/tt0319769/?ref_=fn_tt_tt_1</t>
  </si>
  <si>
    <t>Stake Land </t>
  </si>
  <si>
    <t>http://www.imdb.com/title/tt1464580/?ref_=fn_tt_tt_1</t>
  </si>
  <si>
    <t>Futuro Beach </t>
  </si>
  <si>
    <t>http://www.imdb.com/title/tt2199543/?ref_=fn_tt_tt_1</t>
  </si>
  <si>
    <t>Inescapable </t>
  </si>
  <si>
    <t>http://www.imdb.com/title/tt1844203/?ref_=fn_tt_tt_1</t>
  </si>
  <si>
    <t>Gone with the Wind </t>
  </si>
  <si>
    <t>http://www.imdb.com/title/tt0031381/?ref_=fn_tt_tt_1</t>
  </si>
  <si>
    <t>Desert Dancer </t>
  </si>
  <si>
    <t>http://www.imdb.com/title/tt2403393/?ref_=fn_tt_tt_1</t>
  </si>
  <si>
    <t>Adventure|War|Western</t>
  </si>
  <si>
    <t>Major Dundee </t>
  </si>
  <si>
    <t>http://www.imdb.com/title/tt0059418/?ref_=fn_tt_tt_1</t>
  </si>
  <si>
    <t>Biography|Comedy|Musical|Romance|Western</t>
  </si>
  <si>
    <t>Annie Get Your Gun </t>
  </si>
  <si>
    <t>http://www.imdb.com/title/tt0042200/?ref_=fn_tt_tt_1</t>
  </si>
  <si>
    <t>Defendor </t>
  </si>
  <si>
    <t>http://www.imdb.com/title/tt1303828/?ref_=fn_tt_tt_1</t>
  </si>
  <si>
    <t>Adventure|Comedy|Musical|Romance</t>
  </si>
  <si>
    <t>The Pirate </t>
  </si>
  <si>
    <t>http://www.imdb.com/title/tt0040694/?ref_=fn_tt_tt_1</t>
  </si>
  <si>
    <t>The Good Heart </t>
  </si>
  <si>
    <t>http://www.imdb.com/title/tt0808285/?ref_=fn_tt_tt_1</t>
  </si>
  <si>
    <t>The History Boys </t>
  </si>
  <si>
    <t>http://www.imdb.com/title/tt0464049/?ref_=fn_tt_tt_1</t>
  </si>
  <si>
    <t>The Full Monty </t>
  </si>
  <si>
    <t>http://www.imdb.com/title/tt0119164/?ref_=fn_tt_tt_1</t>
  </si>
  <si>
    <t>Airplane! </t>
  </si>
  <si>
    <t>http://www.imdb.com/title/tt0080339/?ref_=fn_tt_tt_1</t>
  </si>
  <si>
    <t>Friday </t>
  </si>
  <si>
    <t>http://www.imdb.com/title/tt0113118/?ref_=fn_tt_tt_1</t>
  </si>
  <si>
    <t>Menace II Society </t>
  </si>
  <si>
    <t>http://www.imdb.com/title/tt0107554/?ref_=fn_tt_tt_1</t>
  </si>
  <si>
    <t>Creepshow 2 </t>
  </si>
  <si>
    <t>http://www.imdb.com/title/tt0092796/?ref_=fn_tt_tt_1</t>
  </si>
  <si>
    <t>The Witch </t>
  </si>
  <si>
    <t>http://www.imdb.com/title/tt4263482/?ref_=fn_tt_tt_1</t>
  </si>
  <si>
    <t>I Got the Hook Up </t>
  </si>
  <si>
    <t>http://www.imdb.com/title/tt0131436/?ref_=fn_tt_tt_1</t>
  </si>
  <si>
    <t>She's the One </t>
  </si>
  <si>
    <t>http://www.imdb.com/title/tt0117628/?ref_=fn_tt_tt_1</t>
  </si>
  <si>
    <t>Gods and Monsters </t>
  </si>
  <si>
    <t>http://www.imdb.com/title/tt0120684/?ref_=fn_tt_tt_1</t>
  </si>
  <si>
    <t>The Secret in Their Eyes </t>
  </si>
  <si>
    <t>http://www.imdb.com/title/tt1305806/?ref_=fn_tt_tt_1</t>
  </si>
  <si>
    <t>Argentina</t>
  </si>
  <si>
    <t>Evil Dead II </t>
  </si>
  <si>
    <t>http://www.imdb.com/title/tt0092991/?ref_=fn_tt_tt_1</t>
  </si>
  <si>
    <t>Action|Adventure|Comedy|Musical</t>
  </si>
  <si>
    <t>Pootie Tang </t>
  </si>
  <si>
    <t>http://www.imdb.com/title/tt0258038/?ref_=fn_tt_tt_1</t>
  </si>
  <si>
    <t>La otra conquista </t>
  </si>
  <si>
    <t>http://www.imdb.com/title/tt0175996/?ref_=fn_tt_tt_1</t>
  </si>
  <si>
    <t>Comedy|Drama|Fantasy|Horror</t>
  </si>
  <si>
    <t>Trollhunter </t>
  </si>
  <si>
    <t>http://www.imdb.com/title/tt1740707/?ref_=fn_tt_tt_1</t>
  </si>
  <si>
    <t>Ira &amp; Abby </t>
  </si>
  <si>
    <t>http://www.imdb.com/title/tt0480251/?ref_=fn_tt_tt_1</t>
  </si>
  <si>
    <t>D.E.B.S. </t>
  </si>
  <si>
    <t>http://www.imdb.com/title/tt0367631/?ref_=fn_tt_tt_1</t>
  </si>
  <si>
    <t>Action|Biography|Crime|Drama|Family|Fantasy</t>
  </si>
  <si>
    <t>The Masked Saint </t>
  </si>
  <si>
    <t>http://www.imdb.com/title/tt3103166/?ref_=fn_tt_tt_1</t>
  </si>
  <si>
    <t>Time to Choose </t>
  </si>
  <si>
    <t>http://www.imdb.com/title/tt5001130/?ref_=fn_tt_tt_1</t>
  </si>
  <si>
    <t>March of the Penguins </t>
  </si>
  <si>
    <t>http://www.imdb.com/title/tt0428803/?ref_=fn_tt_tt_1</t>
  </si>
  <si>
    <t>Margin Call </t>
  </si>
  <si>
    <t>http://www.imdb.com/title/tt1615147/?ref_=fn_tt_tt_1</t>
  </si>
  <si>
    <t>Choke </t>
  </si>
  <si>
    <t>http://www.imdb.com/title/tt1024715/?ref_=fn_tt_tt_1</t>
  </si>
  <si>
    <t>Whiplash </t>
  </si>
  <si>
    <t>http://www.imdb.com/title/tt2582802/?ref_=fn_tt_tt_1</t>
  </si>
  <si>
    <t>City of God </t>
  </si>
  <si>
    <t>http://www.imdb.com/title/tt0317248/?ref_=fn_tt_tt_1</t>
  </si>
  <si>
    <t>Human Traffic </t>
  </si>
  <si>
    <t>http://www.imdb.com/title/tt0188674/?ref_=fn_tt_tt_1</t>
  </si>
  <si>
    <t>The Hunt </t>
  </si>
  <si>
    <t>http://www.imdb.com/title/tt2106476/?ref_=fn_tt_tt_1</t>
  </si>
  <si>
    <t>Bella </t>
  </si>
  <si>
    <t>http://www.imdb.com/title/tt0482463/?ref_=fn_tt_tt_1</t>
  </si>
  <si>
    <t>Dreaming of Joseph Lees </t>
  </si>
  <si>
    <t>http://www.imdb.com/title/tt0144178/?ref_=fn_tt_tt_1</t>
  </si>
  <si>
    <t>Maria Full of Grace </t>
  </si>
  <si>
    <t>http://www.imdb.com/title/tt0390221/?ref_=fn_tt_tt_1</t>
  </si>
  <si>
    <t>Colombia</t>
  </si>
  <si>
    <t>Beginners </t>
  </si>
  <si>
    <t>http://www.imdb.com/title/tt1532503/?ref_=fn_tt_tt_1</t>
  </si>
  <si>
    <t>Animal House </t>
  </si>
  <si>
    <t>http://www.imdb.com/title/tt0077975/?ref_=fn_tt_tt_1</t>
  </si>
  <si>
    <t>Goldfinger </t>
  </si>
  <si>
    <t>http://www.imdb.com/title/tt0058150/?ref_=fn_tt_tt_1</t>
  </si>
  <si>
    <t>Trainspotting </t>
  </si>
  <si>
    <t>http://www.imdb.com/title/tt0117951/?ref_=fn_tt_tt_1</t>
  </si>
  <si>
    <t>The Original Kings of Comedy </t>
  </si>
  <si>
    <t>http://www.imdb.com/title/tt0236388/?ref_=fn_tt_tt_1</t>
  </si>
  <si>
    <t>Paranormal Activity 2 </t>
  </si>
  <si>
    <t>http://www.imdb.com/title/tt1536044/?ref_=fn_tt_tt_1</t>
  </si>
  <si>
    <t>Waking Ned Devine </t>
  </si>
  <si>
    <t>http://www.imdb.com/title/tt0166396/?ref_=fn_tt_tt_1</t>
  </si>
  <si>
    <t>Crime|Documentary|Drama</t>
  </si>
  <si>
    <t>Bowling for Columbine </t>
  </si>
  <si>
    <t>http://www.imdb.com/title/tt0310793/?ref_=fn_tt_tt_1</t>
  </si>
  <si>
    <t>A Nightmare on Elm Street 2: Freddy's Revenge </t>
  </si>
  <si>
    <t>http://www.imdb.com/title/tt0089686/?ref_=fn_tt_tt_1</t>
  </si>
  <si>
    <t>A Room with a View </t>
  </si>
  <si>
    <t>http://www.imdb.com/title/tt0091867/?ref_=fn_tt_tt_1</t>
  </si>
  <si>
    <t>The Purge </t>
  </si>
  <si>
    <t>http://www.imdb.com/title/tt2184339/?ref_=fn_tt_tt_1</t>
  </si>
  <si>
    <t>Sinister </t>
  </si>
  <si>
    <t>http://www.imdb.com/title/tt1922777/?ref_=fn_tt_tt_1</t>
  </si>
  <si>
    <t>Biography|Comedy|Documentary</t>
  </si>
  <si>
    <t>Martin Lawrence Live: Runteldat </t>
  </si>
  <si>
    <t>http://www.imdb.com/title/tt0327036/?ref_=fn_tt_tt_1</t>
  </si>
  <si>
    <t>Air Bud </t>
  </si>
  <si>
    <t>http://www.imdb.com/title/tt0118570/?ref_=fn_tt_tt_1</t>
  </si>
  <si>
    <t>Jason Lives: Friday the 13th Part VI </t>
  </si>
  <si>
    <t>http://www.imdb.com/title/tt0091080/?ref_=fn_tt_tt_1</t>
  </si>
  <si>
    <t>The Bridge on the River Kwai </t>
  </si>
  <si>
    <t>http://www.imdb.com/title/tt0050212/?ref_=fn_tt_tt_1</t>
  </si>
  <si>
    <t>Spaced Invaders </t>
  </si>
  <si>
    <t>http://www.imdb.com/title/tt0100666/?ref_=fn_tt_tt_1</t>
  </si>
  <si>
    <t>Jason Goes to Hell: The Final Friday </t>
  </si>
  <si>
    <t>http://www.imdb.com/title/tt0107254/?ref_=fn_tt_tt_1</t>
  </si>
  <si>
    <t>Comedy|Documentary|Music</t>
  </si>
  <si>
    <t>Dave Chappelle's Block Party </t>
  </si>
  <si>
    <t>http://www.imdb.com/title/tt0425598/?ref_=fn_tt_tt_1</t>
  </si>
  <si>
    <t>Next Day Air </t>
  </si>
  <si>
    <t>http://www.imdb.com/title/tt1097013/?ref_=fn_tt_tt_1</t>
  </si>
  <si>
    <t>Phat Girlz </t>
  </si>
  <si>
    <t>http://www.imdb.com/title/tt0490196/?ref_=fn_tt_tt_1</t>
  </si>
  <si>
    <t>Before Midnight </t>
  </si>
  <si>
    <t>http://www.imdb.com/title/tt2209418/?ref_=fn_tt_tt_1</t>
  </si>
  <si>
    <t>Teen Wolf Too </t>
  </si>
  <si>
    <t>http://www.imdb.com/title/tt0094118/?ref_=fn_tt_tt_1</t>
  </si>
  <si>
    <t>Phantasm II </t>
  </si>
  <si>
    <t>http://www.imdb.com/title/tt0095863/?ref_=fn_tt_tt_1</t>
  </si>
  <si>
    <t>Real Women Have Curves </t>
  </si>
  <si>
    <t>http://www.imdb.com/title/tt0296166/?ref_=fn_tt_tt_1</t>
  </si>
  <si>
    <t>East Is East </t>
  </si>
  <si>
    <t>http://www.imdb.com/title/tt0166175/?ref_=fn_tt_tt_1</t>
  </si>
  <si>
    <t>Whipped </t>
  </si>
  <si>
    <t>http://www.imdb.com/title/tt0174336/?ref_=fn_tt_tt_1</t>
  </si>
  <si>
    <t>Crime|Drama|History|Romance</t>
  </si>
  <si>
    <t>Kama Sutra: A Tale of Love </t>
  </si>
  <si>
    <t>http://www.imdb.com/title/tt0116743/?ref_=fn_tt_tt_1</t>
  </si>
  <si>
    <t>Warlock: The Armageddon </t>
  </si>
  <si>
    <t>http://www.imdb.com/title/tt0108517/?ref_=fn_tt_tt_1</t>
  </si>
  <si>
    <t>8 Heads in a Duffel Bag </t>
  </si>
  <si>
    <t>http://www.imdb.com/title/tt0118541/?ref_=fn_tt_tt_1</t>
  </si>
  <si>
    <t>Thirteen Conversations About One Thing </t>
  </si>
  <si>
    <t>http://www.imdb.com/title/tt0268690/?ref_=fn_tt_tt_1</t>
  </si>
  <si>
    <t>Jawbreaker </t>
  </si>
  <si>
    <t>http://www.imdb.com/title/tt0155776/?ref_=fn_tt_tt_1</t>
  </si>
  <si>
    <t>Basquiat </t>
  </si>
  <si>
    <t>http://www.imdb.com/title/tt0115632/?ref_=fn_tt_tt_1</t>
  </si>
  <si>
    <t>Zulu</t>
  </si>
  <si>
    <t>Happiness </t>
  </si>
  <si>
    <t>http://www.imdb.com/title/tt0147612/?ref_=fn_tt_tt_1</t>
  </si>
  <si>
    <t>DysFunktional Family </t>
  </si>
  <si>
    <t>http://www.imdb.com/title/tt0337996/?ref_=fn_tt_tt_1</t>
  </si>
  <si>
    <t>Comedy|Drama|Horror</t>
  </si>
  <si>
    <t>Tusk </t>
  </si>
  <si>
    <t>http://www.imdb.com/title/tt3099498/?ref_=fn_tt_tt_1</t>
  </si>
  <si>
    <t>Oldboy </t>
  </si>
  <si>
    <t>http://www.imdb.com/title/tt0364569/?ref_=fn_tt_tt_1</t>
  </si>
  <si>
    <t>Letters to God </t>
  </si>
  <si>
    <t>http://www.imdb.com/title/tt1462054/?ref_=fn_tt_tt_1</t>
  </si>
  <si>
    <t>Hobo with a Shotgun </t>
  </si>
  <si>
    <t>http://www.imdb.com/title/tt1640459/?ref_=fn_tt_tt_1</t>
  </si>
  <si>
    <t>Compadres </t>
  </si>
  <si>
    <t>http://www.imdb.com/title/tt3367294/?ref_=fn_tt_tt_1</t>
  </si>
  <si>
    <t>Bachelorette </t>
  </si>
  <si>
    <t>http://www.imdb.com/title/tt1920849/?ref_=fn_tt_tt_1</t>
  </si>
  <si>
    <t>Tim and Eric's Billion Dollar Movie </t>
  </si>
  <si>
    <t>http://www.imdb.com/title/tt1855401/?ref_=fn_tt_tt_1</t>
  </si>
  <si>
    <t>Summer Storm </t>
  </si>
  <si>
    <t>http://www.imdb.com/title/tt0420206/?ref_=fn_tt_tt_1</t>
  </si>
  <si>
    <t>Fort McCoy </t>
  </si>
  <si>
    <t>http://www.imdb.com/title/tt1282046/?ref_=fn_tt_tt_1</t>
  </si>
  <si>
    <t>Chain Letter </t>
  </si>
  <si>
    <t>http://www.imdb.com/title/tt1148200/?ref_=fn_tt_tt_1</t>
  </si>
  <si>
    <t>Just Looking </t>
  </si>
  <si>
    <t>http://www.imdb.com/title/tt0162236/?ref_=fn_tt_tt_1</t>
  </si>
  <si>
    <t>The Divide </t>
  </si>
  <si>
    <t>http://www.imdb.com/title/tt1535616/?ref_=fn_tt_tt_1</t>
  </si>
  <si>
    <t>Tanner Hall </t>
  </si>
  <si>
    <t>http://www.imdb.com/title/tt1151410/?ref_=fn_tt_tt_1</t>
  </si>
  <si>
    <t>Central Station </t>
  </si>
  <si>
    <t>http://www.imdb.com/title/tt0140888/?ref_=fn_tt_tt_1</t>
  </si>
  <si>
    <t>Boynton Beach Club </t>
  </si>
  <si>
    <t>http://www.imdb.com/title/tt0439478/?ref_=fn_tt_tt_1</t>
  </si>
  <si>
    <t>Freakonomics </t>
  </si>
  <si>
    <t>http://www.imdb.com/title/tt1152822/?ref_=fn_tt_tt_1</t>
  </si>
  <si>
    <t>High Tension </t>
  </si>
  <si>
    <t>http://www.imdb.com/title/tt0338095/?ref_=fn_tt_tt_1</t>
  </si>
  <si>
    <t>Hustle &amp; Flow </t>
  </si>
  <si>
    <t>http://www.imdb.com/title/tt0410097/?ref_=fn_tt_tt_1</t>
  </si>
  <si>
    <t>Friday the 13th Part VII: The New Blood </t>
  </si>
  <si>
    <t>http://www.imdb.com/title/tt0095179/?ref_=fn_tt_tt_1</t>
  </si>
  <si>
    <t>The Wizard of Oz </t>
  </si>
  <si>
    <t>http://www.imdb.com/title/tt0032138/?ref_=fn_tt_tt_1</t>
  </si>
  <si>
    <t>Young Frankenstein </t>
  </si>
  <si>
    <t>http://www.imdb.com/title/tt0072431/?ref_=fn_tt_tt_1</t>
  </si>
  <si>
    <t>Diary of the Dead </t>
  </si>
  <si>
    <t>http://www.imdb.com/title/tt0848557/?ref_=fn_tt_tt_1</t>
  </si>
  <si>
    <t>Ulee's Gold </t>
  </si>
  <si>
    <t>http://www.imdb.com/title/tt0120402/?ref_=fn_tt_tt_1</t>
  </si>
  <si>
    <t>Romance</t>
  </si>
  <si>
    <t>Blazing Saddles </t>
  </si>
  <si>
    <t>http://www.imdb.com/title/tt0071230/?ref_=fn_tt_tt_1</t>
  </si>
  <si>
    <t>Friday the 13th: The Final Chapter </t>
  </si>
  <si>
    <t>http://www.imdb.com/title/tt0087298/?ref_=fn_tt_tt_1</t>
  </si>
  <si>
    <t>Maurice </t>
  </si>
  <si>
    <t>http://www.imdb.com/title/tt0093512/?ref_=fn_tt_tt_1</t>
  </si>
  <si>
    <t>Beer League </t>
  </si>
  <si>
    <t>http://www.imdb.com/title/tt0453453/?ref_=fn_tt_tt_1</t>
  </si>
  <si>
    <t>Timecrimes </t>
  </si>
  <si>
    <t>http://www.imdb.com/title/tt0480669/?ref_=fn_tt_tt_1</t>
  </si>
  <si>
    <t>A Haunted House </t>
  </si>
  <si>
    <t>http://www.imdb.com/title/tt2243537/?ref_=fn_tt_tt_1</t>
  </si>
  <si>
    <t>2016: Obama's America </t>
  </si>
  <si>
    <t>http://www.imdb.com/title/tt2247692/?ref_=fn_tt_tt_1</t>
  </si>
  <si>
    <t>That Thing You Do! </t>
  </si>
  <si>
    <t>http://www.imdb.com/title/tt0117887/?ref_=fn_tt_tt_1</t>
  </si>
  <si>
    <t>Halloween III: Season of the Witch </t>
  </si>
  <si>
    <t>http://www.imdb.com/title/tt0085636/?ref_=fn_tt_tt_1</t>
  </si>
  <si>
    <t>Kevin Hart: Let Me Explain </t>
  </si>
  <si>
    <t>http://www.imdb.com/title/tt2609912/?ref_=fn_tt_tt_1</t>
  </si>
  <si>
    <t>My Own Private Idaho </t>
  </si>
  <si>
    <t>http://www.imdb.com/title/tt0102494/?ref_=fn_tt_tt_1</t>
  </si>
  <si>
    <t>Garden State </t>
  </si>
  <si>
    <t>http://www.imdb.com/title/tt0333766/?ref_=fn_tt_tt_1</t>
  </si>
  <si>
    <t>Before Sunrise </t>
  </si>
  <si>
    <t>http://www.imdb.com/title/tt0112471/?ref_=fn_tt_tt_1</t>
  </si>
  <si>
    <t>Action|Drama|Horror|Thriller</t>
  </si>
  <si>
    <t>Jesus' Son </t>
  </si>
  <si>
    <t>http://www.imdb.com/title/tt0186253/?ref_=fn_tt_tt_1</t>
  </si>
  <si>
    <t>Comedy|Crime|Drama|Sci-Fi</t>
  </si>
  <si>
    <t>Robot &amp; Frank </t>
  </si>
  <si>
    <t>http://www.imdb.com/title/tt1990314/?ref_=fn_tt_tt_1</t>
  </si>
  <si>
    <t>My Life Without Me </t>
  </si>
  <si>
    <t>http://www.imdb.com/title/tt0314412/?ref_=fn_tt_tt_1</t>
  </si>
  <si>
    <t>Comedy|Family|Musical|Romance|Short</t>
  </si>
  <si>
    <t>Marilyn Hotchkiss' Ballroom Dancing and Charm School </t>
  </si>
  <si>
    <t>http://www.imdb.com/title/tt0283465/?ref_=fn_tt_tt_1</t>
  </si>
  <si>
    <t>Comedy|Documentary|War</t>
  </si>
  <si>
    <t>Religulous </t>
  </si>
  <si>
    <t>http://www.imdb.com/title/tt0815241/?ref_=fn_tt_tt_1</t>
  </si>
  <si>
    <t>Fuel </t>
  </si>
  <si>
    <t>http://www.imdb.com/title/tt1294164/?ref_=fn_tt_tt_1</t>
  </si>
  <si>
    <t>Valley of the Heart's Delight </t>
  </si>
  <si>
    <t>http://www.imdb.com/title/tt0472200/?ref_=fn_tt_tt_1</t>
  </si>
  <si>
    <t>Eye of the Dolphin </t>
  </si>
  <si>
    <t>http://www.imdb.com/title/tt0465407/?ref_=fn_tt_tt_1</t>
  </si>
  <si>
    <t>8: The Mormon Proposition </t>
  </si>
  <si>
    <t>http://www.imdb.com/title/tt1484522/?ref_=fn_tt_tt_1</t>
  </si>
  <si>
    <t>The Other End of the Line </t>
  </si>
  <si>
    <t>http://www.imdb.com/title/tt1049405/?ref_=fn_tt_tt_1</t>
  </si>
  <si>
    <t>Anatomy </t>
  </si>
  <si>
    <t>http://www.imdb.com/title/tt0187696/?ref_=fn_tt_tt_1</t>
  </si>
  <si>
    <t>Sleep Dealer </t>
  </si>
  <si>
    <t>http://www.imdb.com/title/tt0804529/?ref_=fn_tt_tt_1</t>
  </si>
  <si>
    <t>Super </t>
  </si>
  <si>
    <t>http://www.imdb.com/title/tt1512235/?ref_=fn_tt_tt_1</t>
  </si>
  <si>
    <t>Get on the Bus </t>
  </si>
  <si>
    <t>http://www.imdb.com/title/tt0116404/?ref_=fn_tt_tt_1</t>
  </si>
  <si>
    <t>Thr3e </t>
  </si>
  <si>
    <t>http://www.imdb.com/title/tt0486028/?ref_=fn_tt_tt_1</t>
  </si>
  <si>
    <t>This Is England </t>
  </si>
  <si>
    <t>http://www.imdb.com/title/tt0480025/?ref_=fn_tt_tt_1</t>
  </si>
  <si>
    <t>Go for It! </t>
  </si>
  <si>
    <t>http://www.imdb.com/title/tt1307926/?ref_=fn_tt_tt_1</t>
  </si>
  <si>
    <t>Fantasia </t>
  </si>
  <si>
    <t>http://www.imdb.com/title/tt0032455/?ref_=fn_tt_tt_1</t>
  </si>
  <si>
    <t>Friday the 13th Part III </t>
  </si>
  <si>
    <t>http://www.imdb.com/title/tt0083972/?ref_=fn_tt_tt_1</t>
  </si>
  <si>
    <t>Friday the 13th: A New Beginning </t>
  </si>
  <si>
    <t>http://www.imdb.com/title/tt0089173/?ref_=fn_tt_tt_1</t>
  </si>
  <si>
    <t>The Last Sin Eater </t>
  </si>
  <si>
    <t>http://www.imdb.com/title/tt0810928/?ref_=fn_tt_tt_1</t>
  </si>
  <si>
    <t>Do You Believe? </t>
  </si>
  <si>
    <t>http://www.imdb.com/title/tt4056738/?ref_=fn_tt_tt_1</t>
  </si>
  <si>
    <t>The Best Years of Our Lives </t>
  </si>
  <si>
    <t>http://www.imdb.com/title/tt0036868/?ref_=fn_tt_tt_1</t>
  </si>
  <si>
    <t>Elling </t>
  </si>
  <si>
    <t>http://www.imdb.com/title/tt0279064/?ref_=fn_tt_tt_1</t>
  </si>
  <si>
    <t>Mi America </t>
  </si>
  <si>
    <t>http://www.imdb.com/title/tt2460506/?ref_=fn_tt_tt_1</t>
  </si>
  <si>
    <t>From Russia with Love </t>
  </si>
  <si>
    <t>http://www.imdb.com/title/tt0057076/?ref_=fn_tt_tt_1</t>
  </si>
  <si>
    <t>Action|Comedy|Horror|Sci-Fi</t>
  </si>
  <si>
    <t>The Toxic Avenger Part II </t>
  </si>
  <si>
    <t>http://www.imdb.com/title/tt0098503/?ref_=fn_tt_tt_1</t>
  </si>
  <si>
    <t>It Follows </t>
  </si>
  <si>
    <t>http://www.imdb.com/title/tt3235888/?ref_=fn_tt_tt_1</t>
  </si>
  <si>
    <t>Mad Max 2: The Road Warrior </t>
  </si>
  <si>
    <t>http://www.imdb.com/title/tt0082694/?ref_=fn_tt_tt_1</t>
  </si>
  <si>
    <t>The Legend of Drunken Master </t>
  </si>
  <si>
    <t>http://www.imdb.com/title/tt0111512/?ref_=fn_tt_tt_1</t>
  </si>
  <si>
    <t>Boys Don't Cry </t>
  </si>
  <si>
    <t>http://www.imdb.com/title/tt0171804/?ref_=fn_tt_tt_1</t>
  </si>
  <si>
    <t>Silent House </t>
  </si>
  <si>
    <t>http://www.imdb.com/title/tt1767382/?ref_=fn_tt_tt_1</t>
  </si>
  <si>
    <t>The Lives of Others </t>
  </si>
  <si>
    <t>http://www.imdb.com/title/tt0405094/?ref_=fn_tt_tt_1</t>
  </si>
  <si>
    <t>Courageous </t>
  </si>
  <si>
    <t>http://www.imdb.com/title/tt1630036/?ref_=fn_tt_tt_1</t>
  </si>
  <si>
    <t>Animation|Comedy|Drama</t>
  </si>
  <si>
    <t>The Triplets of Belleville </t>
  </si>
  <si>
    <t>http://www.imdb.com/title/tt0286244/?ref_=fn_tt_tt_1</t>
  </si>
  <si>
    <t>Smoke Signals </t>
  </si>
  <si>
    <t>http://www.imdb.com/title/tt0120321/?ref_=fn_tt_tt_1</t>
  </si>
  <si>
    <t>Before Sunset </t>
  </si>
  <si>
    <t>http://www.imdb.com/title/tt0381681/?ref_=fn_tt_tt_1</t>
  </si>
  <si>
    <t>Amores Perros </t>
  </si>
  <si>
    <t>http://www.imdb.com/title/tt0245712/?ref_=fn_tt_tt_1</t>
  </si>
  <si>
    <t>Thirteen </t>
  </si>
  <si>
    <t>http://www.imdb.com/title/tt0328538/?ref_=fn_tt_tt_1</t>
  </si>
  <si>
    <t>Winter's Bone </t>
  </si>
  <si>
    <t>http://www.imdb.com/title/tt1399683/?ref_=fn_tt_tt_1</t>
  </si>
  <si>
    <t>Me and You and Everyone We Know </t>
  </si>
  <si>
    <t>http://www.imdb.com/title/tt0415978/?ref_=fn_tt_tt_1</t>
  </si>
  <si>
    <t>Crime|Documentary</t>
  </si>
  <si>
    <t>We Are Your Friends </t>
  </si>
  <si>
    <t>http://www.imdb.com/title/tt3787590/?ref_=fn_tt_tt_1</t>
  </si>
  <si>
    <t>Harsh Times </t>
  </si>
  <si>
    <t>http://www.imdb.com/title/tt0433387/?ref_=fn_tt_tt_1</t>
  </si>
  <si>
    <t>Captive </t>
  </si>
  <si>
    <t>http://www.imdb.com/title/tt3268668/?ref_=fn_tt_tt_1</t>
  </si>
  <si>
    <t>Full Frontal </t>
  </si>
  <si>
    <t>http://www.imdb.com/title/tt0290212/?ref_=fn_tt_tt_1</t>
  </si>
  <si>
    <t>Witchboard </t>
  </si>
  <si>
    <t>http://www.imdb.com/title/tt0090327/?ref_=fn_tt_tt_1</t>
  </si>
  <si>
    <t>Shortbus </t>
  </si>
  <si>
    <t>http://www.imdb.com/title/tt0367027/?ref_=fn_tt_tt_1</t>
  </si>
  <si>
    <t>Animation|Biography|Documentary|Drama|History|War</t>
  </si>
  <si>
    <t>Waltz with Bashir </t>
  </si>
  <si>
    <t>http://www.imdb.com/title/tt1185616/?ref_=fn_tt_tt_1</t>
  </si>
  <si>
    <t>Israel</t>
  </si>
  <si>
    <t>The Book of Mormon Movie, Volume 1: The Journey </t>
  </si>
  <si>
    <t>http://www.imdb.com/title/tt0349159/?ref_=fn_tt_tt_1</t>
  </si>
  <si>
    <t>Documentary|War</t>
  </si>
  <si>
    <t>No End in Sight </t>
  </si>
  <si>
    <t>http://www.imdb.com/title/tt0912593/?ref_=fn_tt_tt_1</t>
  </si>
  <si>
    <t>The Diary of a Teenage Girl </t>
  </si>
  <si>
    <t>http://www.imdb.com/title/tt3172532/?ref_=fn_tt_tt_1</t>
  </si>
  <si>
    <t>Documentary|History</t>
  </si>
  <si>
    <t>In the Shadow of the Moon </t>
  </si>
  <si>
    <t>http://www.imdb.com/title/tt0925248/?ref_=fn_tt_tt_1</t>
  </si>
  <si>
    <t>Biography|Documentary|History</t>
  </si>
  <si>
    <t>Inside Deep Throat </t>
  </si>
  <si>
    <t>http://www.imdb.com/title/tt0418753/?ref_=fn_tt_tt_1</t>
  </si>
  <si>
    <t>The Virginity Hit </t>
  </si>
  <si>
    <t>http://www.imdb.com/title/tt1695994/?ref_=fn_tt_tt_1</t>
  </si>
  <si>
    <t>House of D </t>
  </si>
  <si>
    <t>http://www.imdb.com/title/tt0372334/?ref_=fn_tt_tt_1</t>
  </si>
  <si>
    <t>Action|Adventure|Comedy|Drama|Music|Sci-Fi</t>
  </si>
  <si>
    <t>Six-String Samurai </t>
  </si>
  <si>
    <t>http://www.imdb.com/title/tt0118736/?ref_=fn_tt_tt_1</t>
  </si>
  <si>
    <t>Saint John of Las Vegas </t>
  </si>
  <si>
    <t>http://www.imdb.com/title/tt1276105/?ref_=fn_tt_tt_1</t>
  </si>
  <si>
    <t>Stonewall </t>
  </si>
  <si>
    <t>http://www.imdb.com/title/tt3018070/?ref_=fn_tt_tt_1</t>
  </si>
  <si>
    <t>The Missing Person </t>
  </si>
  <si>
    <t>http://www.imdb.com/title/tt1105512/?ref_=fn_tt_tt_1</t>
  </si>
  <si>
    <t>London </t>
  </si>
  <si>
    <t>http://www.imdb.com/title/tt0449061/?ref_=fn_tt_tt_1</t>
  </si>
  <si>
    <t>Sherrybaby </t>
  </si>
  <si>
    <t>http://www.imdb.com/title/tt0423169/?ref_=fn_tt_tt_1</t>
  </si>
  <si>
    <t>Gangster's Paradise: Jerusalema </t>
  </si>
  <si>
    <t>http://www.imdb.com/title/tt0783532/?ref_=fn_tt_tt_1</t>
  </si>
  <si>
    <t>Crime|Drama|Film-Noir|Mystery|Thriller</t>
  </si>
  <si>
    <t>The Lady from Shanghai </t>
  </si>
  <si>
    <t>http://www.imdb.com/title/tt0040525/?ref_=fn_tt_tt_1</t>
  </si>
  <si>
    <t>Comedy|Fantasy|Musical|Sci-Fi</t>
  </si>
  <si>
    <t>The Ghastly Love of Johnny X </t>
  </si>
  <si>
    <t>http://www.imdb.com/title/tt1754633/?ref_=fn_tt_tt_1</t>
  </si>
  <si>
    <t>Northfork </t>
  </si>
  <si>
    <t>http://www.imdb.com/title/tt0322659/?ref_=fn_tt_tt_1</t>
  </si>
  <si>
    <t>Buried </t>
  </si>
  <si>
    <t>http://www.imdb.com/title/tt1462758/?ref_=fn_tt_tt_1</t>
  </si>
  <si>
    <t>One to Another </t>
  </si>
  <si>
    <t>http://www.imdb.com/title/tt0486751/?ref_=fn_tt_tt_1</t>
  </si>
  <si>
    <t>Biography|Crime|Documentary|History|Thriller</t>
  </si>
  <si>
    <t>Man on Wire </t>
  </si>
  <si>
    <t>http://www.imdb.com/title/tt1155592/?ref_=fn_tt_tt_1</t>
  </si>
  <si>
    <t>Brotherly Love </t>
  </si>
  <si>
    <t>http://www.imdb.com/title/tt3262990/?ref_=fn_tt_tt_1</t>
  </si>
  <si>
    <t>The Last Exorcism </t>
  </si>
  <si>
    <t>http://www.imdb.com/title/tt1320244/?ref_=fn_tt_tt_1</t>
  </si>
  <si>
    <t>El crimen del padre Amaro </t>
  </si>
  <si>
    <t>http://www.imdb.com/title/tt0313196/?ref_=fn_tt_tt_1</t>
  </si>
  <si>
    <t>Beasts of the Southern Wild </t>
  </si>
  <si>
    <t>http://www.imdb.com/title/tt2125435/?ref_=fn_tt_tt_1</t>
  </si>
  <si>
    <t>The Greatest Movie Ever Sold </t>
  </si>
  <si>
    <t>http://www.imdb.com/title/tt1743720/?ref_=fn_tt_tt_1</t>
  </si>
  <si>
    <t>Travelers and Magicians </t>
  </si>
  <si>
    <t>http://www.imdb.com/title/tt0378906/?ref_=fn_tt_tt_1</t>
  </si>
  <si>
    <t>Dzongkha</t>
  </si>
  <si>
    <t>Run Lola Run </t>
  </si>
  <si>
    <t>http://www.imdb.com/title/tt0130827/?ref_=fn_tt_tt_1</t>
  </si>
  <si>
    <t>May </t>
  </si>
  <si>
    <t>http://www.imdb.com/title/tt0303361/?ref_=fn_tt_tt_1</t>
  </si>
  <si>
    <t>In the Bedroom </t>
  </si>
  <si>
    <t>http://www.imdb.com/title/tt0247425/?ref_=fn_tt_tt_1</t>
  </si>
  <si>
    <t>I Spit on Your Grave </t>
  </si>
  <si>
    <t>http://www.imdb.com/title/tt1242432/?ref_=fn_tt_tt_1</t>
  </si>
  <si>
    <t>Happy, Texas </t>
  </si>
  <si>
    <t>http://www.imdb.com/title/tt0162360/?ref_=fn_tt_tt_1</t>
  </si>
  <si>
    <t>My Summer of Love </t>
  </si>
  <si>
    <t>http://www.imdb.com/title/tt0382189/?ref_=fn_tt_tt_1</t>
  </si>
  <si>
    <t>The Lunchbox </t>
  </si>
  <si>
    <t>http://www.imdb.com/title/tt2350496/?ref_=fn_tt_tt_1</t>
  </si>
  <si>
    <t>Yes </t>
  </si>
  <si>
    <t>http://www.imdb.com/title/tt0381717/?ref_=fn_tt_tt_1</t>
  </si>
  <si>
    <t>Foolish </t>
  </si>
  <si>
    <t>http://www.imdb.com/title/tt0166195/?ref_=fn_tt_tt_1</t>
  </si>
  <si>
    <t>Caramel </t>
  </si>
  <si>
    <t>http://www.imdb.com/title/tt0825236/?ref_=fn_tt_tt_1</t>
  </si>
  <si>
    <t>The Bubble </t>
  </si>
  <si>
    <t>http://www.imdb.com/title/tt0476643/?ref_=fn_tt_tt_1</t>
  </si>
  <si>
    <t>Mississippi Mermaid </t>
  </si>
  <si>
    <t>http://www.imdb.com/title/tt0064990/?ref_=fn_tt_tt_1</t>
  </si>
  <si>
    <t>I Love Your Work </t>
  </si>
  <si>
    <t>http://www.imdb.com/title/tt0322700/?ref_=fn_tt_tt_1</t>
  </si>
  <si>
    <t>Waitress </t>
  </si>
  <si>
    <t>http://www.imdb.com/title/tt0473308/?ref_=fn_tt_tt_1</t>
  </si>
  <si>
    <t>Kids </t>
  </si>
  <si>
    <t>http://www.imdb.com/title/tt0113540/?ref_=fn_tt_tt_1</t>
  </si>
  <si>
    <t>Kissing Jessica Stein </t>
  </si>
  <si>
    <t>http://www.imdb.com/title/tt0264761/?ref_=fn_tt_tt_1</t>
  </si>
  <si>
    <t>Exotica </t>
  </si>
  <si>
    <t>http://www.imdb.com/title/tt0109759/?ref_=fn_tt_tt_1</t>
  </si>
  <si>
    <t>Buffalo '66 </t>
  </si>
  <si>
    <t>http://www.imdb.com/title/tt0118789/?ref_=fn_tt_tt_1</t>
  </si>
  <si>
    <t>Insidious </t>
  </si>
  <si>
    <t>http://www.imdb.com/title/tt1591095/?ref_=fn_tt_tt_1</t>
  </si>
  <si>
    <t>Nine Queens </t>
  </si>
  <si>
    <t>http://www.imdb.com/title/tt0247586/?ref_=fn_tt_tt_1</t>
  </si>
  <si>
    <t>The Ballad of Jack and Rose </t>
  </si>
  <si>
    <t>http://www.imdb.com/title/tt0357110/?ref_=fn_tt_tt_1</t>
  </si>
  <si>
    <t>The To Do List </t>
  </si>
  <si>
    <t>http://www.imdb.com/title/tt1758795/?ref_=fn_tt_tt_1</t>
  </si>
  <si>
    <t>Killing Zoe </t>
  </si>
  <si>
    <t>http://www.imdb.com/title/tt0110265/?ref_=fn_tt_tt_1</t>
  </si>
  <si>
    <t>The Believer </t>
  </si>
  <si>
    <t>http://www.imdb.com/title/tt0247199/?ref_=fn_tt_tt_1</t>
  </si>
  <si>
    <t>Session 9 </t>
  </si>
  <si>
    <t>http://www.imdb.com/title/tt0261983/?ref_=fn_tt_tt_1</t>
  </si>
  <si>
    <t>I Want Someone to Eat Cheese With </t>
  </si>
  <si>
    <t>http://www.imdb.com/title/tt0391229/?ref_=fn_tt_tt_1</t>
  </si>
  <si>
    <t>Modern Times </t>
  </si>
  <si>
    <t>http://www.imdb.com/title/tt0027977/?ref_=fn_tt_tt_1</t>
  </si>
  <si>
    <t>Stolen Summer </t>
  </si>
  <si>
    <t>http://www.imdb.com/title/tt0286162/?ref_=fn_tt_tt_1</t>
  </si>
  <si>
    <t>My Name Is Bruce </t>
  </si>
  <si>
    <t>http://www.imdb.com/title/tt0489235/?ref_=fn_tt_tt_1</t>
  </si>
  <si>
    <t>The Salon </t>
  </si>
  <si>
    <t>http://www.imdb.com/title/tt0436742/?ref_=fn_tt_tt_1</t>
  </si>
  <si>
    <t>Road Hard </t>
  </si>
  <si>
    <t>http://www.imdb.com/title/tt3110770/?ref_=fn_tt_tt_1</t>
  </si>
  <si>
    <t>Amigo </t>
  </si>
  <si>
    <t>http://www.imdb.com/title/tt1562847/?ref_=fn_tt_tt_1</t>
  </si>
  <si>
    <t>Pontypool </t>
  </si>
  <si>
    <t>http://www.imdb.com/title/tt1226681/?ref_=fn_tt_tt_1</t>
  </si>
  <si>
    <t>Trucker </t>
  </si>
  <si>
    <t>http://www.imdb.com/title/tt1087527/?ref_=fn_tt_tt_1</t>
  </si>
  <si>
    <t>The Lords of Salem </t>
  </si>
  <si>
    <t>http://www.imdb.com/title/tt1731697/?ref_=fn_tt_tt_1</t>
  </si>
  <si>
    <t>Snow White and the Seven Dwarfs </t>
  </si>
  <si>
    <t>http://www.imdb.com/title/tt0029583/?ref_=fn_tt_tt_1</t>
  </si>
  <si>
    <t>The Holy Girl </t>
  </si>
  <si>
    <t>http://www.imdb.com/title/tt0300270/?ref_=fn_tt_tt_1</t>
  </si>
  <si>
    <t>Adventure|Comedy|Horror</t>
  </si>
  <si>
    <t>Incident at Loch Ness </t>
  </si>
  <si>
    <t>http://www.imdb.com/title/tt0374639/?ref_=fn_tt_tt_1</t>
  </si>
  <si>
    <t>Lock, Stock and Two Smoking Barrels </t>
  </si>
  <si>
    <t>http://www.imdb.com/title/tt0120735/?ref_=fn_tt_tt_1</t>
  </si>
  <si>
    <t>The Celebration </t>
  </si>
  <si>
    <t>http://www.imdb.com/title/tt0154420/?ref_=fn_tt_tt_1</t>
  </si>
  <si>
    <t>Trees Lounge </t>
  </si>
  <si>
    <t>http://www.imdb.com/title/tt0117958/?ref_=fn_tt_tt_1</t>
  </si>
  <si>
    <t>Journey from the Fall </t>
  </si>
  <si>
    <t>http://www.imdb.com/title/tt0433398/?ref_=fn_tt_tt_1</t>
  </si>
  <si>
    <t>Vietnamese</t>
  </si>
  <si>
    <t>The Basket </t>
  </si>
  <si>
    <t>http://www.imdb.com/title/tt0190255/?ref_=fn_tt_tt_1</t>
  </si>
  <si>
    <t>Eddie: The Sleepwalking Cannibal </t>
  </si>
  <si>
    <t>http://www.imdb.com/title/tt1480658/?ref_=fn_tt_tt_1</t>
  </si>
  <si>
    <t>The Hebrew Hammer </t>
  </si>
  <si>
    <t>http://www.imdb.com/title/tt0317640/?ref_=fn_tt_tt_1</t>
  </si>
  <si>
    <t>Neal 'N' Nikki </t>
  </si>
  <si>
    <t>http://www.imdb.com/title/tt0470869/?ref_=fn_tt_tt_1</t>
  </si>
  <si>
    <t>Friday the 13th Part 2 </t>
  </si>
  <si>
    <t>http://www.imdb.com/title/tt0082418/?ref_=fn_tt_tt_1</t>
  </si>
  <si>
    <t>Filly Brown </t>
  </si>
  <si>
    <t>http://www.imdb.com/title/tt1869425/?ref_=fn_tt_tt_1</t>
  </si>
  <si>
    <t>Sex, Lies, and Videotape </t>
  </si>
  <si>
    <t>http://www.imdb.com/title/tt0098724/?ref_=fn_tt_tt_1</t>
  </si>
  <si>
    <t>Saw </t>
  </si>
  <si>
    <t>http://www.imdb.com/title/tt0387564/?ref_=fn_tt_tt_1</t>
  </si>
  <si>
    <t>Super Troopers </t>
  </si>
  <si>
    <t>http://www.imdb.com/title/tt0247745/?ref_=fn_tt_tt_1</t>
  </si>
  <si>
    <t>The Amazing Catfish </t>
  </si>
  <si>
    <t>http://www.imdb.com/title/tt2414046/?ref_=fn_tt_tt_1</t>
  </si>
  <si>
    <t>Monsoon Wedding </t>
  </si>
  <si>
    <t>http://www.imdb.com/title/tt0265343/?ref_=fn_tt_tt_1</t>
  </si>
  <si>
    <t>You Can Count on Me </t>
  </si>
  <si>
    <t>http://www.imdb.com/title/tt0203230/?ref_=fn_tt_tt_1</t>
  </si>
  <si>
    <t>But I'm a Cheerleader </t>
  </si>
  <si>
    <t>http://www.imdb.com/title/tt0179116/?ref_=fn_tt_tt_1</t>
  </si>
  <si>
    <t>Home Run </t>
  </si>
  <si>
    <t>http://www.imdb.com/title/tt2051894/?ref_=fn_tt_tt_1</t>
  </si>
  <si>
    <t>Reservoir Dogs </t>
  </si>
  <si>
    <t>http://www.imdb.com/title/tt0105236/?ref_=fn_tt_tt_1</t>
  </si>
  <si>
    <t>The Good, the Bad and the Ugly </t>
  </si>
  <si>
    <t>http://www.imdb.com/title/tt0060196/?ref_=fn_tt_tt_1</t>
  </si>
  <si>
    <t>The Second Mother </t>
  </si>
  <si>
    <t>http://www.imdb.com/title/tt3742378/?ref_=fn_tt_tt_1</t>
  </si>
  <si>
    <t>Blue Like Jazz </t>
  </si>
  <si>
    <t>http://www.imdb.com/title/tt1758575/?ref_=fn_tt_tt_1</t>
  </si>
  <si>
    <t>Down and Out with the Dolls </t>
  </si>
  <si>
    <t>http://www.imdb.com/title/tt0283323/?ref_=fn_tt_tt_1</t>
  </si>
  <si>
    <t>Pink Ribbons, Inc. </t>
  </si>
  <si>
    <t>http://www.imdb.com/title/tt2035599/?ref_=fn_tt_tt_1</t>
  </si>
  <si>
    <t>Certifiably Jonathan </t>
  </si>
  <si>
    <t>http://www.imdb.com/title/tt0976025/?ref_=fn_tt_tt_1</t>
  </si>
  <si>
    <t>The Knife of Don Juan </t>
  </si>
  <si>
    <t>http://www.imdb.com/title/tt1349485/?ref_=fn_tt_tt_1</t>
  </si>
  <si>
    <t>Adventure|Comedy|Sport</t>
  </si>
  <si>
    <t>Airborne </t>
  </si>
  <si>
    <t>http://www.imdb.com/title/tt0106233/?ref_=fn_tt_tt_1</t>
  </si>
  <si>
    <t>Waiting... </t>
  </si>
  <si>
    <t>http://www.imdb.com/title/tt0348333/?ref_=fn_tt_tt_1</t>
  </si>
  <si>
    <t>Dead Man's Shoes </t>
  </si>
  <si>
    <t>http://www.imdb.com/title/tt0419677/?ref_=fn_tt_tt_1</t>
  </si>
  <si>
    <t>From a Whisper to a Scream </t>
  </si>
  <si>
    <t>http://www.imdb.com/title/tt0091671/?ref_=fn_tt_tt_1</t>
  </si>
  <si>
    <t>Comedy|Horror|Musical</t>
  </si>
  <si>
    <t>Dracula: Pages from a Virgin's Diary </t>
  </si>
  <si>
    <t>http://www.imdb.com/title/tt0293113/?ref_=fn_tt_tt_1</t>
  </si>
  <si>
    <t>Beyond the Black Rainbow </t>
  </si>
  <si>
    <t>http://www.imdb.com/title/tt1534085/?ref_=fn_tt_tt_1</t>
  </si>
  <si>
    <t>The Raid: Redemption </t>
  </si>
  <si>
    <t>http://www.imdb.com/title/tt1899353/?ref_=fn_tt_tt_1</t>
  </si>
  <si>
    <t>Indonesian</t>
  </si>
  <si>
    <t>Indonesia</t>
  </si>
  <si>
    <t>Rocky </t>
  </si>
  <si>
    <t>http://www.imdb.com/title/tt0075148/?ref_=fn_tt_tt_1</t>
  </si>
  <si>
    <t>Unfriended </t>
  </si>
  <si>
    <t>http://www.imdb.com/title/tt3713166/?ref_=fn_tt_tt_1</t>
  </si>
  <si>
    <t>The Howling </t>
  </si>
  <si>
    <t>http://www.imdb.com/title/tt0082533/?ref_=fn_tt_tt_1</t>
  </si>
  <si>
    <t>Dr. No </t>
  </si>
  <si>
    <t>http://www.imdb.com/title/tt0055928/?ref_=fn_tt_tt_1</t>
  </si>
  <si>
    <t>Chernobyl Diaries </t>
  </si>
  <si>
    <t>http://www.imdb.com/title/tt1991245/?ref_=fn_tt_tt_1</t>
  </si>
  <si>
    <t>Hellraiser </t>
  </si>
  <si>
    <t>http://www.imdb.com/title/tt0093177/?ref_=fn_tt_tt_1</t>
  </si>
  <si>
    <t>God's Not Dead 2 </t>
  </si>
  <si>
    <t>http://www.imdb.com/title/tt4824308/?ref_=fn_tt_tt_1</t>
  </si>
  <si>
    <t>Cry_Wolf </t>
  </si>
  <si>
    <t>http://www.imdb.com/title/tt0384286/?ref_=fn_tt_tt_1</t>
  </si>
  <si>
    <t>Godzilla 2000 </t>
  </si>
  <si>
    <t>http://www.imdb.com/title/tt0188640/?ref_=fn_tt_tt_1</t>
  </si>
  <si>
    <t>Blue Valentine </t>
  </si>
  <si>
    <t>http://www.imdb.com/title/tt1120985/?ref_=fn_tt_tt_1</t>
  </si>
  <si>
    <t>Transamerica </t>
  </si>
  <si>
    <t>http://www.imdb.com/title/tt0407265/?ref_=fn_tt_tt_1</t>
  </si>
  <si>
    <t>The Devil Inside </t>
  </si>
  <si>
    <t>http://www.imdb.com/title/tt1560985/?ref_=fn_tt_tt_1</t>
  </si>
  <si>
    <t>Beyond the Valley of the Dolls </t>
  </si>
  <si>
    <t>http://www.imdb.com/title/tt0065466/?ref_=fn_tt_tt_1</t>
  </si>
  <si>
    <t>The Sessions </t>
  </si>
  <si>
    <t>http://www.imdb.com/title/tt1866249/?ref_=fn_tt_tt_1</t>
  </si>
  <si>
    <t>Next Stop Wonderland </t>
  </si>
  <si>
    <t>http://www.imdb.com/title/tt0119778/?ref_=fn_tt_tt_1</t>
  </si>
  <si>
    <t>Frozen River </t>
  </si>
  <si>
    <t>http://www.imdb.com/title/tt0978759/?ref_=fn_tt_tt_1</t>
  </si>
  <si>
    <t>20 Feet from Stardom </t>
  </si>
  <si>
    <t>http://www.imdb.com/title/tt2396566/?ref_=fn_tt_tt_1</t>
  </si>
  <si>
    <t>Two Girls and a Guy </t>
  </si>
  <si>
    <t>http://www.imdb.com/title/tt0124179/?ref_=fn_tt_tt_1</t>
  </si>
  <si>
    <t>Walking and Talking </t>
  </si>
  <si>
    <t>http://www.imdb.com/title/tt0118113/?ref_=fn_tt_tt_1</t>
  </si>
  <si>
    <t>Who Killed the Electric Car? </t>
  </si>
  <si>
    <t>http://www.imdb.com/title/tt0489037/?ref_=fn_tt_tt_1</t>
  </si>
  <si>
    <t>The Broken Hearts Club: A Romantic Comedy </t>
  </si>
  <si>
    <t>http://www.imdb.com/title/tt0222850/?ref_=fn_tt_tt_1</t>
  </si>
  <si>
    <t>Slam </t>
  </si>
  <si>
    <t>http://www.imdb.com/title/tt0139615/?ref_=fn_tt_tt_1</t>
  </si>
  <si>
    <t>Brigham City </t>
  </si>
  <si>
    <t>http://www.imdb.com/title/tt0268200/?ref_=fn_tt_tt_1</t>
  </si>
  <si>
    <t>Fiza </t>
  </si>
  <si>
    <t>http://www.imdb.com/title/tt0248012/?ref_=fn_tt_tt_1</t>
  </si>
  <si>
    <t>Orgazmo </t>
  </si>
  <si>
    <t>http://www.imdb.com/title/tt0124819/?ref_=fn_tt_tt_1</t>
  </si>
  <si>
    <t>All the Real Girls </t>
  </si>
  <si>
    <t>http://www.imdb.com/title/tt0299458/?ref_=fn_tt_tt_1</t>
  </si>
  <si>
    <t>Dream with the Fishes </t>
  </si>
  <si>
    <t>http://www.imdb.com/title/tt0119019/?ref_=fn_tt_tt_1</t>
  </si>
  <si>
    <t>Blue Car </t>
  </si>
  <si>
    <t>http://www.imdb.com/title/tt0290145/?ref_=fn_tt_tt_1</t>
  </si>
  <si>
    <t>Luminarias </t>
  </si>
  <si>
    <t>http://www.imdb.com/title/tt0160498/?ref_=fn_tt_tt_1</t>
  </si>
  <si>
    <t>Wristcutters: A Love Story </t>
  </si>
  <si>
    <t>http://www.imdb.com/title/tt0477139/?ref_=fn_tt_tt_1</t>
  </si>
  <si>
    <t>The Battle of Shaker Heights </t>
  </si>
  <si>
    <t>http://www.imdb.com/title/tt0357470/?ref_=fn_tt_tt_1</t>
  </si>
  <si>
    <t>Biography|Crime|Documentary|History</t>
  </si>
  <si>
    <t>The Act of Killing </t>
  </si>
  <si>
    <t>http://www.imdb.com/title/tt2375605/?ref_=fn_tt_tt_1</t>
  </si>
  <si>
    <t>Taxi to the Dark Side </t>
  </si>
  <si>
    <t>http://www.imdb.com/title/tt0854678/?ref_=fn_tt_tt_1</t>
  </si>
  <si>
    <t>Once in a Lifetime: The Extraordinary Story of the New York Cosmos </t>
  </si>
  <si>
    <t>http://www.imdb.com/title/tt0489247/?ref_=fn_tt_tt_1</t>
  </si>
  <si>
    <t>Adventure|Biography|Documentary|Drama</t>
  </si>
  <si>
    <t>Antarctica: A Year on Ice </t>
  </si>
  <si>
    <t>http://www.imdb.com/title/tt2361700/?ref_=fn_tt_tt_1</t>
  </si>
  <si>
    <t>A Lego Brickumentary </t>
  </si>
  <si>
    <t>http://www.imdb.com/title/tt3214286/?ref_=fn_tt_tt_1</t>
  </si>
  <si>
    <t>Hardflip </t>
  </si>
  <si>
    <t>http://www.imdb.com/title/tt1907639/?ref_=fn_tt_tt_1</t>
  </si>
  <si>
    <t>The House of the Devil </t>
  </si>
  <si>
    <t>http://www.imdb.com/title/tt1172994/?ref_=fn_tt_tt_1</t>
  </si>
  <si>
    <t>The Perfect Host </t>
  </si>
  <si>
    <t>http://www.imdb.com/title/tt1334553/?ref_=fn_tt_tt_1</t>
  </si>
  <si>
    <t>Safe Men </t>
  </si>
  <si>
    <t>http://www.imdb.com/title/tt0120813/?ref_=fn_tt_tt_1</t>
  </si>
  <si>
    <t>The Specials </t>
  </si>
  <si>
    <t>http://www.imdb.com/title/tt0181836/?ref_=fn_tt_tt_1</t>
  </si>
  <si>
    <t>Alone with Her </t>
  </si>
  <si>
    <t>http://www.imdb.com/title/tt0472259/?ref_=fn_tt_tt_1</t>
  </si>
  <si>
    <t>Creative Control </t>
  </si>
  <si>
    <t>http://www.imdb.com/title/tt3277624/?ref_=fn_tt_tt_1</t>
  </si>
  <si>
    <t>Special </t>
  </si>
  <si>
    <t>http://www.imdb.com/title/tt0479162/?ref_=fn_tt_tt_1</t>
  </si>
  <si>
    <t>In Her Line of Fire </t>
  </si>
  <si>
    <t>http://www.imdb.com/title/tt0487156/?ref_=fn_tt_tt_1</t>
  </si>
  <si>
    <t>The Jimmy Show </t>
  </si>
  <si>
    <t>http://www.imdb.com/title/tt0271020/?ref_=fn_tt_tt_1</t>
  </si>
  <si>
    <t>On the Waterfront </t>
  </si>
  <si>
    <t>http://www.imdb.com/title/tt0047296/?ref_=fn_tt_tt_1</t>
  </si>
  <si>
    <t>L!fe Happens </t>
  </si>
  <si>
    <t>http://www.imdb.com/title/tt1726589/?ref_=fn_tt_tt_1</t>
  </si>
  <si>
    <t>4 Months, 3 Weeks and 2 Days </t>
  </si>
  <si>
    <t>http://www.imdb.com/title/tt1032846/?ref_=fn_tt_tt_1</t>
  </si>
  <si>
    <t>Romanian</t>
  </si>
  <si>
    <t>Hard Candy </t>
  </si>
  <si>
    <t>http://www.imdb.com/title/tt0424136/?ref_=fn_tt_tt_1</t>
  </si>
  <si>
    <t>The Quiet </t>
  </si>
  <si>
    <t>http://www.imdb.com/title/tt0414951/?ref_=fn_tt_tt_1</t>
  </si>
  <si>
    <t>Persian</t>
  </si>
  <si>
    <t>Fruitvale Station </t>
  </si>
  <si>
    <t>http://www.imdb.com/title/tt2334649/?ref_=fn_tt_tt_1</t>
  </si>
  <si>
    <t>Comedy|Fantasy|Thriller</t>
  </si>
  <si>
    <t>The Brass Teapot </t>
  </si>
  <si>
    <t>http://www.imdb.com/title/tt1935902/?ref_=fn_tt_tt_1</t>
  </si>
  <si>
    <t>The Hammer </t>
  </si>
  <si>
    <t>http://www.imdb.com/title/tt0814130/?ref_=fn_tt_tt_1</t>
  </si>
  <si>
    <t>Latter Days </t>
  </si>
  <si>
    <t>http://www.imdb.com/title/tt0345551/?ref_=fn_tt_tt_1</t>
  </si>
  <si>
    <t>Drama|Fantasy|Sci-Fi</t>
  </si>
  <si>
    <t>Time Changer </t>
  </si>
  <si>
    <t>http://www.imdb.com/title/tt0295725/?ref_=fn_tt_tt_1</t>
  </si>
  <si>
    <t>A Separation </t>
  </si>
  <si>
    <t>http://www.imdb.com/title/tt1832382/?ref_=fn_tt_tt_1</t>
  </si>
  <si>
    <t>Welcome to the Dollhouse </t>
  </si>
  <si>
    <t>http://www.imdb.com/title/tt0114906/?ref_=fn_tt_tt_1</t>
  </si>
  <si>
    <t>Ruby in Paradise </t>
  </si>
  <si>
    <t>http://www.imdb.com/title/tt0108000/?ref_=fn_tt_tt_1</t>
  </si>
  <si>
    <t>Raising Victor Vargas </t>
  </si>
  <si>
    <t>http://www.imdb.com/title/tt0316188/?ref_=fn_tt_tt_1</t>
  </si>
  <si>
    <t>Deterrence </t>
  </si>
  <si>
    <t>http://www.imdb.com/title/tt0158583/?ref_=fn_tt_tt_1</t>
  </si>
  <si>
    <t>Not Cool </t>
  </si>
  <si>
    <t>http://www.imdb.com/title/tt3569356/?ref_=fn_tt_tt_1</t>
  </si>
  <si>
    <t>Dead Snow </t>
  </si>
  <si>
    <t>http://www.imdb.com/title/tt1278340/?ref_=fn_tt_tt_1</t>
  </si>
  <si>
    <t>Action|Adventure|Drama|War</t>
  </si>
  <si>
    <t>Saints and Soldiers </t>
  </si>
  <si>
    <t>http://www.imdb.com/title/tt0373283/?ref_=fn_tt_tt_1</t>
  </si>
  <si>
    <t>American Graffiti </t>
  </si>
  <si>
    <t>http://www.imdb.com/title/tt0069704/?ref_=fn_tt_tt_1</t>
  </si>
  <si>
    <t>Action|Adventure|Animation|Comedy|Fantasy|Sci-Fi</t>
  </si>
  <si>
    <t>Aqua Teen Hunger Force Colon Movie Film for Theaters </t>
  </si>
  <si>
    <t>http://www.imdb.com/title/tt0455326/?ref_=fn_tt_tt_1</t>
  </si>
  <si>
    <t>Safety Not Guaranteed </t>
  </si>
  <si>
    <t>http://www.imdb.com/title/tt1862079/?ref_=fn_tt_tt_1</t>
  </si>
  <si>
    <t>Kill List </t>
  </si>
  <si>
    <t>http://www.imdb.com/title/tt1788391/?ref_=fn_tt_tt_1</t>
  </si>
  <si>
    <t>The Innkeepers </t>
  </si>
  <si>
    <t>http://www.imdb.com/title/tt1594562/?ref_=fn_tt_tt_1</t>
  </si>
  <si>
    <t>Interview with the Assassin </t>
  </si>
  <si>
    <t>http://www.imdb.com/title/tt0308411/?ref_=fn_tt_tt_1</t>
  </si>
  <si>
    <t>Donkey Punch </t>
  </si>
  <si>
    <t>http://www.imdb.com/title/tt0988849/?ref_=fn_tt_tt_1</t>
  </si>
  <si>
    <t>Documentary|Drama|Sport</t>
  </si>
  <si>
    <t>Hoop Dreams </t>
  </si>
  <si>
    <t>http://www.imdb.com/title/tt0110057/?ref_=fn_tt_tt_1</t>
  </si>
  <si>
    <t>L.I.E. </t>
  </si>
  <si>
    <t>http://www.imdb.com/title/tt0242587/?ref_=fn_tt_tt_1</t>
  </si>
  <si>
    <t>Half Nelson </t>
  </si>
  <si>
    <t>http://www.imdb.com/title/tt0468489/?ref_=fn_tt_tt_1</t>
  </si>
  <si>
    <t>Naturally Native </t>
  </si>
  <si>
    <t>http://www.imdb.com/title/tt0133117/?ref_=fn_tt_tt_1</t>
  </si>
  <si>
    <t>Hav Plenty </t>
  </si>
  <si>
    <t>http://www.imdb.com/title/tt0126938/?ref_=fn_tt_tt_1</t>
  </si>
  <si>
    <t>Top Hat </t>
  </si>
  <si>
    <t>http://www.imdb.com/title/tt0027125/?ref_=fn_tt_tt_1</t>
  </si>
  <si>
    <t>The Blair Witch Project </t>
  </si>
  <si>
    <t>http://www.imdb.com/title/tt0185937/?ref_=fn_tt_tt_1</t>
  </si>
  <si>
    <t>Documentary|History|Music</t>
  </si>
  <si>
    <t>Woodstock </t>
  </si>
  <si>
    <t>http://www.imdb.com/title/tt0066580/?ref_=fn_tt_tt_1</t>
  </si>
  <si>
    <t>Mercy Streets </t>
  </si>
  <si>
    <t>http://www.imdb.com/title/tt0243415/?ref_=fn_tt_tt_1</t>
  </si>
  <si>
    <t>Arnolds Park </t>
  </si>
  <si>
    <t>http://www.imdb.com/title/tt1074931/?ref_=fn_tt_tt_1</t>
  </si>
  <si>
    <t>A Hard Day's Night </t>
  </si>
  <si>
    <t>http://www.imdb.com/title/tt0058182/?ref_=fn_tt_tt_1</t>
  </si>
  <si>
    <t>The Harvest/La Cosecha </t>
  </si>
  <si>
    <t>http://www.imdb.com/title/tt1981703/?ref_=fn_tt_tt_1</t>
  </si>
  <si>
    <t>Fireproof </t>
  </si>
  <si>
    <t>http://www.imdb.com/title/tt1129423/?ref_=fn_tt_tt_1</t>
  </si>
  <si>
    <t>Adventure|Family|Romance</t>
  </si>
  <si>
    <t>Benji </t>
  </si>
  <si>
    <t>http://www.imdb.com/title/tt0071206/?ref_=fn_tt_tt_1</t>
  </si>
  <si>
    <t>Adventure|Biography|Drama|Horror|Thriller</t>
  </si>
  <si>
    <t>Open Water </t>
  </si>
  <si>
    <t>http://www.imdb.com/title/tt0374102/?ref_=fn_tt_tt_1</t>
  </si>
  <si>
    <t>Kingdom of the Spiders </t>
  </si>
  <si>
    <t>http://www.imdb.com/title/tt0076271/?ref_=fn_tt_tt_1</t>
  </si>
  <si>
    <t>The Station Agent </t>
  </si>
  <si>
    <t>http://www.imdb.com/title/tt0340377/?ref_=fn_tt_tt_1</t>
  </si>
  <si>
    <t>To Save a Life </t>
  </si>
  <si>
    <t>http://www.imdb.com/title/tt1270286/?ref_=fn_tt_tt_1</t>
  </si>
  <si>
    <t>Biography|Documentary|Sport</t>
  </si>
  <si>
    <t>Beyond the Mat </t>
  </si>
  <si>
    <t>http://www.imdb.com/title/tt0218043/?ref_=fn_tt_tt_1</t>
  </si>
  <si>
    <t>The Singles Ward </t>
  </si>
  <si>
    <t>http://www.imdb.com/title/tt0306069/?ref_=fn_tt_tt_1</t>
  </si>
  <si>
    <t>Sholem Aleichem: Laughing in the Darkness </t>
  </si>
  <si>
    <t>http://www.imdb.com/title/tt1976608/?ref_=fn_tt_tt_1</t>
  </si>
  <si>
    <t>Groove </t>
  </si>
  <si>
    <t>http://www.imdb.com/title/tt0212974/?ref_=fn_tt_tt_1</t>
  </si>
  <si>
    <t>The R.M. </t>
  </si>
  <si>
    <t>http://www.imdb.com/title/tt0341540/?ref_=fn_tt_tt_1</t>
  </si>
  <si>
    <t>Twin Falls Idaho </t>
  </si>
  <si>
    <t>http://www.imdb.com/title/tt0162830/?ref_=fn_tt_tt_1</t>
  </si>
  <si>
    <t>Mean Creek </t>
  </si>
  <si>
    <t>http://www.imdb.com/title/tt0377091/?ref_=fn_tt_tt_1</t>
  </si>
  <si>
    <t>Hurricane Streets </t>
  </si>
  <si>
    <t>http://www.imdb.com/title/tt0119338/?ref_=fn_tt_tt_1</t>
  </si>
  <si>
    <t>Never Again </t>
  </si>
  <si>
    <t>http://www.imdb.com/title/tt0244094/?ref_=fn_tt_tt_1</t>
  </si>
  <si>
    <t>Civil Brand </t>
  </si>
  <si>
    <t>http://www.imdb.com/title/tt0326806/?ref_=fn_tt_tt_1</t>
  </si>
  <si>
    <t>Lonesome Jim </t>
  </si>
  <si>
    <t>http://www.imdb.com/title/tt0385056/?ref_=fn_tt_tt_1</t>
  </si>
  <si>
    <t>Deceptive Practice: The Mysteries and Mentors of Ricky Jay </t>
  </si>
  <si>
    <t>http://www.imdb.com/title/tt2654360/?ref_=fn_tt_tt_1</t>
  </si>
  <si>
    <t>Seven Samurai </t>
  </si>
  <si>
    <t>http://www.imdb.com/title/tt0047478/?ref_=fn_tt_tt_1</t>
  </si>
  <si>
    <t>The Other Dream Team </t>
  </si>
  <si>
    <t>http://www.imdb.com/title/tt1606829/?ref_=fn_tt_tt_1</t>
  </si>
  <si>
    <t>Finishing the Game: The Search for a New Bruce Lee </t>
  </si>
  <si>
    <t>http://www.imdb.com/title/tt0843850/?ref_=fn_tt_tt_1</t>
  </si>
  <si>
    <t>Rubber </t>
  </si>
  <si>
    <t>http://www.imdb.com/title/tt1612774/?ref_=fn_tt_tt_1</t>
  </si>
  <si>
    <t>Kiss the Bride </t>
  </si>
  <si>
    <t>http://www.imdb.com/title/tt0893346/?ref_=fn_tt_tt_1</t>
  </si>
  <si>
    <t>The Slaughter Rule </t>
  </si>
  <si>
    <t>http://www.imdb.com/title/tt0266971/?ref_=fn_tt_tt_1</t>
  </si>
  <si>
    <t>Monsters </t>
  </si>
  <si>
    <t>http://www.imdb.com/title/tt1470827/?ref_=fn_tt_tt_1</t>
  </si>
  <si>
    <t>The Living Wake </t>
  </si>
  <si>
    <t>http://www.imdb.com/title/tt0489212/?ref_=fn_tt_tt_1</t>
  </si>
  <si>
    <t>Detention of the Dead </t>
  </si>
  <si>
    <t>http://www.imdb.com/title/tt1865346/?ref_=fn_tt_tt_1</t>
  </si>
  <si>
    <t>History</t>
  </si>
  <si>
    <t>Action|Biography|Documentary|Sport</t>
  </si>
  <si>
    <t>Born to Fly: Elizabeth Streb vs. Gravity </t>
  </si>
  <si>
    <t>http://www.imdb.com/title/tt2246526/?ref_=fn_tt_tt_1</t>
  </si>
  <si>
    <t>Straight Out of Brooklyn </t>
  </si>
  <si>
    <t>http://www.imdb.com/title/tt0102989/?ref_=fn_tt_tt_1</t>
  </si>
  <si>
    <t>Bloody Sunday </t>
  </si>
  <si>
    <t>http://www.imdb.com/title/tt0280491/?ref_=fn_tt_tt_1</t>
  </si>
  <si>
    <t>Conversations with Other Women </t>
  </si>
  <si>
    <t>http://www.imdb.com/title/tt0435623/?ref_=fn_tt_tt_1</t>
  </si>
  <si>
    <t>Poultrygeist: Night of the Chicken Dead </t>
  </si>
  <si>
    <t>http://www.imdb.com/title/tt0462485/?ref_=fn_tt_tt_1</t>
  </si>
  <si>
    <t>42nd Street </t>
  </si>
  <si>
    <t>http://www.imdb.com/title/tt0024034/?ref_=fn_tt_tt_1</t>
  </si>
  <si>
    <t>Metropolitan </t>
  </si>
  <si>
    <t>http://www.imdb.com/title/tt0100142/?ref_=fn_tt_tt_1</t>
  </si>
  <si>
    <t>As It Is in Heaven </t>
  </si>
  <si>
    <t>http://www.imdb.com/title/tt0382330/?ref_=fn_tt_tt_1</t>
  </si>
  <si>
    <t>Napoleon Dynamite </t>
  </si>
  <si>
    <t>http://www.imdb.com/title/tt0374900/?ref_=fn_tt_tt_1</t>
  </si>
  <si>
    <t>Blue Ruin </t>
  </si>
  <si>
    <t>http://www.imdb.com/title/tt2359024/?ref_=fn_tt_tt_1</t>
  </si>
  <si>
    <t>Paranormal Activity </t>
  </si>
  <si>
    <t>http://www.imdb.com/title/tt1179904/?ref_=fn_tt_tt_1</t>
  </si>
  <si>
    <t>Monty Python and the Holy Grail </t>
  </si>
  <si>
    <t>http://www.imdb.com/title/tt0071853/?ref_=fn_tt_tt_1</t>
  </si>
  <si>
    <t>Quinceañera </t>
  </si>
  <si>
    <t>http://www.imdb.com/title/tt0451176/?ref_=fn_tt_tt_1</t>
  </si>
  <si>
    <t>Comedy|Fantasy|Horror|Musical</t>
  </si>
  <si>
    <t>Gory Gory Hallelujah </t>
  </si>
  <si>
    <t>http://www.imdb.com/title/tt0396041/?ref_=fn_tt_tt_1</t>
  </si>
  <si>
    <t>Biography|Documentary</t>
  </si>
  <si>
    <t>Tarnation </t>
  </si>
  <si>
    <t>http://www.imdb.com/title/tt0390538/?ref_=fn_tt_tt_1</t>
  </si>
  <si>
    <t>I Want Your Money </t>
  </si>
  <si>
    <t>http://www.imdb.com/title/tt1560957/?ref_=fn_tt_tt_1</t>
  </si>
  <si>
    <t>The Beyond </t>
  </si>
  <si>
    <t>http://www.imdb.com/title/tt0082307/?ref_=fn_tt_tt_1</t>
  </si>
  <si>
    <t>What Happens in Vegas </t>
  </si>
  <si>
    <t>http://www.imdb.com/title/tt1033643/?ref_=fn_tt_tt_1</t>
  </si>
  <si>
    <t>Trekkies </t>
  </si>
  <si>
    <t>http://www.imdb.com/title/tt0120370/?ref_=fn_tt_tt_1</t>
  </si>
  <si>
    <t>The Broadway Melody </t>
  </si>
  <si>
    <t>http://www.imdb.com/title/tt0019729/?ref_=fn_tt_tt_1</t>
  </si>
  <si>
    <t>Maniac </t>
  </si>
  <si>
    <t>http://www.imdb.com/title/tt2103217/?ref_=fn_tt_tt_1</t>
  </si>
  <si>
    <t>Censored Voices </t>
  </si>
  <si>
    <t>http://www.imdb.com/title/tt3457376/?ref_=fn_tt_tt_1</t>
  </si>
  <si>
    <t>Murderball </t>
  </si>
  <si>
    <t>http://www.imdb.com/title/tt0436613/?ref_=fn_tt_tt_1</t>
  </si>
  <si>
    <t>American Ninja 2: The Confrontation </t>
  </si>
  <si>
    <t>http://www.imdb.com/title/tt0092548/?ref_=fn_tt_tt_1</t>
  </si>
  <si>
    <t>Tumbleweeds </t>
  </si>
  <si>
    <t>http://www.imdb.com/title/tt0161023/?ref_=fn_tt_tt_1</t>
  </si>
  <si>
    <t>Action|Fantasy|Horror|Mystery|Thriller</t>
  </si>
  <si>
    <t>The Prophecy </t>
  </si>
  <si>
    <t>http://www.imdb.com/title/tt0114194/?ref_=fn_tt_tt_1</t>
  </si>
  <si>
    <t>When the Cat's Away </t>
  </si>
  <si>
    <t>http://www.imdb.com/title/tt0115856/?ref_=fn_tt_tt_1</t>
  </si>
  <si>
    <t>Pieces of April </t>
  </si>
  <si>
    <t>http://www.imdb.com/title/tt0311648/?ref_=fn_tt_tt_1</t>
  </si>
  <si>
    <t>Old Joy </t>
  </si>
  <si>
    <t>http://www.imdb.com/title/tt0468526/?ref_=fn_tt_tt_1</t>
  </si>
  <si>
    <t>Wendy and Lucy </t>
  </si>
  <si>
    <t>http://www.imdb.com/title/tt1152850/?ref_=fn_tt_tt_1</t>
  </si>
  <si>
    <t>Ayurveda: Art of Being </t>
  </si>
  <si>
    <t>http://www.imdb.com/title/tt0221809/?ref_=fn_tt_tt_1</t>
  </si>
  <si>
    <t>Nothing But a Man </t>
  </si>
  <si>
    <t>http://www.imdb.com/title/tt0058414/?ref_=fn_tt_tt_1</t>
  </si>
  <si>
    <t>First Love, Last Rites </t>
  </si>
  <si>
    <t>http://www.imdb.com/title/tt0128214/?ref_=fn_tt_tt_1</t>
  </si>
  <si>
    <t>Fighting Tommy Riley </t>
  </si>
  <si>
    <t>http://www.imdb.com/title/tt0366444/?ref_=fn_tt_tt_1</t>
  </si>
  <si>
    <t>Locker 13 </t>
  </si>
  <si>
    <t>http://www.imdb.com/title/tt1241226/?ref_=fn_tt_tt_1</t>
  </si>
  <si>
    <t>Compliance </t>
  </si>
  <si>
    <t>http://www.imdb.com/title/tt1971352/?ref_=fn_tt_tt_1</t>
  </si>
  <si>
    <t>Chasing Amy </t>
  </si>
  <si>
    <t>http://www.imdb.com/title/tt0118842/?ref_=fn_tt_tt_1</t>
  </si>
  <si>
    <t>Lovely &amp; Amazing </t>
  </si>
  <si>
    <t>http://www.imdb.com/title/tt0258273/?ref_=fn_tt_tt_1</t>
  </si>
  <si>
    <t>Better Luck Tomorrow </t>
  </si>
  <si>
    <t>http://www.imdb.com/title/tt0280477/?ref_=fn_tt_tt_1</t>
  </si>
  <si>
    <t>The Incredibly True Adventure of Two Girls in Love </t>
  </si>
  <si>
    <t>http://www.imdb.com/title/tt0113416/?ref_=fn_tt_tt_1</t>
  </si>
  <si>
    <t>Chuck &amp; Buck </t>
  </si>
  <si>
    <t>http://www.imdb.com/title/tt0200530/?ref_=fn_tt_tt_1</t>
  </si>
  <si>
    <t>American Desi </t>
  </si>
  <si>
    <t>http://www.imdb.com/title/tt0203289/?ref_=fn_tt_tt_1</t>
  </si>
  <si>
    <t>Cube </t>
  </si>
  <si>
    <t>http://www.imdb.com/title/tt0123755/?ref_=fn_tt_tt_1</t>
  </si>
  <si>
    <t>Love and Other Catastrophes </t>
  </si>
  <si>
    <t>http://www.imdb.com/title/tt0116931/?ref_=fn_tt_tt_1</t>
  </si>
  <si>
    <t>Animation|Comedy|Drama|Fantasy|Sci-Fi</t>
  </si>
  <si>
    <t>I Married a Strange Person! </t>
  </si>
  <si>
    <t>http://www.imdb.com/title/tt0119346/?ref_=fn_tt_tt_1</t>
  </si>
  <si>
    <t>November </t>
  </si>
  <si>
    <t>http://www.imdb.com/title/tt0368089/?ref_=fn_tt_tt_1</t>
  </si>
  <si>
    <t>Like Crazy </t>
  </si>
  <si>
    <t>http://www.imdb.com/title/tt1758692/?ref_=fn_tt_tt_1</t>
  </si>
  <si>
    <t>Sugar Town </t>
  </si>
  <si>
    <t>http://www.imdb.com/title/tt0173390/?ref_=fn_tt_tt_1</t>
  </si>
  <si>
    <t>The Canyons </t>
  </si>
  <si>
    <t>http://www.imdb.com/title/tt2292959/?ref_=fn_tt_tt_1</t>
  </si>
  <si>
    <t>The Sticky Fingers of Time </t>
  </si>
  <si>
    <t>http://www.imdb.com/title/tt0127302/?ref_=fn_tt_tt_1</t>
  </si>
  <si>
    <t>Burn </t>
  </si>
  <si>
    <t>http://www.imdb.com/title/tt1781784/?ref_=fn_tt_tt_1</t>
  </si>
  <si>
    <t>Urbania </t>
  </si>
  <si>
    <t>http://www.imdb.com/title/tt0182508/?ref_=fn_tt_tt_1</t>
  </si>
  <si>
    <t>Adventure|Horror|Sci-Fi</t>
  </si>
  <si>
    <t>The Beast from 20,000 Fathoms </t>
  </si>
  <si>
    <t>http://www.imdb.com/title/tt0045546/?ref_=fn_tt_tt_1</t>
  </si>
  <si>
    <t>Swingers </t>
  </si>
  <si>
    <t>http://www.imdb.com/title/tt0117802/?ref_=fn_tt_tt_1</t>
  </si>
  <si>
    <t>A Fistful of Dollars </t>
  </si>
  <si>
    <t>http://www.imdb.com/title/tt0058461/?ref_=fn_tt_tt_1</t>
  </si>
  <si>
    <t>Short Cut to Nirvana: Kumbh Mela </t>
  </si>
  <si>
    <t>http://www.imdb.com/title/tt0420723/?ref_=fn_tt_tt_1</t>
  </si>
  <si>
    <t>The Grace Card </t>
  </si>
  <si>
    <t>http://www.imdb.com/title/tt1544600/?ref_=fn_tt_tt_1</t>
  </si>
  <si>
    <t>Middle of Nowhere </t>
  </si>
  <si>
    <t>http://www.imdb.com/title/tt1211890/?ref_=fn_tt_tt_1</t>
  </si>
  <si>
    <t>The Business of Fancydancing </t>
  </si>
  <si>
    <t>http://www.imdb.com/title/tt0303313/?ref_=fn_tt_tt_1</t>
  </si>
  <si>
    <t>Call + Response </t>
  </si>
  <si>
    <t>http://www.imdb.com/title/tt1301130/?ref_=fn_tt_tt_1</t>
  </si>
  <si>
    <t>The Trials of Darryl Hunt </t>
  </si>
  <si>
    <t>http://www.imdb.com/title/tt0446055/?ref_=fn_tt_tt_1</t>
  </si>
  <si>
    <t>Children of Heaven </t>
  </si>
  <si>
    <t>http://www.imdb.com/title/tt0118849/?ref_=fn_tt_tt_1</t>
  </si>
  <si>
    <t>Weekend </t>
  </si>
  <si>
    <t>http://www.imdb.com/title/tt1714210/?ref_=fn_tt_tt_1</t>
  </si>
  <si>
    <t>She's Gotta Have It </t>
  </si>
  <si>
    <t>http://www.imdb.com/title/tt0091939/?ref_=fn_tt_tt_1</t>
  </si>
  <si>
    <t>Another Earth </t>
  </si>
  <si>
    <t>http://www.imdb.com/title/tt1549572/?ref_=fn_tt_tt_1</t>
  </si>
  <si>
    <t>Sweet Sweetback's Baadasssss Song </t>
  </si>
  <si>
    <t>http://www.imdb.com/title/tt0067810/?ref_=fn_tt_tt_1</t>
  </si>
  <si>
    <t>Tadpole </t>
  </si>
  <si>
    <t>http://www.imdb.com/title/tt0271219/?ref_=fn_tt_tt_1</t>
  </si>
  <si>
    <t>Once </t>
  </si>
  <si>
    <t>http://www.imdb.com/title/tt0907657/?ref_=fn_tt_tt_1</t>
  </si>
  <si>
    <t>The Woman Chaser </t>
  </si>
  <si>
    <t>http://www.imdb.com/title/tt0217894/?ref_=fn_tt_tt_1</t>
  </si>
  <si>
    <t>The Horse Boy </t>
  </si>
  <si>
    <t>http://www.imdb.com/title/tt1333668/?ref_=fn_tt_tt_1</t>
  </si>
  <si>
    <t>Adventure|Documentary</t>
  </si>
  <si>
    <t>Antarctic Edge: 70° South </t>
  </si>
  <si>
    <t>http://www.imdb.com/title/tt2780714/?ref_=fn_tt_tt_1</t>
  </si>
  <si>
    <t>Top Spin </t>
  </si>
  <si>
    <t>http://www.imdb.com/title/tt4219836/?ref_=fn_tt_tt_1</t>
  </si>
  <si>
    <t>Roger &amp; Me </t>
  </si>
  <si>
    <t>http://www.imdb.com/title/tt0098213/?ref_=fn_tt_tt_1</t>
  </si>
  <si>
    <t>Your Sister's Sister </t>
  </si>
  <si>
    <t>http://www.imdb.com/title/tt1742336/?ref_=fn_tt_tt_1</t>
  </si>
  <si>
    <t>Facing the Giants </t>
  </si>
  <si>
    <t>http://www.imdb.com/title/tt0805526/?ref_=fn_tt_tt_1</t>
  </si>
  <si>
    <t>The Gallows </t>
  </si>
  <si>
    <t>http://www.imdb.com/title/tt2309260/?ref_=fn_tt_tt_1</t>
  </si>
  <si>
    <t>Hollywood Shuffle </t>
  </si>
  <si>
    <t>http://www.imdb.com/title/tt0093200/?ref_=fn_tt_tt_1</t>
  </si>
  <si>
    <t>The Lost Skeleton of Cadavra </t>
  </si>
  <si>
    <t>http://www.imdb.com/title/tt0307109/?ref_=fn_tt_tt_1</t>
  </si>
  <si>
    <t>Comedy|Crime|Drama|Horror|Thriller</t>
  </si>
  <si>
    <t>Cheap Thrills </t>
  </si>
  <si>
    <t>http://www.imdb.com/title/tt2389182/?ref_=fn_tt_tt_1</t>
  </si>
  <si>
    <t>Pi </t>
  </si>
  <si>
    <t>http://www.imdb.com/title/tt0138704/?ref_=fn_tt_tt_1</t>
  </si>
  <si>
    <t>20 Dates </t>
  </si>
  <si>
    <t>http://www.imdb.com/title/tt0138987/?ref_=fn_tt_tt_1</t>
  </si>
  <si>
    <t>Comedy|Documentary|Drama</t>
  </si>
  <si>
    <t>Super Size Me </t>
  </si>
  <si>
    <t>http://www.imdb.com/title/tt0390521/?ref_=fn_tt_tt_1</t>
  </si>
  <si>
    <t>The FP </t>
  </si>
  <si>
    <t>http://www.imdb.com/title/tt1296373/?ref_=fn_tt_tt_1</t>
  </si>
  <si>
    <t>Happy Christmas </t>
  </si>
  <si>
    <t>http://www.imdb.com/title/tt2955096/?ref_=fn_tt_tt_1</t>
  </si>
  <si>
    <t>The Brothers McMullen </t>
  </si>
  <si>
    <t>http://www.imdb.com/title/tt0112585/?ref_=fn_tt_tt_1</t>
  </si>
  <si>
    <t>Tiny Furniture </t>
  </si>
  <si>
    <t>http://www.imdb.com/title/tt1570989/?ref_=fn_tt_tt_1</t>
  </si>
  <si>
    <t>George Washington </t>
  </si>
  <si>
    <t>http://www.imdb.com/title/tt0262432/?ref_=fn_tt_tt_1</t>
  </si>
  <si>
    <t>Smiling Fish &amp; Goat on Fire </t>
  </si>
  <si>
    <t>http://www.imdb.com/title/tt0162348/?ref_=fn_tt_tt_1</t>
  </si>
  <si>
    <t>The Legend of God's Gun </t>
  </si>
  <si>
    <t>http://www.imdb.com/title/tt1073221/?ref_=fn_tt_tt_1</t>
  </si>
  <si>
    <t>Clerks </t>
  </si>
  <si>
    <t>http://www.imdb.com/title/tt0109445/?ref_=fn_tt_tt_1</t>
  </si>
  <si>
    <t>Pink Narcissus </t>
  </si>
  <si>
    <t>http://www.imdb.com/title/tt0067580/?ref_=fn_tt_tt_1</t>
  </si>
  <si>
    <t>In the Company of Men </t>
  </si>
  <si>
    <t>http://www.imdb.com/title/tt0119361/?ref_=fn_tt_tt_1</t>
  </si>
  <si>
    <t>Slacker </t>
  </si>
  <si>
    <t>http://www.imdb.com/title/tt0102943/?ref_=fn_tt_tt_1</t>
  </si>
  <si>
    <t>The Puffy Chair </t>
  </si>
  <si>
    <t>http://www.imdb.com/title/tt0436689/?ref_=fn_tt_tt_1</t>
  </si>
  <si>
    <t>Breaking Upwards </t>
  </si>
  <si>
    <t>http://www.imdb.com/title/tt1247644/?ref_=fn_tt_tt_1</t>
  </si>
  <si>
    <t>Comedy|Crime|Horror</t>
  </si>
  <si>
    <t>Pink Flamingos </t>
  </si>
  <si>
    <t>http://www.imdb.com/title/tt0069089/?ref_=fn_tt_tt_1</t>
  </si>
  <si>
    <t>Clean </t>
  </si>
  <si>
    <t>http://www.imdb.com/title/tt0388838/?ref_=fn_tt_tt_1</t>
  </si>
  <si>
    <t>The Circle </t>
  </si>
  <si>
    <t>http://www.imdb.com/title/tt0255094/?ref_=fn_tt_tt_1</t>
  </si>
  <si>
    <t>The Cure </t>
  </si>
  <si>
    <t>http://www.imdb.com/title/tt0123948/?ref_=fn_tt_tt_1</t>
  </si>
  <si>
    <t>Primer </t>
  </si>
  <si>
    <t>http://www.imdb.com/title/tt0390384/?ref_=fn_tt_tt_1</t>
  </si>
  <si>
    <t>Cavite </t>
  </si>
  <si>
    <t>http://www.imdb.com/title/tt0428303/?ref_=fn_tt_tt_1</t>
  </si>
  <si>
    <t>Philippines</t>
  </si>
  <si>
    <t>El Mariachi </t>
  </si>
  <si>
    <t>http://www.imdb.com/title/tt0104815/?ref_=fn_tt_tt_1</t>
  </si>
  <si>
    <t>Newlyweds </t>
  </si>
  <si>
    <t>http://www.imdb.com/title/tt1880418/?ref_=fn_tt_tt_1</t>
  </si>
  <si>
    <t>My Date with Drew </t>
  </si>
  <si>
    <t>http://www.imdb.com/title/tt0378407/?ref_=fn_tt_tt_1</t>
  </si>
  <si>
    <t>Mystery</t>
  </si>
  <si>
    <t>Sport</t>
  </si>
  <si>
    <t>Crime</t>
  </si>
  <si>
    <t>War</t>
  </si>
  <si>
    <t>Short</t>
  </si>
  <si>
    <t>Film-Noir</t>
  </si>
  <si>
    <t>New_genres</t>
  </si>
  <si>
    <t>Count of genre</t>
  </si>
  <si>
    <t>Seprated genres</t>
  </si>
  <si>
    <t>Movie Title</t>
  </si>
  <si>
    <t>Genres</t>
  </si>
  <si>
    <t>Grand Total</t>
  </si>
  <si>
    <t>Mean</t>
  </si>
  <si>
    <t>AVERAGE</t>
  </si>
  <si>
    <t>MEAN</t>
  </si>
  <si>
    <t>MODE</t>
  </si>
  <si>
    <t>MEDIAN</t>
  </si>
  <si>
    <t>ST.DEV</t>
  </si>
  <si>
    <t>MAX</t>
  </si>
  <si>
    <t>MIN</t>
  </si>
  <si>
    <t>VAR</t>
  </si>
  <si>
    <t>imdb_score</t>
  </si>
  <si>
    <t>Language</t>
  </si>
  <si>
    <t>count of language</t>
  </si>
  <si>
    <t>St.d</t>
  </si>
  <si>
    <t>Median</t>
  </si>
  <si>
    <t xml:space="preserve">Grand Total </t>
  </si>
  <si>
    <t>director_name</t>
  </si>
  <si>
    <t>James Cameron</t>
  </si>
  <si>
    <t>Gore Verbinski</t>
  </si>
  <si>
    <t>Sam Mendes</t>
  </si>
  <si>
    <t>Christopher Nolan</t>
  </si>
  <si>
    <t>Doug Walker</t>
  </si>
  <si>
    <t>Andrew Stanton</t>
  </si>
  <si>
    <t>Sam Raimi</t>
  </si>
  <si>
    <t>Nathan Greno</t>
  </si>
  <si>
    <t>Joss Whedon</t>
  </si>
  <si>
    <t>David Yates</t>
  </si>
  <si>
    <t>Zack Snyder</t>
  </si>
  <si>
    <t>Bryan Singer</t>
  </si>
  <si>
    <t>Marc Forster</t>
  </si>
  <si>
    <t>Andrew Adamson</t>
  </si>
  <si>
    <t>Rob Marshall</t>
  </si>
  <si>
    <t>Barry Sonnenfeld</t>
  </si>
  <si>
    <t>Peter Jackson</t>
  </si>
  <si>
    <t>Marc Webb</t>
  </si>
  <si>
    <t>Ridley Scott</t>
  </si>
  <si>
    <t>Chris Weitz</t>
  </si>
  <si>
    <t>Anthony Russo</t>
  </si>
  <si>
    <t>Peter Berg</t>
  </si>
  <si>
    <t>Colin Trevorrow</t>
  </si>
  <si>
    <t>Shane Black</t>
  </si>
  <si>
    <t>Tim Burton</t>
  </si>
  <si>
    <t>Brett Ratner</t>
  </si>
  <si>
    <t>Dan Scanlon</t>
  </si>
  <si>
    <t>Michael Bay</t>
  </si>
  <si>
    <t>Joseph Kosinski</t>
  </si>
  <si>
    <t>John Lasseter</t>
  </si>
  <si>
    <t>Martin Campbell</t>
  </si>
  <si>
    <t>Lee Unkrich</t>
  </si>
  <si>
    <t>McG</t>
  </si>
  <si>
    <t>James Wan</t>
  </si>
  <si>
    <t>J.J. Abrams</t>
  </si>
  <si>
    <t>Baz Luhrmann</t>
  </si>
  <si>
    <t>Mike Newell</t>
  </si>
  <si>
    <t>Guillermo del Toro</t>
  </si>
  <si>
    <t>Steven Spielberg</t>
  </si>
  <si>
    <t>Peter Sohn</t>
  </si>
  <si>
    <t>Mark Andrews</t>
  </si>
  <si>
    <t>Justin Lin</t>
  </si>
  <si>
    <t>Roland Emmerich</t>
  </si>
  <si>
    <t>Robert Zemeckis</t>
  </si>
  <si>
    <t>Lana Wachowski</t>
  </si>
  <si>
    <t>Pete Docter</t>
  </si>
  <si>
    <t>Rob Letterman</t>
  </si>
  <si>
    <t>Jon Favreau</t>
  </si>
  <si>
    <t>Martin Scorsese</t>
  </si>
  <si>
    <t>Rob Cohen</t>
  </si>
  <si>
    <t>David Ayer</t>
  </si>
  <si>
    <t>Tom Shadyac</t>
  </si>
  <si>
    <t>Doug Liman</t>
  </si>
  <si>
    <t>Kevin Reynolds</t>
  </si>
  <si>
    <t>Stephen Sommers</t>
  </si>
  <si>
    <t>Rupert Sanders</t>
  </si>
  <si>
    <t>Robert Stromberg</t>
  </si>
  <si>
    <t>Matt Reeves</t>
  </si>
  <si>
    <t>Roland JoffÃ©</t>
  </si>
  <si>
    <t>Carl Rinsch</t>
  </si>
  <si>
    <t>Mike Mitchell</t>
  </si>
  <si>
    <t>Brad Bird</t>
  </si>
  <si>
    <t>Don Hall</t>
  </si>
  <si>
    <t>Rich Moore</t>
  </si>
  <si>
    <t>Dean DeBlois</t>
  </si>
  <si>
    <t>Jonathan Mostow</t>
  </si>
  <si>
    <t>James Gunn</t>
  </si>
  <si>
    <t>Hideaki Anno</t>
  </si>
  <si>
    <t>David Fincher</t>
  </si>
  <si>
    <t>Matthew Vaughn</t>
  </si>
  <si>
    <t>Francis Lawrence</t>
  </si>
  <si>
    <t>Jon Turteltaub</t>
  </si>
  <si>
    <t>Wolfgang Petersen</t>
  </si>
  <si>
    <t>James Bobin</t>
  </si>
  <si>
    <t>Chris Miller</t>
  </si>
  <si>
    <t>Duncan Jones</t>
  </si>
  <si>
    <t>Alan Taylor</t>
  </si>
  <si>
    <t>Michael Apted</t>
  </si>
  <si>
    <t>Oliver Stone</t>
  </si>
  <si>
    <t>Eric Darnell</t>
  </si>
  <si>
    <t>Shawn Levy</t>
  </si>
  <si>
    <t>Gavin Hood</t>
  </si>
  <si>
    <t>Chris Buck</t>
  </si>
  <si>
    <t>George Miller</t>
  </si>
  <si>
    <t>Ron Howard</t>
  </si>
  <si>
    <t>Kenneth Branagh</t>
  </si>
  <si>
    <t>Byron Howard</t>
  </si>
  <si>
    <t>Hoyt Yeatman</t>
  </si>
  <si>
    <t>Jonathan Liebesman</t>
  </si>
  <si>
    <t>Christopher McQuarrie</t>
  </si>
  <si>
    <t>Joe Johnston</t>
  </si>
  <si>
    <t>Steve Hickner</t>
  </si>
  <si>
    <t>Jennifer Yuh Nelson</t>
  </si>
  <si>
    <t>M. Night Shyamalan</t>
  </si>
  <si>
    <t>Simon Wells</t>
  </si>
  <si>
    <t>David Bowers</t>
  </si>
  <si>
    <t>Joe Wright</t>
  </si>
  <si>
    <t>Rob Minkoff</t>
  </si>
  <si>
    <t>Lee Tamahori</t>
  </si>
  <si>
    <t>Paul Feig</t>
  </si>
  <si>
    <t>Alessandro Carloni</t>
  </si>
  <si>
    <t>Peter Ramsey</t>
  </si>
  <si>
    <t>Dean Parisot</t>
  </si>
  <si>
    <t>Edward Zwick</t>
  </si>
  <si>
    <t>Alex Proyas</t>
  </si>
  <si>
    <t>Richard Donner</t>
  </si>
  <si>
    <t>Ang Lee</t>
  </si>
  <si>
    <t>Jon M. Chu</t>
  </si>
  <si>
    <t>Breck Eisner</t>
  </si>
  <si>
    <t>Hironobu Sakaguchi</t>
  </si>
  <si>
    <t>Peter Weir</t>
  </si>
  <si>
    <t>Bill Condon</t>
  </si>
  <si>
    <t>Louis Leterrier</t>
  </si>
  <si>
    <t>Alejandro G. IÃ±Ã¡rritu</t>
  </si>
  <si>
    <t>David Soren</t>
  </si>
  <si>
    <t>Paul Greengrass</t>
  </si>
  <si>
    <t>Mark Osborne</t>
  </si>
  <si>
    <t>Peyton Reed</t>
  </si>
  <si>
    <t>Tim Johnson</t>
  </si>
  <si>
    <t>Phillip Noyce</t>
  </si>
  <si>
    <t>Darren Aronofsky</t>
  </si>
  <si>
    <t>Alfonso CuarÃ³n</t>
  </si>
  <si>
    <t>Eric Leighton</t>
  </si>
  <si>
    <t>Matt Birch</t>
  </si>
  <si>
    <t>Tom McGrath</t>
  </si>
  <si>
    <t>Chris Columbus</t>
  </si>
  <si>
    <t>Robert Schwentke</t>
  </si>
  <si>
    <t>Carlos Saldanha</t>
  </si>
  <si>
    <t>Guy Ritchie</t>
  </si>
  <si>
    <t>Paul Verhoeven</t>
  </si>
  <si>
    <t>John McTiernan</t>
  </si>
  <si>
    <t>Tony Gilroy</t>
  </si>
  <si>
    <t>Joel Schumacher</t>
  </si>
  <si>
    <t>John Woo</t>
  </si>
  <si>
    <t>Tim Story</t>
  </si>
  <si>
    <t>Mark Steven Johnson</t>
  </si>
  <si>
    <t>Neill Blomkamp</t>
  </si>
  <si>
    <t>David Twohy</t>
  </si>
  <si>
    <t>JosÃ© Padilha</t>
  </si>
  <si>
    <t>James L. Brooks</t>
  </si>
  <si>
    <t>James Mangold</t>
  </si>
  <si>
    <t>George Lucas</t>
  </si>
  <si>
    <t>Kirk De Micco</t>
  </si>
  <si>
    <t>FrÃ©dÃ©ric Forestier</t>
  </si>
  <si>
    <t>Cedric Nicolas-Troyan</t>
  </si>
  <si>
    <t>Roger Donaldson</t>
  </si>
  <si>
    <t>Dave Green</t>
  </si>
  <si>
    <t>Josh Trank</t>
  </si>
  <si>
    <t>Brad Peyton</t>
  </si>
  <si>
    <t>Roger Spottiswoode</t>
  </si>
  <si>
    <t>Steven Soderbergh</t>
  </si>
  <si>
    <t>Michel Gondry</t>
  </si>
  <si>
    <t>Noam Murro</t>
  </si>
  <si>
    <t>Raja Gosnell</t>
  </si>
  <si>
    <t>Will Finn</t>
  </si>
  <si>
    <t>Jan de Bont</t>
  </si>
  <si>
    <t>Len Wiseman</t>
  </si>
  <si>
    <t>Frank Coraci</t>
  </si>
  <si>
    <t>Michael Mann</t>
  </si>
  <si>
    <t>Bo Welch</t>
  </si>
  <si>
    <t>Ron Clements</t>
  </si>
  <si>
    <t>Christopher Barnard</t>
  </si>
  <si>
    <t>Peter Chelsom</t>
  </si>
  <si>
    <t>Dominic Sena</t>
  </si>
  <si>
    <t>Tony Scott</t>
  </si>
  <si>
    <t>Paul Weitz</t>
  </si>
  <si>
    <t>Adam McKay</t>
  </si>
  <si>
    <t>Chuck Russell</t>
  </si>
  <si>
    <t>Quentin Tarantino</t>
  </si>
  <si>
    <t>Gary Trousdale</t>
  </si>
  <si>
    <t>Mark Dindal</t>
  </si>
  <si>
    <t>Simon West</t>
  </si>
  <si>
    <t>Stefen Fangmeier</t>
  </si>
  <si>
    <t>Spike Jonze</t>
  </si>
  <si>
    <t>Chris Wedge</t>
  </si>
  <si>
    <t>Florian Henckel von Donnersmarck</t>
  </si>
  <si>
    <t>Peter Hyams</t>
  </si>
  <si>
    <t>Tom Tykwer</t>
  </si>
  <si>
    <t>Pitof</t>
  </si>
  <si>
    <t>Brad Silberling</t>
  </si>
  <si>
    <t>Patrick Hughes</t>
  </si>
  <si>
    <t>Ericson Core</t>
  </si>
  <si>
    <t>Lawrence Guterman</t>
  </si>
  <si>
    <t>Ron Underwood</t>
  </si>
  <si>
    <t>Steve Martino</t>
  </si>
  <si>
    <t>David Mamet</t>
  </si>
  <si>
    <t>Yimou Zhang</t>
  </si>
  <si>
    <t>Ash Brannon</t>
  </si>
  <si>
    <t>Frank Oz</t>
  </si>
  <si>
    <t>Jay Roach</t>
  </si>
  <si>
    <t>Luc Besson</t>
  </si>
  <si>
    <t>Michael Patrick King</t>
  </si>
  <si>
    <t>Bibo Bergeron</t>
  </si>
  <si>
    <t>Sergey Bodrov</t>
  </si>
  <si>
    <t>Wally Pfister</t>
  </si>
  <si>
    <t>Rupert Wyatt</t>
  </si>
  <si>
    <t>Mark Waters</t>
  </si>
  <si>
    <t>John Moore</t>
  </si>
  <si>
    <t>John Lee Hancock</t>
  </si>
  <si>
    <t>Renny Harlin</t>
  </si>
  <si>
    <t>Phil Lord</t>
  </si>
  <si>
    <t>Ben Stiller</t>
  </si>
  <si>
    <t>Tony Bancroft</t>
  </si>
  <si>
    <t>Timur Bekmambetov</t>
  </si>
  <si>
    <t>Walt Becker</t>
  </si>
  <si>
    <t>Dennis Dugan</t>
  </si>
  <si>
    <t>Sydney Pollack</t>
  </si>
  <si>
    <t>Thor Freudenthal</t>
  </si>
  <si>
    <t>Brian De Palma</t>
  </si>
  <si>
    <t>Mick Jackson</t>
  </si>
  <si>
    <t>Alan J. Pakula</t>
  </si>
  <si>
    <t>Kathryn Bigelow</t>
  </si>
  <si>
    <t>John Milius</t>
  </si>
  <si>
    <t>Andrey Konchalovskiy</t>
  </si>
  <si>
    <t>Gary Ross</t>
  </si>
  <si>
    <t>Paul W.S. Anderson</t>
  </si>
  <si>
    <t>Genndy Tartakovsky</t>
  </si>
  <si>
    <t>Kevin Lima</t>
  </si>
  <si>
    <t>Daniel Espinosa</t>
  </si>
  <si>
    <t>Nancy Meyers</t>
  </si>
  <si>
    <t>Roger Allers</t>
  </si>
  <si>
    <t>Neil Burger</t>
  </si>
  <si>
    <t>Jean-Jacques Annaud</t>
  </si>
  <si>
    <t>Sarah Smith</t>
  </si>
  <si>
    <t>Martin Brest</t>
  </si>
  <si>
    <t>Andrew Davis</t>
  </si>
  <si>
    <t>Bob Fosse</t>
  </si>
  <si>
    <t>Tarsem Singh</t>
  </si>
  <si>
    <t>Edgar Wright</t>
  </si>
  <si>
    <t>Jon Amiel</t>
  </si>
  <si>
    <t>Peter Segal</t>
  </si>
  <si>
    <t>Pete Travis</t>
  </si>
  <si>
    <t>George A. Romero</t>
  </si>
  <si>
    <t>Sylvester Stallone</t>
  </si>
  <si>
    <t>Todd Phillips</t>
  </si>
  <si>
    <t>Gary Winick</t>
  </si>
  <si>
    <t>Mimi Leder</t>
  </si>
  <si>
    <t>Seth Gordon</t>
  </si>
  <si>
    <t>Adam Shankman</t>
  </si>
  <si>
    <t>D.J. Caruso</t>
  </si>
  <si>
    <t>Anthony Minghella</t>
  </si>
  <si>
    <t>Albert Hughes</t>
  </si>
  <si>
    <t>Les Mayfield</t>
  </si>
  <si>
    <t>Joe Pytka</t>
  </si>
  <si>
    <t>Scott Derrickson</t>
  </si>
  <si>
    <t>Ivan Reitman</t>
  </si>
  <si>
    <t>Eric Brevig</t>
  </si>
  <si>
    <t>Kelly Asbury</t>
  </si>
  <si>
    <t>Stephen Hopkins</t>
  </si>
  <si>
    <t>Jonathan Demme</t>
  </si>
  <si>
    <t>Henry Jaglom</t>
  </si>
  <si>
    <t>James Algar</t>
  </si>
  <si>
    <t>Vincent Ward</t>
  </si>
  <si>
    <t>Steven Brill</t>
  </si>
  <si>
    <t>Terry Gilliam</t>
  </si>
  <si>
    <t>Lucile Hadzihalilovic</t>
  </si>
  <si>
    <t>Barry Cook</t>
  </si>
  <si>
    <t>Roger Christian</t>
  </si>
  <si>
    <t>Joe Dante</t>
  </si>
  <si>
    <t>Kevin Costner</t>
  </si>
  <si>
    <t>Antony Hoffman</t>
  </si>
  <si>
    <t>Jacques Perrin</t>
  </si>
  <si>
    <t>AndrÃ©s Couturier</t>
  </si>
  <si>
    <t>Cody Cameron</t>
  </si>
  <si>
    <t>John Singleton</t>
  </si>
  <si>
    <t>Oliver Hirschbiegel</t>
  </si>
  <si>
    <t>Des McAnuff</t>
  </si>
  <si>
    <t>Yarrow Cheney</t>
  </si>
  <si>
    <t>Stephen Norrington</t>
  </si>
  <si>
    <t>Pierre Coffin</t>
  </si>
  <si>
    <t>David Kellogg</t>
  </si>
  <si>
    <t>Mike Nichols</t>
  </si>
  <si>
    <t>F. Gary Gray</t>
  </si>
  <si>
    <t>Antoine Fuqua</t>
  </si>
  <si>
    <t>Robert Luketic</t>
  </si>
  <si>
    <t>Gil Kenan</t>
  </si>
  <si>
    <t>Barry Levinson</t>
  </si>
  <si>
    <t>Jerry Zucker</t>
  </si>
  <si>
    <t>Andy Tennant</t>
  </si>
  <si>
    <t>Florent-Emilio Siri</t>
  </si>
  <si>
    <t>Don Bluth</t>
  </si>
  <si>
    <t>Ron Shelton</t>
  </si>
  <si>
    <t>David Pastor</t>
  </si>
  <si>
    <t>Henry Selick</t>
  </si>
  <si>
    <t>Kyle Balda</t>
  </si>
  <si>
    <t>Clay Kaytis</t>
  </si>
  <si>
    <t>Judd Apatow</t>
  </si>
  <si>
    <t>Steve Carr</t>
  </si>
  <si>
    <t>Mel Gibson</t>
  </si>
  <si>
    <t>David Silverman</t>
  </si>
  <si>
    <t>Frank Darabont</t>
  </si>
  <si>
    <t>Betty Thomas</t>
  </si>
  <si>
    <t>Garry Marshall</t>
  </si>
  <si>
    <t>Paul Tibbitt</t>
  </si>
  <si>
    <t>Clark Johnson</t>
  </si>
  <si>
    <t>Cameron Crowe</t>
  </si>
  <si>
    <t>Randall Wallace</t>
  </si>
  <si>
    <t>Jonathan Frakes</t>
  </si>
  <si>
    <t>George Clooney</t>
  </si>
  <si>
    <t>Gary Shore</t>
  </si>
  <si>
    <t>Andrzej Bartkowiak</t>
  </si>
  <si>
    <t>MÃ¥ns MÃ¥rlind</t>
  </si>
  <si>
    <t>Gregory Hoblit</t>
  </si>
  <si>
    <t>Gary McKendry</t>
  </si>
  <si>
    <t>Wych Kaosayananda</t>
  </si>
  <si>
    <t>Mikael Salomon</t>
  </si>
  <si>
    <t>Bobby Farrelly</t>
  </si>
  <si>
    <t>Kerry Conran</t>
  </si>
  <si>
    <t>Michael Caton-Jones</t>
  </si>
  <si>
    <t>Mikael HÃ¥fstrÃ¶m</t>
  </si>
  <si>
    <t>Phil Alden Robinson</t>
  </si>
  <si>
    <t>David Slade</t>
  </si>
  <si>
    <t>Joseph Ruben</t>
  </si>
  <si>
    <t>Seth MacFarlane</t>
  </si>
  <si>
    <t>Alejandro AmenÃ¡bar</t>
  </si>
  <si>
    <t>Kinka Usher</t>
  </si>
  <si>
    <t>Craig Gillespie</t>
  </si>
  <si>
    <t>Rob Bowman</t>
  </si>
  <si>
    <t>Doug Lefler</t>
  </si>
  <si>
    <t>Scott Waugh</t>
  </si>
  <si>
    <t>Lawrence Kasdan</t>
  </si>
  <si>
    <t>Michael Lembeck</t>
  </si>
  <si>
    <t>Tom Hooper</t>
  </si>
  <si>
    <t>Nora Ephron</t>
  </si>
  <si>
    <t>Angelina Jolie Pitt</t>
  </si>
  <si>
    <t>Clint Eastwood</t>
  </si>
  <si>
    <t>Larry Charles</t>
  </si>
  <si>
    <t>Stanley Kubrick</t>
  </si>
  <si>
    <t>Will Gluck</t>
  </si>
  <si>
    <t>Glenn Ficarra</t>
  </si>
  <si>
    <t>David S. Goyer</t>
  </si>
  <si>
    <t>Taylor Hackford</t>
  </si>
  <si>
    <t>Michael Lehmann</t>
  </si>
  <si>
    <t>Stuart Beattie</t>
  </si>
  <si>
    <t>Roman Polanski</t>
  </si>
  <si>
    <t>Frank Miller</t>
  </si>
  <si>
    <t>Baltasar KormÃ¡kur</t>
  </si>
  <si>
    <t>Daniel Lee</t>
  </si>
  <si>
    <t>Keenen Ivory Wayans</t>
  </si>
  <si>
    <t>Rob Reiner</t>
  </si>
  <si>
    <t>Marco Schnabel</t>
  </si>
  <si>
    <t>Demian Lichtenstein</t>
  </si>
  <si>
    <t>Josh Gordon</t>
  </si>
  <si>
    <t>Tim Hill</t>
  </si>
  <si>
    <t>David Frankel</t>
  </si>
  <si>
    <t>Brenda Chapman</t>
  </si>
  <si>
    <t>Marc Lawrence</t>
  </si>
  <si>
    <t>Peter Billingsley</t>
  </si>
  <si>
    <t>Wes Ball</t>
  </si>
  <si>
    <t>Ryan Murphy</t>
  </si>
  <si>
    <t>Robert Redford</t>
  </si>
  <si>
    <t>Jay Russell</t>
  </si>
  <si>
    <t>Kenny Ortega</t>
  </si>
  <si>
    <t>David McNally</t>
  </si>
  <si>
    <t>Brian Robbins</t>
  </si>
  <si>
    <t>Brian Levant</t>
  </si>
  <si>
    <t>Steven Zaillian</t>
  </si>
  <si>
    <t>Chris Butler</t>
  </si>
  <si>
    <t>Jon Avnet</t>
  </si>
  <si>
    <t>Sam Fell</t>
  </si>
  <si>
    <t>Kevin Donovan</t>
  </si>
  <si>
    <t>Geoff Murphy</t>
  </si>
  <si>
    <t>David O. Russell</t>
  </si>
  <si>
    <t>Babak Najafi</t>
  </si>
  <si>
    <t>Jean-Pierre Jeunet</t>
  </si>
  <si>
    <t>Graham Annable</t>
  </si>
  <si>
    <t>Griffin Dunne</t>
  </si>
  <si>
    <t>John Pasquin</t>
  </si>
  <si>
    <t>Ruben Fleischer</t>
  </si>
  <si>
    <t>Harold Ramis</t>
  </si>
  <si>
    <t>Kevin Macdonald</t>
  </si>
  <si>
    <t>Donald Petrie</t>
  </si>
  <si>
    <t>Jorge Blanco</t>
  </si>
  <si>
    <t>Stuart Baird</t>
  </si>
  <si>
    <t>Joel Coen</t>
  </si>
  <si>
    <t>Robert Lorenz</t>
  </si>
  <si>
    <t>Harold Becker</t>
  </si>
  <si>
    <t>Scott Stewart</t>
  </si>
  <si>
    <t>Patrick Gilmore</t>
  </si>
  <si>
    <t>Tony Bill</t>
  </si>
  <si>
    <t>Rod Lurie</t>
  </si>
  <si>
    <t>Walter Hill</t>
  </si>
  <si>
    <t>Akiva Goldsman</t>
  </si>
  <si>
    <t>Harald Zwart</t>
  </si>
  <si>
    <t>Walter Salles</t>
  </si>
  <si>
    <t>Iain Softley</t>
  </si>
  <si>
    <t>David Koepp</t>
  </si>
  <si>
    <t>Uwe Boll</t>
  </si>
  <si>
    <t>Pou-Soi Cheang</t>
  </si>
  <si>
    <t>John Dahl</t>
  </si>
  <si>
    <t>Tim Miller</t>
  </si>
  <si>
    <t>Stephen Herek</t>
  </si>
  <si>
    <t>Peter MacDonald</t>
  </si>
  <si>
    <t>Anthony Hemingway</t>
  </si>
  <si>
    <t>Sean Anders</t>
  </si>
  <si>
    <t>Mark Neveldine</t>
  </si>
  <si>
    <t>John Madden</t>
  </si>
  <si>
    <t>Kevin Bray</t>
  </si>
  <si>
    <t>Mike Gabriel</t>
  </si>
  <si>
    <t>Sam Weisman</t>
  </si>
  <si>
    <t>Jesse Dylan</t>
  </si>
  <si>
    <t>Wayne Wang</t>
  </si>
  <si>
    <t>Gabriele Muccino</t>
  </si>
  <si>
    <t>Tom Dey</t>
  </si>
  <si>
    <t>Jimmy Hayward</t>
  </si>
  <si>
    <t>Alan Parker</t>
  </si>
  <si>
    <t>John Frankenheimer</t>
  </si>
  <si>
    <t>Paul King</t>
  </si>
  <si>
    <t>Akiva Schaffer</t>
  </si>
  <si>
    <t>William Friedkin</t>
  </si>
  <si>
    <t>Kent Alterman</t>
  </si>
  <si>
    <t>Peter Lord</t>
  </si>
  <si>
    <t>Shekhar Kapur</t>
  </si>
  <si>
    <t>Karyn Kusama</t>
  </si>
  <si>
    <t>Ron Maxwell</t>
  </si>
  <si>
    <t>Robert Butler</t>
  </si>
  <si>
    <t>Karey Kirkpatrick</t>
  </si>
  <si>
    <t>Steve Antin</t>
  </si>
  <si>
    <t>Jim Gillespie</t>
  </si>
  <si>
    <t>Francis Ford Coppola</t>
  </si>
  <si>
    <t>Richard Lester</t>
  </si>
  <si>
    <t>Scott Cooper</t>
  </si>
  <si>
    <t>Robert Rodriguez</t>
  </si>
  <si>
    <t>Curtis Hanson</t>
  </si>
  <si>
    <t>Phyllida Lloyd</t>
  </si>
  <si>
    <t>Jay Chandrasekhar</t>
  </si>
  <si>
    <t>Terrence Malick</t>
  </si>
  <si>
    <t>David Dobkin</t>
  </si>
  <si>
    <t>Milos Forman</t>
  </si>
  <si>
    <t>Pierre Morel</t>
  </si>
  <si>
    <t>Paul Hunter</t>
  </si>
  <si>
    <t>Steve Oedekerk</t>
  </si>
  <si>
    <t>John Whitesell</t>
  </si>
  <si>
    <t>George Nolfi</t>
  </si>
  <si>
    <t>Neil Jordan</t>
  </si>
  <si>
    <t>Rawson Marshall Thurber</t>
  </si>
  <si>
    <t>Spike Lee</t>
  </si>
  <si>
    <t>Brian Helgeland</t>
  </si>
  <si>
    <t>Frank Marshall</t>
  </si>
  <si>
    <t>Hideo Nakata</t>
  </si>
  <si>
    <t>Peter Hewitt</t>
  </si>
  <si>
    <t>Joe Roth</t>
  </si>
  <si>
    <t>Bennett Miller</t>
  </si>
  <si>
    <t>Jaume Collet-Serra</t>
  </si>
  <si>
    <t>Andy Fickman</t>
  </si>
  <si>
    <t>James McTeigue</t>
  </si>
  <si>
    <t>Matthew O'Callaghan</t>
  </si>
  <si>
    <t>Angela Robinson</t>
  </si>
  <si>
    <t>Gary Fleder</t>
  </si>
  <si>
    <t>Tommy Wirkola</t>
  </si>
  <si>
    <t>Adrian Lyne</t>
  </si>
  <si>
    <t>Stephen Gaghan</t>
  </si>
  <si>
    <t>Jorge R. GutiÃ©rrez</t>
  </si>
  <si>
    <t>Richard Loncraine</t>
  </si>
  <si>
    <t>Christophe Gans</t>
  </si>
  <si>
    <t>Howard Deutch</t>
  </si>
  <si>
    <t>Jon Hurwitz</t>
  </si>
  <si>
    <t>Steven Quale</t>
  </si>
  <si>
    <t>John Landis</t>
  </si>
  <si>
    <t>Alexander Witt</t>
  </si>
  <si>
    <t>Beeban Kidron</t>
  </si>
  <si>
    <t>Carl Franklin</t>
  </si>
  <si>
    <t>Steven Seagal</t>
  </si>
  <si>
    <t>Danny Boyle</t>
  </si>
  <si>
    <t>Andrew Bergman</t>
  </si>
  <si>
    <t>Barbet Schroeder</t>
  </si>
  <si>
    <t>Peter Webber</t>
  </si>
  <si>
    <t>Andrew Niccol</t>
  </si>
  <si>
    <t>John Carpenter</t>
  </si>
  <si>
    <t>Wes Anderson</t>
  </si>
  <si>
    <t>David Cronenberg</t>
  </si>
  <si>
    <t>John Stockwell</t>
  </si>
  <si>
    <t>David Gordon Green</t>
  </si>
  <si>
    <t>Jim Sheridan</t>
  </si>
  <si>
    <t>Costa-Gavras</t>
  </si>
  <si>
    <t>Patrick Read Johnson</t>
  </si>
  <si>
    <t>Richard LaGravenese</t>
  </si>
  <si>
    <t>Danny DeVito</t>
  </si>
  <si>
    <t>George Armitage</t>
  </si>
  <si>
    <t>Patrick Lussier</t>
  </si>
  <si>
    <t>James Wong</t>
  </si>
  <si>
    <t>Richard Curtis</t>
  </si>
  <si>
    <t>Chuck Bowman</t>
  </si>
  <si>
    <t>Olivier Megaton</t>
  </si>
  <si>
    <t>Deepa Mehta</t>
  </si>
  <si>
    <t>Warren Beatty</t>
  </si>
  <si>
    <t>Penny Marshall</t>
  </si>
  <si>
    <t>Ted Kotcheff</t>
  </si>
  <si>
    <t>Andrei Tarkovsky</t>
  </si>
  <si>
    <t>Paul Bolger</t>
  </si>
  <si>
    <t>Stephen Frears</t>
  </si>
  <si>
    <t>P.J. Hogan</t>
  </si>
  <si>
    <t>Brad Furman</t>
  </si>
  <si>
    <t>Terence Young</t>
  </si>
  <si>
    <t>David Zucker</t>
  </si>
  <si>
    <t>Denis Villeneuve</t>
  </si>
  <si>
    <t>Thomas Carter</t>
  </si>
  <si>
    <t>Roger Michell</t>
  </si>
  <si>
    <t>Luis Llosa</t>
  </si>
  <si>
    <t>Melville Shavelson</t>
  </si>
  <si>
    <t>Garth Jennings</t>
  </si>
  <si>
    <t>Joel Zwick</t>
  </si>
  <si>
    <t>Russell Mulcahy</t>
  </si>
  <si>
    <t>David R. Ellis</t>
  </si>
  <si>
    <t>Peter Howitt</t>
  </si>
  <si>
    <t>John A. Davis</t>
  </si>
  <si>
    <t>David Lynch</t>
  </si>
  <si>
    <t>Julie Taymor</t>
  </si>
  <si>
    <t>Mathieu Kassovitz</t>
  </si>
  <si>
    <t>John Gray</t>
  </si>
  <si>
    <t>John Schultz</t>
  </si>
  <si>
    <t>Sean Penn</t>
  </si>
  <si>
    <t>Susan Stroman</t>
  </si>
  <si>
    <t>Simon Wincer</t>
  </si>
  <si>
    <t>Billy Bob Thornton</t>
  </si>
  <si>
    <t>Danny Pang</t>
  </si>
  <si>
    <t>George P. Cosmatos</t>
  </si>
  <si>
    <t>Oliver Parker</t>
  </si>
  <si>
    <t>Lawrence Kasanoff</t>
  </si>
  <si>
    <t>Ben Affleck</t>
  </si>
  <si>
    <t>Brian Gibson</t>
  </si>
  <si>
    <t>Norman Ferguson</t>
  </si>
  <si>
    <t>Michael Cimino</t>
  </si>
  <si>
    <t>Paul McGuigan</t>
  </si>
  <si>
    <t>Gus Van Sant</t>
  </si>
  <si>
    <t>Roger Kumble</t>
  </si>
  <si>
    <t>Burr Steers</t>
  </si>
  <si>
    <t>John Hamburg</t>
  </si>
  <si>
    <t>Reginald Hudlin</t>
  </si>
  <si>
    <t>Joseph L. Mankiewicz</t>
  </si>
  <si>
    <t>Barbra Streisand</t>
  </si>
  <si>
    <t>Mark Pellington</t>
  </si>
  <si>
    <t>John Glen</t>
  </si>
  <si>
    <t>Catherine Hardwicke</t>
  </si>
  <si>
    <t>John Herzfeld</t>
  </si>
  <si>
    <t>Annabel Jankel</t>
  </si>
  <si>
    <t>Julie Anne Robinson</t>
  </si>
  <si>
    <t>Evan Goldberg</t>
  </si>
  <si>
    <t>Sngmoo Lee</t>
  </si>
  <si>
    <t>Jamel Debbouze</t>
  </si>
  <si>
    <t>Gordon Chan</t>
  </si>
  <si>
    <t>Asger Leth</t>
  </si>
  <si>
    <t>John G. Avildsen</t>
  </si>
  <si>
    <t>Anne Fletcher</t>
  </si>
  <si>
    <t>Bruce Beresford</t>
  </si>
  <si>
    <t>Sam Taylor-Johnson</t>
  </si>
  <si>
    <t>Ken Kwapis</t>
  </si>
  <si>
    <t>Wes Craven</t>
  </si>
  <si>
    <t>Etan Cohen</t>
  </si>
  <si>
    <t>Nick Cassavetes</t>
  </si>
  <si>
    <t>Nicholas Stoller</t>
  </si>
  <si>
    <t>Mark A.Z. DippÃ©</t>
  </si>
  <si>
    <t>Cal Brunker</t>
  </si>
  <si>
    <t>NimrÃ³d Antal</t>
  </si>
  <si>
    <t>Alejandro Agresti</t>
  </si>
  <si>
    <t>Peter Hedges</t>
  </si>
  <si>
    <t>Paul Weiland</t>
  </si>
  <si>
    <t>Colin Strause</t>
  </si>
  <si>
    <t>Joan Chen</t>
  </si>
  <si>
    <t>Greg Mottola</t>
  </si>
  <si>
    <t>Jake Kasdan</t>
  </si>
  <si>
    <t>Diane Keaton</t>
  </si>
  <si>
    <t>Kelly Makin</t>
  </si>
  <si>
    <t>Stephen Daldry</t>
  </si>
  <si>
    <t>Christian Duguay</t>
  </si>
  <si>
    <t>Justin Chadwick</t>
  </si>
  <si>
    <t>Pat O'Connor</t>
  </si>
  <si>
    <t>Frederik Du Chau</t>
  </si>
  <si>
    <t>Irwin Winkler</t>
  </si>
  <si>
    <t>Joseph Kahn</t>
  </si>
  <si>
    <t>Sofia Coppola</t>
  </si>
  <si>
    <t>Stephen Kay</t>
  </si>
  <si>
    <t>J.A. Bayona</t>
  </si>
  <si>
    <t>Elaine May</t>
  </si>
  <si>
    <t>Dennie Gordon</t>
  </si>
  <si>
    <t>Charles Shyer</t>
  </si>
  <si>
    <t>Ulu Grosbard</t>
  </si>
  <si>
    <t>William Malone</t>
  </si>
  <si>
    <t>Malcolm D. Lee</t>
  </si>
  <si>
    <t>Jerry Jameson</t>
  </si>
  <si>
    <t>Mic Rodgers</t>
  </si>
  <si>
    <t>Christian Alvart</t>
  </si>
  <si>
    <t>Jean-Marie PoirÃ©</t>
  </si>
  <si>
    <t>Marc F. Adler</t>
  </si>
  <si>
    <t>Geoffrey Sax</t>
  </si>
  <si>
    <t>Richard Shepard</t>
  </si>
  <si>
    <t>Peter Ho-Sun Chan</t>
  </si>
  <si>
    <t>Joon-ho Bong</t>
  </si>
  <si>
    <t>Jeff Nathanson</t>
  </si>
  <si>
    <t>S.S. Rajamouli</t>
  </si>
  <si>
    <t>Charles S. Dutton</t>
  </si>
  <si>
    <t>Jonathan Lynn</t>
  </si>
  <si>
    <t>David Carson</t>
  </si>
  <si>
    <t>Kar-Wai Wong</t>
  </si>
  <si>
    <t>Yuefeng Song</t>
  </si>
  <si>
    <t>Norman Jewison</t>
  </si>
  <si>
    <t>David Mirkin</t>
  </si>
  <si>
    <t>Luis Mandoki</t>
  </si>
  <si>
    <t>Lee Daniels</t>
  </si>
  <si>
    <t>Jeb Stuart</t>
  </si>
  <si>
    <t>Steve Miner</t>
  </si>
  <si>
    <t>Paul Thomas Anderson</t>
  </si>
  <si>
    <t>David Leland</t>
  </si>
  <si>
    <t>J Blakeson</t>
  </si>
  <si>
    <t>Ryan Coogler</t>
  </si>
  <si>
    <t>Kirk Jones</t>
  </si>
  <si>
    <t>Ethan Coen</t>
  </si>
  <si>
    <t>Jennifer Flackett</t>
  </si>
  <si>
    <t>Kevin Smith</t>
  </si>
  <si>
    <t>Christian Ditter</t>
  </si>
  <si>
    <t>Charles Martin Smith</t>
  </si>
  <si>
    <t>Fedor Bondarchuk</t>
  </si>
  <si>
    <t>Irvin Kershner</t>
  </si>
  <si>
    <t>Steve Pink</t>
  </si>
  <si>
    <t>Scott Hicks</t>
  </si>
  <si>
    <t>Chris Rock</t>
  </si>
  <si>
    <t>Wilson Yip</t>
  </si>
  <si>
    <t>Robert Wise</t>
  </si>
  <si>
    <t>Kevin Rodney Sullivan</t>
  </si>
  <si>
    <t>Kevin Munroe</t>
  </si>
  <si>
    <t>Michael Tollin</t>
  </si>
  <si>
    <t>Patrick Tatopoulos</t>
  </si>
  <si>
    <t>Gary David Goldberg</t>
  </si>
  <si>
    <t>Tobe Hooper</t>
  </si>
  <si>
    <t>Alan Poul</t>
  </si>
  <si>
    <t>Luke Greenfield</t>
  </si>
  <si>
    <t>Gil Junger</t>
  </si>
  <si>
    <t>Michael Ritchie</t>
  </si>
  <si>
    <t>Steven E. de Souza</t>
  </si>
  <si>
    <t>Alexandre Aja</t>
  </si>
  <si>
    <t>Michael Rymer</t>
  </si>
  <si>
    <t>Hugh Wilson</t>
  </si>
  <si>
    <t>Mike Hodges</t>
  </si>
  <si>
    <t>Scott Mann</t>
  </si>
  <si>
    <t>Susanna White</t>
  </si>
  <si>
    <t>Chris Carter</t>
  </si>
  <si>
    <t>Tommy O'Haver</t>
  </si>
  <si>
    <t>Peter Landesman</t>
  </si>
  <si>
    <t>Gary Chapman</t>
  </si>
  <si>
    <t>Craig Mazin</t>
  </si>
  <si>
    <t>Allen Hughes</t>
  </si>
  <si>
    <t>Kimble Rendall</t>
  </si>
  <si>
    <t>Peter Yates</t>
  </si>
  <si>
    <t>Lasse HallstrÃ¶m</t>
  </si>
  <si>
    <t>Jean-Marc VallÃ©e</t>
  </si>
  <si>
    <t>Hark Tsui</t>
  </si>
  <si>
    <t>Lexi Alexander</t>
  </si>
  <si>
    <t>Ronny Yu</t>
  </si>
  <si>
    <t>Bille August</t>
  </si>
  <si>
    <t>Moustapha Akkad</t>
  </si>
  <si>
    <t>Jean-Paul Rappeneau</t>
  </si>
  <si>
    <t>Joachim RÃ¸nning</t>
  </si>
  <si>
    <t>Tony Kaye</t>
  </si>
  <si>
    <t>Ken Scott</t>
  </si>
  <si>
    <t>Hugh Johnson</t>
  </si>
  <si>
    <t>Hayao Miyazaki</t>
  </si>
  <si>
    <t>George Tillman Jr.</t>
  </si>
  <si>
    <t>Rand Ravich</t>
  </si>
  <si>
    <t>Hugh Hudson</t>
  </si>
  <si>
    <t>Jeremy Degruson</t>
  </si>
  <si>
    <t>Chris Gorak</t>
  </si>
  <si>
    <t>Scott Speer</t>
  </si>
  <si>
    <t>Joe Charbanic</t>
  </si>
  <si>
    <t>Jonathan Hensleigh</t>
  </si>
  <si>
    <t>Danny Cannon</t>
  </si>
  <si>
    <t>Boaz Yakin</t>
  </si>
  <si>
    <t>Richard Marquand</t>
  </si>
  <si>
    <t>Neil Marshall</t>
  </si>
  <si>
    <t>David Wain</t>
  </si>
  <si>
    <t>Jared Hess</t>
  </si>
  <si>
    <t>Rupert Wainwright</t>
  </si>
  <si>
    <t>John Luessenhop</t>
  </si>
  <si>
    <t>Justin Zackham</t>
  </si>
  <si>
    <t>John Gatins</t>
  </si>
  <si>
    <t>Miguel Sapochnik</t>
  </si>
  <si>
    <t>Hyung-rae Shim</t>
  </si>
  <si>
    <t>Don Scardino</t>
  </si>
  <si>
    <t>Tim Robbins</t>
  </si>
  <si>
    <t>Tom Reeve</t>
  </si>
  <si>
    <t>Nanette Burstein</t>
  </si>
  <si>
    <t>Ariel Vromen</t>
  </si>
  <si>
    <t>Lewis Gilbert</t>
  </si>
  <si>
    <t>John Francis Daley</t>
  </si>
  <si>
    <t>J.B. Rogers</t>
  </si>
  <si>
    <t>Michael Sucsy</t>
  </si>
  <si>
    <t>Tom Vaughan</t>
  </si>
  <si>
    <t>Stephen Hillenburg</t>
  </si>
  <si>
    <t>Stig Bergqvist</t>
  </si>
  <si>
    <t>Jason Reitman</t>
  </si>
  <si>
    <t>Alexander Payne</t>
  </si>
  <si>
    <t>Jonathan Levine</t>
  </si>
  <si>
    <t>Rian Johnson</t>
  </si>
  <si>
    <t>Chris Noonan</t>
  </si>
  <si>
    <t>Michael McCullers</t>
  </si>
  <si>
    <t>Forest Whitaker</t>
  </si>
  <si>
    <t>Woody Allen</t>
  </si>
  <si>
    <t>Peter Lepeniotis</t>
  </si>
  <si>
    <t>Ted Demme</t>
  </si>
  <si>
    <t>William Shatner</t>
  </si>
  <si>
    <t>Steve Box</t>
  </si>
  <si>
    <t>James Gartner</t>
  </si>
  <si>
    <t>Lee Toland Krieger</t>
  </si>
  <si>
    <t>Tim McCanlies</t>
  </si>
  <si>
    <t>Drew Goddard</t>
  </si>
  <si>
    <t>Jason Friedberg</t>
  </si>
  <si>
    <t>Paul Michael Glaser</t>
  </si>
  <si>
    <t>John R. Leonetti</t>
  </si>
  <si>
    <t>Tom Hanks</t>
  </si>
  <si>
    <t>Kimberly Peirce</t>
  </si>
  <si>
    <t>Liz Friedlander</t>
  </si>
  <si>
    <t>Phil Joanou</t>
  </si>
  <si>
    <t>Shane Acker</t>
  </si>
  <si>
    <t>Martha Coolidge</t>
  </si>
  <si>
    <t>Stephen J. Anderson</t>
  </si>
  <si>
    <t>Troy Miller</t>
  </si>
  <si>
    <t>Tate Taylor</t>
  </si>
  <si>
    <t>Brett Leonard</t>
  </si>
  <si>
    <t>Alister Grierson</t>
  </si>
  <si>
    <t>Nick Hurran</t>
  </si>
  <si>
    <t>Charles Stone III</t>
  </si>
  <si>
    <t>Paul Haggis</t>
  </si>
  <si>
    <t>Kurt Wimmer</t>
  </si>
  <si>
    <t>Jean-FranÃ§ois Richet</t>
  </si>
  <si>
    <t>Kevin Hooks</t>
  </si>
  <si>
    <t>Ellory Elkayem</t>
  </si>
  <si>
    <t>Niki Caro</t>
  </si>
  <si>
    <t>Vincenzo Natali</t>
  </si>
  <si>
    <t>Willard Huyck</t>
  </si>
  <si>
    <t>Gavin O'Connor</t>
  </si>
  <si>
    <t>Bruce Hunt</t>
  </si>
  <si>
    <t>Chris Roberts</t>
  </si>
  <si>
    <t>Jee-woon Kim</t>
  </si>
  <si>
    <t>Nick Hamm</t>
  </si>
  <si>
    <t>Andy Cadiff</t>
  </si>
  <si>
    <t>Mike Disa</t>
  </si>
  <si>
    <t>Richard J. Lewis</t>
  </si>
  <si>
    <t>Sergio Leone</t>
  </si>
  <si>
    <t>Niels Arden Oplev</t>
  </si>
  <si>
    <t>Michael Radford</t>
  </si>
  <si>
    <t>Steve Boyum</t>
  </si>
  <si>
    <t>Kaige Chen</t>
  </si>
  <si>
    <t>Corey Yuen</t>
  </si>
  <si>
    <t>Andrew Dominik</t>
  </si>
  <si>
    <t>Li Zhang</t>
  </si>
  <si>
    <t>Laurent Tirard</t>
  </si>
  <si>
    <t>Reinhard Klooss</t>
  </si>
  <si>
    <t>FrÃ©dÃ©ric Auburtin</t>
  </si>
  <si>
    <t>Olivier Dahan</t>
  </si>
  <si>
    <t>Maksim Fadeev</t>
  </si>
  <si>
    <t>Liliana Cavani</t>
  </si>
  <si>
    <t>Greg Tiernan</t>
  </si>
  <si>
    <t>Elizabeth Banks</t>
  </si>
  <si>
    <t>Edward Norton</t>
  </si>
  <si>
    <t>Ben Falcone</t>
  </si>
  <si>
    <t>Richard Attenborough</t>
  </si>
  <si>
    <t>Don Mancini</t>
  </si>
  <si>
    <t>John Maybury</t>
  </si>
  <si>
    <t>Igor Kovalyov</t>
  </si>
  <si>
    <t>Shinji Aramaki</t>
  </si>
  <si>
    <t>Miguel Arteta</t>
  </si>
  <si>
    <t>James Gray</t>
  </si>
  <si>
    <t>Janusz Kaminski</t>
  </si>
  <si>
    <t>Robert B. Weide</t>
  </si>
  <si>
    <t>Jeff Wadlow</t>
  </si>
  <si>
    <t>AgustÃ­n DÃ­az Yanes</t>
  </si>
  <si>
    <t>Camille Delamarre</t>
  </si>
  <si>
    <t>David Lean</t>
  </si>
  <si>
    <t>Richard Eyre</t>
  </si>
  <si>
    <t>Nicholas Meyer</t>
  </si>
  <si>
    <t>Callie Khouri</t>
  </si>
  <si>
    <t>Sanaa Hamri</t>
  </si>
  <si>
    <t>Todd Graff</t>
  </si>
  <si>
    <t>Philip Kaufman</t>
  </si>
  <si>
    <t>Saul Dibb</t>
  </si>
  <si>
    <t>Walter Murch</t>
  </si>
  <si>
    <t>Richard Linklater</t>
  </si>
  <si>
    <t>E. Elias Merhige</t>
  </si>
  <si>
    <t>Menno Meyjes</t>
  </si>
  <si>
    <t>Jodie Foster</t>
  </si>
  <si>
    <t>Scott Frank</t>
  </si>
  <si>
    <t>Kevin Allen</t>
  </si>
  <si>
    <t>Michael Cristofer</t>
  </si>
  <si>
    <t>Andrew Morahan</t>
  </si>
  <si>
    <t>Bob Rafelson</t>
  </si>
  <si>
    <t>Michael Cohn</t>
  </si>
  <si>
    <t>Alan Shapiro</t>
  </si>
  <si>
    <t>Fernando Meirelles</t>
  </si>
  <si>
    <t>Michael Hoffman</t>
  </si>
  <si>
    <t>Oleg Stepchenko</t>
  </si>
  <si>
    <t>Michael Winterbottom</t>
  </si>
  <si>
    <t>Michael Pressman</t>
  </si>
  <si>
    <t>Sharon Maguire</t>
  </si>
  <si>
    <t>Charles Herman-Wurmfeld</t>
  </si>
  <si>
    <t>Gabor Csupo</t>
  </si>
  <si>
    <t>Tyler Perry</t>
  </si>
  <si>
    <t>Joe Carnahan</t>
  </si>
  <si>
    <t>John Polson</t>
  </si>
  <si>
    <t>Bernardo Bertolucci</t>
  </si>
  <si>
    <t>Cathy Malkasian</t>
  </si>
  <si>
    <t>John Eng</t>
  </si>
  <si>
    <t>Chris Nahon</t>
  </si>
  <si>
    <t>Fred Wolf</t>
  </si>
  <si>
    <t>Bille Woodruff</t>
  </si>
  <si>
    <t>Victor Salva</t>
  </si>
  <si>
    <t>Mark Helfrich</t>
  </si>
  <si>
    <t>Steve Bendelack</t>
  </si>
  <si>
    <t>Dwight H. Little</t>
  </si>
  <si>
    <t>Guillaume Canet</t>
  </si>
  <si>
    <t>Kirsten Sheridan</t>
  </si>
  <si>
    <t>Richard Fleischer</t>
  </si>
  <si>
    <t>Bob Spiers</t>
  </si>
  <si>
    <t>Damien Dante Wayans</t>
  </si>
  <si>
    <t>John Wells</t>
  </si>
  <si>
    <t>Tim Fywell</t>
  </si>
  <si>
    <t>Nigel Cole</t>
  </si>
  <si>
    <t>Dexter Fletcher</t>
  </si>
  <si>
    <t>Jeremy Leven</t>
  </si>
  <si>
    <t>Sylvain White</t>
  </si>
  <si>
    <t>Troy Nixey</t>
  </si>
  <si>
    <t>Philip G. Atwell</t>
  </si>
  <si>
    <t>Jeff Schaffer</t>
  </si>
  <si>
    <t>Don Michael Paul</t>
  </si>
  <si>
    <t>James Bridges</t>
  </si>
  <si>
    <t>Steve Barron</t>
  </si>
  <si>
    <t>Bill Paxton</t>
  </si>
  <si>
    <t>Richard Kelly</t>
  </si>
  <si>
    <t>Carter Smith</t>
  </si>
  <si>
    <t>John Schlesinger</t>
  </si>
  <si>
    <t>Ringo Lam</t>
  </si>
  <si>
    <t>Bruce McCulloch</t>
  </si>
  <si>
    <t>Patricia Riggen</t>
  </si>
  <si>
    <t>Pascal Chaumeil</t>
  </si>
  <si>
    <t>Jonathan Kaplan</t>
  </si>
  <si>
    <t>Ole Bornedal</t>
  </si>
  <si>
    <t>Richard Benjamin</t>
  </si>
  <si>
    <t>Craig R. Baxley</t>
  </si>
  <si>
    <t>John Hillcoat</t>
  </si>
  <si>
    <t>John Guillermin</t>
  </si>
  <si>
    <t>Marcos Siega</t>
  </si>
  <si>
    <t>Rachel Talalay</t>
  </si>
  <si>
    <t>Jeffrey W. Byrd</t>
  </si>
  <si>
    <t>Atom Egoyan</t>
  </si>
  <si>
    <t>Robert Towne</t>
  </si>
  <si>
    <t>Giuseppe Tornatore</t>
  </si>
  <si>
    <t>Werner Herzog</t>
  </si>
  <si>
    <t>Ben Stassen</t>
  </si>
  <si>
    <t>JÃ©rÃ´me Deschamps</t>
  </si>
  <si>
    <t>Inna Evlannikova</t>
  </si>
  <si>
    <t>Jonathan English</t>
  </si>
  <si>
    <t>Sergey Bondarchuk</t>
  </si>
  <si>
    <t>Teddy Chan</t>
  </si>
  <si>
    <t>Mario Van Peebles</t>
  </si>
  <si>
    <t>Leonard Nimoy</t>
  </si>
  <si>
    <t>Herbert Ross</t>
  </si>
  <si>
    <t>Bonnie Hunt</t>
  </si>
  <si>
    <t>Neil LaBute</t>
  </si>
  <si>
    <t>Grant Heslov</t>
  </si>
  <si>
    <t>George Gallo</t>
  </si>
  <si>
    <t>Sidney Lumet</t>
  </si>
  <si>
    <t>Douglas McGrath</t>
  </si>
  <si>
    <t>Kevin Spacey</t>
  </si>
  <si>
    <t>Richard Williams</t>
  </si>
  <si>
    <t>Mary McGuckian</t>
  </si>
  <si>
    <t>Tony Goldwyn</t>
  </si>
  <si>
    <t>Jonathan Newman</t>
  </si>
  <si>
    <t>Michael Dinner</t>
  </si>
  <si>
    <t>Joseph Sargent</t>
  </si>
  <si>
    <t>Jerry Zaks</t>
  </si>
  <si>
    <t>Fred Durst</t>
  </si>
  <si>
    <t>Anne Fontaine</t>
  </si>
  <si>
    <t>Jon Cassar</t>
  </si>
  <si>
    <t>Mira Nair</t>
  </si>
  <si>
    <t>Mel Brooks</t>
  </si>
  <si>
    <t>Russell Crowe</t>
  </si>
  <si>
    <t>Jessie Nelson</t>
  </si>
  <si>
    <t>Christopher Spencer</t>
  </si>
  <si>
    <t>Mike Bigelow</t>
  </si>
  <si>
    <t>Daniel Sackheim</t>
  </si>
  <si>
    <t>Harry Elfont</t>
  </si>
  <si>
    <t>Uli Edel</t>
  </si>
  <si>
    <t>Fred Dekker</t>
  </si>
  <si>
    <t>Brian Trenchard-Smith</t>
  </si>
  <si>
    <t>Blake Edwards</t>
  </si>
  <si>
    <t>Laurence Dunmore</t>
  </si>
  <si>
    <t>Christian Carion</t>
  </si>
  <si>
    <t>David Palmer</t>
  </si>
  <si>
    <t>Rowan Joffe</t>
  </si>
  <si>
    <t>John Curran</t>
  </si>
  <si>
    <t>Juan JosÃ© Campanella</t>
  </si>
  <si>
    <t>Trey Parker</t>
  </si>
  <si>
    <t>Stuart Gillard</t>
  </si>
  <si>
    <t>Katt Shea</t>
  </si>
  <si>
    <t>Joshua Michael Stern</t>
  </si>
  <si>
    <t>Tomas Alfredson</t>
  </si>
  <si>
    <t>John Duigan</t>
  </si>
  <si>
    <t>Colin Higgins</t>
  </si>
  <si>
    <t>Jim Sonzero</t>
  </si>
  <si>
    <t>Penelope Spheeris</t>
  </si>
  <si>
    <t>Jeff Tremaine</t>
  </si>
  <si>
    <t>Jeannot Szwarc</t>
  </si>
  <si>
    <t>Steve McQueen</t>
  </si>
  <si>
    <t>Thea Sharrock</t>
  </si>
  <si>
    <t>Jon Lucas</t>
  </si>
  <si>
    <t>Aaron Seltzer</t>
  </si>
  <si>
    <t>Robin Budd</t>
  </si>
  <si>
    <t>Ava DuVernay</t>
  </si>
  <si>
    <t>Steve Trenbirth</t>
  </si>
  <si>
    <t>Mennan Yapo</t>
  </si>
  <si>
    <t>Jun Falkenstein</t>
  </si>
  <si>
    <t>Tom McCarthy</t>
  </si>
  <si>
    <t>Takashi Shimizu</t>
  </si>
  <si>
    <t>Gary Nelson</t>
  </si>
  <si>
    <t>Anton Corbijn</t>
  </si>
  <si>
    <t>Gregory Nava</t>
  </si>
  <si>
    <t>John Patrick Shanley</t>
  </si>
  <si>
    <t>Joshua Logan</t>
  </si>
  <si>
    <t>Steve Beck</t>
  </si>
  <si>
    <t>Todd Strauss-Schulson</t>
  </si>
  <si>
    <t>John McNaughton</t>
  </si>
  <si>
    <t>Nelson McCormick</t>
  </si>
  <si>
    <t>Eric Valette</t>
  </si>
  <si>
    <t>Andrew Fleming</t>
  </si>
  <si>
    <t>Michael Spierig</t>
  </si>
  <si>
    <t>Jim Field Smith</t>
  </si>
  <si>
    <t>Thomas Bezucha</t>
  </si>
  <si>
    <t>William Brent Bell</t>
  </si>
  <si>
    <t>Anthony Bell</t>
  </si>
  <si>
    <t>Jessica Bendinger</t>
  </si>
  <si>
    <t>Henry Joost</t>
  </si>
  <si>
    <t>Ed Harris</t>
  </si>
  <si>
    <t>Alfred Hitchcock</t>
  </si>
  <si>
    <t>Shana Feste</t>
  </si>
  <si>
    <t>Steve Rash</t>
  </si>
  <si>
    <t>Mike Binder</t>
  </si>
  <si>
    <t>Michael J. Bassett</t>
  </si>
  <si>
    <t>Frank Nissen</t>
  </si>
  <si>
    <t>Stephen Chow</t>
  </si>
  <si>
    <t>Peter Hastings</t>
  </si>
  <si>
    <t>Paul Abascal</t>
  </si>
  <si>
    <t>Chris Koch</t>
  </si>
  <si>
    <t>Amy Heckerling</t>
  </si>
  <si>
    <t>Michael Moore</t>
  </si>
  <si>
    <t>George Stevens</t>
  </si>
  <si>
    <t>Billy Ray</t>
  </si>
  <si>
    <t>Mark Mylod</t>
  </si>
  <si>
    <t>James Mather</t>
  </si>
  <si>
    <t>Michael O. Sajbel</t>
  </si>
  <si>
    <t>Charles T. Kanganis</t>
  </si>
  <si>
    <t>Damon Santostefano</t>
  </si>
  <si>
    <t>Bob Clark</t>
  </si>
  <si>
    <t>Dave Borthwick</t>
  </si>
  <si>
    <t>Benson Lee</t>
  </si>
  <si>
    <t>Glen Morgan</t>
  </si>
  <si>
    <t>Mike Leigh</t>
  </si>
  <si>
    <t>Alejandro Monteverde</t>
  </si>
  <si>
    <t>Jonathan Glazer</t>
  </si>
  <si>
    <t>J.C. Chandor</t>
  </si>
  <si>
    <t>Paul Gross</t>
  </si>
  <si>
    <t>Marc Abraham</t>
  </si>
  <si>
    <t>Todd Haynes</t>
  </si>
  <si>
    <t>Mabrouk El Mechri</t>
  </si>
  <si>
    <t>Charlie Kaufman</t>
  </si>
  <si>
    <t>Nancy Walker</t>
  </si>
  <si>
    <t>Angelo Pizzo</t>
  </si>
  <si>
    <t>Matthew Diamond</t>
  </si>
  <si>
    <t>Katsuhiro Ã”tomo</t>
  </si>
  <si>
    <t>David Anspaugh</t>
  </si>
  <si>
    <t>Andrew Jarecki</t>
  </si>
  <si>
    <t>Daniel Algrant</t>
  </si>
  <si>
    <t>Jane Clark</t>
  </si>
  <si>
    <t>Mike Barker</t>
  </si>
  <si>
    <t>Wayne Thornley</t>
  </si>
  <si>
    <t>Gnana Rajasekaran</t>
  </si>
  <si>
    <t>Tom Walsh</t>
  </si>
  <si>
    <t>Jonathan Jakubowicz</t>
  </si>
  <si>
    <t>Scott Walker</t>
  </si>
  <si>
    <t>Mark Rosman</t>
  </si>
  <si>
    <t>Rob Hawk</t>
  </si>
  <si>
    <t>Britt Allcroft</t>
  </si>
  <si>
    <t>Alan Yuen</t>
  </si>
  <si>
    <t>Brian Percival</t>
  </si>
  <si>
    <t>Anand Tucker</t>
  </si>
  <si>
    <t>Anthony Mann</t>
  </si>
  <si>
    <t>Michael Dowse</t>
  </si>
  <si>
    <t>Daniel Barnz</t>
  </si>
  <si>
    <t>Emile Ardolino</t>
  </si>
  <si>
    <t>Robert Altman</t>
  </si>
  <si>
    <t>James Schamus</t>
  </si>
  <si>
    <t>Andrew Douglas</t>
  </si>
  <si>
    <t>Ricky Gervais</t>
  </si>
  <si>
    <t>Vic Armstrong</t>
  </si>
  <si>
    <t>Terry Zwigoff</t>
  </si>
  <si>
    <t>Audrey Wells</t>
  </si>
  <si>
    <t>Rick Friedberg</t>
  </si>
  <si>
    <t>Sean McNamara</t>
  </si>
  <si>
    <t>Jody Hill</t>
  </si>
  <si>
    <t>Brandon Camp</t>
  </si>
  <si>
    <t>Kevin Tancharoen</t>
  </si>
  <si>
    <t>Nicholas Hytner</t>
  </si>
  <si>
    <t>Bart Freundlich</t>
  </si>
  <si>
    <t>William A. Fraker</t>
  </si>
  <si>
    <t>John Boorman</t>
  </si>
  <si>
    <t>Courtney Solomon</t>
  </si>
  <si>
    <t>Jeff Kanew</t>
  </si>
  <si>
    <t>IstvÃ¡n SzabÃ³</t>
  </si>
  <si>
    <t>Matthew Robbins</t>
  </si>
  <si>
    <t>Hal Needham</t>
  </si>
  <si>
    <t>Jeff Nichols</t>
  </si>
  <si>
    <t>Jonathan Teplitzky</t>
  </si>
  <si>
    <t>Michael Haneke</t>
  </si>
  <si>
    <t>Zack Ward</t>
  </si>
  <si>
    <t>Mike Marvin</t>
  </si>
  <si>
    <t>Gregor Jordan</t>
  </si>
  <si>
    <t>Tran Anh Hung</t>
  </si>
  <si>
    <t>Lance Hool</t>
  </si>
  <si>
    <t>Christian Volckman</t>
  </si>
  <si>
    <t>Rodrigo CortÃ©s</t>
  </si>
  <si>
    <t>David Hayter</t>
  </si>
  <si>
    <t>Cory Edwards</t>
  </si>
  <si>
    <t>Terry George</t>
  </si>
  <si>
    <t>Xavier Gens</t>
  </si>
  <si>
    <t>Kasi Lemmons</t>
  </si>
  <si>
    <t>Brian A Miller</t>
  </si>
  <si>
    <t>Matt Dillon</t>
  </si>
  <si>
    <t>George Cukor</t>
  </si>
  <si>
    <t>John Hoffman</t>
  </si>
  <si>
    <t>Kevin Greutert</t>
  </si>
  <si>
    <t>John Fortenberry</t>
  </si>
  <si>
    <t>Erik White</t>
  </si>
  <si>
    <t>Chris Robinson</t>
  </si>
  <si>
    <t>Jason Moore</t>
  </si>
  <si>
    <t>Robert Harmon</t>
  </si>
  <si>
    <t>Trent Cooper</t>
  </si>
  <si>
    <t>Gary Halvorson</t>
  </si>
  <si>
    <t>Nicholas Ray</t>
  </si>
  <si>
    <t>Fede Alvarez</t>
  </si>
  <si>
    <t>Sidney J. Furie</t>
  </si>
  <si>
    <t>Ian Iqbal Rashid</t>
  </si>
  <si>
    <t>Wayne Kramer</t>
  </si>
  <si>
    <t>Rowdy Herrington</t>
  </si>
  <si>
    <t>Jim Goddard</t>
  </si>
  <si>
    <t>Noel Marshall</t>
  </si>
  <si>
    <t>Andrea Di Stefano</t>
  </si>
  <si>
    <t>Guillaume Ivernel</t>
  </si>
  <si>
    <t>Jack Smight</t>
  </si>
  <si>
    <t>Todd Lincoln</t>
  </si>
  <si>
    <t>Howard Zieff</t>
  </si>
  <si>
    <t>Steven Shainberg</t>
  </si>
  <si>
    <t>Julian Jarrold</t>
  </si>
  <si>
    <t>Joe Nussbaum</t>
  </si>
  <si>
    <t>Vadim Perelman</t>
  </si>
  <si>
    <t>Peter Farrelly</t>
  </si>
  <si>
    <t>Michel Hazanavicius</t>
  </si>
  <si>
    <t>Cyrus Nowrasteh</t>
  </si>
  <si>
    <t>Perry Andelin Blake</t>
  </si>
  <si>
    <t>Christian E. Christiansen</t>
  </si>
  <si>
    <t>Sheldon Lettich</t>
  </si>
  <si>
    <t>Diane English</t>
  </si>
  <si>
    <t>Peter Flinth</t>
  </si>
  <si>
    <t>Robert Iscove</t>
  </si>
  <si>
    <t>Peter Kosminsky</t>
  </si>
  <si>
    <t>Nick Gomez</t>
  </si>
  <si>
    <t>Allen Coulter</t>
  </si>
  <si>
    <t>Clare Kilner</t>
  </si>
  <si>
    <t>Josef Rusnak</t>
  </si>
  <si>
    <t>Lance Rivera</t>
  </si>
  <si>
    <t>Ronald Neame</t>
  </si>
  <si>
    <t>Bruce Paltrow</t>
  </si>
  <si>
    <t>Adam Rifkin</t>
  </si>
  <si>
    <t>Susanne Bier</t>
  </si>
  <si>
    <t>Kenneth Johnson</t>
  </si>
  <si>
    <t>James Ivory</t>
  </si>
  <si>
    <t>Jessy Terrero</t>
  </si>
  <si>
    <t>Dany Boon</t>
  </si>
  <si>
    <t>Vicente Amorim</t>
  </si>
  <si>
    <t>Gaspar NoÃ©</t>
  </si>
  <si>
    <t>JÃ©rÃ´me Salle</t>
  </si>
  <si>
    <t>Tommy Lee Jones</t>
  </si>
  <si>
    <t>Jesse Vaughan</t>
  </si>
  <si>
    <t>William Bindley</t>
  </si>
  <si>
    <t>Wayne Beach</t>
  </si>
  <si>
    <t>GÃ©rard Krawczyk</t>
  </si>
  <si>
    <t>Udayan Prasad</t>
  </si>
  <si>
    <t>JK Youn</t>
  </si>
  <si>
    <t>Morten Tyldum</t>
  </si>
  <si>
    <t>AndrÃ©s Muschietti</t>
  </si>
  <si>
    <t>Gillian Armstrong</t>
  </si>
  <si>
    <t>James Watkins</t>
  </si>
  <si>
    <t>Jim Fall</t>
  </si>
  <si>
    <t>Ric Roman Waugh</t>
  </si>
  <si>
    <t>Michael Dougherty</t>
  </si>
  <si>
    <t>Joel Gallen</t>
  </si>
  <si>
    <t>James Marsh</t>
  </si>
  <si>
    <t>Matt Williams</t>
  </si>
  <si>
    <t>Rob Zombie</t>
  </si>
  <si>
    <t>Dennis Iliadis</t>
  </si>
  <si>
    <t>Rick Rosenthal</t>
  </si>
  <si>
    <t>Denzel Washington</t>
  </si>
  <si>
    <t>Nicolas Winding Refn</t>
  </si>
  <si>
    <t>Sara Sugarman</t>
  </si>
  <si>
    <t>Juan Carlos Fresnadillo</t>
  </si>
  <si>
    <t>Gina Prince-Bythewood</t>
  </si>
  <si>
    <t>Phil Traill</t>
  </si>
  <si>
    <t>Joe Berlinger</t>
  </si>
  <si>
    <t>Elizabeth Allen Rosenbaum</t>
  </si>
  <si>
    <t>Michael Mayer</t>
  </si>
  <si>
    <t>Martin Weisz</t>
  </si>
  <si>
    <t>John Ottman</t>
  </si>
  <si>
    <t>John Bonito</t>
  </si>
  <si>
    <t>Peter Atencio</t>
  </si>
  <si>
    <t>David Nutter</t>
  </si>
  <si>
    <t>Derek Cianfrance</t>
  </si>
  <si>
    <t>Stephan Elliott</t>
  </si>
  <si>
    <t>Mark L. Lester</t>
  </si>
  <si>
    <t>Tom Green</t>
  </si>
  <si>
    <t>Mike Nawrocki</t>
  </si>
  <si>
    <t>Catherine Owens</t>
  </si>
  <si>
    <t>Douglas Aarniokoski</t>
  </si>
  <si>
    <t>Bryan Barber</t>
  </si>
  <si>
    <t>Lone Scherfig</t>
  </si>
  <si>
    <t>Drew Barrymore</t>
  </si>
  <si>
    <t>Brian Koppelman</t>
  </si>
  <si>
    <t>James Foley</t>
  </si>
  <si>
    <t>Albert Brooks</t>
  </si>
  <si>
    <t>Steve Gomer</t>
  </si>
  <si>
    <t>RZA</t>
  </si>
  <si>
    <t>Mark Piznarski</t>
  </si>
  <si>
    <t>Craig Brewer</t>
  </si>
  <si>
    <t>David Raynr</t>
  </si>
  <si>
    <t>Mort Nathan</t>
  </si>
  <si>
    <t>Dan Curtis</t>
  </si>
  <si>
    <t>Wil Shriner</t>
  </si>
  <si>
    <t>Martin McDonagh</t>
  </si>
  <si>
    <t>Tina Gordon Chism</t>
  </si>
  <si>
    <t>Peter Cattaneo</t>
  </si>
  <si>
    <t>Vicky Jenson</t>
  </si>
  <si>
    <t>Mary Lambert</t>
  </si>
  <si>
    <t>Peter Kassovitz</t>
  </si>
  <si>
    <t>Rodman Flender</t>
  </si>
  <si>
    <t>Katja von Garnier</t>
  </si>
  <si>
    <t>Mark Romanek</t>
  </si>
  <si>
    <t>Brad Anderson</t>
  </si>
  <si>
    <t>Michael Chapman</t>
  </si>
  <si>
    <t>Antonio Banderas</t>
  </si>
  <si>
    <t>Khalil Sullins</t>
  </si>
  <si>
    <t>Fritz Lang</t>
  </si>
  <si>
    <t>Hsiao-Hsien Hou</t>
  </si>
  <si>
    <t>Andrey Zvyagintsev</t>
  </si>
  <si>
    <t>Tony Jaa</t>
  </si>
  <si>
    <t>RyÃ»hei Kitamura</t>
  </si>
  <si>
    <t>Darrell Roodt</t>
  </si>
  <si>
    <t>Dito Montiel</t>
  </si>
  <si>
    <t>Stefan Ruzowitzky</t>
  </si>
  <si>
    <t>Jake Paltrow</t>
  </si>
  <si>
    <t>Juraj Jakubisko</t>
  </si>
  <si>
    <t>Anthony Silverston</t>
  </si>
  <si>
    <t>Gabe IbÃ¡Ã±ez</t>
  </si>
  <si>
    <t>Gerry Lively</t>
  </si>
  <si>
    <t>Daniele Luchetti</t>
  </si>
  <si>
    <t>Tung-Shing Yee</t>
  </si>
  <si>
    <t>Julien Temple</t>
  </si>
  <si>
    <t>Gregory Jacobs</t>
  </si>
  <si>
    <t>Gilles Paquet-Brenner</t>
  </si>
  <si>
    <t>Peter Cousens</t>
  </si>
  <si>
    <t>Lars von Trier</t>
  </si>
  <si>
    <t>John Blanchard</t>
  </si>
  <si>
    <t>John Cornell</t>
  </si>
  <si>
    <t>Vidhu Vinod Chopra</t>
  </si>
  <si>
    <t>Jamie Blanks</t>
  </si>
  <si>
    <t>Randal Kleiser</t>
  </si>
  <si>
    <t>Rick Famuyiwa</t>
  </si>
  <si>
    <t>Alan Cohn</t>
  </si>
  <si>
    <t>Franco Zeffirelli</t>
  </si>
  <si>
    <t>Tom Holland</t>
  </si>
  <si>
    <t>James Isaac</t>
  </si>
  <si>
    <t>Emilio Estevez</t>
  </si>
  <si>
    <t>Josh Schwartz</t>
  </si>
  <si>
    <t>Julian Schnabel</t>
  </si>
  <si>
    <t>Todd Field</t>
  </si>
  <si>
    <t>Davis Guggenheim</t>
  </si>
  <si>
    <t>Stephen Carpenter</t>
  </si>
  <si>
    <t>James Fargo</t>
  </si>
  <si>
    <t>Alain Resnais</t>
  </si>
  <si>
    <t>Chao-Bin Su</t>
  </si>
  <si>
    <t>Kenneth Lonergan</t>
  </si>
  <si>
    <t>Bo Zenga</t>
  </si>
  <si>
    <t>Danny Leiner</t>
  </si>
  <si>
    <t>Christopher Cain</t>
  </si>
  <si>
    <t>Theodore Melfi</t>
  </si>
  <si>
    <t>Ed Decter</t>
  </si>
  <si>
    <t>Gene Quintano</t>
  </si>
  <si>
    <t>Eric Bress</t>
  </si>
  <si>
    <t>Preston A. Whitmore II</t>
  </si>
  <si>
    <t>Kirk Wong</t>
  </si>
  <si>
    <t>Bronwen Hughes</t>
  </si>
  <si>
    <t>John Lafia</t>
  </si>
  <si>
    <t>Sam Miller</t>
  </si>
  <si>
    <t>Alex Garland</t>
  </si>
  <si>
    <t>Mark Brown</t>
  </si>
  <si>
    <t>Michael Polish</t>
  </si>
  <si>
    <t>Daisy von Scherler Mayer</t>
  </si>
  <si>
    <t>Lenny Abrahamson</t>
  </si>
  <si>
    <t>Bob Saget</t>
  </si>
  <si>
    <t>John Waters</t>
  </si>
  <si>
    <t>Craig Bolotin</t>
  </si>
  <si>
    <t>Mark Christopher</t>
  </si>
  <si>
    <t>Blair Hayes</t>
  </si>
  <si>
    <t>Jez Butterworth</t>
  </si>
  <si>
    <t>Olivier Assayas</t>
  </si>
  <si>
    <t>Patrice Leconte</t>
  </si>
  <si>
    <t>Paul Mazursky</t>
  </si>
  <si>
    <t>Stephen Chbosky</t>
  </si>
  <si>
    <t>Jon Hess</t>
  </si>
  <si>
    <t>Joe Cornish</t>
  </si>
  <si>
    <t>John H. Lee</t>
  </si>
  <si>
    <t>John Stainton</t>
  </si>
  <si>
    <t>Benedek Fliegauf</t>
  </si>
  <si>
    <t>Paul Schrader</t>
  </si>
  <si>
    <t>Stewart Hendler</t>
  </si>
  <si>
    <t>John Cromwell</t>
  </si>
  <si>
    <t>Mark Herman</t>
  </si>
  <si>
    <t>Abel Ferrara</t>
  </si>
  <si>
    <t>Ethan Maniquis</t>
  </si>
  <si>
    <t>George Hickenlooper</t>
  </si>
  <si>
    <t>Je-kyu Kang</t>
  </si>
  <si>
    <t>William Dear</t>
  </si>
  <si>
    <t>StÃ©phane Aubier</t>
  </si>
  <si>
    <t>John Badham</t>
  </si>
  <si>
    <t>Mike McCoy</t>
  </si>
  <si>
    <t>Mike Judge</t>
  </si>
  <si>
    <t>Tamra Davis</t>
  </si>
  <si>
    <t>Nima Nourizadeh</t>
  </si>
  <si>
    <t>Franklin J. Schaffner</t>
  </si>
  <si>
    <t>John Erick Dowdle</t>
  </si>
  <si>
    <t>David Moreau</t>
  </si>
  <si>
    <t>Christopher Erskin</t>
  </si>
  <si>
    <t>Brian Henson</t>
  </si>
  <si>
    <t>Dan Cutforth</t>
  </si>
  <si>
    <t>Josh Boone</t>
  </si>
  <si>
    <t>Jake Schreier</t>
  </si>
  <si>
    <t>Cheryl Dunye</t>
  </si>
  <si>
    <t>Ernest R. Dickerson</t>
  </si>
  <si>
    <t>Lionel C. Martin</t>
  </si>
  <si>
    <t>Wallace Wolodarsky</t>
  </si>
  <si>
    <t>Nicholas Jarecki</t>
  </si>
  <si>
    <t>Dean Israelite</t>
  </si>
  <si>
    <t>Darnell Martin</t>
  </si>
  <si>
    <t>Scott Alexander</t>
  </si>
  <si>
    <t>Stuart Gordon</t>
  </si>
  <si>
    <t>Christopher Guest</t>
  </si>
  <si>
    <t>Jane Campion</t>
  </si>
  <si>
    <t>Fred Schepisi</t>
  </si>
  <si>
    <t>Antonia Bird</t>
  </si>
  <si>
    <t>Jon Poll</t>
  </si>
  <si>
    <t>Paolo Sorrentino</t>
  </si>
  <si>
    <t>Peter Care</t>
  </si>
  <si>
    <t>Chan-wook Park</t>
  </si>
  <si>
    <t>Ira Sachs</t>
  </si>
  <si>
    <t>Carroll Ballard</t>
  </si>
  <si>
    <t>Takeshi Kitano</t>
  </si>
  <si>
    <t>Marco Kreuzpaintner</t>
  </si>
  <si>
    <t>Lajos Koltai</t>
  </si>
  <si>
    <t>Alan Rudolph</t>
  </si>
  <si>
    <t>Chuan Lu</t>
  </si>
  <si>
    <t>Lijun Sun</t>
  </si>
  <si>
    <t>Takashi Yamazaki</t>
  </si>
  <si>
    <t>Christopher Smith</t>
  </si>
  <si>
    <t>Timothy Hines</t>
  </si>
  <si>
    <t>David Winters</t>
  </si>
  <si>
    <t>Akira Kurosawa</t>
  </si>
  <si>
    <t>Jamie Thraves</t>
  </si>
  <si>
    <t>Mabel Cheung</t>
  </si>
  <si>
    <t>Dan Mazer</t>
  </si>
  <si>
    <t>R.J. Cutler</t>
  </si>
  <si>
    <t>David S. Ward</t>
  </si>
  <si>
    <t>Rob Pritts</t>
  </si>
  <si>
    <t>John Crowley</t>
  </si>
  <si>
    <t>Brendan Malloy</t>
  </si>
  <si>
    <t>Dustin Hoffman</t>
  </si>
  <si>
    <t>Gregory Poirier</t>
  </si>
  <si>
    <t>Simon Curtis</t>
  </si>
  <si>
    <t>Dewey Nicks</t>
  </si>
  <si>
    <t>Philip Saville</t>
  </si>
  <si>
    <t>Tim Blake Nelson</t>
  </si>
  <si>
    <t>William A. Graham</t>
  </si>
  <si>
    <t>Martin Ritt</t>
  </si>
  <si>
    <t>John Turturro</t>
  </si>
  <si>
    <t>Agnieszka Holland</t>
  </si>
  <si>
    <t>David Hackl</t>
  </si>
  <si>
    <t>Giuliano Montaldo</t>
  </si>
  <si>
    <t>Lisa Azuelos</t>
  </si>
  <si>
    <t>Ray Lawrence</t>
  </si>
  <si>
    <t>Karan Johar</t>
  </si>
  <si>
    <t>Ruairi Robinson</t>
  </si>
  <si>
    <t>Jaume BalaguerÃ³</t>
  </si>
  <si>
    <t>Jon Kasdan</t>
  </si>
  <si>
    <t>LÃ©a Pool</t>
  </si>
  <si>
    <t>Floyd Mutrux</t>
  </si>
  <si>
    <t>Sajid Khan</t>
  </si>
  <si>
    <t>Dean Wright</t>
  </si>
  <si>
    <t>Eric Lartigau</t>
  </si>
  <si>
    <t>Shintaro Shimosawa</t>
  </si>
  <si>
    <t>Darren Lynn Bousman</t>
  </si>
  <si>
    <t>James DeMonaco</t>
  </si>
  <si>
    <t>Ken Annakin</t>
  </si>
  <si>
    <t>Carol Reed</t>
  </si>
  <si>
    <t>Chuck Sheetz</t>
  </si>
  <si>
    <t>Marcus Raboy</t>
  </si>
  <si>
    <t>Leigh Whannell</t>
  </si>
  <si>
    <t>Michael Schultz</t>
  </si>
  <si>
    <t>Peter Sollett</t>
  </si>
  <si>
    <t>Bob Dolman</t>
  </si>
  <si>
    <t>Greg Coolidge</t>
  </si>
  <si>
    <t>David Lowery</t>
  </si>
  <si>
    <t>CiarÃ¡n Foy</t>
  </si>
  <si>
    <t>Salim Akil</t>
  </si>
  <si>
    <t>Olatunde Osunsanmi</t>
  </si>
  <si>
    <t>Leon Ichaso</t>
  </si>
  <si>
    <t>Joseph Zito</t>
  </si>
  <si>
    <t>Patricia Rozema</t>
  </si>
  <si>
    <t>Rob Schmidt</t>
  </si>
  <si>
    <t>Robert Ben Garant</t>
  </si>
  <si>
    <t>Morgan Spurlock</t>
  </si>
  <si>
    <t>Neal Brennan</t>
  </si>
  <si>
    <t>Tuck Tucker</t>
  </si>
  <si>
    <t>Theodore Witcher</t>
  </si>
  <si>
    <t>Joel Edgerton</t>
  </si>
  <si>
    <t>Jim Hanon</t>
  </si>
  <si>
    <t>Michael Patrick Jann</t>
  </si>
  <si>
    <t>Jorma Taccone</t>
  </si>
  <si>
    <t>Jeff Lowell</t>
  </si>
  <si>
    <t>Lorene Scafaria</t>
  </si>
  <si>
    <t>Marcus Dunstan</t>
  </si>
  <si>
    <t>Timothy BjÃ¶rklund</t>
  </si>
  <si>
    <t>FranÃ§ois Girard</t>
  </si>
  <si>
    <t>Scott Kalvert</t>
  </si>
  <si>
    <t>Jason Bateman</t>
  </si>
  <si>
    <t>David Schwimmer</t>
  </si>
  <si>
    <t>Allan Arkush</t>
  </si>
  <si>
    <t>Eric Bross</t>
  </si>
  <si>
    <t>Dan Fogelman</t>
  </si>
  <si>
    <t>Jay Duplass</t>
  </si>
  <si>
    <t>Luca Guadagnino</t>
  </si>
  <si>
    <t>John Putch</t>
  </si>
  <si>
    <t>Peter Medak</t>
  </si>
  <si>
    <t>Terence Davies</t>
  </si>
  <si>
    <t>Harley Cokeliss</t>
  </si>
  <si>
    <t>Tom Brady</t>
  </si>
  <si>
    <t>Jason Zada</t>
  </si>
  <si>
    <t>Noah Baumbach</t>
  </si>
  <si>
    <t>Eric Blakeney</t>
  </si>
  <si>
    <t>Rakesh Roshan</t>
  </si>
  <si>
    <t>Derrick Borte</t>
  </si>
  <si>
    <t>Richard Kwietniowski</t>
  </si>
  <si>
    <t>Bob Odenkirk</t>
  </si>
  <si>
    <t>Joshua Seftel</t>
  </si>
  <si>
    <t>Vincent Gallo</t>
  </si>
  <si>
    <t>Claude Chabrol</t>
  </si>
  <si>
    <t>Jon Stewart</t>
  </si>
  <si>
    <t>Bigas Luna</t>
  </si>
  <si>
    <t>Ralph Fiennes</t>
  </si>
  <si>
    <t>Dan Harris</t>
  </si>
  <si>
    <t>Mel Smith</t>
  </si>
  <si>
    <t>Bobcat Goldthwait</t>
  </si>
  <si>
    <t>Jake Scott</t>
  </si>
  <si>
    <t>Alan Metter</t>
  </si>
  <si>
    <t>Rafa Lara</t>
  </si>
  <si>
    <t>Arthur Hiller</t>
  </si>
  <si>
    <t>Michael Meredith</t>
  </si>
  <si>
    <t>Julio DePietro</t>
  </si>
  <si>
    <t>Katherine Dieckmann</t>
  </si>
  <si>
    <t>Kim Farrant</t>
  </si>
  <si>
    <t>Scott Marshall</t>
  </si>
  <si>
    <t>Ãlex de la Iglesia</t>
  </si>
  <si>
    <t>Andrew Traucki</t>
  </si>
  <si>
    <t>Michael Clancy</t>
  </si>
  <si>
    <t>Robert Adetuyi</t>
  </si>
  <si>
    <t>Kari Skogland</t>
  </si>
  <si>
    <t>Taedong Park</t>
  </si>
  <si>
    <t>Benedikt Erlingsson</t>
  </si>
  <si>
    <t>Gurinder Chadha</t>
  </si>
  <si>
    <t>Jason Connery</t>
  </si>
  <si>
    <t>Vic Sarin</t>
  </si>
  <si>
    <t>Jim Issa</t>
  </si>
  <si>
    <t>William Phillips</t>
  </si>
  <si>
    <t>Andy Garcia</t>
  </si>
  <si>
    <t>Sarik Andreasyan</t>
  </si>
  <si>
    <t>Julian Gilbey</t>
  </si>
  <si>
    <t>Gary Sherman</t>
  </si>
  <si>
    <t>Valeri Milev</t>
  </si>
  <si>
    <t>Stanley Kramer</t>
  </si>
  <si>
    <t>Pedro AlmodÃ³var</t>
  </si>
  <si>
    <t>Gerald Potterton</t>
  </si>
  <si>
    <t>Anurag Basu</t>
  </si>
  <si>
    <t>Kriv Stenders</t>
  </si>
  <si>
    <t>Yash Chopra</t>
  </si>
  <si>
    <t>Floria Sigismondi</t>
  </si>
  <si>
    <t>Ferzan Ozpetek</t>
  </si>
  <si>
    <t>Kris Isacsson</t>
  </si>
  <si>
    <t>Ben Younger</t>
  </si>
  <si>
    <t>Daniel Taplitz</t>
  </si>
  <si>
    <t>Tamara Jenkins</t>
  </si>
  <si>
    <t>Linda Mendoza</t>
  </si>
  <si>
    <t>Hart Bochner</t>
  </si>
  <si>
    <t>Stewart Raffill</t>
  </si>
  <si>
    <t>Hong-jin Na</t>
  </si>
  <si>
    <t>Chatrichalerm Yukol</t>
  </si>
  <si>
    <t>Dario Argento</t>
  </si>
  <si>
    <t>Eric Lavaine</t>
  </si>
  <si>
    <t>Marc Forby</t>
  </si>
  <si>
    <t>Ole Christian Madsen</t>
  </si>
  <si>
    <t>Meiert Avis</t>
  </si>
  <si>
    <t>AndrÃ© TÃ©chinÃ©</t>
  </si>
  <si>
    <t>Emily Young</t>
  </si>
  <si>
    <t>Peter Faiman</t>
  </si>
  <si>
    <t>Martyn Pick</t>
  </si>
  <si>
    <t>Roland Suso Richter</t>
  </si>
  <si>
    <t>Jeremy Sims</t>
  </si>
  <si>
    <t>MaÃ¯wenn</t>
  </si>
  <si>
    <t>Joby Harold</t>
  </si>
  <si>
    <t>Ekachai Uekrongtham</t>
  </si>
  <si>
    <t>Mark Rydell</t>
  </si>
  <si>
    <t>David E. Talbert</t>
  </si>
  <si>
    <t>Roger Vadim</t>
  </si>
  <si>
    <t>Nils Gaup</t>
  </si>
  <si>
    <t>Ari Sandel</t>
  </si>
  <si>
    <t>Vondie Curtis-Hall</t>
  </si>
  <si>
    <t>Tom Elkins</t>
  </si>
  <si>
    <t>Woo-Suk Kang</t>
  </si>
  <si>
    <t>John Sayles</t>
  </si>
  <si>
    <t>Vipul Amrutlal Shah</t>
  </si>
  <si>
    <t>Ken Loach</t>
  </si>
  <si>
    <t>Ayan Mukerji</t>
  </si>
  <si>
    <t>Mervyn LeRoy</t>
  </si>
  <si>
    <t>Serdar Akar</t>
  </si>
  <si>
    <t>James Frawley</t>
  </si>
  <si>
    <t>Dan Gilroy</t>
  </si>
  <si>
    <t>Jonathan Dayton</t>
  </si>
  <si>
    <t>Chris Stokes</t>
  </si>
  <si>
    <t>Don Siegel</t>
  </si>
  <si>
    <t>Martin Lawrence</t>
  </si>
  <si>
    <t>Masayuki Ochiai</t>
  </si>
  <si>
    <t>Tom Gormican</t>
  </si>
  <si>
    <t>Ken Shapiro</t>
  </si>
  <si>
    <t>Justin Tipping</t>
  </si>
  <si>
    <t>Peter R. Hunt</t>
  </si>
  <si>
    <t>Doug Atchison</t>
  </si>
  <si>
    <t>Jonas Elmer</t>
  </si>
  <si>
    <t>Mary Harron</t>
  </si>
  <si>
    <t>Erik Canuel</t>
  </si>
  <si>
    <t>Troy Duffy</t>
  </si>
  <si>
    <t>Nicole Holofcener</t>
  </si>
  <si>
    <t>Matty Rich</t>
  </si>
  <si>
    <t>Fina Torres</t>
  </si>
  <si>
    <t>Duke Johnson</t>
  </si>
  <si>
    <t>FranÃ§ois Ozon</t>
  </si>
  <si>
    <t>Anna Boden</t>
  </si>
  <si>
    <t>Steve James</t>
  </si>
  <si>
    <t>Michael Winner</t>
  </si>
  <si>
    <t>Tomm Moore</t>
  </si>
  <si>
    <t>John Carney</t>
  </si>
  <si>
    <t>David Jacobson</t>
  </si>
  <si>
    <t>Michael Corrente</t>
  </si>
  <si>
    <t>Edward Hall</t>
  </si>
  <si>
    <t>Keith Gordon</t>
  </si>
  <si>
    <t>Andrew Currie</t>
  </si>
  <si>
    <t>Andrew Wilson</t>
  </si>
  <si>
    <t>Marc SchÃ¶lermann</t>
  </si>
  <si>
    <t>Robert Moresco</t>
  </si>
  <si>
    <t>Thomas Vinterberg</t>
  </si>
  <si>
    <t>Claudia Llosa</t>
  </si>
  <si>
    <t>Charles BinamÃ©</t>
  </si>
  <si>
    <t>Keith Parmer</t>
  </si>
  <si>
    <t>Ol Parker</t>
  </si>
  <si>
    <t>James Nunn</t>
  </si>
  <si>
    <t>David Webb Peoples</t>
  </si>
  <si>
    <t>Michael Winnick</t>
  </si>
  <si>
    <t>Stanley Tong</t>
  </si>
  <si>
    <t>David Oelhoffen</t>
  </si>
  <si>
    <t>Eli Roth</t>
  </si>
  <si>
    <t>Tony Richardson</t>
  </si>
  <si>
    <t>Charles Robert Carner</t>
  </si>
  <si>
    <t>Russell Holt</t>
  </si>
  <si>
    <t>Claude Miller</t>
  </si>
  <si>
    <t>Sacha Bennett</t>
  </si>
  <si>
    <t>Rodrigo GarcÃ­a</t>
  </si>
  <si>
    <t>Jeta Amata</t>
  </si>
  <si>
    <t>Siddharth Anand</t>
  </si>
  <si>
    <t>Vincent Paronnaud</t>
  </si>
  <si>
    <t>Dennis Gansel</t>
  </si>
  <si>
    <t>Daniel Barber</t>
  </si>
  <si>
    <t>Robert Marcarelli</t>
  </si>
  <si>
    <t>Ernie Barbarash</t>
  </si>
  <si>
    <t>Guy Hamilton</t>
  </si>
  <si>
    <t>Adam Brooks</t>
  </si>
  <si>
    <t>Michael Anderson</t>
  </si>
  <si>
    <t>Don Kempf</t>
  </si>
  <si>
    <t>Matt Bettinelli-Olpin</t>
  </si>
  <si>
    <t>Sharron Miller</t>
  </si>
  <si>
    <t>Aaron Schneider</t>
  </si>
  <si>
    <t>Tom Ford</t>
  </si>
  <si>
    <t>Tony Maylam</t>
  </si>
  <si>
    <t>Mitch Davis</t>
  </si>
  <si>
    <t>Kevin Brodie</t>
  </si>
  <si>
    <t>Lynne Ramsay</t>
  </si>
  <si>
    <t>John Stephenson</t>
  </si>
  <si>
    <t>Tim Chambers</t>
  </si>
  <si>
    <t>Dick Richards</t>
  </si>
  <si>
    <t>Bob Gosse</t>
  </si>
  <si>
    <t>Alex Zamm</t>
  </si>
  <si>
    <t>Spencer Susser</t>
  </si>
  <si>
    <t>Thaddeus O'Sullivan</t>
  </si>
  <si>
    <t>Shari Springer Berman</t>
  </si>
  <si>
    <t>Aleksey German</t>
  </si>
  <si>
    <t>Stephen Milburn Anderson</t>
  </si>
  <si>
    <t>Richard E. Grant</t>
  </si>
  <si>
    <t>David Lam</t>
  </si>
  <si>
    <t>Vladlen Barbe</t>
  </si>
  <si>
    <t>Richard Rich</t>
  </si>
  <si>
    <t>Robert C. Cooper</t>
  </si>
  <si>
    <t>Kim Nguyen</t>
  </si>
  <si>
    <t>Jackie Earle Haley</t>
  </si>
  <si>
    <t>Max FÃ¤rberbÃ¶ck</t>
  </si>
  <si>
    <t>Arie Posin</t>
  </si>
  <si>
    <t>Damian Nieman</t>
  </si>
  <si>
    <t>Mark Tonderai</t>
  </si>
  <si>
    <t>Ian Fitzgibbon</t>
  </si>
  <si>
    <t>Rachel Perkins</t>
  </si>
  <si>
    <t>Luis Valdez</t>
  </si>
  <si>
    <t>Alan Alda</t>
  </si>
  <si>
    <t>Louis Morneau</t>
  </si>
  <si>
    <t>Caroline Link</t>
  </si>
  <si>
    <t>Sterling Van Wagenen</t>
  </si>
  <si>
    <t>Zal Batmanglij</t>
  </si>
  <si>
    <t>Hans Petter Moland</t>
  </si>
  <si>
    <t>Oren Moverman</t>
  </si>
  <si>
    <t>Ian Sharp</t>
  </si>
  <si>
    <t>Wolfgang Becker</t>
  </si>
  <si>
    <t>Dan O'Bannon</t>
  </si>
  <si>
    <t>George Roy Hill</t>
  </si>
  <si>
    <t>Robert Stevenson</t>
  </si>
  <si>
    <t>Jerome Robbins</t>
  </si>
  <si>
    <t>Gary Hardwick</t>
  </si>
  <si>
    <t>King Vidor</t>
  </si>
  <si>
    <t>Fred Savage</t>
  </si>
  <si>
    <t>Sammo Kam-Bo Hung</t>
  </si>
  <si>
    <t>Rusty Cundieff</t>
  </si>
  <si>
    <t>Dominique Othenin-Girard</t>
  </si>
  <si>
    <t>Jean-Jacques Mantello</t>
  </si>
  <si>
    <t>Risa Bramon Garcia</t>
  </si>
  <si>
    <t>Brian Klugman</t>
  </si>
  <si>
    <t>Matt Piedmont</t>
  </si>
  <si>
    <t>Raymond De Felitta</t>
  </si>
  <si>
    <t>John Michael McDonagh</t>
  </si>
  <si>
    <t>Deb Hagan</t>
  </si>
  <si>
    <t>Zach Cregger</t>
  </si>
  <si>
    <t>Zach Braff</t>
  </si>
  <si>
    <t>Mark Tarlov</t>
  </si>
  <si>
    <t>John Cameron Mitchell</t>
  </si>
  <si>
    <t>Jon Knautz</t>
  </si>
  <si>
    <t>David Atkins</t>
  </si>
  <si>
    <t>Patrick Stettner</t>
  </si>
  <si>
    <t>Sam Peckinpah</t>
  </si>
  <si>
    <t>Michael Crichton</t>
  </si>
  <si>
    <t>Sylvio Tabet</t>
  </si>
  <si>
    <t>Rick Bieber</t>
  </si>
  <si>
    <t>Joey Lauren Adams</t>
  </si>
  <si>
    <t>Fred Zinnemann</t>
  </si>
  <si>
    <t>S.R. Bindler</t>
  </si>
  <si>
    <t>Greg Marcks</t>
  </si>
  <si>
    <t>Perry Lang</t>
  </si>
  <si>
    <t>Jake Goldberger</t>
  </si>
  <si>
    <t>William Kaufman</t>
  </si>
  <si>
    <t>CÃ©dric Klapisch</t>
  </si>
  <si>
    <t>Kate Barker-Froyland</t>
  </si>
  <si>
    <t>Martin Koolhoven</t>
  </si>
  <si>
    <t>Charles Matthau</t>
  </si>
  <si>
    <t>Christopher M. Bessette</t>
  </si>
  <si>
    <t>Prachya Pinkaew</t>
  </si>
  <si>
    <t>Gary Sinyor</t>
  </si>
  <si>
    <t>Ashish R. Mohan</t>
  </si>
  <si>
    <t>Darren Grant</t>
  </si>
  <si>
    <t>Joseph Gordon-Levitt</t>
  </si>
  <si>
    <t>William Sachs</t>
  </si>
  <si>
    <t>Christophe Barratier</t>
  </si>
  <si>
    <t>James Cox</t>
  </si>
  <si>
    <t>James Toback</t>
  </si>
  <si>
    <t>Aki KaurismÃ¤ki</t>
  </si>
  <si>
    <t>Hitoshi Matsumoto</t>
  </si>
  <si>
    <t>Rakeysh Omprakash Mehra</t>
  </si>
  <si>
    <t>Collin Schiffli</t>
  </si>
  <si>
    <t>George Ratliff</t>
  </si>
  <si>
    <t>Shane Meadows</t>
  </si>
  <si>
    <t>Jon Wright</t>
  </si>
  <si>
    <t>Michael McGowan</t>
  </si>
  <si>
    <t>Liv Ullmann</t>
  </si>
  <si>
    <t>Rohan Sippy</t>
  </si>
  <si>
    <t>Dan Trachtenberg</t>
  </si>
  <si>
    <t>David F. Sandberg</t>
  </si>
  <si>
    <t>Stiles White</t>
  </si>
  <si>
    <t>Eugenio Derbez</t>
  </si>
  <si>
    <t>Henry Koster</t>
  </si>
  <si>
    <t>Patty Jenkins</t>
  </si>
  <si>
    <t>Christopher Landon</t>
  </si>
  <si>
    <t>David Gelb</t>
  </si>
  <si>
    <t>Mike Flanagan</t>
  </si>
  <si>
    <t>Nat Faxon</t>
  </si>
  <si>
    <t>George Jackson</t>
  </si>
  <si>
    <t>Maurice Joyce</t>
  </si>
  <si>
    <t>Robert Duvall</t>
  </si>
  <si>
    <t>Frank Perry</t>
  </si>
  <si>
    <t>Jesse Peretz</t>
  </si>
  <si>
    <t>Ice Cube</t>
  </si>
  <si>
    <t>Richard Glatzer</t>
  </si>
  <si>
    <t>Michael Curtiz</t>
  </si>
  <si>
    <t>Bruce Malmuth</t>
  </si>
  <si>
    <t>Rob Hedden</t>
  </si>
  <si>
    <t>Harmony Korine</t>
  </si>
  <si>
    <t>Joe Chappelle</t>
  </si>
  <si>
    <t>Mickey Liddell</t>
  </si>
  <si>
    <t>Fred Walton</t>
  </si>
  <si>
    <t>Steve Carver</t>
  </si>
  <si>
    <t>Gonzalo LÃ³pez-Gallego</t>
  </si>
  <si>
    <t>Christine Jeffs</t>
  </si>
  <si>
    <t>Don Coscarelli</t>
  </si>
  <si>
    <t>Michael Tiddes</t>
  </si>
  <si>
    <t>Bill Duke</t>
  </si>
  <si>
    <t>Frank Borzage</t>
  </si>
  <si>
    <t>Mamoru Hosoda</t>
  </si>
  <si>
    <t>Brian Dannelly</t>
  </si>
  <si>
    <t>Denys Arcand</t>
  </si>
  <si>
    <t>J.S. Cardone</t>
  </si>
  <si>
    <t>Jay Levey</t>
  </si>
  <si>
    <t>Nicholaus Goossen</t>
  </si>
  <si>
    <t>Ronan Chapalain</t>
  </si>
  <si>
    <t>Xavier Beauvois</t>
  </si>
  <si>
    <t>Randall Miller</t>
  </si>
  <si>
    <t>Jerry Belson</t>
  </si>
  <si>
    <t>Dan Rush</t>
  </si>
  <si>
    <t>Michael Cuesta</t>
  </si>
  <si>
    <t>Fenton Bailey</t>
  </si>
  <si>
    <t>Jeremy Saulnier</t>
  </si>
  <si>
    <t>News</t>
  </si>
  <si>
    <t>Reality-TV</t>
  </si>
  <si>
    <t>Game-Show</t>
  </si>
  <si>
    <t>Duration</t>
  </si>
  <si>
    <t>Gross</t>
  </si>
  <si>
    <t>Movie_title</t>
  </si>
  <si>
    <t>Amile Gaudreault</t>
  </si>
  <si>
    <t>Average Imdb_score</t>
  </si>
  <si>
    <t>Top 10 Director name</t>
  </si>
  <si>
    <t>Large</t>
  </si>
  <si>
    <t>Percent rank</t>
  </si>
  <si>
    <t>Percentile</t>
  </si>
  <si>
    <t>Profit</t>
  </si>
  <si>
    <t>Budget</t>
  </si>
  <si>
    <t>CORRELATION</t>
  </si>
  <si>
    <t xml:space="preserve">Highest 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</si>
</sst>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0.0"/>
  </numFmts>
  <fonts count="4" x14ac:knownFonts="1">
    <font>
      <sz val="11"/>
      <color theme="1"/>
      <name val="Aptos Narrow"/>
      <family val="2"/>
      <scheme val="minor"/>
    </font>
    <font>
      <sz val="11"/>
      <color theme="1"/>
      <name val="Aptos Narrow"/>
      <family val="2"/>
      <scheme val="minor"/>
    </font>
    <font>
      <b/>
      <sz val="11"/>
      <color theme="0"/>
      <name val="Aptos Narrow"/>
      <family val="2"/>
      <scheme val="minor"/>
    </font>
    <font>
      <sz val="11"/>
      <color theme="0"/>
      <name val="Aptos Narrow"/>
      <family val="2"/>
      <scheme val="minor"/>
    </font>
  </fonts>
  <fills count="18">
    <fill>
      <patternFill patternType="none"/>
    </fill>
    <fill>
      <patternFill patternType="gray125"/>
    </fill>
    <fill>
      <patternFill patternType="solid">
        <fgColor theme="4"/>
      </patternFill>
    </fill>
    <fill>
      <patternFill patternType="solid">
        <fgColor theme="4" tint="0.79998168889431442"/>
        <bgColor indexed="65"/>
      </patternFill>
    </fill>
    <fill>
      <patternFill patternType="solid">
        <fgColor theme="5" tint="0.59999389629810485"/>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7" tint="0.79998168889431442"/>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66"/>
        <bgColor indexed="64"/>
      </patternFill>
    </fill>
    <fill>
      <patternFill patternType="solid">
        <fgColor theme="9" tint="-0.249977111117893"/>
        <bgColor indexed="64"/>
      </patternFill>
    </fill>
    <fill>
      <patternFill patternType="solid">
        <fgColor theme="5" tint="0.39997558519241921"/>
        <bgColor indexed="64"/>
      </patternFill>
    </fill>
    <fill>
      <patternFill patternType="solid">
        <fgColor theme="4" tint="0.59999389629810485"/>
        <bgColor indexed="64"/>
      </patternFill>
    </fill>
  </fills>
  <borders count="10">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9" tint="0.39997558519241921"/>
      </left>
      <right/>
      <top style="thin">
        <color theme="9" tint="0.39997558519241921"/>
      </top>
      <bottom style="thin">
        <color theme="9" tint="0.39997558519241921"/>
      </bottom>
      <diagonal/>
    </border>
  </borders>
  <cellStyleXfs count="4">
    <xf numFmtId="0" fontId="0" fillId="0" borderId="0"/>
    <xf numFmtId="0" fontId="3" fillId="2" borderId="0" applyNumberFormat="0" applyBorder="0" applyAlignment="0" applyProtection="0"/>
    <xf numFmtId="0" fontId="1" fillId="3" borderId="0" applyNumberFormat="0" applyBorder="0" applyAlignment="0" applyProtection="0"/>
    <xf numFmtId="44" fontId="1" fillId="0" borderId="0" applyFont="0" applyFill="0" applyBorder="0" applyAlignment="0" applyProtection="0"/>
  </cellStyleXfs>
  <cellXfs count="47">
    <xf numFmtId="0" fontId="0" fillId="0" borderId="0" xfId="0"/>
    <xf numFmtId="0" fontId="3" fillId="2" borderId="0" xfId="1"/>
    <xf numFmtId="0" fontId="2" fillId="5" borderId="1" xfId="0" applyFont="1" applyFill="1" applyBorder="1"/>
    <xf numFmtId="0" fontId="0" fillId="6" borderId="1" xfId="0" applyFill="1" applyBorder="1"/>
    <xf numFmtId="0" fontId="0" fillId="0" borderId="1" xfId="0" applyBorder="1"/>
    <xf numFmtId="0" fontId="0" fillId="0" borderId="0" xfId="2" applyFont="1" applyFill="1"/>
    <xf numFmtId="0" fontId="1" fillId="0" borderId="0" xfId="2" applyFill="1"/>
    <xf numFmtId="0" fontId="0" fillId="7" borderId="0" xfId="0" applyFill="1"/>
    <xf numFmtId="0" fontId="0" fillId="7" borderId="3" xfId="0" applyFill="1" applyBorder="1"/>
    <xf numFmtId="0" fontId="1" fillId="3" borderId="3" xfId="2" applyBorder="1"/>
    <xf numFmtId="0" fontId="1" fillId="3" borderId="4" xfId="2" applyBorder="1"/>
    <xf numFmtId="0" fontId="1" fillId="3" borderId="5" xfId="2" applyBorder="1"/>
    <xf numFmtId="0" fontId="0" fillId="8" borderId="3" xfId="0" applyFill="1" applyBorder="1"/>
    <xf numFmtId="1" fontId="0" fillId="8" borderId="3" xfId="0" applyNumberFormat="1" applyFill="1" applyBorder="1"/>
    <xf numFmtId="164" fontId="0" fillId="8" borderId="3" xfId="0" applyNumberFormat="1" applyFill="1" applyBorder="1"/>
    <xf numFmtId="0" fontId="1" fillId="9" borderId="5" xfId="2" applyFill="1" applyBorder="1"/>
    <xf numFmtId="0" fontId="1" fillId="9" borderId="6" xfId="2" applyFill="1" applyBorder="1"/>
    <xf numFmtId="0" fontId="0" fillId="10" borderId="3" xfId="0" applyFill="1" applyBorder="1"/>
    <xf numFmtId="2" fontId="0" fillId="10" borderId="3" xfId="0" applyNumberFormat="1" applyFill="1" applyBorder="1"/>
    <xf numFmtId="0" fontId="0" fillId="11" borderId="0" xfId="0" applyFill="1"/>
    <xf numFmtId="0" fontId="0" fillId="12" borderId="0" xfId="0" applyFill="1"/>
    <xf numFmtId="0" fontId="0" fillId="13" borderId="0" xfId="0" applyFill="1"/>
    <xf numFmtId="0" fontId="0" fillId="6" borderId="2" xfId="0" applyFill="1" applyBorder="1"/>
    <xf numFmtId="0" fontId="0" fillId="0" borderId="2" xfId="0" applyBorder="1"/>
    <xf numFmtId="0" fontId="2" fillId="5" borderId="1" xfId="0" applyFont="1" applyFill="1" applyBorder="1" applyAlignment="1">
      <alignment horizontal="center"/>
    </xf>
    <xf numFmtId="0" fontId="0" fillId="12" borderId="7" xfId="0" applyFill="1" applyBorder="1"/>
    <xf numFmtId="0" fontId="0" fillId="12" borderId="8" xfId="0" applyFill="1" applyBorder="1"/>
    <xf numFmtId="0" fontId="0" fillId="14" borderId="5" xfId="0" applyFill="1" applyBorder="1"/>
    <xf numFmtId="0" fontId="0" fillId="14" borderId="8" xfId="0" applyFill="1" applyBorder="1"/>
    <xf numFmtId="0" fontId="0" fillId="14" borderId="3" xfId="0" applyFill="1" applyBorder="1"/>
    <xf numFmtId="164" fontId="0" fillId="14" borderId="5" xfId="0" applyNumberFormat="1" applyFill="1" applyBorder="1"/>
    <xf numFmtId="0" fontId="0" fillId="0" borderId="9" xfId="0" applyBorder="1"/>
    <xf numFmtId="0" fontId="0" fillId="6" borderId="9" xfId="0" applyFill="1" applyBorder="1"/>
    <xf numFmtId="0" fontId="2" fillId="5" borderId="9" xfId="0" applyFont="1" applyFill="1" applyBorder="1"/>
    <xf numFmtId="2" fontId="0" fillId="8" borderId="3" xfId="0" applyNumberFormat="1" applyFill="1" applyBorder="1"/>
    <xf numFmtId="2" fontId="0" fillId="14" borderId="5" xfId="0" applyNumberFormat="1" applyFill="1" applyBorder="1"/>
    <xf numFmtId="0" fontId="2" fillId="5" borderId="2" xfId="0" applyFont="1" applyFill="1" applyBorder="1"/>
    <xf numFmtId="1" fontId="0" fillId="10" borderId="3" xfId="0" applyNumberFormat="1" applyFill="1" applyBorder="1"/>
    <xf numFmtId="0" fontId="3" fillId="15" borderId="0" xfId="0" applyFont="1" applyFill="1" applyAlignment="1">
      <alignment horizontal="center" vertical="center"/>
    </xf>
    <xf numFmtId="164" fontId="0" fillId="14" borderId="0" xfId="0" applyNumberFormat="1" applyFill="1"/>
    <xf numFmtId="164" fontId="0" fillId="0" borderId="0" xfId="0" applyNumberFormat="1"/>
    <xf numFmtId="0" fontId="0" fillId="16" borderId="0" xfId="0" applyFill="1"/>
    <xf numFmtId="44" fontId="0" fillId="6" borderId="1" xfId="3" applyFont="1" applyFill="1" applyBorder="1"/>
    <xf numFmtId="44" fontId="0" fillId="0" borderId="1" xfId="3" applyFont="1" applyBorder="1"/>
    <xf numFmtId="0" fontId="0" fillId="0" borderId="3" xfId="0" applyBorder="1"/>
    <xf numFmtId="0" fontId="0" fillId="17" borderId="3" xfId="0" applyFill="1" applyBorder="1"/>
    <xf numFmtId="0" fontId="0" fillId="4" borderId="0" xfId="0" applyFill="1" applyAlignment="1">
      <alignment horizontal="center"/>
    </xf>
  </cellXfs>
  <cellStyles count="4">
    <cellStyle name="20% - Accent1" xfId="2" builtinId="30"/>
    <cellStyle name="Accent1" xfId="1" builtinId="29"/>
    <cellStyle name="Currency" xfId="3" builtinId="4"/>
    <cellStyle name="Normal" xfId="0" builtinId="0"/>
  </cellStyles>
  <dxfs count="10">
    <dxf>
      <numFmt numFmtId="0" formatCode="General"/>
    </dxf>
    <dxf>
      <numFmt numFmtId="164" formatCode="0.0"/>
    </dxf>
    <dxf>
      <fill>
        <patternFill patternType="solid">
          <fgColor theme="9" tint="0.79998168889431442"/>
          <bgColor theme="9" tint="0.79998168889431442"/>
        </patternFill>
      </fill>
      <border diagonalUp="0" diagonalDown="0">
        <left/>
        <right style="thin">
          <color theme="9" tint="0.39997558519241921"/>
        </right>
        <top style="thin">
          <color theme="9" tint="0.39997558519241921"/>
        </top>
        <bottom style="thin">
          <color theme="9" tint="0.39997558519241921"/>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FF66"/>
      <color rgb="FF66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Duration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'Movie duration analysis'!$A$2:$A$3786</c:f>
              <c:numCache>
                <c:formatCode>General</c:formatCode>
                <c:ptCount val="3785"/>
                <c:pt idx="0">
                  <c:v>178</c:v>
                </c:pt>
                <c:pt idx="1">
                  <c:v>169</c:v>
                </c:pt>
                <c:pt idx="2">
                  <c:v>148</c:v>
                </c:pt>
                <c:pt idx="3">
                  <c:v>164</c:v>
                </c:pt>
                <c:pt idx="4">
                  <c:v>132</c:v>
                </c:pt>
                <c:pt idx="5">
                  <c:v>156</c:v>
                </c:pt>
                <c:pt idx="6">
                  <c:v>100</c:v>
                </c:pt>
                <c:pt idx="7">
                  <c:v>141</c:v>
                </c:pt>
                <c:pt idx="8">
                  <c:v>153</c:v>
                </c:pt>
                <c:pt idx="9">
                  <c:v>183</c:v>
                </c:pt>
                <c:pt idx="10">
                  <c:v>106</c:v>
                </c:pt>
                <c:pt idx="11">
                  <c:v>151</c:v>
                </c:pt>
                <c:pt idx="12">
                  <c:v>150</c:v>
                </c:pt>
                <c:pt idx="13">
                  <c:v>143</c:v>
                </c:pt>
                <c:pt idx="14">
                  <c:v>150</c:v>
                </c:pt>
                <c:pt idx="15">
                  <c:v>173</c:v>
                </c:pt>
                <c:pt idx="16">
                  <c:v>136</c:v>
                </c:pt>
                <c:pt idx="17">
                  <c:v>106</c:v>
                </c:pt>
                <c:pt idx="18">
                  <c:v>164</c:v>
                </c:pt>
                <c:pt idx="19">
                  <c:v>153</c:v>
                </c:pt>
                <c:pt idx="20">
                  <c:v>156</c:v>
                </c:pt>
                <c:pt idx="21">
                  <c:v>186</c:v>
                </c:pt>
                <c:pt idx="22">
                  <c:v>113</c:v>
                </c:pt>
                <c:pt idx="23">
                  <c:v>201</c:v>
                </c:pt>
                <c:pt idx="24">
                  <c:v>194</c:v>
                </c:pt>
                <c:pt idx="25">
                  <c:v>147</c:v>
                </c:pt>
                <c:pt idx="26">
                  <c:v>131</c:v>
                </c:pt>
                <c:pt idx="27">
                  <c:v>124</c:v>
                </c:pt>
                <c:pt idx="28">
                  <c:v>143</c:v>
                </c:pt>
                <c:pt idx="29">
                  <c:v>135</c:v>
                </c:pt>
                <c:pt idx="30">
                  <c:v>195</c:v>
                </c:pt>
                <c:pt idx="31">
                  <c:v>108</c:v>
                </c:pt>
                <c:pt idx="32">
                  <c:v>104</c:v>
                </c:pt>
                <c:pt idx="33">
                  <c:v>104</c:v>
                </c:pt>
                <c:pt idx="34">
                  <c:v>150</c:v>
                </c:pt>
                <c:pt idx="35">
                  <c:v>165</c:v>
                </c:pt>
                <c:pt idx="36">
                  <c:v>130</c:v>
                </c:pt>
                <c:pt idx="37">
                  <c:v>142</c:v>
                </c:pt>
                <c:pt idx="38">
                  <c:v>125</c:v>
                </c:pt>
                <c:pt idx="39">
                  <c:v>106</c:v>
                </c:pt>
                <c:pt idx="40">
                  <c:v>123</c:v>
                </c:pt>
                <c:pt idx="41">
                  <c:v>103</c:v>
                </c:pt>
                <c:pt idx="42">
                  <c:v>118</c:v>
                </c:pt>
                <c:pt idx="43">
                  <c:v>140</c:v>
                </c:pt>
                <c:pt idx="44">
                  <c:v>123</c:v>
                </c:pt>
                <c:pt idx="45">
                  <c:v>149</c:v>
                </c:pt>
                <c:pt idx="46">
                  <c:v>132</c:v>
                </c:pt>
                <c:pt idx="47">
                  <c:v>114</c:v>
                </c:pt>
                <c:pt idx="48">
                  <c:v>143</c:v>
                </c:pt>
                <c:pt idx="49">
                  <c:v>116</c:v>
                </c:pt>
                <c:pt idx="50">
                  <c:v>131</c:v>
                </c:pt>
                <c:pt idx="51">
                  <c:v>154</c:v>
                </c:pt>
                <c:pt idx="52">
                  <c:v>122</c:v>
                </c:pt>
                <c:pt idx="53">
                  <c:v>93</c:v>
                </c:pt>
                <c:pt idx="54">
                  <c:v>122</c:v>
                </c:pt>
                <c:pt idx="55">
                  <c:v>98</c:v>
                </c:pt>
                <c:pt idx="56">
                  <c:v>91</c:v>
                </c:pt>
                <c:pt idx="57">
                  <c:v>158</c:v>
                </c:pt>
                <c:pt idx="58">
                  <c:v>96</c:v>
                </c:pt>
                <c:pt idx="59">
                  <c:v>127</c:v>
                </c:pt>
                <c:pt idx="60">
                  <c:v>110</c:v>
                </c:pt>
                <c:pt idx="61">
                  <c:v>150</c:v>
                </c:pt>
                <c:pt idx="62">
                  <c:v>144</c:v>
                </c:pt>
                <c:pt idx="63">
                  <c:v>152</c:v>
                </c:pt>
                <c:pt idx="64">
                  <c:v>96</c:v>
                </c:pt>
                <c:pt idx="65">
                  <c:v>94</c:v>
                </c:pt>
                <c:pt idx="66">
                  <c:v>126</c:v>
                </c:pt>
                <c:pt idx="67">
                  <c:v>126</c:v>
                </c:pt>
                <c:pt idx="68">
                  <c:v>106</c:v>
                </c:pt>
                <c:pt idx="69">
                  <c:v>112</c:v>
                </c:pt>
                <c:pt idx="70">
                  <c:v>123</c:v>
                </c:pt>
                <c:pt idx="71">
                  <c:v>96</c:v>
                </c:pt>
                <c:pt idx="72">
                  <c:v>113</c:v>
                </c:pt>
                <c:pt idx="73">
                  <c:v>176</c:v>
                </c:pt>
                <c:pt idx="74">
                  <c:v>118</c:v>
                </c:pt>
                <c:pt idx="75">
                  <c:v>95</c:v>
                </c:pt>
                <c:pt idx="76">
                  <c:v>106</c:v>
                </c:pt>
                <c:pt idx="77">
                  <c:v>124</c:v>
                </c:pt>
                <c:pt idx="78">
                  <c:v>132</c:v>
                </c:pt>
                <c:pt idx="79">
                  <c:v>97</c:v>
                </c:pt>
                <c:pt idx="80">
                  <c:v>130</c:v>
                </c:pt>
                <c:pt idx="81">
                  <c:v>128</c:v>
                </c:pt>
                <c:pt idx="82">
                  <c:v>136</c:v>
                </c:pt>
                <c:pt idx="83">
                  <c:v>93</c:v>
                </c:pt>
                <c:pt idx="84">
                  <c:v>130</c:v>
                </c:pt>
                <c:pt idx="85">
                  <c:v>102</c:v>
                </c:pt>
                <c:pt idx="86">
                  <c:v>101</c:v>
                </c:pt>
                <c:pt idx="87">
                  <c:v>100</c:v>
                </c:pt>
                <c:pt idx="88">
                  <c:v>120</c:v>
                </c:pt>
                <c:pt idx="89">
                  <c:v>98</c:v>
                </c:pt>
                <c:pt idx="90">
                  <c:v>109</c:v>
                </c:pt>
                <c:pt idx="91">
                  <c:v>121</c:v>
                </c:pt>
                <c:pt idx="92">
                  <c:v>169</c:v>
                </c:pt>
                <c:pt idx="93">
                  <c:v>148</c:v>
                </c:pt>
                <c:pt idx="94">
                  <c:v>182</c:v>
                </c:pt>
                <c:pt idx="95">
                  <c:v>106</c:v>
                </c:pt>
                <c:pt idx="96">
                  <c:v>166</c:v>
                </c:pt>
                <c:pt idx="97">
                  <c:v>132</c:v>
                </c:pt>
                <c:pt idx="98">
                  <c:v>137</c:v>
                </c:pt>
                <c:pt idx="99">
                  <c:v>109</c:v>
                </c:pt>
                <c:pt idx="100">
                  <c:v>98</c:v>
                </c:pt>
                <c:pt idx="101">
                  <c:v>113</c:v>
                </c:pt>
                <c:pt idx="102">
                  <c:v>93</c:v>
                </c:pt>
                <c:pt idx="103">
                  <c:v>123</c:v>
                </c:pt>
                <c:pt idx="104">
                  <c:v>126</c:v>
                </c:pt>
                <c:pt idx="105">
                  <c:v>113</c:v>
                </c:pt>
                <c:pt idx="106">
                  <c:v>184</c:v>
                </c:pt>
                <c:pt idx="107">
                  <c:v>144</c:v>
                </c:pt>
                <c:pt idx="108">
                  <c:v>206</c:v>
                </c:pt>
                <c:pt idx="109">
                  <c:v>138</c:v>
                </c:pt>
                <c:pt idx="110">
                  <c:v>157</c:v>
                </c:pt>
                <c:pt idx="111">
                  <c:v>102</c:v>
                </c:pt>
                <c:pt idx="112">
                  <c:v>104</c:v>
                </c:pt>
                <c:pt idx="113">
                  <c:v>115</c:v>
                </c:pt>
                <c:pt idx="114">
                  <c:v>111</c:v>
                </c:pt>
                <c:pt idx="115">
                  <c:v>128</c:v>
                </c:pt>
                <c:pt idx="116">
                  <c:v>89</c:v>
                </c:pt>
                <c:pt idx="117">
                  <c:v>105</c:v>
                </c:pt>
                <c:pt idx="118">
                  <c:v>119</c:v>
                </c:pt>
                <c:pt idx="119">
                  <c:v>129</c:v>
                </c:pt>
                <c:pt idx="120">
                  <c:v>102</c:v>
                </c:pt>
                <c:pt idx="121">
                  <c:v>138</c:v>
                </c:pt>
                <c:pt idx="122">
                  <c:v>112</c:v>
                </c:pt>
                <c:pt idx="123">
                  <c:v>120</c:v>
                </c:pt>
                <c:pt idx="124">
                  <c:v>146</c:v>
                </c:pt>
                <c:pt idx="125">
                  <c:v>115</c:v>
                </c:pt>
                <c:pt idx="126">
                  <c:v>96</c:v>
                </c:pt>
                <c:pt idx="127">
                  <c:v>88</c:v>
                </c:pt>
                <c:pt idx="128">
                  <c:v>99</c:v>
                </c:pt>
                <c:pt idx="129">
                  <c:v>113</c:v>
                </c:pt>
                <c:pt idx="130">
                  <c:v>131</c:v>
                </c:pt>
                <c:pt idx="131">
                  <c:v>119</c:v>
                </c:pt>
                <c:pt idx="132">
                  <c:v>91</c:v>
                </c:pt>
                <c:pt idx="133">
                  <c:v>90</c:v>
                </c:pt>
                <c:pt idx="134">
                  <c:v>103</c:v>
                </c:pt>
                <c:pt idx="135">
                  <c:v>124</c:v>
                </c:pt>
                <c:pt idx="136">
                  <c:v>131</c:v>
                </c:pt>
                <c:pt idx="137">
                  <c:v>88</c:v>
                </c:pt>
                <c:pt idx="138">
                  <c:v>85</c:v>
                </c:pt>
                <c:pt idx="139">
                  <c:v>111</c:v>
                </c:pt>
                <c:pt idx="140">
                  <c:v>92</c:v>
                </c:pt>
                <c:pt idx="141">
                  <c:v>196</c:v>
                </c:pt>
                <c:pt idx="142">
                  <c:v>93</c:v>
                </c:pt>
                <c:pt idx="143">
                  <c:v>133</c:v>
                </c:pt>
                <c:pt idx="144">
                  <c:v>116</c:v>
                </c:pt>
                <c:pt idx="145">
                  <c:v>153</c:v>
                </c:pt>
                <c:pt idx="146">
                  <c:v>88</c:v>
                </c:pt>
                <c:pt idx="147">
                  <c:v>115</c:v>
                </c:pt>
                <c:pt idx="148">
                  <c:v>95</c:v>
                </c:pt>
                <c:pt idx="149">
                  <c:v>133</c:v>
                </c:pt>
                <c:pt idx="150">
                  <c:v>97</c:v>
                </c:pt>
                <c:pt idx="151">
                  <c:v>90</c:v>
                </c:pt>
                <c:pt idx="152">
                  <c:v>154</c:v>
                </c:pt>
                <c:pt idx="153">
                  <c:v>150</c:v>
                </c:pt>
                <c:pt idx="154">
                  <c:v>127</c:v>
                </c:pt>
                <c:pt idx="155">
                  <c:v>121</c:v>
                </c:pt>
                <c:pt idx="156">
                  <c:v>102</c:v>
                </c:pt>
                <c:pt idx="157">
                  <c:v>126</c:v>
                </c:pt>
                <c:pt idx="158">
                  <c:v>121</c:v>
                </c:pt>
                <c:pt idx="159">
                  <c:v>215</c:v>
                </c:pt>
                <c:pt idx="160">
                  <c:v>127</c:v>
                </c:pt>
                <c:pt idx="161">
                  <c:v>138</c:v>
                </c:pt>
                <c:pt idx="162">
                  <c:v>122</c:v>
                </c:pt>
                <c:pt idx="163">
                  <c:v>124</c:v>
                </c:pt>
                <c:pt idx="164">
                  <c:v>106</c:v>
                </c:pt>
                <c:pt idx="165">
                  <c:v>124</c:v>
                </c:pt>
                <c:pt idx="166">
                  <c:v>128</c:v>
                </c:pt>
                <c:pt idx="167">
                  <c:v>138</c:v>
                </c:pt>
                <c:pt idx="168">
                  <c:v>115</c:v>
                </c:pt>
                <c:pt idx="169">
                  <c:v>100</c:v>
                </c:pt>
                <c:pt idx="170">
                  <c:v>135</c:v>
                </c:pt>
                <c:pt idx="171">
                  <c:v>117</c:v>
                </c:pt>
                <c:pt idx="172">
                  <c:v>156</c:v>
                </c:pt>
                <c:pt idx="173">
                  <c:v>96</c:v>
                </c:pt>
                <c:pt idx="174">
                  <c:v>107</c:v>
                </c:pt>
                <c:pt idx="175">
                  <c:v>92</c:v>
                </c:pt>
                <c:pt idx="176">
                  <c:v>115</c:v>
                </c:pt>
                <c:pt idx="177">
                  <c:v>117</c:v>
                </c:pt>
                <c:pt idx="178">
                  <c:v>146</c:v>
                </c:pt>
                <c:pt idx="179">
                  <c:v>94</c:v>
                </c:pt>
                <c:pt idx="180">
                  <c:v>116</c:v>
                </c:pt>
                <c:pt idx="181">
                  <c:v>147</c:v>
                </c:pt>
                <c:pt idx="182">
                  <c:v>90</c:v>
                </c:pt>
                <c:pt idx="183">
                  <c:v>101</c:v>
                </c:pt>
                <c:pt idx="184">
                  <c:v>138</c:v>
                </c:pt>
                <c:pt idx="185">
                  <c:v>107</c:v>
                </c:pt>
                <c:pt idx="186">
                  <c:v>142</c:v>
                </c:pt>
                <c:pt idx="187">
                  <c:v>165</c:v>
                </c:pt>
                <c:pt idx="188">
                  <c:v>100</c:v>
                </c:pt>
                <c:pt idx="189">
                  <c:v>82</c:v>
                </c:pt>
                <c:pt idx="190">
                  <c:v>98</c:v>
                </c:pt>
                <c:pt idx="191">
                  <c:v>95</c:v>
                </c:pt>
                <c:pt idx="192">
                  <c:v>159</c:v>
                </c:pt>
                <c:pt idx="193">
                  <c:v>96</c:v>
                </c:pt>
                <c:pt idx="194">
                  <c:v>143</c:v>
                </c:pt>
                <c:pt idx="195">
                  <c:v>123</c:v>
                </c:pt>
                <c:pt idx="196">
                  <c:v>174</c:v>
                </c:pt>
                <c:pt idx="197">
                  <c:v>101</c:v>
                </c:pt>
                <c:pt idx="198">
                  <c:v>134</c:v>
                </c:pt>
                <c:pt idx="199">
                  <c:v>132</c:v>
                </c:pt>
                <c:pt idx="200">
                  <c:v>129</c:v>
                </c:pt>
                <c:pt idx="201">
                  <c:v>106</c:v>
                </c:pt>
                <c:pt idx="202">
                  <c:v>113</c:v>
                </c:pt>
                <c:pt idx="203">
                  <c:v>102</c:v>
                </c:pt>
                <c:pt idx="204">
                  <c:v>135</c:v>
                </c:pt>
                <c:pt idx="205">
                  <c:v>125</c:v>
                </c:pt>
                <c:pt idx="206">
                  <c:v>110</c:v>
                </c:pt>
                <c:pt idx="207">
                  <c:v>124</c:v>
                </c:pt>
                <c:pt idx="208">
                  <c:v>123</c:v>
                </c:pt>
                <c:pt idx="209">
                  <c:v>130</c:v>
                </c:pt>
                <c:pt idx="210">
                  <c:v>92</c:v>
                </c:pt>
                <c:pt idx="211">
                  <c:v>127</c:v>
                </c:pt>
                <c:pt idx="212">
                  <c:v>123</c:v>
                </c:pt>
                <c:pt idx="213">
                  <c:v>123</c:v>
                </c:pt>
                <c:pt idx="214">
                  <c:v>107</c:v>
                </c:pt>
                <c:pt idx="215">
                  <c:v>124</c:v>
                </c:pt>
                <c:pt idx="216">
                  <c:v>77</c:v>
                </c:pt>
                <c:pt idx="217">
                  <c:v>109</c:v>
                </c:pt>
                <c:pt idx="218">
                  <c:v>134</c:v>
                </c:pt>
                <c:pt idx="219">
                  <c:v>117</c:v>
                </c:pt>
                <c:pt idx="220">
                  <c:v>135</c:v>
                </c:pt>
                <c:pt idx="221">
                  <c:v>121</c:v>
                </c:pt>
                <c:pt idx="222">
                  <c:v>117</c:v>
                </c:pt>
                <c:pt idx="223">
                  <c:v>124</c:v>
                </c:pt>
                <c:pt idx="224">
                  <c:v>140</c:v>
                </c:pt>
                <c:pt idx="225">
                  <c:v>142</c:v>
                </c:pt>
                <c:pt idx="226">
                  <c:v>92</c:v>
                </c:pt>
                <c:pt idx="227">
                  <c:v>138</c:v>
                </c:pt>
                <c:pt idx="228">
                  <c:v>136</c:v>
                </c:pt>
                <c:pt idx="229">
                  <c:v>98</c:v>
                </c:pt>
                <c:pt idx="230">
                  <c:v>153</c:v>
                </c:pt>
                <c:pt idx="231">
                  <c:v>120</c:v>
                </c:pt>
                <c:pt idx="232">
                  <c:v>101</c:v>
                </c:pt>
                <c:pt idx="233">
                  <c:v>91</c:v>
                </c:pt>
                <c:pt idx="234">
                  <c:v>108</c:v>
                </c:pt>
                <c:pt idx="235">
                  <c:v>112</c:v>
                </c:pt>
                <c:pt idx="236">
                  <c:v>100</c:v>
                </c:pt>
                <c:pt idx="237">
                  <c:v>108</c:v>
                </c:pt>
                <c:pt idx="238">
                  <c:v>114</c:v>
                </c:pt>
                <c:pt idx="239">
                  <c:v>119</c:v>
                </c:pt>
                <c:pt idx="240">
                  <c:v>142</c:v>
                </c:pt>
                <c:pt idx="241">
                  <c:v>125</c:v>
                </c:pt>
                <c:pt idx="242">
                  <c:v>126</c:v>
                </c:pt>
                <c:pt idx="243">
                  <c:v>119</c:v>
                </c:pt>
                <c:pt idx="244">
                  <c:v>170</c:v>
                </c:pt>
                <c:pt idx="245">
                  <c:v>85</c:v>
                </c:pt>
                <c:pt idx="246">
                  <c:v>119</c:v>
                </c:pt>
                <c:pt idx="247">
                  <c:v>102</c:v>
                </c:pt>
                <c:pt idx="248">
                  <c:v>103</c:v>
                </c:pt>
                <c:pt idx="249">
                  <c:v>76</c:v>
                </c:pt>
                <c:pt idx="250">
                  <c:v>120</c:v>
                </c:pt>
                <c:pt idx="251">
                  <c:v>127</c:v>
                </c:pt>
                <c:pt idx="252">
                  <c:v>105</c:v>
                </c:pt>
                <c:pt idx="253">
                  <c:v>121</c:v>
                </c:pt>
                <c:pt idx="254">
                  <c:v>114</c:v>
                </c:pt>
                <c:pt idx="255">
                  <c:v>129</c:v>
                </c:pt>
                <c:pt idx="256">
                  <c:v>171</c:v>
                </c:pt>
                <c:pt idx="257">
                  <c:v>120</c:v>
                </c:pt>
                <c:pt idx="258">
                  <c:v>165</c:v>
                </c:pt>
                <c:pt idx="259">
                  <c:v>115</c:v>
                </c:pt>
                <c:pt idx="260">
                  <c:v>194</c:v>
                </c:pt>
                <c:pt idx="261">
                  <c:v>84</c:v>
                </c:pt>
                <c:pt idx="262">
                  <c:v>97</c:v>
                </c:pt>
                <c:pt idx="263">
                  <c:v>151</c:v>
                </c:pt>
                <c:pt idx="264">
                  <c:v>136</c:v>
                </c:pt>
                <c:pt idx="265">
                  <c:v>104</c:v>
                </c:pt>
                <c:pt idx="266">
                  <c:v>127</c:v>
                </c:pt>
                <c:pt idx="267">
                  <c:v>171</c:v>
                </c:pt>
                <c:pt idx="268">
                  <c:v>145</c:v>
                </c:pt>
                <c:pt idx="269">
                  <c:v>174</c:v>
                </c:pt>
                <c:pt idx="270">
                  <c:v>144</c:v>
                </c:pt>
                <c:pt idx="271">
                  <c:v>119</c:v>
                </c:pt>
                <c:pt idx="272">
                  <c:v>153</c:v>
                </c:pt>
                <c:pt idx="273">
                  <c:v>140</c:v>
                </c:pt>
                <c:pt idx="274">
                  <c:v>176</c:v>
                </c:pt>
                <c:pt idx="275">
                  <c:v>141</c:v>
                </c:pt>
                <c:pt idx="276">
                  <c:v>106</c:v>
                </c:pt>
                <c:pt idx="277">
                  <c:v>98</c:v>
                </c:pt>
                <c:pt idx="278">
                  <c:v>116</c:v>
                </c:pt>
                <c:pt idx="279">
                  <c:v>115</c:v>
                </c:pt>
                <c:pt idx="280">
                  <c:v>165</c:v>
                </c:pt>
                <c:pt idx="281">
                  <c:v>91</c:v>
                </c:pt>
                <c:pt idx="282">
                  <c:v>78</c:v>
                </c:pt>
                <c:pt idx="283">
                  <c:v>103</c:v>
                </c:pt>
                <c:pt idx="284">
                  <c:v>131</c:v>
                </c:pt>
                <c:pt idx="285">
                  <c:v>104</c:v>
                </c:pt>
                <c:pt idx="286">
                  <c:v>101</c:v>
                </c:pt>
                <c:pt idx="287">
                  <c:v>102</c:v>
                </c:pt>
                <c:pt idx="288">
                  <c:v>103</c:v>
                </c:pt>
                <c:pt idx="289">
                  <c:v>121</c:v>
                </c:pt>
                <c:pt idx="290">
                  <c:v>143</c:v>
                </c:pt>
                <c:pt idx="291">
                  <c:v>240</c:v>
                </c:pt>
                <c:pt idx="292">
                  <c:v>121</c:v>
                </c:pt>
                <c:pt idx="293">
                  <c:v>129</c:v>
                </c:pt>
                <c:pt idx="294">
                  <c:v>172</c:v>
                </c:pt>
                <c:pt idx="295">
                  <c:v>101</c:v>
                </c:pt>
                <c:pt idx="296">
                  <c:v>87</c:v>
                </c:pt>
                <c:pt idx="297">
                  <c:v>101</c:v>
                </c:pt>
                <c:pt idx="298">
                  <c:v>95</c:v>
                </c:pt>
                <c:pt idx="299">
                  <c:v>102</c:v>
                </c:pt>
                <c:pt idx="300">
                  <c:v>131</c:v>
                </c:pt>
                <c:pt idx="301">
                  <c:v>114</c:v>
                </c:pt>
                <c:pt idx="302">
                  <c:v>94</c:v>
                </c:pt>
                <c:pt idx="303">
                  <c:v>122</c:v>
                </c:pt>
                <c:pt idx="304">
                  <c:v>95</c:v>
                </c:pt>
                <c:pt idx="305">
                  <c:v>115</c:v>
                </c:pt>
                <c:pt idx="306">
                  <c:v>88</c:v>
                </c:pt>
                <c:pt idx="307">
                  <c:v>110</c:v>
                </c:pt>
                <c:pt idx="308">
                  <c:v>130</c:v>
                </c:pt>
                <c:pt idx="309">
                  <c:v>216</c:v>
                </c:pt>
                <c:pt idx="310">
                  <c:v>146</c:v>
                </c:pt>
                <c:pt idx="311">
                  <c:v>85</c:v>
                </c:pt>
                <c:pt idx="312">
                  <c:v>93</c:v>
                </c:pt>
                <c:pt idx="313">
                  <c:v>152</c:v>
                </c:pt>
                <c:pt idx="314">
                  <c:v>85</c:v>
                </c:pt>
                <c:pt idx="315">
                  <c:v>126</c:v>
                </c:pt>
                <c:pt idx="316">
                  <c:v>146</c:v>
                </c:pt>
                <c:pt idx="317">
                  <c:v>89</c:v>
                </c:pt>
                <c:pt idx="318">
                  <c:v>88</c:v>
                </c:pt>
                <c:pt idx="319">
                  <c:v>105</c:v>
                </c:pt>
                <c:pt idx="320">
                  <c:v>135</c:v>
                </c:pt>
                <c:pt idx="321">
                  <c:v>100</c:v>
                </c:pt>
                <c:pt idx="322">
                  <c:v>192</c:v>
                </c:pt>
                <c:pt idx="323">
                  <c:v>172</c:v>
                </c:pt>
                <c:pt idx="324">
                  <c:v>102</c:v>
                </c:pt>
                <c:pt idx="325">
                  <c:v>100</c:v>
                </c:pt>
                <c:pt idx="326">
                  <c:v>119</c:v>
                </c:pt>
                <c:pt idx="327">
                  <c:v>92</c:v>
                </c:pt>
                <c:pt idx="328">
                  <c:v>105</c:v>
                </c:pt>
                <c:pt idx="329">
                  <c:v>107</c:v>
                </c:pt>
                <c:pt idx="330">
                  <c:v>101</c:v>
                </c:pt>
                <c:pt idx="331">
                  <c:v>137</c:v>
                </c:pt>
                <c:pt idx="332">
                  <c:v>115</c:v>
                </c:pt>
                <c:pt idx="333">
                  <c:v>124</c:v>
                </c:pt>
                <c:pt idx="334">
                  <c:v>118</c:v>
                </c:pt>
                <c:pt idx="335">
                  <c:v>98</c:v>
                </c:pt>
                <c:pt idx="336">
                  <c:v>82</c:v>
                </c:pt>
                <c:pt idx="337">
                  <c:v>98</c:v>
                </c:pt>
                <c:pt idx="338">
                  <c:v>90</c:v>
                </c:pt>
                <c:pt idx="339">
                  <c:v>130</c:v>
                </c:pt>
                <c:pt idx="340">
                  <c:v>90</c:v>
                </c:pt>
                <c:pt idx="341">
                  <c:v>94</c:v>
                </c:pt>
                <c:pt idx="342">
                  <c:v>114</c:v>
                </c:pt>
                <c:pt idx="343">
                  <c:v>94</c:v>
                </c:pt>
                <c:pt idx="344">
                  <c:v>151</c:v>
                </c:pt>
                <c:pt idx="345">
                  <c:v>88</c:v>
                </c:pt>
                <c:pt idx="346">
                  <c:v>121</c:v>
                </c:pt>
                <c:pt idx="347">
                  <c:v>158</c:v>
                </c:pt>
                <c:pt idx="348">
                  <c:v>128</c:v>
                </c:pt>
                <c:pt idx="349">
                  <c:v>128</c:v>
                </c:pt>
                <c:pt idx="350">
                  <c:v>95</c:v>
                </c:pt>
                <c:pt idx="351">
                  <c:v>92</c:v>
                </c:pt>
                <c:pt idx="352">
                  <c:v>121</c:v>
                </c:pt>
                <c:pt idx="353">
                  <c:v>113</c:v>
                </c:pt>
                <c:pt idx="354">
                  <c:v>106</c:v>
                </c:pt>
                <c:pt idx="355">
                  <c:v>146</c:v>
                </c:pt>
                <c:pt idx="356">
                  <c:v>88</c:v>
                </c:pt>
                <c:pt idx="357">
                  <c:v>150</c:v>
                </c:pt>
                <c:pt idx="358">
                  <c:v>119</c:v>
                </c:pt>
                <c:pt idx="359">
                  <c:v>128</c:v>
                </c:pt>
                <c:pt idx="360">
                  <c:v>106</c:v>
                </c:pt>
                <c:pt idx="361">
                  <c:v>117</c:v>
                </c:pt>
                <c:pt idx="362">
                  <c:v>129</c:v>
                </c:pt>
                <c:pt idx="363">
                  <c:v>116</c:v>
                </c:pt>
                <c:pt idx="364">
                  <c:v>114</c:v>
                </c:pt>
                <c:pt idx="365">
                  <c:v>114</c:v>
                </c:pt>
                <c:pt idx="366">
                  <c:v>96</c:v>
                </c:pt>
                <c:pt idx="367">
                  <c:v>132</c:v>
                </c:pt>
                <c:pt idx="368">
                  <c:v>104</c:v>
                </c:pt>
                <c:pt idx="369">
                  <c:v>111</c:v>
                </c:pt>
                <c:pt idx="370">
                  <c:v>138</c:v>
                </c:pt>
                <c:pt idx="371">
                  <c:v>129</c:v>
                </c:pt>
                <c:pt idx="372">
                  <c:v>144</c:v>
                </c:pt>
                <c:pt idx="373">
                  <c:v>110</c:v>
                </c:pt>
                <c:pt idx="374">
                  <c:v>140</c:v>
                </c:pt>
                <c:pt idx="375">
                  <c:v>113</c:v>
                </c:pt>
                <c:pt idx="376">
                  <c:v>143</c:v>
                </c:pt>
                <c:pt idx="377">
                  <c:v>108</c:v>
                </c:pt>
                <c:pt idx="378">
                  <c:v>108</c:v>
                </c:pt>
                <c:pt idx="379">
                  <c:v>124</c:v>
                </c:pt>
                <c:pt idx="380">
                  <c:v>116</c:v>
                </c:pt>
                <c:pt idx="381">
                  <c:v>110</c:v>
                </c:pt>
                <c:pt idx="382">
                  <c:v>91</c:v>
                </c:pt>
                <c:pt idx="383">
                  <c:v>107</c:v>
                </c:pt>
                <c:pt idx="384">
                  <c:v>115</c:v>
                </c:pt>
                <c:pt idx="385">
                  <c:v>100</c:v>
                </c:pt>
                <c:pt idx="386">
                  <c:v>104</c:v>
                </c:pt>
                <c:pt idx="387">
                  <c:v>138</c:v>
                </c:pt>
                <c:pt idx="388">
                  <c:v>140</c:v>
                </c:pt>
                <c:pt idx="389">
                  <c:v>120</c:v>
                </c:pt>
                <c:pt idx="390">
                  <c:v>122</c:v>
                </c:pt>
                <c:pt idx="391">
                  <c:v>83</c:v>
                </c:pt>
                <c:pt idx="392">
                  <c:v>139</c:v>
                </c:pt>
                <c:pt idx="393">
                  <c:v>131</c:v>
                </c:pt>
                <c:pt idx="394">
                  <c:v>104</c:v>
                </c:pt>
                <c:pt idx="395">
                  <c:v>130</c:v>
                </c:pt>
                <c:pt idx="396">
                  <c:v>145</c:v>
                </c:pt>
                <c:pt idx="397">
                  <c:v>104</c:v>
                </c:pt>
                <c:pt idx="398">
                  <c:v>97</c:v>
                </c:pt>
                <c:pt idx="399">
                  <c:v>178</c:v>
                </c:pt>
                <c:pt idx="400">
                  <c:v>108</c:v>
                </c:pt>
                <c:pt idx="401">
                  <c:v>106</c:v>
                </c:pt>
                <c:pt idx="402">
                  <c:v>135</c:v>
                </c:pt>
                <c:pt idx="403">
                  <c:v>109</c:v>
                </c:pt>
                <c:pt idx="404">
                  <c:v>86</c:v>
                </c:pt>
                <c:pt idx="405">
                  <c:v>95</c:v>
                </c:pt>
                <c:pt idx="406">
                  <c:v>107</c:v>
                </c:pt>
                <c:pt idx="407">
                  <c:v>82</c:v>
                </c:pt>
                <c:pt idx="408">
                  <c:v>88</c:v>
                </c:pt>
                <c:pt idx="409">
                  <c:v>120</c:v>
                </c:pt>
                <c:pt idx="410">
                  <c:v>162</c:v>
                </c:pt>
                <c:pt idx="411">
                  <c:v>123</c:v>
                </c:pt>
                <c:pt idx="412">
                  <c:v>101</c:v>
                </c:pt>
                <c:pt idx="413">
                  <c:v>113</c:v>
                </c:pt>
                <c:pt idx="414">
                  <c:v>110</c:v>
                </c:pt>
                <c:pt idx="415">
                  <c:v>142</c:v>
                </c:pt>
                <c:pt idx="416">
                  <c:v>102</c:v>
                </c:pt>
                <c:pt idx="417">
                  <c:v>126</c:v>
                </c:pt>
                <c:pt idx="418">
                  <c:v>83</c:v>
                </c:pt>
                <c:pt idx="419">
                  <c:v>85</c:v>
                </c:pt>
                <c:pt idx="420">
                  <c:v>120</c:v>
                </c:pt>
                <c:pt idx="421">
                  <c:v>116</c:v>
                </c:pt>
                <c:pt idx="422">
                  <c:v>113</c:v>
                </c:pt>
                <c:pt idx="423">
                  <c:v>87</c:v>
                </c:pt>
                <c:pt idx="424">
                  <c:v>101</c:v>
                </c:pt>
                <c:pt idx="425">
                  <c:v>110</c:v>
                </c:pt>
                <c:pt idx="426">
                  <c:v>128</c:v>
                </c:pt>
                <c:pt idx="427">
                  <c:v>138</c:v>
                </c:pt>
                <c:pt idx="428">
                  <c:v>88</c:v>
                </c:pt>
                <c:pt idx="429">
                  <c:v>91</c:v>
                </c:pt>
                <c:pt idx="430">
                  <c:v>138</c:v>
                </c:pt>
                <c:pt idx="431">
                  <c:v>99</c:v>
                </c:pt>
                <c:pt idx="432">
                  <c:v>117</c:v>
                </c:pt>
                <c:pt idx="433">
                  <c:v>117</c:v>
                </c:pt>
                <c:pt idx="434">
                  <c:v>123</c:v>
                </c:pt>
                <c:pt idx="435">
                  <c:v>118</c:v>
                </c:pt>
                <c:pt idx="436">
                  <c:v>154</c:v>
                </c:pt>
                <c:pt idx="437">
                  <c:v>118</c:v>
                </c:pt>
                <c:pt idx="438">
                  <c:v>90</c:v>
                </c:pt>
                <c:pt idx="439">
                  <c:v>113</c:v>
                </c:pt>
                <c:pt idx="440">
                  <c:v>88</c:v>
                </c:pt>
                <c:pt idx="441">
                  <c:v>93</c:v>
                </c:pt>
                <c:pt idx="442">
                  <c:v>104</c:v>
                </c:pt>
                <c:pt idx="443">
                  <c:v>135</c:v>
                </c:pt>
                <c:pt idx="444">
                  <c:v>134</c:v>
                </c:pt>
                <c:pt idx="445">
                  <c:v>98</c:v>
                </c:pt>
                <c:pt idx="446">
                  <c:v>80</c:v>
                </c:pt>
                <c:pt idx="447">
                  <c:v>83</c:v>
                </c:pt>
                <c:pt idx="448">
                  <c:v>102</c:v>
                </c:pt>
                <c:pt idx="449">
                  <c:v>130</c:v>
                </c:pt>
                <c:pt idx="450">
                  <c:v>129</c:v>
                </c:pt>
                <c:pt idx="451">
                  <c:v>89</c:v>
                </c:pt>
                <c:pt idx="452">
                  <c:v>74</c:v>
                </c:pt>
                <c:pt idx="453">
                  <c:v>96</c:v>
                </c:pt>
                <c:pt idx="454">
                  <c:v>114</c:v>
                </c:pt>
                <c:pt idx="455">
                  <c:v>99</c:v>
                </c:pt>
                <c:pt idx="456">
                  <c:v>113</c:v>
                </c:pt>
                <c:pt idx="457">
                  <c:v>90</c:v>
                </c:pt>
                <c:pt idx="458">
                  <c:v>118</c:v>
                </c:pt>
                <c:pt idx="459">
                  <c:v>106</c:v>
                </c:pt>
                <c:pt idx="460">
                  <c:v>89</c:v>
                </c:pt>
                <c:pt idx="461">
                  <c:v>145</c:v>
                </c:pt>
                <c:pt idx="462">
                  <c:v>114</c:v>
                </c:pt>
                <c:pt idx="463">
                  <c:v>87</c:v>
                </c:pt>
                <c:pt idx="464">
                  <c:v>119</c:v>
                </c:pt>
                <c:pt idx="465">
                  <c:v>91</c:v>
                </c:pt>
                <c:pt idx="466">
                  <c:v>118</c:v>
                </c:pt>
                <c:pt idx="467">
                  <c:v>116</c:v>
                </c:pt>
                <c:pt idx="468">
                  <c:v>177</c:v>
                </c:pt>
                <c:pt idx="469">
                  <c:v>97</c:v>
                </c:pt>
                <c:pt idx="470">
                  <c:v>106</c:v>
                </c:pt>
                <c:pt idx="471">
                  <c:v>106</c:v>
                </c:pt>
                <c:pt idx="472">
                  <c:v>94</c:v>
                </c:pt>
                <c:pt idx="473">
                  <c:v>104</c:v>
                </c:pt>
                <c:pt idx="474">
                  <c:v>102</c:v>
                </c:pt>
                <c:pt idx="475">
                  <c:v>135</c:v>
                </c:pt>
                <c:pt idx="476">
                  <c:v>73</c:v>
                </c:pt>
                <c:pt idx="477">
                  <c:v>94</c:v>
                </c:pt>
                <c:pt idx="478">
                  <c:v>95</c:v>
                </c:pt>
                <c:pt idx="479">
                  <c:v>124</c:v>
                </c:pt>
                <c:pt idx="480">
                  <c:v>136</c:v>
                </c:pt>
                <c:pt idx="481">
                  <c:v>91</c:v>
                </c:pt>
                <c:pt idx="482">
                  <c:v>107</c:v>
                </c:pt>
                <c:pt idx="483">
                  <c:v>108</c:v>
                </c:pt>
                <c:pt idx="484">
                  <c:v>99</c:v>
                </c:pt>
                <c:pt idx="485">
                  <c:v>92</c:v>
                </c:pt>
                <c:pt idx="486">
                  <c:v>87</c:v>
                </c:pt>
                <c:pt idx="487">
                  <c:v>110</c:v>
                </c:pt>
                <c:pt idx="488">
                  <c:v>98</c:v>
                </c:pt>
                <c:pt idx="489">
                  <c:v>154</c:v>
                </c:pt>
                <c:pt idx="490">
                  <c:v>129</c:v>
                </c:pt>
                <c:pt idx="491">
                  <c:v>86</c:v>
                </c:pt>
                <c:pt idx="492">
                  <c:v>109</c:v>
                </c:pt>
                <c:pt idx="493">
                  <c:v>104</c:v>
                </c:pt>
                <c:pt idx="494">
                  <c:v>110</c:v>
                </c:pt>
                <c:pt idx="495">
                  <c:v>136</c:v>
                </c:pt>
                <c:pt idx="496">
                  <c:v>115</c:v>
                </c:pt>
                <c:pt idx="497">
                  <c:v>99</c:v>
                </c:pt>
                <c:pt idx="498">
                  <c:v>117</c:v>
                </c:pt>
                <c:pt idx="499">
                  <c:v>125</c:v>
                </c:pt>
                <c:pt idx="500">
                  <c:v>110</c:v>
                </c:pt>
                <c:pt idx="501">
                  <c:v>125</c:v>
                </c:pt>
                <c:pt idx="502">
                  <c:v>102</c:v>
                </c:pt>
                <c:pt idx="503">
                  <c:v>128</c:v>
                </c:pt>
                <c:pt idx="504">
                  <c:v>100</c:v>
                </c:pt>
                <c:pt idx="505">
                  <c:v>124</c:v>
                </c:pt>
                <c:pt idx="506">
                  <c:v>102</c:v>
                </c:pt>
                <c:pt idx="507">
                  <c:v>90</c:v>
                </c:pt>
                <c:pt idx="508">
                  <c:v>130</c:v>
                </c:pt>
                <c:pt idx="509">
                  <c:v>118</c:v>
                </c:pt>
                <c:pt idx="510">
                  <c:v>163</c:v>
                </c:pt>
                <c:pt idx="511">
                  <c:v>142</c:v>
                </c:pt>
                <c:pt idx="512">
                  <c:v>100</c:v>
                </c:pt>
                <c:pt idx="513">
                  <c:v>116</c:v>
                </c:pt>
                <c:pt idx="514">
                  <c:v>131</c:v>
                </c:pt>
                <c:pt idx="515">
                  <c:v>91</c:v>
                </c:pt>
                <c:pt idx="516">
                  <c:v>123</c:v>
                </c:pt>
                <c:pt idx="517">
                  <c:v>134</c:v>
                </c:pt>
                <c:pt idx="518">
                  <c:v>148</c:v>
                </c:pt>
                <c:pt idx="519">
                  <c:v>110</c:v>
                </c:pt>
                <c:pt idx="520">
                  <c:v>113</c:v>
                </c:pt>
                <c:pt idx="521">
                  <c:v>94</c:v>
                </c:pt>
                <c:pt idx="522">
                  <c:v>116</c:v>
                </c:pt>
                <c:pt idx="523">
                  <c:v>99</c:v>
                </c:pt>
                <c:pt idx="524">
                  <c:v>93</c:v>
                </c:pt>
                <c:pt idx="525">
                  <c:v>113</c:v>
                </c:pt>
                <c:pt idx="526">
                  <c:v>106</c:v>
                </c:pt>
                <c:pt idx="527">
                  <c:v>91</c:v>
                </c:pt>
                <c:pt idx="528">
                  <c:v>128</c:v>
                </c:pt>
                <c:pt idx="529">
                  <c:v>98</c:v>
                </c:pt>
                <c:pt idx="530">
                  <c:v>134</c:v>
                </c:pt>
                <c:pt idx="531">
                  <c:v>97</c:v>
                </c:pt>
                <c:pt idx="532">
                  <c:v>153</c:v>
                </c:pt>
                <c:pt idx="533">
                  <c:v>110</c:v>
                </c:pt>
                <c:pt idx="534">
                  <c:v>122</c:v>
                </c:pt>
                <c:pt idx="535">
                  <c:v>87</c:v>
                </c:pt>
                <c:pt idx="536">
                  <c:v>178</c:v>
                </c:pt>
                <c:pt idx="537">
                  <c:v>87</c:v>
                </c:pt>
                <c:pt idx="538">
                  <c:v>152</c:v>
                </c:pt>
                <c:pt idx="539">
                  <c:v>116</c:v>
                </c:pt>
                <c:pt idx="540">
                  <c:v>109</c:v>
                </c:pt>
                <c:pt idx="541">
                  <c:v>108</c:v>
                </c:pt>
                <c:pt idx="542">
                  <c:v>85</c:v>
                </c:pt>
                <c:pt idx="543">
                  <c:v>106</c:v>
                </c:pt>
                <c:pt idx="544">
                  <c:v>93</c:v>
                </c:pt>
                <c:pt idx="545">
                  <c:v>117</c:v>
                </c:pt>
                <c:pt idx="546">
                  <c:v>116</c:v>
                </c:pt>
                <c:pt idx="547">
                  <c:v>132</c:v>
                </c:pt>
                <c:pt idx="548">
                  <c:v>92</c:v>
                </c:pt>
                <c:pt idx="549">
                  <c:v>139</c:v>
                </c:pt>
                <c:pt idx="550">
                  <c:v>153</c:v>
                </c:pt>
                <c:pt idx="551">
                  <c:v>142</c:v>
                </c:pt>
                <c:pt idx="552">
                  <c:v>124</c:v>
                </c:pt>
                <c:pt idx="553">
                  <c:v>117</c:v>
                </c:pt>
                <c:pt idx="554">
                  <c:v>141</c:v>
                </c:pt>
                <c:pt idx="555">
                  <c:v>110</c:v>
                </c:pt>
                <c:pt idx="556">
                  <c:v>109</c:v>
                </c:pt>
                <c:pt idx="557">
                  <c:v>88</c:v>
                </c:pt>
                <c:pt idx="558">
                  <c:v>124</c:v>
                </c:pt>
                <c:pt idx="559">
                  <c:v>119</c:v>
                </c:pt>
                <c:pt idx="560">
                  <c:v>103</c:v>
                </c:pt>
                <c:pt idx="561">
                  <c:v>116</c:v>
                </c:pt>
                <c:pt idx="562">
                  <c:v>125</c:v>
                </c:pt>
                <c:pt idx="563">
                  <c:v>125</c:v>
                </c:pt>
                <c:pt idx="564">
                  <c:v>146</c:v>
                </c:pt>
                <c:pt idx="565">
                  <c:v>118</c:v>
                </c:pt>
                <c:pt idx="566">
                  <c:v>171</c:v>
                </c:pt>
                <c:pt idx="567">
                  <c:v>136</c:v>
                </c:pt>
                <c:pt idx="568">
                  <c:v>92</c:v>
                </c:pt>
                <c:pt idx="569">
                  <c:v>116</c:v>
                </c:pt>
                <c:pt idx="570">
                  <c:v>127</c:v>
                </c:pt>
                <c:pt idx="571">
                  <c:v>136</c:v>
                </c:pt>
                <c:pt idx="572">
                  <c:v>111</c:v>
                </c:pt>
                <c:pt idx="573">
                  <c:v>116</c:v>
                </c:pt>
                <c:pt idx="574">
                  <c:v>113</c:v>
                </c:pt>
                <c:pt idx="575">
                  <c:v>97</c:v>
                </c:pt>
                <c:pt idx="576">
                  <c:v>88</c:v>
                </c:pt>
                <c:pt idx="577">
                  <c:v>136</c:v>
                </c:pt>
                <c:pt idx="578">
                  <c:v>125</c:v>
                </c:pt>
                <c:pt idx="579">
                  <c:v>116</c:v>
                </c:pt>
                <c:pt idx="580">
                  <c:v>98</c:v>
                </c:pt>
                <c:pt idx="581">
                  <c:v>91</c:v>
                </c:pt>
                <c:pt idx="582">
                  <c:v>97</c:v>
                </c:pt>
                <c:pt idx="583">
                  <c:v>95</c:v>
                </c:pt>
                <c:pt idx="584">
                  <c:v>88</c:v>
                </c:pt>
                <c:pt idx="585">
                  <c:v>133</c:v>
                </c:pt>
                <c:pt idx="586">
                  <c:v>116</c:v>
                </c:pt>
                <c:pt idx="587">
                  <c:v>115</c:v>
                </c:pt>
                <c:pt idx="588">
                  <c:v>99</c:v>
                </c:pt>
                <c:pt idx="589">
                  <c:v>124</c:v>
                </c:pt>
                <c:pt idx="590">
                  <c:v>124</c:v>
                </c:pt>
                <c:pt idx="591">
                  <c:v>124</c:v>
                </c:pt>
                <c:pt idx="592">
                  <c:v>87</c:v>
                </c:pt>
                <c:pt idx="593">
                  <c:v>105</c:v>
                </c:pt>
                <c:pt idx="594">
                  <c:v>125</c:v>
                </c:pt>
                <c:pt idx="595">
                  <c:v>141</c:v>
                </c:pt>
                <c:pt idx="596">
                  <c:v>121</c:v>
                </c:pt>
                <c:pt idx="597">
                  <c:v>111</c:v>
                </c:pt>
                <c:pt idx="598">
                  <c:v>157</c:v>
                </c:pt>
                <c:pt idx="599">
                  <c:v>128</c:v>
                </c:pt>
                <c:pt idx="600">
                  <c:v>105</c:v>
                </c:pt>
                <c:pt idx="601">
                  <c:v>113</c:v>
                </c:pt>
                <c:pt idx="602">
                  <c:v>121</c:v>
                </c:pt>
                <c:pt idx="603">
                  <c:v>102</c:v>
                </c:pt>
                <c:pt idx="604">
                  <c:v>169</c:v>
                </c:pt>
                <c:pt idx="605">
                  <c:v>132</c:v>
                </c:pt>
                <c:pt idx="606">
                  <c:v>127</c:v>
                </c:pt>
                <c:pt idx="607">
                  <c:v>103</c:v>
                </c:pt>
                <c:pt idx="608">
                  <c:v>136</c:v>
                </c:pt>
                <c:pt idx="609">
                  <c:v>150</c:v>
                </c:pt>
                <c:pt idx="610">
                  <c:v>136</c:v>
                </c:pt>
                <c:pt idx="611">
                  <c:v>140</c:v>
                </c:pt>
                <c:pt idx="612">
                  <c:v>104</c:v>
                </c:pt>
                <c:pt idx="613">
                  <c:v>158</c:v>
                </c:pt>
                <c:pt idx="614">
                  <c:v>119</c:v>
                </c:pt>
                <c:pt idx="615">
                  <c:v>106</c:v>
                </c:pt>
                <c:pt idx="616">
                  <c:v>136</c:v>
                </c:pt>
                <c:pt idx="617">
                  <c:v>95</c:v>
                </c:pt>
                <c:pt idx="618">
                  <c:v>137</c:v>
                </c:pt>
                <c:pt idx="619">
                  <c:v>130</c:v>
                </c:pt>
                <c:pt idx="620">
                  <c:v>124</c:v>
                </c:pt>
                <c:pt idx="621">
                  <c:v>108</c:v>
                </c:pt>
                <c:pt idx="622">
                  <c:v>104</c:v>
                </c:pt>
                <c:pt idx="623">
                  <c:v>129</c:v>
                </c:pt>
                <c:pt idx="624">
                  <c:v>117</c:v>
                </c:pt>
                <c:pt idx="625">
                  <c:v>99</c:v>
                </c:pt>
                <c:pt idx="626">
                  <c:v>159</c:v>
                </c:pt>
                <c:pt idx="627">
                  <c:v>118</c:v>
                </c:pt>
                <c:pt idx="628">
                  <c:v>105</c:v>
                </c:pt>
                <c:pt idx="629">
                  <c:v>103</c:v>
                </c:pt>
                <c:pt idx="630">
                  <c:v>122</c:v>
                </c:pt>
                <c:pt idx="631">
                  <c:v>143</c:v>
                </c:pt>
                <c:pt idx="632">
                  <c:v>96</c:v>
                </c:pt>
                <c:pt idx="633">
                  <c:v>111</c:v>
                </c:pt>
                <c:pt idx="634">
                  <c:v>121</c:v>
                </c:pt>
                <c:pt idx="635">
                  <c:v>135</c:v>
                </c:pt>
                <c:pt idx="636">
                  <c:v>101</c:v>
                </c:pt>
                <c:pt idx="637">
                  <c:v>131</c:v>
                </c:pt>
                <c:pt idx="638">
                  <c:v>100</c:v>
                </c:pt>
                <c:pt idx="639">
                  <c:v>105</c:v>
                </c:pt>
                <c:pt idx="640">
                  <c:v>92</c:v>
                </c:pt>
                <c:pt idx="641">
                  <c:v>130</c:v>
                </c:pt>
                <c:pt idx="642">
                  <c:v>100</c:v>
                </c:pt>
                <c:pt idx="643">
                  <c:v>102</c:v>
                </c:pt>
                <c:pt idx="644">
                  <c:v>133</c:v>
                </c:pt>
                <c:pt idx="645">
                  <c:v>121</c:v>
                </c:pt>
                <c:pt idx="646">
                  <c:v>147</c:v>
                </c:pt>
                <c:pt idx="647">
                  <c:v>94</c:v>
                </c:pt>
                <c:pt idx="648">
                  <c:v>94</c:v>
                </c:pt>
                <c:pt idx="649">
                  <c:v>127</c:v>
                </c:pt>
                <c:pt idx="650">
                  <c:v>212</c:v>
                </c:pt>
                <c:pt idx="651">
                  <c:v>141</c:v>
                </c:pt>
                <c:pt idx="652">
                  <c:v>103</c:v>
                </c:pt>
                <c:pt idx="653">
                  <c:v>98</c:v>
                </c:pt>
                <c:pt idx="654">
                  <c:v>116</c:v>
                </c:pt>
                <c:pt idx="655">
                  <c:v>114</c:v>
                </c:pt>
                <c:pt idx="656">
                  <c:v>87</c:v>
                </c:pt>
                <c:pt idx="657">
                  <c:v>125</c:v>
                </c:pt>
                <c:pt idx="658">
                  <c:v>187</c:v>
                </c:pt>
                <c:pt idx="659">
                  <c:v>93</c:v>
                </c:pt>
                <c:pt idx="660">
                  <c:v>95</c:v>
                </c:pt>
                <c:pt idx="661">
                  <c:v>117</c:v>
                </c:pt>
                <c:pt idx="662">
                  <c:v>106</c:v>
                </c:pt>
                <c:pt idx="663">
                  <c:v>115</c:v>
                </c:pt>
                <c:pt idx="664">
                  <c:v>189</c:v>
                </c:pt>
                <c:pt idx="665">
                  <c:v>81</c:v>
                </c:pt>
                <c:pt idx="666">
                  <c:v>149</c:v>
                </c:pt>
                <c:pt idx="667">
                  <c:v>119</c:v>
                </c:pt>
                <c:pt idx="668">
                  <c:v>130</c:v>
                </c:pt>
                <c:pt idx="669">
                  <c:v>116</c:v>
                </c:pt>
                <c:pt idx="670">
                  <c:v>103</c:v>
                </c:pt>
                <c:pt idx="671">
                  <c:v>99</c:v>
                </c:pt>
                <c:pt idx="672">
                  <c:v>92</c:v>
                </c:pt>
                <c:pt idx="673">
                  <c:v>109</c:v>
                </c:pt>
                <c:pt idx="674">
                  <c:v>87</c:v>
                </c:pt>
                <c:pt idx="675">
                  <c:v>111</c:v>
                </c:pt>
                <c:pt idx="676">
                  <c:v>83</c:v>
                </c:pt>
                <c:pt idx="677">
                  <c:v>113</c:v>
                </c:pt>
                <c:pt idx="678">
                  <c:v>107</c:v>
                </c:pt>
                <c:pt idx="679">
                  <c:v>94</c:v>
                </c:pt>
                <c:pt idx="680">
                  <c:v>132</c:v>
                </c:pt>
                <c:pt idx="681">
                  <c:v>140</c:v>
                </c:pt>
                <c:pt idx="682">
                  <c:v>125</c:v>
                </c:pt>
                <c:pt idx="683">
                  <c:v>111</c:v>
                </c:pt>
                <c:pt idx="684">
                  <c:v>156</c:v>
                </c:pt>
                <c:pt idx="685">
                  <c:v>170</c:v>
                </c:pt>
                <c:pt idx="686">
                  <c:v>120</c:v>
                </c:pt>
                <c:pt idx="687">
                  <c:v>100</c:v>
                </c:pt>
                <c:pt idx="688">
                  <c:v>115</c:v>
                </c:pt>
                <c:pt idx="689">
                  <c:v>130</c:v>
                </c:pt>
                <c:pt idx="690">
                  <c:v>105</c:v>
                </c:pt>
                <c:pt idx="691">
                  <c:v>111</c:v>
                </c:pt>
                <c:pt idx="692">
                  <c:v>106</c:v>
                </c:pt>
                <c:pt idx="693">
                  <c:v>89</c:v>
                </c:pt>
                <c:pt idx="694">
                  <c:v>100</c:v>
                </c:pt>
                <c:pt idx="695">
                  <c:v>91</c:v>
                </c:pt>
                <c:pt idx="696">
                  <c:v>146</c:v>
                </c:pt>
                <c:pt idx="697">
                  <c:v>98</c:v>
                </c:pt>
                <c:pt idx="698">
                  <c:v>101</c:v>
                </c:pt>
                <c:pt idx="699">
                  <c:v>94</c:v>
                </c:pt>
                <c:pt idx="700">
                  <c:v>132</c:v>
                </c:pt>
                <c:pt idx="701">
                  <c:v>115</c:v>
                </c:pt>
                <c:pt idx="702">
                  <c:v>92</c:v>
                </c:pt>
                <c:pt idx="703">
                  <c:v>124</c:v>
                </c:pt>
                <c:pt idx="704">
                  <c:v>119</c:v>
                </c:pt>
                <c:pt idx="705">
                  <c:v>124</c:v>
                </c:pt>
                <c:pt idx="706">
                  <c:v>93</c:v>
                </c:pt>
                <c:pt idx="707">
                  <c:v>98</c:v>
                </c:pt>
                <c:pt idx="708">
                  <c:v>92</c:v>
                </c:pt>
                <c:pt idx="709">
                  <c:v>105</c:v>
                </c:pt>
                <c:pt idx="710">
                  <c:v>124</c:v>
                </c:pt>
                <c:pt idx="711">
                  <c:v>99</c:v>
                </c:pt>
                <c:pt idx="712">
                  <c:v>116</c:v>
                </c:pt>
                <c:pt idx="713">
                  <c:v>124</c:v>
                </c:pt>
                <c:pt idx="714">
                  <c:v>96</c:v>
                </c:pt>
                <c:pt idx="715">
                  <c:v>104</c:v>
                </c:pt>
                <c:pt idx="716">
                  <c:v>100</c:v>
                </c:pt>
                <c:pt idx="717">
                  <c:v>115</c:v>
                </c:pt>
                <c:pt idx="718">
                  <c:v>101</c:v>
                </c:pt>
                <c:pt idx="719">
                  <c:v>113</c:v>
                </c:pt>
                <c:pt idx="720">
                  <c:v>100</c:v>
                </c:pt>
                <c:pt idx="721">
                  <c:v>134</c:v>
                </c:pt>
                <c:pt idx="722">
                  <c:v>125</c:v>
                </c:pt>
                <c:pt idx="723">
                  <c:v>94</c:v>
                </c:pt>
                <c:pt idx="724">
                  <c:v>107</c:v>
                </c:pt>
                <c:pt idx="725">
                  <c:v>91</c:v>
                </c:pt>
                <c:pt idx="726">
                  <c:v>116</c:v>
                </c:pt>
                <c:pt idx="727">
                  <c:v>100</c:v>
                </c:pt>
                <c:pt idx="728">
                  <c:v>117</c:v>
                </c:pt>
                <c:pt idx="729">
                  <c:v>110</c:v>
                </c:pt>
                <c:pt idx="730">
                  <c:v>96</c:v>
                </c:pt>
                <c:pt idx="731">
                  <c:v>101</c:v>
                </c:pt>
                <c:pt idx="732">
                  <c:v>111</c:v>
                </c:pt>
                <c:pt idx="733">
                  <c:v>117</c:v>
                </c:pt>
                <c:pt idx="734">
                  <c:v>126</c:v>
                </c:pt>
                <c:pt idx="735">
                  <c:v>152</c:v>
                </c:pt>
                <c:pt idx="736">
                  <c:v>101</c:v>
                </c:pt>
                <c:pt idx="737">
                  <c:v>87</c:v>
                </c:pt>
                <c:pt idx="738">
                  <c:v>85</c:v>
                </c:pt>
                <c:pt idx="739">
                  <c:v>130</c:v>
                </c:pt>
                <c:pt idx="740">
                  <c:v>104</c:v>
                </c:pt>
                <c:pt idx="741">
                  <c:v>121</c:v>
                </c:pt>
                <c:pt idx="742">
                  <c:v>140</c:v>
                </c:pt>
                <c:pt idx="743">
                  <c:v>131</c:v>
                </c:pt>
                <c:pt idx="744">
                  <c:v>91</c:v>
                </c:pt>
                <c:pt idx="745">
                  <c:v>118</c:v>
                </c:pt>
                <c:pt idx="746">
                  <c:v>130</c:v>
                </c:pt>
                <c:pt idx="747">
                  <c:v>103</c:v>
                </c:pt>
                <c:pt idx="748">
                  <c:v>122</c:v>
                </c:pt>
                <c:pt idx="749">
                  <c:v>106</c:v>
                </c:pt>
                <c:pt idx="750">
                  <c:v>103</c:v>
                </c:pt>
                <c:pt idx="751">
                  <c:v>107</c:v>
                </c:pt>
                <c:pt idx="752">
                  <c:v>156</c:v>
                </c:pt>
                <c:pt idx="753">
                  <c:v>127</c:v>
                </c:pt>
                <c:pt idx="754">
                  <c:v>132</c:v>
                </c:pt>
                <c:pt idx="755">
                  <c:v>108</c:v>
                </c:pt>
                <c:pt idx="756">
                  <c:v>114</c:v>
                </c:pt>
                <c:pt idx="757">
                  <c:v>133</c:v>
                </c:pt>
                <c:pt idx="758">
                  <c:v>103</c:v>
                </c:pt>
                <c:pt idx="759">
                  <c:v>95</c:v>
                </c:pt>
                <c:pt idx="760">
                  <c:v>90</c:v>
                </c:pt>
                <c:pt idx="761">
                  <c:v>87</c:v>
                </c:pt>
                <c:pt idx="762">
                  <c:v>114</c:v>
                </c:pt>
                <c:pt idx="763">
                  <c:v>103</c:v>
                </c:pt>
                <c:pt idx="764">
                  <c:v>125</c:v>
                </c:pt>
                <c:pt idx="765">
                  <c:v>97</c:v>
                </c:pt>
                <c:pt idx="766">
                  <c:v>125</c:v>
                </c:pt>
                <c:pt idx="767">
                  <c:v>136</c:v>
                </c:pt>
                <c:pt idx="768">
                  <c:v>116</c:v>
                </c:pt>
                <c:pt idx="769">
                  <c:v>103</c:v>
                </c:pt>
                <c:pt idx="770">
                  <c:v>97</c:v>
                </c:pt>
                <c:pt idx="771">
                  <c:v>96</c:v>
                </c:pt>
                <c:pt idx="772">
                  <c:v>131</c:v>
                </c:pt>
                <c:pt idx="773">
                  <c:v>95</c:v>
                </c:pt>
                <c:pt idx="774">
                  <c:v>86</c:v>
                </c:pt>
                <c:pt idx="775">
                  <c:v>142</c:v>
                </c:pt>
                <c:pt idx="776">
                  <c:v>92</c:v>
                </c:pt>
                <c:pt idx="777">
                  <c:v>108</c:v>
                </c:pt>
                <c:pt idx="778">
                  <c:v>84</c:v>
                </c:pt>
                <c:pt idx="779">
                  <c:v>188</c:v>
                </c:pt>
                <c:pt idx="780">
                  <c:v>95</c:v>
                </c:pt>
                <c:pt idx="781">
                  <c:v>118</c:v>
                </c:pt>
                <c:pt idx="782">
                  <c:v>92</c:v>
                </c:pt>
                <c:pt idx="783">
                  <c:v>74</c:v>
                </c:pt>
                <c:pt idx="784">
                  <c:v>134</c:v>
                </c:pt>
                <c:pt idx="785">
                  <c:v>101</c:v>
                </c:pt>
                <c:pt idx="786">
                  <c:v>100</c:v>
                </c:pt>
                <c:pt idx="787">
                  <c:v>132</c:v>
                </c:pt>
                <c:pt idx="788">
                  <c:v>105</c:v>
                </c:pt>
                <c:pt idx="789">
                  <c:v>123</c:v>
                </c:pt>
                <c:pt idx="790">
                  <c:v>117</c:v>
                </c:pt>
                <c:pt idx="791">
                  <c:v>98</c:v>
                </c:pt>
                <c:pt idx="792">
                  <c:v>128</c:v>
                </c:pt>
                <c:pt idx="793">
                  <c:v>114</c:v>
                </c:pt>
                <c:pt idx="794">
                  <c:v>111</c:v>
                </c:pt>
                <c:pt idx="795">
                  <c:v>85</c:v>
                </c:pt>
                <c:pt idx="796">
                  <c:v>137</c:v>
                </c:pt>
                <c:pt idx="797">
                  <c:v>97</c:v>
                </c:pt>
                <c:pt idx="798">
                  <c:v>104</c:v>
                </c:pt>
                <c:pt idx="799">
                  <c:v>110</c:v>
                </c:pt>
                <c:pt idx="800">
                  <c:v>133</c:v>
                </c:pt>
                <c:pt idx="801">
                  <c:v>94</c:v>
                </c:pt>
                <c:pt idx="802">
                  <c:v>104</c:v>
                </c:pt>
                <c:pt idx="803">
                  <c:v>91</c:v>
                </c:pt>
                <c:pt idx="804">
                  <c:v>145</c:v>
                </c:pt>
                <c:pt idx="805">
                  <c:v>122</c:v>
                </c:pt>
                <c:pt idx="806">
                  <c:v>110</c:v>
                </c:pt>
                <c:pt idx="807">
                  <c:v>95</c:v>
                </c:pt>
                <c:pt idx="808">
                  <c:v>102</c:v>
                </c:pt>
                <c:pt idx="809">
                  <c:v>94</c:v>
                </c:pt>
                <c:pt idx="810">
                  <c:v>126</c:v>
                </c:pt>
                <c:pt idx="811">
                  <c:v>118</c:v>
                </c:pt>
                <c:pt idx="812">
                  <c:v>99</c:v>
                </c:pt>
                <c:pt idx="813">
                  <c:v>88</c:v>
                </c:pt>
                <c:pt idx="814">
                  <c:v>107</c:v>
                </c:pt>
                <c:pt idx="815">
                  <c:v>116</c:v>
                </c:pt>
                <c:pt idx="816">
                  <c:v>143</c:v>
                </c:pt>
                <c:pt idx="817">
                  <c:v>114</c:v>
                </c:pt>
                <c:pt idx="818">
                  <c:v>93</c:v>
                </c:pt>
                <c:pt idx="819">
                  <c:v>280</c:v>
                </c:pt>
                <c:pt idx="820">
                  <c:v>107</c:v>
                </c:pt>
                <c:pt idx="821">
                  <c:v>119</c:v>
                </c:pt>
                <c:pt idx="822">
                  <c:v>95</c:v>
                </c:pt>
                <c:pt idx="823">
                  <c:v>119</c:v>
                </c:pt>
                <c:pt idx="824">
                  <c:v>133</c:v>
                </c:pt>
                <c:pt idx="825">
                  <c:v>117</c:v>
                </c:pt>
                <c:pt idx="826">
                  <c:v>123</c:v>
                </c:pt>
                <c:pt idx="827">
                  <c:v>92</c:v>
                </c:pt>
                <c:pt idx="828">
                  <c:v>170</c:v>
                </c:pt>
                <c:pt idx="829">
                  <c:v>123</c:v>
                </c:pt>
                <c:pt idx="830">
                  <c:v>110</c:v>
                </c:pt>
                <c:pt idx="831">
                  <c:v>116</c:v>
                </c:pt>
                <c:pt idx="832">
                  <c:v>121</c:v>
                </c:pt>
                <c:pt idx="833">
                  <c:v>128</c:v>
                </c:pt>
                <c:pt idx="834">
                  <c:v>99</c:v>
                </c:pt>
                <c:pt idx="835">
                  <c:v>94</c:v>
                </c:pt>
                <c:pt idx="836">
                  <c:v>127</c:v>
                </c:pt>
                <c:pt idx="837">
                  <c:v>89</c:v>
                </c:pt>
                <c:pt idx="838">
                  <c:v>123</c:v>
                </c:pt>
                <c:pt idx="839">
                  <c:v>135</c:v>
                </c:pt>
                <c:pt idx="840">
                  <c:v>118</c:v>
                </c:pt>
                <c:pt idx="841">
                  <c:v>189</c:v>
                </c:pt>
                <c:pt idx="842">
                  <c:v>172</c:v>
                </c:pt>
                <c:pt idx="843">
                  <c:v>141</c:v>
                </c:pt>
                <c:pt idx="844">
                  <c:v>157</c:v>
                </c:pt>
                <c:pt idx="845">
                  <c:v>106</c:v>
                </c:pt>
                <c:pt idx="846">
                  <c:v>108</c:v>
                </c:pt>
                <c:pt idx="847">
                  <c:v>125</c:v>
                </c:pt>
                <c:pt idx="848">
                  <c:v>107</c:v>
                </c:pt>
                <c:pt idx="849">
                  <c:v>215</c:v>
                </c:pt>
                <c:pt idx="850">
                  <c:v>118</c:v>
                </c:pt>
                <c:pt idx="851">
                  <c:v>118</c:v>
                </c:pt>
                <c:pt idx="852">
                  <c:v>178</c:v>
                </c:pt>
                <c:pt idx="853">
                  <c:v>92</c:v>
                </c:pt>
                <c:pt idx="854">
                  <c:v>104</c:v>
                </c:pt>
                <c:pt idx="855">
                  <c:v>116</c:v>
                </c:pt>
                <c:pt idx="856">
                  <c:v>90</c:v>
                </c:pt>
                <c:pt idx="857">
                  <c:v>130</c:v>
                </c:pt>
                <c:pt idx="858">
                  <c:v>90</c:v>
                </c:pt>
                <c:pt idx="859">
                  <c:v>106</c:v>
                </c:pt>
                <c:pt idx="860">
                  <c:v>155</c:v>
                </c:pt>
                <c:pt idx="861">
                  <c:v>139</c:v>
                </c:pt>
                <c:pt idx="862">
                  <c:v>112</c:v>
                </c:pt>
                <c:pt idx="863">
                  <c:v>139</c:v>
                </c:pt>
                <c:pt idx="864">
                  <c:v>115</c:v>
                </c:pt>
                <c:pt idx="865">
                  <c:v>143</c:v>
                </c:pt>
                <c:pt idx="866">
                  <c:v>96</c:v>
                </c:pt>
                <c:pt idx="867">
                  <c:v>112</c:v>
                </c:pt>
                <c:pt idx="868">
                  <c:v>131</c:v>
                </c:pt>
                <c:pt idx="869">
                  <c:v>116</c:v>
                </c:pt>
                <c:pt idx="870">
                  <c:v>112</c:v>
                </c:pt>
                <c:pt idx="871">
                  <c:v>123</c:v>
                </c:pt>
                <c:pt idx="872">
                  <c:v>104</c:v>
                </c:pt>
                <c:pt idx="873">
                  <c:v>107</c:v>
                </c:pt>
                <c:pt idx="874">
                  <c:v>124</c:v>
                </c:pt>
                <c:pt idx="875">
                  <c:v>96</c:v>
                </c:pt>
                <c:pt idx="876">
                  <c:v>125</c:v>
                </c:pt>
                <c:pt idx="877">
                  <c:v>129</c:v>
                </c:pt>
                <c:pt idx="878">
                  <c:v>90</c:v>
                </c:pt>
                <c:pt idx="879">
                  <c:v>109</c:v>
                </c:pt>
                <c:pt idx="880">
                  <c:v>121</c:v>
                </c:pt>
                <c:pt idx="881">
                  <c:v>95</c:v>
                </c:pt>
                <c:pt idx="882">
                  <c:v>118</c:v>
                </c:pt>
                <c:pt idx="883">
                  <c:v>80</c:v>
                </c:pt>
                <c:pt idx="884">
                  <c:v>99</c:v>
                </c:pt>
                <c:pt idx="885">
                  <c:v>133</c:v>
                </c:pt>
                <c:pt idx="886">
                  <c:v>127</c:v>
                </c:pt>
                <c:pt idx="887">
                  <c:v>106</c:v>
                </c:pt>
                <c:pt idx="888">
                  <c:v>98</c:v>
                </c:pt>
                <c:pt idx="889">
                  <c:v>132</c:v>
                </c:pt>
                <c:pt idx="890">
                  <c:v>114</c:v>
                </c:pt>
                <c:pt idx="891">
                  <c:v>78</c:v>
                </c:pt>
                <c:pt idx="892">
                  <c:v>101</c:v>
                </c:pt>
                <c:pt idx="893">
                  <c:v>113</c:v>
                </c:pt>
                <c:pt idx="894">
                  <c:v>98</c:v>
                </c:pt>
                <c:pt idx="895">
                  <c:v>124</c:v>
                </c:pt>
                <c:pt idx="896">
                  <c:v>109</c:v>
                </c:pt>
                <c:pt idx="897">
                  <c:v>128</c:v>
                </c:pt>
                <c:pt idx="898">
                  <c:v>144</c:v>
                </c:pt>
                <c:pt idx="899">
                  <c:v>95</c:v>
                </c:pt>
                <c:pt idx="900">
                  <c:v>105</c:v>
                </c:pt>
                <c:pt idx="901">
                  <c:v>121</c:v>
                </c:pt>
                <c:pt idx="902">
                  <c:v>125</c:v>
                </c:pt>
                <c:pt idx="903">
                  <c:v>129</c:v>
                </c:pt>
                <c:pt idx="904">
                  <c:v>132</c:v>
                </c:pt>
                <c:pt idx="905">
                  <c:v>118</c:v>
                </c:pt>
                <c:pt idx="906">
                  <c:v>113</c:v>
                </c:pt>
                <c:pt idx="907">
                  <c:v>140</c:v>
                </c:pt>
                <c:pt idx="908">
                  <c:v>89</c:v>
                </c:pt>
                <c:pt idx="909">
                  <c:v>104</c:v>
                </c:pt>
                <c:pt idx="910">
                  <c:v>106</c:v>
                </c:pt>
                <c:pt idx="911">
                  <c:v>141</c:v>
                </c:pt>
                <c:pt idx="912">
                  <c:v>124</c:v>
                </c:pt>
                <c:pt idx="913">
                  <c:v>98</c:v>
                </c:pt>
                <c:pt idx="914">
                  <c:v>108</c:v>
                </c:pt>
                <c:pt idx="915">
                  <c:v>114</c:v>
                </c:pt>
                <c:pt idx="916">
                  <c:v>101</c:v>
                </c:pt>
                <c:pt idx="917">
                  <c:v>93</c:v>
                </c:pt>
                <c:pt idx="918">
                  <c:v>119</c:v>
                </c:pt>
                <c:pt idx="919">
                  <c:v>119</c:v>
                </c:pt>
                <c:pt idx="920">
                  <c:v>99</c:v>
                </c:pt>
                <c:pt idx="921">
                  <c:v>137</c:v>
                </c:pt>
                <c:pt idx="922">
                  <c:v>117</c:v>
                </c:pt>
                <c:pt idx="923">
                  <c:v>87</c:v>
                </c:pt>
                <c:pt idx="924">
                  <c:v>129</c:v>
                </c:pt>
                <c:pt idx="925">
                  <c:v>115</c:v>
                </c:pt>
                <c:pt idx="926">
                  <c:v>132</c:v>
                </c:pt>
                <c:pt idx="927">
                  <c:v>131</c:v>
                </c:pt>
                <c:pt idx="928">
                  <c:v>95</c:v>
                </c:pt>
                <c:pt idx="929">
                  <c:v>125</c:v>
                </c:pt>
                <c:pt idx="930">
                  <c:v>98</c:v>
                </c:pt>
                <c:pt idx="931">
                  <c:v>110</c:v>
                </c:pt>
                <c:pt idx="932">
                  <c:v>118</c:v>
                </c:pt>
                <c:pt idx="933">
                  <c:v>101</c:v>
                </c:pt>
                <c:pt idx="934">
                  <c:v>90</c:v>
                </c:pt>
                <c:pt idx="935">
                  <c:v>119</c:v>
                </c:pt>
                <c:pt idx="936">
                  <c:v>139</c:v>
                </c:pt>
                <c:pt idx="937">
                  <c:v>130</c:v>
                </c:pt>
                <c:pt idx="938">
                  <c:v>100</c:v>
                </c:pt>
                <c:pt idx="939">
                  <c:v>114</c:v>
                </c:pt>
                <c:pt idx="940">
                  <c:v>96</c:v>
                </c:pt>
                <c:pt idx="941">
                  <c:v>110</c:v>
                </c:pt>
                <c:pt idx="942">
                  <c:v>158</c:v>
                </c:pt>
                <c:pt idx="943">
                  <c:v>102</c:v>
                </c:pt>
                <c:pt idx="944">
                  <c:v>84</c:v>
                </c:pt>
                <c:pt idx="945">
                  <c:v>115</c:v>
                </c:pt>
                <c:pt idx="946">
                  <c:v>99</c:v>
                </c:pt>
                <c:pt idx="947">
                  <c:v>108</c:v>
                </c:pt>
                <c:pt idx="948">
                  <c:v>127</c:v>
                </c:pt>
                <c:pt idx="949">
                  <c:v>107</c:v>
                </c:pt>
                <c:pt idx="950">
                  <c:v>95</c:v>
                </c:pt>
                <c:pt idx="951">
                  <c:v>124</c:v>
                </c:pt>
                <c:pt idx="952">
                  <c:v>109</c:v>
                </c:pt>
                <c:pt idx="953">
                  <c:v>102</c:v>
                </c:pt>
                <c:pt idx="954">
                  <c:v>88</c:v>
                </c:pt>
                <c:pt idx="955">
                  <c:v>87</c:v>
                </c:pt>
                <c:pt idx="956">
                  <c:v>104</c:v>
                </c:pt>
                <c:pt idx="957">
                  <c:v>96</c:v>
                </c:pt>
                <c:pt idx="958">
                  <c:v>85</c:v>
                </c:pt>
                <c:pt idx="959">
                  <c:v>104</c:v>
                </c:pt>
                <c:pt idx="960">
                  <c:v>190</c:v>
                </c:pt>
                <c:pt idx="961">
                  <c:v>127</c:v>
                </c:pt>
                <c:pt idx="962">
                  <c:v>120</c:v>
                </c:pt>
                <c:pt idx="963">
                  <c:v>118</c:v>
                </c:pt>
                <c:pt idx="964">
                  <c:v>112</c:v>
                </c:pt>
                <c:pt idx="965">
                  <c:v>114</c:v>
                </c:pt>
                <c:pt idx="966">
                  <c:v>137</c:v>
                </c:pt>
                <c:pt idx="967">
                  <c:v>112</c:v>
                </c:pt>
                <c:pt idx="968">
                  <c:v>120</c:v>
                </c:pt>
                <c:pt idx="969">
                  <c:v>123</c:v>
                </c:pt>
                <c:pt idx="970">
                  <c:v>93</c:v>
                </c:pt>
                <c:pt idx="971">
                  <c:v>123</c:v>
                </c:pt>
                <c:pt idx="972">
                  <c:v>122</c:v>
                </c:pt>
                <c:pt idx="973">
                  <c:v>115</c:v>
                </c:pt>
                <c:pt idx="974">
                  <c:v>123</c:v>
                </c:pt>
                <c:pt idx="975">
                  <c:v>96</c:v>
                </c:pt>
                <c:pt idx="976">
                  <c:v>105</c:v>
                </c:pt>
                <c:pt idx="977">
                  <c:v>113</c:v>
                </c:pt>
                <c:pt idx="978">
                  <c:v>75</c:v>
                </c:pt>
                <c:pt idx="979">
                  <c:v>108</c:v>
                </c:pt>
                <c:pt idx="980">
                  <c:v>105</c:v>
                </c:pt>
                <c:pt idx="981">
                  <c:v>102</c:v>
                </c:pt>
                <c:pt idx="982">
                  <c:v>118</c:v>
                </c:pt>
                <c:pt idx="983">
                  <c:v>111</c:v>
                </c:pt>
                <c:pt idx="984">
                  <c:v>81</c:v>
                </c:pt>
                <c:pt idx="985">
                  <c:v>116</c:v>
                </c:pt>
                <c:pt idx="986">
                  <c:v>86</c:v>
                </c:pt>
                <c:pt idx="987">
                  <c:v>127</c:v>
                </c:pt>
                <c:pt idx="988">
                  <c:v>91</c:v>
                </c:pt>
                <c:pt idx="989">
                  <c:v>98</c:v>
                </c:pt>
                <c:pt idx="990">
                  <c:v>109</c:v>
                </c:pt>
                <c:pt idx="991">
                  <c:v>93</c:v>
                </c:pt>
                <c:pt idx="992">
                  <c:v>113</c:v>
                </c:pt>
                <c:pt idx="993">
                  <c:v>141</c:v>
                </c:pt>
                <c:pt idx="994">
                  <c:v>119</c:v>
                </c:pt>
                <c:pt idx="995">
                  <c:v>97</c:v>
                </c:pt>
                <c:pt idx="996">
                  <c:v>117</c:v>
                </c:pt>
                <c:pt idx="997">
                  <c:v>101</c:v>
                </c:pt>
                <c:pt idx="998">
                  <c:v>153</c:v>
                </c:pt>
                <c:pt idx="999">
                  <c:v>122</c:v>
                </c:pt>
                <c:pt idx="1000">
                  <c:v>102</c:v>
                </c:pt>
                <c:pt idx="1001">
                  <c:v>83</c:v>
                </c:pt>
                <c:pt idx="1002">
                  <c:v>103</c:v>
                </c:pt>
                <c:pt idx="1003">
                  <c:v>110</c:v>
                </c:pt>
                <c:pt idx="1004">
                  <c:v>136</c:v>
                </c:pt>
                <c:pt idx="1005">
                  <c:v>89</c:v>
                </c:pt>
                <c:pt idx="1006">
                  <c:v>107</c:v>
                </c:pt>
                <c:pt idx="1007">
                  <c:v>129</c:v>
                </c:pt>
                <c:pt idx="1008">
                  <c:v>95</c:v>
                </c:pt>
                <c:pt idx="1009">
                  <c:v>122</c:v>
                </c:pt>
                <c:pt idx="1010">
                  <c:v>110</c:v>
                </c:pt>
                <c:pt idx="1011">
                  <c:v>135</c:v>
                </c:pt>
                <c:pt idx="1012">
                  <c:v>95</c:v>
                </c:pt>
                <c:pt idx="1013">
                  <c:v>109</c:v>
                </c:pt>
                <c:pt idx="1014">
                  <c:v>93</c:v>
                </c:pt>
                <c:pt idx="1015">
                  <c:v>94</c:v>
                </c:pt>
                <c:pt idx="1016">
                  <c:v>112</c:v>
                </c:pt>
                <c:pt idx="1017">
                  <c:v>111</c:v>
                </c:pt>
                <c:pt idx="1018">
                  <c:v>96</c:v>
                </c:pt>
                <c:pt idx="1019">
                  <c:v>141</c:v>
                </c:pt>
                <c:pt idx="1020">
                  <c:v>94</c:v>
                </c:pt>
                <c:pt idx="1021">
                  <c:v>87</c:v>
                </c:pt>
                <c:pt idx="1022">
                  <c:v>88</c:v>
                </c:pt>
                <c:pt idx="1023">
                  <c:v>177</c:v>
                </c:pt>
                <c:pt idx="1024">
                  <c:v>133</c:v>
                </c:pt>
                <c:pt idx="1025">
                  <c:v>119</c:v>
                </c:pt>
                <c:pt idx="1026">
                  <c:v>102</c:v>
                </c:pt>
                <c:pt idx="1027">
                  <c:v>101</c:v>
                </c:pt>
                <c:pt idx="1028">
                  <c:v>91</c:v>
                </c:pt>
                <c:pt idx="1029">
                  <c:v>117</c:v>
                </c:pt>
                <c:pt idx="1030">
                  <c:v>86</c:v>
                </c:pt>
                <c:pt idx="1031">
                  <c:v>124</c:v>
                </c:pt>
                <c:pt idx="1032">
                  <c:v>134</c:v>
                </c:pt>
                <c:pt idx="1033">
                  <c:v>100</c:v>
                </c:pt>
                <c:pt idx="1034">
                  <c:v>220</c:v>
                </c:pt>
                <c:pt idx="1035">
                  <c:v>212</c:v>
                </c:pt>
                <c:pt idx="1036">
                  <c:v>128</c:v>
                </c:pt>
                <c:pt idx="1037">
                  <c:v>106</c:v>
                </c:pt>
                <c:pt idx="1038">
                  <c:v>160</c:v>
                </c:pt>
                <c:pt idx="1039">
                  <c:v>114</c:v>
                </c:pt>
                <c:pt idx="1040">
                  <c:v>99</c:v>
                </c:pt>
                <c:pt idx="1041">
                  <c:v>74</c:v>
                </c:pt>
                <c:pt idx="1042">
                  <c:v>139</c:v>
                </c:pt>
                <c:pt idx="1043">
                  <c:v>103</c:v>
                </c:pt>
                <c:pt idx="1044">
                  <c:v>101</c:v>
                </c:pt>
                <c:pt idx="1045">
                  <c:v>130</c:v>
                </c:pt>
                <c:pt idx="1046">
                  <c:v>130</c:v>
                </c:pt>
                <c:pt idx="1047">
                  <c:v>110</c:v>
                </c:pt>
                <c:pt idx="1048">
                  <c:v>147</c:v>
                </c:pt>
                <c:pt idx="1049">
                  <c:v>96</c:v>
                </c:pt>
                <c:pt idx="1050">
                  <c:v>118</c:v>
                </c:pt>
                <c:pt idx="1051">
                  <c:v>88</c:v>
                </c:pt>
                <c:pt idx="1052">
                  <c:v>325</c:v>
                </c:pt>
                <c:pt idx="1053">
                  <c:v>102</c:v>
                </c:pt>
                <c:pt idx="1054">
                  <c:v>110</c:v>
                </c:pt>
                <c:pt idx="1055">
                  <c:v>136</c:v>
                </c:pt>
                <c:pt idx="1056">
                  <c:v>103</c:v>
                </c:pt>
                <c:pt idx="1057">
                  <c:v>103</c:v>
                </c:pt>
                <c:pt idx="1058">
                  <c:v>90</c:v>
                </c:pt>
                <c:pt idx="1059">
                  <c:v>154</c:v>
                </c:pt>
                <c:pt idx="1060">
                  <c:v>99</c:v>
                </c:pt>
                <c:pt idx="1061">
                  <c:v>93</c:v>
                </c:pt>
                <c:pt idx="1062">
                  <c:v>109</c:v>
                </c:pt>
                <c:pt idx="1063">
                  <c:v>124</c:v>
                </c:pt>
                <c:pt idx="1064">
                  <c:v>84</c:v>
                </c:pt>
                <c:pt idx="1065">
                  <c:v>90</c:v>
                </c:pt>
                <c:pt idx="1066">
                  <c:v>117</c:v>
                </c:pt>
                <c:pt idx="1067">
                  <c:v>123</c:v>
                </c:pt>
                <c:pt idx="1068">
                  <c:v>251</c:v>
                </c:pt>
                <c:pt idx="1069">
                  <c:v>105</c:v>
                </c:pt>
                <c:pt idx="1070">
                  <c:v>115</c:v>
                </c:pt>
                <c:pt idx="1071">
                  <c:v>122</c:v>
                </c:pt>
                <c:pt idx="1072">
                  <c:v>119</c:v>
                </c:pt>
                <c:pt idx="1073">
                  <c:v>81</c:v>
                </c:pt>
                <c:pt idx="1074">
                  <c:v>133</c:v>
                </c:pt>
                <c:pt idx="1075">
                  <c:v>100</c:v>
                </c:pt>
                <c:pt idx="1076">
                  <c:v>120</c:v>
                </c:pt>
                <c:pt idx="1077">
                  <c:v>104</c:v>
                </c:pt>
                <c:pt idx="1078">
                  <c:v>122</c:v>
                </c:pt>
                <c:pt idx="1079">
                  <c:v>80</c:v>
                </c:pt>
                <c:pt idx="1080">
                  <c:v>91</c:v>
                </c:pt>
                <c:pt idx="1081">
                  <c:v>112</c:v>
                </c:pt>
                <c:pt idx="1082">
                  <c:v>100</c:v>
                </c:pt>
                <c:pt idx="1083">
                  <c:v>105</c:v>
                </c:pt>
                <c:pt idx="1084">
                  <c:v>110</c:v>
                </c:pt>
                <c:pt idx="1085">
                  <c:v>144</c:v>
                </c:pt>
                <c:pt idx="1086">
                  <c:v>108</c:v>
                </c:pt>
                <c:pt idx="1087">
                  <c:v>107</c:v>
                </c:pt>
                <c:pt idx="1088">
                  <c:v>102</c:v>
                </c:pt>
                <c:pt idx="1089">
                  <c:v>100</c:v>
                </c:pt>
                <c:pt idx="1090">
                  <c:v>126</c:v>
                </c:pt>
                <c:pt idx="1091">
                  <c:v>138</c:v>
                </c:pt>
                <c:pt idx="1092">
                  <c:v>108</c:v>
                </c:pt>
                <c:pt idx="1093">
                  <c:v>105</c:v>
                </c:pt>
                <c:pt idx="1094">
                  <c:v>108</c:v>
                </c:pt>
                <c:pt idx="1095">
                  <c:v>89</c:v>
                </c:pt>
                <c:pt idx="1096">
                  <c:v>129</c:v>
                </c:pt>
                <c:pt idx="1097">
                  <c:v>84</c:v>
                </c:pt>
                <c:pt idx="1098">
                  <c:v>149</c:v>
                </c:pt>
                <c:pt idx="1099">
                  <c:v>94</c:v>
                </c:pt>
                <c:pt idx="1100">
                  <c:v>121</c:v>
                </c:pt>
                <c:pt idx="1101">
                  <c:v>128</c:v>
                </c:pt>
                <c:pt idx="1102">
                  <c:v>134</c:v>
                </c:pt>
                <c:pt idx="1103">
                  <c:v>120</c:v>
                </c:pt>
                <c:pt idx="1104">
                  <c:v>129</c:v>
                </c:pt>
                <c:pt idx="1105">
                  <c:v>89</c:v>
                </c:pt>
                <c:pt idx="1106">
                  <c:v>116</c:v>
                </c:pt>
                <c:pt idx="1107">
                  <c:v>118</c:v>
                </c:pt>
                <c:pt idx="1108">
                  <c:v>107</c:v>
                </c:pt>
                <c:pt idx="1109">
                  <c:v>155</c:v>
                </c:pt>
                <c:pt idx="1110">
                  <c:v>123</c:v>
                </c:pt>
                <c:pt idx="1111">
                  <c:v>128</c:v>
                </c:pt>
                <c:pt idx="1112">
                  <c:v>139</c:v>
                </c:pt>
                <c:pt idx="1113">
                  <c:v>120</c:v>
                </c:pt>
                <c:pt idx="1114">
                  <c:v>121</c:v>
                </c:pt>
                <c:pt idx="1115">
                  <c:v>102</c:v>
                </c:pt>
                <c:pt idx="1116">
                  <c:v>117</c:v>
                </c:pt>
                <c:pt idx="1117">
                  <c:v>178</c:v>
                </c:pt>
                <c:pt idx="1118">
                  <c:v>147</c:v>
                </c:pt>
                <c:pt idx="1119">
                  <c:v>90</c:v>
                </c:pt>
                <c:pt idx="1120">
                  <c:v>105</c:v>
                </c:pt>
                <c:pt idx="1121">
                  <c:v>114</c:v>
                </c:pt>
                <c:pt idx="1122">
                  <c:v>206</c:v>
                </c:pt>
                <c:pt idx="1123">
                  <c:v>99</c:v>
                </c:pt>
                <c:pt idx="1124">
                  <c:v>123</c:v>
                </c:pt>
                <c:pt idx="1125">
                  <c:v>102</c:v>
                </c:pt>
                <c:pt idx="1126">
                  <c:v>109</c:v>
                </c:pt>
                <c:pt idx="1127">
                  <c:v>82</c:v>
                </c:pt>
                <c:pt idx="1128">
                  <c:v>142</c:v>
                </c:pt>
                <c:pt idx="1129">
                  <c:v>106</c:v>
                </c:pt>
                <c:pt idx="1130">
                  <c:v>106</c:v>
                </c:pt>
                <c:pt idx="1131">
                  <c:v>108</c:v>
                </c:pt>
                <c:pt idx="1132">
                  <c:v>98</c:v>
                </c:pt>
                <c:pt idx="1133">
                  <c:v>131</c:v>
                </c:pt>
                <c:pt idx="1134">
                  <c:v>118</c:v>
                </c:pt>
                <c:pt idx="1135">
                  <c:v>113</c:v>
                </c:pt>
                <c:pt idx="1136">
                  <c:v>130</c:v>
                </c:pt>
                <c:pt idx="1137">
                  <c:v>116</c:v>
                </c:pt>
                <c:pt idx="1138">
                  <c:v>89</c:v>
                </c:pt>
                <c:pt idx="1139">
                  <c:v>139</c:v>
                </c:pt>
                <c:pt idx="1140">
                  <c:v>130</c:v>
                </c:pt>
                <c:pt idx="1141">
                  <c:v>107</c:v>
                </c:pt>
                <c:pt idx="1142">
                  <c:v>116</c:v>
                </c:pt>
                <c:pt idx="1143">
                  <c:v>96</c:v>
                </c:pt>
                <c:pt idx="1144">
                  <c:v>99</c:v>
                </c:pt>
                <c:pt idx="1145">
                  <c:v>104</c:v>
                </c:pt>
                <c:pt idx="1146">
                  <c:v>105</c:v>
                </c:pt>
                <c:pt idx="1147">
                  <c:v>101</c:v>
                </c:pt>
                <c:pt idx="1148">
                  <c:v>134</c:v>
                </c:pt>
                <c:pt idx="1149">
                  <c:v>135</c:v>
                </c:pt>
                <c:pt idx="1150">
                  <c:v>98</c:v>
                </c:pt>
                <c:pt idx="1151">
                  <c:v>155</c:v>
                </c:pt>
                <c:pt idx="1152">
                  <c:v>106</c:v>
                </c:pt>
                <c:pt idx="1153">
                  <c:v>102</c:v>
                </c:pt>
                <c:pt idx="1154">
                  <c:v>103</c:v>
                </c:pt>
                <c:pt idx="1155">
                  <c:v>109</c:v>
                </c:pt>
                <c:pt idx="1156">
                  <c:v>95</c:v>
                </c:pt>
                <c:pt idx="1157">
                  <c:v>111</c:v>
                </c:pt>
                <c:pt idx="1158">
                  <c:v>123</c:v>
                </c:pt>
                <c:pt idx="1159">
                  <c:v>140</c:v>
                </c:pt>
                <c:pt idx="1160">
                  <c:v>94</c:v>
                </c:pt>
                <c:pt idx="1161">
                  <c:v>94</c:v>
                </c:pt>
                <c:pt idx="1162">
                  <c:v>92</c:v>
                </c:pt>
                <c:pt idx="1163">
                  <c:v>102</c:v>
                </c:pt>
                <c:pt idx="1164">
                  <c:v>123</c:v>
                </c:pt>
                <c:pt idx="1165">
                  <c:v>104</c:v>
                </c:pt>
                <c:pt idx="1166">
                  <c:v>102</c:v>
                </c:pt>
                <c:pt idx="1167">
                  <c:v>136</c:v>
                </c:pt>
                <c:pt idx="1168">
                  <c:v>93</c:v>
                </c:pt>
                <c:pt idx="1169">
                  <c:v>129</c:v>
                </c:pt>
                <c:pt idx="1170">
                  <c:v>107</c:v>
                </c:pt>
                <c:pt idx="1171">
                  <c:v>117</c:v>
                </c:pt>
                <c:pt idx="1172">
                  <c:v>116</c:v>
                </c:pt>
                <c:pt idx="1173">
                  <c:v>135</c:v>
                </c:pt>
                <c:pt idx="1174">
                  <c:v>107</c:v>
                </c:pt>
                <c:pt idx="1175">
                  <c:v>90</c:v>
                </c:pt>
                <c:pt idx="1176">
                  <c:v>99</c:v>
                </c:pt>
                <c:pt idx="1177">
                  <c:v>104</c:v>
                </c:pt>
                <c:pt idx="1178">
                  <c:v>115</c:v>
                </c:pt>
                <c:pt idx="1179">
                  <c:v>119</c:v>
                </c:pt>
                <c:pt idx="1180">
                  <c:v>99</c:v>
                </c:pt>
                <c:pt idx="1181">
                  <c:v>112</c:v>
                </c:pt>
                <c:pt idx="1182">
                  <c:v>128</c:v>
                </c:pt>
                <c:pt idx="1183">
                  <c:v>112</c:v>
                </c:pt>
                <c:pt idx="1184">
                  <c:v>86</c:v>
                </c:pt>
                <c:pt idx="1185">
                  <c:v>108</c:v>
                </c:pt>
                <c:pt idx="1186">
                  <c:v>128</c:v>
                </c:pt>
                <c:pt idx="1187">
                  <c:v>84</c:v>
                </c:pt>
                <c:pt idx="1188">
                  <c:v>111</c:v>
                </c:pt>
                <c:pt idx="1189">
                  <c:v>131</c:v>
                </c:pt>
                <c:pt idx="1190">
                  <c:v>123</c:v>
                </c:pt>
                <c:pt idx="1191">
                  <c:v>101</c:v>
                </c:pt>
                <c:pt idx="1192">
                  <c:v>102</c:v>
                </c:pt>
                <c:pt idx="1193">
                  <c:v>114</c:v>
                </c:pt>
                <c:pt idx="1194">
                  <c:v>107</c:v>
                </c:pt>
                <c:pt idx="1195">
                  <c:v>87</c:v>
                </c:pt>
                <c:pt idx="1196">
                  <c:v>103</c:v>
                </c:pt>
                <c:pt idx="1197">
                  <c:v>99</c:v>
                </c:pt>
                <c:pt idx="1198">
                  <c:v>122</c:v>
                </c:pt>
                <c:pt idx="1199">
                  <c:v>91</c:v>
                </c:pt>
                <c:pt idx="1200">
                  <c:v>103</c:v>
                </c:pt>
                <c:pt idx="1201">
                  <c:v>107</c:v>
                </c:pt>
                <c:pt idx="1202">
                  <c:v>106</c:v>
                </c:pt>
                <c:pt idx="1203">
                  <c:v>101</c:v>
                </c:pt>
                <c:pt idx="1204">
                  <c:v>109</c:v>
                </c:pt>
                <c:pt idx="1205">
                  <c:v>89</c:v>
                </c:pt>
                <c:pt idx="1206">
                  <c:v>119</c:v>
                </c:pt>
                <c:pt idx="1207">
                  <c:v>83</c:v>
                </c:pt>
                <c:pt idx="1208">
                  <c:v>108</c:v>
                </c:pt>
                <c:pt idx="1209">
                  <c:v>102</c:v>
                </c:pt>
                <c:pt idx="1210">
                  <c:v>93</c:v>
                </c:pt>
                <c:pt idx="1211">
                  <c:v>84</c:v>
                </c:pt>
                <c:pt idx="1212">
                  <c:v>107</c:v>
                </c:pt>
                <c:pt idx="1213">
                  <c:v>91</c:v>
                </c:pt>
                <c:pt idx="1214">
                  <c:v>94</c:v>
                </c:pt>
                <c:pt idx="1215">
                  <c:v>115</c:v>
                </c:pt>
                <c:pt idx="1216">
                  <c:v>93</c:v>
                </c:pt>
                <c:pt idx="1217">
                  <c:v>105</c:v>
                </c:pt>
                <c:pt idx="1218">
                  <c:v>107</c:v>
                </c:pt>
                <c:pt idx="1219">
                  <c:v>101</c:v>
                </c:pt>
                <c:pt idx="1220">
                  <c:v>111</c:v>
                </c:pt>
                <c:pt idx="1221">
                  <c:v>113</c:v>
                </c:pt>
                <c:pt idx="1222">
                  <c:v>112</c:v>
                </c:pt>
                <c:pt idx="1223">
                  <c:v>126</c:v>
                </c:pt>
                <c:pt idx="1224">
                  <c:v>98</c:v>
                </c:pt>
                <c:pt idx="1225">
                  <c:v>159</c:v>
                </c:pt>
                <c:pt idx="1226">
                  <c:v>107</c:v>
                </c:pt>
                <c:pt idx="1227">
                  <c:v>87</c:v>
                </c:pt>
                <c:pt idx="1228">
                  <c:v>119</c:v>
                </c:pt>
                <c:pt idx="1229">
                  <c:v>110</c:v>
                </c:pt>
                <c:pt idx="1230">
                  <c:v>125</c:v>
                </c:pt>
                <c:pt idx="1231">
                  <c:v>113</c:v>
                </c:pt>
                <c:pt idx="1232">
                  <c:v>150</c:v>
                </c:pt>
                <c:pt idx="1233">
                  <c:v>108</c:v>
                </c:pt>
                <c:pt idx="1234">
                  <c:v>96</c:v>
                </c:pt>
                <c:pt idx="1235">
                  <c:v>93</c:v>
                </c:pt>
                <c:pt idx="1236">
                  <c:v>100</c:v>
                </c:pt>
                <c:pt idx="1237">
                  <c:v>118</c:v>
                </c:pt>
                <c:pt idx="1238">
                  <c:v>122</c:v>
                </c:pt>
                <c:pt idx="1239">
                  <c:v>120</c:v>
                </c:pt>
                <c:pt idx="1240">
                  <c:v>146</c:v>
                </c:pt>
                <c:pt idx="1241">
                  <c:v>115</c:v>
                </c:pt>
                <c:pt idx="1242">
                  <c:v>123</c:v>
                </c:pt>
                <c:pt idx="1243">
                  <c:v>102</c:v>
                </c:pt>
                <c:pt idx="1244">
                  <c:v>98</c:v>
                </c:pt>
                <c:pt idx="1245">
                  <c:v>133</c:v>
                </c:pt>
                <c:pt idx="1246">
                  <c:v>118</c:v>
                </c:pt>
                <c:pt idx="1247">
                  <c:v>105</c:v>
                </c:pt>
                <c:pt idx="1248">
                  <c:v>109</c:v>
                </c:pt>
                <c:pt idx="1249">
                  <c:v>129</c:v>
                </c:pt>
                <c:pt idx="1250">
                  <c:v>109</c:v>
                </c:pt>
                <c:pt idx="1251">
                  <c:v>127</c:v>
                </c:pt>
                <c:pt idx="1252">
                  <c:v>118</c:v>
                </c:pt>
                <c:pt idx="1253">
                  <c:v>110</c:v>
                </c:pt>
                <c:pt idx="1254">
                  <c:v>90</c:v>
                </c:pt>
                <c:pt idx="1255">
                  <c:v>144</c:v>
                </c:pt>
                <c:pt idx="1256">
                  <c:v>130</c:v>
                </c:pt>
                <c:pt idx="1257">
                  <c:v>112</c:v>
                </c:pt>
                <c:pt idx="1258">
                  <c:v>133</c:v>
                </c:pt>
                <c:pt idx="1259">
                  <c:v>150</c:v>
                </c:pt>
                <c:pt idx="1260">
                  <c:v>110</c:v>
                </c:pt>
                <c:pt idx="1261">
                  <c:v>96</c:v>
                </c:pt>
                <c:pt idx="1262">
                  <c:v>96</c:v>
                </c:pt>
                <c:pt idx="1263">
                  <c:v>123</c:v>
                </c:pt>
                <c:pt idx="1264">
                  <c:v>188</c:v>
                </c:pt>
                <c:pt idx="1265">
                  <c:v>107</c:v>
                </c:pt>
                <c:pt idx="1266">
                  <c:v>110</c:v>
                </c:pt>
                <c:pt idx="1267">
                  <c:v>113</c:v>
                </c:pt>
                <c:pt idx="1268">
                  <c:v>122</c:v>
                </c:pt>
                <c:pt idx="1269">
                  <c:v>116</c:v>
                </c:pt>
                <c:pt idx="1270">
                  <c:v>93</c:v>
                </c:pt>
                <c:pt idx="1271">
                  <c:v>118</c:v>
                </c:pt>
                <c:pt idx="1272">
                  <c:v>93</c:v>
                </c:pt>
                <c:pt idx="1273">
                  <c:v>121</c:v>
                </c:pt>
                <c:pt idx="1274">
                  <c:v>101</c:v>
                </c:pt>
                <c:pt idx="1275">
                  <c:v>107</c:v>
                </c:pt>
                <c:pt idx="1276">
                  <c:v>124</c:v>
                </c:pt>
                <c:pt idx="1277">
                  <c:v>109</c:v>
                </c:pt>
                <c:pt idx="1278">
                  <c:v>105</c:v>
                </c:pt>
                <c:pt idx="1279">
                  <c:v>130</c:v>
                </c:pt>
                <c:pt idx="1280">
                  <c:v>127</c:v>
                </c:pt>
                <c:pt idx="1281">
                  <c:v>114</c:v>
                </c:pt>
                <c:pt idx="1282">
                  <c:v>106</c:v>
                </c:pt>
                <c:pt idx="1283">
                  <c:v>95</c:v>
                </c:pt>
                <c:pt idx="1284">
                  <c:v>81</c:v>
                </c:pt>
                <c:pt idx="1285">
                  <c:v>95</c:v>
                </c:pt>
                <c:pt idx="1286">
                  <c:v>108</c:v>
                </c:pt>
                <c:pt idx="1287">
                  <c:v>105</c:v>
                </c:pt>
                <c:pt idx="1288">
                  <c:v>95</c:v>
                </c:pt>
                <c:pt idx="1289">
                  <c:v>126</c:v>
                </c:pt>
                <c:pt idx="1290">
                  <c:v>102</c:v>
                </c:pt>
                <c:pt idx="1291">
                  <c:v>121</c:v>
                </c:pt>
                <c:pt idx="1292">
                  <c:v>129</c:v>
                </c:pt>
                <c:pt idx="1293">
                  <c:v>88</c:v>
                </c:pt>
                <c:pt idx="1294">
                  <c:v>106</c:v>
                </c:pt>
                <c:pt idx="1295">
                  <c:v>110</c:v>
                </c:pt>
                <c:pt idx="1296">
                  <c:v>109</c:v>
                </c:pt>
                <c:pt idx="1297">
                  <c:v>143</c:v>
                </c:pt>
                <c:pt idx="1298">
                  <c:v>120</c:v>
                </c:pt>
                <c:pt idx="1299">
                  <c:v>128</c:v>
                </c:pt>
                <c:pt idx="1300">
                  <c:v>123</c:v>
                </c:pt>
                <c:pt idx="1301">
                  <c:v>129</c:v>
                </c:pt>
                <c:pt idx="1302">
                  <c:v>105</c:v>
                </c:pt>
                <c:pt idx="1303">
                  <c:v>162</c:v>
                </c:pt>
                <c:pt idx="1304">
                  <c:v>138</c:v>
                </c:pt>
                <c:pt idx="1305">
                  <c:v>100</c:v>
                </c:pt>
                <c:pt idx="1306">
                  <c:v>90</c:v>
                </c:pt>
                <c:pt idx="1307">
                  <c:v>108</c:v>
                </c:pt>
                <c:pt idx="1308">
                  <c:v>101</c:v>
                </c:pt>
                <c:pt idx="1309">
                  <c:v>109</c:v>
                </c:pt>
                <c:pt idx="1310">
                  <c:v>132</c:v>
                </c:pt>
                <c:pt idx="1311">
                  <c:v>123</c:v>
                </c:pt>
                <c:pt idx="1312">
                  <c:v>87</c:v>
                </c:pt>
                <c:pt idx="1313">
                  <c:v>109</c:v>
                </c:pt>
                <c:pt idx="1314">
                  <c:v>109</c:v>
                </c:pt>
                <c:pt idx="1315">
                  <c:v>92</c:v>
                </c:pt>
                <c:pt idx="1316">
                  <c:v>125</c:v>
                </c:pt>
                <c:pt idx="1317">
                  <c:v>202</c:v>
                </c:pt>
                <c:pt idx="1318">
                  <c:v>134</c:v>
                </c:pt>
                <c:pt idx="1319">
                  <c:v>88</c:v>
                </c:pt>
                <c:pt idx="1320">
                  <c:v>92</c:v>
                </c:pt>
                <c:pt idx="1321">
                  <c:v>91</c:v>
                </c:pt>
                <c:pt idx="1322">
                  <c:v>75</c:v>
                </c:pt>
                <c:pt idx="1323">
                  <c:v>147</c:v>
                </c:pt>
                <c:pt idx="1324">
                  <c:v>100</c:v>
                </c:pt>
                <c:pt idx="1325">
                  <c:v>120</c:v>
                </c:pt>
                <c:pt idx="1326">
                  <c:v>104</c:v>
                </c:pt>
                <c:pt idx="1327">
                  <c:v>103</c:v>
                </c:pt>
                <c:pt idx="1328">
                  <c:v>109</c:v>
                </c:pt>
                <c:pt idx="1329">
                  <c:v>104</c:v>
                </c:pt>
                <c:pt idx="1330">
                  <c:v>112</c:v>
                </c:pt>
                <c:pt idx="1331">
                  <c:v>95</c:v>
                </c:pt>
                <c:pt idx="1332">
                  <c:v>102</c:v>
                </c:pt>
                <c:pt idx="1333">
                  <c:v>150</c:v>
                </c:pt>
                <c:pt idx="1334">
                  <c:v>101</c:v>
                </c:pt>
                <c:pt idx="1335">
                  <c:v>108</c:v>
                </c:pt>
                <c:pt idx="1336">
                  <c:v>98</c:v>
                </c:pt>
                <c:pt idx="1337">
                  <c:v>137</c:v>
                </c:pt>
                <c:pt idx="1338">
                  <c:v>112</c:v>
                </c:pt>
                <c:pt idx="1339">
                  <c:v>101</c:v>
                </c:pt>
                <c:pt idx="1340">
                  <c:v>103</c:v>
                </c:pt>
                <c:pt idx="1341">
                  <c:v>101</c:v>
                </c:pt>
                <c:pt idx="1342">
                  <c:v>112</c:v>
                </c:pt>
                <c:pt idx="1343">
                  <c:v>102</c:v>
                </c:pt>
                <c:pt idx="1344">
                  <c:v>101</c:v>
                </c:pt>
                <c:pt idx="1345">
                  <c:v>155</c:v>
                </c:pt>
                <c:pt idx="1346">
                  <c:v>109</c:v>
                </c:pt>
                <c:pt idx="1347">
                  <c:v>140</c:v>
                </c:pt>
                <c:pt idx="1348">
                  <c:v>108</c:v>
                </c:pt>
                <c:pt idx="1349">
                  <c:v>96</c:v>
                </c:pt>
                <c:pt idx="1350">
                  <c:v>123</c:v>
                </c:pt>
                <c:pt idx="1351">
                  <c:v>106</c:v>
                </c:pt>
                <c:pt idx="1352">
                  <c:v>76</c:v>
                </c:pt>
                <c:pt idx="1353">
                  <c:v>107</c:v>
                </c:pt>
                <c:pt idx="1354">
                  <c:v>82</c:v>
                </c:pt>
                <c:pt idx="1355">
                  <c:v>109</c:v>
                </c:pt>
                <c:pt idx="1356">
                  <c:v>99</c:v>
                </c:pt>
                <c:pt idx="1357">
                  <c:v>91</c:v>
                </c:pt>
                <c:pt idx="1358">
                  <c:v>87</c:v>
                </c:pt>
                <c:pt idx="1359">
                  <c:v>125</c:v>
                </c:pt>
                <c:pt idx="1360">
                  <c:v>118</c:v>
                </c:pt>
                <c:pt idx="1361">
                  <c:v>98</c:v>
                </c:pt>
                <c:pt idx="1362">
                  <c:v>92</c:v>
                </c:pt>
                <c:pt idx="1363">
                  <c:v>92</c:v>
                </c:pt>
                <c:pt idx="1364">
                  <c:v>115</c:v>
                </c:pt>
                <c:pt idx="1365">
                  <c:v>120</c:v>
                </c:pt>
                <c:pt idx="1366">
                  <c:v>111</c:v>
                </c:pt>
                <c:pt idx="1367">
                  <c:v>94</c:v>
                </c:pt>
                <c:pt idx="1368">
                  <c:v>100</c:v>
                </c:pt>
                <c:pt idx="1369">
                  <c:v>101</c:v>
                </c:pt>
                <c:pt idx="1370">
                  <c:v>139</c:v>
                </c:pt>
                <c:pt idx="1371">
                  <c:v>91</c:v>
                </c:pt>
                <c:pt idx="1372">
                  <c:v>109</c:v>
                </c:pt>
                <c:pt idx="1373">
                  <c:v>102</c:v>
                </c:pt>
                <c:pt idx="1374">
                  <c:v>103</c:v>
                </c:pt>
                <c:pt idx="1375">
                  <c:v>83</c:v>
                </c:pt>
                <c:pt idx="1376">
                  <c:v>123</c:v>
                </c:pt>
                <c:pt idx="1377">
                  <c:v>101</c:v>
                </c:pt>
                <c:pt idx="1378">
                  <c:v>117</c:v>
                </c:pt>
                <c:pt idx="1379">
                  <c:v>114</c:v>
                </c:pt>
                <c:pt idx="1380">
                  <c:v>121</c:v>
                </c:pt>
                <c:pt idx="1381">
                  <c:v>114</c:v>
                </c:pt>
                <c:pt idx="1382">
                  <c:v>148</c:v>
                </c:pt>
                <c:pt idx="1383">
                  <c:v>113</c:v>
                </c:pt>
                <c:pt idx="1384">
                  <c:v>91</c:v>
                </c:pt>
                <c:pt idx="1385">
                  <c:v>139</c:v>
                </c:pt>
                <c:pt idx="1386">
                  <c:v>96</c:v>
                </c:pt>
                <c:pt idx="1387">
                  <c:v>102</c:v>
                </c:pt>
                <c:pt idx="1388">
                  <c:v>96</c:v>
                </c:pt>
                <c:pt idx="1389">
                  <c:v>101</c:v>
                </c:pt>
                <c:pt idx="1390">
                  <c:v>128</c:v>
                </c:pt>
                <c:pt idx="1391">
                  <c:v>109</c:v>
                </c:pt>
                <c:pt idx="1392">
                  <c:v>114</c:v>
                </c:pt>
                <c:pt idx="1393">
                  <c:v>105</c:v>
                </c:pt>
                <c:pt idx="1394">
                  <c:v>141</c:v>
                </c:pt>
                <c:pt idx="1395">
                  <c:v>138</c:v>
                </c:pt>
                <c:pt idx="1396">
                  <c:v>101</c:v>
                </c:pt>
                <c:pt idx="1397">
                  <c:v>99</c:v>
                </c:pt>
                <c:pt idx="1398">
                  <c:v>85</c:v>
                </c:pt>
                <c:pt idx="1399">
                  <c:v>89</c:v>
                </c:pt>
                <c:pt idx="1400">
                  <c:v>99</c:v>
                </c:pt>
                <c:pt idx="1401">
                  <c:v>105</c:v>
                </c:pt>
                <c:pt idx="1402">
                  <c:v>97</c:v>
                </c:pt>
                <c:pt idx="1403">
                  <c:v>140</c:v>
                </c:pt>
                <c:pt idx="1404">
                  <c:v>118</c:v>
                </c:pt>
                <c:pt idx="1405">
                  <c:v>94</c:v>
                </c:pt>
                <c:pt idx="1406">
                  <c:v>124</c:v>
                </c:pt>
                <c:pt idx="1407">
                  <c:v>134</c:v>
                </c:pt>
                <c:pt idx="1408">
                  <c:v>113</c:v>
                </c:pt>
                <c:pt idx="1409">
                  <c:v>124</c:v>
                </c:pt>
                <c:pt idx="1410">
                  <c:v>97</c:v>
                </c:pt>
                <c:pt idx="1411">
                  <c:v>123</c:v>
                </c:pt>
                <c:pt idx="1412">
                  <c:v>99</c:v>
                </c:pt>
                <c:pt idx="1413">
                  <c:v>101</c:v>
                </c:pt>
                <c:pt idx="1414">
                  <c:v>92</c:v>
                </c:pt>
                <c:pt idx="1415">
                  <c:v>131</c:v>
                </c:pt>
                <c:pt idx="1416">
                  <c:v>107</c:v>
                </c:pt>
                <c:pt idx="1417">
                  <c:v>103</c:v>
                </c:pt>
                <c:pt idx="1418">
                  <c:v>129</c:v>
                </c:pt>
                <c:pt idx="1419">
                  <c:v>89</c:v>
                </c:pt>
                <c:pt idx="1420">
                  <c:v>113</c:v>
                </c:pt>
                <c:pt idx="1421">
                  <c:v>93</c:v>
                </c:pt>
                <c:pt idx="1422">
                  <c:v>120</c:v>
                </c:pt>
                <c:pt idx="1423">
                  <c:v>98</c:v>
                </c:pt>
                <c:pt idx="1424">
                  <c:v>105</c:v>
                </c:pt>
                <c:pt idx="1425">
                  <c:v>98</c:v>
                </c:pt>
                <c:pt idx="1426">
                  <c:v>96</c:v>
                </c:pt>
                <c:pt idx="1427">
                  <c:v>87</c:v>
                </c:pt>
                <c:pt idx="1428">
                  <c:v>107</c:v>
                </c:pt>
                <c:pt idx="1429">
                  <c:v>90</c:v>
                </c:pt>
                <c:pt idx="1430">
                  <c:v>121</c:v>
                </c:pt>
                <c:pt idx="1431">
                  <c:v>119</c:v>
                </c:pt>
                <c:pt idx="1432">
                  <c:v>107</c:v>
                </c:pt>
                <c:pt idx="1433">
                  <c:v>110</c:v>
                </c:pt>
                <c:pt idx="1434">
                  <c:v>100</c:v>
                </c:pt>
                <c:pt idx="1435">
                  <c:v>75</c:v>
                </c:pt>
                <c:pt idx="1436">
                  <c:v>132</c:v>
                </c:pt>
                <c:pt idx="1437">
                  <c:v>105</c:v>
                </c:pt>
                <c:pt idx="1438">
                  <c:v>289</c:v>
                </c:pt>
                <c:pt idx="1439">
                  <c:v>102</c:v>
                </c:pt>
                <c:pt idx="1440">
                  <c:v>143</c:v>
                </c:pt>
                <c:pt idx="1441">
                  <c:v>113</c:v>
                </c:pt>
                <c:pt idx="1442">
                  <c:v>161</c:v>
                </c:pt>
                <c:pt idx="1443">
                  <c:v>138</c:v>
                </c:pt>
                <c:pt idx="1444">
                  <c:v>126</c:v>
                </c:pt>
                <c:pt idx="1445">
                  <c:v>99</c:v>
                </c:pt>
                <c:pt idx="1446">
                  <c:v>101</c:v>
                </c:pt>
                <c:pt idx="1447">
                  <c:v>103</c:v>
                </c:pt>
                <c:pt idx="1448">
                  <c:v>118</c:v>
                </c:pt>
                <c:pt idx="1449">
                  <c:v>99</c:v>
                </c:pt>
                <c:pt idx="1450">
                  <c:v>105</c:v>
                </c:pt>
                <c:pt idx="1451">
                  <c:v>113</c:v>
                </c:pt>
                <c:pt idx="1452">
                  <c:v>93</c:v>
                </c:pt>
                <c:pt idx="1453">
                  <c:v>108</c:v>
                </c:pt>
                <c:pt idx="1454">
                  <c:v>74</c:v>
                </c:pt>
                <c:pt idx="1455">
                  <c:v>116</c:v>
                </c:pt>
                <c:pt idx="1456">
                  <c:v>104</c:v>
                </c:pt>
                <c:pt idx="1457">
                  <c:v>106</c:v>
                </c:pt>
                <c:pt idx="1458">
                  <c:v>120</c:v>
                </c:pt>
                <c:pt idx="1459">
                  <c:v>135</c:v>
                </c:pt>
                <c:pt idx="1460">
                  <c:v>132</c:v>
                </c:pt>
                <c:pt idx="1461">
                  <c:v>92</c:v>
                </c:pt>
                <c:pt idx="1462">
                  <c:v>99</c:v>
                </c:pt>
                <c:pt idx="1463">
                  <c:v>90</c:v>
                </c:pt>
                <c:pt idx="1464">
                  <c:v>111</c:v>
                </c:pt>
                <c:pt idx="1465">
                  <c:v>103</c:v>
                </c:pt>
                <c:pt idx="1466">
                  <c:v>127</c:v>
                </c:pt>
                <c:pt idx="1467">
                  <c:v>112</c:v>
                </c:pt>
                <c:pt idx="1468">
                  <c:v>87</c:v>
                </c:pt>
                <c:pt idx="1469">
                  <c:v>138</c:v>
                </c:pt>
                <c:pt idx="1470">
                  <c:v>132</c:v>
                </c:pt>
                <c:pt idx="1471">
                  <c:v>103</c:v>
                </c:pt>
                <c:pt idx="1472">
                  <c:v>123</c:v>
                </c:pt>
                <c:pt idx="1473">
                  <c:v>102</c:v>
                </c:pt>
                <c:pt idx="1474">
                  <c:v>78</c:v>
                </c:pt>
                <c:pt idx="1475">
                  <c:v>132</c:v>
                </c:pt>
                <c:pt idx="1476">
                  <c:v>133</c:v>
                </c:pt>
                <c:pt idx="1477">
                  <c:v>108</c:v>
                </c:pt>
                <c:pt idx="1478">
                  <c:v>125</c:v>
                </c:pt>
                <c:pt idx="1479">
                  <c:v>98</c:v>
                </c:pt>
                <c:pt idx="1480">
                  <c:v>119</c:v>
                </c:pt>
                <c:pt idx="1481">
                  <c:v>87</c:v>
                </c:pt>
                <c:pt idx="1482">
                  <c:v>91</c:v>
                </c:pt>
                <c:pt idx="1483">
                  <c:v>100</c:v>
                </c:pt>
                <c:pt idx="1484">
                  <c:v>118</c:v>
                </c:pt>
                <c:pt idx="1485">
                  <c:v>109</c:v>
                </c:pt>
                <c:pt idx="1486">
                  <c:v>99</c:v>
                </c:pt>
                <c:pt idx="1487">
                  <c:v>114</c:v>
                </c:pt>
                <c:pt idx="1488">
                  <c:v>89</c:v>
                </c:pt>
                <c:pt idx="1489">
                  <c:v>95</c:v>
                </c:pt>
                <c:pt idx="1490">
                  <c:v>98</c:v>
                </c:pt>
                <c:pt idx="1491">
                  <c:v>94</c:v>
                </c:pt>
                <c:pt idx="1492">
                  <c:v>85</c:v>
                </c:pt>
                <c:pt idx="1493">
                  <c:v>124</c:v>
                </c:pt>
                <c:pt idx="1494">
                  <c:v>131</c:v>
                </c:pt>
                <c:pt idx="1495">
                  <c:v>107</c:v>
                </c:pt>
                <c:pt idx="1496">
                  <c:v>99</c:v>
                </c:pt>
                <c:pt idx="1497">
                  <c:v>83</c:v>
                </c:pt>
                <c:pt idx="1498">
                  <c:v>131</c:v>
                </c:pt>
                <c:pt idx="1499">
                  <c:v>85</c:v>
                </c:pt>
                <c:pt idx="1500">
                  <c:v>126</c:v>
                </c:pt>
                <c:pt idx="1501">
                  <c:v>123</c:v>
                </c:pt>
                <c:pt idx="1502">
                  <c:v>105</c:v>
                </c:pt>
                <c:pt idx="1503">
                  <c:v>125</c:v>
                </c:pt>
                <c:pt idx="1504">
                  <c:v>77</c:v>
                </c:pt>
                <c:pt idx="1505">
                  <c:v>121</c:v>
                </c:pt>
                <c:pt idx="1506">
                  <c:v>124</c:v>
                </c:pt>
                <c:pt idx="1507">
                  <c:v>99</c:v>
                </c:pt>
                <c:pt idx="1508">
                  <c:v>112</c:v>
                </c:pt>
                <c:pt idx="1509">
                  <c:v>111</c:v>
                </c:pt>
                <c:pt idx="1510">
                  <c:v>107</c:v>
                </c:pt>
                <c:pt idx="1511">
                  <c:v>104</c:v>
                </c:pt>
                <c:pt idx="1512">
                  <c:v>113</c:v>
                </c:pt>
                <c:pt idx="1513">
                  <c:v>113</c:v>
                </c:pt>
                <c:pt idx="1514">
                  <c:v>95</c:v>
                </c:pt>
                <c:pt idx="1515">
                  <c:v>86</c:v>
                </c:pt>
                <c:pt idx="1516">
                  <c:v>126</c:v>
                </c:pt>
                <c:pt idx="1517">
                  <c:v>101</c:v>
                </c:pt>
                <c:pt idx="1518">
                  <c:v>102</c:v>
                </c:pt>
                <c:pt idx="1519">
                  <c:v>111</c:v>
                </c:pt>
                <c:pt idx="1520">
                  <c:v>95</c:v>
                </c:pt>
                <c:pt idx="1521">
                  <c:v>98</c:v>
                </c:pt>
                <c:pt idx="1522">
                  <c:v>100</c:v>
                </c:pt>
                <c:pt idx="1523">
                  <c:v>118</c:v>
                </c:pt>
                <c:pt idx="1524">
                  <c:v>125</c:v>
                </c:pt>
                <c:pt idx="1525">
                  <c:v>94</c:v>
                </c:pt>
                <c:pt idx="1526">
                  <c:v>79</c:v>
                </c:pt>
                <c:pt idx="1527">
                  <c:v>106</c:v>
                </c:pt>
                <c:pt idx="1528">
                  <c:v>63</c:v>
                </c:pt>
                <c:pt idx="1529">
                  <c:v>85</c:v>
                </c:pt>
                <c:pt idx="1530">
                  <c:v>108</c:v>
                </c:pt>
                <c:pt idx="1531">
                  <c:v>139</c:v>
                </c:pt>
                <c:pt idx="1532">
                  <c:v>127</c:v>
                </c:pt>
                <c:pt idx="1533">
                  <c:v>106</c:v>
                </c:pt>
                <c:pt idx="1534">
                  <c:v>95</c:v>
                </c:pt>
                <c:pt idx="1535">
                  <c:v>118</c:v>
                </c:pt>
                <c:pt idx="1536">
                  <c:v>108</c:v>
                </c:pt>
                <c:pt idx="1537">
                  <c:v>105</c:v>
                </c:pt>
                <c:pt idx="1538">
                  <c:v>131</c:v>
                </c:pt>
                <c:pt idx="1539">
                  <c:v>104</c:v>
                </c:pt>
                <c:pt idx="1540">
                  <c:v>133</c:v>
                </c:pt>
                <c:pt idx="1541">
                  <c:v>94</c:v>
                </c:pt>
                <c:pt idx="1542">
                  <c:v>109</c:v>
                </c:pt>
                <c:pt idx="1543">
                  <c:v>96</c:v>
                </c:pt>
                <c:pt idx="1544">
                  <c:v>105</c:v>
                </c:pt>
                <c:pt idx="1545">
                  <c:v>99</c:v>
                </c:pt>
                <c:pt idx="1546">
                  <c:v>112</c:v>
                </c:pt>
                <c:pt idx="1547">
                  <c:v>108</c:v>
                </c:pt>
                <c:pt idx="1548">
                  <c:v>126</c:v>
                </c:pt>
                <c:pt idx="1549">
                  <c:v>98</c:v>
                </c:pt>
                <c:pt idx="1550">
                  <c:v>104</c:v>
                </c:pt>
                <c:pt idx="1551">
                  <c:v>110</c:v>
                </c:pt>
                <c:pt idx="1552">
                  <c:v>130</c:v>
                </c:pt>
                <c:pt idx="1553">
                  <c:v>93</c:v>
                </c:pt>
                <c:pt idx="1554">
                  <c:v>96</c:v>
                </c:pt>
                <c:pt idx="1555">
                  <c:v>114</c:v>
                </c:pt>
                <c:pt idx="1556">
                  <c:v>106</c:v>
                </c:pt>
                <c:pt idx="1557">
                  <c:v>150</c:v>
                </c:pt>
                <c:pt idx="1558">
                  <c:v>100</c:v>
                </c:pt>
                <c:pt idx="1559">
                  <c:v>100</c:v>
                </c:pt>
                <c:pt idx="1560">
                  <c:v>100</c:v>
                </c:pt>
                <c:pt idx="1561">
                  <c:v>107</c:v>
                </c:pt>
                <c:pt idx="1562">
                  <c:v>102</c:v>
                </c:pt>
                <c:pt idx="1563">
                  <c:v>101</c:v>
                </c:pt>
                <c:pt idx="1564">
                  <c:v>86</c:v>
                </c:pt>
                <c:pt idx="1565">
                  <c:v>108</c:v>
                </c:pt>
                <c:pt idx="1566">
                  <c:v>123</c:v>
                </c:pt>
                <c:pt idx="1567">
                  <c:v>88</c:v>
                </c:pt>
                <c:pt idx="1568">
                  <c:v>109</c:v>
                </c:pt>
                <c:pt idx="1569">
                  <c:v>122</c:v>
                </c:pt>
                <c:pt idx="1570">
                  <c:v>251</c:v>
                </c:pt>
                <c:pt idx="1571">
                  <c:v>118</c:v>
                </c:pt>
                <c:pt idx="1572">
                  <c:v>131</c:v>
                </c:pt>
                <c:pt idx="1573">
                  <c:v>109</c:v>
                </c:pt>
                <c:pt idx="1574">
                  <c:v>88</c:v>
                </c:pt>
                <c:pt idx="1575">
                  <c:v>103</c:v>
                </c:pt>
                <c:pt idx="1576">
                  <c:v>87</c:v>
                </c:pt>
                <c:pt idx="1577">
                  <c:v>160</c:v>
                </c:pt>
                <c:pt idx="1578">
                  <c:v>121</c:v>
                </c:pt>
                <c:pt idx="1579">
                  <c:v>129</c:v>
                </c:pt>
                <c:pt idx="1580">
                  <c:v>115</c:v>
                </c:pt>
                <c:pt idx="1581">
                  <c:v>153</c:v>
                </c:pt>
                <c:pt idx="1582">
                  <c:v>128</c:v>
                </c:pt>
                <c:pt idx="1583">
                  <c:v>89</c:v>
                </c:pt>
                <c:pt idx="1584">
                  <c:v>122</c:v>
                </c:pt>
                <c:pt idx="1585">
                  <c:v>99</c:v>
                </c:pt>
                <c:pt idx="1586">
                  <c:v>99</c:v>
                </c:pt>
                <c:pt idx="1587">
                  <c:v>147</c:v>
                </c:pt>
                <c:pt idx="1588">
                  <c:v>112</c:v>
                </c:pt>
                <c:pt idx="1589">
                  <c:v>88</c:v>
                </c:pt>
                <c:pt idx="1590">
                  <c:v>94</c:v>
                </c:pt>
                <c:pt idx="1591">
                  <c:v>90</c:v>
                </c:pt>
                <c:pt idx="1592">
                  <c:v>167</c:v>
                </c:pt>
                <c:pt idx="1593">
                  <c:v>83</c:v>
                </c:pt>
                <c:pt idx="1594">
                  <c:v>104</c:v>
                </c:pt>
                <c:pt idx="1595">
                  <c:v>102</c:v>
                </c:pt>
                <c:pt idx="1596">
                  <c:v>131</c:v>
                </c:pt>
                <c:pt idx="1597">
                  <c:v>101</c:v>
                </c:pt>
                <c:pt idx="1598">
                  <c:v>130</c:v>
                </c:pt>
                <c:pt idx="1599">
                  <c:v>120</c:v>
                </c:pt>
                <c:pt idx="1600">
                  <c:v>135</c:v>
                </c:pt>
                <c:pt idx="1601">
                  <c:v>110</c:v>
                </c:pt>
                <c:pt idx="1602">
                  <c:v>103</c:v>
                </c:pt>
                <c:pt idx="1603">
                  <c:v>110</c:v>
                </c:pt>
                <c:pt idx="1604">
                  <c:v>91</c:v>
                </c:pt>
                <c:pt idx="1605">
                  <c:v>105</c:v>
                </c:pt>
                <c:pt idx="1606">
                  <c:v>127</c:v>
                </c:pt>
                <c:pt idx="1607">
                  <c:v>82</c:v>
                </c:pt>
                <c:pt idx="1608">
                  <c:v>99</c:v>
                </c:pt>
                <c:pt idx="1609">
                  <c:v>90</c:v>
                </c:pt>
                <c:pt idx="1610">
                  <c:v>115</c:v>
                </c:pt>
                <c:pt idx="1611">
                  <c:v>96</c:v>
                </c:pt>
                <c:pt idx="1612">
                  <c:v>104</c:v>
                </c:pt>
                <c:pt idx="1613">
                  <c:v>117</c:v>
                </c:pt>
                <c:pt idx="1614">
                  <c:v>83</c:v>
                </c:pt>
                <c:pt idx="1615">
                  <c:v>99</c:v>
                </c:pt>
                <c:pt idx="1616">
                  <c:v>81</c:v>
                </c:pt>
                <c:pt idx="1617">
                  <c:v>135</c:v>
                </c:pt>
                <c:pt idx="1618">
                  <c:v>117</c:v>
                </c:pt>
                <c:pt idx="1619">
                  <c:v>139</c:v>
                </c:pt>
                <c:pt idx="1620">
                  <c:v>123</c:v>
                </c:pt>
                <c:pt idx="1621">
                  <c:v>117</c:v>
                </c:pt>
                <c:pt idx="1622">
                  <c:v>97</c:v>
                </c:pt>
                <c:pt idx="1623">
                  <c:v>81</c:v>
                </c:pt>
                <c:pt idx="1624">
                  <c:v>103</c:v>
                </c:pt>
                <c:pt idx="1625">
                  <c:v>119</c:v>
                </c:pt>
                <c:pt idx="1626">
                  <c:v>94</c:v>
                </c:pt>
                <c:pt idx="1627">
                  <c:v>89</c:v>
                </c:pt>
                <c:pt idx="1628">
                  <c:v>98</c:v>
                </c:pt>
                <c:pt idx="1629">
                  <c:v>107</c:v>
                </c:pt>
                <c:pt idx="1630">
                  <c:v>108</c:v>
                </c:pt>
                <c:pt idx="1631">
                  <c:v>110</c:v>
                </c:pt>
                <c:pt idx="1632">
                  <c:v>103</c:v>
                </c:pt>
                <c:pt idx="1633">
                  <c:v>100</c:v>
                </c:pt>
                <c:pt idx="1634">
                  <c:v>131</c:v>
                </c:pt>
                <c:pt idx="1635">
                  <c:v>109</c:v>
                </c:pt>
                <c:pt idx="1636">
                  <c:v>114</c:v>
                </c:pt>
                <c:pt idx="1637">
                  <c:v>164</c:v>
                </c:pt>
                <c:pt idx="1638">
                  <c:v>92</c:v>
                </c:pt>
                <c:pt idx="1639">
                  <c:v>122</c:v>
                </c:pt>
                <c:pt idx="1640">
                  <c:v>110</c:v>
                </c:pt>
                <c:pt idx="1641">
                  <c:v>116</c:v>
                </c:pt>
                <c:pt idx="1642">
                  <c:v>115</c:v>
                </c:pt>
                <c:pt idx="1643">
                  <c:v>148</c:v>
                </c:pt>
                <c:pt idx="1644">
                  <c:v>118</c:v>
                </c:pt>
                <c:pt idx="1645">
                  <c:v>101</c:v>
                </c:pt>
                <c:pt idx="1646">
                  <c:v>82</c:v>
                </c:pt>
                <c:pt idx="1647">
                  <c:v>110</c:v>
                </c:pt>
                <c:pt idx="1648">
                  <c:v>193</c:v>
                </c:pt>
                <c:pt idx="1649">
                  <c:v>130</c:v>
                </c:pt>
                <c:pt idx="1650">
                  <c:v>111</c:v>
                </c:pt>
                <c:pt idx="1651">
                  <c:v>110</c:v>
                </c:pt>
                <c:pt idx="1652">
                  <c:v>123</c:v>
                </c:pt>
                <c:pt idx="1653">
                  <c:v>109</c:v>
                </c:pt>
                <c:pt idx="1654">
                  <c:v>99</c:v>
                </c:pt>
                <c:pt idx="1655">
                  <c:v>106</c:v>
                </c:pt>
                <c:pt idx="1656">
                  <c:v>89</c:v>
                </c:pt>
                <c:pt idx="1657">
                  <c:v>98</c:v>
                </c:pt>
                <c:pt idx="1658">
                  <c:v>93</c:v>
                </c:pt>
                <c:pt idx="1659">
                  <c:v>112</c:v>
                </c:pt>
                <c:pt idx="1660">
                  <c:v>101</c:v>
                </c:pt>
                <c:pt idx="1661">
                  <c:v>104</c:v>
                </c:pt>
                <c:pt idx="1662">
                  <c:v>120</c:v>
                </c:pt>
                <c:pt idx="1663">
                  <c:v>91</c:v>
                </c:pt>
                <c:pt idx="1664">
                  <c:v>97</c:v>
                </c:pt>
                <c:pt idx="1665">
                  <c:v>133</c:v>
                </c:pt>
                <c:pt idx="1666">
                  <c:v>123</c:v>
                </c:pt>
                <c:pt idx="1667">
                  <c:v>114</c:v>
                </c:pt>
                <c:pt idx="1668">
                  <c:v>111</c:v>
                </c:pt>
                <c:pt idx="1669">
                  <c:v>117</c:v>
                </c:pt>
                <c:pt idx="1670">
                  <c:v>121</c:v>
                </c:pt>
                <c:pt idx="1671">
                  <c:v>139</c:v>
                </c:pt>
                <c:pt idx="1672">
                  <c:v>115</c:v>
                </c:pt>
                <c:pt idx="1673">
                  <c:v>175</c:v>
                </c:pt>
                <c:pt idx="1674">
                  <c:v>85</c:v>
                </c:pt>
                <c:pt idx="1675">
                  <c:v>90</c:v>
                </c:pt>
                <c:pt idx="1676">
                  <c:v>107</c:v>
                </c:pt>
                <c:pt idx="1677">
                  <c:v>100</c:v>
                </c:pt>
                <c:pt idx="1678">
                  <c:v>129</c:v>
                </c:pt>
                <c:pt idx="1679">
                  <c:v>109</c:v>
                </c:pt>
                <c:pt idx="1680">
                  <c:v>133</c:v>
                </c:pt>
                <c:pt idx="1681">
                  <c:v>105</c:v>
                </c:pt>
                <c:pt idx="1682">
                  <c:v>100</c:v>
                </c:pt>
                <c:pt idx="1683">
                  <c:v>113</c:v>
                </c:pt>
                <c:pt idx="1684">
                  <c:v>118</c:v>
                </c:pt>
                <c:pt idx="1685">
                  <c:v>110</c:v>
                </c:pt>
                <c:pt idx="1686">
                  <c:v>110</c:v>
                </c:pt>
                <c:pt idx="1687">
                  <c:v>99</c:v>
                </c:pt>
                <c:pt idx="1688">
                  <c:v>101</c:v>
                </c:pt>
                <c:pt idx="1689">
                  <c:v>103</c:v>
                </c:pt>
                <c:pt idx="1690">
                  <c:v>95</c:v>
                </c:pt>
                <c:pt idx="1691">
                  <c:v>117</c:v>
                </c:pt>
                <c:pt idx="1692">
                  <c:v>129</c:v>
                </c:pt>
                <c:pt idx="1693">
                  <c:v>120</c:v>
                </c:pt>
                <c:pt idx="1694">
                  <c:v>125</c:v>
                </c:pt>
                <c:pt idx="1695">
                  <c:v>133</c:v>
                </c:pt>
                <c:pt idx="1696">
                  <c:v>116</c:v>
                </c:pt>
                <c:pt idx="1697">
                  <c:v>129</c:v>
                </c:pt>
                <c:pt idx="1698">
                  <c:v>93</c:v>
                </c:pt>
                <c:pt idx="1699">
                  <c:v>118</c:v>
                </c:pt>
                <c:pt idx="1700">
                  <c:v>129</c:v>
                </c:pt>
                <c:pt idx="1701">
                  <c:v>185</c:v>
                </c:pt>
                <c:pt idx="1702">
                  <c:v>146</c:v>
                </c:pt>
                <c:pt idx="1703">
                  <c:v>128</c:v>
                </c:pt>
                <c:pt idx="1704">
                  <c:v>93</c:v>
                </c:pt>
                <c:pt idx="1705">
                  <c:v>82</c:v>
                </c:pt>
                <c:pt idx="1706">
                  <c:v>85</c:v>
                </c:pt>
                <c:pt idx="1707">
                  <c:v>88</c:v>
                </c:pt>
                <c:pt idx="1708">
                  <c:v>119</c:v>
                </c:pt>
                <c:pt idx="1709">
                  <c:v>122</c:v>
                </c:pt>
                <c:pt idx="1710">
                  <c:v>99</c:v>
                </c:pt>
                <c:pt idx="1711">
                  <c:v>97</c:v>
                </c:pt>
                <c:pt idx="1712">
                  <c:v>121</c:v>
                </c:pt>
                <c:pt idx="1713">
                  <c:v>95</c:v>
                </c:pt>
                <c:pt idx="1714">
                  <c:v>105</c:v>
                </c:pt>
                <c:pt idx="1715">
                  <c:v>108</c:v>
                </c:pt>
                <c:pt idx="1716">
                  <c:v>134</c:v>
                </c:pt>
                <c:pt idx="1717">
                  <c:v>115</c:v>
                </c:pt>
                <c:pt idx="1718">
                  <c:v>86</c:v>
                </c:pt>
                <c:pt idx="1719">
                  <c:v>101</c:v>
                </c:pt>
                <c:pt idx="1720">
                  <c:v>96</c:v>
                </c:pt>
                <c:pt idx="1721">
                  <c:v>101</c:v>
                </c:pt>
                <c:pt idx="1722">
                  <c:v>100</c:v>
                </c:pt>
                <c:pt idx="1723">
                  <c:v>117</c:v>
                </c:pt>
                <c:pt idx="1724">
                  <c:v>101</c:v>
                </c:pt>
                <c:pt idx="1725">
                  <c:v>98</c:v>
                </c:pt>
                <c:pt idx="1726">
                  <c:v>146</c:v>
                </c:pt>
                <c:pt idx="1727">
                  <c:v>102</c:v>
                </c:pt>
                <c:pt idx="1728">
                  <c:v>97</c:v>
                </c:pt>
                <c:pt idx="1729">
                  <c:v>142</c:v>
                </c:pt>
                <c:pt idx="1730">
                  <c:v>98</c:v>
                </c:pt>
                <c:pt idx="1731">
                  <c:v>219</c:v>
                </c:pt>
                <c:pt idx="1732">
                  <c:v>109</c:v>
                </c:pt>
                <c:pt idx="1733">
                  <c:v>97</c:v>
                </c:pt>
                <c:pt idx="1734">
                  <c:v>158</c:v>
                </c:pt>
                <c:pt idx="1735">
                  <c:v>85</c:v>
                </c:pt>
                <c:pt idx="1736">
                  <c:v>80</c:v>
                </c:pt>
                <c:pt idx="1737">
                  <c:v>86</c:v>
                </c:pt>
                <c:pt idx="1738">
                  <c:v>119</c:v>
                </c:pt>
                <c:pt idx="1739">
                  <c:v>98</c:v>
                </c:pt>
                <c:pt idx="1740">
                  <c:v>97</c:v>
                </c:pt>
                <c:pt idx="1741">
                  <c:v>124</c:v>
                </c:pt>
                <c:pt idx="1742">
                  <c:v>97</c:v>
                </c:pt>
                <c:pt idx="1743">
                  <c:v>105</c:v>
                </c:pt>
                <c:pt idx="1744">
                  <c:v>104</c:v>
                </c:pt>
                <c:pt idx="1745">
                  <c:v>101</c:v>
                </c:pt>
                <c:pt idx="1746">
                  <c:v>101</c:v>
                </c:pt>
                <c:pt idx="1747">
                  <c:v>114</c:v>
                </c:pt>
                <c:pt idx="1748">
                  <c:v>105</c:v>
                </c:pt>
                <c:pt idx="1749">
                  <c:v>90</c:v>
                </c:pt>
                <c:pt idx="1750">
                  <c:v>97</c:v>
                </c:pt>
                <c:pt idx="1751">
                  <c:v>144</c:v>
                </c:pt>
                <c:pt idx="1752">
                  <c:v>114</c:v>
                </c:pt>
                <c:pt idx="1753">
                  <c:v>124</c:v>
                </c:pt>
                <c:pt idx="1754">
                  <c:v>89</c:v>
                </c:pt>
                <c:pt idx="1755">
                  <c:v>160</c:v>
                </c:pt>
                <c:pt idx="1756">
                  <c:v>93</c:v>
                </c:pt>
                <c:pt idx="1757">
                  <c:v>88</c:v>
                </c:pt>
                <c:pt idx="1758">
                  <c:v>142</c:v>
                </c:pt>
                <c:pt idx="1759">
                  <c:v>92</c:v>
                </c:pt>
                <c:pt idx="1760">
                  <c:v>117</c:v>
                </c:pt>
                <c:pt idx="1761">
                  <c:v>111</c:v>
                </c:pt>
                <c:pt idx="1762">
                  <c:v>121</c:v>
                </c:pt>
                <c:pt idx="1763">
                  <c:v>107</c:v>
                </c:pt>
                <c:pt idx="1764">
                  <c:v>106</c:v>
                </c:pt>
                <c:pt idx="1765">
                  <c:v>136</c:v>
                </c:pt>
                <c:pt idx="1766">
                  <c:v>97</c:v>
                </c:pt>
                <c:pt idx="1767">
                  <c:v>108</c:v>
                </c:pt>
                <c:pt idx="1768">
                  <c:v>97</c:v>
                </c:pt>
                <c:pt idx="1769">
                  <c:v>99</c:v>
                </c:pt>
                <c:pt idx="1770">
                  <c:v>95</c:v>
                </c:pt>
                <c:pt idx="1771">
                  <c:v>93</c:v>
                </c:pt>
                <c:pt idx="1772">
                  <c:v>98</c:v>
                </c:pt>
                <c:pt idx="1773">
                  <c:v>90</c:v>
                </c:pt>
                <c:pt idx="1774">
                  <c:v>107</c:v>
                </c:pt>
                <c:pt idx="1775">
                  <c:v>90</c:v>
                </c:pt>
                <c:pt idx="1776">
                  <c:v>115</c:v>
                </c:pt>
                <c:pt idx="1777">
                  <c:v>93</c:v>
                </c:pt>
                <c:pt idx="1778">
                  <c:v>99</c:v>
                </c:pt>
                <c:pt idx="1779">
                  <c:v>107</c:v>
                </c:pt>
                <c:pt idx="1780">
                  <c:v>110</c:v>
                </c:pt>
                <c:pt idx="1781">
                  <c:v>101</c:v>
                </c:pt>
                <c:pt idx="1782">
                  <c:v>85</c:v>
                </c:pt>
                <c:pt idx="1783">
                  <c:v>132</c:v>
                </c:pt>
                <c:pt idx="1784">
                  <c:v>90</c:v>
                </c:pt>
                <c:pt idx="1785">
                  <c:v>110</c:v>
                </c:pt>
                <c:pt idx="1786">
                  <c:v>122</c:v>
                </c:pt>
                <c:pt idx="1787">
                  <c:v>107</c:v>
                </c:pt>
                <c:pt idx="1788">
                  <c:v>127</c:v>
                </c:pt>
                <c:pt idx="1789">
                  <c:v>99</c:v>
                </c:pt>
                <c:pt idx="1790">
                  <c:v>140</c:v>
                </c:pt>
                <c:pt idx="1791">
                  <c:v>133</c:v>
                </c:pt>
                <c:pt idx="1792">
                  <c:v>271</c:v>
                </c:pt>
                <c:pt idx="1793">
                  <c:v>112</c:v>
                </c:pt>
                <c:pt idx="1794">
                  <c:v>99</c:v>
                </c:pt>
                <c:pt idx="1795">
                  <c:v>100</c:v>
                </c:pt>
                <c:pt idx="1796">
                  <c:v>92</c:v>
                </c:pt>
                <c:pt idx="1797">
                  <c:v>105</c:v>
                </c:pt>
                <c:pt idx="1798">
                  <c:v>110</c:v>
                </c:pt>
                <c:pt idx="1799">
                  <c:v>116</c:v>
                </c:pt>
                <c:pt idx="1800">
                  <c:v>88</c:v>
                </c:pt>
                <c:pt idx="1801">
                  <c:v>111</c:v>
                </c:pt>
                <c:pt idx="1802">
                  <c:v>95</c:v>
                </c:pt>
                <c:pt idx="1803">
                  <c:v>95</c:v>
                </c:pt>
                <c:pt idx="1804">
                  <c:v>127</c:v>
                </c:pt>
                <c:pt idx="1805">
                  <c:v>104</c:v>
                </c:pt>
                <c:pt idx="1806">
                  <c:v>95</c:v>
                </c:pt>
                <c:pt idx="1807">
                  <c:v>121</c:v>
                </c:pt>
                <c:pt idx="1808">
                  <c:v>107</c:v>
                </c:pt>
                <c:pt idx="1809">
                  <c:v>117</c:v>
                </c:pt>
                <c:pt idx="1810">
                  <c:v>107</c:v>
                </c:pt>
                <c:pt idx="1811">
                  <c:v>131</c:v>
                </c:pt>
                <c:pt idx="1812">
                  <c:v>122</c:v>
                </c:pt>
                <c:pt idx="1813">
                  <c:v>134</c:v>
                </c:pt>
                <c:pt idx="1814">
                  <c:v>117</c:v>
                </c:pt>
                <c:pt idx="1815">
                  <c:v>138</c:v>
                </c:pt>
                <c:pt idx="1816">
                  <c:v>100</c:v>
                </c:pt>
                <c:pt idx="1817">
                  <c:v>119</c:v>
                </c:pt>
                <c:pt idx="1818">
                  <c:v>137</c:v>
                </c:pt>
                <c:pt idx="1819">
                  <c:v>119</c:v>
                </c:pt>
                <c:pt idx="1820">
                  <c:v>139</c:v>
                </c:pt>
                <c:pt idx="1821">
                  <c:v>120</c:v>
                </c:pt>
                <c:pt idx="1822">
                  <c:v>98</c:v>
                </c:pt>
                <c:pt idx="1823">
                  <c:v>106</c:v>
                </c:pt>
                <c:pt idx="1824">
                  <c:v>98</c:v>
                </c:pt>
                <c:pt idx="1825">
                  <c:v>107</c:v>
                </c:pt>
                <c:pt idx="1826">
                  <c:v>88</c:v>
                </c:pt>
                <c:pt idx="1827">
                  <c:v>137</c:v>
                </c:pt>
                <c:pt idx="1828">
                  <c:v>100</c:v>
                </c:pt>
                <c:pt idx="1829">
                  <c:v>115</c:v>
                </c:pt>
                <c:pt idx="1830">
                  <c:v>101</c:v>
                </c:pt>
                <c:pt idx="1831">
                  <c:v>110</c:v>
                </c:pt>
                <c:pt idx="1832">
                  <c:v>94</c:v>
                </c:pt>
                <c:pt idx="1833">
                  <c:v>88</c:v>
                </c:pt>
                <c:pt idx="1834">
                  <c:v>127</c:v>
                </c:pt>
                <c:pt idx="1835">
                  <c:v>95</c:v>
                </c:pt>
                <c:pt idx="1836">
                  <c:v>87</c:v>
                </c:pt>
                <c:pt idx="1837">
                  <c:v>118</c:v>
                </c:pt>
                <c:pt idx="1838">
                  <c:v>107</c:v>
                </c:pt>
                <c:pt idx="1839">
                  <c:v>124</c:v>
                </c:pt>
                <c:pt idx="1840">
                  <c:v>89</c:v>
                </c:pt>
                <c:pt idx="1841">
                  <c:v>88</c:v>
                </c:pt>
                <c:pt idx="1842">
                  <c:v>118</c:v>
                </c:pt>
                <c:pt idx="1843">
                  <c:v>93</c:v>
                </c:pt>
                <c:pt idx="1844">
                  <c:v>80</c:v>
                </c:pt>
                <c:pt idx="1845">
                  <c:v>120</c:v>
                </c:pt>
                <c:pt idx="1846">
                  <c:v>98</c:v>
                </c:pt>
                <c:pt idx="1847">
                  <c:v>119</c:v>
                </c:pt>
                <c:pt idx="1848">
                  <c:v>88</c:v>
                </c:pt>
                <c:pt idx="1849">
                  <c:v>90</c:v>
                </c:pt>
                <c:pt idx="1850">
                  <c:v>127</c:v>
                </c:pt>
                <c:pt idx="1851">
                  <c:v>119</c:v>
                </c:pt>
                <c:pt idx="1852">
                  <c:v>85</c:v>
                </c:pt>
                <c:pt idx="1853">
                  <c:v>98</c:v>
                </c:pt>
                <c:pt idx="1854">
                  <c:v>101</c:v>
                </c:pt>
                <c:pt idx="1855">
                  <c:v>112</c:v>
                </c:pt>
                <c:pt idx="1856">
                  <c:v>97</c:v>
                </c:pt>
                <c:pt idx="1857">
                  <c:v>126</c:v>
                </c:pt>
                <c:pt idx="1858">
                  <c:v>97</c:v>
                </c:pt>
                <c:pt idx="1859">
                  <c:v>100</c:v>
                </c:pt>
                <c:pt idx="1860">
                  <c:v>114</c:v>
                </c:pt>
                <c:pt idx="1861">
                  <c:v>88</c:v>
                </c:pt>
                <c:pt idx="1862">
                  <c:v>93</c:v>
                </c:pt>
                <c:pt idx="1863">
                  <c:v>92</c:v>
                </c:pt>
                <c:pt idx="1864">
                  <c:v>98</c:v>
                </c:pt>
                <c:pt idx="1865">
                  <c:v>94</c:v>
                </c:pt>
                <c:pt idx="1866">
                  <c:v>102</c:v>
                </c:pt>
                <c:pt idx="1867">
                  <c:v>98</c:v>
                </c:pt>
                <c:pt idx="1868">
                  <c:v>111</c:v>
                </c:pt>
                <c:pt idx="1869">
                  <c:v>100</c:v>
                </c:pt>
                <c:pt idx="1870">
                  <c:v>141</c:v>
                </c:pt>
                <c:pt idx="1871">
                  <c:v>114</c:v>
                </c:pt>
                <c:pt idx="1872">
                  <c:v>96</c:v>
                </c:pt>
                <c:pt idx="1873">
                  <c:v>111</c:v>
                </c:pt>
                <c:pt idx="1874">
                  <c:v>127</c:v>
                </c:pt>
                <c:pt idx="1875">
                  <c:v>107</c:v>
                </c:pt>
                <c:pt idx="1876">
                  <c:v>97</c:v>
                </c:pt>
                <c:pt idx="1877">
                  <c:v>127</c:v>
                </c:pt>
                <c:pt idx="1878">
                  <c:v>110</c:v>
                </c:pt>
                <c:pt idx="1879">
                  <c:v>135</c:v>
                </c:pt>
                <c:pt idx="1880">
                  <c:v>84</c:v>
                </c:pt>
                <c:pt idx="1881">
                  <c:v>122</c:v>
                </c:pt>
                <c:pt idx="1882">
                  <c:v>114</c:v>
                </c:pt>
                <c:pt idx="1883">
                  <c:v>132</c:v>
                </c:pt>
                <c:pt idx="1884">
                  <c:v>170</c:v>
                </c:pt>
                <c:pt idx="1885">
                  <c:v>133</c:v>
                </c:pt>
                <c:pt idx="1886">
                  <c:v>112</c:v>
                </c:pt>
                <c:pt idx="1887">
                  <c:v>108</c:v>
                </c:pt>
                <c:pt idx="1888">
                  <c:v>115</c:v>
                </c:pt>
                <c:pt idx="1889">
                  <c:v>83</c:v>
                </c:pt>
                <c:pt idx="1890">
                  <c:v>105</c:v>
                </c:pt>
                <c:pt idx="1891">
                  <c:v>96</c:v>
                </c:pt>
                <c:pt idx="1892">
                  <c:v>94</c:v>
                </c:pt>
                <c:pt idx="1893">
                  <c:v>142</c:v>
                </c:pt>
                <c:pt idx="1894">
                  <c:v>104</c:v>
                </c:pt>
                <c:pt idx="1895">
                  <c:v>106</c:v>
                </c:pt>
                <c:pt idx="1896">
                  <c:v>106</c:v>
                </c:pt>
                <c:pt idx="1897">
                  <c:v>98</c:v>
                </c:pt>
                <c:pt idx="1898">
                  <c:v>100</c:v>
                </c:pt>
                <c:pt idx="1899">
                  <c:v>95</c:v>
                </c:pt>
                <c:pt idx="1900">
                  <c:v>107</c:v>
                </c:pt>
                <c:pt idx="1901">
                  <c:v>104</c:v>
                </c:pt>
                <c:pt idx="1902">
                  <c:v>104</c:v>
                </c:pt>
                <c:pt idx="1903">
                  <c:v>143</c:v>
                </c:pt>
                <c:pt idx="1904">
                  <c:v>77</c:v>
                </c:pt>
                <c:pt idx="1905">
                  <c:v>96</c:v>
                </c:pt>
                <c:pt idx="1906">
                  <c:v>145</c:v>
                </c:pt>
                <c:pt idx="1907">
                  <c:v>116</c:v>
                </c:pt>
                <c:pt idx="1908">
                  <c:v>100</c:v>
                </c:pt>
                <c:pt idx="1909">
                  <c:v>104</c:v>
                </c:pt>
                <c:pt idx="1910">
                  <c:v>92</c:v>
                </c:pt>
                <c:pt idx="1911">
                  <c:v>105</c:v>
                </c:pt>
                <c:pt idx="1912">
                  <c:v>116</c:v>
                </c:pt>
                <c:pt idx="1913">
                  <c:v>119</c:v>
                </c:pt>
                <c:pt idx="1914">
                  <c:v>101</c:v>
                </c:pt>
                <c:pt idx="1915">
                  <c:v>117</c:v>
                </c:pt>
                <c:pt idx="1916">
                  <c:v>112</c:v>
                </c:pt>
                <c:pt idx="1917">
                  <c:v>136</c:v>
                </c:pt>
                <c:pt idx="1918">
                  <c:v>81</c:v>
                </c:pt>
                <c:pt idx="1919">
                  <c:v>87</c:v>
                </c:pt>
                <c:pt idx="1920">
                  <c:v>96</c:v>
                </c:pt>
                <c:pt idx="1921">
                  <c:v>106</c:v>
                </c:pt>
                <c:pt idx="1922">
                  <c:v>122</c:v>
                </c:pt>
                <c:pt idx="1923">
                  <c:v>123</c:v>
                </c:pt>
                <c:pt idx="1924">
                  <c:v>92</c:v>
                </c:pt>
                <c:pt idx="1925">
                  <c:v>110</c:v>
                </c:pt>
                <c:pt idx="1926">
                  <c:v>104</c:v>
                </c:pt>
                <c:pt idx="1927">
                  <c:v>98</c:v>
                </c:pt>
                <c:pt idx="1928">
                  <c:v>120</c:v>
                </c:pt>
                <c:pt idx="1929">
                  <c:v>112</c:v>
                </c:pt>
                <c:pt idx="1930">
                  <c:v>127</c:v>
                </c:pt>
                <c:pt idx="1931">
                  <c:v>102</c:v>
                </c:pt>
                <c:pt idx="1932">
                  <c:v>91</c:v>
                </c:pt>
                <c:pt idx="1933">
                  <c:v>114</c:v>
                </c:pt>
                <c:pt idx="1934">
                  <c:v>115</c:v>
                </c:pt>
                <c:pt idx="1935">
                  <c:v>115</c:v>
                </c:pt>
                <c:pt idx="1936">
                  <c:v>135</c:v>
                </c:pt>
                <c:pt idx="1937">
                  <c:v>90</c:v>
                </c:pt>
                <c:pt idx="1938">
                  <c:v>100</c:v>
                </c:pt>
                <c:pt idx="1939">
                  <c:v>105</c:v>
                </c:pt>
                <c:pt idx="1940">
                  <c:v>138</c:v>
                </c:pt>
                <c:pt idx="1941">
                  <c:v>94</c:v>
                </c:pt>
                <c:pt idx="1942">
                  <c:v>101</c:v>
                </c:pt>
                <c:pt idx="1943">
                  <c:v>131</c:v>
                </c:pt>
                <c:pt idx="1944">
                  <c:v>91</c:v>
                </c:pt>
                <c:pt idx="1945">
                  <c:v>112</c:v>
                </c:pt>
                <c:pt idx="1946">
                  <c:v>95</c:v>
                </c:pt>
                <c:pt idx="1947">
                  <c:v>100</c:v>
                </c:pt>
                <c:pt idx="1948">
                  <c:v>108</c:v>
                </c:pt>
                <c:pt idx="1949">
                  <c:v>101</c:v>
                </c:pt>
                <c:pt idx="1950">
                  <c:v>109</c:v>
                </c:pt>
                <c:pt idx="1951">
                  <c:v>115</c:v>
                </c:pt>
                <c:pt idx="1952">
                  <c:v>117</c:v>
                </c:pt>
                <c:pt idx="1953">
                  <c:v>107</c:v>
                </c:pt>
                <c:pt idx="1954">
                  <c:v>134</c:v>
                </c:pt>
                <c:pt idx="1955">
                  <c:v>118</c:v>
                </c:pt>
                <c:pt idx="1956">
                  <c:v>121</c:v>
                </c:pt>
                <c:pt idx="1957">
                  <c:v>105</c:v>
                </c:pt>
                <c:pt idx="1958">
                  <c:v>110</c:v>
                </c:pt>
                <c:pt idx="1959">
                  <c:v>114</c:v>
                </c:pt>
                <c:pt idx="1960">
                  <c:v>100</c:v>
                </c:pt>
                <c:pt idx="1961">
                  <c:v>85</c:v>
                </c:pt>
                <c:pt idx="1962">
                  <c:v>72</c:v>
                </c:pt>
                <c:pt idx="1963">
                  <c:v>128</c:v>
                </c:pt>
                <c:pt idx="1964">
                  <c:v>72</c:v>
                </c:pt>
                <c:pt idx="1965">
                  <c:v>89</c:v>
                </c:pt>
                <c:pt idx="1966">
                  <c:v>96</c:v>
                </c:pt>
                <c:pt idx="1967">
                  <c:v>77</c:v>
                </c:pt>
                <c:pt idx="1968">
                  <c:v>111</c:v>
                </c:pt>
                <c:pt idx="1969">
                  <c:v>93</c:v>
                </c:pt>
                <c:pt idx="1970">
                  <c:v>128</c:v>
                </c:pt>
                <c:pt idx="1971">
                  <c:v>110</c:v>
                </c:pt>
                <c:pt idx="1972">
                  <c:v>137</c:v>
                </c:pt>
                <c:pt idx="1973">
                  <c:v>124</c:v>
                </c:pt>
                <c:pt idx="1974">
                  <c:v>93</c:v>
                </c:pt>
                <c:pt idx="1975">
                  <c:v>115</c:v>
                </c:pt>
                <c:pt idx="1976">
                  <c:v>105</c:v>
                </c:pt>
                <c:pt idx="1977">
                  <c:v>127</c:v>
                </c:pt>
                <c:pt idx="1978">
                  <c:v>82</c:v>
                </c:pt>
                <c:pt idx="1979">
                  <c:v>143</c:v>
                </c:pt>
                <c:pt idx="1980">
                  <c:v>103</c:v>
                </c:pt>
                <c:pt idx="1981">
                  <c:v>104</c:v>
                </c:pt>
                <c:pt idx="1982">
                  <c:v>98</c:v>
                </c:pt>
                <c:pt idx="1983">
                  <c:v>92</c:v>
                </c:pt>
                <c:pt idx="1984">
                  <c:v>123</c:v>
                </c:pt>
                <c:pt idx="1985">
                  <c:v>88</c:v>
                </c:pt>
                <c:pt idx="1986">
                  <c:v>128</c:v>
                </c:pt>
                <c:pt idx="1987">
                  <c:v>107</c:v>
                </c:pt>
                <c:pt idx="1988">
                  <c:v>91</c:v>
                </c:pt>
                <c:pt idx="1989">
                  <c:v>90</c:v>
                </c:pt>
                <c:pt idx="1990">
                  <c:v>115</c:v>
                </c:pt>
                <c:pt idx="1991">
                  <c:v>113</c:v>
                </c:pt>
                <c:pt idx="1992">
                  <c:v>113</c:v>
                </c:pt>
                <c:pt idx="1993">
                  <c:v>87</c:v>
                </c:pt>
                <c:pt idx="1994">
                  <c:v>101</c:v>
                </c:pt>
                <c:pt idx="1995">
                  <c:v>111</c:v>
                </c:pt>
                <c:pt idx="1996">
                  <c:v>108</c:v>
                </c:pt>
                <c:pt idx="1997">
                  <c:v>105</c:v>
                </c:pt>
                <c:pt idx="1998">
                  <c:v>109</c:v>
                </c:pt>
                <c:pt idx="1999">
                  <c:v>109</c:v>
                </c:pt>
                <c:pt idx="2000">
                  <c:v>99</c:v>
                </c:pt>
                <c:pt idx="2001">
                  <c:v>98</c:v>
                </c:pt>
                <c:pt idx="2002">
                  <c:v>104</c:v>
                </c:pt>
                <c:pt idx="2003">
                  <c:v>109</c:v>
                </c:pt>
                <c:pt idx="2004">
                  <c:v>75</c:v>
                </c:pt>
                <c:pt idx="2005">
                  <c:v>119</c:v>
                </c:pt>
                <c:pt idx="2006">
                  <c:v>90</c:v>
                </c:pt>
                <c:pt idx="2007">
                  <c:v>97</c:v>
                </c:pt>
                <c:pt idx="2008">
                  <c:v>89</c:v>
                </c:pt>
                <c:pt idx="2009">
                  <c:v>106</c:v>
                </c:pt>
                <c:pt idx="2010">
                  <c:v>96</c:v>
                </c:pt>
                <c:pt idx="2011">
                  <c:v>104</c:v>
                </c:pt>
                <c:pt idx="2012">
                  <c:v>108</c:v>
                </c:pt>
                <c:pt idx="2013">
                  <c:v>112</c:v>
                </c:pt>
                <c:pt idx="2014">
                  <c:v>104</c:v>
                </c:pt>
                <c:pt idx="2015">
                  <c:v>113</c:v>
                </c:pt>
                <c:pt idx="2016">
                  <c:v>98</c:v>
                </c:pt>
                <c:pt idx="2017">
                  <c:v>114</c:v>
                </c:pt>
                <c:pt idx="2018">
                  <c:v>124</c:v>
                </c:pt>
                <c:pt idx="2019">
                  <c:v>148</c:v>
                </c:pt>
                <c:pt idx="2020">
                  <c:v>108</c:v>
                </c:pt>
                <c:pt idx="2021">
                  <c:v>95</c:v>
                </c:pt>
                <c:pt idx="2022">
                  <c:v>108</c:v>
                </c:pt>
                <c:pt idx="2023">
                  <c:v>68</c:v>
                </c:pt>
                <c:pt idx="2024">
                  <c:v>103</c:v>
                </c:pt>
                <c:pt idx="2025">
                  <c:v>99</c:v>
                </c:pt>
                <c:pt idx="2026">
                  <c:v>88</c:v>
                </c:pt>
                <c:pt idx="2027">
                  <c:v>128</c:v>
                </c:pt>
                <c:pt idx="2028">
                  <c:v>124</c:v>
                </c:pt>
                <c:pt idx="2029">
                  <c:v>84</c:v>
                </c:pt>
                <c:pt idx="2030">
                  <c:v>101</c:v>
                </c:pt>
                <c:pt idx="2031">
                  <c:v>98</c:v>
                </c:pt>
                <c:pt idx="2032">
                  <c:v>225</c:v>
                </c:pt>
                <c:pt idx="2033">
                  <c:v>88</c:v>
                </c:pt>
                <c:pt idx="2034">
                  <c:v>88</c:v>
                </c:pt>
                <c:pt idx="2035">
                  <c:v>94</c:v>
                </c:pt>
                <c:pt idx="2036">
                  <c:v>117</c:v>
                </c:pt>
                <c:pt idx="2037">
                  <c:v>95</c:v>
                </c:pt>
                <c:pt idx="2038">
                  <c:v>96</c:v>
                </c:pt>
                <c:pt idx="2039">
                  <c:v>98</c:v>
                </c:pt>
                <c:pt idx="2040">
                  <c:v>123</c:v>
                </c:pt>
                <c:pt idx="2041">
                  <c:v>101</c:v>
                </c:pt>
                <c:pt idx="2042">
                  <c:v>102</c:v>
                </c:pt>
                <c:pt idx="2043">
                  <c:v>94</c:v>
                </c:pt>
                <c:pt idx="2044">
                  <c:v>102</c:v>
                </c:pt>
                <c:pt idx="2045">
                  <c:v>108</c:v>
                </c:pt>
                <c:pt idx="2046">
                  <c:v>116</c:v>
                </c:pt>
                <c:pt idx="2047">
                  <c:v>93</c:v>
                </c:pt>
                <c:pt idx="2048">
                  <c:v>102</c:v>
                </c:pt>
                <c:pt idx="2049">
                  <c:v>103</c:v>
                </c:pt>
                <c:pt idx="2050">
                  <c:v>115</c:v>
                </c:pt>
                <c:pt idx="2051">
                  <c:v>96</c:v>
                </c:pt>
                <c:pt idx="2052">
                  <c:v>98</c:v>
                </c:pt>
                <c:pt idx="2053">
                  <c:v>101</c:v>
                </c:pt>
                <c:pt idx="2054">
                  <c:v>106</c:v>
                </c:pt>
                <c:pt idx="2055">
                  <c:v>101</c:v>
                </c:pt>
                <c:pt idx="2056">
                  <c:v>111</c:v>
                </c:pt>
                <c:pt idx="2057">
                  <c:v>99</c:v>
                </c:pt>
                <c:pt idx="2058">
                  <c:v>88</c:v>
                </c:pt>
                <c:pt idx="2059">
                  <c:v>83</c:v>
                </c:pt>
                <c:pt idx="2060">
                  <c:v>91</c:v>
                </c:pt>
                <c:pt idx="2061">
                  <c:v>108</c:v>
                </c:pt>
                <c:pt idx="2062">
                  <c:v>148</c:v>
                </c:pt>
                <c:pt idx="2063">
                  <c:v>77</c:v>
                </c:pt>
                <c:pt idx="2064">
                  <c:v>110</c:v>
                </c:pt>
                <c:pt idx="2065">
                  <c:v>83</c:v>
                </c:pt>
                <c:pt idx="2066">
                  <c:v>107</c:v>
                </c:pt>
                <c:pt idx="2067">
                  <c:v>100</c:v>
                </c:pt>
                <c:pt idx="2068">
                  <c:v>87</c:v>
                </c:pt>
                <c:pt idx="2069">
                  <c:v>154</c:v>
                </c:pt>
                <c:pt idx="2070">
                  <c:v>106</c:v>
                </c:pt>
                <c:pt idx="2071">
                  <c:v>99</c:v>
                </c:pt>
                <c:pt idx="2072">
                  <c:v>100</c:v>
                </c:pt>
                <c:pt idx="2073">
                  <c:v>116</c:v>
                </c:pt>
                <c:pt idx="2074">
                  <c:v>94</c:v>
                </c:pt>
                <c:pt idx="2075">
                  <c:v>111</c:v>
                </c:pt>
                <c:pt idx="2076">
                  <c:v>100</c:v>
                </c:pt>
                <c:pt idx="2077">
                  <c:v>125</c:v>
                </c:pt>
                <c:pt idx="2078">
                  <c:v>119</c:v>
                </c:pt>
                <c:pt idx="2079">
                  <c:v>135</c:v>
                </c:pt>
                <c:pt idx="2080">
                  <c:v>93</c:v>
                </c:pt>
                <c:pt idx="2081">
                  <c:v>114</c:v>
                </c:pt>
                <c:pt idx="2082">
                  <c:v>124</c:v>
                </c:pt>
                <c:pt idx="2083">
                  <c:v>134</c:v>
                </c:pt>
                <c:pt idx="2084">
                  <c:v>114</c:v>
                </c:pt>
                <c:pt idx="2085">
                  <c:v>124</c:v>
                </c:pt>
                <c:pt idx="2086">
                  <c:v>104</c:v>
                </c:pt>
                <c:pt idx="2087">
                  <c:v>118</c:v>
                </c:pt>
                <c:pt idx="2088">
                  <c:v>80</c:v>
                </c:pt>
                <c:pt idx="2089">
                  <c:v>107</c:v>
                </c:pt>
                <c:pt idx="2090">
                  <c:v>125</c:v>
                </c:pt>
                <c:pt idx="2091">
                  <c:v>115</c:v>
                </c:pt>
                <c:pt idx="2092">
                  <c:v>88</c:v>
                </c:pt>
                <c:pt idx="2093">
                  <c:v>122</c:v>
                </c:pt>
                <c:pt idx="2094">
                  <c:v>103</c:v>
                </c:pt>
                <c:pt idx="2095">
                  <c:v>101</c:v>
                </c:pt>
                <c:pt idx="2096">
                  <c:v>107</c:v>
                </c:pt>
                <c:pt idx="2097">
                  <c:v>118</c:v>
                </c:pt>
                <c:pt idx="2098">
                  <c:v>107</c:v>
                </c:pt>
                <c:pt idx="2099">
                  <c:v>100</c:v>
                </c:pt>
                <c:pt idx="2100">
                  <c:v>110</c:v>
                </c:pt>
                <c:pt idx="2101">
                  <c:v>125</c:v>
                </c:pt>
                <c:pt idx="2102">
                  <c:v>184</c:v>
                </c:pt>
                <c:pt idx="2103">
                  <c:v>236</c:v>
                </c:pt>
                <c:pt idx="2104">
                  <c:v>97</c:v>
                </c:pt>
                <c:pt idx="2105">
                  <c:v>95</c:v>
                </c:pt>
                <c:pt idx="2106">
                  <c:v>103</c:v>
                </c:pt>
                <c:pt idx="2107">
                  <c:v>91</c:v>
                </c:pt>
                <c:pt idx="2108">
                  <c:v>116</c:v>
                </c:pt>
                <c:pt idx="2109">
                  <c:v>93</c:v>
                </c:pt>
                <c:pt idx="2110">
                  <c:v>113</c:v>
                </c:pt>
                <c:pt idx="2111">
                  <c:v>101</c:v>
                </c:pt>
                <c:pt idx="2112">
                  <c:v>95</c:v>
                </c:pt>
                <c:pt idx="2113">
                  <c:v>109</c:v>
                </c:pt>
                <c:pt idx="2114">
                  <c:v>85</c:v>
                </c:pt>
                <c:pt idx="2115">
                  <c:v>101</c:v>
                </c:pt>
                <c:pt idx="2116">
                  <c:v>125</c:v>
                </c:pt>
                <c:pt idx="2117">
                  <c:v>132</c:v>
                </c:pt>
                <c:pt idx="2118">
                  <c:v>131</c:v>
                </c:pt>
                <c:pt idx="2119">
                  <c:v>129</c:v>
                </c:pt>
                <c:pt idx="2120">
                  <c:v>100</c:v>
                </c:pt>
                <c:pt idx="2121">
                  <c:v>97</c:v>
                </c:pt>
                <c:pt idx="2122">
                  <c:v>92</c:v>
                </c:pt>
                <c:pt idx="2123">
                  <c:v>116</c:v>
                </c:pt>
                <c:pt idx="2124">
                  <c:v>90</c:v>
                </c:pt>
                <c:pt idx="2125">
                  <c:v>81</c:v>
                </c:pt>
                <c:pt idx="2126">
                  <c:v>97</c:v>
                </c:pt>
                <c:pt idx="2127">
                  <c:v>118</c:v>
                </c:pt>
                <c:pt idx="2128">
                  <c:v>100</c:v>
                </c:pt>
                <c:pt idx="2129">
                  <c:v>97</c:v>
                </c:pt>
                <c:pt idx="2130">
                  <c:v>114</c:v>
                </c:pt>
                <c:pt idx="2131">
                  <c:v>130</c:v>
                </c:pt>
                <c:pt idx="2132">
                  <c:v>82</c:v>
                </c:pt>
                <c:pt idx="2133">
                  <c:v>96</c:v>
                </c:pt>
                <c:pt idx="2134">
                  <c:v>105</c:v>
                </c:pt>
                <c:pt idx="2135">
                  <c:v>122</c:v>
                </c:pt>
                <c:pt idx="2136">
                  <c:v>88</c:v>
                </c:pt>
                <c:pt idx="2137">
                  <c:v>110</c:v>
                </c:pt>
                <c:pt idx="2138">
                  <c:v>103</c:v>
                </c:pt>
                <c:pt idx="2139">
                  <c:v>106</c:v>
                </c:pt>
                <c:pt idx="2140">
                  <c:v>98</c:v>
                </c:pt>
                <c:pt idx="2141">
                  <c:v>68</c:v>
                </c:pt>
                <c:pt idx="2142">
                  <c:v>94</c:v>
                </c:pt>
                <c:pt idx="2143">
                  <c:v>99</c:v>
                </c:pt>
                <c:pt idx="2144">
                  <c:v>107</c:v>
                </c:pt>
                <c:pt idx="2145">
                  <c:v>180</c:v>
                </c:pt>
                <c:pt idx="2146">
                  <c:v>89</c:v>
                </c:pt>
                <c:pt idx="2147">
                  <c:v>97</c:v>
                </c:pt>
                <c:pt idx="2148">
                  <c:v>113</c:v>
                </c:pt>
                <c:pt idx="2149">
                  <c:v>131</c:v>
                </c:pt>
                <c:pt idx="2150">
                  <c:v>103</c:v>
                </c:pt>
                <c:pt idx="2151">
                  <c:v>119</c:v>
                </c:pt>
                <c:pt idx="2152">
                  <c:v>111</c:v>
                </c:pt>
                <c:pt idx="2153">
                  <c:v>94</c:v>
                </c:pt>
                <c:pt idx="2154">
                  <c:v>81</c:v>
                </c:pt>
                <c:pt idx="2155">
                  <c:v>89</c:v>
                </c:pt>
                <c:pt idx="2156">
                  <c:v>106</c:v>
                </c:pt>
                <c:pt idx="2157">
                  <c:v>86</c:v>
                </c:pt>
                <c:pt idx="2158">
                  <c:v>103</c:v>
                </c:pt>
                <c:pt idx="2159">
                  <c:v>121</c:v>
                </c:pt>
                <c:pt idx="2160">
                  <c:v>109</c:v>
                </c:pt>
                <c:pt idx="2161">
                  <c:v>109</c:v>
                </c:pt>
                <c:pt idx="2162">
                  <c:v>123</c:v>
                </c:pt>
                <c:pt idx="2163">
                  <c:v>94</c:v>
                </c:pt>
                <c:pt idx="2164">
                  <c:v>94</c:v>
                </c:pt>
                <c:pt idx="2165">
                  <c:v>115</c:v>
                </c:pt>
                <c:pt idx="2166">
                  <c:v>107</c:v>
                </c:pt>
                <c:pt idx="2167">
                  <c:v>91</c:v>
                </c:pt>
                <c:pt idx="2168">
                  <c:v>125</c:v>
                </c:pt>
                <c:pt idx="2169">
                  <c:v>122</c:v>
                </c:pt>
                <c:pt idx="2170">
                  <c:v>102</c:v>
                </c:pt>
                <c:pt idx="2171">
                  <c:v>90</c:v>
                </c:pt>
                <c:pt idx="2172">
                  <c:v>98</c:v>
                </c:pt>
                <c:pt idx="2173">
                  <c:v>109</c:v>
                </c:pt>
                <c:pt idx="2174">
                  <c:v>90</c:v>
                </c:pt>
                <c:pt idx="2175">
                  <c:v>112</c:v>
                </c:pt>
                <c:pt idx="2176">
                  <c:v>94</c:v>
                </c:pt>
                <c:pt idx="2177">
                  <c:v>105</c:v>
                </c:pt>
                <c:pt idx="2178">
                  <c:v>104</c:v>
                </c:pt>
                <c:pt idx="2179">
                  <c:v>112</c:v>
                </c:pt>
                <c:pt idx="2180">
                  <c:v>108</c:v>
                </c:pt>
                <c:pt idx="2181">
                  <c:v>112</c:v>
                </c:pt>
                <c:pt idx="2182">
                  <c:v>127</c:v>
                </c:pt>
                <c:pt idx="2183">
                  <c:v>111</c:v>
                </c:pt>
                <c:pt idx="2184">
                  <c:v>126</c:v>
                </c:pt>
                <c:pt idx="2185">
                  <c:v>114</c:v>
                </c:pt>
                <c:pt idx="2186">
                  <c:v>99</c:v>
                </c:pt>
                <c:pt idx="2187">
                  <c:v>150</c:v>
                </c:pt>
                <c:pt idx="2188">
                  <c:v>112</c:v>
                </c:pt>
                <c:pt idx="2189">
                  <c:v>108</c:v>
                </c:pt>
                <c:pt idx="2190">
                  <c:v>116</c:v>
                </c:pt>
                <c:pt idx="2191">
                  <c:v>144</c:v>
                </c:pt>
                <c:pt idx="2192">
                  <c:v>93</c:v>
                </c:pt>
                <c:pt idx="2193">
                  <c:v>103</c:v>
                </c:pt>
                <c:pt idx="2194">
                  <c:v>121</c:v>
                </c:pt>
                <c:pt idx="2195">
                  <c:v>105</c:v>
                </c:pt>
                <c:pt idx="2196">
                  <c:v>119</c:v>
                </c:pt>
                <c:pt idx="2197">
                  <c:v>98</c:v>
                </c:pt>
                <c:pt idx="2198">
                  <c:v>80</c:v>
                </c:pt>
                <c:pt idx="2199">
                  <c:v>121</c:v>
                </c:pt>
                <c:pt idx="2200">
                  <c:v>94</c:v>
                </c:pt>
                <c:pt idx="2201">
                  <c:v>116</c:v>
                </c:pt>
                <c:pt idx="2202">
                  <c:v>101</c:v>
                </c:pt>
                <c:pt idx="2203">
                  <c:v>154</c:v>
                </c:pt>
                <c:pt idx="2204">
                  <c:v>170</c:v>
                </c:pt>
                <c:pt idx="2205">
                  <c:v>99</c:v>
                </c:pt>
                <c:pt idx="2206">
                  <c:v>104</c:v>
                </c:pt>
                <c:pt idx="2207">
                  <c:v>126</c:v>
                </c:pt>
                <c:pt idx="2208">
                  <c:v>110</c:v>
                </c:pt>
                <c:pt idx="2209">
                  <c:v>101</c:v>
                </c:pt>
                <c:pt idx="2210">
                  <c:v>87</c:v>
                </c:pt>
                <c:pt idx="2211">
                  <c:v>123</c:v>
                </c:pt>
                <c:pt idx="2212">
                  <c:v>109</c:v>
                </c:pt>
                <c:pt idx="2213">
                  <c:v>90</c:v>
                </c:pt>
                <c:pt idx="2214">
                  <c:v>96</c:v>
                </c:pt>
                <c:pt idx="2215">
                  <c:v>82</c:v>
                </c:pt>
                <c:pt idx="2216">
                  <c:v>108</c:v>
                </c:pt>
                <c:pt idx="2217">
                  <c:v>98</c:v>
                </c:pt>
                <c:pt idx="2218">
                  <c:v>129</c:v>
                </c:pt>
                <c:pt idx="2219">
                  <c:v>112</c:v>
                </c:pt>
                <c:pt idx="2220">
                  <c:v>108</c:v>
                </c:pt>
                <c:pt idx="2221">
                  <c:v>121</c:v>
                </c:pt>
                <c:pt idx="2222">
                  <c:v>89</c:v>
                </c:pt>
                <c:pt idx="2223">
                  <c:v>89</c:v>
                </c:pt>
                <c:pt idx="2224">
                  <c:v>73</c:v>
                </c:pt>
                <c:pt idx="2225">
                  <c:v>132</c:v>
                </c:pt>
                <c:pt idx="2226">
                  <c:v>96</c:v>
                </c:pt>
                <c:pt idx="2227">
                  <c:v>98</c:v>
                </c:pt>
                <c:pt idx="2228">
                  <c:v>107</c:v>
                </c:pt>
                <c:pt idx="2229">
                  <c:v>134</c:v>
                </c:pt>
                <c:pt idx="2230">
                  <c:v>122</c:v>
                </c:pt>
                <c:pt idx="2231">
                  <c:v>97</c:v>
                </c:pt>
                <c:pt idx="2232">
                  <c:v>110</c:v>
                </c:pt>
                <c:pt idx="2233">
                  <c:v>102</c:v>
                </c:pt>
                <c:pt idx="2234">
                  <c:v>98</c:v>
                </c:pt>
                <c:pt idx="2235">
                  <c:v>120</c:v>
                </c:pt>
                <c:pt idx="2236">
                  <c:v>160</c:v>
                </c:pt>
                <c:pt idx="2237">
                  <c:v>83</c:v>
                </c:pt>
                <c:pt idx="2238">
                  <c:v>102</c:v>
                </c:pt>
                <c:pt idx="2239">
                  <c:v>122</c:v>
                </c:pt>
                <c:pt idx="2240">
                  <c:v>126</c:v>
                </c:pt>
                <c:pt idx="2241">
                  <c:v>136</c:v>
                </c:pt>
                <c:pt idx="2242">
                  <c:v>120</c:v>
                </c:pt>
                <c:pt idx="2243">
                  <c:v>108</c:v>
                </c:pt>
                <c:pt idx="2244">
                  <c:v>126</c:v>
                </c:pt>
                <c:pt idx="2245">
                  <c:v>128</c:v>
                </c:pt>
                <c:pt idx="2246">
                  <c:v>113</c:v>
                </c:pt>
                <c:pt idx="2247">
                  <c:v>89</c:v>
                </c:pt>
                <c:pt idx="2248">
                  <c:v>129</c:v>
                </c:pt>
                <c:pt idx="2249">
                  <c:v>94</c:v>
                </c:pt>
                <c:pt idx="2250">
                  <c:v>106</c:v>
                </c:pt>
                <c:pt idx="2251">
                  <c:v>100</c:v>
                </c:pt>
                <c:pt idx="2252">
                  <c:v>89</c:v>
                </c:pt>
                <c:pt idx="2253">
                  <c:v>94</c:v>
                </c:pt>
                <c:pt idx="2254">
                  <c:v>83</c:v>
                </c:pt>
                <c:pt idx="2255">
                  <c:v>111</c:v>
                </c:pt>
                <c:pt idx="2256">
                  <c:v>80</c:v>
                </c:pt>
                <c:pt idx="2257">
                  <c:v>112</c:v>
                </c:pt>
                <c:pt idx="2258">
                  <c:v>94</c:v>
                </c:pt>
                <c:pt idx="2259">
                  <c:v>130</c:v>
                </c:pt>
                <c:pt idx="2260">
                  <c:v>91</c:v>
                </c:pt>
                <c:pt idx="2261">
                  <c:v>110</c:v>
                </c:pt>
                <c:pt idx="2262">
                  <c:v>121</c:v>
                </c:pt>
                <c:pt idx="2263">
                  <c:v>114</c:v>
                </c:pt>
                <c:pt idx="2264">
                  <c:v>96</c:v>
                </c:pt>
                <c:pt idx="2265">
                  <c:v>94</c:v>
                </c:pt>
                <c:pt idx="2266">
                  <c:v>109</c:v>
                </c:pt>
                <c:pt idx="2267">
                  <c:v>107</c:v>
                </c:pt>
                <c:pt idx="2268">
                  <c:v>96</c:v>
                </c:pt>
                <c:pt idx="2269">
                  <c:v>88</c:v>
                </c:pt>
                <c:pt idx="2270">
                  <c:v>113</c:v>
                </c:pt>
                <c:pt idx="2271">
                  <c:v>101</c:v>
                </c:pt>
                <c:pt idx="2272">
                  <c:v>105</c:v>
                </c:pt>
                <c:pt idx="2273">
                  <c:v>125</c:v>
                </c:pt>
                <c:pt idx="2274">
                  <c:v>100</c:v>
                </c:pt>
                <c:pt idx="2275">
                  <c:v>112</c:v>
                </c:pt>
                <c:pt idx="2276">
                  <c:v>112</c:v>
                </c:pt>
                <c:pt idx="2277">
                  <c:v>95</c:v>
                </c:pt>
                <c:pt idx="2278">
                  <c:v>110</c:v>
                </c:pt>
                <c:pt idx="2279">
                  <c:v>118</c:v>
                </c:pt>
                <c:pt idx="2280">
                  <c:v>97</c:v>
                </c:pt>
                <c:pt idx="2281">
                  <c:v>120</c:v>
                </c:pt>
                <c:pt idx="2282">
                  <c:v>135</c:v>
                </c:pt>
                <c:pt idx="2283">
                  <c:v>101</c:v>
                </c:pt>
                <c:pt idx="2284">
                  <c:v>92</c:v>
                </c:pt>
                <c:pt idx="2285">
                  <c:v>92</c:v>
                </c:pt>
                <c:pt idx="2286">
                  <c:v>161</c:v>
                </c:pt>
                <c:pt idx="2287">
                  <c:v>92</c:v>
                </c:pt>
                <c:pt idx="2288">
                  <c:v>122</c:v>
                </c:pt>
                <c:pt idx="2289">
                  <c:v>91</c:v>
                </c:pt>
                <c:pt idx="2290">
                  <c:v>93</c:v>
                </c:pt>
                <c:pt idx="2291">
                  <c:v>94</c:v>
                </c:pt>
                <c:pt idx="2292">
                  <c:v>95</c:v>
                </c:pt>
                <c:pt idx="2293">
                  <c:v>105</c:v>
                </c:pt>
                <c:pt idx="2294">
                  <c:v>103</c:v>
                </c:pt>
                <c:pt idx="2295">
                  <c:v>102</c:v>
                </c:pt>
                <c:pt idx="2296">
                  <c:v>116</c:v>
                </c:pt>
                <c:pt idx="2297">
                  <c:v>110</c:v>
                </c:pt>
                <c:pt idx="2298">
                  <c:v>120</c:v>
                </c:pt>
                <c:pt idx="2299">
                  <c:v>118</c:v>
                </c:pt>
                <c:pt idx="2300">
                  <c:v>107</c:v>
                </c:pt>
                <c:pt idx="2301">
                  <c:v>102</c:v>
                </c:pt>
                <c:pt idx="2302">
                  <c:v>154</c:v>
                </c:pt>
                <c:pt idx="2303">
                  <c:v>114</c:v>
                </c:pt>
                <c:pt idx="2304">
                  <c:v>109</c:v>
                </c:pt>
                <c:pt idx="2305">
                  <c:v>94</c:v>
                </c:pt>
                <c:pt idx="2306">
                  <c:v>100</c:v>
                </c:pt>
                <c:pt idx="2307">
                  <c:v>98</c:v>
                </c:pt>
                <c:pt idx="2308">
                  <c:v>102</c:v>
                </c:pt>
                <c:pt idx="2309">
                  <c:v>94</c:v>
                </c:pt>
                <c:pt idx="2310">
                  <c:v>92</c:v>
                </c:pt>
                <c:pt idx="2311">
                  <c:v>113</c:v>
                </c:pt>
                <c:pt idx="2312">
                  <c:v>115</c:v>
                </c:pt>
                <c:pt idx="2313">
                  <c:v>95</c:v>
                </c:pt>
                <c:pt idx="2314">
                  <c:v>87</c:v>
                </c:pt>
                <c:pt idx="2315">
                  <c:v>88</c:v>
                </c:pt>
                <c:pt idx="2316">
                  <c:v>97</c:v>
                </c:pt>
                <c:pt idx="2317">
                  <c:v>94</c:v>
                </c:pt>
                <c:pt idx="2318">
                  <c:v>112</c:v>
                </c:pt>
                <c:pt idx="2319">
                  <c:v>98</c:v>
                </c:pt>
                <c:pt idx="2320">
                  <c:v>104</c:v>
                </c:pt>
                <c:pt idx="2321">
                  <c:v>120</c:v>
                </c:pt>
                <c:pt idx="2322">
                  <c:v>99</c:v>
                </c:pt>
                <c:pt idx="2323">
                  <c:v>109</c:v>
                </c:pt>
                <c:pt idx="2324">
                  <c:v>106</c:v>
                </c:pt>
                <c:pt idx="2325">
                  <c:v>123</c:v>
                </c:pt>
                <c:pt idx="2326">
                  <c:v>120</c:v>
                </c:pt>
                <c:pt idx="2327">
                  <c:v>227</c:v>
                </c:pt>
                <c:pt idx="2328">
                  <c:v>119</c:v>
                </c:pt>
                <c:pt idx="2329">
                  <c:v>115</c:v>
                </c:pt>
                <c:pt idx="2330">
                  <c:v>114</c:v>
                </c:pt>
                <c:pt idx="2331">
                  <c:v>90</c:v>
                </c:pt>
                <c:pt idx="2332">
                  <c:v>94</c:v>
                </c:pt>
                <c:pt idx="2333">
                  <c:v>98</c:v>
                </c:pt>
                <c:pt idx="2334">
                  <c:v>126</c:v>
                </c:pt>
                <c:pt idx="2335">
                  <c:v>100</c:v>
                </c:pt>
                <c:pt idx="2336">
                  <c:v>89</c:v>
                </c:pt>
                <c:pt idx="2337">
                  <c:v>111</c:v>
                </c:pt>
                <c:pt idx="2338">
                  <c:v>100</c:v>
                </c:pt>
                <c:pt idx="2339">
                  <c:v>115</c:v>
                </c:pt>
                <c:pt idx="2340">
                  <c:v>106</c:v>
                </c:pt>
                <c:pt idx="2341">
                  <c:v>124</c:v>
                </c:pt>
                <c:pt idx="2342">
                  <c:v>107</c:v>
                </c:pt>
                <c:pt idx="2343">
                  <c:v>99</c:v>
                </c:pt>
                <c:pt idx="2344">
                  <c:v>90</c:v>
                </c:pt>
                <c:pt idx="2345">
                  <c:v>101</c:v>
                </c:pt>
                <c:pt idx="2346">
                  <c:v>119</c:v>
                </c:pt>
                <c:pt idx="2347">
                  <c:v>103</c:v>
                </c:pt>
                <c:pt idx="2348">
                  <c:v>134</c:v>
                </c:pt>
                <c:pt idx="2349">
                  <c:v>155</c:v>
                </c:pt>
                <c:pt idx="2350">
                  <c:v>94</c:v>
                </c:pt>
                <c:pt idx="2351">
                  <c:v>95</c:v>
                </c:pt>
                <c:pt idx="2352">
                  <c:v>89</c:v>
                </c:pt>
                <c:pt idx="2353">
                  <c:v>97</c:v>
                </c:pt>
                <c:pt idx="2354">
                  <c:v>90</c:v>
                </c:pt>
                <c:pt idx="2355">
                  <c:v>92</c:v>
                </c:pt>
                <c:pt idx="2356">
                  <c:v>100</c:v>
                </c:pt>
                <c:pt idx="2357">
                  <c:v>117</c:v>
                </c:pt>
                <c:pt idx="2358">
                  <c:v>84</c:v>
                </c:pt>
                <c:pt idx="2359">
                  <c:v>140</c:v>
                </c:pt>
                <c:pt idx="2360">
                  <c:v>108</c:v>
                </c:pt>
                <c:pt idx="2361">
                  <c:v>109</c:v>
                </c:pt>
                <c:pt idx="2362">
                  <c:v>131</c:v>
                </c:pt>
                <c:pt idx="2363">
                  <c:v>114</c:v>
                </c:pt>
                <c:pt idx="2364">
                  <c:v>97</c:v>
                </c:pt>
                <c:pt idx="2365">
                  <c:v>122</c:v>
                </c:pt>
                <c:pt idx="2366">
                  <c:v>87</c:v>
                </c:pt>
                <c:pt idx="2367">
                  <c:v>101</c:v>
                </c:pt>
                <c:pt idx="2368">
                  <c:v>121</c:v>
                </c:pt>
                <c:pt idx="2369">
                  <c:v>107</c:v>
                </c:pt>
                <c:pt idx="2370">
                  <c:v>111</c:v>
                </c:pt>
                <c:pt idx="2371">
                  <c:v>97</c:v>
                </c:pt>
                <c:pt idx="2372">
                  <c:v>97</c:v>
                </c:pt>
                <c:pt idx="2373">
                  <c:v>125</c:v>
                </c:pt>
                <c:pt idx="2374">
                  <c:v>124</c:v>
                </c:pt>
                <c:pt idx="2375">
                  <c:v>76</c:v>
                </c:pt>
                <c:pt idx="2376">
                  <c:v>107</c:v>
                </c:pt>
                <c:pt idx="2377">
                  <c:v>91</c:v>
                </c:pt>
                <c:pt idx="2378">
                  <c:v>96</c:v>
                </c:pt>
                <c:pt idx="2379">
                  <c:v>142</c:v>
                </c:pt>
                <c:pt idx="2380">
                  <c:v>103</c:v>
                </c:pt>
                <c:pt idx="2381">
                  <c:v>117</c:v>
                </c:pt>
                <c:pt idx="2382">
                  <c:v>116</c:v>
                </c:pt>
                <c:pt idx="2383">
                  <c:v>118</c:v>
                </c:pt>
                <c:pt idx="2384">
                  <c:v>108</c:v>
                </c:pt>
                <c:pt idx="2385">
                  <c:v>94</c:v>
                </c:pt>
                <c:pt idx="2386">
                  <c:v>97</c:v>
                </c:pt>
                <c:pt idx="2387">
                  <c:v>97</c:v>
                </c:pt>
                <c:pt idx="2388">
                  <c:v>91</c:v>
                </c:pt>
                <c:pt idx="2389">
                  <c:v>107</c:v>
                </c:pt>
                <c:pt idx="2390">
                  <c:v>95</c:v>
                </c:pt>
                <c:pt idx="2391">
                  <c:v>102</c:v>
                </c:pt>
                <c:pt idx="2392">
                  <c:v>88</c:v>
                </c:pt>
                <c:pt idx="2393">
                  <c:v>106</c:v>
                </c:pt>
                <c:pt idx="2394">
                  <c:v>92</c:v>
                </c:pt>
                <c:pt idx="2395">
                  <c:v>105</c:v>
                </c:pt>
                <c:pt idx="2396">
                  <c:v>107</c:v>
                </c:pt>
                <c:pt idx="2397">
                  <c:v>120</c:v>
                </c:pt>
                <c:pt idx="2398">
                  <c:v>103</c:v>
                </c:pt>
                <c:pt idx="2399">
                  <c:v>92</c:v>
                </c:pt>
                <c:pt idx="2400">
                  <c:v>147</c:v>
                </c:pt>
                <c:pt idx="2401">
                  <c:v>98</c:v>
                </c:pt>
                <c:pt idx="2402">
                  <c:v>103</c:v>
                </c:pt>
                <c:pt idx="2403">
                  <c:v>111</c:v>
                </c:pt>
                <c:pt idx="2404">
                  <c:v>98</c:v>
                </c:pt>
                <c:pt idx="2405">
                  <c:v>111</c:v>
                </c:pt>
                <c:pt idx="2406">
                  <c:v>111</c:v>
                </c:pt>
                <c:pt idx="2407">
                  <c:v>145</c:v>
                </c:pt>
                <c:pt idx="2408">
                  <c:v>84</c:v>
                </c:pt>
                <c:pt idx="2409">
                  <c:v>115</c:v>
                </c:pt>
                <c:pt idx="2410">
                  <c:v>105</c:v>
                </c:pt>
                <c:pt idx="2411">
                  <c:v>98</c:v>
                </c:pt>
                <c:pt idx="2412">
                  <c:v>110</c:v>
                </c:pt>
                <c:pt idx="2413">
                  <c:v>90</c:v>
                </c:pt>
                <c:pt idx="2414">
                  <c:v>105</c:v>
                </c:pt>
                <c:pt idx="2415">
                  <c:v>93</c:v>
                </c:pt>
                <c:pt idx="2416">
                  <c:v>101</c:v>
                </c:pt>
                <c:pt idx="2417">
                  <c:v>115</c:v>
                </c:pt>
                <c:pt idx="2418">
                  <c:v>120</c:v>
                </c:pt>
                <c:pt idx="2419">
                  <c:v>131</c:v>
                </c:pt>
                <c:pt idx="2420">
                  <c:v>139</c:v>
                </c:pt>
                <c:pt idx="2421">
                  <c:v>120</c:v>
                </c:pt>
                <c:pt idx="2422">
                  <c:v>119</c:v>
                </c:pt>
                <c:pt idx="2423">
                  <c:v>125</c:v>
                </c:pt>
                <c:pt idx="2424">
                  <c:v>108</c:v>
                </c:pt>
                <c:pt idx="2425">
                  <c:v>145</c:v>
                </c:pt>
                <c:pt idx="2426">
                  <c:v>98</c:v>
                </c:pt>
                <c:pt idx="2427">
                  <c:v>101</c:v>
                </c:pt>
                <c:pt idx="2428">
                  <c:v>109</c:v>
                </c:pt>
                <c:pt idx="2429">
                  <c:v>123</c:v>
                </c:pt>
                <c:pt idx="2430">
                  <c:v>99</c:v>
                </c:pt>
                <c:pt idx="2431">
                  <c:v>107</c:v>
                </c:pt>
                <c:pt idx="2432">
                  <c:v>81</c:v>
                </c:pt>
                <c:pt idx="2433">
                  <c:v>105</c:v>
                </c:pt>
                <c:pt idx="2434">
                  <c:v>82</c:v>
                </c:pt>
                <c:pt idx="2435">
                  <c:v>109</c:v>
                </c:pt>
                <c:pt idx="2436">
                  <c:v>95</c:v>
                </c:pt>
                <c:pt idx="2437">
                  <c:v>100</c:v>
                </c:pt>
                <c:pt idx="2438">
                  <c:v>91</c:v>
                </c:pt>
                <c:pt idx="2439">
                  <c:v>90</c:v>
                </c:pt>
                <c:pt idx="2440">
                  <c:v>108</c:v>
                </c:pt>
                <c:pt idx="2441">
                  <c:v>103</c:v>
                </c:pt>
                <c:pt idx="2442">
                  <c:v>96</c:v>
                </c:pt>
                <c:pt idx="2443">
                  <c:v>117</c:v>
                </c:pt>
                <c:pt idx="2444">
                  <c:v>93</c:v>
                </c:pt>
                <c:pt idx="2445">
                  <c:v>115</c:v>
                </c:pt>
                <c:pt idx="2446">
                  <c:v>85</c:v>
                </c:pt>
                <c:pt idx="2447">
                  <c:v>112</c:v>
                </c:pt>
                <c:pt idx="2448">
                  <c:v>86</c:v>
                </c:pt>
                <c:pt idx="2449">
                  <c:v>86</c:v>
                </c:pt>
                <c:pt idx="2450">
                  <c:v>137</c:v>
                </c:pt>
                <c:pt idx="2451">
                  <c:v>90</c:v>
                </c:pt>
                <c:pt idx="2452">
                  <c:v>107</c:v>
                </c:pt>
                <c:pt idx="2453">
                  <c:v>98</c:v>
                </c:pt>
                <c:pt idx="2454">
                  <c:v>84</c:v>
                </c:pt>
                <c:pt idx="2455">
                  <c:v>139</c:v>
                </c:pt>
                <c:pt idx="2456">
                  <c:v>127</c:v>
                </c:pt>
                <c:pt idx="2457">
                  <c:v>150</c:v>
                </c:pt>
                <c:pt idx="2458">
                  <c:v>132</c:v>
                </c:pt>
                <c:pt idx="2459">
                  <c:v>115</c:v>
                </c:pt>
                <c:pt idx="2460">
                  <c:v>186</c:v>
                </c:pt>
                <c:pt idx="2461">
                  <c:v>90</c:v>
                </c:pt>
                <c:pt idx="2462">
                  <c:v>134</c:v>
                </c:pt>
                <c:pt idx="2463">
                  <c:v>97</c:v>
                </c:pt>
                <c:pt idx="2464">
                  <c:v>107</c:v>
                </c:pt>
                <c:pt idx="2465">
                  <c:v>99</c:v>
                </c:pt>
                <c:pt idx="2466">
                  <c:v>124</c:v>
                </c:pt>
                <c:pt idx="2467">
                  <c:v>110</c:v>
                </c:pt>
                <c:pt idx="2468">
                  <c:v>178</c:v>
                </c:pt>
                <c:pt idx="2469">
                  <c:v>125</c:v>
                </c:pt>
                <c:pt idx="2470">
                  <c:v>121</c:v>
                </c:pt>
                <c:pt idx="2471">
                  <c:v>100</c:v>
                </c:pt>
                <c:pt idx="2472">
                  <c:v>115</c:v>
                </c:pt>
                <c:pt idx="2473">
                  <c:v>108</c:v>
                </c:pt>
                <c:pt idx="2474">
                  <c:v>220</c:v>
                </c:pt>
                <c:pt idx="2475">
                  <c:v>112</c:v>
                </c:pt>
                <c:pt idx="2476">
                  <c:v>99</c:v>
                </c:pt>
                <c:pt idx="2477">
                  <c:v>109</c:v>
                </c:pt>
                <c:pt idx="2478">
                  <c:v>83</c:v>
                </c:pt>
                <c:pt idx="2479">
                  <c:v>107</c:v>
                </c:pt>
                <c:pt idx="2480">
                  <c:v>102</c:v>
                </c:pt>
                <c:pt idx="2481">
                  <c:v>100</c:v>
                </c:pt>
                <c:pt idx="2482">
                  <c:v>97</c:v>
                </c:pt>
                <c:pt idx="2483">
                  <c:v>92</c:v>
                </c:pt>
                <c:pt idx="2484">
                  <c:v>84</c:v>
                </c:pt>
                <c:pt idx="2485">
                  <c:v>86</c:v>
                </c:pt>
                <c:pt idx="2486">
                  <c:v>120</c:v>
                </c:pt>
                <c:pt idx="2487">
                  <c:v>89</c:v>
                </c:pt>
                <c:pt idx="2488">
                  <c:v>117</c:v>
                </c:pt>
                <c:pt idx="2489">
                  <c:v>97</c:v>
                </c:pt>
                <c:pt idx="2490">
                  <c:v>91</c:v>
                </c:pt>
                <c:pt idx="2491">
                  <c:v>100</c:v>
                </c:pt>
                <c:pt idx="2492">
                  <c:v>72</c:v>
                </c:pt>
                <c:pt idx="2493">
                  <c:v>84</c:v>
                </c:pt>
                <c:pt idx="2494">
                  <c:v>126</c:v>
                </c:pt>
                <c:pt idx="2495">
                  <c:v>108</c:v>
                </c:pt>
                <c:pt idx="2496">
                  <c:v>112</c:v>
                </c:pt>
                <c:pt idx="2497">
                  <c:v>90</c:v>
                </c:pt>
                <c:pt idx="2498">
                  <c:v>91</c:v>
                </c:pt>
                <c:pt idx="2499">
                  <c:v>135</c:v>
                </c:pt>
                <c:pt idx="2500">
                  <c:v>141</c:v>
                </c:pt>
                <c:pt idx="2501">
                  <c:v>104</c:v>
                </c:pt>
                <c:pt idx="2502">
                  <c:v>84</c:v>
                </c:pt>
                <c:pt idx="2503">
                  <c:v>118</c:v>
                </c:pt>
                <c:pt idx="2504">
                  <c:v>95</c:v>
                </c:pt>
                <c:pt idx="2505">
                  <c:v>94</c:v>
                </c:pt>
                <c:pt idx="2506">
                  <c:v>99</c:v>
                </c:pt>
                <c:pt idx="2507">
                  <c:v>121</c:v>
                </c:pt>
                <c:pt idx="2508">
                  <c:v>84</c:v>
                </c:pt>
                <c:pt idx="2509">
                  <c:v>93</c:v>
                </c:pt>
                <c:pt idx="2510">
                  <c:v>93</c:v>
                </c:pt>
                <c:pt idx="2511">
                  <c:v>120</c:v>
                </c:pt>
                <c:pt idx="2512">
                  <c:v>112</c:v>
                </c:pt>
                <c:pt idx="2513">
                  <c:v>107</c:v>
                </c:pt>
                <c:pt idx="2514">
                  <c:v>112</c:v>
                </c:pt>
                <c:pt idx="2515">
                  <c:v>96</c:v>
                </c:pt>
                <c:pt idx="2516">
                  <c:v>91</c:v>
                </c:pt>
                <c:pt idx="2517">
                  <c:v>125</c:v>
                </c:pt>
                <c:pt idx="2518">
                  <c:v>102</c:v>
                </c:pt>
                <c:pt idx="2519">
                  <c:v>87</c:v>
                </c:pt>
                <c:pt idx="2520">
                  <c:v>118</c:v>
                </c:pt>
                <c:pt idx="2521">
                  <c:v>115</c:v>
                </c:pt>
                <c:pt idx="2522">
                  <c:v>91</c:v>
                </c:pt>
                <c:pt idx="2523">
                  <c:v>88</c:v>
                </c:pt>
                <c:pt idx="2524">
                  <c:v>127</c:v>
                </c:pt>
                <c:pt idx="2525">
                  <c:v>94</c:v>
                </c:pt>
                <c:pt idx="2526">
                  <c:v>115</c:v>
                </c:pt>
                <c:pt idx="2527">
                  <c:v>90</c:v>
                </c:pt>
                <c:pt idx="2528">
                  <c:v>102</c:v>
                </c:pt>
                <c:pt idx="2529">
                  <c:v>117</c:v>
                </c:pt>
                <c:pt idx="2530">
                  <c:v>109</c:v>
                </c:pt>
                <c:pt idx="2531">
                  <c:v>121</c:v>
                </c:pt>
                <c:pt idx="2532">
                  <c:v>100</c:v>
                </c:pt>
                <c:pt idx="2533">
                  <c:v>109</c:v>
                </c:pt>
                <c:pt idx="2534">
                  <c:v>101</c:v>
                </c:pt>
                <c:pt idx="2535">
                  <c:v>106</c:v>
                </c:pt>
                <c:pt idx="2536">
                  <c:v>94</c:v>
                </c:pt>
                <c:pt idx="2537">
                  <c:v>140</c:v>
                </c:pt>
                <c:pt idx="2538">
                  <c:v>132</c:v>
                </c:pt>
                <c:pt idx="2539">
                  <c:v>99</c:v>
                </c:pt>
                <c:pt idx="2540">
                  <c:v>90</c:v>
                </c:pt>
                <c:pt idx="2541">
                  <c:v>105</c:v>
                </c:pt>
                <c:pt idx="2542">
                  <c:v>108</c:v>
                </c:pt>
                <c:pt idx="2543">
                  <c:v>69</c:v>
                </c:pt>
                <c:pt idx="2544">
                  <c:v>148</c:v>
                </c:pt>
                <c:pt idx="2545">
                  <c:v>132</c:v>
                </c:pt>
                <c:pt idx="2546">
                  <c:v>130</c:v>
                </c:pt>
                <c:pt idx="2547">
                  <c:v>95</c:v>
                </c:pt>
                <c:pt idx="2548">
                  <c:v>80</c:v>
                </c:pt>
                <c:pt idx="2549">
                  <c:v>94</c:v>
                </c:pt>
                <c:pt idx="2550">
                  <c:v>122</c:v>
                </c:pt>
                <c:pt idx="2551">
                  <c:v>102</c:v>
                </c:pt>
                <c:pt idx="2552">
                  <c:v>116</c:v>
                </c:pt>
                <c:pt idx="2553">
                  <c:v>78</c:v>
                </c:pt>
                <c:pt idx="2554">
                  <c:v>114</c:v>
                </c:pt>
                <c:pt idx="2555">
                  <c:v>112</c:v>
                </c:pt>
                <c:pt idx="2556">
                  <c:v>110</c:v>
                </c:pt>
                <c:pt idx="2557">
                  <c:v>104</c:v>
                </c:pt>
                <c:pt idx="2558">
                  <c:v>81</c:v>
                </c:pt>
                <c:pt idx="2559">
                  <c:v>102</c:v>
                </c:pt>
                <c:pt idx="2560">
                  <c:v>89</c:v>
                </c:pt>
                <c:pt idx="2561">
                  <c:v>132</c:v>
                </c:pt>
                <c:pt idx="2562">
                  <c:v>103</c:v>
                </c:pt>
                <c:pt idx="2563">
                  <c:v>93</c:v>
                </c:pt>
                <c:pt idx="2564">
                  <c:v>93</c:v>
                </c:pt>
                <c:pt idx="2565">
                  <c:v>96</c:v>
                </c:pt>
                <c:pt idx="2566">
                  <c:v>89</c:v>
                </c:pt>
                <c:pt idx="2567">
                  <c:v>92</c:v>
                </c:pt>
                <c:pt idx="2568">
                  <c:v>97</c:v>
                </c:pt>
                <c:pt idx="2569">
                  <c:v>93</c:v>
                </c:pt>
                <c:pt idx="2570">
                  <c:v>89</c:v>
                </c:pt>
                <c:pt idx="2571">
                  <c:v>123</c:v>
                </c:pt>
                <c:pt idx="2572">
                  <c:v>93</c:v>
                </c:pt>
                <c:pt idx="2573">
                  <c:v>133</c:v>
                </c:pt>
                <c:pt idx="2574">
                  <c:v>121</c:v>
                </c:pt>
                <c:pt idx="2575">
                  <c:v>102</c:v>
                </c:pt>
                <c:pt idx="2576">
                  <c:v>99</c:v>
                </c:pt>
                <c:pt idx="2577">
                  <c:v>98</c:v>
                </c:pt>
                <c:pt idx="2578">
                  <c:v>118</c:v>
                </c:pt>
                <c:pt idx="2579">
                  <c:v>104</c:v>
                </c:pt>
                <c:pt idx="2580">
                  <c:v>109</c:v>
                </c:pt>
                <c:pt idx="2581">
                  <c:v>115</c:v>
                </c:pt>
                <c:pt idx="2582">
                  <c:v>92</c:v>
                </c:pt>
                <c:pt idx="2583">
                  <c:v>91</c:v>
                </c:pt>
                <c:pt idx="2584">
                  <c:v>94</c:v>
                </c:pt>
                <c:pt idx="2585">
                  <c:v>93</c:v>
                </c:pt>
                <c:pt idx="2586">
                  <c:v>100</c:v>
                </c:pt>
                <c:pt idx="2587">
                  <c:v>293</c:v>
                </c:pt>
                <c:pt idx="2588">
                  <c:v>93</c:v>
                </c:pt>
                <c:pt idx="2589">
                  <c:v>123</c:v>
                </c:pt>
                <c:pt idx="2590">
                  <c:v>119</c:v>
                </c:pt>
                <c:pt idx="2591">
                  <c:v>107</c:v>
                </c:pt>
                <c:pt idx="2592">
                  <c:v>106</c:v>
                </c:pt>
                <c:pt idx="2593">
                  <c:v>109</c:v>
                </c:pt>
                <c:pt idx="2594">
                  <c:v>81</c:v>
                </c:pt>
                <c:pt idx="2595">
                  <c:v>95</c:v>
                </c:pt>
                <c:pt idx="2596">
                  <c:v>86</c:v>
                </c:pt>
                <c:pt idx="2597">
                  <c:v>113</c:v>
                </c:pt>
                <c:pt idx="2598">
                  <c:v>122</c:v>
                </c:pt>
                <c:pt idx="2599">
                  <c:v>90</c:v>
                </c:pt>
                <c:pt idx="2600">
                  <c:v>108</c:v>
                </c:pt>
                <c:pt idx="2601">
                  <c:v>113</c:v>
                </c:pt>
                <c:pt idx="2602">
                  <c:v>110</c:v>
                </c:pt>
                <c:pt idx="2603">
                  <c:v>109</c:v>
                </c:pt>
                <c:pt idx="2604">
                  <c:v>110</c:v>
                </c:pt>
                <c:pt idx="2605">
                  <c:v>101</c:v>
                </c:pt>
                <c:pt idx="2606">
                  <c:v>97</c:v>
                </c:pt>
                <c:pt idx="2607">
                  <c:v>172</c:v>
                </c:pt>
                <c:pt idx="2608">
                  <c:v>104</c:v>
                </c:pt>
                <c:pt idx="2609">
                  <c:v>99</c:v>
                </c:pt>
                <c:pt idx="2610">
                  <c:v>129</c:v>
                </c:pt>
                <c:pt idx="2611">
                  <c:v>91</c:v>
                </c:pt>
                <c:pt idx="2612">
                  <c:v>100</c:v>
                </c:pt>
                <c:pt idx="2613">
                  <c:v>111</c:v>
                </c:pt>
                <c:pt idx="2614">
                  <c:v>114</c:v>
                </c:pt>
                <c:pt idx="2615">
                  <c:v>86</c:v>
                </c:pt>
                <c:pt idx="2616">
                  <c:v>107</c:v>
                </c:pt>
                <c:pt idx="2617">
                  <c:v>90</c:v>
                </c:pt>
                <c:pt idx="2618">
                  <c:v>120</c:v>
                </c:pt>
                <c:pt idx="2619">
                  <c:v>134</c:v>
                </c:pt>
                <c:pt idx="2620">
                  <c:v>110</c:v>
                </c:pt>
                <c:pt idx="2621">
                  <c:v>132</c:v>
                </c:pt>
                <c:pt idx="2622">
                  <c:v>113</c:v>
                </c:pt>
                <c:pt idx="2623">
                  <c:v>111</c:v>
                </c:pt>
                <c:pt idx="2624">
                  <c:v>99</c:v>
                </c:pt>
                <c:pt idx="2625">
                  <c:v>104</c:v>
                </c:pt>
                <c:pt idx="2626">
                  <c:v>103</c:v>
                </c:pt>
                <c:pt idx="2627">
                  <c:v>134</c:v>
                </c:pt>
                <c:pt idx="2628">
                  <c:v>106</c:v>
                </c:pt>
                <c:pt idx="2629">
                  <c:v>125</c:v>
                </c:pt>
                <c:pt idx="2630">
                  <c:v>109</c:v>
                </c:pt>
                <c:pt idx="2631">
                  <c:v>200</c:v>
                </c:pt>
                <c:pt idx="2632">
                  <c:v>112</c:v>
                </c:pt>
                <c:pt idx="2633">
                  <c:v>116</c:v>
                </c:pt>
                <c:pt idx="2634">
                  <c:v>120</c:v>
                </c:pt>
                <c:pt idx="2635">
                  <c:v>107</c:v>
                </c:pt>
                <c:pt idx="2636">
                  <c:v>107</c:v>
                </c:pt>
                <c:pt idx="2637">
                  <c:v>81</c:v>
                </c:pt>
                <c:pt idx="2638">
                  <c:v>101</c:v>
                </c:pt>
                <c:pt idx="2639">
                  <c:v>122</c:v>
                </c:pt>
                <c:pt idx="2640">
                  <c:v>97</c:v>
                </c:pt>
                <c:pt idx="2641">
                  <c:v>92</c:v>
                </c:pt>
                <c:pt idx="2642">
                  <c:v>110</c:v>
                </c:pt>
                <c:pt idx="2643">
                  <c:v>86</c:v>
                </c:pt>
                <c:pt idx="2644">
                  <c:v>91</c:v>
                </c:pt>
                <c:pt idx="2645">
                  <c:v>100</c:v>
                </c:pt>
                <c:pt idx="2646">
                  <c:v>111</c:v>
                </c:pt>
                <c:pt idx="2647">
                  <c:v>89</c:v>
                </c:pt>
                <c:pt idx="2648">
                  <c:v>84</c:v>
                </c:pt>
                <c:pt idx="2649">
                  <c:v>98</c:v>
                </c:pt>
                <c:pt idx="2650">
                  <c:v>95</c:v>
                </c:pt>
                <c:pt idx="2651">
                  <c:v>109</c:v>
                </c:pt>
                <c:pt idx="2652">
                  <c:v>118</c:v>
                </c:pt>
                <c:pt idx="2653">
                  <c:v>88</c:v>
                </c:pt>
                <c:pt idx="2654">
                  <c:v>86</c:v>
                </c:pt>
                <c:pt idx="2655">
                  <c:v>118</c:v>
                </c:pt>
                <c:pt idx="2656">
                  <c:v>125</c:v>
                </c:pt>
                <c:pt idx="2657">
                  <c:v>125</c:v>
                </c:pt>
                <c:pt idx="2658">
                  <c:v>94</c:v>
                </c:pt>
                <c:pt idx="2659">
                  <c:v>113</c:v>
                </c:pt>
                <c:pt idx="2660">
                  <c:v>104</c:v>
                </c:pt>
                <c:pt idx="2661">
                  <c:v>95</c:v>
                </c:pt>
                <c:pt idx="2662">
                  <c:v>102</c:v>
                </c:pt>
                <c:pt idx="2663">
                  <c:v>104</c:v>
                </c:pt>
                <c:pt idx="2664">
                  <c:v>95</c:v>
                </c:pt>
                <c:pt idx="2665">
                  <c:v>118</c:v>
                </c:pt>
                <c:pt idx="2666">
                  <c:v>193</c:v>
                </c:pt>
                <c:pt idx="2667">
                  <c:v>97</c:v>
                </c:pt>
                <c:pt idx="2668">
                  <c:v>98</c:v>
                </c:pt>
                <c:pt idx="2669">
                  <c:v>103</c:v>
                </c:pt>
                <c:pt idx="2670">
                  <c:v>161</c:v>
                </c:pt>
                <c:pt idx="2671">
                  <c:v>120</c:v>
                </c:pt>
                <c:pt idx="2672">
                  <c:v>97</c:v>
                </c:pt>
                <c:pt idx="2673">
                  <c:v>99</c:v>
                </c:pt>
                <c:pt idx="2674">
                  <c:v>145</c:v>
                </c:pt>
                <c:pt idx="2675">
                  <c:v>121</c:v>
                </c:pt>
                <c:pt idx="2676">
                  <c:v>117</c:v>
                </c:pt>
                <c:pt idx="2677">
                  <c:v>98</c:v>
                </c:pt>
                <c:pt idx="2678">
                  <c:v>109</c:v>
                </c:pt>
                <c:pt idx="2679">
                  <c:v>95</c:v>
                </c:pt>
                <c:pt idx="2680">
                  <c:v>96</c:v>
                </c:pt>
                <c:pt idx="2681">
                  <c:v>101</c:v>
                </c:pt>
                <c:pt idx="2682">
                  <c:v>107</c:v>
                </c:pt>
                <c:pt idx="2683">
                  <c:v>119</c:v>
                </c:pt>
                <c:pt idx="2684">
                  <c:v>100</c:v>
                </c:pt>
                <c:pt idx="2685">
                  <c:v>98</c:v>
                </c:pt>
                <c:pt idx="2686">
                  <c:v>92</c:v>
                </c:pt>
                <c:pt idx="2687">
                  <c:v>90</c:v>
                </c:pt>
                <c:pt idx="2688">
                  <c:v>90</c:v>
                </c:pt>
                <c:pt idx="2689">
                  <c:v>153</c:v>
                </c:pt>
                <c:pt idx="2690">
                  <c:v>124</c:v>
                </c:pt>
                <c:pt idx="2691">
                  <c:v>82</c:v>
                </c:pt>
                <c:pt idx="2692">
                  <c:v>107</c:v>
                </c:pt>
                <c:pt idx="2693">
                  <c:v>97</c:v>
                </c:pt>
                <c:pt idx="2694">
                  <c:v>80</c:v>
                </c:pt>
                <c:pt idx="2695">
                  <c:v>85</c:v>
                </c:pt>
                <c:pt idx="2696">
                  <c:v>97</c:v>
                </c:pt>
                <c:pt idx="2697">
                  <c:v>109</c:v>
                </c:pt>
                <c:pt idx="2698">
                  <c:v>140</c:v>
                </c:pt>
                <c:pt idx="2699">
                  <c:v>90</c:v>
                </c:pt>
                <c:pt idx="2700">
                  <c:v>130</c:v>
                </c:pt>
                <c:pt idx="2701">
                  <c:v>98</c:v>
                </c:pt>
                <c:pt idx="2702">
                  <c:v>101</c:v>
                </c:pt>
                <c:pt idx="2703">
                  <c:v>114</c:v>
                </c:pt>
                <c:pt idx="2704">
                  <c:v>100</c:v>
                </c:pt>
                <c:pt idx="2705">
                  <c:v>85</c:v>
                </c:pt>
                <c:pt idx="2706">
                  <c:v>103</c:v>
                </c:pt>
                <c:pt idx="2707">
                  <c:v>100</c:v>
                </c:pt>
                <c:pt idx="2708">
                  <c:v>114</c:v>
                </c:pt>
                <c:pt idx="2709">
                  <c:v>97</c:v>
                </c:pt>
                <c:pt idx="2710">
                  <c:v>116</c:v>
                </c:pt>
                <c:pt idx="2711">
                  <c:v>96</c:v>
                </c:pt>
                <c:pt idx="2712">
                  <c:v>98</c:v>
                </c:pt>
                <c:pt idx="2713">
                  <c:v>105</c:v>
                </c:pt>
                <c:pt idx="2714">
                  <c:v>123</c:v>
                </c:pt>
                <c:pt idx="2715">
                  <c:v>93</c:v>
                </c:pt>
                <c:pt idx="2716">
                  <c:v>97</c:v>
                </c:pt>
                <c:pt idx="2717">
                  <c:v>122</c:v>
                </c:pt>
                <c:pt idx="2718">
                  <c:v>101</c:v>
                </c:pt>
                <c:pt idx="2719">
                  <c:v>100</c:v>
                </c:pt>
                <c:pt idx="2720">
                  <c:v>129</c:v>
                </c:pt>
                <c:pt idx="2721">
                  <c:v>81</c:v>
                </c:pt>
                <c:pt idx="2722">
                  <c:v>84</c:v>
                </c:pt>
                <c:pt idx="2723">
                  <c:v>110</c:v>
                </c:pt>
                <c:pt idx="2724">
                  <c:v>130</c:v>
                </c:pt>
                <c:pt idx="2725">
                  <c:v>84</c:v>
                </c:pt>
                <c:pt idx="2726">
                  <c:v>106</c:v>
                </c:pt>
                <c:pt idx="2727">
                  <c:v>76</c:v>
                </c:pt>
                <c:pt idx="2728">
                  <c:v>99</c:v>
                </c:pt>
                <c:pt idx="2729">
                  <c:v>96</c:v>
                </c:pt>
                <c:pt idx="2730">
                  <c:v>104</c:v>
                </c:pt>
                <c:pt idx="2731">
                  <c:v>108</c:v>
                </c:pt>
                <c:pt idx="2732">
                  <c:v>108</c:v>
                </c:pt>
                <c:pt idx="2733">
                  <c:v>87</c:v>
                </c:pt>
                <c:pt idx="2734">
                  <c:v>89</c:v>
                </c:pt>
                <c:pt idx="2735">
                  <c:v>97</c:v>
                </c:pt>
                <c:pt idx="2736">
                  <c:v>106</c:v>
                </c:pt>
                <c:pt idx="2737">
                  <c:v>100</c:v>
                </c:pt>
                <c:pt idx="2738">
                  <c:v>89</c:v>
                </c:pt>
                <c:pt idx="2739">
                  <c:v>95</c:v>
                </c:pt>
                <c:pt idx="2740">
                  <c:v>97</c:v>
                </c:pt>
                <c:pt idx="2741">
                  <c:v>94</c:v>
                </c:pt>
                <c:pt idx="2742">
                  <c:v>95</c:v>
                </c:pt>
                <c:pt idx="2743">
                  <c:v>101</c:v>
                </c:pt>
                <c:pt idx="2744">
                  <c:v>101</c:v>
                </c:pt>
                <c:pt idx="2745">
                  <c:v>82</c:v>
                </c:pt>
                <c:pt idx="2746">
                  <c:v>74</c:v>
                </c:pt>
                <c:pt idx="2747">
                  <c:v>130</c:v>
                </c:pt>
                <c:pt idx="2748">
                  <c:v>112</c:v>
                </c:pt>
                <c:pt idx="2749">
                  <c:v>96</c:v>
                </c:pt>
                <c:pt idx="2750">
                  <c:v>89</c:v>
                </c:pt>
                <c:pt idx="2751">
                  <c:v>121</c:v>
                </c:pt>
                <c:pt idx="2752">
                  <c:v>85</c:v>
                </c:pt>
                <c:pt idx="2753">
                  <c:v>120</c:v>
                </c:pt>
                <c:pt idx="2754">
                  <c:v>106</c:v>
                </c:pt>
                <c:pt idx="2755">
                  <c:v>83</c:v>
                </c:pt>
                <c:pt idx="2756">
                  <c:v>120</c:v>
                </c:pt>
                <c:pt idx="2757">
                  <c:v>111</c:v>
                </c:pt>
                <c:pt idx="2758">
                  <c:v>100</c:v>
                </c:pt>
                <c:pt idx="2759">
                  <c:v>89</c:v>
                </c:pt>
                <c:pt idx="2760">
                  <c:v>115</c:v>
                </c:pt>
                <c:pt idx="2761">
                  <c:v>135</c:v>
                </c:pt>
                <c:pt idx="2762">
                  <c:v>92</c:v>
                </c:pt>
                <c:pt idx="2763">
                  <c:v>120</c:v>
                </c:pt>
                <c:pt idx="2764">
                  <c:v>97</c:v>
                </c:pt>
                <c:pt idx="2765">
                  <c:v>135</c:v>
                </c:pt>
                <c:pt idx="2766">
                  <c:v>93</c:v>
                </c:pt>
                <c:pt idx="2767">
                  <c:v>118</c:v>
                </c:pt>
                <c:pt idx="2768">
                  <c:v>97</c:v>
                </c:pt>
                <c:pt idx="2769">
                  <c:v>98</c:v>
                </c:pt>
                <c:pt idx="2770">
                  <c:v>101</c:v>
                </c:pt>
                <c:pt idx="2771">
                  <c:v>132</c:v>
                </c:pt>
                <c:pt idx="2772">
                  <c:v>106</c:v>
                </c:pt>
                <c:pt idx="2773">
                  <c:v>98</c:v>
                </c:pt>
                <c:pt idx="2774">
                  <c:v>96</c:v>
                </c:pt>
                <c:pt idx="2775">
                  <c:v>104</c:v>
                </c:pt>
                <c:pt idx="2776">
                  <c:v>93</c:v>
                </c:pt>
                <c:pt idx="2777">
                  <c:v>95</c:v>
                </c:pt>
                <c:pt idx="2778">
                  <c:v>89</c:v>
                </c:pt>
                <c:pt idx="2779">
                  <c:v>107</c:v>
                </c:pt>
                <c:pt idx="2780">
                  <c:v>85</c:v>
                </c:pt>
                <c:pt idx="2781">
                  <c:v>93</c:v>
                </c:pt>
                <c:pt idx="2782">
                  <c:v>101</c:v>
                </c:pt>
                <c:pt idx="2783">
                  <c:v>103</c:v>
                </c:pt>
                <c:pt idx="2784">
                  <c:v>111</c:v>
                </c:pt>
                <c:pt idx="2785">
                  <c:v>86</c:v>
                </c:pt>
                <c:pt idx="2786">
                  <c:v>90</c:v>
                </c:pt>
                <c:pt idx="2787">
                  <c:v>82</c:v>
                </c:pt>
                <c:pt idx="2788">
                  <c:v>83</c:v>
                </c:pt>
                <c:pt idx="2789">
                  <c:v>125</c:v>
                </c:pt>
                <c:pt idx="2790">
                  <c:v>86</c:v>
                </c:pt>
                <c:pt idx="2791">
                  <c:v>91</c:v>
                </c:pt>
                <c:pt idx="2792">
                  <c:v>90</c:v>
                </c:pt>
                <c:pt idx="2793">
                  <c:v>90</c:v>
                </c:pt>
                <c:pt idx="2794">
                  <c:v>93</c:v>
                </c:pt>
                <c:pt idx="2795">
                  <c:v>104</c:v>
                </c:pt>
                <c:pt idx="2796">
                  <c:v>85</c:v>
                </c:pt>
                <c:pt idx="2797">
                  <c:v>81</c:v>
                </c:pt>
                <c:pt idx="2798">
                  <c:v>135</c:v>
                </c:pt>
                <c:pt idx="2799">
                  <c:v>144</c:v>
                </c:pt>
                <c:pt idx="2800">
                  <c:v>98</c:v>
                </c:pt>
                <c:pt idx="2801">
                  <c:v>117</c:v>
                </c:pt>
                <c:pt idx="2802">
                  <c:v>127</c:v>
                </c:pt>
                <c:pt idx="2803">
                  <c:v>98</c:v>
                </c:pt>
                <c:pt idx="2804">
                  <c:v>197</c:v>
                </c:pt>
                <c:pt idx="2805">
                  <c:v>104</c:v>
                </c:pt>
                <c:pt idx="2806">
                  <c:v>90</c:v>
                </c:pt>
                <c:pt idx="2807">
                  <c:v>130</c:v>
                </c:pt>
                <c:pt idx="2808">
                  <c:v>176</c:v>
                </c:pt>
                <c:pt idx="2809">
                  <c:v>116</c:v>
                </c:pt>
                <c:pt idx="2810">
                  <c:v>88</c:v>
                </c:pt>
                <c:pt idx="2811">
                  <c:v>106</c:v>
                </c:pt>
                <c:pt idx="2812">
                  <c:v>181</c:v>
                </c:pt>
                <c:pt idx="2813">
                  <c:v>130</c:v>
                </c:pt>
                <c:pt idx="2814">
                  <c:v>123</c:v>
                </c:pt>
                <c:pt idx="2815">
                  <c:v>120</c:v>
                </c:pt>
                <c:pt idx="2816">
                  <c:v>87</c:v>
                </c:pt>
                <c:pt idx="2817">
                  <c:v>123</c:v>
                </c:pt>
                <c:pt idx="2818">
                  <c:v>103</c:v>
                </c:pt>
                <c:pt idx="2819">
                  <c:v>91</c:v>
                </c:pt>
                <c:pt idx="2820">
                  <c:v>88</c:v>
                </c:pt>
                <c:pt idx="2821">
                  <c:v>126</c:v>
                </c:pt>
                <c:pt idx="2822">
                  <c:v>120</c:v>
                </c:pt>
                <c:pt idx="2823">
                  <c:v>94</c:v>
                </c:pt>
                <c:pt idx="2824">
                  <c:v>137</c:v>
                </c:pt>
                <c:pt idx="2825">
                  <c:v>119</c:v>
                </c:pt>
                <c:pt idx="2826">
                  <c:v>99</c:v>
                </c:pt>
                <c:pt idx="2827">
                  <c:v>79</c:v>
                </c:pt>
                <c:pt idx="2828">
                  <c:v>95</c:v>
                </c:pt>
                <c:pt idx="2829">
                  <c:v>103</c:v>
                </c:pt>
                <c:pt idx="2830">
                  <c:v>92</c:v>
                </c:pt>
                <c:pt idx="2831">
                  <c:v>84</c:v>
                </c:pt>
                <c:pt idx="2832">
                  <c:v>300</c:v>
                </c:pt>
                <c:pt idx="2833">
                  <c:v>120</c:v>
                </c:pt>
                <c:pt idx="2834">
                  <c:v>121</c:v>
                </c:pt>
                <c:pt idx="2835">
                  <c:v>97</c:v>
                </c:pt>
                <c:pt idx="2836">
                  <c:v>86</c:v>
                </c:pt>
                <c:pt idx="2837">
                  <c:v>45</c:v>
                </c:pt>
                <c:pt idx="2838">
                  <c:v>97</c:v>
                </c:pt>
                <c:pt idx="2839">
                  <c:v>93</c:v>
                </c:pt>
                <c:pt idx="2840">
                  <c:v>84</c:v>
                </c:pt>
                <c:pt idx="2841">
                  <c:v>96</c:v>
                </c:pt>
                <c:pt idx="2842">
                  <c:v>112</c:v>
                </c:pt>
                <c:pt idx="2843">
                  <c:v>125</c:v>
                </c:pt>
                <c:pt idx="2844">
                  <c:v>96</c:v>
                </c:pt>
                <c:pt idx="2845">
                  <c:v>103</c:v>
                </c:pt>
                <c:pt idx="2846">
                  <c:v>101</c:v>
                </c:pt>
                <c:pt idx="2847">
                  <c:v>104</c:v>
                </c:pt>
                <c:pt idx="2848">
                  <c:v>119</c:v>
                </c:pt>
                <c:pt idx="2849">
                  <c:v>128</c:v>
                </c:pt>
                <c:pt idx="2850">
                  <c:v>106</c:v>
                </c:pt>
                <c:pt idx="2851">
                  <c:v>126</c:v>
                </c:pt>
                <c:pt idx="2852">
                  <c:v>150</c:v>
                </c:pt>
                <c:pt idx="2853">
                  <c:v>178</c:v>
                </c:pt>
                <c:pt idx="2854">
                  <c:v>117</c:v>
                </c:pt>
                <c:pt idx="2855">
                  <c:v>119</c:v>
                </c:pt>
                <c:pt idx="2856">
                  <c:v>174</c:v>
                </c:pt>
                <c:pt idx="2857">
                  <c:v>111</c:v>
                </c:pt>
                <c:pt idx="2858">
                  <c:v>101</c:v>
                </c:pt>
                <c:pt idx="2859">
                  <c:v>89</c:v>
                </c:pt>
                <c:pt idx="2860">
                  <c:v>113</c:v>
                </c:pt>
                <c:pt idx="2861">
                  <c:v>95</c:v>
                </c:pt>
                <c:pt idx="2862">
                  <c:v>112</c:v>
                </c:pt>
                <c:pt idx="2863">
                  <c:v>109</c:v>
                </c:pt>
                <c:pt idx="2864">
                  <c:v>108</c:v>
                </c:pt>
                <c:pt idx="2865">
                  <c:v>100</c:v>
                </c:pt>
                <c:pt idx="2866">
                  <c:v>90</c:v>
                </c:pt>
                <c:pt idx="2867">
                  <c:v>94</c:v>
                </c:pt>
                <c:pt idx="2868">
                  <c:v>111</c:v>
                </c:pt>
                <c:pt idx="2869">
                  <c:v>142</c:v>
                </c:pt>
                <c:pt idx="2870">
                  <c:v>107</c:v>
                </c:pt>
                <c:pt idx="2871">
                  <c:v>91</c:v>
                </c:pt>
                <c:pt idx="2872">
                  <c:v>82</c:v>
                </c:pt>
                <c:pt idx="2873">
                  <c:v>97</c:v>
                </c:pt>
                <c:pt idx="2874">
                  <c:v>102</c:v>
                </c:pt>
                <c:pt idx="2875">
                  <c:v>93</c:v>
                </c:pt>
                <c:pt idx="2876">
                  <c:v>138</c:v>
                </c:pt>
                <c:pt idx="2877">
                  <c:v>93</c:v>
                </c:pt>
                <c:pt idx="2878">
                  <c:v>92</c:v>
                </c:pt>
                <c:pt idx="2879">
                  <c:v>92</c:v>
                </c:pt>
                <c:pt idx="2880">
                  <c:v>104</c:v>
                </c:pt>
                <c:pt idx="2881">
                  <c:v>89</c:v>
                </c:pt>
                <c:pt idx="2882">
                  <c:v>92</c:v>
                </c:pt>
                <c:pt idx="2883">
                  <c:v>90</c:v>
                </c:pt>
                <c:pt idx="2884">
                  <c:v>129</c:v>
                </c:pt>
                <c:pt idx="2885">
                  <c:v>111</c:v>
                </c:pt>
                <c:pt idx="2886">
                  <c:v>79</c:v>
                </c:pt>
                <c:pt idx="2887">
                  <c:v>104</c:v>
                </c:pt>
                <c:pt idx="2888">
                  <c:v>101</c:v>
                </c:pt>
                <c:pt idx="2889">
                  <c:v>113</c:v>
                </c:pt>
                <c:pt idx="2890">
                  <c:v>92</c:v>
                </c:pt>
                <c:pt idx="2891">
                  <c:v>106</c:v>
                </c:pt>
                <c:pt idx="2892">
                  <c:v>75</c:v>
                </c:pt>
                <c:pt idx="2893">
                  <c:v>104</c:v>
                </c:pt>
                <c:pt idx="2894">
                  <c:v>108</c:v>
                </c:pt>
                <c:pt idx="2895">
                  <c:v>99</c:v>
                </c:pt>
                <c:pt idx="2896">
                  <c:v>93</c:v>
                </c:pt>
                <c:pt idx="2897">
                  <c:v>99</c:v>
                </c:pt>
                <c:pt idx="2898">
                  <c:v>98</c:v>
                </c:pt>
                <c:pt idx="2899">
                  <c:v>95</c:v>
                </c:pt>
                <c:pt idx="2900">
                  <c:v>107</c:v>
                </c:pt>
                <c:pt idx="2901">
                  <c:v>102</c:v>
                </c:pt>
                <c:pt idx="2902">
                  <c:v>97</c:v>
                </c:pt>
                <c:pt idx="2903">
                  <c:v>124</c:v>
                </c:pt>
                <c:pt idx="2904">
                  <c:v>90</c:v>
                </c:pt>
                <c:pt idx="2905">
                  <c:v>90</c:v>
                </c:pt>
                <c:pt idx="2906">
                  <c:v>99</c:v>
                </c:pt>
                <c:pt idx="2907">
                  <c:v>115</c:v>
                </c:pt>
                <c:pt idx="2908">
                  <c:v>89</c:v>
                </c:pt>
                <c:pt idx="2909">
                  <c:v>92</c:v>
                </c:pt>
                <c:pt idx="2910">
                  <c:v>94</c:v>
                </c:pt>
                <c:pt idx="2911">
                  <c:v>100</c:v>
                </c:pt>
                <c:pt idx="2912">
                  <c:v>109</c:v>
                </c:pt>
                <c:pt idx="2913">
                  <c:v>105</c:v>
                </c:pt>
                <c:pt idx="2914">
                  <c:v>102</c:v>
                </c:pt>
                <c:pt idx="2915">
                  <c:v>97</c:v>
                </c:pt>
                <c:pt idx="2916">
                  <c:v>118</c:v>
                </c:pt>
                <c:pt idx="2917">
                  <c:v>92</c:v>
                </c:pt>
                <c:pt idx="2918">
                  <c:v>103</c:v>
                </c:pt>
                <c:pt idx="2919">
                  <c:v>93</c:v>
                </c:pt>
                <c:pt idx="2920">
                  <c:v>113</c:v>
                </c:pt>
                <c:pt idx="2921">
                  <c:v>153</c:v>
                </c:pt>
                <c:pt idx="2922">
                  <c:v>89</c:v>
                </c:pt>
                <c:pt idx="2923">
                  <c:v>118</c:v>
                </c:pt>
                <c:pt idx="2924">
                  <c:v>97</c:v>
                </c:pt>
                <c:pt idx="2925">
                  <c:v>100</c:v>
                </c:pt>
                <c:pt idx="2926">
                  <c:v>96</c:v>
                </c:pt>
                <c:pt idx="2927">
                  <c:v>120</c:v>
                </c:pt>
                <c:pt idx="2928">
                  <c:v>175</c:v>
                </c:pt>
                <c:pt idx="2929">
                  <c:v>95</c:v>
                </c:pt>
                <c:pt idx="2930">
                  <c:v>95</c:v>
                </c:pt>
                <c:pt idx="2931">
                  <c:v>121</c:v>
                </c:pt>
                <c:pt idx="2932">
                  <c:v>110</c:v>
                </c:pt>
                <c:pt idx="2933">
                  <c:v>96</c:v>
                </c:pt>
                <c:pt idx="2934">
                  <c:v>121</c:v>
                </c:pt>
                <c:pt idx="2935">
                  <c:v>95</c:v>
                </c:pt>
                <c:pt idx="2936">
                  <c:v>112</c:v>
                </c:pt>
                <c:pt idx="2937">
                  <c:v>93</c:v>
                </c:pt>
                <c:pt idx="2938">
                  <c:v>110</c:v>
                </c:pt>
                <c:pt idx="2939">
                  <c:v>104</c:v>
                </c:pt>
                <c:pt idx="2940">
                  <c:v>119</c:v>
                </c:pt>
                <c:pt idx="2941">
                  <c:v>125</c:v>
                </c:pt>
                <c:pt idx="2942">
                  <c:v>96</c:v>
                </c:pt>
                <c:pt idx="2943">
                  <c:v>100</c:v>
                </c:pt>
                <c:pt idx="2944">
                  <c:v>89</c:v>
                </c:pt>
                <c:pt idx="2945">
                  <c:v>92</c:v>
                </c:pt>
                <c:pt idx="2946">
                  <c:v>109</c:v>
                </c:pt>
                <c:pt idx="2947">
                  <c:v>103</c:v>
                </c:pt>
                <c:pt idx="2948">
                  <c:v>95</c:v>
                </c:pt>
                <c:pt idx="2949">
                  <c:v>105</c:v>
                </c:pt>
                <c:pt idx="2950">
                  <c:v>106</c:v>
                </c:pt>
                <c:pt idx="2951">
                  <c:v>100</c:v>
                </c:pt>
                <c:pt idx="2952">
                  <c:v>103</c:v>
                </c:pt>
                <c:pt idx="2953">
                  <c:v>116</c:v>
                </c:pt>
                <c:pt idx="2954">
                  <c:v>99</c:v>
                </c:pt>
                <c:pt idx="2955">
                  <c:v>164</c:v>
                </c:pt>
                <c:pt idx="2956">
                  <c:v>96</c:v>
                </c:pt>
                <c:pt idx="2957">
                  <c:v>122</c:v>
                </c:pt>
                <c:pt idx="2958">
                  <c:v>94</c:v>
                </c:pt>
                <c:pt idx="2959">
                  <c:v>93</c:v>
                </c:pt>
                <c:pt idx="2960">
                  <c:v>96</c:v>
                </c:pt>
                <c:pt idx="2961">
                  <c:v>113</c:v>
                </c:pt>
                <c:pt idx="2962">
                  <c:v>192</c:v>
                </c:pt>
                <c:pt idx="2963">
                  <c:v>99</c:v>
                </c:pt>
                <c:pt idx="2964">
                  <c:v>91</c:v>
                </c:pt>
                <c:pt idx="2965">
                  <c:v>100</c:v>
                </c:pt>
                <c:pt idx="2966">
                  <c:v>105</c:v>
                </c:pt>
                <c:pt idx="2967">
                  <c:v>99</c:v>
                </c:pt>
                <c:pt idx="2968">
                  <c:v>112</c:v>
                </c:pt>
                <c:pt idx="2969">
                  <c:v>99</c:v>
                </c:pt>
                <c:pt idx="2970">
                  <c:v>125</c:v>
                </c:pt>
                <c:pt idx="2971">
                  <c:v>107</c:v>
                </c:pt>
                <c:pt idx="2972">
                  <c:v>107</c:v>
                </c:pt>
                <c:pt idx="2973">
                  <c:v>97</c:v>
                </c:pt>
                <c:pt idx="2974">
                  <c:v>95</c:v>
                </c:pt>
                <c:pt idx="2975">
                  <c:v>106</c:v>
                </c:pt>
                <c:pt idx="2976">
                  <c:v>103</c:v>
                </c:pt>
                <c:pt idx="2977">
                  <c:v>96</c:v>
                </c:pt>
                <c:pt idx="2978">
                  <c:v>103</c:v>
                </c:pt>
                <c:pt idx="2979">
                  <c:v>108</c:v>
                </c:pt>
                <c:pt idx="2980">
                  <c:v>118</c:v>
                </c:pt>
                <c:pt idx="2981">
                  <c:v>97</c:v>
                </c:pt>
                <c:pt idx="2982">
                  <c:v>115</c:v>
                </c:pt>
                <c:pt idx="2983">
                  <c:v>102</c:v>
                </c:pt>
                <c:pt idx="2984">
                  <c:v>125</c:v>
                </c:pt>
                <c:pt idx="2985">
                  <c:v>108</c:v>
                </c:pt>
                <c:pt idx="2986">
                  <c:v>101</c:v>
                </c:pt>
                <c:pt idx="2987">
                  <c:v>101</c:v>
                </c:pt>
                <c:pt idx="2988">
                  <c:v>139</c:v>
                </c:pt>
                <c:pt idx="2989">
                  <c:v>125</c:v>
                </c:pt>
                <c:pt idx="2990">
                  <c:v>115</c:v>
                </c:pt>
                <c:pt idx="2991">
                  <c:v>99</c:v>
                </c:pt>
                <c:pt idx="2992">
                  <c:v>88</c:v>
                </c:pt>
                <c:pt idx="2993">
                  <c:v>112</c:v>
                </c:pt>
                <c:pt idx="2994">
                  <c:v>108</c:v>
                </c:pt>
                <c:pt idx="2995">
                  <c:v>104</c:v>
                </c:pt>
                <c:pt idx="2996">
                  <c:v>108</c:v>
                </c:pt>
                <c:pt idx="2997">
                  <c:v>102</c:v>
                </c:pt>
                <c:pt idx="2998">
                  <c:v>88</c:v>
                </c:pt>
                <c:pt idx="2999">
                  <c:v>91</c:v>
                </c:pt>
                <c:pt idx="3000">
                  <c:v>141</c:v>
                </c:pt>
                <c:pt idx="3001">
                  <c:v>101</c:v>
                </c:pt>
                <c:pt idx="3002">
                  <c:v>105</c:v>
                </c:pt>
                <c:pt idx="3003">
                  <c:v>100</c:v>
                </c:pt>
                <c:pt idx="3004">
                  <c:v>116</c:v>
                </c:pt>
                <c:pt idx="3005">
                  <c:v>97</c:v>
                </c:pt>
                <c:pt idx="3006">
                  <c:v>106</c:v>
                </c:pt>
                <c:pt idx="3007">
                  <c:v>105</c:v>
                </c:pt>
                <c:pt idx="3008">
                  <c:v>122</c:v>
                </c:pt>
                <c:pt idx="3009">
                  <c:v>107</c:v>
                </c:pt>
                <c:pt idx="3010">
                  <c:v>121</c:v>
                </c:pt>
                <c:pt idx="3011">
                  <c:v>98</c:v>
                </c:pt>
                <c:pt idx="3012">
                  <c:v>123</c:v>
                </c:pt>
                <c:pt idx="3013">
                  <c:v>110</c:v>
                </c:pt>
                <c:pt idx="3014">
                  <c:v>120</c:v>
                </c:pt>
                <c:pt idx="3015">
                  <c:v>122</c:v>
                </c:pt>
                <c:pt idx="3016">
                  <c:v>110</c:v>
                </c:pt>
                <c:pt idx="3017">
                  <c:v>139</c:v>
                </c:pt>
                <c:pt idx="3018">
                  <c:v>124</c:v>
                </c:pt>
                <c:pt idx="3019">
                  <c:v>152</c:v>
                </c:pt>
                <c:pt idx="3020">
                  <c:v>98</c:v>
                </c:pt>
                <c:pt idx="3021">
                  <c:v>106</c:v>
                </c:pt>
                <c:pt idx="3022">
                  <c:v>106</c:v>
                </c:pt>
                <c:pt idx="3023">
                  <c:v>106</c:v>
                </c:pt>
                <c:pt idx="3024">
                  <c:v>89</c:v>
                </c:pt>
                <c:pt idx="3025">
                  <c:v>94</c:v>
                </c:pt>
                <c:pt idx="3026">
                  <c:v>109</c:v>
                </c:pt>
                <c:pt idx="3027">
                  <c:v>90</c:v>
                </c:pt>
                <c:pt idx="3028">
                  <c:v>106</c:v>
                </c:pt>
                <c:pt idx="3029">
                  <c:v>121</c:v>
                </c:pt>
                <c:pt idx="3030">
                  <c:v>89</c:v>
                </c:pt>
                <c:pt idx="3031">
                  <c:v>104</c:v>
                </c:pt>
                <c:pt idx="3032">
                  <c:v>99</c:v>
                </c:pt>
                <c:pt idx="3033">
                  <c:v>98</c:v>
                </c:pt>
                <c:pt idx="3034">
                  <c:v>121</c:v>
                </c:pt>
                <c:pt idx="3035">
                  <c:v>96</c:v>
                </c:pt>
                <c:pt idx="3036">
                  <c:v>99</c:v>
                </c:pt>
                <c:pt idx="3037">
                  <c:v>42</c:v>
                </c:pt>
                <c:pt idx="3038">
                  <c:v>122</c:v>
                </c:pt>
                <c:pt idx="3039">
                  <c:v>101</c:v>
                </c:pt>
                <c:pt idx="3040">
                  <c:v>102</c:v>
                </c:pt>
                <c:pt idx="3041">
                  <c:v>84</c:v>
                </c:pt>
                <c:pt idx="3042">
                  <c:v>104</c:v>
                </c:pt>
                <c:pt idx="3043">
                  <c:v>96</c:v>
                </c:pt>
                <c:pt idx="3044">
                  <c:v>94</c:v>
                </c:pt>
                <c:pt idx="3045">
                  <c:v>90</c:v>
                </c:pt>
                <c:pt idx="3046">
                  <c:v>90</c:v>
                </c:pt>
                <c:pt idx="3047">
                  <c:v>106</c:v>
                </c:pt>
                <c:pt idx="3048">
                  <c:v>96</c:v>
                </c:pt>
                <c:pt idx="3049">
                  <c:v>95</c:v>
                </c:pt>
                <c:pt idx="3050">
                  <c:v>99</c:v>
                </c:pt>
                <c:pt idx="3051">
                  <c:v>99</c:v>
                </c:pt>
                <c:pt idx="3052">
                  <c:v>95</c:v>
                </c:pt>
                <c:pt idx="3053">
                  <c:v>99</c:v>
                </c:pt>
                <c:pt idx="3054">
                  <c:v>107</c:v>
                </c:pt>
                <c:pt idx="3055">
                  <c:v>90</c:v>
                </c:pt>
                <c:pt idx="3056">
                  <c:v>96</c:v>
                </c:pt>
                <c:pt idx="3057">
                  <c:v>104</c:v>
                </c:pt>
                <c:pt idx="3058">
                  <c:v>97</c:v>
                </c:pt>
                <c:pt idx="3059">
                  <c:v>107</c:v>
                </c:pt>
                <c:pt idx="3060">
                  <c:v>85</c:v>
                </c:pt>
                <c:pt idx="3061">
                  <c:v>95</c:v>
                </c:pt>
                <c:pt idx="3062">
                  <c:v>111</c:v>
                </c:pt>
                <c:pt idx="3063">
                  <c:v>86</c:v>
                </c:pt>
                <c:pt idx="3064">
                  <c:v>103</c:v>
                </c:pt>
                <c:pt idx="3065">
                  <c:v>111</c:v>
                </c:pt>
                <c:pt idx="3066">
                  <c:v>112</c:v>
                </c:pt>
                <c:pt idx="3067">
                  <c:v>141</c:v>
                </c:pt>
                <c:pt idx="3068">
                  <c:v>95</c:v>
                </c:pt>
                <c:pt idx="3069">
                  <c:v>85</c:v>
                </c:pt>
                <c:pt idx="3070">
                  <c:v>129</c:v>
                </c:pt>
                <c:pt idx="3071">
                  <c:v>125</c:v>
                </c:pt>
                <c:pt idx="3072">
                  <c:v>116</c:v>
                </c:pt>
                <c:pt idx="3073">
                  <c:v>105</c:v>
                </c:pt>
                <c:pt idx="3074">
                  <c:v>90</c:v>
                </c:pt>
                <c:pt idx="3075">
                  <c:v>111</c:v>
                </c:pt>
                <c:pt idx="3076">
                  <c:v>91</c:v>
                </c:pt>
                <c:pt idx="3077">
                  <c:v>97</c:v>
                </c:pt>
                <c:pt idx="3078">
                  <c:v>92</c:v>
                </c:pt>
                <c:pt idx="3079">
                  <c:v>104</c:v>
                </c:pt>
                <c:pt idx="3080">
                  <c:v>120</c:v>
                </c:pt>
                <c:pt idx="3081">
                  <c:v>99</c:v>
                </c:pt>
                <c:pt idx="3082">
                  <c:v>93</c:v>
                </c:pt>
                <c:pt idx="3083">
                  <c:v>99</c:v>
                </c:pt>
                <c:pt idx="3084">
                  <c:v>96</c:v>
                </c:pt>
                <c:pt idx="3085">
                  <c:v>96</c:v>
                </c:pt>
                <c:pt idx="3086">
                  <c:v>100</c:v>
                </c:pt>
                <c:pt idx="3087">
                  <c:v>98</c:v>
                </c:pt>
                <c:pt idx="3088">
                  <c:v>106</c:v>
                </c:pt>
                <c:pt idx="3089">
                  <c:v>95</c:v>
                </c:pt>
                <c:pt idx="3090">
                  <c:v>104</c:v>
                </c:pt>
                <c:pt idx="3091">
                  <c:v>87</c:v>
                </c:pt>
                <c:pt idx="3092">
                  <c:v>81</c:v>
                </c:pt>
                <c:pt idx="3093">
                  <c:v>94</c:v>
                </c:pt>
                <c:pt idx="3094">
                  <c:v>89</c:v>
                </c:pt>
                <c:pt idx="3095">
                  <c:v>88</c:v>
                </c:pt>
                <c:pt idx="3096">
                  <c:v>115</c:v>
                </c:pt>
                <c:pt idx="3097">
                  <c:v>96</c:v>
                </c:pt>
                <c:pt idx="3098">
                  <c:v>135</c:v>
                </c:pt>
                <c:pt idx="3099">
                  <c:v>93</c:v>
                </c:pt>
                <c:pt idx="3100">
                  <c:v>109</c:v>
                </c:pt>
                <c:pt idx="3101">
                  <c:v>101</c:v>
                </c:pt>
                <c:pt idx="3102">
                  <c:v>117</c:v>
                </c:pt>
                <c:pt idx="3103">
                  <c:v>83</c:v>
                </c:pt>
                <c:pt idx="3104">
                  <c:v>113</c:v>
                </c:pt>
                <c:pt idx="3105">
                  <c:v>104</c:v>
                </c:pt>
                <c:pt idx="3106">
                  <c:v>97</c:v>
                </c:pt>
                <c:pt idx="3107">
                  <c:v>110</c:v>
                </c:pt>
                <c:pt idx="3108">
                  <c:v>103</c:v>
                </c:pt>
                <c:pt idx="3109">
                  <c:v>94</c:v>
                </c:pt>
                <c:pt idx="3110">
                  <c:v>77</c:v>
                </c:pt>
                <c:pt idx="3111">
                  <c:v>134</c:v>
                </c:pt>
                <c:pt idx="3112">
                  <c:v>90</c:v>
                </c:pt>
                <c:pt idx="3113">
                  <c:v>104</c:v>
                </c:pt>
                <c:pt idx="3114">
                  <c:v>93</c:v>
                </c:pt>
                <c:pt idx="3115">
                  <c:v>106</c:v>
                </c:pt>
                <c:pt idx="3116">
                  <c:v>101</c:v>
                </c:pt>
                <c:pt idx="3117">
                  <c:v>100</c:v>
                </c:pt>
                <c:pt idx="3118">
                  <c:v>95</c:v>
                </c:pt>
                <c:pt idx="3119">
                  <c:v>94</c:v>
                </c:pt>
                <c:pt idx="3120">
                  <c:v>93</c:v>
                </c:pt>
                <c:pt idx="3121">
                  <c:v>106</c:v>
                </c:pt>
                <c:pt idx="3122">
                  <c:v>99</c:v>
                </c:pt>
                <c:pt idx="3123">
                  <c:v>82</c:v>
                </c:pt>
                <c:pt idx="3124">
                  <c:v>135</c:v>
                </c:pt>
                <c:pt idx="3125">
                  <c:v>88</c:v>
                </c:pt>
                <c:pt idx="3126">
                  <c:v>89</c:v>
                </c:pt>
                <c:pt idx="3127">
                  <c:v>110</c:v>
                </c:pt>
                <c:pt idx="3128">
                  <c:v>107</c:v>
                </c:pt>
                <c:pt idx="3129">
                  <c:v>86</c:v>
                </c:pt>
                <c:pt idx="3130">
                  <c:v>91</c:v>
                </c:pt>
                <c:pt idx="3131">
                  <c:v>103</c:v>
                </c:pt>
                <c:pt idx="3132">
                  <c:v>92</c:v>
                </c:pt>
                <c:pt idx="3133">
                  <c:v>99</c:v>
                </c:pt>
                <c:pt idx="3134">
                  <c:v>96</c:v>
                </c:pt>
                <c:pt idx="3135">
                  <c:v>82</c:v>
                </c:pt>
                <c:pt idx="3136">
                  <c:v>92</c:v>
                </c:pt>
                <c:pt idx="3137">
                  <c:v>112</c:v>
                </c:pt>
                <c:pt idx="3138">
                  <c:v>90</c:v>
                </c:pt>
                <c:pt idx="3139">
                  <c:v>150</c:v>
                </c:pt>
                <c:pt idx="3140">
                  <c:v>91</c:v>
                </c:pt>
                <c:pt idx="3141">
                  <c:v>95</c:v>
                </c:pt>
                <c:pt idx="3142">
                  <c:v>97</c:v>
                </c:pt>
                <c:pt idx="3143">
                  <c:v>41</c:v>
                </c:pt>
                <c:pt idx="3144">
                  <c:v>112</c:v>
                </c:pt>
                <c:pt idx="3145">
                  <c:v>122</c:v>
                </c:pt>
                <c:pt idx="3146">
                  <c:v>110</c:v>
                </c:pt>
                <c:pt idx="3147">
                  <c:v>108</c:v>
                </c:pt>
                <c:pt idx="3148">
                  <c:v>97</c:v>
                </c:pt>
                <c:pt idx="3149">
                  <c:v>116</c:v>
                </c:pt>
                <c:pt idx="3150">
                  <c:v>94</c:v>
                </c:pt>
                <c:pt idx="3151">
                  <c:v>103</c:v>
                </c:pt>
                <c:pt idx="3152">
                  <c:v>112</c:v>
                </c:pt>
                <c:pt idx="3153">
                  <c:v>91</c:v>
                </c:pt>
                <c:pt idx="3154">
                  <c:v>98</c:v>
                </c:pt>
                <c:pt idx="3155">
                  <c:v>95</c:v>
                </c:pt>
                <c:pt idx="3156">
                  <c:v>99</c:v>
                </c:pt>
                <c:pt idx="3157">
                  <c:v>91</c:v>
                </c:pt>
                <c:pt idx="3158">
                  <c:v>97</c:v>
                </c:pt>
                <c:pt idx="3159">
                  <c:v>90</c:v>
                </c:pt>
                <c:pt idx="3160">
                  <c:v>90</c:v>
                </c:pt>
                <c:pt idx="3161">
                  <c:v>94</c:v>
                </c:pt>
                <c:pt idx="3162">
                  <c:v>90</c:v>
                </c:pt>
                <c:pt idx="3163">
                  <c:v>103</c:v>
                </c:pt>
                <c:pt idx="3164">
                  <c:v>105</c:v>
                </c:pt>
                <c:pt idx="3165">
                  <c:v>113</c:v>
                </c:pt>
                <c:pt idx="3166">
                  <c:v>99</c:v>
                </c:pt>
                <c:pt idx="3167">
                  <c:v>148</c:v>
                </c:pt>
                <c:pt idx="3168">
                  <c:v>93</c:v>
                </c:pt>
                <c:pt idx="3169">
                  <c:v>94</c:v>
                </c:pt>
                <c:pt idx="3170">
                  <c:v>121</c:v>
                </c:pt>
                <c:pt idx="3171">
                  <c:v>118</c:v>
                </c:pt>
                <c:pt idx="3172">
                  <c:v>101</c:v>
                </c:pt>
                <c:pt idx="3173">
                  <c:v>90</c:v>
                </c:pt>
                <c:pt idx="3174">
                  <c:v>100</c:v>
                </c:pt>
                <c:pt idx="3175">
                  <c:v>97</c:v>
                </c:pt>
                <c:pt idx="3176">
                  <c:v>96</c:v>
                </c:pt>
                <c:pt idx="3177">
                  <c:v>117</c:v>
                </c:pt>
                <c:pt idx="3178">
                  <c:v>108</c:v>
                </c:pt>
                <c:pt idx="3179">
                  <c:v>109</c:v>
                </c:pt>
                <c:pt idx="3180">
                  <c:v>102</c:v>
                </c:pt>
                <c:pt idx="3181">
                  <c:v>115</c:v>
                </c:pt>
                <c:pt idx="3182">
                  <c:v>98</c:v>
                </c:pt>
                <c:pt idx="3183">
                  <c:v>133</c:v>
                </c:pt>
                <c:pt idx="3184">
                  <c:v>122</c:v>
                </c:pt>
                <c:pt idx="3185">
                  <c:v>106</c:v>
                </c:pt>
                <c:pt idx="3186">
                  <c:v>112</c:v>
                </c:pt>
                <c:pt idx="3187">
                  <c:v>99</c:v>
                </c:pt>
                <c:pt idx="3188">
                  <c:v>110</c:v>
                </c:pt>
                <c:pt idx="3189">
                  <c:v>104</c:v>
                </c:pt>
                <c:pt idx="3190">
                  <c:v>133</c:v>
                </c:pt>
                <c:pt idx="3191">
                  <c:v>103</c:v>
                </c:pt>
                <c:pt idx="3192">
                  <c:v>112</c:v>
                </c:pt>
                <c:pt idx="3193">
                  <c:v>101</c:v>
                </c:pt>
                <c:pt idx="3194">
                  <c:v>133</c:v>
                </c:pt>
                <c:pt idx="3195">
                  <c:v>104</c:v>
                </c:pt>
                <c:pt idx="3196">
                  <c:v>112</c:v>
                </c:pt>
                <c:pt idx="3197">
                  <c:v>94</c:v>
                </c:pt>
                <c:pt idx="3198">
                  <c:v>90</c:v>
                </c:pt>
                <c:pt idx="3199">
                  <c:v>101</c:v>
                </c:pt>
                <c:pt idx="3200">
                  <c:v>93</c:v>
                </c:pt>
                <c:pt idx="3201">
                  <c:v>152</c:v>
                </c:pt>
                <c:pt idx="3202">
                  <c:v>112</c:v>
                </c:pt>
                <c:pt idx="3203">
                  <c:v>95</c:v>
                </c:pt>
                <c:pt idx="3204">
                  <c:v>111</c:v>
                </c:pt>
                <c:pt idx="3205">
                  <c:v>91</c:v>
                </c:pt>
                <c:pt idx="3206">
                  <c:v>106</c:v>
                </c:pt>
                <c:pt idx="3207">
                  <c:v>93</c:v>
                </c:pt>
                <c:pt idx="3208">
                  <c:v>93</c:v>
                </c:pt>
                <c:pt idx="3209">
                  <c:v>165</c:v>
                </c:pt>
                <c:pt idx="3210">
                  <c:v>96</c:v>
                </c:pt>
                <c:pt idx="3211">
                  <c:v>93</c:v>
                </c:pt>
                <c:pt idx="3212">
                  <c:v>82</c:v>
                </c:pt>
                <c:pt idx="3213">
                  <c:v>101</c:v>
                </c:pt>
                <c:pt idx="3214">
                  <c:v>81</c:v>
                </c:pt>
                <c:pt idx="3215">
                  <c:v>105</c:v>
                </c:pt>
                <c:pt idx="3216">
                  <c:v>86</c:v>
                </c:pt>
                <c:pt idx="3217">
                  <c:v>110</c:v>
                </c:pt>
                <c:pt idx="3218">
                  <c:v>110</c:v>
                </c:pt>
                <c:pt idx="3219">
                  <c:v>104</c:v>
                </c:pt>
                <c:pt idx="3220">
                  <c:v>96</c:v>
                </c:pt>
                <c:pt idx="3221">
                  <c:v>110</c:v>
                </c:pt>
                <c:pt idx="3222">
                  <c:v>84</c:v>
                </c:pt>
                <c:pt idx="3223">
                  <c:v>94</c:v>
                </c:pt>
                <c:pt idx="3224">
                  <c:v>93</c:v>
                </c:pt>
                <c:pt idx="3225">
                  <c:v>96</c:v>
                </c:pt>
                <c:pt idx="3226">
                  <c:v>101</c:v>
                </c:pt>
                <c:pt idx="3227">
                  <c:v>102</c:v>
                </c:pt>
                <c:pt idx="3228">
                  <c:v>87</c:v>
                </c:pt>
                <c:pt idx="3229">
                  <c:v>99</c:v>
                </c:pt>
                <c:pt idx="3230">
                  <c:v>106</c:v>
                </c:pt>
                <c:pt idx="3231">
                  <c:v>117</c:v>
                </c:pt>
                <c:pt idx="3232">
                  <c:v>99</c:v>
                </c:pt>
                <c:pt idx="3233">
                  <c:v>102</c:v>
                </c:pt>
                <c:pt idx="3234">
                  <c:v>85</c:v>
                </c:pt>
                <c:pt idx="3235">
                  <c:v>86</c:v>
                </c:pt>
                <c:pt idx="3236">
                  <c:v>120</c:v>
                </c:pt>
                <c:pt idx="3237">
                  <c:v>106</c:v>
                </c:pt>
                <c:pt idx="3238">
                  <c:v>103</c:v>
                </c:pt>
                <c:pt idx="3239">
                  <c:v>93</c:v>
                </c:pt>
                <c:pt idx="3240">
                  <c:v>112</c:v>
                </c:pt>
                <c:pt idx="3241">
                  <c:v>113</c:v>
                </c:pt>
                <c:pt idx="3242">
                  <c:v>98</c:v>
                </c:pt>
                <c:pt idx="3243">
                  <c:v>106</c:v>
                </c:pt>
                <c:pt idx="3244">
                  <c:v>93</c:v>
                </c:pt>
                <c:pt idx="3245">
                  <c:v>226</c:v>
                </c:pt>
                <c:pt idx="3246">
                  <c:v>104</c:v>
                </c:pt>
                <c:pt idx="3247">
                  <c:v>152</c:v>
                </c:pt>
                <c:pt idx="3248">
                  <c:v>107</c:v>
                </c:pt>
                <c:pt idx="3249">
                  <c:v>95</c:v>
                </c:pt>
                <c:pt idx="3250">
                  <c:v>102</c:v>
                </c:pt>
                <c:pt idx="3251">
                  <c:v>99</c:v>
                </c:pt>
                <c:pt idx="3252">
                  <c:v>109</c:v>
                </c:pt>
                <c:pt idx="3253">
                  <c:v>91</c:v>
                </c:pt>
                <c:pt idx="3254">
                  <c:v>88</c:v>
                </c:pt>
                <c:pt idx="3255">
                  <c:v>97</c:v>
                </c:pt>
                <c:pt idx="3256">
                  <c:v>97</c:v>
                </c:pt>
                <c:pt idx="3257">
                  <c:v>85</c:v>
                </c:pt>
                <c:pt idx="3258">
                  <c:v>92</c:v>
                </c:pt>
                <c:pt idx="3259">
                  <c:v>93</c:v>
                </c:pt>
                <c:pt idx="3260">
                  <c:v>96</c:v>
                </c:pt>
                <c:pt idx="3261">
                  <c:v>105</c:v>
                </c:pt>
                <c:pt idx="3262">
                  <c:v>129</c:v>
                </c:pt>
                <c:pt idx="3263">
                  <c:v>37</c:v>
                </c:pt>
                <c:pt idx="3264">
                  <c:v>81</c:v>
                </c:pt>
                <c:pt idx="3265">
                  <c:v>106</c:v>
                </c:pt>
                <c:pt idx="3266">
                  <c:v>103</c:v>
                </c:pt>
                <c:pt idx="3267">
                  <c:v>101</c:v>
                </c:pt>
                <c:pt idx="3268">
                  <c:v>91</c:v>
                </c:pt>
                <c:pt idx="3269">
                  <c:v>105</c:v>
                </c:pt>
                <c:pt idx="3270">
                  <c:v>100</c:v>
                </c:pt>
                <c:pt idx="3271">
                  <c:v>80</c:v>
                </c:pt>
                <c:pt idx="3272">
                  <c:v>107</c:v>
                </c:pt>
                <c:pt idx="3273">
                  <c:v>92</c:v>
                </c:pt>
                <c:pt idx="3274">
                  <c:v>107</c:v>
                </c:pt>
                <c:pt idx="3275">
                  <c:v>135</c:v>
                </c:pt>
                <c:pt idx="3276">
                  <c:v>99</c:v>
                </c:pt>
                <c:pt idx="3277">
                  <c:v>115</c:v>
                </c:pt>
                <c:pt idx="3278">
                  <c:v>91</c:v>
                </c:pt>
                <c:pt idx="3279">
                  <c:v>92</c:v>
                </c:pt>
                <c:pt idx="3280">
                  <c:v>101</c:v>
                </c:pt>
                <c:pt idx="3281">
                  <c:v>105</c:v>
                </c:pt>
                <c:pt idx="3282">
                  <c:v>109</c:v>
                </c:pt>
                <c:pt idx="3283">
                  <c:v>110</c:v>
                </c:pt>
                <c:pt idx="3284">
                  <c:v>94</c:v>
                </c:pt>
                <c:pt idx="3285">
                  <c:v>115</c:v>
                </c:pt>
                <c:pt idx="3286">
                  <c:v>98</c:v>
                </c:pt>
                <c:pt idx="3287">
                  <c:v>91</c:v>
                </c:pt>
                <c:pt idx="3288">
                  <c:v>120</c:v>
                </c:pt>
                <c:pt idx="3289">
                  <c:v>87</c:v>
                </c:pt>
                <c:pt idx="3290">
                  <c:v>117</c:v>
                </c:pt>
                <c:pt idx="3291">
                  <c:v>85</c:v>
                </c:pt>
                <c:pt idx="3292">
                  <c:v>110</c:v>
                </c:pt>
                <c:pt idx="3293">
                  <c:v>113</c:v>
                </c:pt>
                <c:pt idx="3294">
                  <c:v>98</c:v>
                </c:pt>
                <c:pt idx="3295">
                  <c:v>86</c:v>
                </c:pt>
                <c:pt idx="3296">
                  <c:v>161</c:v>
                </c:pt>
                <c:pt idx="3297">
                  <c:v>100</c:v>
                </c:pt>
                <c:pt idx="3298">
                  <c:v>91</c:v>
                </c:pt>
                <c:pt idx="3299">
                  <c:v>100</c:v>
                </c:pt>
                <c:pt idx="3300">
                  <c:v>84</c:v>
                </c:pt>
                <c:pt idx="3301">
                  <c:v>99</c:v>
                </c:pt>
                <c:pt idx="3302">
                  <c:v>109</c:v>
                </c:pt>
                <c:pt idx="3303">
                  <c:v>95</c:v>
                </c:pt>
                <c:pt idx="3304">
                  <c:v>97</c:v>
                </c:pt>
                <c:pt idx="3305">
                  <c:v>90</c:v>
                </c:pt>
                <c:pt idx="3306">
                  <c:v>96</c:v>
                </c:pt>
                <c:pt idx="3307">
                  <c:v>82</c:v>
                </c:pt>
                <c:pt idx="3308">
                  <c:v>109</c:v>
                </c:pt>
                <c:pt idx="3309">
                  <c:v>98</c:v>
                </c:pt>
                <c:pt idx="3310">
                  <c:v>95</c:v>
                </c:pt>
                <c:pt idx="3311">
                  <c:v>104</c:v>
                </c:pt>
                <c:pt idx="3312">
                  <c:v>87</c:v>
                </c:pt>
                <c:pt idx="3313">
                  <c:v>108</c:v>
                </c:pt>
                <c:pt idx="3314">
                  <c:v>134</c:v>
                </c:pt>
                <c:pt idx="3315">
                  <c:v>89</c:v>
                </c:pt>
                <c:pt idx="3316">
                  <c:v>102</c:v>
                </c:pt>
                <c:pt idx="3317">
                  <c:v>120</c:v>
                </c:pt>
                <c:pt idx="3318">
                  <c:v>110</c:v>
                </c:pt>
                <c:pt idx="3319">
                  <c:v>86</c:v>
                </c:pt>
                <c:pt idx="3320">
                  <c:v>101</c:v>
                </c:pt>
                <c:pt idx="3321">
                  <c:v>87</c:v>
                </c:pt>
                <c:pt idx="3322">
                  <c:v>93</c:v>
                </c:pt>
                <c:pt idx="3323">
                  <c:v>98</c:v>
                </c:pt>
                <c:pt idx="3324">
                  <c:v>100</c:v>
                </c:pt>
                <c:pt idx="3325">
                  <c:v>88</c:v>
                </c:pt>
                <c:pt idx="3326">
                  <c:v>97</c:v>
                </c:pt>
                <c:pt idx="3327">
                  <c:v>122</c:v>
                </c:pt>
                <c:pt idx="3328">
                  <c:v>96</c:v>
                </c:pt>
                <c:pt idx="3329">
                  <c:v>113</c:v>
                </c:pt>
                <c:pt idx="3330">
                  <c:v>105</c:v>
                </c:pt>
                <c:pt idx="3331">
                  <c:v>93</c:v>
                </c:pt>
                <c:pt idx="3332">
                  <c:v>89</c:v>
                </c:pt>
                <c:pt idx="3333">
                  <c:v>116</c:v>
                </c:pt>
                <c:pt idx="3334">
                  <c:v>88</c:v>
                </c:pt>
                <c:pt idx="3335">
                  <c:v>102</c:v>
                </c:pt>
                <c:pt idx="3336">
                  <c:v>106</c:v>
                </c:pt>
                <c:pt idx="3337">
                  <c:v>95</c:v>
                </c:pt>
                <c:pt idx="3338">
                  <c:v>113</c:v>
                </c:pt>
                <c:pt idx="3339">
                  <c:v>93</c:v>
                </c:pt>
                <c:pt idx="3340">
                  <c:v>97</c:v>
                </c:pt>
                <c:pt idx="3341">
                  <c:v>140</c:v>
                </c:pt>
                <c:pt idx="3342">
                  <c:v>86</c:v>
                </c:pt>
                <c:pt idx="3343">
                  <c:v>66</c:v>
                </c:pt>
                <c:pt idx="3344">
                  <c:v>86</c:v>
                </c:pt>
                <c:pt idx="3345">
                  <c:v>87</c:v>
                </c:pt>
                <c:pt idx="3346">
                  <c:v>149</c:v>
                </c:pt>
                <c:pt idx="3347">
                  <c:v>98</c:v>
                </c:pt>
                <c:pt idx="3348">
                  <c:v>75</c:v>
                </c:pt>
                <c:pt idx="3349">
                  <c:v>104</c:v>
                </c:pt>
                <c:pt idx="3350">
                  <c:v>102</c:v>
                </c:pt>
                <c:pt idx="3351">
                  <c:v>105</c:v>
                </c:pt>
                <c:pt idx="3352">
                  <c:v>107</c:v>
                </c:pt>
                <c:pt idx="3353">
                  <c:v>89</c:v>
                </c:pt>
                <c:pt idx="3354">
                  <c:v>106</c:v>
                </c:pt>
                <c:pt idx="3355">
                  <c:v>34</c:v>
                </c:pt>
                <c:pt idx="3356">
                  <c:v>101</c:v>
                </c:pt>
                <c:pt idx="3357">
                  <c:v>112</c:v>
                </c:pt>
                <c:pt idx="3358">
                  <c:v>100</c:v>
                </c:pt>
                <c:pt idx="3359">
                  <c:v>100</c:v>
                </c:pt>
                <c:pt idx="3360">
                  <c:v>80</c:v>
                </c:pt>
                <c:pt idx="3361">
                  <c:v>106</c:v>
                </c:pt>
                <c:pt idx="3362">
                  <c:v>103</c:v>
                </c:pt>
                <c:pt idx="3363">
                  <c:v>90</c:v>
                </c:pt>
                <c:pt idx="3364">
                  <c:v>96</c:v>
                </c:pt>
                <c:pt idx="3365">
                  <c:v>120</c:v>
                </c:pt>
                <c:pt idx="3366">
                  <c:v>101</c:v>
                </c:pt>
                <c:pt idx="3367">
                  <c:v>101</c:v>
                </c:pt>
                <c:pt idx="3368">
                  <c:v>105</c:v>
                </c:pt>
                <c:pt idx="3369">
                  <c:v>120</c:v>
                </c:pt>
                <c:pt idx="3370">
                  <c:v>91</c:v>
                </c:pt>
                <c:pt idx="3371">
                  <c:v>92</c:v>
                </c:pt>
                <c:pt idx="3372">
                  <c:v>117</c:v>
                </c:pt>
                <c:pt idx="3373">
                  <c:v>120</c:v>
                </c:pt>
                <c:pt idx="3374">
                  <c:v>172</c:v>
                </c:pt>
                <c:pt idx="3375">
                  <c:v>89</c:v>
                </c:pt>
                <c:pt idx="3376">
                  <c:v>125</c:v>
                </c:pt>
                <c:pt idx="3377">
                  <c:v>115</c:v>
                </c:pt>
                <c:pt idx="3378">
                  <c:v>96</c:v>
                </c:pt>
                <c:pt idx="3379">
                  <c:v>100</c:v>
                </c:pt>
                <c:pt idx="3380">
                  <c:v>87</c:v>
                </c:pt>
                <c:pt idx="3381">
                  <c:v>102</c:v>
                </c:pt>
                <c:pt idx="3382">
                  <c:v>118</c:v>
                </c:pt>
                <c:pt idx="3383">
                  <c:v>86</c:v>
                </c:pt>
                <c:pt idx="3384">
                  <c:v>137</c:v>
                </c:pt>
                <c:pt idx="3385">
                  <c:v>129</c:v>
                </c:pt>
                <c:pt idx="3386">
                  <c:v>80</c:v>
                </c:pt>
                <c:pt idx="3387">
                  <c:v>89</c:v>
                </c:pt>
                <c:pt idx="3388">
                  <c:v>80</c:v>
                </c:pt>
                <c:pt idx="3389">
                  <c:v>115</c:v>
                </c:pt>
                <c:pt idx="3390">
                  <c:v>100</c:v>
                </c:pt>
                <c:pt idx="3391">
                  <c:v>100</c:v>
                </c:pt>
                <c:pt idx="3392">
                  <c:v>91</c:v>
                </c:pt>
                <c:pt idx="3393">
                  <c:v>96</c:v>
                </c:pt>
                <c:pt idx="3394">
                  <c:v>116</c:v>
                </c:pt>
                <c:pt idx="3395">
                  <c:v>97</c:v>
                </c:pt>
                <c:pt idx="3396">
                  <c:v>101</c:v>
                </c:pt>
                <c:pt idx="3397">
                  <c:v>98</c:v>
                </c:pt>
                <c:pt idx="3398">
                  <c:v>101</c:v>
                </c:pt>
                <c:pt idx="3399">
                  <c:v>90</c:v>
                </c:pt>
                <c:pt idx="3400">
                  <c:v>120</c:v>
                </c:pt>
                <c:pt idx="3401">
                  <c:v>102</c:v>
                </c:pt>
                <c:pt idx="3402">
                  <c:v>102</c:v>
                </c:pt>
                <c:pt idx="3403">
                  <c:v>100</c:v>
                </c:pt>
                <c:pt idx="3404">
                  <c:v>89</c:v>
                </c:pt>
                <c:pt idx="3405">
                  <c:v>86</c:v>
                </c:pt>
                <c:pt idx="3406">
                  <c:v>96</c:v>
                </c:pt>
                <c:pt idx="3407">
                  <c:v>91</c:v>
                </c:pt>
                <c:pt idx="3408">
                  <c:v>85</c:v>
                </c:pt>
                <c:pt idx="3409">
                  <c:v>129</c:v>
                </c:pt>
                <c:pt idx="3410">
                  <c:v>95</c:v>
                </c:pt>
                <c:pt idx="3411">
                  <c:v>92</c:v>
                </c:pt>
                <c:pt idx="3412">
                  <c:v>96</c:v>
                </c:pt>
                <c:pt idx="3413">
                  <c:v>119</c:v>
                </c:pt>
                <c:pt idx="3414">
                  <c:v>92</c:v>
                </c:pt>
                <c:pt idx="3415">
                  <c:v>106</c:v>
                </c:pt>
                <c:pt idx="3416">
                  <c:v>103</c:v>
                </c:pt>
                <c:pt idx="3417">
                  <c:v>95</c:v>
                </c:pt>
                <c:pt idx="3418">
                  <c:v>95</c:v>
                </c:pt>
                <c:pt idx="3419">
                  <c:v>90</c:v>
                </c:pt>
                <c:pt idx="3420">
                  <c:v>89</c:v>
                </c:pt>
                <c:pt idx="3421">
                  <c:v>87</c:v>
                </c:pt>
                <c:pt idx="3422">
                  <c:v>118</c:v>
                </c:pt>
                <c:pt idx="3423">
                  <c:v>93</c:v>
                </c:pt>
                <c:pt idx="3424">
                  <c:v>90</c:v>
                </c:pt>
                <c:pt idx="3425">
                  <c:v>108</c:v>
                </c:pt>
                <c:pt idx="3426">
                  <c:v>81</c:v>
                </c:pt>
                <c:pt idx="3427">
                  <c:v>93</c:v>
                </c:pt>
                <c:pt idx="3428">
                  <c:v>138</c:v>
                </c:pt>
                <c:pt idx="3429">
                  <c:v>105</c:v>
                </c:pt>
                <c:pt idx="3430">
                  <c:v>98</c:v>
                </c:pt>
                <c:pt idx="3431">
                  <c:v>86</c:v>
                </c:pt>
                <c:pt idx="3432">
                  <c:v>104</c:v>
                </c:pt>
                <c:pt idx="3433">
                  <c:v>100</c:v>
                </c:pt>
                <c:pt idx="3434">
                  <c:v>84</c:v>
                </c:pt>
                <c:pt idx="3435">
                  <c:v>95</c:v>
                </c:pt>
                <c:pt idx="3436">
                  <c:v>90</c:v>
                </c:pt>
                <c:pt idx="3437">
                  <c:v>123</c:v>
                </c:pt>
                <c:pt idx="3438">
                  <c:v>111</c:v>
                </c:pt>
                <c:pt idx="3439">
                  <c:v>108</c:v>
                </c:pt>
                <c:pt idx="3440">
                  <c:v>91</c:v>
                </c:pt>
                <c:pt idx="3441">
                  <c:v>97</c:v>
                </c:pt>
                <c:pt idx="3442">
                  <c:v>103</c:v>
                </c:pt>
                <c:pt idx="3443">
                  <c:v>110</c:v>
                </c:pt>
                <c:pt idx="3444">
                  <c:v>103</c:v>
                </c:pt>
                <c:pt idx="3445">
                  <c:v>114</c:v>
                </c:pt>
                <c:pt idx="3446">
                  <c:v>112</c:v>
                </c:pt>
                <c:pt idx="3447">
                  <c:v>104</c:v>
                </c:pt>
                <c:pt idx="3448">
                  <c:v>99</c:v>
                </c:pt>
                <c:pt idx="3449">
                  <c:v>98</c:v>
                </c:pt>
                <c:pt idx="3450">
                  <c:v>100</c:v>
                </c:pt>
                <c:pt idx="3451">
                  <c:v>80</c:v>
                </c:pt>
                <c:pt idx="3452">
                  <c:v>87</c:v>
                </c:pt>
                <c:pt idx="3453">
                  <c:v>91</c:v>
                </c:pt>
                <c:pt idx="3454">
                  <c:v>84</c:v>
                </c:pt>
                <c:pt idx="3455">
                  <c:v>90</c:v>
                </c:pt>
                <c:pt idx="3456">
                  <c:v>98</c:v>
                </c:pt>
                <c:pt idx="3457">
                  <c:v>124</c:v>
                </c:pt>
                <c:pt idx="3458">
                  <c:v>95</c:v>
                </c:pt>
                <c:pt idx="3459">
                  <c:v>90</c:v>
                </c:pt>
                <c:pt idx="3460">
                  <c:v>101</c:v>
                </c:pt>
                <c:pt idx="3461">
                  <c:v>83</c:v>
                </c:pt>
                <c:pt idx="3462">
                  <c:v>106</c:v>
                </c:pt>
                <c:pt idx="3463">
                  <c:v>94</c:v>
                </c:pt>
                <c:pt idx="3464">
                  <c:v>120</c:v>
                </c:pt>
                <c:pt idx="3465">
                  <c:v>105</c:v>
                </c:pt>
                <c:pt idx="3466">
                  <c:v>95</c:v>
                </c:pt>
                <c:pt idx="3467">
                  <c:v>135</c:v>
                </c:pt>
                <c:pt idx="3468">
                  <c:v>105</c:v>
                </c:pt>
                <c:pt idx="3469">
                  <c:v>83</c:v>
                </c:pt>
                <c:pt idx="3470">
                  <c:v>87</c:v>
                </c:pt>
                <c:pt idx="3471">
                  <c:v>97</c:v>
                </c:pt>
                <c:pt idx="3472">
                  <c:v>87</c:v>
                </c:pt>
                <c:pt idx="3473">
                  <c:v>80</c:v>
                </c:pt>
                <c:pt idx="3474">
                  <c:v>100</c:v>
                </c:pt>
                <c:pt idx="3475">
                  <c:v>103</c:v>
                </c:pt>
                <c:pt idx="3476">
                  <c:v>100</c:v>
                </c:pt>
                <c:pt idx="3477">
                  <c:v>89</c:v>
                </c:pt>
                <c:pt idx="3478">
                  <c:v>114</c:v>
                </c:pt>
                <c:pt idx="3479">
                  <c:v>111</c:v>
                </c:pt>
                <c:pt idx="3480">
                  <c:v>85</c:v>
                </c:pt>
                <c:pt idx="3481">
                  <c:v>113</c:v>
                </c:pt>
                <c:pt idx="3482">
                  <c:v>99</c:v>
                </c:pt>
                <c:pt idx="3483">
                  <c:v>142</c:v>
                </c:pt>
                <c:pt idx="3484">
                  <c:v>112</c:v>
                </c:pt>
                <c:pt idx="3485">
                  <c:v>108</c:v>
                </c:pt>
                <c:pt idx="3486">
                  <c:v>88</c:v>
                </c:pt>
                <c:pt idx="3487">
                  <c:v>97</c:v>
                </c:pt>
                <c:pt idx="3488">
                  <c:v>85</c:v>
                </c:pt>
                <c:pt idx="3489">
                  <c:v>110</c:v>
                </c:pt>
                <c:pt idx="3490">
                  <c:v>91</c:v>
                </c:pt>
                <c:pt idx="3491">
                  <c:v>94</c:v>
                </c:pt>
                <c:pt idx="3492">
                  <c:v>90</c:v>
                </c:pt>
                <c:pt idx="3493">
                  <c:v>92</c:v>
                </c:pt>
                <c:pt idx="3494">
                  <c:v>73</c:v>
                </c:pt>
                <c:pt idx="3495">
                  <c:v>110</c:v>
                </c:pt>
                <c:pt idx="3496">
                  <c:v>102</c:v>
                </c:pt>
                <c:pt idx="3497">
                  <c:v>145</c:v>
                </c:pt>
                <c:pt idx="3498">
                  <c:v>83</c:v>
                </c:pt>
                <c:pt idx="3499">
                  <c:v>91</c:v>
                </c:pt>
                <c:pt idx="3500">
                  <c:v>110</c:v>
                </c:pt>
                <c:pt idx="3501">
                  <c:v>86</c:v>
                </c:pt>
                <c:pt idx="3502">
                  <c:v>86</c:v>
                </c:pt>
                <c:pt idx="3503">
                  <c:v>120</c:v>
                </c:pt>
                <c:pt idx="3504">
                  <c:v>90</c:v>
                </c:pt>
                <c:pt idx="3505">
                  <c:v>99</c:v>
                </c:pt>
                <c:pt idx="3506">
                  <c:v>112</c:v>
                </c:pt>
                <c:pt idx="3507">
                  <c:v>103</c:v>
                </c:pt>
                <c:pt idx="3508">
                  <c:v>83</c:v>
                </c:pt>
                <c:pt idx="3509">
                  <c:v>109</c:v>
                </c:pt>
                <c:pt idx="3510">
                  <c:v>95</c:v>
                </c:pt>
                <c:pt idx="3511">
                  <c:v>104</c:v>
                </c:pt>
                <c:pt idx="3512">
                  <c:v>97</c:v>
                </c:pt>
                <c:pt idx="3513">
                  <c:v>91</c:v>
                </c:pt>
                <c:pt idx="3514">
                  <c:v>84</c:v>
                </c:pt>
                <c:pt idx="3515">
                  <c:v>86</c:v>
                </c:pt>
                <c:pt idx="3516">
                  <c:v>92</c:v>
                </c:pt>
                <c:pt idx="3517">
                  <c:v>94</c:v>
                </c:pt>
                <c:pt idx="3518">
                  <c:v>100</c:v>
                </c:pt>
                <c:pt idx="3519">
                  <c:v>119</c:v>
                </c:pt>
                <c:pt idx="3520">
                  <c:v>167</c:v>
                </c:pt>
                <c:pt idx="3521">
                  <c:v>92</c:v>
                </c:pt>
                <c:pt idx="3522">
                  <c:v>108</c:v>
                </c:pt>
                <c:pt idx="3523">
                  <c:v>97</c:v>
                </c:pt>
                <c:pt idx="3524">
                  <c:v>88</c:v>
                </c:pt>
                <c:pt idx="3525">
                  <c:v>100</c:v>
                </c:pt>
                <c:pt idx="3526">
                  <c:v>88</c:v>
                </c:pt>
                <c:pt idx="3527">
                  <c:v>79</c:v>
                </c:pt>
                <c:pt idx="3528">
                  <c:v>96</c:v>
                </c:pt>
                <c:pt idx="3529">
                  <c:v>53</c:v>
                </c:pt>
                <c:pt idx="3530">
                  <c:v>97</c:v>
                </c:pt>
                <c:pt idx="3531">
                  <c:v>91</c:v>
                </c:pt>
                <c:pt idx="3532">
                  <c:v>93</c:v>
                </c:pt>
                <c:pt idx="3533">
                  <c:v>112</c:v>
                </c:pt>
                <c:pt idx="3534">
                  <c:v>95</c:v>
                </c:pt>
                <c:pt idx="3535">
                  <c:v>93</c:v>
                </c:pt>
                <c:pt idx="3536">
                  <c:v>88</c:v>
                </c:pt>
                <c:pt idx="3537">
                  <c:v>82</c:v>
                </c:pt>
                <c:pt idx="3538">
                  <c:v>78</c:v>
                </c:pt>
                <c:pt idx="3539">
                  <c:v>97</c:v>
                </c:pt>
                <c:pt idx="3540">
                  <c:v>81</c:v>
                </c:pt>
                <c:pt idx="3541">
                  <c:v>88</c:v>
                </c:pt>
                <c:pt idx="3542">
                  <c:v>96</c:v>
                </c:pt>
                <c:pt idx="3543">
                  <c:v>108</c:v>
                </c:pt>
                <c:pt idx="3544">
                  <c:v>100</c:v>
                </c:pt>
                <c:pt idx="3545">
                  <c:v>113</c:v>
                </c:pt>
                <c:pt idx="3546">
                  <c:v>104</c:v>
                </c:pt>
                <c:pt idx="3547">
                  <c:v>91</c:v>
                </c:pt>
                <c:pt idx="3548">
                  <c:v>85</c:v>
                </c:pt>
                <c:pt idx="3549">
                  <c:v>101</c:v>
                </c:pt>
                <c:pt idx="3550">
                  <c:v>88</c:v>
                </c:pt>
                <c:pt idx="3551">
                  <c:v>107</c:v>
                </c:pt>
                <c:pt idx="3552">
                  <c:v>95</c:v>
                </c:pt>
                <c:pt idx="3553">
                  <c:v>123</c:v>
                </c:pt>
                <c:pt idx="3554">
                  <c:v>88</c:v>
                </c:pt>
                <c:pt idx="3555">
                  <c:v>114</c:v>
                </c:pt>
                <c:pt idx="3556">
                  <c:v>88</c:v>
                </c:pt>
                <c:pt idx="3557">
                  <c:v>104</c:v>
                </c:pt>
                <c:pt idx="3558">
                  <c:v>93</c:v>
                </c:pt>
                <c:pt idx="3559">
                  <c:v>91</c:v>
                </c:pt>
                <c:pt idx="3560">
                  <c:v>90</c:v>
                </c:pt>
                <c:pt idx="3561">
                  <c:v>112</c:v>
                </c:pt>
                <c:pt idx="3562">
                  <c:v>86</c:v>
                </c:pt>
                <c:pt idx="3563">
                  <c:v>86</c:v>
                </c:pt>
                <c:pt idx="3564">
                  <c:v>95</c:v>
                </c:pt>
                <c:pt idx="3565">
                  <c:v>101</c:v>
                </c:pt>
                <c:pt idx="3566">
                  <c:v>88</c:v>
                </c:pt>
                <c:pt idx="3567">
                  <c:v>99</c:v>
                </c:pt>
                <c:pt idx="3568">
                  <c:v>170</c:v>
                </c:pt>
                <c:pt idx="3569">
                  <c:v>97</c:v>
                </c:pt>
                <c:pt idx="3570">
                  <c:v>106</c:v>
                </c:pt>
                <c:pt idx="3571">
                  <c:v>107</c:v>
                </c:pt>
                <c:pt idx="3572">
                  <c:v>84</c:v>
                </c:pt>
                <c:pt idx="3573">
                  <c:v>81</c:v>
                </c:pt>
                <c:pt idx="3574">
                  <c:v>81</c:v>
                </c:pt>
                <c:pt idx="3575">
                  <c:v>215</c:v>
                </c:pt>
                <c:pt idx="3576">
                  <c:v>106</c:v>
                </c:pt>
                <c:pt idx="3577">
                  <c:v>103</c:v>
                </c:pt>
                <c:pt idx="3578">
                  <c:v>87</c:v>
                </c:pt>
                <c:pt idx="3579">
                  <c:v>80</c:v>
                </c:pt>
                <c:pt idx="3580">
                  <c:v>122</c:v>
                </c:pt>
                <c:pt idx="3581">
                  <c:v>86</c:v>
                </c:pt>
                <c:pt idx="3582">
                  <c:v>79</c:v>
                </c:pt>
                <c:pt idx="3583">
                  <c:v>97</c:v>
                </c:pt>
                <c:pt idx="3584">
                  <c:v>89</c:v>
                </c:pt>
                <c:pt idx="3585">
                  <c:v>120</c:v>
                </c:pt>
                <c:pt idx="3586">
                  <c:v>108</c:v>
                </c:pt>
                <c:pt idx="3587">
                  <c:v>102</c:v>
                </c:pt>
                <c:pt idx="3588">
                  <c:v>93</c:v>
                </c:pt>
                <c:pt idx="3589">
                  <c:v>86</c:v>
                </c:pt>
                <c:pt idx="3590">
                  <c:v>101</c:v>
                </c:pt>
                <c:pt idx="3591">
                  <c:v>111</c:v>
                </c:pt>
                <c:pt idx="3592">
                  <c:v>90</c:v>
                </c:pt>
                <c:pt idx="3593">
                  <c:v>86</c:v>
                </c:pt>
                <c:pt idx="3594">
                  <c:v>98</c:v>
                </c:pt>
                <c:pt idx="3595">
                  <c:v>91</c:v>
                </c:pt>
                <c:pt idx="3596">
                  <c:v>91</c:v>
                </c:pt>
                <c:pt idx="3597">
                  <c:v>88</c:v>
                </c:pt>
                <c:pt idx="3598">
                  <c:v>202</c:v>
                </c:pt>
                <c:pt idx="3599">
                  <c:v>89</c:v>
                </c:pt>
                <c:pt idx="3600">
                  <c:v>84</c:v>
                </c:pt>
                <c:pt idx="3601">
                  <c:v>82</c:v>
                </c:pt>
                <c:pt idx="3602">
                  <c:v>100</c:v>
                </c:pt>
                <c:pt idx="3603">
                  <c:v>112</c:v>
                </c:pt>
                <c:pt idx="3604">
                  <c:v>94</c:v>
                </c:pt>
                <c:pt idx="3605">
                  <c:v>91</c:v>
                </c:pt>
                <c:pt idx="3606">
                  <c:v>87</c:v>
                </c:pt>
                <c:pt idx="3607">
                  <c:v>82</c:v>
                </c:pt>
                <c:pt idx="3608">
                  <c:v>91</c:v>
                </c:pt>
                <c:pt idx="3609">
                  <c:v>107</c:v>
                </c:pt>
                <c:pt idx="3610">
                  <c:v>84</c:v>
                </c:pt>
                <c:pt idx="3611">
                  <c:v>103</c:v>
                </c:pt>
                <c:pt idx="3612">
                  <c:v>89</c:v>
                </c:pt>
                <c:pt idx="3613">
                  <c:v>98</c:v>
                </c:pt>
                <c:pt idx="3614">
                  <c:v>133</c:v>
                </c:pt>
                <c:pt idx="3615">
                  <c:v>92</c:v>
                </c:pt>
                <c:pt idx="3616">
                  <c:v>90</c:v>
                </c:pt>
                <c:pt idx="3617">
                  <c:v>84</c:v>
                </c:pt>
                <c:pt idx="3618">
                  <c:v>91</c:v>
                </c:pt>
                <c:pt idx="3619">
                  <c:v>90</c:v>
                </c:pt>
                <c:pt idx="3620">
                  <c:v>96</c:v>
                </c:pt>
                <c:pt idx="3621">
                  <c:v>88</c:v>
                </c:pt>
                <c:pt idx="3622">
                  <c:v>92</c:v>
                </c:pt>
                <c:pt idx="3623">
                  <c:v>82</c:v>
                </c:pt>
                <c:pt idx="3624">
                  <c:v>101</c:v>
                </c:pt>
                <c:pt idx="3625">
                  <c:v>86</c:v>
                </c:pt>
                <c:pt idx="3626">
                  <c:v>100</c:v>
                </c:pt>
                <c:pt idx="3627">
                  <c:v>89</c:v>
                </c:pt>
                <c:pt idx="3628">
                  <c:v>84</c:v>
                </c:pt>
                <c:pt idx="3629">
                  <c:v>88</c:v>
                </c:pt>
                <c:pt idx="3630">
                  <c:v>90</c:v>
                </c:pt>
                <c:pt idx="3631">
                  <c:v>102</c:v>
                </c:pt>
                <c:pt idx="3632">
                  <c:v>98</c:v>
                </c:pt>
                <c:pt idx="3633">
                  <c:v>91</c:v>
                </c:pt>
                <c:pt idx="3634">
                  <c:v>80</c:v>
                </c:pt>
                <c:pt idx="3635">
                  <c:v>76</c:v>
                </c:pt>
                <c:pt idx="3636">
                  <c:v>80</c:v>
                </c:pt>
                <c:pt idx="3637">
                  <c:v>102</c:v>
                </c:pt>
                <c:pt idx="3638">
                  <c:v>95</c:v>
                </c:pt>
                <c:pt idx="3639">
                  <c:v>94</c:v>
                </c:pt>
                <c:pt idx="3640">
                  <c:v>109</c:v>
                </c:pt>
                <c:pt idx="3641">
                  <c:v>95</c:v>
                </c:pt>
                <c:pt idx="3642">
                  <c:v>90</c:v>
                </c:pt>
                <c:pt idx="3643">
                  <c:v>113</c:v>
                </c:pt>
                <c:pt idx="3644">
                  <c:v>91</c:v>
                </c:pt>
                <c:pt idx="3645">
                  <c:v>98</c:v>
                </c:pt>
                <c:pt idx="3646">
                  <c:v>94</c:v>
                </c:pt>
                <c:pt idx="3647">
                  <c:v>96</c:v>
                </c:pt>
                <c:pt idx="3648">
                  <c:v>100</c:v>
                </c:pt>
                <c:pt idx="3649">
                  <c:v>90</c:v>
                </c:pt>
                <c:pt idx="3650">
                  <c:v>76</c:v>
                </c:pt>
                <c:pt idx="3651">
                  <c:v>75</c:v>
                </c:pt>
                <c:pt idx="3652">
                  <c:v>78</c:v>
                </c:pt>
                <c:pt idx="3653">
                  <c:v>90</c:v>
                </c:pt>
                <c:pt idx="3654">
                  <c:v>92</c:v>
                </c:pt>
                <c:pt idx="3655">
                  <c:v>99</c:v>
                </c:pt>
                <c:pt idx="3656">
                  <c:v>81</c:v>
                </c:pt>
                <c:pt idx="3657">
                  <c:v>86</c:v>
                </c:pt>
                <c:pt idx="3658">
                  <c:v>106</c:v>
                </c:pt>
                <c:pt idx="3659">
                  <c:v>80</c:v>
                </c:pt>
                <c:pt idx="3660">
                  <c:v>96</c:v>
                </c:pt>
                <c:pt idx="3661">
                  <c:v>99</c:v>
                </c:pt>
                <c:pt idx="3662">
                  <c:v>85</c:v>
                </c:pt>
                <c:pt idx="3663">
                  <c:v>101</c:v>
                </c:pt>
                <c:pt idx="3664">
                  <c:v>97</c:v>
                </c:pt>
                <c:pt idx="3665">
                  <c:v>103</c:v>
                </c:pt>
                <c:pt idx="3666">
                  <c:v>86</c:v>
                </c:pt>
                <c:pt idx="3667">
                  <c:v>106</c:v>
                </c:pt>
                <c:pt idx="3668">
                  <c:v>89</c:v>
                </c:pt>
                <c:pt idx="3669">
                  <c:v>97</c:v>
                </c:pt>
                <c:pt idx="3670">
                  <c:v>88</c:v>
                </c:pt>
                <c:pt idx="3671">
                  <c:v>92</c:v>
                </c:pt>
                <c:pt idx="3672">
                  <c:v>97</c:v>
                </c:pt>
                <c:pt idx="3673">
                  <c:v>78</c:v>
                </c:pt>
                <c:pt idx="3674">
                  <c:v>85</c:v>
                </c:pt>
                <c:pt idx="3675">
                  <c:v>88</c:v>
                </c:pt>
                <c:pt idx="3676">
                  <c:v>93</c:v>
                </c:pt>
                <c:pt idx="3677">
                  <c:v>72</c:v>
                </c:pt>
                <c:pt idx="3678">
                  <c:v>80</c:v>
                </c:pt>
                <c:pt idx="3679">
                  <c:v>91</c:v>
                </c:pt>
                <c:pt idx="3680">
                  <c:v>90</c:v>
                </c:pt>
                <c:pt idx="3681">
                  <c:v>111</c:v>
                </c:pt>
                <c:pt idx="3682">
                  <c:v>81</c:v>
                </c:pt>
                <c:pt idx="3683">
                  <c:v>81</c:v>
                </c:pt>
                <c:pt idx="3684">
                  <c:v>90</c:v>
                </c:pt>
                <c:pt idx="3685">
                  <c:v>88</c:v>
                </c:pt>
                <c:pt idx="3686">
                  <c:v>84</c:v>
                </c:pt>
                <c:pt idx="3687">
                  <c:v>87</c:v>
                </c:pt>
                <c:pt idx="3688">
                  <c:v>100</c:v>
                </c:pt>
                <c:pt idx="3689">
                  <c:v>82</c:v>
                </c:pt>
                <c:pt idx="3690">
                  <c:v>82</c:v>
                </c:pt>
                <c:pt idx="3691">
                  <c:v>98</c:v>
                </c:pt>
                <c:pt idx="3692">
                  <c:v>98</c:v>
                </c:pt>
                <c:pt idx="3693">
                  <c:v>90</c:v>
                </c:pt>
                <c:pt idx="3694">
                  <c:v>90</c:v>
                </c:pt>
                <c:pt idx="3695">
                  <c:v>78</c:v>
                </c:pt>
                <c:pt idx="3696">
                  <c:v>102</c:v>
                </c:pt>
                <c:pt idx="3697">
                  <c:v>65</c:v>
                </c:pt>
                <c:pt idx="3698">
                  <c:v>97</c:v>
                </c:pt>
                <c:pt idx="3699">
                  <c:v>100</c:v>
                </c:pt>
                <c:pt idx="3700">
                  <c:v>85</c:v>
                </c:pt>
                <c:pt idx="3701">
                  <c:v>88</c:v>
                </c:pt>
                <c:pt idx="3702">
                  <c:v>108</c:v>
                </c:pt>
                <c:pt idx="3703">
                  <c:v>110</c:v>
                </c:pt>
                <c:pt idx="3704">
                  <c:v>90</c:v>
                </c:pt>
                <c:pt idx="3705">
                  <c:v>111</c:v>
                </c:pt>
                <c:pt idx="3706">
                  <c:v>77</c:v>
                </c:pt>
                <c:pt idx="3707">
                  <c:v>80</c:v>
                </c:pt>
                <c:pt idx="3708">
                  <c:v>81</c:v>
                </c:pt>
                <c:pt idx="3709">
                  <c:v>95</c:v>
                </c:pt>
                <c:pt idx="3710">
                  <c:v>90</c:v>
                </c:pt>
                <c:pt idx="3711">
                  <c:v>102</c:v>
                </c:pt>
                <c:pt idx="3712">
                  <c:v>95</c:v>
                </c:pt>
                <c:pt idx="3713">
                  <c:v>94</c:v>
                </c:pt>
                <c:pt idx="3714">
                  <c:v>109</c:v>
                </c:pt>
                <c:pt idx="3715">
                  <c:v>95</c:v>
                </c:pt>
                <c:pt idx="3716">
                  <c:v>90</c:v>
                </c:pt>
                <c:pt idx="3717">
                  <c:v>113</c:v>
                </c:pt>
                <c:pt idx="3718">
                  <c:v>91</c:v>
                </c:pt>
                <c:pt idx="3719">
                  <c:v>98</c:v>
                </c:pt>
                <c:pt idx="3720">
                  <c:v>94</c:v>
                </c:pt>
                <c:pt idx="3721">
                  <c:v>96</c:v>
                </c:pt>
                <c:pt idx="3722">
                  <c:v>100</c:v>
                </c:pt>
                <c:pt idx="3723">
                  <c:v>90</c:v>
                </c:pt>
                <c:pt idx="3724">
                  <c:v>76</c:v>
                </c:pt>
                <c:pt idx="3725">
                  <c:v>75</c:v>
                </c:pt>
                <c:pt idx="3726">
                  <c:v>78</c:v>
                </c:pt>
                <c:pt idx="3727">
                  <c:v>90</c:v>
                </c:pt>
                <c:pt idx="3728">
                  <c:v>92</c:v>
                </c:pt>
                <c:pt idx="3729">
                  <c:v>99</c:v>
                </c:pt>
                <c:pt idx="3730">
                  <c:v>81</c:v>
                </c:pt>
                <c:pt idx="3731">
                  <c:v>86</c:v>
                </c:pt>
                <c:pt idx="3732">
                  <c:v>106</c:v>
                </c:pt>
                <c:pt idx="3733">
                  <c:v>80</c:v>
                </c:pt>
                <c:pt idx="3734">
                  <c:v>96</c:v>
                </c:pt>
                <c:pt idx="3735">
                  <c:v>99</c:v>
                </c:pt>
                <c:pt idx="3736">
                  <c:v>85</c:v>
                </c:pt>
                <c:pt idx="3737">
                  <c:v>101</c:v>
                </c:pt>
                <c:pt idx="3738">
                  <c:v>97</c:v>
                </c:pt>
                <c:pt idx="3739">
                  <c:v>103</c:v>
                </c:pt>
                <c:pt idx="3740">
                  <c:v>86</c:v>
                </c:pt>
                <c:pt idx="3741">
                  <c:v>106</c:v>
                </c:pt>
                <c:pt idx="3742">
                  <c:v>89</c:v>
                </c:pt>
                <c:pt idx="3743">
                  <c:v>97</c:v>
                </c:pt>
                <c:pt idx="3744">
                  <c:v>88</c:v>
                </c:pt>
                <c:pt idx="3745">
                  <c:v>92</c:v>
                </c:pt>
                <c:pt idx="3746">
                  <c:v>97</c:v>
                </c:pt>
                <c:pt idx="3747">
                  <c:v>78</c:v>
                </c:pt>
                <c:pt idx="3748">
                  <c:v>85</c:v>
                </c:pt>
                <c:pt idx="3749">
                  <c:v>88</c:v>
                </c:pt>
                <c:pt idx="3750">
                  <c:v>93</c:v>
                </c:pt>
                <c:pt idx="3751">
                  <c:v>72</c:v>
                </c:pt>
                <c:pt idx="3752">
                  <c:v>80</c:v>
                </c:pt>
                <c:pt idx="3753">
                  <c:v>91</c:v>
                </c:pt>
                <c:pt idx="3754">
                  <c:v>90</c:v>
                </c:pt>
                <c:pt idx="3755">
                  <c:v>111</c:v>
                </c:pt>
                <c:pt idx="3756">
                  <c:v>81</c:v>
                </c:pt>
                <c:pt idx="3757">
                  <c:v>81</c:v>
                </c:pt>
                <c:pt idx="3758">
                  <c:v>90</c:v>
                </c:pt>
                <c:pt idx="3759">
                  <c:v>88</c:v>
                </c:pt>
                <c:pt idx="3760">
                  <c:v>84</c:v>
                </c:pt>
                <c:pt idx="3761">
                  <c:v>87</c:v>
                </c:pt>
                <c:pt idx="3762">
                  <c:v>100</c:v>
                </c:pt>
                <c:pt idx="3763">
                  <c:v>82</c:v>
                </c:pt>
                <c:pt idx="3764">
                  <c:v>82</c:v>
                </c:pt>
                <c:pt idx="3765">
                  <c:v>98</c:v>
                </c:pt>
                <c:pt idx="3766">
                  <c:v>98</c:v>
                </c:pt>
                <c:pt idx="3767">
                  <c:v>90</c:v>
                </c:pt>
                <c:pt idx="3768">
                  <c:v>90</c:v>
                </c:pt>
                <c:pt idx="3769">
                  <c:v>78</c:v>
                </c:pt>
                <c:pt idx="3770">
                  <c:v>102</c:v>
                </c:pt>
                <c:pt idx="3771">
                  <c:v>65</c:v>
                </c:pt>
                <c:pt idx="3772">
                  <c:v>97</c:v>
                </c:pt>
                <c:pt idx="3773">
                  <c:v>100</c:v>
                </c:pt>
                <c:pt idx="3774">
                  <c:v>85</c:v>
                </c:pt>
                <c:pt idx="3775">
                  <c:v>88</c:v>
                </c:pt>
                <c:pt idx="3776">
                  <c:v>108</c:v>
                </c:pt>
                <c:pt idx="3777">
                  <c:v>110</c:v>
                </c:pt>
                <c:pt idx="3778">
                  <c:v>90</c:v>
                </c:pt>
                <c:pt idx="3779">
                  <c:v>111</c:v>
                </c:pt>
                <c:pt idx="3780">
                  <c:v>77</c:v>
                </c:pt>
                <c:pt idx="3781">
                  <c:v>80</c:v>
                </c:pt>
                <c:pt idx="3782">
                  <c:v>81</c:v>
                </c:pt>
                <c:pt idx="3783">
                  <c:v>95</c:v>
                </c:pt>
                <c:pt idx="3784">
                  <c:v>90</c:v>
                </c:pt>
              </c:numCache>
            </c:numRef>
          </c:xVal>
          <c:yVal>
            <c:numRef>
              <c:f>'Movie duration analysis'!$B$2:$B$3786</c:f>
              <c:numCache>
                <c:formatCode>General</c:formatCode>
                <c:ptCount val="3785"/>
                <c:pt idx="0">
                  <c:v>7.9</c:v>
                </c:pt>
                <c:pt idx="1">
                  <c:v>7.1</c:v>
                </c:pt>
                <c:pt idx="2">
                  <c:v>6.8</c:v>
                </c:pt>
                <c:pt idx="3">
                  <c:v>8.5</c:v>
                </c:pt>
                <c:pt idx="4">
                  <c:v>7.1</c:v>
                </c:pt>
                <c:pt idx="5">
                  <c:v>6.6</c:v>
                </c:pt>
                <c:pt idx="6">
                  <c:v>6.2</c:v>
                </c:pt>
                <c:pt idx="7">
                  <c:v>7.8</c:v>
                </c:pt>
                <c:pt idx="8">
                  <c:v>7.5</c:v>
                </c:pt>
                <c:pt idx="9">
                  <c:v>7.5</c:v>
                </c:pt>
                <c:pt idx="10">
                  <c:v>6.9</c:v>
                </c:pt>
                <c:pt idx="11">
                  <c:v>6.1</c:v>
                </c:pt>
                <c:pt idx="12">
                  <c:v>6.7</c:v>
                </c:pt>
                <c:pt idx="13">
                  <c:v>7.3</c:v>
                </c:pt>
                <c:pt idx="14">
                  <c:v>6.5</c:v>
                </c:pt>
                <c:pt idx="15">
                  <c:v>7.2</c:v>
                </c:pt>
                <c:pt idx="16">
                  <c:v>6.6</c:v>
                </c:pt>
                <c:pt idx="17">
                  <c:v>8.1</c:v>
                </c:pt>
                <c:pt idx="18">
                  <c:v>6.7</c:v>
                </c:pt>
                <c:pt idx="19">
                  <c:v>6.8</c:v>
                </c:pt>
                <c:pt idx="20">
                  <c:v>7.5</c:v>
                </c:pt>
                <c:pt idx="21">
                  <c:v>7</c:v>
                </c:pt>
                <c:pt idx="22">
                  <c:v>6.7</c:v>
                </c:pt>
                <c:pt idx="23">
                  <c:v>7.9</c:v>
                </c:pt>
                <c:pt idx="24">
                  <c:v>6.1</c:v>
                </c:pt>
                <c:pt idx="25">
                  <c:v>7.2</c:v>
                </c:pt>
                <c:pt idx="26">
                  <c:v>7.7</c:v>
                </c:pt>
                <c:pt idx="27">
                  <c:v>8.1999999999999993</c:v>
                </c:pt>
                <c:pt idx="28">
                  <c:v>5.9</c:v>
                </c:pt>
                <c:pt idx="29">
                  <c:v>7</c:v>
                </c:pt>
                <c:pt idx="30">
                  <c:v>7.8</c:v>
                </c:pt>
                <c:pt idx="31">
                  <c:v>7.3</c:v>
                </c:pt>
                <c:pt idx="32">
                  <c:v>7.2</c:v>
                </c:pt>
                <c:pt idx="33">
                  <c:v>6.5</c:v>
                </c:pt>
                <c:pt idx="34">
                  <c:v>6.8</c:v>
                </c:pt>
                <c:pt idx="35">
                  <c:v>7.3</c:v>
                </c:pt>
                <c:pt idx="36">
                  <c:v>6</c:v>
                </c:pt>
                <c:pt idx="37">
                  <c:v>5.7</c:v>
                </c:pt>
                <c:pt idx="38">
                  <c:v>6.4</c:v>
                </c:pt>
                <c:pt idx="39">
                  <c:v>6.7</c:v>
                </c:pt>
                <c:pt idx="40">
                  <c:v>6.8</c:v>
                </c:pt>
                <c:pt idx="41">
                  <c:v>6.3</c:v>
                </c:pt>
                <c:pt idx="42">
                  <c:v>5.6</c:v>
                </c:pt>
                <c:pt idx="43">
                  <c:v>8.3000000000000007</c:v>
                </c:pt>
                <c:pt idx="44">
                  <c:v>6.6</c:v>
                </c:pt>
                <c:pt idx="45">
                  <c:v>7.2</c:v>
                </c:pt>
                <c:pt idx="46">
                  <c:v>7</c:v>
                </c:pt>
                <c:pt idx="47">
                  <c:v>8</c:v>
                </c:pt>
                <c:pt idx="48">
                  <c:v>7.8</c:v>
                </c:pt>
                <c:pt idx="49">
                  <c:v>6.3</c:v>
                </c:pt>
                <c:pt idx="50">
                  <c:v>7.3</c:v>
                </c:pt>
                <c:pt idx="51">
                  <c:v>6.6</c:v>
                </c:pt>
                <c:pt idx="52">
                  <c:v>7</c:v>
                </c:pt>
                <c:pt idx="53">
                  <c:v>6.3</c:v>
                </c:pt>
                <c:pt idx="54">
                  <c:v>6.2</c:v>
                </c:pt>
                <c:pt idx="55">
                  <c:v>6.8</c:v>
                </c:pt>
                <c:pt idx="56">
                  <c:v>7.2</c:v>
                </c:pt>
                <c:pt idx="57">
                  <c:v>7.5</c:v>
                </c:pt>
                <c:pt idx="58">
                  <c:v>8.4</c:v>
                </c:pt>
                <c:pt idx="59">
                  <c:v>6.2</c:v>
                </c:pt>
                <c:pt idx="60">
                  <c:v>5.8</c:v>
                </c:pt>
                <c:pt idx="61">
                  <c:v>6.8</c:v>
                </c:pt>
                <c:pt idx="62">
                  <c:v>5.4</c:v>
                </c:pt>
                <c:pt idx="63">
                  <c:v>6.6</c:v>
                </c:pt>
                <c:pt idx="64">
                  <c:v>6.9</c:v>
                </c:pt>
                <c:pt idx="65">
                  <c:v>7.3</c:v>
                </c:pt>
                <c:pt idx="66">
                  <c:v>9</c:v>
                </c:pt>
                <c:pt idx="67">
                  <c:v>8.3000000000000007</c:v>
                </c:pt>
                <c:pt idx="68">
                  <c:v>6.5</c:v>
                </c:pt>
                <c:pt idx="69">
                  <c:v>7.9</c:v>
                </c:pt>
                <c:pt idx="70">
                  <c:v>7.5</c:v>
                </c:pt>
                <c:pt idx="71">
                  <c:v>4.8</c:v>
                </c:pt>
                <c:pt idx="72">
                  <c:v>5.2</c:v>
                </c:pt>
                <c:pt idx="73">
                  <c:v>6.9</c:v>
                </c:pt>
                <c:pt idx="74">
                  <c:v>5.4</c:v>
                </c:pt>
                <c:pt idx="75">
                  <c:v>7.9</c:v>
                </c:pt>
                <c:pt idx="76">
                  <c:v>6.1</c:v>
                </c:pt>
                <c:pt idx="77">
                  <c:v>5.8</c:v>
                </c:pt>
                <c:pt idx="78">
                  <c:v>8.3000000000000007</c:v>
                </c:pt>
                <c:pt idx="79">
                  <c:v>7.8</c:v>
                </c:pt>
                <c:pt idx="80">
                  <c:v>7</c:v>
                </c:pt>
                <c:pt idx="81">
                  <c:v>6.1</c:v>
                </c:pt>
                <c:pt idx="82">
                  <c:v>7</c:v>
                </c:pt>
                <c:pt idx="83">
                  <c:v>7.6</c:v>
                </c:pt>
                <c:pt idx="84">
                  <c:v>4.5</c:v>
                </c:pt>
                <c:pt idx="85">
                  <c:v>6.3</c:v>
                </c:pt>
                <c:pt idx="86">
                  <c:v>7.8</c:v>
                </c:pt>
                <c:pt idx="87">
                  <c:v>6.4</c:v>
                </c:pt>
                <c:pt idx="88">
                  <c:v>6.5</c:v>
                </c:pt>
                <c:pt idx="89">
                  <c:v>7.9</c:v>
                </c:pt>
                <c:pt idx="90">
                  <c:v>7.8</c:v>
                </c:pt>
                <c:pt idx="91">
                  <c:v>6.6</c:v>
                </c:pt>
                <c:pt idx="92">
                  <c:v>5.5</c:v>
                </c:pt>
                <c:pt idx="93">
                  <c:v>8.1999999999999993</c:v>
                </c:pt>
                <c:pt idx="94">
                  <c:v>6.4</c:v>
                </c:pt>
                <c:pt idx="95">
                  <c:v>8.1</c:v>
                </c:pt>
                <c:pt idx="96">
                  <c:v>8.6</c:v>
                </c:pt>
                <c:pt idx="97">
                  <c:v>8.8000000000000007</c:v>
                </c:pt>
                <c:pt idx="98">
                  <c:v>8.1999999999999993</c:v>
                </c:pt>
                <c:pt idx="99">
                  <c:v>7.9</c:v>
                </c:pt>
                <c:pt idx="100">
                  <c:v>6.7</c:v>
                </c:pt>
                <c:pt idx="101">
                  <c:v>7.8</c:v>
                </c:pt>
                <c:pt idx="102">
                  <c:v>7.8</c:v>
                </c:pt>
                <c:pt idx="103">
                  <c:v>6.6</c:v>
                </c:pt>
                <c:pt idx="104">
                  <c:v>6.1</c:v>
                </c:pt>
                <c:pt idx="105">
                  <c:v>5.6</c:v>
                </c:pt>
                <c:pt idx="106">
                  <c:v>6.4</c:v>
                </c:pt>
                <c:pt idx="107">
                  <c:v>6.1</c:v>
                </c:pt>
                <c:pt idx="108">
                  <c:v>7.3</c:v>
                </c:pt>
                <c:pt idx="109">
                  <c:v>6.6</c:v>
                </c:pt>
                <c:pt idx="110">
                  <c:v>6.3</c:v>
                </c:pt>
                <c:pt idx="111">
                  <c:v>6.1</c:v>
                </c:pt>
                <c:pt idx="112">
                  <c:v>7.1</c:v>
                </c:pt>
                <c:pt idx="113">
                  <c:v>5.5</c:v>
                </c:pt>
                <c:pt idx="114">
                  <c:v>7.5</c:v>
                </c:pt>
                <c:pt idx="115">
                  <c:v>7.6</c:v>
                </c:pt>
                <c:pt idx="116">
                  <c:v>6.4</c:v>
                </c:pt>
                <c:pt idx="117">
                  <c:v>7.2</c:v>
                </c:pt>
                <c:pt idx="118">
                  <c:v>6.7</c:v>
                </c:pt>
                <c:pt idx="119">
                  <c:v>8</c:v>
                </c:pt>
                <c:pt idx="120">
                  <c:v>8.3000000000000007</c:v>
                </c:pt>
                <c:pt idx="121">
                  <c:v>6.7</c:v>
                </c:pt>
                <c:pt idx="122">
                  <c:v>5.9</c:v>
                </c:pt>
                <c:pt idx="123">
                  <c:v>6.7</c:v>
                </c:pt>
                <c:pt idx="124">
                  <c:v>6.7</c:v>
                </c:pt>
                <c:pt idx="125">
                  <c:v>7.6</c:v>
                </c:pt>
                <c:pt idx="126">
                  <c:v>7.2</c:v>
                </c:pt>
                <c:pt idx="127">
                  <c:v>7.1</c:v>
                </c:pt>
                <c:pt idx="128">
                  <c:v>8.1</c:v>
                </c:pt>
                <c:pt idx="129">
                  <c:v>6.7</c:v>
                </c:pt>
                <c:pt idx="130">
                  <c:v>7</c:v>
                </c:pt>
                <c:pt idx="131">
                  <c:v>6.9</c:v>
                </c:pt>
                <c:pt idx="132">
                  <c:v>5.0999999999999996</c:v>
                </c:pt>
                <c:pt idx="133">
                  <c:v>5.8</c:v>
                </c:pt>
                <c:pt idx="134">
                  <c:v>6.2</c:v>
                </c:pt>
                <c:pt idx="135">
                  <c:v>7.4</c:v>
                </c:pt>
                <c:pt idx="136">
                  <c:v>5.8</c:v>
                </c:pt>
                <c:pt idx="137">
                  <c:v>6.6</c:v>
                </c:pt>
                <c:pt idx="138">
                  <c:v>6.2</c:v>
                </c:pt>
                <c:pt idx="139">
                  <c:v>7.3</c:v>
                </c:pt>
                <c:pt idx="140">
                  <c:v>4.2</c:v>
                </c:pt>
                <c:pt idx="141">
                  <c:v>6.9</c:v>
                </c:pt>
                <c:pt idx="142">
                  <c:v>6.4</c:v>
                </c:pt>
                <c:pt idx="143">
                  <c:v>5.4</c:v>
                </c:pt>
                <c:pt idx="144">
                  <c:v>6.7</c:v>
                </c:pt>
                <c:pt idx="145">
                  <c:v>5.8</c:v>
                </c:pt>
                <c:pt idx="146">
                  <c:v>6.9</c:v>
                </c:pt>
                <c:pt idx="147">
                  <c:v>7.2</c:v>
                </c:pt>
                <c:pt idx="148">
                  <c:v>6.9</c:v>
                </c:pt>
                <c:pt idx="149">
                  <c:v>6.1</c:v>
                </c:pt>
                <c:pt idx="150">
                  <c:v>5.5</c:v>
                </c:pt>
                <c:pt idx="151">
                  <c:v>6.6</c:v>
                </c:pt>
                <c:pt idx="152">
                  <c:v>6.1</c:v>
                </c:pt>
                <c:pt idx="153">
                  <c:v>6.3</c:v>
                </c:pt>
                <c:pt idx="154">
                  <c:v>7.2</c:v>
                </c:pt>
                <c:pt idx="155">
                  <c:v>7.4</c:v>
                </c:pt>
                <c:pt idx="156">
                  <c:v>7.3</c:v>
                </c:pt>
                <c:pt idx="157">
                  <c:v>6.1</c:v>
                </c:pt>
                <c:pt idx="158">
                  <c:v>7.7</c:v>
                </c:pt>
                <c:pt idx="159">
                  <c:v>6.1</c:v>
                </c:pt>
                <c:pt idx="160">
                  <c:v>8</c:v>
                </c:pt>
                <c:pt idx="161">
                  <c:v>7.3</c:v>
                </c:pt>
                <c:pt idx="162">
                  <c:v>7.9</c:v>
                </c:pt>
                <c:pt idx="163">
                  <c:v>5.5</c:v>
                </c:pt>
                <c:pt idx="164">
                  <c:v>5</c:v>
                </c:pt>
                <c:pt idx="165">
                  <c:v>7.7</c:v>
                </c:pt>
                <c:pt idx="166">
                  <c:v>6.6</c:v>
                </c:pt>
                <c:pt idx="167">
                  <c:v>5.7</c:v>
                </c:pt>
                <c:pt idx="168">
                  <c:v>5.8</c:v>
                </c:pt>
                <c:pt idx="169">
                  <c:v>6</c:v>
                </c:pt>
                <c:pt idx="170">
                  <c:v>6.4</c:v>
                </c:pt>
                <c:pt idx="171">
                  <c:v>6.9</c:v>
                </c:pt>
                <c:pt idx="172">
                  <c:v>6.4</c:v>
                </c:pt>
                <c:pt idx="173">
                  <c:v>7.4</c:v>
                </c:pt>
                <c:pt idx="174">
                  <c:v>5.5</c:v>
                </c:pt>
                <c:pt idx="175">
                  <c:v>5.9</c:v>
                </c:pt>
                <c:pt idx="176">
                  <c:v>6.8</c:v>
                </c:pt>
                <c:pt idx="177">
                  <c:v>6.8</c:v>
                </c:pt>
                <c:pt idx="178">
                  <c:v>8.1</c:v>
                </c:pt>
                <c:pt idx="179">
                  <c:v>6.5</c:v>
                </c:pt>
                <c:pt idx="180">
                  <c:v>7.2</c:v>
                </c:pt>
                <c:pt idx="181">
                  <c:v>6.7</c:v>
                </c:pt>
                <c:pt idx="182">
                  <c:v>8.1</c:v>
                </c:pt>
                <c:pt idx="183">
                  <c:v>7.6</c:v>
                </c:pt>
                <c:pt idx="184">
                  <c:v>7.4</c:v>
                </c:pt>
                <c:pt idx="185">
                  <c:v>7.6</c:v>
                </c:pt>
                <c:pt idx="186">
                  <c:v>5.5</c:v>
                </c:pt>
                <c:pt idx="187">
                  <c:v>6.7</c:v>
                </c:pt>
                <c:pt idx="188">
                  <c:v>6.5</c:v>
                </c:pt>
                <c:pt idx="189">
                  <c:v>6.6</c:v>
                </c:pt>
                <c:pt idx="190">
                  <c:v>6.7</c:v>
                </c:pt>
                <c:pt idx="191">
                  <c:v>6.4</c:v>
                </c:pt>
                <c:pt idx="192">
                  <c:v>5.8</c:v>
                </c:pt>
                <c:pt idx="193">
                  <c:v>7.4</c:v>
                </c:pt>
                <c:pt idx="194">
                  <c:v>7.8</c:v>
                </c:pt>
                <c:pt idx="195">
                  <c:v>6.6</c:v>
                </c:pt>
                <c:pt idx="196">
                  <c:v>4.9000000000000004</c:v>
                </c:pt>
                <c:pt idx="197">
                  <c:v>6.5</c:v>
                </c:pt>
                <c:pt idx="198">
                  <c:v>7.5</c:v>
                </c:pt>
                <c:pt idx="199">
                  <c:v>6.2</c:v>
                </c:pt>
                <c:pt idx="200">
                  <c:v>7.3</c:v>
                </c:pt>
                <c:pt idx="201">
                  <c:v>7.5</c:v>
                </c:pt>
                <c:pt idx="202">
                  <c:v>5.6</c:v>
                </c:pt>
                <c:pt idx="203">
                  <c:v>8.1999999999999993</c:v>
                </c:pt>
                <c:pt idx="204">
                  <c:v>8.1</c:v>
                </c:pt>
                <c:pt idx="205">
                  <c:v>6.4</c:v>
                </c:pt>
                <c:pt idx="206">
                  <c:v>6.7</c:v>
                </c:pt>
                <c:pt idx="207">
                  <c:v>6.6</c:v>
                </c:pt>
                <c:pt idx="208">
                  <c:v>6.4</c:v>
                </c:pt>
                <c:pt idx="209">
                  <c:v>7.5</c:v>
                </c:pt>
                <c:pt idx="210">
                  <c:v>7.3</c:v>
                </c:pt>
                <c:pt idx="211">
                  <c:v>7.5</c:v>
                </c:pt>
                <c:pt idx="212">
                  <c:v>5.8</c:v>
                </c:pt>
                <c:pt idx="213">
                  <c:v>7.5</c:v>
                </c:pt>
                <c:pt idx="214">
                  <c:v>6.6</c:v>
                </c:pt>
                <c:pt idx="215">
                  <c:v>6.7</c:v>
                </c:pt>
                <c:pt idx="216">
                  <c:v>3.7</c:v>
                </c:pt>
                <c:pt idx="217">
                  <c:v>6</c:v>
                </c:pt>
                <c:pt idx="218">
                  <c:v>6.4</c:v>
                </c:pt>
                <c:pt idx="219">
                  <c:v>6.1</c:v>
                </c:pt>
                <c:pt idx="220">
                  <c:v>6.4</c:v>
                </c:pt>
                <c:pt idx="221">
                  <c:v>5.6</c:v>
                </c:pt>
                <c:pt idx="222">
                  <c:v>8</c:v>
                </c:pt>
                <c:pt idx="223">
                  <c:v>5.2</c:v>
                </c:pt>
                <c:pt idx="224">
                  <c:v>7.1</c:v>
                </c:pt>
                <c:pt idx="225">
                  <c:v>4.8</c:v>
                </c:pt>
                <c:pt idx="226">
                  <c:v>7</c:v>
                </c:pt>
                <c:pt idx="227">
                  <c:v>5.4</c:v>
                </c:pt>
                <c:pt idx="228">
                  <c:v>6.6</c:v>
                </c:pt>
                <c:pt idx="229">
                  <c:v>6.7</c:v>
                </c:pt>
                <c:pt idx="230">
                  <c:v>6.2</c:v>
                </c:pt>
                <c:pt idx="231">
                  <c:v>6.1</c:v>
                </c:pt>
                <c:pt idx="232">
                  <c:v>5.3</c:v>
                </c:pt>
                <c:pt idx="233">
                  <c:v>6.3</c:v>
                </c:pt>
                <c:pt idx="234">
                  <c:v>7</c:v>
                </c:pt>
                <c:pt idx="235">
                  <c:v>7.6</c:v>
                </c:pt>
                <c:pt idx="236">
                  <c:v>6.7</c:v>
                </c:pt>
                <c:pt idx="237">
                  <c:v>8.1</c:v>
                </c:pt>
                <c:pt idx="238">
                  <c:v>6.7</c:v>
                </c:pt>
                <c:pt idx="239">
                  <c:v>6.5</c:v>
                </c:pt>
                <c:pt idx="240">
                  <c:v>7.3</c:v>
                </c:pt>
                <c:pt idx="241">
                  <c:v>5.0999999999999996</c:v>
                </c:pt>
                <c:pt idx="242">
                  <c:v>6</c:v>
                </c:pt>
                <c:pt idx="243">
                  <c:v>6.1</c:v>
                </c:pt>
                <c:pt idx="244">
                  <c:v>5.9</c:v>
                </c:pt>
                <c:pt idx="245">
                  <c:v>7.8</c:v>
                </c:pt>
                <c:pt idx="246">
                  <c:v>5.8</c:v>
                </c:pt>
                <c:pt idx="247">
                  <c:v>6.3</c:v>
                </c:pt>
                <c:pt idx="248">
                  <c:v>4.3</c:v>
                </c:pt>
                <c:pt idx="249">
                  <c:v>6.4</c:v>
                </c:pt>
                <c:pt idx="250">
                  <c:v>6.1</c:v>
                </c:pt>
                <c:pt idx="251">
                  <c:v>6.5</c:v>
                </c:pt>
                <c:pt idx="252">
                  <c:v>7.1</c:v>
                </c:pt>
                <c:pt idx="253">
                  <c:v>6.4</c:v>
                </c:pt>
                <c:pt idx="254">
                  <c:v>6.5</c:v>
                </c:pt>
                <c:pt idx="255">
                  <c:v>6.3</c:v>
                </c:pt>
                <c:pt idx="256">
                  <c:v>7.5</c:v>
                </c:pt>
                <c:pt idx="257">
                  <c:v>4.9000000000000004</c:v>
                </c:pt>
                <c:pt idx="258">
                  <c:v>5.8</c:v>
                </c:pt>
                <c:pt idx="259">
                  <c:v>6.2</c:v>
                </c:pt>
                <c:pt idx="260">
                  <c:v>5.5</c:v>
                </c:pt>
                <c:pt idx="261">
                  <c:v>5.4</c:v>
                </c:pt>
                <c:pt idx="262">
                  <c:v>5.8</c:v>
                </c:pt>
                <c:pt idx="263">
                  <c:v>7.1</c:v>
                </c:pt>
                <c:pt idx="264">
                  <c:v>5.4</c:v>
                </c:pt>
                <c:pt idx="265">
                  <c:v>3.7</c:v>
                </c:pt>
                <c:pt idx="266">
                  <c:v>6.7</c:v>
                </c:pt>
                <c:pt idx="267">
                  <c:v>7.2</c:v>
                </c:pt>
                <c:pt idx="268">
                  <c:v>8.8000000000000007</c:v>
                </c:pt>
                <c:pt idx="269">
                  <c:v>5.8</c:v>
                </c:pt>
                <c:pt idx="270">
                  <c:v>6.8</c:v>
                </c:pt>
                <c:pt idx="271">
                  <c:v>3.8</c:v>
                </c:pt>
                <c:pt idx="272">
                  <c:v>7.1</c:v>
                </c:pt>
                <c:pt idx="273">
                  <c:v>7.2</c:v>
                </c:pt>
                <c:pt idx="274">
                  <c:v>5.9</c:v>
                </c:pt>
                <c:pt idx="275">
                  <c:v>7.1</c:v>
                </c:pt>
                <c:pt idx="276">
                  <c:v>8.1</c:v>
                </c:pt>
                <c:pt idx="277">
                  <c:v>7.2</c:v>
                </c:pt>
                <c:pt idx="278">
                  <c:v>6.9</c:v>
                </c:pt>
                <c:pt idx="279">
                  <c:v>4.4000000000000004</c:v>
                </c:pt>
                <c:pt idx="280">
                  <c:v>6.5</c:v>
                </c:pt>
                <c:pt idx="281">
                  <c:v>8.5</c:v>
                </c:pt>
                <c:pt idx="282">
                  <c:v>7.7</c:v>
                </c:pt>
                <c:pt idx="283">
                  <c:v>7.4</c:v>
                </c:pt>
                <c:pt idx="284">
                  <c:v>8</c:v>
                </c:pt>
                <c:pt idx="285">
                  <c:v>5.7</c:v>
                </c:pt>
                <c:pt idx="286">
                  <c:v>8.5</c:v>
                </c:pt>
                <c:pt idx="287">
                  <c:v>7</c:v>
                </c:pt>
                <c:pt idx="288">
                  <c:v>7.8</c:v>
                </c:pt>
                <c:pt idx="289">
                  <c:v>7.2</c:v>
                </c:pt>
                <c:pt idx="290">
                  <c:v>6.4</c:v>
                </c:pt>
                <c:pt idx="291">
                  <c:v>5.5</c:v>
                </c:pt>
                <c:pt idx="292">
                  <c:v>6.7</c:v>
                </c:pt>
                <c:pt idx="293">
                  <c:v>6.1</c:v>
                </c:pt>
                <c:pt idx="294">
                  <c:v>8.5</c:v>
                </c:pt>
                <c:pt idx="295">
                  <c:v>6.9</c:v>
                </c:pt>
                <c:pt idx="296">
                  <c:v>7.3</c:v>
                </c:pt>
                <c:pt idx="297">
                  <c:v>6.7</c:v>
                </c:pt>
                <c:pt idx="298">
                  <c:v>6.9</c:v>
                </c:pt>
                <c:pt idx="299">
                  <c:v>5.0999999999999996</c:v>
                </c:pt>
                <c:pt idx="300">
                  <c:v>6.8</c:v>
                </c:pt>
                <c:pt idx="301">
                  <c:v>5.8</c:v>
                </c:pt>
                <c:pt idx="302">
                  <c:v>6.7</c:v>
                </c:pt>
                <c:pt idx="303">
                  <c:v>6</c:v>
                </c:pt>
                <c:pt idx="304">
                  <c:v>5.7</c:v>
                </c:pt>
                <c:pt idx="305">
                  <c:v>8</c:v>
                </c:pt>
                <c:pt idx="306">
                  <c:v>8.1999999999999993</c:v>
                </c:pt>
                <c:pt idx="307">
                  <c:v>5.4</c:v>
                </c:pt>
                <c:pt idx="308">
                  <c:v>7.2</c:v>
                </c:pt>
                <c:pt idx="309">
                  <c:v>7.5</c:v>
                </c:pt>
                <c:pt idx="310">
                  <c:v>7</c:v>
                </c:pt>
                <c:pt idx="311">
                  <c:v>3.3</c:v>
                </c:pt>
                <c:pt idx="312">
                  <c:v>6</c:v>
                </c:pt>
                <c:pt idx="313">
                  <c:v>7.1</c:v>
                </c:pt>
                <c:pt idx="314">
                  <c:v>5.4</c:v>
                </c:pt>
                <c:pt idx="315">
                  <c:v>6.1</c:v>
                </c:pt>
                <c:pt idx="316">
                  <c:v>5.3</c:v>
                </c:pt>
                <c:pt idx="317">
                  <c:v>2.2000000000000002</c:v>
                </c:pt>
                <c:pt idx="318">
                  <c:v>7</c:v>
                </c:pt>
                <c:pt idx="319">
                  <c:v>3.8</c:v>
                </c:pt>
                <c:pt idx="320">
                  <c:v>6.9</c:v>
                </c:pt>
                <c:pt idx="321">
                  <c:v>7.2</c:v>
                </c:pt>
                <c:pt idx="322">
                  <c:v>7.3</c:v>
                </c:pt>
                <c:pt idx="323">
                  <c:v>6.3</c:v>
                </c:pt>
                <c:pt idx="324">
                  <c:v>7.5</c:v>
                </c:pt>
                <c:pt idx="325">
                  <c:v>7.6</c:v>
                </c:pt>
                <c:pt idx="326">
                  <c:v>6.8</c:v>
                </c:pt>
                <c:pt idx="327">
                  <c:v>5.2</c:v>
                </c:pt>
                <c:pt idx="328">
                  <c:v>7.7</c:v>
                </c:pt>
                <c:pt idx="329">
                  <c:v>6.2</c:v>
                </c:pt>
                <c:pt idx="330">
                  <c:v>7.7</c:v>
                </c:pt>
                <c:pt idx="331">
                  <c:v>4.3</c:v>
                </c:pt>
                <c:pt idx="332">
                  <c:v>6.9</c:v>
                </c:pt>
                <c:pt idx="333">
                  <c:v>6.6</c:v>
                </c:pt>
                <c:pt idx="334">
                  <c:v>7</c:v>
                </c:pt>
                <c:pt idx="335">
                  <c:v>6.7</c:v>
                </c:pt>
                <c:pt idx="336">
                  <c:v>8.1999999999999993</c:v>
                </c:pt>
                <c:pt idx="337">
                  <c:v>8.9</c:v>
                </c:pt>
                <c:pt idx="338">
                  <c:v>8.6999999999999993</c:v>
                </c:pt>
                <c:pt idx="339">
                  <c:v>5.5</c:v>
                </c:pt>
                <c:pt idx="340">
                  <c:v>5.7</c:v>
                </c:pt>
                <c:pt idx="341">
                  <c:v>6.3</c:v>
                </c:pt>
                <c:pt idx="342">
                  <c:v>5.9</c:v>
                </c:pt>
                <c:pt idx="343">
                  <c:v>7.6</c:v>
                </c:pt>
                <c:pt idx="344">
                  <c:v>6.6</c:v>
                </c:pt>
                <c:pt idx="345">
                  <c:v>5.3</c:v>
                </c:pt>
                <c:pt idx="346">
                  <c:v>6</c:v>
                </c:pt>
                <c:pt idx="347">
                  <c:v>8</c:v>
                </c:pt>
                <c:pt idx="348">
                  <c:v>5.6</c:v>
                </c:pt>
                <c:pt idx="349">
                  <c:v>5.9</c:v>
                </c:pt>
                <c:pt idx="350">
                  <c:v>7.3</c:v>
                </c:pt>
                <c:pt idx="351">
                  <c:v>7.9</c:v>
                </c:pt>
                <c:pt idx="352">
                  <c:v>6.8</c:v>
                </c:pt>
                <c:pt idx="353">
                  <c:v>6.6</c:v>
                </c:pt>
                <c:pt idx="354">
                  <c:v>6.6</c:v>
                </c:pt>
                <c:pt idx="355">
                  <c:v>7</c:v>
                </c:pt>
                <c:pt idx="356">
                  <c:v>7</c:v>
                </c:pt>
                <c:pt idx="357">
                  <c:v>7.3</c:v>
                </c:pt>
                <c:pt idx="358">
                  <c:v>5.5</c:v>
                </c:pt>
                <c:pt idx="359">
                  <c:v>8.5</c:v>
                </c:pt>
                <c:pt idx="360">
                  <c:v>7.5</c:v>
                </c:pt>
                <c:pt idx="361">
                  <c:v>7</c:v>
                </c:pt>
                <c:pt idx="362">
                  <c:v>7.8</c:v>
                </c:pt>
                <c:pt idx="363">
                  <c:v>7.6</c:v>
                </c:pt>
                <c:pt idx="364">
                  <c:v>7.6</c:v>
                </c:pt>
                <c:pt idx="365">
                  <c:v>6.1</c:v>
                </c:pt>
                <c:pt idx="366">
                  <c:v>6.8</c:v>
                </c:pt>
                <c:pt idx="367">
                  <c:v>5</c:v>
                </c:pt>
                <c:pt idx="368">
                  <c:v>7.1</c:v>
                </c:pt>
                <c:pt idx="369">
                  <c:v>5.5</c:v>
                </c:pt>
                <c:pt idx="370">
                  <c:v>5.6</c:v>
                </c:pt>
                <c:pt idx="371">
                  <c:v>7.1</c:v>
                </c:pt>
                <c:pt idx="372">
                  <c:v>4.9000000000000004</c:v>
                </c:pt>
                <c:pt idx="373">
                  <c:v>7.4</c:v>
                </c:pt>
                <c:pt idx="374">
                  <c:v>5.7</c:v>
                </c:pt>
                <c:pt idx="375">
                  <c:v>6.4</c:v>
                </c:pt>
                <c:pt idx="376">
                  <c:v>5.9</c:v>
                </c:pt>
                <c:pt idx="377">
                  <c:v>5.5</c:v>
                </c:pt>
                <c:pt idx="378">
                  <c:v>6.9</c:v>
                </c:pt>
                <c:pt idx="379">
                  <c:v>6.2</c:v>
                </c:pt>
                <c:pt idx="380">
                  <c:v>7</c:v>
                </c:pt>
                <c:pt idx="381">
                  <c:v>5.6</c:v>
                </c:pt>
                <c:pt idx="382">
                  <c:v>7</c:v>
                </c:pt>
                <c:pt idx="383">
                  <c:v>6.8</c:v>
                </c:pt>
                <c:pt idx="384">
                  <c:v>5.4</c:v>
                </c:pt>
                <c:pt idx="385">
                  <c:v>6.1</c:v>
                </c:pt>
                <c:pt idx="386">
                  <c:v>6.7</c:v>
                </c:pt>
                <c:pt idx="387">
                  <c:v>4.3</c:v>
                </c:pt>
                <c:pt idx="388">
                  <c:v>6.9</c:v>
                </c:pt>
                <c:pt idx="389">
                  <c:v>8</c:v>
                </c:pt>
                <c:pt idx="390">
                  <c:v>4.4000000000000004</c:v>
                </c:pt>
                <c:pt idx="391">
                  <c:v>7.3</c:v>
                </c:pt>
                <c:pt idx="392">
                  <c:v>6.3</c:v>
                </c:pt>
                <c:pt idx="393">
                  <c:v>6.7</c:v>
                </c:pt>
                <c:pt idx="394">
                  <c:v>7.7</c:v>
                </c:pt>
                <c:pt idx="395">
                  <c:v>6.5</c:v>
                </c:pt>
                <c:pt idx="396">
                  <c:v>7.8</c:v>
                </c:pt>
                <c:pt idx="397">
                  <c:v>6.4</c:v>
                </c:pt>
                <c:pt idx="398">
                  <c:v>7.8</c:v>
                </c:pt>
                <c:pt idx="399">
                  <c:v>5.8</c:v>
                </c:pt>
                <c:pt idx="400">
                  <c:v>7.1</c:v>
                </c:pt>
                <c:pt idx="401">
                  <c:v>7.1</c:v>
                </c:pt>
                <c:pt idx="402">
                  <c:v>6.8</c:v>
                </c:pt>
                <c:pt idx="403">
                  <c:v>4.8</c:v>
                </c:pt>
                <c:pt idx="404">
                  <c:v>6.2</c:v>
                </c:pt>
                <c:pt idx="405">
                  <c:v>6.9</c:v>
                </c:pt>
                <c:pt idx="406">
                  <c:v>7.3</c:v>
                </c:pt>
                <c:pt idx="407">
                  <c:v>6.6</c:v>
                </c:pt>
                <c:pt idx="408">
                  <c:v>6.9</c:v>
                </c:pt>
                <c:pt idx="409">
                  <c:v>6.2</c:v>
                </c:pt>
                <c:pt idx="410">
                  <c:v>6.7</c:v>
                </c:pt>
                <c:pt idx="411">
                  <c:v>7.6</c:v>
                </c:pt>
                <c:pt idx="412">
                  <c:v>6.7</c:v>
                </c:pt>
                <c:pt idx="413">
                  <c:v>6.2</c:v>
                </c:pt>
                <c:pt idx="414">
                  <c:v>7.3</c:v>
                </c:pt>
                <c:pt idx="415">
                  <c:v>6</c:v>
                </c:pt>
                <c:pt idx="416">
                  <c:v>7.1</c:v>
                </c:pt>
                <c:pt idx="417">
                  <c:v>7.1</c:v>
                </c:pt>
                <c:pt idx="418">
                  <c:v>5.5</c:v>
                </c:pt>
                <c:pt idx="419">
                  <c:v>7.8</c:v>
                </c:pt>
                <c:pt idx="420">
                  <c:v>5.6</c:v>
                </c:pt>
                <c:pt idx="421">
                  <c:v>7.5</c:v>
                </c:pt>
                <c:pt idx="422">
                  <c:v>5.4</c:v>
                </c:pt>
                <c:pt idx="423">
                  <c:v>4.3</c:v>
                </c:pt>
                <c:pt idx="424">
                  <c:v>4.9000000000000004</c:v>
                </c:pt>
                <c:pt idx="425">
                  <c:v>7.1</c:v>
                </c:pt>
                <c:pt idx="426">
                  <c:v>6.4</c:v>
                </c:pt>
                <c:pt idx="427">
                  <c:v>6.9</c:v>
                </c:pt>
                <c:pt idx="428">
                  <c:v>4.3</c:v>
                </c:pt>
                <c:pt idx="429">
                  <c:v>6.1</c:v>
                </c:pt>
                <c:pt idx="430">
                  <c:v>7</c:v>
                </c:pt>
                <c:pt idx="431">
                  <c:v>7.7</c:v>
                </c:pt>
                <c:pt idx="432">
                  <c:v>5.9</c:v>
                </c:pt>
                <c:pt idx="433">
                  <c:v>6.7</c:v>
                </c:pt>
                <c:pt idx="434">
                  <c:v>6.5</c:v>
                </c:pt>
                <c:pt idx="435">
                  <c:v>7.1</c:v>
                </c:pt>
                <c:pt idx="436">
                  <c:v>7.3</c:v>
                </c:pt>
                <c:pt idx="437">
                  <c:v>6.5</c:v>
                </c:pt>
                <c:pt idx="438">
                  <c:v>7</c:v>
                </c:pt>
                <c:pt idx="439">
                  <c:v>6.8</c:v>
                </c:pt>
                <c:pt idx="440">
                  <c:v>7.2</c:v>
                </c:pt>
                <c:pt idx="441">
                  <c:v>6.4</c:v>
                </c:pt>
                <c:pt idx="442">
                  <c:v>6.1</c:v>
                </c:pt>
                <c:pt idx="443">
                  <c:v>6.7</c:v>
                </c:pt>
                <c:pt idx="444">
                  <c:v>6.4</c:v>
                </c:pt>
                <c:pt idx="445">
                  <c:v>4.4000000000000004</c:v>
                </c:pt>
                <c:pt idx="446">
                  <c:v>5.4</c:v>
                </c:pt>
                <c:pt idx="447">
                  <c:v>6.5</c:v>
                </c:pt>
                <c:pt idx="448">
                  <c:v>6.7</c:v>
                </c:pt>
                <c:pt idx="449">
                  <c:v>8.1</c:v>
                </c:pt>
                <c:pt idx="450">
                  <c:v>5.6</c:v>
                </c:pt>
                <c:pt idx="451">
                  <c:v>6.3</c:v>
                </c:pt>
                <c:pt idx="452">
                  <c:v>7.3</c:v>
                </c:pt>
                <c:pt idx="453">
                  <c:v>6.1</c:v>
                </c:pt>
                <c:pt idx="454">
                  <c:v>7.7</c:v>
                </c:pt>
                <c:pt idx="455">
                  <c:v>6.4</c:v>
                </c:pt>
                <c:pt idx="456">
                  <c:v>6.8</c:v>
                </c:pt>
                <c:pt idx="457">
                  <c:v>6.6</c:v>
                </c:pt>
                <c:pt idx="458">
                  <c:v>7.2</c:v>
                </c:pt>
                <c:pt idx="459">
                  <c:v>6.9</c:v>
                </c:pt>
                <c:pt idx="460">
                  <c:v>5.2</c:v>
                </c:pt>
                <c:pt idx="461">
                  <c:v>4.9000000000000004</c:v>
                </c:pt>
                <c:pt idx="462">
                  <c:v>6.3</c:v>
                </c:pt>
                <c:pt idx="463">
                  <c:v>5.6</c:v>
                </c:pt>
                <c:pt idx="464">
                  <c:v>5.5</c:v>
                </c:pt>
                <c:pt idx="465">
                  <c:v>6.7</c:v>
                </c:pt>
                <c:pt idx="466">
                  <c:v>7.6</c:v>
                </c:pt>
                <c:pt idx="467">
                  <c:v>5.7</c:v>
                </c:pt>
                <c:pt idx="468">
                  <c:v>4.5999999999999996</c:v>
                </c:pt>
                <c:pt idx="469">
                  <c:v>7</c:v>
                </c:pt>
                <c:pt idx="470">
                  <c:v>5.2</c:v>
                </c:pt>
                <c:pt idx="471">
                  <c:v>5.0999999999999996</c:v>
                </c:pt>
                <c:pt idx="472">
                  <c:v>6.6</c:v>
                </c:pt>
                <c:pt idx="473">
                  <c:v>7</c:v>
                </c:pt>
                <c:pt idx="474">
                  <c:v>6.7</c:v>
                </c:pt>
                <c:pt idx="475">
                  <c:v>7.3</c:v>
                </c:pt>
                <c:pt idx="476">
                  <c:v>5.9</c:v>
                </c:pt>
                <c:pt idx="477">
                  <c:v>5.6</c:v>
                </c:pt>
                <c:pt idx="478">
                  <c:v>6.5</c:v>
                </c:pt>
                <c:pt idx="479">
                  <c:v>5.9</c:v>
                </c:pt>
                <c:pt idx="480">
                  <c:v>7</c:v>
                </c:pt>
                <c:pt idx="481">
                  <c:v>5.3</c:v>
                </c:pt>
                <c:pt idx="482">
                  <c:v>5.9</c:v>
                </c:pt>
                <c:pt idx="483">
                  <c:v>6.3</c:v>
                </c:pt>
                <c:pt idx="484">
                  <c:v>6.4</c:v>
                </c:pt>
                <c:pt idx="485">
                  <c:v>6.9</c:v>
                </c:pt>
                <c:pt idx="486">
                  <c:v>6.3</c:v>
                </c:pt>
                <c:pt idx="487">
                  <c:v>7.3</c:v>
                </c:pt>
                <c:pt idx="488">
                  <c:v>5.8</c:v>
                </c:pt>
                <c:pt idx="489">
                  <c:v>5.2</c:v>
                </c:pt>
                <c:pt idx="490">
                  <c:v>2.4</c:v>
                </c:pt>
                <c:pt idx="491">
                  <c:v>5.7</c:v>
                </c:pt>
                <c:pt idx="492">
                  <c:v>5.8</c:v>
                </c:pt>
                <c:pt idx="493">
                  <c:v>5.6</c:v>
                </c:pt>
                <c:pt idx="494">
                  <c:v>6</c:v>
                </c:pt>
                <c:pt idx="495">
                  <c:v>5.8</c:v>
                </c:pt>
                <c:pt idx="496">
                  <c:v>6</c:v>
                </c:pt>
                <c:pt idx="497">
                  <c:v>5.7</c:v>
                </c:pt>
                <c:pt idx="498">
                  <c:v>6</c:v>
                </c:pt>
                <c:pt idx="499">
                  <c:v>7.8</c:v>
                </c:pt>
                <c:pt idx="500">
                  <c:v>4.2</c:v>
                </c:pt>
                <c:pt idx="501">
                  <c:v>5.6</c:v>
                </c:pt>
                <c:pt idx="502">
                  <c:v>4.4000000000000004</c:v>
                </c:pt>
                <c:pt idx="503">
                  <c:v>8.1999999999999993</c:v>
                </c:pt>
                <c:pt idx="504">
                  <c:v>8.5</c:v>
                </c:pt>
                <c:pt idx="505">
                  <c:v>5.8</c:v>
                </c:pt>
                <c:pt idx="506">
                  <c:v>6.5</c:v>
                </c:pt>
                <c:pt idx="507">
                  <c:v>7.2</c:v>
                </c:pt>
                <c:pt idx="508">
                  <c:v>6.7</c:v>
                </c:pt>
                <c:pt idx="509">
                  <c:v>3.4</c:v>
                </c:pt>
                <c:pt idx="510">
                  <c:v>5.9</c:v>
                </c:pt>
                <c:pt idx="511">
                  <c:v>7.8</c:v>
                </c:pt>
                <c:pt idx="512">
                  <c:v>5.9</c:v>
                </c:pt>
                <c:pt idx="513">
                  <c:v>4.0999999999999996</c:v>
                </c:pt>
                <c:pt idx="514">
                  <c:v>6.8</c:v>
                </c:pt>
                <c:pt idx="515">
                  <c:v>5.8</c:v>
                </c:pt>
                <c:pt idx="516">
                  <c:v>7.5</c:v>
                </c:pt>
                <c:pt idx="517">
                  <c:v>6.9</c:v>
                </c:pt>
                <c:pt idx="518">
                  <c:v>6.5</c:v>
                </c:pt>
                <c:pt idx="519">
                  <c:v>6.9</c:v>
                </c:pt>
                <c:pt idx="520">
                  <c:v>7.9</c:v>
                </c:pt>
                <c:pt idx="521">
                  <c:v>7.4</c:v>
                </c:pt>
                <c:pt idx="522">
                  <c:v>6.7</c:v>
                </c:pt>
                <c:pt idx="523">
                  <c:v>7.4</c:v>
                </c:pt>
                <c:pt idx="524">
                  <c:v>6.9</c:v>
                </c:pt>
                <c:pt idx="525">
                  <c:v>6.8</c:v>
                </c:pt>
                <c:pt idx="526">
                  <c:v>6.7</c:v>
                </c:pt>
                <c:pt idx="527">
                  <c:v>5.0999999999999996</c:v>
                </c:pt>
                <c:pt idx="528">
                  <c:v>4.0999999999999996</c:v>
                </c:pt>
                <c:pt idx="529">
                  <c:v>7.3</c:v>
                </c:pt>
                <c:pt idx="530">
                  <c:v>6</c:v>
                </c:pt>
                <c:pt idx="531">
                  <c:v>7.3</c:v>
                </c:pt>
                <c:pt idx="532">
                  <c:v>5.4</c:v>
                </c:pt>
                <c:pt idx="533">
                  <c:v>5.9</c:v>
                </c:pt>
                <c:pt idx="534">
                  <c:v>7.1</c:v>
                </c:pt>
                <c:pt idx="535">
                  <c:v>6</c:v>
                </c:pt>
                <c:pt idx="536">
                  <c:v>6.5</c:v>
                </c:pt>
                <c:pt idx="537">
                  <c:v>5.7</c:v>
                </c:pt>
                <c:pt idx="538">
                  <c:v>7.6</c:v>
                </c:pt>
                <c:pt idx="539">
                  <c:v>6.6</c:v>
                </c:pt>
                <c:pt idx="540">
                  <c:v>5.4</c:v>
                </c:pt>
                <c:pt idx="541">
                  <c:v>7.3</c:v>
                </c:pt>
                <c:pt idx="542">
                  <c:v>6.5</c:v>
                </c:pt>
                <c:pt idx="543">
                  <c:v>6.6</c:v>
                </c:pt>
                <c:pt idx="544">
                  <c:v>6.6</c:v>
                </c:pt>
                <c:pt idx="545">
                  <c:v>5.9</c:v>
                </c:pt>
                <c:pt idx="546">
                  <c:v>6.7</c:v>
                </c:pt>
                <c:pt idx="547">
                  <c:v>6.1</c:v>
                </c:pt>
                <c:pt idx="548">
                  <c:v>6.6</c:v>
                </c:pt>
                <c:pt idx="549">
                  <c:v>6.6</c:v>
                </c:pt>
                <c:pt idx="550">
                  <c:v>5.3</c:v>
                </c:pt>
                <c:pt idx="551">
                  <c:v>6</c:v>
                </c:pt>
                <c:pt idx="552">
                  <c:v>6</c:v>
                </c:pt>
                <c:pt idx="553">
                  <c:v>4.7</c:v>
                </c:pt>
                <c:pt idx="554">
                  <c:v>6.1</c:v>
                </c:pt>
                <c:pt idx="555">
                  <c:v>7.2</c:v>
                </c:pt>
                <c:pt idx="556">
                  <c:v>6.4</c:v>
                </c:pt>
                <c:pt idx="557">
                  <c:v>6.1</c:v>
                </c:pt>
                <c:pt idx="558">
                  <c:v>5.9</c:v>
                </c:pt>
                <c:pt idx="559">
                  <c:v>6</c:v>
                </c:pt>
                <c:pt idx="560">
                  <c:v>6.3</c:v>
                </c:pt>
                <c:pt idx="561">
                  <c:v>5.6</c:v>
                </c:pt>
                <c:pt idx="562">
                  <c:v>6.4</c:v>
                </c:pt>
                <c:pt idx="563">
                  <c:v>7.1</c:v>
                </c:pt>
                <c:pt idx="564">
                  <c:v>6.6</c:v>
                </c:pt>
                <c:pt idx="565">
                  <c:v>4.5999999999999996</c:v>
                </c:pt>
                <c:pt idx="566">
                  <c:v>8.4</c:v>
                </c:pt>
                <c:pt idx="567">
                  <c:v>7.1</c:v>
                </c:pt>
                <c:pt idx="568">
                  <c:v>7.4</c:v>
                </c:pt>
                <c:pt idx="569">
                  <c:v>6.9</c:v>
                </c:pt>
                <c:pt idx="570">
                  <c:v>4.5</c:v>
                </c:pt>
                <c:pt idx="571">
                  <c:v>7.1</c:v>
                </c:pt>
                <c:pt idx="572">
                  <c:v>6.5</c:v>
                </c:pt>
                <c:pt idx="573">
                  <c:v>5.3</c:v>
                </c:pt>
                <c:pt idx="574">
                  <c:v>6.7</c:v>
                </c:pt>
                <c:pt idx="575">
                  <c:v>7.2</c:v>
                </c:pt>
                <c:pt idx="576">
                  <c:v>7.2</c:v>
                </c:pt>
                <c:pt idx="577">
                  <c:v>5.5</c:v>
                </c:pt>
                <c:pt idx="578">
                  <c:v>5.8</c:v>
                </c:pt>
                <c:pt idx="579">
                  <c:v>6</c:v>
                </c:pt>
                <c:pt idx="580">
                  <c:v>6.6</c:v>
                </c:pt>
                <c:pt idx="581">
                  <c:v>8.3000000000000007</c:v>
                </c:pt>
                <c:pt idx="582">
                  <c:v>6.7</c:v>
                </c:pt>
                <c:pt idx="583">
                  <c:v>6</c:v>
                </c:pt>
                <c:pt idx="584">
                  <c:v>7.1</c:v>
                </c:pt>
                <c:pt idx="585">
                  <c:v>6</c:v>
                </c:pt>
                <c:pt idx="586">
                  <c:v>6.9</c:v>
                </c:pt>
                <c:pt idx="587">
                  <c:v>5.6</c:v>
                </c:pt>
                <c:pt idx="588">
                  <c:v>5.6</c:v>
                </c:pt>
                <c:pt idx="589">
                  <c:v>4.5</c:v>
                </c:pt>
                <c:pt idx="590">
                  <c:v>7.1</c:v>
                </c:pt>
                <c:pt idx="591">
                  <c:v>6.5</c:v>
                </c:pt>
                <c:pt idx="592">
                  <c:v>6.4</c:v>
                </c:pt>
                <c:pt idx="593">
                  <c:v>5.8</c:v>
                </c:pt>
                <c:pt idx="594">
                  <c:v>8</c:v>
                </c:pt>
                <c:pt idx="595">
                  <c:v>6.2</c:v>
                </c:pt>
                <c:pt idx="596">
                  <c:v>7.2</c:v>
                </c:pt>
                <c:pt idx="597">
                  <c:v>6.1</c:v>
                </c:pt>
                <c:pt idx="598">
                  <c:v>7.6</c:v>
                </c:pt>
                <c:pt idx="599">
                  <c:v>6.3</c:v>
                </c:pt>
                <c:pt idx="600">
                  <c:v>6.3</c:v>
                </c:pt>
                <c:pt idx="601">
                  <c:v>6.3</c:v>
                </c:pt>
                <c:pt idx="602">
                  <c:v>7.7</c:v>
                </c:pt>
                <c:pt idx="603">
                  <c:v>7</c:v>
                </c:pt>
                <c:pt idx="604">
                  <c:v>5.3</c:v>
                </c:pt>
                <c:pt idx="605">
                  <c:v>5.6</c:v>
                </c:pt>
                <c:pt idx="606">
                  <c:v>5.2</c:v>
                </c:pt>
                <c:pt idx="607">
                  <c:v>5.4</c:v>
                </c:pt>
                <c:pt idx="608">
                  <c:v>6.4</c:v>
                </c:pt>
                <c:pt idx="609">
                  <c:v>5.9</c:v>
                </c:pt>
                <c:pt idx="610">
                  <c:v>6.3</c:v>
                </c:pt>
                <c:pt idx="611">
                  <c:v>6.5</c:v>
                </c:pt>
                <c:pt idx="612">
                  <c:v>3</c:v>
                </c:pt>
                <c:pt idx="613">
                  <c:v>3.6</c:v>
                </c:pt>
                <c:pt idx="614">
                  <c:v>5.8</c:v>
                </c:pt>
                <c:pt idx="615">
                  <c:v>6.2</c:v>
                </c:pt>
                <c:pt idx="616">
                  <c:v>5.6</c:v>
                </c:pt>
                <c:pt idx="617">
                  <c:v>5.4</c:v>
                </c:pt>
                <c:pt idx="618">
                  <c:v>6.1</c:v>
                </c:pt>
                <c:pt idx="619">
                  <c:v>4.2</c:v>
                </c:pt>
                <c:pt idx="620">
                  <c:v>6.7</c:v>
                </c:pt>
                <c:pt idx="621">
                  <c:v>4.2</c:v>
                </c:pt>
                <c:pt idx="622">
                  <c:v>6.4</c:v>
                </c:pt>
                <c:pt idx="623">
                  <c:v>4.9000000000000004</c:v>
                </c:pt>
                <c:pt idx="624">
                  <c:v>6.8</c:v>
                </c:pt>
                <c:pt idx="625">
                  <c:v>7.7</c:v>
                </c:pt>
                <c:pt idx="626">
                  <c:v>5.6</c:v>
                </c:pt>
                <c:pt idx="627">
                  <c:v>6.4</c:v>
                </c:pt>
                <c:pt idx="628">
                  <c:v>7.2</c:v>
                </c:pt>
                <c:pt idx="629">
                  <c:v>6</c:v>
                </c:pt>
                <c:pt idx="630">
                  <c:v>5.9</c:v>
                </c:pt>
                <c:pt idx="631">
                  <c:v>7.9</c:v>
                </c:pt>
                <c:pt idx="632">
                  <c:v>6.8</c:v>
                </c:pt>
                <c:pt idx="633">
                  <c:v>7.1</c:v>
                </c:pt>
                <c:pt idx="634">
                  <c:v>5.9</c:v>
                </c:pt>
                <c:pt idx="635">
                  <c:v>5.9</c:v>
                </c:pt>
                <c:pt idx="636">
                  <c:v>6.2</c:v>
                </c:pt>
                <c:pt idx="637">
                  <c:v>7</c:v>
                </c:pt>
                <c:pt idx="638">
                  <c:v>5.4</c:v>
                </c:pt>
                <c:pt idx="639">
                  <c:v>8.6</c:v>
                </c:pt>
                <c:pt idx="640">
                  <c:v>6.5</c:v>
                </c:pt>
                <c:pt idx="641">
                  <c:v>6.4</c:v>
                </c:pt>
                <c:pt idx="642">
                  <c:v>7.6</c:v>
                </c:pt>
                <c:pt idx="643">
                  <c:v>5.5</c:v>
                </c:pt>
                <c:pt idx="644">
                  <c:v>7.4</c:v>
                </c:pt>
                <c:pt idx="645">
                  <c:v>8.6999999999999993</c:v>
                </c:pt>
                <c:pt idx="646">
                  <c:v>7.6</c:v>
                </c:pt>
                <c:pt idx="647">
                  <c:v>7.5</c:v>
                </c:pt>
                <c:pt idx="648">
                  <c:v>5.5</c:v>
                </c:pt>
                <c:pt idx="649">
                  <c:v>7.6</c:v>
                </c:pt>
                <c:pt idx="650">
                  <c:v>6.5</c:v>
                </c:pt>
                <c:pt idx="651">
                  <c:v>6.9</c:v>
                </c:pt>
                <c:pt idx="652">
                  <c:v>6.7</c:v>
                </c:pt>
                <c:pt idx="653">
                  <c:v>6.6</c:v>
                </c:pt>
                <c:pt idx="654">
                  <c:v>7.2</c:v>
                </c:pt>
                <c:pt idx="655">
                  <c:v>6.4</c:v>
                </c:pt>
                <c:pt idx="656">
                  <c:v>6.4</c:v>
                </c:pt>
                <c:pt idx="657">
                  <c:v>6</c:v>
                </c:pt>
                <c:pt idx="658">
                  <c:v>6.1</c:v>
                </c:pt>
                <c:pt idx="659">
                  <c:v>6</c:v>
                </c:pt>
                <c:pt idx="660">
                  <c:v>6.4</c:v>
                </c:pt>
                <c:pt idx="661">
                  <c:v>6.4</c:v>
                </c:pt>
                <c:pt idx="662">
                  <c:v>7.3</c:v>
                </c:pt>
                <c:pt idx="663">
                  <c:v>5.2</c:v>
                </c:pt>
                <c:pt idx="664">
                  <c:v>6.6</c:v>
                </c:pt>
                <c:pt idx="665">
                  <c:v>6.3</c:v>
                </c:pt>
                <c:pt idx="666">
                  <c:v>5.9</c:v>
                </c:pt>
                <c:pt idx="667">
                  <c:v>6.4</c:v>
                </c:pt>
                <c:pt idx="668">
                  <c:v>6.7</c:v>
                </c:pt>
                <c:pt idx="669">
                  <c:v>5.4</c:v>
                </c:pt>
                <c:pt idx="670">
                  <c:v>6.4</c:v>
                </c:pt>
                <c:pt idx="671">
                  <c:v>6.7</c:v>
                </c:pt>
                <c:pt idx="672">
                  <c:v>6.2</c:v>
                </c:pt>
                <c:pt idx="673">
                  <c:v>6.1</c:v>
                </c:pt>
                <c:pt idx="674">
                  <c:v>8.8000000000000007</c:v>
                </c:pt>
                <c:pt idx="675">
                  <c:v>7.1</c:v>
                </c:pt>
                <c:pt idx="676">
                  <c:v>5.7</c:v>
                </c:pt>
                <c:pt idx="677">
                  <c:v>5</c:v>
                </c:pt>
                <c:pt idx="678">
                  <c:v>5.0999999999999996</c:v>
                </c:pt>
                <c:pt idx="679">
                  <c:v>6.9</c:v>
                </c:pt>
                <c:pt idx="680">
                  <c:v>4.8</c:v>
                </c:pt>
                <c:pt idx="681">
                  <c:v>6.5</c:v>
                </c:pt>
                <c:pt idx="682">
                  <c:v>5.0999999999999996</c:v>
                </c:pt>
                <c:pt idx="683">
                  <c:v>7.1</c:v>
                </c:pt>
                <c:pt idx="684">
                  <c:v>7.5</c:v>
                </c:pt>
                <c:pt idx="685">
                  <c:v>6.2</c:v>
                </c:pt>
                <c:pt idx="686">
                  <c:v>6.3</c:v>
                </c:pt>
                <c:pt idx="687">
                  <c:v>8.1</c:v>
                </c:pt>
                <c:pt idx="688">
                  <c:v>6.6</c:v>
                </c:pt>
                <c:pt idx="689">
                  <c:v>6.9</c:v>
                </c:pt>
                <c:pt idx="690">
                  <c:v>6.1</c:v>
                </c:pt>
                <c:pt idx="691">
                  <c:v>4.3</c:v>
                </c:pt>
                <c:pt idx="692">
                  <c:v>6.6</c:v>
                </c:pt>
                <c:pt idx="693">
                  <c:v>6.8</c:v>
                </c:pt>
                <c:pt idx="694">
                  <c:v>3.8</c:v>
                </c:pt>
                <c:pt idx="695">
                  <c:v>5.9</c:v>
                </c:pt>
                <c:pt idx="696">
                  <c:v>7.9</c:v>
                </c:pt>
                <c:pt idx="697">
                  <c:v>6.3</c:v>
                </c:pt>
                <c:pt idx="698">
                  <c:v>5.5</c:v>
                </c:pt>
                <c:pt idx="699">
                  <c:v>7.7</c:v>
                </c:pt>
                <c:pt idx="700">
                  <c:v>6.3</c:v>
                </c:pt>
                <c:pt idx="701">
                  <c:v>7.1</c:v>
                </c:pt>
                <c:pt idx="702">
                  <c:v>8.5</c:v>
                </c:pt>
                <c:pt idx="703">
                  <c:v>5.9</c:v>
                </c:pt>
                <c:pt idx="704">
                  <c:v>5.8</c:v>
                </c:pt>
                <c:pt idx="705">
                  <c:v>8.1</c:v>
                </c:pt>
                <c:pt idx="706">
                  <c:v>7.9</c:v>
                </c:pt>
                <c:pt idx="707">
                  <c:v>7.2</c:v>
                </c:pt>
                <c:pt idx="708">
                  <c:v>6.3</c:v>
                </c:pt>
                <c:pt idx="709">
                  <c:v>8.1</c:v>
                </c:pt>
                <c:pt idx="710">
                  <c:v>7</c:v>
                </c:pt>
                <c:pt idx="711">
                  <c:v>5.5</c:v>
                </c:pt>
                <c:pt idx="712">
                  <c:v>6.7</c:v>
                </c:pt>
                <c:pt idx="713">
                  <c:v>5.2</c:v>
                </c:pt>
                <c:pt idx="714">
                  <c:v>7</c:v>
                </c:pt>
                <c:pt idx="715">
                  <c:v>6.1</c:v>
                </c:pt>
                <c:pt idx="716">
                  <c:v>6.6</c:v>
                </c:pt>
                <c:pt idx="717">
                  <c:v>5.5</c:v>
                </c:pt>
                <c:pt idx="718">
                  <c:v>5.9</c:v>
                </c:pt>
                <c:pt idx="719">
                  <c:v>5.4</c:v>
                </c:pt>
                <c:pt idx="720">
                  <c:v>6.4</c:v>
                </c:pt>
                <c:pt idx="721">
                  <c:v>5.7</c:v>
                </c:pt>
                <c:pt idx="722">
                  <c:v>6.7</c:v>
                </c:pt>
                <c:pt idx="723">
                  <c:v>7.1</c:v>
                </c:pt>
                <c:pt idx="724">
                  <c:v>6.8</c:v>
                </c:pt>
                <c:pt idx="725">
                  <c:v>6.5</c:v>
                </c:pt>
                <c:pt idx="726">
                  <c:v>7.6</c:v>
                </c:pt>
                <c:pt idx="727">
                  <c:v>5.5</c:v>
                </c:pt>
                <c:pt idx="728">
                  <c:v>6.5</c:v>
                </c:pt>
                <c:pt idx="729">
                  <c:v>7</c:v>
                </c:pt>
                <c:pt idx="730">
                  <c:v>5.8</c:v>
                </c:pt>
                <c:pt idx="731">
                  <c:v>7.3</c:v>
                </c:pt>
                <c:pt idx="732">
                  <c:v>6.6</c:v>
                </c:pt>
                <c:pt idx="733">
                  <c:v>4.4000000000000004</c:v>
                </c:pt>
                <c:pt idx="734">
                  <c:v>7.7</c:v>
                </c:pt>
                <c:pt idx="735">
                  <c:v>5</c:v>
                </c:pt>
                <c:pt idx="736">
                  <c:v>7.7</c:v>
                </c:pt>
                <c:pt idx="737">
                  <c:v>4.4000000000000004</c:v>
                </c:pt>
                <c:pt idx="738">
                  <c:v>6.1</c:v>
                </c:pt>
                <c:pt idx="739">
                  <c:v>5.4</c:v>
                </c:pt>
                <c:pt idx="740">
                  <c:v>6.8</c:v>
                </c:pt>
                <c:pt idx="741">
                  <c:v>6.5</c:v>
                </c:pt>
                <c:pt idx="742">
                  <c:v>7</c:v>
                </c:pt>
                <c:pt idx="743">
                  <c:v>6.3</c:v>
                </c:pt>
                <c:pt idx="744">
                  <c:v>6.3</c:v>
                </c:pt>
                <c:pt idx="745">
                  <c:v>6.1</c:v>
                </c:pt>
                <c:pt idx="746">
                  <c:v>6.1</c:v>
                </c:pt>
                <c:pt idx="747">
                  <c:v>5.3</c:v>
                </c:pt>
                <c:pt idx="748">
                  <c:v>5.4</c:v>
                </c:pt>
                <c:pt idx="749">
                  <c:v>6.2</c:v>
                </c:pt>
                <c:pt idx="750">
                  <c:v>6.6</c:v>
                </c:pt>
                <c:pt idx="751">
                  <c:v>5.9</c:v>
                </c:pt>
                <c:pt idx="752">
                  <c:v>6.3</c:v>
                </c:pt>
                <c:pt idx="753">
                  <c:v>7.2</c:v>
                </c:pt>
                <c:pt idx="754">
                  <c:v>6.8</c:v>
                </c:pt>
                <c:pt idx="755">
                  <c:v>6.1</c:v>
                </c:pt>
                <c:pt idx="756">
                  <c:v>7.8</c:v>
                </c:pt>
                <c:pt idx="757">
                  <c:v>5</c:v>
                </c:pt>
                <c:pt idx="758">
                  <c:v>6.2</c:v>
                </c:pt>
                <c:pt idx="759">
                  <c:v>6.7</c:v>
                </c:pt>
                <c:pt idx="760">
                  <c:v>4.9000000000000004</c:v>
                </c:pt>
                <c:pt idx="761">
                  <c:v>7.4</c:v>
                </c:pt>
                <c:pt idx="762">
                  <c:v>7.1</c:v>
                </c:pt>
                <c:pt idx="763">
                  <c:v>6.2</c:v>
                </c:pt>
                <c:pt idx="764">
                  <c:v>4.9000000000000004</c:v>
                </c:pt>
                <c:pt idx="765">
                  <c:v>6.1</c:v>
                </c:pt>
                <c:pt idx="766">
                  <c:v>6.1</c:v>
                </c:pt>
                <c:pt idx="767">
                  <c:v>6.4</c:v>
                </c:pt>
                <c:pt idx="768">
                  <c:v>6.3</c:v>
                </c:pt>
                <c:pt idx="769">
                  <c:v>6.8</c:v>
                </c:pt>
                <c:pt idx="770">
                  <c:v>6.6</c:v>
                </c:pt>
                <c:pt idx="771">
                  <c:v>5.7</c:v>
                </c:pt>
                <c:pt idx="772">
                  <c:v>5.9</c:v>
                </c:pt>
                <c:pt idx="773">
                  <c:v>6</c:v>
                </c:pt>
                <c:pt idx="774">
                  <c:v>6.1</c:v>
                </c:pt>
                <c:pt idx="775">
                  <c:v>6.7</c:v>
                </c:pt>
                <c:pt idx="776">
                  <c:v>6.7</c:v>
                </c:pt>
                <c:pt idx="777">
                  <c:v>7.9</c:v>
                </c:pt>
                <c:pt idx="778">
                  <c:v>5</c:v>
                </c:pt>
                <c:pt idx="779">
                  <c:v>4.3</c:v>
                </c:pt>
                <c:pt idx="780">
                  <c:v>5.7</c:v>
                </c:pt>
                <c:pt idx="781">
                  <c:v>6.7</c:v>
                </c:pt>
                <c:pt idx="782">
                  <c:v>6.7</c:v>
                </c:pt>
                <c:pt idx="783">
                  <c:v>8.1</c:v>
                </c:pt>
                <c:pt idx="784">
                  <c:v>6.1</c:v>
                </c:pt>
                <c:pt idx="785">
                  <c:v>5.6</c:v>
                </c:pt>
                <c:pt idx="786">
                  <c:v>6.6</c:v>
                </c:pt>
                <c:pt idx="787">
                  <c:v>6.9</c:v>
                </c:pt>
                <c:pt idx="788">
                  <c:v>4.8</c:v>
                </c:pt>
                <c:pt idx="789">
                  <c:v>6.2</c:v>
                </c:pt>
                <c:pt idx="790">
                  <c:v>6</c:v>
                </c:pt>
                <c:pt idx="791">
                  <c:v>4.9000000000000004</c:v>
                </c:pt>
                <c:pt idx="792">
                  <c:v>5.6</c:v>
                </c:pt>
                <c:pt idx="793">
                  <c:v>6.1</c:v>
                </c:pt>
                <c:pt idx="794">
                  <c:v>6.1</c:v>
                </c:pt>
                <c:pt idx="795">
                  <c:v>4.8</c:v>
                </c:pt>
                <c:pt idx="796">
                  <c:v>5.5</c:v>
                </c:pt>
                <c:pt idx="797">
                  <c:v>3.8</c:v>
                </c:pt>
                <c:pt idx="798">
                  <c:v>6.5</c:v>
                </c:pt>
                <c:pt idx="799">
                  <c:v>6</c:v>
                </c:pt>
                <c:pt idx="800">
                  <c:v>6.7</c:v>
                </c:pt>
                <c:pt idx="801">
                  <c:v>8.1</c:v>
                </c:pt>
                <c:pt idx="802">
                  <c:v>4.9000000000000004</c:v>
                </c:pt>
                <c:pt idx="803">
                  <c:v>7.3</c:v>
                </c:pt>
                <c:pt idx="804">
                  <c:v>6.4</c:v>
                </c:pt>
                <c:pt idx="805">
                  <c:v>6.7</c:v>
                </c:pt>
                <c:pt idx="806">
                  <c:v>3.6</c:v>
                </c:pt>
                <c:pt idx="807">
                  <c:v>5.7</c:v>
                </c:pt>
                <c:pt idx="808">
                  <c:v>6</c:v>
                </c:pt>
                <c:pt idx="809">
                  <c:v>4.9000000000000004</c:v>
                </c:pt>
                <c:pt idx="810">
                  <c:v>4.7</c:v>
                </c:pt>
                <c:pt idx="811">
                  <c:v>6.3</c:v>
                </c:pt>
                <c:pt idx="812">
                  <c:v>5.9</c:v>
                </c:pt>
                <c:pt idx="813">
                  <c:v>5.9</c:v>
                </c:pt>
                <c:pt idx="814">
                  <c:v>7.5</c:v>
                </c:pt>
                <c:pt idx="815">
                  <c:v>5.6</c:v>
                </c:pt>
                <c:pt idx="816">
                  <c:v>6.4</c:v>
                </c:pt>
                <c:pt idx="817">
                  <c:v>6.3</c:v>
                </c:pt>
                <c:pt idx="818">
                  <c:v>4.3</c:v>
                </c:pt>
                <c:pt idx="819">
                  <c:v>5.9</c:v>
                </c:pt>
                <c:pt idx="820">
                  <c:v>5.5</c:v>
                </c:pt>
                <c:pt idx="821">
                  <c:v>6.2</c:v>
                </c:pt>
                <c:pt idx="822">
                  <c:v>8.8000000000000007</c:v>
                </c:pt>
                <c:pt idx="823">
                  <c:v>5.2</c:v>
                </c:pt>
                <c:pt idx="824">
                  <c:v>7</c:v>
                </c:pt>
                <c:pt idx="825">
                  <c:v>6.6</c:v>
                </c:pt>
                <c:pt idx="826">
                  <c:v>7.3</c:v>
                </c:pt>
                <c:pt idx="827">
                  <c:v>5.6</c:v>
                </c:pt>
                <c:pt idx="828">
                  <c:v>6.6</c:v>
                </c:pt>
                <c:pt idx="829">
                  <c:v>5.4</c:v>
                </c:pt>
                <c:pt idx="830">
                  <c:v>6.3</c:v>
                </c:pt>
                <c:pt idx="831">
                  <c:v>7.9</c:v>
                </c:pt>
                <c:pt idx="832">
                  <c:v>6.3</c:v>
                </c:pt>
                <c:pt idx="833">
                  <c:v>6</c:v>
                </c:pt>
                <c:pt idx="834">
                  <c:v>7.2</c:v>
                </c:pt>
                <c:pt idx="835">
                  <c:v>5.0999999999999996</c:v>
                </c:pt>
                <c:pt idx="836">
                  <c:v>7.3</c:v>
                </c:pt>
                <c:pt idx="837">
                  <c:v>8</c:v>
                </c:pt>
                <c:pt idx="838">
                  <c:v>6.2</c:v>
                </c:pt>
                <c:pt idx="839">
                  <c:v>6</c:v>
                </c:pt>
                <c:pt idx="840">
                  <c:v>6.7</c:v>
                </c:pt>
                <c:pt idx="841">
                  <c:v>8.1</c:v>
                </c:pt>
                <c:pt idx="842">
                  <c:v>6.4</c:v>
                </c:pt>
                <c:pt idx="843">
                  <c:v>8</c:v>
                </c:pt>
                <c:pt idx="844">
                  <c:v>6.3</c:v>
                </c:pt>
                <c:pt idx="845">
                  <c:v>6.4</c:v>
                </c:pt>
                <c:pt idx="846">
                  <c:v>6.6</c:v>
                </c:pt>
                <c:pt idx="847">
                  <c:v>6.4</c:v>
                </c:pt>
                <c:pt idx="848">
                  <c:v>6</c:v>
                </c:pt>
                <c:pt idx="849">
                  <c:v>6.6</c:v>
                </c:pt>
                <c:pt idx="850">
                  <c:v>5.9</c:v>
                </c:pt>
                <c:pt idx="851">
                  <c:v>6.4</c:v>
                </c:pt>
                <c:pt idx="852">
                  <c:v>6.3</c:v>
                </c:pt>
                <c:pt idx="853">
                  <c:v>7.3</c:v>
                </c:pt>
                <c:pt idx="854">
                  <c:v>6.8</c:v>
                </c:pt>
                <c:pt idx="855">
                  <c:v>7.2</c:v>
                </c:pt>
                <c:pt idx="856">
                  <c:v>5.7</c:v>
                </c:pt>
                <c:pt idx="857">
                  <c:v>6</c:v>
                </c:pt>
                <c:pt idx="858">
                  <c:v>6.5</c:v>
                </c:pt>
                <c:pt idx="859">
                  <c:v>5.8</c:v>
                </c:pt>
                <c:pt idx="860">
                  <c:v>5.8</c:v>
                </c:pt>
                <c:pt idx="861">
                  <c:v>6.7</c:v>
                </c:pt>
                <c:pt idx="862">
                  <c:v>7.8</c:v>
                </c:pt>
                <c:pt idx="863">
                  <c:v>5.6</c:v>
                </c:pt>
                <c:pt idx="864">
                  <c:v>5.8</c:v>
                </c:pt>
                <c:pt idx="865">
                  <c:v>7.4</c:v>
                </c:pt>
                <c:pt idx="866">
                  <c:v>6.9</c:v>
                </c:pt>
                <c:pt idx="867">
                  <c:v>5.5</c:v>
                </c:pt>
                <c:pt idx="868">
                  <c:v>6.3</c:v>
                </c:pt>
                <c:pt idx="869">
                  <c:v>4.7</c:v>
                </c:pt>
                <c:pt idx="870">
                  <c:v>5.6</c:v>
                </c:pt>
                <c:pt idx="871">
                  <c:v>6.4</c:v>
                </c:pt>
                <c:pt idx="872">
                  <c:v>4.2</c:v>
                </c:pt>
                <c:pt idx="873">
                  <c:v>6.4</c:v>
                </c:pt>
                <c:pt idx="874">
                  <c:v>7.7</c:v>
                </c:pt>
                <c:pt idx="875">
                  <c:v>7.7</c:v>
                </c:pt>
                <c:pt idx="876">
                  <c:v>5.3</c:v>
                </c:pt>
                <c:pt idx="877">
                  <c:v>6.7</c:v>
                </c:pt>
                <c:pt idx="878">
                  <c:v>7.7</c:v>
                </c:pt>
                <c:pt idx="879">
                  <c:v>5.7</c:v>
                </c:pt>
                <c:pt idx="880">
                  <c:v>7.6</c:v>
                </c:pt>
                <c:pt idx="881">
                  <c:v>6.4</c:v>
                </c:pt>
                <c:pt idx="882">
                  <c:v>5.6</c:v>
                </c:pt>
                <c:pt idx="883">
                  <c:v>6.8</c:v>
                </c:pt>
                <c:pt idx="884">
                  <c:v>2.4</c:v>
                </c:pt>
                <c:pt idx="885">
                  <c:v>6.2</c:v>
                </c:pt>
                <c:pt idx="886">
                  <c:v>5.9</c:v>
                </c:pt>
                <c:pt idx="887">
                  <c:v>7.1</c:v>
                </c:pt>
                <c:pt idx="888">
                  <c:v>7.6</c:v>
                </c:pt>
                <c:pt idx="889">
                  <c:v>5.5</c:v>
                </c:pt>
                <c:pt idx="890">
                  <c:v>7</c:v>
                </c:pt>
                <c:pt idx="891">
                  <c:v>7.1</c:v>
                </c:pt>
                <c:pt idx="892">
                  <c:v>7.4</c:v>
                </c:pt>
                <c:pt idx="893">
                  <c:v>7.6</c:v>
                </c:pt>
                <c:pt idx="894">
                  <c:v>5.9</c:v>
                </c:pt>
                <c:pt idx="895">
                  <c:v>5.9</c:v>
                </c:pt>
                <c:pt idx="896">
                  <c:v>8</c:v>
                </c:pt>
                <c:pt idx="897">
                  <c:v>7.4</c:v>
                </c:pt>
                <c:pt idx="898">
                  <c:v>5.8</c:v>
                </c:pt>
                <c:pt idx="899">
                  <c:v>6.3</c:v>
                </c:pt>
                <c:pt idx="900">
                  <c:v>5.7</c:v>
                </c:pt>
                <c:pt idx="901">
                  <c:v>5.0999999999999996</c:v>
                </c:pt>
                <c:pt idx="902">
                  <c:v>7.6</c:v>
                </c:pt>
                <c:pt idx="903">
                  <c:v>6.4</c:v>
                </c:pt>
                <c:pt idx="904">
                  <c:v>7.4</c:v>
                </c:pt>
                <c:pt idx="905">
                  <c:v>8.1999999999999993</c:v>
                </c:pt>
                <c:pt idx="906">
                  <c:v>6.5</c:v>
                </c:pt>
                <c:pt idx="907">
                  <c:v>5.5</c:v>
                </c:pt>
                <c:pt idx="908">
                  <c:v>6.5</c:v>
                </c:pt>
                <c:pt idx="909">
                  <c:v>5.6</c:v>
                </c:pt>
                <c:pt idx="910">
                  <c:v>4.9000000000000004</c:v>
                </c:pt>
                <c:pt idx="911">
                  <c:v>4.5999999999999996</c:v>
                </c:pt>
                <c:pt idx="912">
                  <c:v>7.9</c:v>
                </c:pt>
                <c:pt idx="913">
                  <c:v>7.1</c:v>
                </c:pt>
                <c:pt idx="914">
                  <c:v>6.9</c:v>
                </c:pt>
                <c:pt idx="915">
                  <c:v>7.3</c:v>
                </c:pt>
                <c:pt idx="916">
                  <c:v>7</c:v>
                </c:pt>
                <c:pt idx="917">
                  <c:v>7.7</c:v>
                </c:pt>
                <c:pt idx="918">
                  <c:v>6.7</c:v>
                </c:pt>
                <c:pt idx="919">
                  <c:v>6.3</c:v>
                </c:pt>
                <c:pt idx="920">
                  <c:v>5.8</c:v>
                </c:pt>
                <c:pt idx="921">
                  <c:v>7.1</c:v>
                </c:pt>
                <c:pt idx="922">
                  <c:v>7.3</c:v>
                </c:pt>
                <c:pt idx="923">
                  <c:v>6.4</c:v>
                </c:pt>
                <c:pt idx="924">
                  <c:v>7.1</c:v>
                </c:pt>
                <c:pt idx="925">
                  <c:v>7.6</c:v>
                </c:pt>
                <c:pt idx="926">
                  <c:v>6.8</c:v>
                </c:pt>
                <c:pt idx="927">
                  <c:v>6.6</c:v>
                </c:pt>
                <c:pt idx="928">
                  <c:v>6.7</c:v>
                </c:pt>
                <c:pt idx="929">
                  <c:v>6.1</c:v>
                </c:pt>
                <c:pt idx="930">
                  <c:v>6</c:v>
                </c:pt>
                <c:pt idx="931">
                  <c:v>7.6</c:v>
                </c:pt>
                <c:pt idx="932">
                  <c:v>7.1</c:v>
                </c:pt>
                <c:pt idx="933">
                  <c:v>5</c:v>
                </c:pt>
                <c:pt idx="934">
                  <c:v>7.1</c:v>
                </c:pt>
                <c:pt idx="935">
                  <c:v>6.2</c:v>
                </c:pt>
                <c:pt idx="936">
                  <c:v>5.6</c:v>
                </c:pt>
                <c:pt idx="937">
                  <c:v>5.4</c:v>
                </c:pt>
                <c:pt idx="938">
                  <c:v>7.4</c:v>
                </c:pt>
                <c:pt idx="939">
                  <c:v>5</c:v>
                </c:pt>
                <c:pt idx="940">
                  <c:v>5.2</c:v>
                </c:pt>
                <c:pt idx="941">
                  <c:v>7.6</c:v>
                </c:pt>
                <c:pt idx="942">
                  <c:v>6.6</c:v>
                </c:pt>
                <c:pt idx="943">
                  <c:v>7</c:v>
                </c:pt>
                <c:pt idx="944">
                  <c:v>5.7</c:v>
                </c:pt>
                <c:pt idx="945">
                  <c:v>8.1999999999999993</c:v>
                </c:pt>
                <c:pt idx="946">
                  <c:v>6.2</c:v>
                </c:pt>
                <c:pt idx="947">
                  <c:v>6.6</c:v>
                </c:pt>
                <c:pt idx="948">
                  <c:v>4.7</c:v>
                </c:pt>
                <c:pt idx="949">
                  <c:v>6.3</c:v>
                </c:pt>
                <c:pt idx="950">
                  <c:v>6.1</c:v>
                </c:pt>
                <c:pt idx="951">
                  <c:v>6.7</c:v>
                </c:pt>
                <c:pt idx="952">
                  <c:v>6.1</c:v>
                </c:pt>
                <c:pt idx="953">
                  <c:v>7</c:v>
                </c:pt>
                <c:pt idx="954">
                  <c:v>7.4</c:v>
                </c:pt>
                <c:pt idx="955">
                  <c:v>7.3</c:v>
                </c:pt>
                <c:pt idx="956">
                  <c:v>5.8</c:v>
                </c:pt>
                <c:pt idx="957">
                  <c:v>6.7</c:v>
                </c:pt>
                <c:pt idx="958">
                  <c:v>5.8</c:v>
                </c:pt>
                <c:pt idx="959">
                  <c:v>7.8</c:v>
                </c:pt>
                <c:pt idx="960">
                  <c:v>6.6</c:v>
                </c:pt>
                <c:pt idx="961">
                  <c:v>6.5</c:v>
                </c:pt>
                <c:pt idx="962">
                  <c:v>6.7</c:v>
                </c:pt>
                <c:pt idx="963">
                  <c:v>7.3</c:v>
                </c:pt>
                <c:pt idx="964">
                  <c:v>5.8</c:v>
                </c:pt>
                <c:pt idx="965">
                  <c:v>5.5</c:v>
                </c:pt>
                <c:pt idx="966">
                  <c:v>6.3</c:v>
                </c:pt>
                <c:pt idx="967">
                  <c:v>7.4</c:v>
                </c:pt>
                <c:pt idx="968">
                  <c:v>5.9</c:v>
                </c:pt>
                <c:pt idx="969">
                  <c:v>6.2</c:v>
                </c:pt>
                <c:pt idx="970">
                  <c:v>5.9</c:v>
                </c:pt>
                <c:pt idx="971">
                  <c:v>6.5</c:v>
                </c:pt>
                <c:pt idx="972">
                  <c:v>4.4000000000000004</c:v>
                </c:pt>
                <c:pt idx="973">
                  <c:v>3.5</c:v>
                </c:pt>
                <c:pt idx="974">
                  <c:v>6.6</c:v>
                </c:pt>
                <c:pt idx="975">
                  <c:v>6</c:v>
                </c:pt>
                <c:pt idx="976">
                  <c:v>6.4</c:v>
                </c:pt>
                <c:pt idx="977">
                  <c:v>6.5</c:v>
                </c:pt>
                <c:pt idx="978">
                  <c:v>4.3</c:v>
                </c:pt>
                <c:pt idx="979">
                  <c:v>4.2</c:v>
                </c:pt>
                <c:pt idx="980">
                  <c:v>6.5</c:v>
                </c:pt>
                <c:pt idx="981">
                  <c:v>6.1</c:v>
                </c:pt>
                <c:pt idx="982">
                  <c:v>6.3</c:v>
                </c:pt>
                <c:pt idx="983">
                  <c:v>6.2</c:v>
                </c:pt>
                <c:pt idx="984">
                  <c:v>5.9</c:v>
                </c:pt>
                <c:pt idx="985">
                  <c:v>5.9</c:v>
                </c:pt>
                <c:pt idx="986">
                  <c:v>6.5</c:v>
                </c:pt>
                <c:pt idx="987">
                  <c:v>6.4</c:v>
                </c:pt>
                <c:pt idx="988">
                  <c:v>6.5</c:v>
                </c:pt>
                <c:pt idx="989">
                  <c:v>5.7</c:v>
                </c:pt>
                <c:pt idx="990">
                  <c:v>8</c:v>
                </c:pt>
                <c:pt idx="991">
                  <c:v>7.3</c:v>
                </c:pt>
                <c:pt idx="992">
                  <c:v>6.7</c:v>
                </c:pt>
                <c:pt idx="993">
                  <c:v>7.5</c:v>
                </c:pt>
                <c:pt idx="994">
                  <c:v>5.4</c:v>
                </c:pt>
                <c:pt idx="995">
                  <c:v>6.6</c:v>
                </c:pt>
                <c:pt idx="996">
                  <c:v>7.7</c:v>
                </c:pt>
                <c:pt idx="997">
                  <c:v>5.8</c:v>
                </c:pt>
                <c:pt idx="998">
                  <c:v>6.4</c:v>
                </c:pt>
                <c:pt idx="999">
                  <c:v>5.6</c:v>
                </c:pt>
                <c:pt idx="1000">
                  <c:v>6</c:v>
                </c:pt>
                <c:pt idx="1001">
                  <c:v>6.2</c:v>
                </c:pt>
                <c:pt idx="1002">
                  <c:v>5.9</c:v>
                </c:pt>
                <c:pt idx="1003">
                  <c:v>5.0999999999999996</c:v>
                </c:pt>
                <c:pt idx="1004">
                  <c:v>6.8</c:v>
                </c:pt>
                <c:pt idx="1005">
                  <c:v>6</c:v>
                </c:pt>
                <c:pt idx="1006">
                  <c:v>5.0999999999999996</c:v>
                </c:pt>
                <c:pt idx="1007">
                  <c:v>5.8</c:v>
                </c:pt>
                <c:pt idx="1008">
                  <c:v>6.2</c:v>
                </c:pt>
                <c:pt idx="1009">
                  <c:v>6.4</c:v>
                </c:pt>
                <c:pt idx="1010">
                  <c:v>4.8</c:v>
                </c:pt>
                <c:pt idx="1011">
                  <c:v>4.9000000000000004</c:v>
                </c:pt>
                <c:pt idx="1012">
                  <c:v>5.6</c:v>
                </c:pt>
                <c:pt idx="1013">
                  <c:v>5.5</c:v>
                </c:pt>
                <c:pt idx="1014">
                  <c:v>3.7</c:v>
                </c:pt>
                <c:pt idx="1015">
                  <c:v>5.9</c:v>
                </c:pt>
                <c:pt idx="1016">
                  <c:v>6.3</c:v>
                </c:pt>
                <c:pt idx="1017">
                  <c:v>7.4</c:v>
                </c:pt>
                <c:pt idx="1018">
                  <c:v>7.6</c:v>
                </c:pt>
                <c:pt idx="1019">
                  <c:v>8.3000000000000007</c:v>
                </c:pt>
                <c:pt idx="1020">
                  <c:v>6.6</c:v>
                </c:pt>
                <c:pt idx="1021">
                  <c:v>6.9</c:v>
                </c:pt>
                <c:pt idx="1022">
                  <c:v>6.7</c:v>
                </c:pt>
                <c:pt idx="1023">
                  <c:v>6.8</c:v>
                </c:pt>
                <c:pt idx="1024">
                  <c:v>4.5999999999999996</c:v>
                </c:pt>
                <c:pt idx="1025">
                  <c:v>7.1</c:v>
                </c:pt>
                <c:pt idx="1026">
                  <c:v>6.4</c:v>
                </c:pt>
                <c:pt idx="1027">
                  <c:v>6.4</c:v>
                </c:pt>
                <c:pt idx="1028">
                  <c:v>7.4</c:v>
                </c:pt>
                <c:pt idx="1029">
                  <c:v>6.4</c:v>
                </c:pt>
                <c:pt idx="1030">
                  <c:v>6</c:v>
                </c:pt>
                <c:pt idx="1031">
                  <c:v>6.5</c:v>
                </c:pt>
                <c:pt idx="1032">
                  <c:v>7.8</c:v>
                </c:pt>
                <c:pt idx="1033">
                  <c:v>6</c:v>
                </c:pt>
                <c:pt idx="1034">
                  <c:v>7</c:v>
                </c:pt>
                <c:pt idx="1035">
                  <c:v>6</c:v>
                </c:pt>
                <c:pt idx="1036">
                  <c:v>7.8</c:v>
                </c:pt>
                <c:pt idx="1037">
                  <c:v>6.1</c:v>
                </c:pt>
                <c:pt idx="1038">
                  <c:v>6.8</c:v>
                </c:pt>
                <c:pt idx="1039">
                  <c:v>6.4</c:v>
                </c:pt>
                <c:pt idx="1040">
                  <c:v>7.7</c:v>
                </c:pt>
                <c:pt idx="1041">
                  <c:v>8.1</c:v>
                </c:pt>
                <c:pt idx="1042">
                  <c:v>4.5</c:v>
                </c:pt>
                <c:pt idx="1043">
                  <c:v>5.8</c:v>
                </c:pt>
                <c:pt idx="1044">
                  <c:v>6.3</c:v>
                </c:pt>
                <c:pt idx="1045">
                  <c:v>5.7</c:v>
                </c:pt>
                <c:pt idx="1046">
                  <c:v>7.2</c:v>
                </c:pt>
                <c:pt idx="1047">
                  <c:v>7.6</c:v>
                </c:pt>
                <c:pt idx="1048">
                  <c:v>4.7</c:v>
                </c:pt>
                <c:pt idx="1049">
                  <c:v>6.6</c:v>
                </c:pt>
                <c:pt idx="1050">
                  <c:v>6.8</c:v>
                </c:pt>
                <c:pt idx="1051">
                  <c:v>7.3</c:v>
                </c:pt>
                <c:pt idx="1052">
                  <c:v>2.7</c:v>
                </c:pt>
                <c:pt idx="1053">
                  <c:v>4.8</c:v>
                </c:pt>
                <c:pt idx="1054">
                  <c:v>6.3</c:v>
                </c:pt>
                <c:pt idx="1055">
                  <c:v>5.5</c:v>
                </c:pt>
                <c:pt idx="1056">
                  <c:v>6.2</c:v>
                </c:pt>
                <c:pt idx="1057">
                  <c:v>5.8</c:v>
                </c:pt>
                <c:pt idx="1058">
                  <c:v>5.7</c:v>
                </c:pt>
                <c:pt idx="1059">
                  <c:v>6.5</c:v>
                </c:pt>
                <c:pt idx="1060">
                  <c:v>6.7</c:v>
                </c:pt>
                <c:pt idx="1061">
                  <c:v>7.4</c:v>
                </c:pt>
                <c:pt idx="1062">
                  <c:v>6.9</c:v>
                </c:pt>
                <c:pt idx="1063">
                  <c:v>5.5</c:v>
                </c:pt>
                <c:pt idx="1064">
                  <c:v>8.1</c:v>
                </c:pt>
                <c:pt idx="1065">
                  <c:v>7.7</c:v>
                </c:pt>
                <c:pt idx="1066">
                  <c:v>7.3</c:v>
                </c:pt>
                <c:pt idx="1067">
                  <c:v>5.2</c:v>
                </c:pt>
                <c:pt idx="1068">
                  <c:v>7.1</c:v>
                </c:pt>
                <c:pt idx="1069">
                  <c:v>7.1</c:v>
                </c:pt>
                <c:pt idx="1070">
                  <c:v>7.2</c:v>
                </c:pt>
                <c:pt idx="1071">
                  <c:v>6.5</c:v>
                </c:pt>
                <c:pt idx="1072">
                  <c:v>4.5999999999999996</c:v>
                </c:pt>
                <c:pt idx="1073">
                  <c:v>5.6</c:v>
                </c:pt>
                <c:pt idx="1074">
                  <c:v>7.7</c:v>
                </c:pt>
                <c:pt idx="1075">
                  <c:v>7.2</c:v>
                </c:pt>
                <c:pt idx="1076">
                  <c:v>6.8</c:v>
                </c:pt>
                <c:pt idx="1077">
                  <c:v>5.4</c:v>
                </c:pt>
                <c:pt idx="1078">
                  <c:v>6.3</c:v>
                </c:pt>
                <c:pt idx="1079">
                  <c:v>7.2</c:v>
                </c:pt>
                <c:pt idx="1080">
                  <c:v>5.6</c:v>
                </c:pt>
                <c:pt idx="1081">
                  <c:v>6.8</c:v>
                </c:pt>
                <c:pt idx="1082">
                  <c:v>4.3</c:v>
                </c:pt>
                <c:pt idx="1083">
                  <c:v>6.3</c:v>
                </c:pt>
                <c:pt idx="1084">
                  <c:v>6.5</c:v>
                </c:pt>
                <c:pt idx="1085">
                  <c:v>6.4</c:v>
                </c:pt>
                <c:pt idx="1086">
                  <c:v>6.3</c:v>
                </c:pt>
                <c:pt idx="1087">
                  <c:v>5.9</c:v>
                </c:pt>
                <c:pt idx="1088">
                  <c:v>6.5</c:v>
                </c:pt>
                <c:pt idx="1089">
                  <c:v>6.5</c:v>
                </c:pt>
                <c:pt idx="1090">
                  <c:v>6.1</c:v>
                </c:pt>
                <c:pt idx="1091">
                  <c:v>5.9</c:v>
                </c:pt>
                <c:pt idx="1092">
                  <c:v>6.6</c:v>
                </c:pt>
                <c:pt idx="1093">
                  <c:v>7.4</c:v>
                </c:pt>
                <c:pt idx="1094">
                  <c:v>7.3</c:v>
                </c:pt>
                <c:pt idx="1095">
                  <c:v>6.6</c:v>
                </c:pt>
                <c:pt idx="1096">
                  <c:v>5.6</c:v>
                </c:pt>
                <c:pt idx="1097">
                  <c:v>5.3</c:v>
                </c:pt>
                <c:pt idx="1098">
                  <c:v>6</c:v>
                </c:pt>
                <c:pt idx="1099">
                  <c:v>5.4</c:v>
                </c:pt>
                <c:pt idx="1100">
                  <c:v>6.8</c:v>
                </c:pt>
                <c:pt idx="1101">
                  <c:v>6.4</c:v>
                </c:pt>
                <c:pt idx="1102">
                  <c:v>7.1</c:v>
                </c:pt>
                <c:pt idx="1103">
                  <c:v>4.9000000000000004</c:v>
                </c:pt>
                <c:pt idx="1104">
                  <c:v>5.8</c:v>
                </c:pt>
                <c:pt idx="1105">
                  <c:v>7.1</c:v>
                </c:pt>
                <c:pt idx="1106">
                  <c:v>7.2</c:v>
                </c:pt>
                <c:pt idx="1107">
                  <c:v>6</c:v>
                </c:pt>
                <c:pt idx="1108">
                  <c:v>6</c:v>
                </c:pt>
                <c:pt idx="1109">
                  <c:v>7</c:v>
                </c:pt>
                <c:pt idx="1110">
                  <c:v>5.4</c:v>
                </c:pt>
                <c:pt idx="1111">
                  <c:v>6.5</c:v>
                </c:pt>
                <c:pt idx="1112">
                  <c:v>6.4</c:v>
                </c:pt>
                <c:pt idx="1113">
                  <c:v>4.9000000000000004</c:v>
                </c:pt>
                <c:pt idx="1114">
                  <c:v>6.3</c:v>
                </c:pt>
                <c:pt idx="1115">
                  <c:v>1.7</c:v>
                </c:pt>
                <c:pt idx="1116">
                  <c:v>7.7</c:v>
                </c:pt>
                <c:pt idx="1117">
                  <c:v>7.8</c:v>
                </c:pt>
                <c:pt idx="1118">
                  <c:v>5.5</c:v>
                </c:pt>
                <c:pt idx="1119">
                  <c:v>7.5</c:v>
                </c:pt>
                <c:pt idx="1120">
                  <c:v>6.4</c:v>
                </c:pt>
                <c:pt idx="1121">
                  <c:v>5.6</c:v>
                </c:pt>
                <c:pt idx="1122">
                  <c:v>7.5</c:v>
                </c:pt>
                <c:pt idx="1123">
                  <c:v>6.8</c:v>
                </c:pt>
                <c:pt idx="1124">
                  <c:v>6.8</c:v>
                </c:pt>
                <c:pt idx="1125">
                  <c:v>6</c:v>
                </c:pt>
                <c:pt idx="1126">
                  <c:v>7.3</c:v>
                </c:pt>
                <c:pt idx="1127">
                  <c:v>6</c:v>
                </c:pt>
                <c:pt idx="1128">
                  <c:v>7</c:v>
                </c:pt>
                <c:pt idx="1129">
                  <c:v>5.0999999999999996</c:v>
                </c:pt>
                <c:pt idx="1130">
                  <c:v>6.8</c:v>
                </c:pt>
                <c:pt idx="1131">
                  <c:v>6.5</c:v>
                </c:pt>
                <c:pt idx="1132">
                  <c:v>6.6</c:v>
                </c:pt>
                <c:pt idx="1133">
                  <c:v>7.2</c:v>
                </c:pt>
                <c:pt idx="1134">
                  <c:v>7</c:v>
                </c:pt>
                <c:pt idx="1135">
                  <c:v>7</c:v>
                </c:pt>
                <c:pt idx="1136">
                  <c:v>5.9</c:v>
                </c:pt>
                <c:pt idx="1137">
                  <c:v>5.4</c:v>
                </c:pt>
                <c:pt idx="1138">
                  <c:v>6.6</c:v>
                </c:pt>
                <c:pt idx="1139">
                  <c:v>7</c:v>
                </c:pt>
                <c:pt idx="1140">
                  <c:v>6.5</c:v>
                </c:pt>
                <c:pt idx="1141">
                  <c:v>6.3</c:v>
                </c:pt>
                <c:pt idx="1142">
                  <c:v>6.5</c:v>
                </c:pt>
                <c:pt idx="1143">
                  <c:v>6.5</c:v>
                </c:pt>
                <c:pt idx="1144">
                  <c:v>5.8</c:v>
                </c:pt>
                <c:pt idx="1145">
                  <c:v>6.6</c:v>
                </c:pt>
                <c:pt idx="1146">
                  <c:v>5.4</c:v>
                </c:pt>
                <c:pt idx="1147">
                  <c:v>6.1</c:v>
                </c:pt>
                <c:pt idx="1148">
                  <c:v>4</c:v>
                </c:pt>
                <c:pt idx="1149">
                  <c:v>7.6</c:v>
                </c:pt>
                <c:pt idx="1150">
                  <c:v>7.9</c:v>
                </c:pt>
                <c:pt idx="1151">
                  <c:v>5.3</c:v>
                </c:pt>
                <c:pt idx="1152">
                  <c:v>6.6</c:v>
                </c:pt>
                <c:pt idx="1153">
                  <c:v>6.3</c:v>
                </c:pt>
                <c:pt idx="1154">
                  <c:v>7.2</c:v>
                </c:pt>
                <c:pt idx="1155">
                  <c:v>7</c:v>
                </c:pt>
                <c:pt idx="1156">
                  <c:v>4.9000000000000004</c:v>
                </c:pt>
                <c:pt idx="1157">
                  <c:v>6.9</c:v>
                </c:pt>
                <c:pt idx="1158">
                  <c:v>5.2</c:v>
                </c:pt>
                <c:pt idx="1159">
                  <c:v>8.1</c:v>
                </c:pt>
                <c:pt idx="1160">
                  <c:v>6.6</c:v>
                </c:pt>
                <c:pt idx="1161">
                  <c:v>6.2</c:v>
                </c:pt>
                <c:pt idx="1162">
                  <c:v>7.2</c:v>
                </c:pt>
                <c:pt idx="1163">
                  <c:v>7.3</c:v>
                </c:pt>
                <c:pt idx="1164">
                  <c:v>6.7</c:v>
                </c:pt>
                <c:pt idx="1165">
                  <c:v>6.4</c:v>
                </c:pt>
                <c:pt idx="1166">
                  <c:v>7.8</c:v>
                </c:pt>
                <c:pt idx="1167">
                  <c:v>6.4</c:v>
                </c:pt>
                <c:pt idx="1168">
                  <c:v>4.0999999999999996</c:v>
                </c:pt>
                <c:pt idx="1169">
                  <c:v>4.0999999999999996</c:v>
                </c:pt>
                <c:pt idx="1170">
                  <c:v>7.4</c:v>
                </c:pt>
                <c:pt idx="1171">
                  <c:v>5.8</c:v>
                </c:pt>
                <c:pt idx="1172">
                  <c:v>7.6</c:v>
                </c:pt>
                <c:pt idx="1173">
                  <c:v>7.2</c:v>
                </c:pt>
                <c:pt idx="1174">
                  <c:v>7.8</c:v>
                </c:pt>
                <c:pt idx="1175">
                  <c:v>7.7</c:v>
                </c:pt>
                <c:pt idx="1176">
                  <c:v>6.4</c:v>
                </c:pt>
                <c:pt idx="1177">
                  <c:v>5.0999999999999996</c:v>
                </c:pt>
                <c:pt idx="1178">
                  <c:v>5.5</c:v>
                </c:pt>
                <c:pt idx="1179">
                  <c:v>7.4</c:v>
                </c:pt>
                <c:pt idx="1180">
                  <c:v>6</c:v>
                </c:pt>
                <c:pt idx="1181">
                  <c:v>7.5</c:v>
                </c:pt>
                <c:pt idx="1182">
                  <c:v>7</c:v>
                </c:pt>
                <c:pt idx="1183">
                  <c:v>7.5</c:v>
                </c:pt>
                <c:pt idx="1184">
                  <c:v>7.3</c:v>
                </c:pt>
                <c:pt idx="1185">
                  <c:v>5.7</c:v>
                </c:pt>
                <c:pt idx="1186">
                  <c:v>7.3</c:v>
                </c:pt>
                <c:pt idx="1187">
                  <c:v>7.2</c:v>
                </c:pt>
                <c:pt idx="1188">
                  <c:v>5.9</c:v>
                </c:pt>
                <c:pt idx="1189">
                  <c:v>7.8</c:v>
                </c:pt>
                <c:pt idx="1190">
                  <c:v>7.7</c:v>
                </c:pt>
                <c:pt idx="1191">
                  <c:v>8.1</c:v>
                </c:pt>
                <c:pt idx="1192">
                  <c:v>6.6</c:v>
                </c:pt>
                <c:pt idx="1193">
                  <c:v>7.1</c:v>
                </c:pt>
                <c:pt idx="1194">
                  <c:v>5.9</c:v>
                </c:pt>
                <c:pt idx="1195">
                  <c:v>8</c:v>
                </c:pt>
                <c:pt idx="1196">
                  <c:v>4.5999999999999996</c:v>
                </c:pt>
                <c:pt idx="1197">
                  <c:v>6.1</c:v>
                </c:pt>
                <c:pt idx="1198">
                  <c:v>7.2</c:v>
                </c:pt>
                <c:pt idx="1199">
                  <c:v>6.4</c:v>
                </c:pt>
                <c:pt idx="1200">
                  <c:v>6</c:v>
                </c:pt>
                <c:pt idx="1201">
                  <c:v>5.2</c:v>
                </c:pt>
                <c:pt idx="1202">
                  <c:v>7.6</c:v>
                </c:pt>
                <c:pt idx="1203">
                  <c:v>6.4</c:v>
                </c:pt>
                <c:pt idx="1204">
                  <c:v>6.4</c:v>
                </c:pt>
                <c:pt idx="1205">
                  <c:v>6.1</c:v>
                </c:pt>
                <c:pt idx="1206">
                  <c:v>6.1</c:v>
                </c:pt>
                <c:pt idx="1207">
                  <c:v>5.2</c:v>
                </c:pt>
                <c:pt idx="1208">
                  <c:v>7.7</c:v>
                </c:pt>
                <c:pt idx="1209">
                  <c:v>7.3</c:v>
                </c:pt>
                <c:pt idx="1210">
                  <c:v>6.9</c:v>
                </c:pt>
                <c:pt idx="1211">
                  <c:v>8.5</c:v>
                </c:pt>
                <c:pt idx="1212">
                  <c:v>6.3</c:v>
                </c:pt>
                <c:pt idx="1213">
                  <c:v>5.9</c:v>
                </c:pt>
                <c:pt idx="1214">
                  <c:v>7.8</c:v>
                </c:pt>
                <c:pt idx="1215">
                  <c:v>6.7</c:v>
                </c:pt>
                <c:pt idx="1216">
                  <c:v>6.4</c:v>
                </c:pt>
                <c:pt idx="1217">
                  <c:v>5.9</c:v>
                </c:pt>
                <c:pt idx="1218">
                  <c:v>6.6</c:v>
                </c:pt>
                <c:pt idx="1219">
                  <c:v>6.8</c:v>
                </c:pt>
                <c:pt idx="1220">
                  <c:v>6.5</c:v>
                </c:pt>
                <c:pt idx="1221">
                  <c:v>6.6</c:v>
                </c:pt>
                <c:pt idx="1222">
                  <c:v>5.8</c:v>
                </c:pt>
                <c:pt idx="1223">
                  <c:v>6.9</c:v>
                </c:pt>
                <c:pt idx="1224">
                  <c:v>7.1</c:v>
                </c:pt>
                <c:pt idx="1225">
                  <c:v>5.8</c:v>
                </c:pt>
                <c:pt idx="1226">
                  <c:v>7.2</c:v>
                </c:pt>
                <c:pt idx="1227">
                  <c:v>6</c:v>
                </c:pt>
                <c:pt idx="1228">
                  <c:v>4.7</c:v>
                </c:pt>
                <c:pt idx="1229">
                  <c:v>5.2</c:v>
                </c:pt>
                <c:pt idx="1230">
                  <c:v>5.5</c:v>
                </c:pt>
                <c:pt idx="1231">
                  <c:v>6.5</c:v>
                </c:pt>
                <c:pt idx="1232">
                  <c:v>7</c:v>
                </c:pt>
                <c:pt idx="1233">
                  <c:v>5.8</c:v>
                </c:pt>
                <c:pt idx="1234">
                  <c:v>6.2</c:v>
                </c:pt>
                <c:pt idx="1235">
                  <c:v>6.5</c:v>
                </c:pt>
                <c:pt idx="1236">
                  <c:v>7.2</c:v>
                </c:pt>
                <c:pt idx="1237">
                  <c:v>5.0999999999999996</c:v>
                </c:pt>
                <c:pt idx="1238">
                  <c:v>4.7</c:v>
                </c:pt>
                <c:pt idx="1239">
                  <c:v>5.9</c:v>
                </c:pt>
                <c:pt idx="1240">
                  <c:v>5.8</c:v>
                </c:pt>
                <c:pt idx="1241">
                  <c:v>7.2</c:v>
                </c:pt>
                <c:pt idx="1242">
                  <c:v>6.2</c:v>
                </c:pt>
                <c:pt idx="1243">
                  <c:v>5.7</c:v>
                </c:pt>
                <c:pt idx="1244">
                  <c:v>6.1</c:v>
                </c:pt>
                <c:pt idx="1245">
                  <c:v>6</c:v>
                </c:pt>
                <c:pt idx="1246">
                  <c:v>6.9</c:v>
                </c:pt>
                <c:pt idx="1247">
                  <c:v>6.5</c:v>
                </c:pt>
                <c:pt idx="1248">
                  <c:v>5</c:v>
                </c:pt>
                <c:pt idx="1249">
                  <c:v>5.7</c:v>
                </c:pt>
                <c:pt idx="1250">
                  <c:v>7</c:v>
                </c:pt>
                <c:pt idx="1251">
                  <c:v>5.0999999999999996</c:v>
                </c:pt>
                <c:pt idx="1252">
                  <c:v>5.3</c:v>
                </c:pt>
                <c:pt idx="1253">
                  <c:v>4.4000000000000004</c:v>
                </c:pt>
                <c:pt idx="1254">
                  <c:v>4.7</c:v>
                </c:pt>
                <c:pt idx="1255">
                  <c:v>6.7</c:v>
                </c:pt>
                <c:pt idx="1256">
                  <c:v>6.7</c:v>
                </c:pt>
                <c:pt idx="1257">
                  <c:v>5.7</c:v>
                </c:pt>
                <c:pt idx="1258">
                  <c:v>7.4</c:v>
                </c:pt>
                <c:pt idx="1259">
                  <c:v>6.1</c:v>
                </c:pt>
                <c:pt idx="1260">
                  <c:v>6.4</c:v>
                </c:pt>
                <c:pt idx="1261">
                  <c:v>6.2</c:v>
                </c:pt>
                <c:pt idx="1262">
                  <c:v>6.2</c:v>
                </c:pt>
                <c:pt idx="1263">
                  <c:v>5.9</c:v>
                </c:pt>
                <c:pt idx="1264">
                  <c:v>4</c:v>
                </c:pt>
                <c:pt idx="1265">
                  <c:v>6.2</c:v>
                </c:pt>
                <c:pt idx="1266">
                  <c:v>4.5999999999999996</c:v>
                </c:pt>
                <c:pt idx="1267">
                  <c:v>6.4</c:v>
                </c:pt>
                <c:pt idx="1268">
                  <c:v>5.9</c:v>
                </c:pt>
                <c:pt idx="1269">
                  <c:v>5.0999999999999996</c:v>
                </c:pt>
                <c:pt idx="1270">
                  <c:v>7.6</c:v>
                </c:pt>
                <c:pt idx="1271">
                  <c:v>4.2</c:v>
                </c:pt>
                <c:pt idx="1272">
                  <c:v>7.8</c:v>
                </c:pt>
                <c:pt idx="1273">
                  <c:v>5.8</c:v>
                </c:pt>
                <c:pt idx="1274">
                  <c:v>5.9</c:v>
                </c:pt>
                <c:pt idx="1275">
                  <c:v>8.4</c:v>
                </c:pt>
                <c:pt idx="1276">
                  <c:v>4.8</c:v>
                </c:pt>
                <c:pt idx="1277">
                  <c:v>6.2</c:v>
                </c:pt>
                <c:pt idx="1278">
                  <c:v>6.5</c:v>
                </c:pt>
                <c:pt idx="1279">
                  <c:v>6.3</c:v>
                </c:pt>
                <c:pt idx="1280">
                  <c:v>3.3</c:v>
                </c:pt>
                <c:pt idx="1281">
                  <c:v>5.9</c:v>
                </c:pt>
                <c:pt idx="1282">
                  <c:v>6</c:v>
                </c:pt>
                <c:pt idx="1283">
                  <c:v>5.8</c:v>
                </c:pt>
                <c:pt idx="1284">
                  <c:v>6.5</c:v>
                </c:pt>
                <c:pt idx="1285">
                  <c:v>4.7</c:v>
                </c:pt>
                <c:pt idx="1286">
                  <c:v>4.0999999999999996</c:v>
                </c:pt>
                <c:pt idx="1287">
                  <c:v>6.8</c:v>
                </c:pt>
                <c:pt idx="1288">
                  <c:v>6.2</c:v>
                </c:pt>
                <c:pt idx="1289">
                  <c:v>4.5</c:v>
                </c:pt>
                <c:pt idx="1290">
                  <c:v>5.8</c:v>
                </c:pt>
                <c:pt idx="1291">
                  <c:v>7.3</c:v>
                </c:pt>
                <c:pt idx="1292">
                  <c:v>5.9</c:v>
                </c:pt>
                <c:pt idx="1293">
                  <c:v>4.4000000000000004</c:v>
                </c:pt>
                <c:pt idx="1294">
                  <c:v>5.8</c:v>
                </c:pt>
                <c:pt idx="1295">
                  <c:v>5.0999999999999996</c:v>
                </c:pt>
                <c:pt idx="1296">
                  <c:v>6.9</c:v>
                </c:pt>
                <c:pt idx="1297">
                  <c:v>6.2</c:v>
                </c:pt>
                <c:pt idx="1298">
                  <c:v>6.9</c:v>
                </c:pt>
                <c:pt idx="1299">
                  <c:v>7.3</c:v>
                </c:pt>
                <c:pt idx="1300">
                  <c:v>7.1</c:v>
                </c:pt>
                <c:pt idx="1301">
                  <c:v>6</c:v>
                </c:pt>
                <c:pt idx="1302">
                  <c:v>7</c:v>
                </c:pt>
                <c:pt idx="1303">
                  <c:v>6.8</c:v>
                </c:pt>
                <c:pt idx="1304">
                  <c:v>5.7</c:v>
                </c:pt>
                <c:pt idx="1305">
                  <c:v>7.6</c:v>
                </c:pt>
                <c:pt idx="1306">
                  <c:v>8.4</c:v>
                </c:pt>
                <c:pt idx="1307">
                  <c:v>7.1</c:v>
                </c:pt>
                <c:pt idx="1308">
                  <c:v>5.6</c:v>
                </c:pt>
                <c:pt idx="1309">
                  <c:v>6.7</c:v>
                </c:pt>
                <c:pt idx="1310">
                  <c:v>7</c:v>
                </c:pt>
                <c:pt idx="1311">
                  <c:v>8</c:v>
                </c:pt>
                <c:pt idx="1312">
                  <c:v>5.3</c:v>
                </c:pt>
                <c:pt idx="1313">
                  <c:v>4.9000000000000004</c:v>
                </c:pt>
                <c:pt idx="1314">
                  <c:v>6.4</c:v>
                </c:pt>
                <c:pt idx="1315">
                  <c:v>7.4</c:v>
                </c:pt>
                <c:pt idx="1316">
                  <c:v>6.1</c:v>
                </c:pt>
                <c:pt idx="1317">
                  <c:v>6.5</c:v>
                </c:pt>
                <c:pt idx="1318">
                  <c:v>5.7</c:v>
                </c:pt>
                <c:pt idx="1319">
                  <c:v>5.0999999999999996</c:v>
                </c:pt>
                <c:pt idx="1320">
                  <c:v>6.6</c:v>
                </c:pt>
                <c:pt idx="1321">
                  <c:v>6.5</c:v>
                </c:pt>
                <c:pt idx="1322">
                  <c:v>6.9</c:v>
                </c:pt>
                <c:pt idx="1323">
                  <c:v>6.4</c:v>
                </c:pt>
                <c:pt idx="1324">
                  <c:v>7.6</c:v>
                </c:pt>
                <c:pt idx="1325">
                  <c:v>5.6</c:v>
                </c:pt>
                <c:pt idx="1326">
                  <c:v>6.2</c:v>
                </c:pt>
                <c:pt idx="1327">
                  <c:v>4.4000000000000004</c:v>
                </c:pt>
                <c:pt idx="1328">
                  <c:v>5.6</c:v>
                </c:pt>
                <c:pt idx="1329">
                  <c:v>5.5</c:v>
                </c:pt>
                <c:pt idx="1330">
                  <c:v>6.7</c:v>
                </c:pt>
                <c:pt idx="1331">
                  <c:v>6.1</c:v>
                </c:pt>
                <c:pt idx="1332">
                  <c:v>6.2</c:v>
                </c:pt>
                <c:pt idx="1333">
                  <c:v>7.3</c:v>
                </c:pt>
                <c:pt idx="1334">
                  <c:v>6.6</c:v>
                </c:pt>
                <c:pt idx="1335">
                  <c:v>8.1999999999999993</c:v>
                </c:pt>
                <c:pt idx="1336">
                  <c:v>6.4</c:v>
                </c:pt>
                <c:pt idx="1337">
                  <c:v>6.4</c:v>
                </c:pt>
                <c:pt idx="1338">
                  <c:v>5.2</c:v>
                </c:pt>
                <c:pt idx="1339">
                  <c:v>6.5</c:v>
                </c:pt>
                <c:pt idx="1340">
                  <c:v>7.1</c:v>
                </c:pt>
                <c:pt idx="1341">
                  <c:v>4.8</c:v>
                </c:pt>
                <c:pt idx="1342">
                  <c:v>7.3</c:v>
                </c:pt>
                <c:pt idx="1343">
                  <c:v>5.2</c:v>
                </c:pt>
                <c:pt idx="1344">
                  <c:v>7.7</c:v>
                </c:pt>
                <c:pt idx="1345">
                  <c:v>7.6</c:v>
                </c:pt>
                <c:pt idx="1346">
                  <c:v>5.7</c:v>
                </c:pt>
                <c:pt idx="1347">
                  <c:v>7</c:v>
                </c:pt>
                <c:pt idx="1348">
                  <c:v>6</c:v>
                </c:pt>
                <c:pt idx="1349">
                  <c:v>8.1</c:v>
                </c:pt>
                <c:pt idx="1350">
                  <c:v>8</c:v>
                </c:pt>
                <c:pt idx="1351">
                  <c:v>5.6</c:v>
                </c:pt>
                <c:pt idx="1352">
                  <c:v>6.1</c:v>
                </c:pt>
                <c:pt idx="1353">
                  <c:v>6.9</c:v>
                </c:pt>
                <c:pt idx="1354">
                  <c:v>5.2</c:v>
                </c:pt>
                <c:pt idx="1355">
                  <c:v>7</c:v>
                </c:pt>
                <c:pt idx="1356">
                  <c:v>6.3</c:v>
                </c:pt>
                <c:pt idx="1357">
                  <c:v>7</c:v>
                </c:pt>
                <c:pt idx="1358">
                  <c:v>5.3</c:v>
                </c:pt>
                <c:pt idx="1359">
                  <c:v>6.9</c:v>
                </c:pt>
                <c:pt idx="1360">
                  <c:v>6.2</c:v>
                </c:pt>
                <c:pt idx="1361">
                  <c:v>6.4</c:v>
                </c:pt>
                <c:pt idx="1362">
                  <c:v>6.4</c:v>
                </c:pt>
                <c:pt idx="1363">
                  <c:v>5.7</c:v>
                </c:pt>
                <c:pt idx="1364">
                  <c:v>6.1</c:v>
                </c:pt>
                <c:pt idx="1365">
                  <c:v>5.4</c:v>
                </c:pt>
                <c:pt idx="1366">
                  <c:v>6.7</c:v>
                </c:pt>
                <c:pt idx="1367">
                  <c:v>6.8</c:v>
                </c:pt>
                <c:pt idx="1368">
                  <c:v>6</c:v>
                </c:pt>
                <c:pt idx="1369">
                  <c:v>7.8</c:v>
                </c:pt>
                <c:pt idx="1370">
                  <c:v>5.3</c:v>
                </c:pt>
                <c:pt idx="1371">
                  <c:v>4.5</c:v>
                </c:pt>
                <c:pt idx="1372">
                  <c:v>5.4</c:v>
                </c:pt>
                <c:pt idx="1373">
                  <c:v>7.8</c:v>
                </c:pt>
                <c:pt idx="1374">
                  <c:v>7.2</c:v>
                </c:pt>
                <c:pt idx="1375">
                  <c:v>6.6</c:v>
                </c:pt>
                <c:pt idx="1376">
                  <c:v>7.6</c:v>
                </c:pt>
                <c:pt idx="1377">
                  <c:v>5.9</c:v>
                </c:pt>
                <c:pt idx="1378">
                  <c:v>6.7</c:v>
                </c:pt>
                <c:pt idx="1379">
                  <c:v>7.7</c:v>
                </c:pt>
                <c:pt idx="1380">
                  <c:v>5.4</c:v>
                </c:pt>
                <c:pt idx="1381">
                  <c:v>6.9</c:v>
                </c:pt>
                <c:pt idx="1382">
                  <c:v>7.7</c:v>
                </c:pt>
                <c:pt idx="1383">
                  <c:v>6.8</c:v>
                </c:pt>
                <c:pt idx="1384">
                  <c:v>6.4</c:v>
                </c:pt>
                <c:pt idx="1385">
                  <c:v>5.7</c:v>
                </c:pt>
                <c:pt idx="1386">
                  <c:v>7.3</c:v>
                </c:pt>
                <c:pt idx="1387">
                  <c:v>6.8</c:v>
                </c:pt>
                <c:pt idx="1388">
                  <c:v>6.3</c:v>
                </c:pt>
                <c:pt idx="1389">
                  <c:v>5.9</c:v>
                </c:pt>
                <c:pt idx="1390">
                  <c:v>7.4</c:v>
                </c:pt>
                <c:pt idx="1391">
                  <c:v>8.3000000000000007</c:v>
                </c:pt>
                <c:pt idx="1392">
                  <c:v>6.2</c:v>
                </c:pt>
                <c:pt idx="1393">
                  <c:v>6.3</c:v>
                </c:pt>
                <c:pt idx="1394">
                  <c:v>5.8</c:v>
                </c:pt>
                <c:pt idx="1395">
                  <c:v>7.5</c:v>
                </c:pt>
                <c:pt idx="1396">
                  <c:v>6.3</c:v>
                </c:pt>
                <c:pt idx="1397">
                  <c:v>6.4</c:v>
                </c:pt>
                <c:pt idx="1398">
                  <c:v>7.2</c:v>
                </c:pt>
                <c:pt idx="1399">
                  <c:v>6.3</c:v>
                </c:pt>
                <c:pt idx="1400">
                  <c:v>6.9</c:v>
                </c:pt>
                <c:pt idx="1401">
                  <c:v>6.6</c:v>
                </c:pt>
                <c:pt idx="1402">
                  <c:v>6</c:v>
                </c:pt>
                <c:pt idx="1403">
                  <c:v>7.5</c:v>
                </c:pt>
                <c:pt idx="1404">
                  <c:v>7.7</c:v>
                </c:pt>
                <c:pt idx="1405">
                  <c:v>6.2</c:v>
                </c:pt>
                <c:pt idx="1406">
                  <c:v>5.4</c:v>
                </c:pt>
                <c:pt idx="1407">
                  <c:v>6.6</c:v>
                </c:pt>
                <c:pt idx="1408">
                  <c:v>5.3</c:v>
                </c:pt>
                <c:pt idx="1409">
                  <c:v>5.6</c:v>
                </c:pt>
                <c:pt idx="1410">
                  <c:v>5.9</c:v>
                </c:pt>
                <c:pt idx="1411">
                  <c:v>7.8</c:v>
                </c:pt>
                <c:pt idx="1412">
                  <c:v>6.7</c:v>
                </c:pt>
                <c:pt idx="1413">
                  <c:v>7.4</c:v>
                </c:pt>
                <c:pt idx="1414">
                  <c:v>6.2</c:v>
                </c:pt>
                <c:pt idx="1415">
                  <c:v>5.4</c:v>
                </c:pt>
                <c:pt idx="1416">
                  <c:v>6.7</c:v>
                </c:pt>
                <c:pt idx="1417">
                  <c:v>5.3</c:v>
                </c:pt>
                <c:pt idx="1418">
                  <c:v>5.9</c:v>
                </c:pt>
                <c:pt idx="1419">
                  <c:v>4.8</c:v>
                </c:pt>
                <c:pt idx="1420">
                  <c:v>7.3</c:v>
                </c:pt>
                <c:pt idx="1421">
                  <c:v>3.8</c:v>
                </c:pt>
                <c:pt idx="1422">
                  <c:v>8.5</c:v>
                </c:pt>
                <c:pt idx="1423">
                  <c:v>6.8</c:v>
                </c:pt>
                <c:pt idx="1424">
                  <c:v>6.8</c:v>
                </c:pt>
                <c:pt idx="1425">
                  <c:v>5.3</c:v>
                </c:pt>
                <c:pt idx="1426">
                  <c:v>7.3</c:v>
                </c:pt>
                <c:pt idx="1427">
                  <c:v>6.6</c:v>
                </c:pt>
                <c:pt idx="1428">
                  <c:v>6.2</c:v>
                </c:pt>
                <c:pt idx="1429">
                  <c:v>5.2</c:v>
                </c:pt>
                <c:pt idx="1430">
                  <c:v>6.2</c:v>
                </c:pt>
                <c:pt idx="1431">
                  <c:v>6.2</c:v>
                </c:pt>
                <c:pt idx="1432">
                  <c:v>6.6</c:v>
                </c:pt>
                <c:pt idx="1433">
                  <c:v>6.4</c:v>
                </c:pt>
                <c:pt idx="1434">
                  <c:v>6.2</c:v>
                </c:pt>
                <c:pt idx="1435">
                  <c:v>5.0999999999999996</c:v>
                </c:pt>
                <c:pt idx="1436">
                  <c:v>6.6</c:v>
                </c:pt>
                <c:pt idx="1437">
                  <c:v>6.1</c:v>
                </c:pt>
                <c:pt idx="1438">
                  <c:v>6.1</c:v>
                </c:pt>
                <c:pt idx="1439">
                  <c:v>6.6</c:v>
                </c:pt>
                <c:pt idx="1440">
                  <c:v>5.9</c:v>
                </c:pt>
                <c:pt idx="1441">
                  <c:v>6.3</c:v>
                </c:pt>
                <c:pt idx="1442">
                  <c:v>7.1</c:v>
                </c:pt>
                <c:pt idx="1443">
                  <c:v>5</c:v>
                </c:pt>
                <c:pt idx="1444">
                  <c:v>5.6</c:v>
                </c:pt>
                <c:pt idx="1445">
                  <c:v>7.4</c:v>
                </c:pt>
                <c:pt idx="1446">
                  <c:v>4.5</c:v>
                </c:pt>
                <c:pt idx="1447">
                  <c:v>6.2</c:v>
                </c:pt>
                <c:pt idx="1448">
                  <c:v>5</c:v>
                </c:pt>
                <c:pt idx="1449">
                  <c:v>6.5</c:v>
                </c:pt>
                <c:pt idx="1450">
                  <c:v>5.0999999999999996</c:v>
                </c:pt>
                <c:pt idx="1451">
                  <c:v>6.5</c:v>
                </c:pt>
                <c:pt idx="1452">
                  <c:v>6.2</c:v>
                </c:pt>
                <c:pt idx="1453">
                  <c:v>6.3</c:v>
                </c:pt>
                <c:pt idx="1454">
                  <c:v>3.8</c:v>
                </c:pt>
                <c:pt idx="1455">
                  <c:v>5.2</c:v>
                </c:pt>
                <c:pt idx="1456">
                  <c:v>6</c:v>
                </c:pt>
                <c:pt idx="1457">
                  <c:v>6.2</c:v>
                </c:pt>
                <c:pt idx="1458">
                  <c:v>5.7</c:v>
                </c:pt>
                <c:pt idx="1459">
                  <c:v>6.7</c:v>
                </c:pt>
                <c:pt idx="1460">
                  <c:v>6.8</c:v>
                </c:pt>
                <c:pt idx="1461">
                  <c:v>6</c:v>
                </c:pt>
                <c:pt idx="1462">
                  <c:v>7.3</c:v>
                </c:pt>
                <c:pt idx="1463">
                  <c:v>5.5</c:v>
                </c:pt>
                <c:pt idx="1464">
                  <c:v>6.7</c:v>
                </c:pt>
                <c:pt idx="1465">
                  <c:v>4.8</c:v>
                </c:pt>
                <c:pt idx="1466">
                  <c:v>5.7</c:v>
                </c:pt>
                <c:pt idx="1467">
                  <c:v>5.0999999999999996</c:v>
                </c:pt>
                <c:pt idx="1468">
                  <c:v>6</c:v>
                </c:pt>
                <c:pt idx="1469">
                  <c:v>4.2</c:v>
                </c:pt>
                <c:pt idx="1470">
                  <c:v>7.4</c:v>
                </c:pt>
                <c:pt idx="1471">
                  <c:v>4.5999999999999996</c:v>
                </c:pt>
                <c:pt idx="1472">
                  <c:v>6.9</c:v>
                </c:pt>
                <c:pt idx="1473">
                  <c:v>6.9</c:v>
                </c:pt>
                <c:pt idx="1474">
                  <c:v>8</c:v>
                </c:pt>
                <c:pt idx="1475">
                  <c:v>6.4</c:v>
                </c:pt>
                <c:pt idx="1476">
                  <c:v>6.3</c:v>
                </c:pt>
                <c:pt idx="1477">
                  <c:v>8.4</c:v>
                </c:pt>
                <c:pt idx="1478">
                  <c:v>7.1</c:v>
                </c:pt>
                <c:pt idx="1479">
                  <c:v>6.8</c:v>
                </c:pt>
                <c:pt idx="1480">
                  <c:v>7.5</c:v>
                </c:pt>
                <c:pt idx="1481">
                  <c:v>4.5</c:v>
                </c:pt>
                <c:pt idx="1482">
                  <c:v>5.7</c:v>
                </c:pt>
                <c:pt idx="1483">
                  <c:v>7.2</c:v>
                </c:pt>
                <c:pt idx="1484">
                  <c:v>6.8</c:v>
                </c:pt>
                <c:pt idx="1485">
                  <c:v>5.4</c:v>
                </c:pt>
                <c:pt idx="1486">
                  <c:v>7.2</c:v>
                </c:pt>
                <c:pt idx="1487">
                  <c:v>7.3</c:v>
                </c:pt>
                <c:pt idx="1488">
                  <c:v>5.2</c:v>
                </c:pt>
                <c:pt idx="1489">
                  <c:v>5.5</c:v>
                </c:pt>
                <c:pt idx="1490">
                  <c:v>7.7</c:v>
                </c:pt>
                <c:pt idx="1491">
                  <c:v>7.1</c:v>
                </c:pt>
                <c:pt idx="1492">
                  <c:v>5.3</c:v>
                </c:pt>
                <c:pt idx="1493">
                  <c:v>5.6</c:v>
                </c:pt>
                <c:pt idx="1494">
                  <c:v>5.7</c:v>
                </c:pt>
                <c:pt idx="1495">
                  <c:v>7.1</c:v>
                </c:pt>
                <c:pt idx="1496">
                  <c:v>7.5</c:v>
                </c:pt>
                <c:pt idx="1497">
                  <c:v>7.6</c:v>
                </c:pt>
                <c:pt idx="1498">
                  <c:v>5.5</c:v>
                </c:pt>
                <c:pt idx="1499">
                  <c:v>5.0999999999999996</c:v>
                </c:pt>
                <c:pt idx="1500">
                  <c:v>6.3</c:v>
                </c:pt>
                <c:pt idx="1501">
                  <c:v>4.9000000000000004</c:v>
                </c:pt>
                <c:pt idx="1502">
                  <c:v>6.5</c:v>
                </c:pt>
                <c:pt idx="1503">
                  <c:v>5.6</c:v>
                </c:pt>
                <c:pt idx="1504">
                  <c:v>5.3</c:v>
                </c:pt>
                <c:pt idx="1505">
                  <c:v>6.5</c:v>
                </c:pt>
                <c:pt idx="1506">
                  <c:v>6.8</c:v>
                </c:pt>
                <c:pt idx="1507">
                  <c:v>6.5</c:v>
                </c:pt>
                <c:pt idx="1508">
                  <c:v>6</c:v>
                </c:pt>
                <c:pt idx="1509">
                  <c:v>8.4</c:v>
                </c:pt>
                <c:pt idx="1510">
                  <c:v>6</c:v>
                </c:pt>
                <c:pt idx="1511">
                  <c:v>7.6</c:v>
                </c:pt>
                <c:pt idx="1512">
                  <c:v>5.6</c:v>
                </c:pt>
                <c:pt idx="1513">
                  <c:v>6.9</c:v>
                </c:pt>
                <c:pt idx="1514">
                  <c:v>6.4</c:v>
                </c:pt>
                <c:pt idx="1515">
                  <c:v>5.0999999999999996</c:v>
                </c:pt>
                <c:pt idx="1516">
                  <c:v>7</c:v>
                </c:pt>
                <c:pt idx="1517">
                  <c:v>5.7</c:v>
                </c:pt>
                <c:pt idx="1518">
                  <c:v>6.8</c:v>
                </c:pt>
                <c:pt idx="1519">
                  <c:v>6.7</c:v>
                </c:pt>
                <c:pt idx="1520">
                  <c:v>6.2</c:v>
                </c:pt>
                <c:pt idx="1521">
                  <c:v>7.2</c:v>
                </c:pt>
                <c:pt idx="1522">
                  <c:v>6.2</c:v>
                </c:pt>
                <c:pt idx="1523">
                  <c:v>5.6</c:v>
                </c:pt>
                <c:pt idx="1524">
                  <c:v>4.4000000000000004</c:v>
                </c:pt>
                <c:pt idx="1525">
                  <c:v>7.5</c:v>
                </c:pt>
                <c:pt idx="1526">
                  <c:v>7.1</c:v>
                </c:pt>
                <c:pt idx="1527">
                  <c:v>6.4</c:v>
                </c:pt>
                <c:pt idx="1528">
                  <c:v>7.1</c:v>
                </c:pt>
                <c:pt idx="1529">
                  <c:v>5.9</c:v>
                </c:pt>
                <c:pt idx="1530">
                  <c:v>6.9</c:v>
                </c:pt>
                <c:pt idx="1531">
                  <c:v>7.5</c:v>
                </c:pt>
                <c:pt idx="1532">
                  <c:v>6.3</c:v>
                </c:pt>
                <c:pt idx="1533">
                  <c:v>6.4</c:v>
                </c:pt>
                <c:pt idx="1534">
                  <c:v>5.9</c:v>
                </c:pt>
                <c:pt idx="1535">
                  <c:v>6.8</c:v>
                </c:pt>
                <c:pt idx="1536">
                  <c:v>6.3</c:v>
                </c:pt>
                <c:pt idx="1537">
                  <c:v>3.6</c:v>
                </c:pt>
                <c:pt idx="1538">
                  <c:v>5.3</c:v>
                </c:pt>
                <c:pt idx="1539">
                  <c:v>5.9</c:v>
                </c:pt>
                <c:pt idx="1540">
                  <c:v>6.9</c:v>
                </c:pt>
                <c:pt idx="1541">
                  <c:v>6.9</c:v>
                </c:pt>
                <c:pt idx="1542">
                  <c:v>6.1</c:v>
                </c:pt>
                <c:pt idx="1543">
                  <c:v>5.7</c:v>
                </c:pt>
                <c:pt idx="1544">
                  <c:v>8.5</c:v>
                </c:pt>
                <c:pt idx="1545">
                  <c:v>6.3</c:v>
                </c:pt>
                <c:pt idx="1546">
                  <c:v>7.3</c:v>
                </c:pt>
                <c:pt idx="1547">
                  <c:v>6.3</c:v>
                </c:pt>
                <c:pt idx="1548">
                  <c:v>7.2</c:v>
                </c:pt>
                <c:pt idx="1549">
                  <c:v>7.3</c:v>
                </c:pt>
                <c:pt idx="1550">
                  <c:v>6.3</c:v>
                </c:pt>
                <c:pt idx="1551">
                  <c:v>8.1</c:v>
                </c:pt>
                <c:pt idx="1552">
                  <c:v>6.9</c:v>
                </c:pt>
                <c:pt idx="1553">
                  <c:v>6.3</c:v>
                </c:pt>
                <c:pt idx="1554">
                  <c:v>7.3</c:v>
                </c:pt>
                <c:pt idx="1555">
                  <c:v>5.5</c:v>
                </c:pt>
                <c:pt idx="1556">
                  <c:v>6.1</c:v>
                </c:pt>
                <c:pt idx="1557">
                  <c:v>6.9</c:v>
                </c:pt>
                <c:pt idx="1558">
                  <c:v>7.2</c:v>
                </c:pt>
                <c:pt idx="1559">
                  <c:v>6.4</c:v>
                </c:pt>
                <c:pt idx="1560">
                  <c:v>6.4</c:v>
                </c:pt>
                <c:pt idx="1561">
                  <c:v>8.3000000000000007</c:v>
                </c:pt>
                <c:pt idx="1562">
                  <c:v>7.2</c:v>
                </c:pt>
                <c:pt idx="1563">
                  <c:v>6.8</c:v>
                </c:pt>
                <c:pt idx="1564">
                  <c:v>6.5</c:v>
                </c:pt>
                <c:pt idx="1565">
                  <c:v>7.8</c:v>
                </c:pt>
                <c:pt idx="1566">
                  <c:v>7.6</c:v>
                </c:pt>
                <c:pt idx="1567">
                  <c:v>7.2</c:v>
                </c:pt>
                <c:pt idx="1568">
                  <c:v>6.7</c:v>
                </c:pt>
                <c:pt idx="1569">
                  <c:v>6.8</c:v>
                </c:pt>
                <c:pt idx="1570">
                  <c:v>6.3</c:v>
                </c:pt>
                <c:pt idx="1571">
                  <c:v>6.2</c:v>
                </c:pt>
                <c:pt idx="1572">
                  <c:v>6.2</c:v>
                </c:pt>
                <c:pt idx="1573">
                  <c:v>8.6</c:v>
                </c:pt>
                <c:pt idx="1574">
                  <c:v>8</c:v>
                </c:pt>
                <c:pt idx="1575">
                  <c:v>7</c:v>
                </c:pt>
                <c:pt idx="1576">
                  <c:v>8</c:v>
                </c:pt>
                <c:pt idx="1577">
                  <c:v>8.1</c:v>
                </c:pt>
                <c:pt idx="1578">
                  <c:v>6.7</c:v>
                </c:pt>
                <c:pt idx="1579">
                  <c:v>7.9</c:v>
                </c:pt>
                <c:pt idx="1580">
                  <c:v>6.1</c:v>
                </c:pt>
                <c:pt idx="1581">
                  <c:v>4.2</c:v>
                </c:pt>
                <c:pt idx="1582">
                  <c:v>6.1</c:v>
                </c:pt>
                <c:pt idx="1583">
                  <c:v>6.6</c:v>
                </c:pt>
                <c:pt idx="1584">
                  <c:v>7.5</c:v>
                </c:pt>
                <c:pt idx="1585">
                  <c:v>7.4</c:v>
                </c:pt>
                <c:pt idx="1586">
                  <c:v>7.2</c:v>
                </c:pt>
                <c:pt idx="1587">
                  <c:v>6.9</c:v>
                </c:pt>
                <c:pt idx="1588">
                  <c:v>7.4</c:v>
                </c:pt>
                <c:pt idx="1589">
                  <c:v>5.4</c:v>
                </c:pt>
                <c:pt idx="1590">
                  <c:v>6.8</c:v>
                </c:pt>
                <c:pt idx="1591">
                  <c:v>6.3</c:v>
                </c:pt>
                <c:pt idx="1592">
                  <c:v>7.2</c:v>
                </c:pt>
                <c:pt idx="1593">
                  <c:v>6.9</c:v>
                </c:pt>
                <c:pt idx="1594">
                  <c:v>6</c:v>
                </c:pt>
                <c:pt idx="1595">
                  <c:v>5.9</c:v>
                </c:pt>
                <c:pt idx="1596">
                  <c:v>5.4</c:v>
                </c:pt>
                <c:pt idx="1597">
                  <c:v>5.9</c:v>
                </c:pt>
                <c:pt idx="1598">
                  <c:v>6.1</c:v>
                </c:pt>
                <c:pt idx="1599">
                  <c:v>7.7</c:v>
                </c:pt>
                <c:pt idx="1600">
                  <c:v>5.8</c:v>
                </c:pt>
                <c:pt idx="1601">
                  <c:v>7.6</c:v>
                </c:pt>
                <c:pt idx="1602">
                  <c:v>6.1</c:v>
                </c:pt>
                <c:pt idx="1603">
                  <c:v>5.4</c:v>
                </c:pt>
                <c:pt idx="1604">
                  <c:v>5.0999999999999996</c:v>
                </c:pt>
                <c:pt idx="1605">
                  <c:v>6.4</c:v>
                </c:pt>
                <c:pt idx="1606">
                  <c:v>6.3</c:v>
                </c:pt>
                <c:pt idx="1607">
                  <c:v>7.5</c:v>
                </c:pt>
                <c:pt idx="1608">
                  <c:v>7.1</c:v>
                </c:pt>
                <c:pt idx="1609">
                  <c:v>5.2</c:v>
                </c:pt>
                <c:pt idx="1610">
                  <c:v>7.8</c:v>
                </c:pt>
                <c:pt idx="1611">
                  <c:v>6.5</c:v>
                </c:pt>
                <c:pt idx="1612">
                  <c:v>6.6</c:v>
                </c:pt>
                <c:pt idx="1613">
                  <c:v>5.0999999999999996</c:v>
                </c:pt>
                <c:pt idx="1614">
                  <c:v>7.4</c:v>
                </c:pt>
                <c:pt idx="1615">
                  <c:v>7.2</c:v>
                </c:pt>
                <c:pt idx="1616">
                  <c:v>7.6</c:v>
                </c:pt>
                <c:pt idx="1617">
                  <c:v>7.5</c:v>
                </c:pt>
                <c:pt idx="1618">
                  <c:v>6.6</c:v>
                </c:pt>
                <c:pt idx="1619">
                  <c:v>7.2</c:v>
                </c:pt>
                <c:pt idx="1620">
                  <c:v>7.6</c:v>
                </c:pt>
                <c:pt idx="1621">
                  <c:v>6.2</c:v>
                </c:pt>
                <c:pt idx="1622">
                  <c:v>5.6</c:v>
                </c:pt>
                <c:pt idx="1623">
                  <c:v>7.6</c:v>
                </c:pt>
                <c:pt idx="1624">
                  <c:v>6.6</c:v>
                </c:pt>
                <c:pt idx="1625">
                  <c:v>7</c:v>
                </c:pt>
                <c:pt idx="1626">
                  <c:v>2.7</c:v>
                </c:pt>
                <c:pt idx="1627">
                  <c:v>7.6</c:v>
                </c:pt>
                <c:pt idx="1628">
                  <c:v>6.6</c:v>
                </c:pt>
                <c:pt idx="1629">
                  <c:v>6.9</c:v>
                </c:pt>
                <c:pt idx="1630">
                  <c:v>6.8</c:v>
                </c:pt>
                <c:pt idx="1631">
                  <c:v>3.7</c:v>
                </c:pt>
                <c:pt idx="1632">
                  <c:v>6.1</c:v>
                </c:pt>
                <c:pt idx="1633">
                  <c:v>5.9</c:v>
                </c:pt>
                <c:pt idx="1634">
                  <c:v>6.7</c:v>
                </c:pt>
                <c:pt idx="1635">
                  <c:v>6.9</c:v>
                </c:pt>
                <c:pt idx="1636">
                  <c:v>5.5</c:v>
                </c:pt>
                <c:pt idx="1637">
                  <c:v>7.1</c:v>
                </c:pt>
                <c:pt idx="1638">
                  <c:v>7.1</c:v>
                </c:pt>
                <c:pt idx="1639">
                  <c:v>5.9</c:v>
                </c:pt>
                <c:pt idx="1640">
                  <c:v>7.3</c:v>
                </c:pt>
                <c:pt idx="1641">
                  <c:v>3.4</c:v>
                </c:pt>
                <c:pt idx="1642">
                  <c:v>6.8</c:v>
                </c:pt>
                <c:pt idx="1643">
                  <c:v>6.9</c:v>
                </c:pt>
                <c:pt idx="1644">
                  <c:v>7</c:v>
                </c:pt>
                <c:pt idx="1645">
                  <c:v>5.5</c:v>
                </c:pt>
                <c:pt idx="1646">
                  <c:v>5.0999999999999996</c:v>
                </c:pt>
                <c:pt idx="1647">
                  <c:v>6.2</c:v>
                </c:pt>
                <c:pt idx="1648">
                  <c:v>5.9</c:v>
                </c:pt>
                <c:pt idx="1649">
                  <c:v>5.2</c:v>
                </c:pt>
                <c:pt idx="1650">
                  <c:v>6.2</c:v>
                </c:pt>
                <c:pt idx="1651">
                  <c:v>5.5</c:v>
                </c:pt>
                <c:pt idx="1652">
                  <c:v>7.4</c:v>
                </c:pt>
                <c:pt idx="1653">
                  <c:v>4.4000000000000004</c:v>
                </c:pt>
                <c:pt idx="1654">
                  <c:v>6.3</c:v>
                </c:pt>
                <c:pt idx="1655">
                  <c:v>6.1</c:v>
                </c:pt>
                <c:pt idx="1656">
                  <c:v>5.3</c:v>
                </c:pt>
                <c:pt idx="1657">
                  <c:v>5.4</c:v>
                </c:pt>
                <c:pt idx="1658">
                  <c:v>6.7</c:v>
                </c:pt>
                <c:pt idx="1659">
                  <c:v>5.9</c:v>
                </c:pt>
                <c:pt idx="1660">
                  <c:v>7.3</c:v>
                </c:pt>
                <c:pt idx="1661">
                  <c:v>5.5</c:v>
                </c:pt>
                <c:pt idx="1662">
                  <c:v>5.8</c:v>
                </c:pt>
                <c:pt idx="1663">
                  <c:v>4.5999999999999996</c:v>
                </c:pt>
                <c:pt idx="1664">
                  <c:v>6.7</c:v>
                </c:pt>
                <c:pt idx="1665">
                  <c:v>5.0999999999999996</c:v>
                </c:pt>
                <c:pt idx="1666">
                  <c:v>5.6</c:v>
                </c:pt>
                <c:pt idx="1667">
                  <c:v>7</c:v>
                </c:pt>
                <c:pt idx="1668">
                  <c:v>6.4</c:v>
                </c:pt>
                <c:pt idx="1669">
                  <c:v>6.7</c:v>
                </c:pt>
                <c:pt idx="1670">
                  <c:v>4.0999999999999996</c:v>
                </c:pt>
                <c:pt idx="1671">
                  <c:v>5.5</c:v>
                </c:pt>
                <c:pt idx="1672">
                  <c:v>2.7</c:v>
                </c:pt>
                <c:pt idx="1673">
                  <c:v>6.4</c:v>
                </c:pt>
                <c:pt idx="1674">
                  <c:v>4.8</c:v>
                </c:pt>
                <c:pt idx="1675">
                  <c:v>6.1</c:v>
                </c:pt>
                <c:pt idx="1676">
                  <c:v>4.8</c:v>
                </c:pt>
                <c:pt idx="1677">
                  <c:v>7</c:v>
                </c:pt>
                <c:pt idx="1678">
                  <c:v>6.8</c:v>
                </c:pt>
                <c:pt idx="1679">
                  <c:v>7.3</c:v>
                </c:pt>
                <c:pt idx="1680">
                  <c:v>5.6</c:v>
                </c:pt>
                <c:pt idx="1681">
                  <c:v>6.1</c:v>
                </c:pt>
                <c:pt idx="1682">
                  <c:v>7.9</c:v>
                </c:pt>
                <c:pt idx="1683">
                  <c:v>8.4</c:v>
                </c:pt>
                <c:pt idx="1684">
                  <c:v>6.5</c:v>
                </c:pt>
                <c:pt idx="1685">
                  <c:v>7.1</c:v>
                </c:pt>
                <c:pt idx="1686">
                  <c:v>6.6</c:v>
                </c:pt>
                <c:pt idx="1687">
                  <c:v>4</c:v>
                </c:pt>
                <c:pt idx="1688">
                  <c:v>7</c:v>
                </c:pt>
                <c:pt idx="1689">
                  <c:v>5.6</c:v>
                </c:pt>
                <c:pt idx="1690">
                  <c:v>4.8</c:v>
                </c:pt>
                <c:pt idx="1691">
                  <c:v>7.5</c:v>
                </c:pt>
                <c:pt idx="1692">
                  <c:v>6</c:v>
                </c:pt>
                <c:pt idx="1693">
                  <c:v>7.2</c:v>
                </c:pt>
                <c:pt idx="1694">
                  <c:v>5.6</c:v>
                </c:pt>
                <c:pt idx="1695">
                  <c:v>6.8</c:v>
                </c:pt>
                <c:pt idx="1696">
                  <c:v>4.9000000000000004</c:v>
                </c:pt>
                <c:pt idx="1697">
                  <c:v>7.1</c:v>
                </c:pt>
                <c:pt idx="1698">
                  <c:v>2</c:v>
                </c:pt>
                <c:pt idx="1699">
                  <c:v>5.7</c:v>
                </c:pt>
                <c:pt idx="1700">
                  <c:v>4.0999999999999996</c:v>
                </c:pt>
                <c:pt idx="1701">
                  <c:v>6.7</c:v>
                </c:pt>
                <c:pt idx="1702">
                  <c:v>7.5</c:v>
                </c:pt>
                <c:pt idx="1703">
                  <c:v>6.5</c:v>
                </c:pt>
                <c:pt idx="1704">
                  <c:v>7.9</c:v>
                </c:pt>
                <c:pt idx="1705">
                  <c:v>6.4</c:v>
                </c:pt>
                <c:pt idx="1706">
                  <c:v>5.8</c:v>
                </c:pt>
                <c:pt idx="1707">
                  <c:v>7.7</c:v>
                </c:pt>
                <c:pt idx="1708">
                  <c:v>7.1</c:v>
                </c:pt>
                <c:pt idx="1709">
                  <c:v>5.3</c:v>
                </c:pt>
                <c:pt idx="1710">
                  <c:v>5.3</c:v>
                </c:pt>
                <c:pt idx="1711">
                  <c:v>7.5</c:v>
                </c:pt>
                <c:pt idx="1712">
                  <c:v>6.9</c:v>
                </c:pt>
                <c:pt idx="1713">
                  <c:v>4.9000000000000004</c:v>
                </c:pt>
                <c:pt idx="1714">
                  <c:v>7.1</c:v>
                </c:pt>
                <c:pt idx="1715">
                  <c:v>8</c:v>
                </c:pt>
                <c:pt idx="1716">
                  <c:v>7.9</c:v>
                </c:pt>
                <c:pt idx="1717">
                  <c:v>7.6</c:v>
                </c:pt>
                <c:pt idx="1718">
                  <c:v>5.9</c:v>
                </c:pt>
                <c:pt idx="1719">
                  <c:v>6.3</c:v>
                </c:pt>
                <c:pt idx="1720">
                  <c:v>7.1</c:v>
                </c:pt>
                <c:pt idx="1721">
                  <c:v>6.4</c:v>
                </c:pt>
                <c:pt idx="1722">
                  <c:v>8.1999999999999993</c:v>
                </c:pt>
                <c:pt idx="1723">
                  <c:v>6.9</c:v>
                </c:pt>
                <c:pt idx="1724">
                  <c:v>7.8</c:v>
                </c:pt>
                <c:pt idx="1725">
                  <c:v>6.7</c:v>
                </c:pt>
                <c:pt idx="1726">
                  <c:v>7.5</c:v>
                </c:pt>
                <c:pt idx="1727">
                  <c:v>7.4</c:v>
                </c:pt>
                <c:pt idx="1728">
                  <c:v>5.2</c:v>
                </c:pt>
                <c:pt idx="1729">
                  <c:v>6.5</c:v>
                </c:pt>
                <c:pt idx="1730">
                  <c:v>7.6</c:v>
                </c:pt>
                <c:pt idx="1731">
                  <c:v>7.3</c:v>
                </c:pt>
                <c:pt idx="1732">
                  <c:v>6.6</c:v>
                </c:pt>
                <c:pt idx="1733">
                  <c:v>6.8</c:v>
                </c:pt>
                <c:pt idx="1734">
                  <c:v>6.9</c:v>
                </c:pt>
                <c:pt idx="1735">
                  <c:v>5.8</c:v>
                </c:pt>
                <c:pt idx="1736">
                  <c:v>6.6</c:v>
                </c:pt>
                <c:pt idx="1737">
                  <c:v>6.7</c:v>
                </c:pt>
                <c:pt idx="1738">
                  <c:v>6.7</c:v>
                </c:pt>
                <c:pt idx="1739">
                  <c:v>6.3</c:v>
                </c:pt>
                <c:pt idx="1740">
                  <c:v>7.7</c:v>
                </c:pt>
                <c:pt idx="1741">
                  <c:v>6.1</c:v>
                </c:pt>
                <c:pt idx="1742">
                  <c:v>4.9000000000000004</c:v>
                </c:pt>
                <c:pt idx="1743">
                  <c:v>6.2</c:v>
                </c:pt>
                <c:pt idx="1744">
                  <c:v>7.8</c:v>
                </c:pt>
                <c:pt idx="1745">
                  <c:v>8.1999999999999993</c:v>
                </c:pt>
                <c:pt idx="1746">
                  <c:v>6.9</c:v>
                </c:pt>
                <c:pt idx="1747">
                  <c:v>6.2</c:v>
                </c:pt>
                <c:pt idx="1748">
                  <c:v>6.9</c:v>
                </c:pt>
                <c:pt idx="1749">
                  <c:v>4.8</c:v>
                </c:pt>
                <c:pt idx="1750">
                  <c:v>8</c:v>
                </c:pt>
                <c:pt idx="1751">
                  <c:v>5.3</c:v>
                </c:pt>
                <c:pt idx="1752">
                  <c:v>6.7</c:v>
                </c:pt>
                <c:pt idx="1753">
                  <c:v>5.4</c:v>
                </c:pt>
                <c:pt idx="1754">
                  <c:v>5.4</c:v>
                </c:pt>
                <c:pt idx="1755">
                  <c:v>4.9000000000000004</c:v>
                </c:pt>
                <c:pt idx="1756">
                  <c:v>6.1</c:v>
                </c:pt>
                <c:pt idx="1757">
                  <c:v>5.8</c:v>
                </c:pt>
                <c:pt idx="1758">
                  <c:v>7</c:v>
                </c:pt>
                <c:pt idx="1759">
                  <c:v>6.5</c:v>
                </c:pt>
                <c:pt idx="1760">
                  <c:v>6.6</c:v>
                </c:pt>
                <c:pt idx="1761">
                  <c:v>6.1</c:v>
                </c:pt>
                <c:pt idx="1762">
                  <c:v>5.7</c:v>
                </c:pt>
                <c:pt idx="1763">
                  <c:v>6.6</c:v>
                </c:pt>
                <c:pt idx="1764">
                  <c:v>7</c:v>
                </c:pt>
                <c:pt idx="1765">
                  <c:v>7.4</c:v>
                </c:pt>
                <c:pt idx="1766">
                  <c:v>5.3</c:v>
                </c:pt>
                <c:pt idx="1767">
                  <c:v>7.4</c:v>
                </c:pt>
                <c:pt idx="1768">
                  <c:v>7.4</c:v>
                </c:pt>
                <c:pt idx="1769">
                  <c:v>6.8</c:v>
                </c:pt>
                <c:pt idx="1770">
                  <c:v>7.2</c:v>
                </c:pt>
                <c:pt idx="1771">
                  <c:v>6</c:v>
                </c:pt>
                <c:pt idx="1772">
                  <c:v>7.8</c:v>
                </c:pt>
                <c:pt idx="1773">
                  <c:v>6.6</c:v>
                </c:pt>
                <c:pt idx="1774">
                  <c:v>7.9</c:v>
                </c:pt>
                <c:pt idx="1775">
                  <c:v>6.2</c:v>
                </c:pt>
                <c:pt idx="1776">
                  <c:v>5.7</c:v>
                </c:pt>
                <c:pt idx="1777">
                  <c:v>7.1</c:v>
                </c:pt>
                <c:pt idx="1778">
                  <c:v>5.6</c:v>
                </c:pt>
                <c:pt idx="1779">
                  <c:v>7.8</c:v>
                </c:pt>
                <c:pt idx="1780">
                  <c:v>7.9</c:v>
                </c:pt>
                <c:pt idx="1781">
                  <c:v>6.9</c:v>
                </c:pt>
                <c:pt idx="1782">
                  <c:v>7.4</c:v>
                </c:pt>
                <c:pt idx="1783">
                  <c:v>7.7</c:v>
                </c:pt>
                <c:pt idx="1784">
                  <c:v>6.9</c:v>
                </c:pt>
                <c:pt idx="1785">
                  <c:v>6.7</c:v>
                </c:pt>
                <c:pt idx="1786">
                  <c:v>6</c:v>
                </c:pt>
                <c:pt idx="1787">
                  <c:v>6.2</c:v>
                </c:pt>
                <c:pt idx="1788">
                  <c:v>5.9</c:v>
                </c:pt>
                <c:pt idx="1789">
                  <c:v>6.8</c:v>
                </c:pt>
                <c:pt idx="1790">
                  <c:v>3.6</c:v>
                </c:pt>
                <c:pt idx="1791">
                  <c:v>6.7</c:v>
                </c:pt>
                <c:pt idx="1792">
                  <c:v>6.3</c:v>
                </c:pt>
                <c:pt idx="1793">
                  <c:v>6.4</c:v>
                </c:pt>
                <c:pt idx="1794">
                  <c:v>6.4</c:v>
                </c:pt>
                <c:pt idx="1795">
                  <c:v>5.7</c:v>
                </c:pt>
                <c:pt idx="1796">
                  <c:v>6.2</c:v>
                </c:pt>
                <c:pt idx="1797">
                  <c:v>6.6</c:v>
                </c:pt>
                <c:pt idx="1798">
                  <c:v>5.2</c:v>
                </c:pt>
                <c:pt idx="1799">
                  <c:v>6.1</c:v>
                </c:pt>
                <c:pt idx="1800">
                  <c:v>7.1</c:v>
                </c:pt>
                <c:pt idx="1801">
                  <c:v>7.2</c:v>
                </c:pt>
                <c:pt idx="1802">
                  <c:v>6.5</c:v>
                </c:pt>
                <c:pt idx="1803">
                  <c:v>6</c:v>
                </c:pt>
                <c:pt idx="1804">
                  <c:v>7</c:v>
                </c:pt>
                <c:pt idx="1805">
                  <c:v>7</c:v>
                </c:pt>
                <c:pt idx="1806">
                  <c:v>7.5</c:v>
                </c:pt>
                <c:pt idx="1807">
                  <c:v>6.6</c:v>
                </c:pt>
                <c:pt idx="1808">
                  <c:v>7.4</c:v>
                </c:pt>
                <c:pt idx="1809">
                  <c:v>6.5</c:v>
                </c:pt>
                <c:pt idx="1810">
                  <c:v>6.2</c:v>
                </c:pt>
                <c:pt idx="1811">
                  <c:v>7.8</c:v>
                </c:pt>
                <c:pt idx="1812">
                  <c:v>5.2</c:v>
                </c:pt>
                <c:pt idx="1813">
                  <c:v>6.5</c:v>
                </c:pt>
                <c:pt idx="1814">
                  <c:v>6.5</c:v>
                </c:pt>
                <c:pt idx="1815">
                  <c:v>5.2</c:v>
                </c:pt>
                <c:pt idx="1816">
                  <c:v>7.2</c:v>
                </c:pt>
                <c:pt idx="1817">
                  <c:v>7.1</c:v>
                </c:pt>
                <c:pt idx="1818">
                  <c:v>4.5</c:v>
                </c:pt>
                <c:pt idx="1819">
                  <c:v>5.7</c:v>
                </c:pt>
                <c:pt idx="1820">
                  <c:v>6</c:v>
                </c:pt>
                <c:pt idx="1821">
                  <c:v>6.4</c:v>
                </c:pt>
                <c:pt idx="1822">
                  <c:v>5.2</c:v>
                </c:pt>
                <c:pt idx="1823">
                  <c:v>4.3</c:v>
                </c:pt>
                <c:pt idx="1824">
                  <c:v>6.1</c:v>
                </c:pt>
                <c:pt idx="1825">
                  <c:v>6.3</c:v>
                </c:pt>
                <c:pt idx="1826">
                  <c:v>6.8</c:v>
                </c:pt>
                <c:pt idx="1827">
                  <c:v>4</c:v>
                </c:pt>
                <c:pt idx="1828">
                  <c:v>5.2</c:v>
                </c:pt>
                <c:pt idx="1829">
                  <c:v>6.5</c:v>
                </c:pt>
                <c:pt idx="1830">
                  <c:v>7.5</c:v>
                </c:pt>
                <c:pt idx="1831">
                  <c:v>7.1</c:v>
                </c:pt>
                <c:pt idx="1832">
                  <c:v>6.9</c:v>
                </c:pt>
                <c:pt idx="1833">
                  <c:v>8</c:v>
                </c:pt>
                <c:pt idx="1834">
                  <c:v>8.1999999999999993</c:v>
                </c:pt>
                <c:pt idx="1835">
                  <c:v>6.4</c:v>
                </c:pt>
                <c:pt idx="1836">
                  <c:v>7.9</c:v>
                </c:pt>
                <c:pt idx="1837">
                  <c:v>6.7</c:v>
                </c:pt>
                <c:pt idx="1838">
                  <c:v>6.1</c:v>
                </c:pt>
                <c:pt idx="1839">
                  <c:v>8.9</c:v>
                </c:pt>
                <c:pt idx="1840">
                  <c:v>8.1</c:v>
                </c:pt>
                <c:pt idx="1841">
                  <c:v>6.2</c:v>
                </c:pt>
                <c:pt idx="1842">
                  <c:v>4.9000000000000004</c:v>
                </c:pt>
                <c:pt idx="1843">
                  <c:v>5.4</c:v>
                </c:pt>
                <c:pt idx="1844">
                  <c:v>5.8</c:v>
                </c:pt>
                <c:pt idx="1845">
                  <c:v>4.7</c:v>
                </c:pt>
                <c:pt idx="1846">
                  <c:v>6</c:v>
                </c:pt>
                <c:pt idx="1847">
                  <c:v>7</c:v>
                </c:pt>
                <c:pt idx="1848">
                  <c:v>6</c:v>
                </c:pt>
                <c:pt idx="1849">
                  <c:v>7.9</c:v>
                </c:pt>
                <c:pt idx="1850">
                  <c:v>8.1</c:v>
                </c:pt>
                <c:pt idx="1851">
                  <c:v>6.2</c:v>
                </c:pt>
                <c:pt idx="1852">
                  <c:v>6.7</c:v>
                </c:pt>
                <c:pt idx="1853">
                  <c:v>7.3</c:v>
                </c:pt>
                <c:pt idx="1854">
                  <c:v>4.5999999999999996</c:v>
                </c:pt>
                <c:pt idx="1855">
                  <c:v>6.1</c:v>
                </c:pt>
                <c:pt idx="1856">
                  <c:v>6.2</c:v>
                </c:pt>
                <c:pt idx="1857">
                  <c:v>7.8</c:v>
                </c:pt>
                <c:pt idx="1858">
                  <c:v>6.1</c:v>
                </c:pt>
                <c:pt idx="1859">
                  <c:v>7.6</c:v>
                </c:pt>
                <c:pt idx="1860">
                  <c:v>5.8</c:v>
                </c:pt>
                <c:pt idx="1861">
                  <c:v>6.5</c:v>
                </c:pt>
                <c:pt idx="1862">
                  <c:v>7.2</c:v>
                </c:pt>
                <c:pt idx="1863">
                  <c:v>7.8</c:v>
                </c:pt>
                <c:pt idx="1864">
                  <c:v>4.7</c:v>
                </c:pt>
                <c:pt idx="1865">
                  <c:v>6.8</c:v>
                </c:pt>
                <c:pt idx="1866">
                  <c:v>5.9</c:v>
                </c:pt>
                <c:pt idx="1867">
                  <c:v>7.2</c:v>
                </c:pt>
                <c:pt idx="1868">
                  <c:v>8.6999999999999993</c:v>
                </c:pt>
                <c:pt idx="1869">
                  <c:v>5</c:v>
                </c:pt>
                <c:pt idx="1870">
                  <c:v>6.6</c:v>
                </c:pt>
                <c:pt idx="1871">
                  <c:v>8.3000000000000007</c:v>
                </c:pt>
                <c:pt idx="1872">
                  <c:v>6.7</c:v>
                </c:pt>
                <c:pt idx="1873">
                  <c:v>7.8</c:v>
                </c:pt>
                <c:pt idx="1874">
                  <c:v>6.5</c:v>
                </c:pt>
                <c:pt idx="1875">
                  <c:v>6.1</c:v>
                </c:pt>
                <c:pt idx="1876">
                  <c:v>8.1</c:v>
                </c:pt>
                <c:pt idx="1877">
                  <c:v>5.2</c:v>
                </c:pt>
                <c:pt idx="1878">
                  <c:v>5.6</c:v>
                </c:pt>
                <c:pt idx="1879">
                  <c:v>5.8</c:v>
                </c:pt>
                <c:pt idx="1880">
                  <c:v>6.6</c:v>
                </c:pt>
                <c:pt idx="1881">
                  <c:v>6.6</c:v>
                </c:pt>
                <c:pt idx="1882">
                  <c:v>5.5</c:v>
                </c:pt>
                <c:pt idx="1883">
                  <c:v>5.5</c:v>
                </c:pt>
                <c:pt idx="1884">
                  <c:v>7</c:v>
                </c:pt>
                <c:pt idx="1885">
                  <c:v>6.5</c:v>
                </c:pt>
                <c:pt idx="1886">
                  <c:v>5.8</c:v>
                </c:pt>
                <c:pt idx="1887">
                  <c:v>5.6</c:v>
                </c:pt>
                <c:pt idx="1888">
                  <c:v>5.6</c:v>
                </c:pt>
                <c:pt idx="1889">
                  <c:v>5.8</c:v>
                </c:pt>
                <c:pt idx="1890">
                  <c:v>7.6</c:v>
                </c:pt>
                <c:pt idx="1891">
                  <c:v>6.4</c:v>
                </c:pt>
                <c:pt idx="1892">
                  <c:v>6.3</c:v>
                </c:pt>
                <c:pt idx="1893">
                  <c:v>4.5999999999999996</c:v>
                </c:pt>
                <c:pt idx="1894">
                  <c:v>6.5</c:v>
                </c:pt>
                <c:pt idx="1895">
                  <c:v>7.5</c:v>
                </c:pt>
                <c:pt idx="1896">
                  <c:v>7.5</c:v>
                </c:pt>
                <c:pt idx="1897">
                  <c:v>5.3</c:v>
                </c:pt>
                <c:pt idx="1898">
                  <c:v>7.5</c:v>
                </c:pt>
                <c:pt idx="1899">
                  <c:v>3.3</c:v>
                </c:pt>
                <c:pt idx="1900">
                  <c:v>5.7</c:v>
                </c:pt>
                <c:pt idx="1901">
                  <c:v>3.5</c:v>
                </c:pt>
                <c:pt idx="1902">
                  <c:v>9.3000000000000007</c:v>
                </c:pt>
                <c:pt idx="1903">
                  <c:v>4.8</c:v>
                </c:pt>
                <c:pt idx="1904">
                  <c:v>6.9</c:v>
                </c:pt>
                <c:pt idx="1905">
                  <c:v>6</c:v>
                </c:pt>
                <c:pt idx="1906">
                  <c:v>7.3</c:v>
                </c:pt>
                <c:pt idx="1907">
                  <c:v>6</c:v>
                </c:pt>
                <c:pt idx="1908">
                  <c:v>6.6</c:v>
                </c:pt>
                <c:pt idx="1909">
                  <c:v>7.5</c:v>
                </c:pt>
                <c:pt idx="1910">
                  <c:v>6.9</c:v>
                </c:pt>
                <c:pt idx="1911">
                  <c:v>6.8</c:v>
                </c:pt>
                <c:pt idx="1912">
                  <c:v>6.3</c:v>
                </c:pt>
                <c:pt idx="1913">
                  <c:v>6.4</c:v>
                </c:pt>
                <c:pt idx="1914">
                  <c:v>5.6</c:v>
                </c:pt>
                <c:pt idx="1915">
                  <c:v>6.3</c:v>
                </c:pt>
                <c:pt idx="1916">
                  <c:v>7.3</c:v>
                </c:pt>
                <c:pt idx="1917">
                  <c:v>6.6</c:v>
                </c:pt>
                <c:pt idx="1918">
                  <c:v>4.5999999999999996</c:v>
                </c:pt>
                <c:pt idx="1919">
                  <c:v>5.0999999999999996</c:v>
                </c:pt>
                <c:pt idx="1920">
                  <c:v>5.6</c:v>
                </c:pt>
                <c:pt idx="1921">
                  <c:v>5.3</c:v>
                </c:pt>
                <c:pt idx="1922">
                  <c:v>7.5</c:v>
                </c:pt>
                <c:pt idx="1923">
                  <c:v>5.6</c:v>
                </c:pt>
                <c:pt idx="1924">
                  <c:v>5.9</c:v>
                </c:pt>
                <c:pt idx="1925">
                  <c:v>4.7</c:v>
                </c:pt>
                <c:pt idx="1926">
                  <c:v>4.8</c:v>
                </c:pt>
                <c:pt idx="1927">
                  <c:v>6.8</c:v>
                </c:pt>
                <c:pt idx="1928">
                  <c:v>5.4</c:v>
                </c:pt>
                <c:pt idx="1929">
                  <c:v>5.0999999999999996</c:v>
                </c:pt>
                <c:pt idx="1930">
                  <c:v>7</c:v>
                </c:pt>
                <c:pt idx="1931">
                  <c:v>6.7</c:v>
                </c:pt>
                <c:pt idx="1932">
                  <c:v>4</c:v>
                </c:pt>
                <c:pt idx="1933">
                  <c:v>7.3</c:v>
                </c:pt>
                <c:pt idx="1934">
                  <c:v>6.8</c:v>
                </c:pt>
                <c:pt idx="1935">
                  <c:v>6.1</c:v>
                </c:pt>
                <c:pt idx="1936">
                  <c:v>7</c:v>
                </c:pt>
                <c:pt idx="1937">
                  <c:v>7.1</c:v>
                </c:pt>
                <c:pt idx="1938">
                  <c:v>6.9</c:v>
                </c:pt>
                <c:pt idx="1939">
                  <c:v>7.3</c:v>
                </c:pt>
                <c:pt idx="1940">
                  <c:v>6.3</c:v>
                </c:pt>
                <c:pt idx="1941">
                  <c:v>8.1999999999999993</c:v>
                </c:pt>
                <c:pt idx="1942">
                  <c:v>7.1</c:v>
                </c:pt>
                <c:pt idx="1943">
                  <c:v>7.7</c:v>
                </c:pt>
                <c:pt idx="1944">
                  <c:v>6.5</c:v>
                </c:pt>
                <c:pt idx="1945">
                  <c:v>4.9000000000000004</c:v>
                </c:pt>
                <c:pt idx="1946">
                  <c:v>6.4</c:v>
                </c:pt>
                <c:pt idx="1947">
                  <c:v>5.9</c:v>
                </c:pt>
                <c:pt idx="1948">
                  <c:v>6.2</c:v>
                </c:pt>
                <c:pt idx="1949">
                  <c:v>5.8</c:v>
                </c:pt>
                <c:pt idx="1950">
                  <c:v>6.7</c:v>
                </c:pt>
                <c:pt idx="1951">
                  <c:v>5.9</c:v>
                </c:pt>
                <c:pt idx="1952">
                  <c:v>7.3</c:v>
                </c:pt>
                <c:pt idx="1953">
                  <c:v>4.8</c:v>
                </c:pt>
                <c:pt idx="1954">
                  <c:v>4.0999999999999996</c:v>
                </c:pt>
                <c:pt idx="1955">
                  <c:v>4.9000000000000004</c:v>
                </c:pt>
                <c:pt idx="1956">
                  <c:v>7.9</c:v>
                </c:pt>
                <c:pt idx="1957">
                  <c:v>5.6</c:v>
                </c:pt>
                <c:pt idx="1958">
                  <c:v>5.2</c:v>
                </c:pt>
                <c:pt idx="1959">
                  <c:v>4.0999999999999996</c:v>
                </c:pt>
                <c:pt idx="1960">
                  <c:v>6.6</c:v>
                </c:pt>
                <c:pt idx="1961">
                  <c:v>2.9</c:v>
                </c:pt>
                <c:pt idx="1962">
                  <c:v>7.2</c:v>
                </c:pt>
                <c:pt idx="1963">
                  <c:v>6.5</c:v>
                </c:pt>
                <c:pt idx="1964">
                  <c:v>6.8</c:v>
                </c:pt>
                <c:pt idx="1965">
                  <c:v>7.2</c:v>
                </c:pt>
                <c:pt idx="1966">
                  <c:v>6.8</c:v>
                </c:pt>
                <c:pt idx="1967">
                  <c:v>7.8</c:v>
                </c:pt>
                <c:pt idx="1968">
                  <c:v>6.7</c:v>
                </c:pt>
                <c:pt idx="1969">
                  <c:v>6.1</c:v>
                </c:pt>
                <c:pt idx="1970">
                  <c:v>7.1</c:v>
                </c:pt>
                <c:pt idx="1971">
                  <c:v>5.7</c:v>
                </c:pt>
                <c:pt idx="1972">
                  <c:v>2.9</c:v>
                </c:pt>
                <c:pt idx="1973">
                  <c:v>5.2</c:v>
                </c:pt>
                <c:pt idx="1974">
                  <c:v>5.3</c:v>
                </c:pt>
                <c:pt idx="1975">
                  <c:v>6.2</c:v>
                </c:pt>
                <c:pt idx="1976">
                  <c:v>7.3</c:v>
                </c:pt>
                <c:pt idx="1977">
                  <c:v>6.5</c:v>
                </c:pt>
                <c:pt idx="1978">
                  <c:v>4.0999999999999996</c:v>
                </c:pt>
                <c:pt idx="1979">
                  <c:v>7.7</c:v>
                </c:pt>
                <c:pt idx="1980">
                  <c:v>6.1</c:v>
                </c:pt>
                <c:pt idx="1981">
                  <c:v>7.3</c:v>
                </c:pt>
                <c:pt idx="1982">
                  <c:v>7.2</c:v>
                </c:pt>
                <c:pt idx="1983">
                  <c:v>5.3</c:v>
                </c:pt>
                <c:pt idx="1984">
                  <c:v>6.1</c:v>
                </c:pt>
                <c:pt idx="1985">
                  <c:v>5.8</c:v>
                </c:pt>
                <c:pt idx="1986">
                  <c:v>5.7</c:v>
                </c:pt>
                <c:pt idx="1987">
                  <c:v>6.7</c:v>
                </c:pt>
                <c:pt idx="1988">
                  <c:v>6.5</c:v>
                </c:pt>
                <c:pt idx="1989">
                  <c:v>7.2</c:v>
                </c:pt>
                <c:pt idx="1990">
                  <c:v>7.6</c:v>
                </c:pt>
                <c:pt idx="1991">
                  <c:v>4.5999999999999996</c:v>
                </c:pt>
                <c:pt idx="1992">
                  <c:v>6.9</c:v>
                </c:pt>
                <c:pt idx="1993">
                  <c:v>6.6</c:v>
                </c:pt>
                <c:pt idx="1994">
                  <c:v>6.3</c:v>
                </c:pt>
                <c:pt idx="1995">
                  <c:v>6.2</c:v>
                </c:pt>
                <c:pt idx="1996">
                  <c:v>5.3</c:v>
                </c:pt>
                <c:pt idx="1997">
                  <c:v>7.3</c:v>
                </c:pt>
                <c:pt idx="1998">
                  <c:v>5.6</c:v>
                </c:pt>
                <c:pt idx="1999">
                  <c:v>6.2</c:v>
                </c:pt>
                <c:pt idx="2000">
                  <c:v>5.2</c:v>
                </c:pt>
                <c:pt idx="2001">
                  <c:v>5.3</c:v>
                </c:pt>
                <c:pt idx="2002">
                  <c:v>5.4</c:v>
                </c:pt>
                <c:pt idx="2003">
                  <c:v>4.9000000000000004</c:v>
                </c:pt>
                <c:pt idx="2004">
                  <c:v>5.5</c:v>
                </c:pt>
                <c:pt idx="2005">
                  <c:v>6.7</c:v>
                </c:pt>
                <c:pt idx="2006">
                  <c:v>3.9</c:v>
                </c:pt>
                <c:pt idx="2007">
                  <c:v>7.2</c:v>
                </c:pt>
                <c:pt idx="2008">
                  <c:v>5.0999999999999996</c:v>
                </c:pt>
                <c:pt idx="2009">
                  <c:v>6.5</c:v>
                </c:pt>
                <c:pt idx="2010">
                  <c:v>8.1999999999999993</c:v>
                </c:pt>
                <c:pt idx="2011">
                  <c:v>7.7</c:v>
                </c:pt>
                <c:pt idx="2012">
                  <c:v>7.2</c:v>
                </c:pt>
                <c:pt idx="2013">
                  <c:v>6.1</c:v>
                </c:pt>
                <c:pt idx="2014">
                  <c:v>8.8000000000000007</c:v>
                </c:pt>
                <c:pt idx="2015">
                  <c:v>6.8</c:v>
                </c:pt>
                <c:pt idx="2016">
                  <c:v>6.8</c:v>
                </c:pt>
                <c:pt idx="2017">
                  <c:v>6.7</c:v>
                </c:pt>
                <c:pt idx="2018">
                  <c:v>7.1</c:v>
                </c:pt>
                <c:pt idx="2019">
                  <c:v>7.1</c:v>
                </c:pt>
                <c:pt idx="2020">
                  <c:v>6.1</c:v>
                </c:pt>
                <c:pt idx="2021">
                  <c:v>8</c:v>
                </c:pt>
                <c:pt idx="2022">
                  <c:v>7.5</c:v>
                </c:pt>
                <c:pt idx="2023">
                  <c:v>6.6</c:v>
                </c:pt>
                <c:pt idx="2024">
                  <c:v>5.4</c:v>
                </c:pt>
                <c:pt idx="2025">
                  <c:v>6.1</c:v>
                </c:pt>
                <c:pt idx="2026">
                  <c:v>6.1</c:v>
                </c:pt>
                <c:pt idx="2027">
                  <c:v>5.6</c:v>
                </c:pt>
                <c:pt idx="2028">
                  <c:v>5.8</c:v>
                </c:pt>
                <c:pt idx="2029">
                  <c:v>2.8</c:v>
                </c:pt>
                <c:pt idx="2030">
                  <c:v>6.7</c:v>
                </c:pt>
                <c:pt idx="2031">
                  <c:v>5.0999999999999996</c:v>
                </c:pt>
                <c:pt idx="2032">
                  <c:v>7.2</c:v>
                </c:pt>
                <c:pt idx="2033">
                  <c:v>6</c:v>
                </c:pt>
                <c:pt idx="2034">
                  <c:v>7.2</c:v>
                </c:pt>
                <c:pt idx="2035">
                  <c:v>6.7</c:v>
                </c:pt>
                <c:pt idx="2036">
                  <c:v>6.3</c:v>
                </c:pt>
                <c:pt idx="2037">
                  <c:v>6.2</c:v>
                </c:pt>
                <c:pt idx="2038">
                  <c:v>6.2</c:v>
                </c:pt>
                <c:pt idx="2039">
                  <c:v>6.9</c:v>
                </c:pt>
                <c:pt idx="2040">
                  <c:v>6.8</c:v>
                </c:pt>
                <c:pt idx="2041">
                  <c:v>7.1</c:v>
                </c:pt>
                <c:pt idx="2042">
                  <c:v>7.1</c:v>
                </c:pt>
                <c:pt idx="2043">
                  <c:v>7</c:v>
                </c:pt>
                <c:pt idx="2044">
                  <c:v>7.1</c:v>
                </c:pt>
                <c:pt idx="2045">
                  <c:v>6.4</c:v>
                </c:pt>
                <c:pt idx="2046">
                  <c:v>7</c:v>
                </c:pt>
                <c:pt idx="2047">
                  <c:v>6.2</c:v>
                </c:pt>
                <c:pt idx="2048">
                  <c:v>7.5</c:v>
                </c:pt>
                <c:pt idx="2049">
                  <c:v>4.8</c:v>
                </c:pt>
                <c:pt idx="2050">
                  <c:v>8.1</c:v>
                </c:pt>
                <c:pt idx="2051">
                  <c:v>7.3</c:v>
                </c:pt>
                <c:pt idx="2052">
                  <c:v>5.8</c:v>
                </c:pt>
                <c:pt idx="2053">
                  <c:v>7.6</c:v>
                </c:pt>
                <c:pt idx="2054">
                  <c:v>5.6</c:v>
                </c:pt>
                <c:pt idx="2055">
                  <c:v>7</c:v>
                </c:pt>
                <c:pt idx="2056">
                  <c:v>6.6</c:v>
                </c:pt>
                <c:pt idx="2057">
                  <c:v>6.5</c:v>
                </c:pt>
                <c:pt idx="2058">
                  <c:v>7.4</c:v>
                </c:pt>
                <c:pt idx="2059">
                  <c:v>4.5999999999999996</c:v>
                </c:pt>
                <c:pt idx="2060">
                  <c:v>6.4</c:v>
                </c:pt>
                <c:pt idx="2061">
                  <c:v>6</c:v>
                </c:pt>
                <c:pt idx="2062">
                  <c:v>6.4</c:v>
                </c:pt>
                <c:pt idx="2063">
                  <c:v>5.9</c:v>
                </c:pt>
                <c:pt idx="2064">
                  <c:v>6.4</c:v>
                </c:pt>
                <c:pt idx="2065">
                  <c:v>6.6</c:v>
                </c:pt>
                <c:pt idx="2066">
                  <c:v>6.9</c:v>
                </c:pt>
                <c:pt idx="2067">
                  <c:v>6.9</c:v>
                </c:pt>
                <c:pt idx="2068">
                  <c:v>5.8</c:v>
                </c:pt>
                <c:pt idx="2069">
                  <c:v>6.4</c:v>
                </c:pt>
                <c:pt idx="2070">
                  <c:v>5.3</c:v>
                </c:pt>
                <c:pt idx="2071">
                  <c:v>6.5</c:v>
                </c:pt>
                <c:pt idx="2072">
                  <c:v>5.7</c:v>
                </c:pt>
                <c:pt idx="2073">
                  <c:v>6.7</c:v>
                </c:pt>
                <c:pt idx="2074">
                  <c:v>3.9</c:v>
                </c:pt>
                <c:pt idx="2075">
                  <c:v>4.0999999999999996</c:v>
                </c:pt>
                <c:pt idx="2076">
                  <c:v>6.2</c:v>
                </c:pt>
                <c:pt idx="2077">
                  <c:v>3.8</c:v>
                </c:pt>
                <c:pt idx="2078">
                  <c:v>5.0999999999999996</c:v>
                </c:pt>
                <c:pt idx="2079">
                  <c:v>6.4</c:v>
                </c:pt>
                <c:pt idx="2080">
                  <c:v>7.8</c:v>
                </c:pt>
                <c:pt idx="2081">
                  <c:v>7.8</c:v>
                </c:pt>
                <c:pt idx="2082">
                  <c:v>6.1</c:v>
                </c:pt>
                <c:pt idx="2083">
                  <c:v>5.8</c:v>
                </c:pt>
                <c:pt idx="2084">
                  <c:v>6.3</c:v>
                </c:pt>
                <c:pt idx="2085">
                  <c:v>7.7</c:v>
                </c:pt>
                <c:pt idx="2086">
                  <c:v>5.4</c:v>
                </c:pt>
                <c:pt idx="2087">
                  <c:v>7.3</c:v>
                </c:pt>
                <c:pt idx="2088">
                  <c:v>6.8</c:v>
                </c:pt>
                <c:pt idx="2089">
                  <c:v>7.3</c:v>
                </c:pt>
                <c:pt idx="2090">
                  <c:v>6.5</c:v>
                </c:pt>
                <c:pt idx="2091">
                  <c:v>7.2</c:v>
                </c:pt>
                <c:pt idx="2092">
                  <c:v>6.7</c:v>
                </c:pt>
                <c:pt idx="2093">
                  <c:v>6.3</c:v>
                </c:pt>
                <c:pt idx="2094">
                  <c:v>5.9</c:v>
                </c:pt>
                <c:pt idx="2095">
                  <c:v>7.8</c:v>
                </c:pt>
                <c:pt idx="2096">
                  <c:v>7.4</c:v>
                </c:pt>
                <c:pt idx="2097">
                  <c:v>4.8</c:v>
                </c:pt>
                <c:pt idx="2098">
                  <c:v>6.3</c:v>
                </c:pt>
                <c:pt idx="2099">
                  <c:v>7.8</c:v>
                </c:pt>
                <c:pt idx="2100">
                  <c:v>7.5</c:v>
                </c:pt>
                <c:pt idx="2101">
                  <c:v>6</c:v>
                </c:pt>
                <c:pt idx="2102">
                  <c:v>6.8</c:v>
                </c:pt>
                <c:pt idx="2103">
                  <c:v>6.6</c:v>
                </c:pt>
                <c:pt idx="2104">
                  <c:v>4.5999999999999996</c:v>
                </c:pt>
                <c:pt idx="2105">
                  <c:v>7.1</c:v>
                </c:pt>
                <c:pt idx="2106">
                  <c:v>6.1</c:v>
                </c:pt>
                <c:pt idx="2107">
                  <c:v>6.7</c:v>
                </c:pt>
                <c:pt idx="2108">
                  <c:v>7.1</c:v>
                </c:pt>
                <c:pt idx="2109">
                  <c:v>5.8</c:v>
                </c:pt>
                <c:pt idx="2110">
                  <c:v>6.7</c:v>
                </c:pt>
                <c:pt idx="2111">
                  <c:v>5.8</c:v>
                </c:pt>
                <c:pt idx="2112">
                  <c:v>6.8</c:v>
                </c:pt>
                <c:pt idx="2113">
                  <c:v>8.5</c:v>
                </c:pt>
                <c:pt idx="2114">
                  <c:v>6.6</c:v>
                </c:pt>
                <c:pt idx="2115">
                  <c:v>7.7</c:v>
                </c:pt>
                <c:pt idx="2116">
                  <c:v>4.7</c:v>
                </c:pt>
                <c:pt idx="2117">
                  <c:v>6.4</c:v>
                </c:pt>
                <c:pt idx="2118">
                  <c:v>5.5</c:v>
                </c:pt>
                <c:pt idx="2119">
                  <c:v>8.6</c:v>
                </c:pt>
                <c:pt idx="2120">
                  <c:v>7</c:v>
                </c:pt>
                <c:pt idx="2121">
                  <c:v>7.1</c:v>
                </c:pt>
                <c:pt idx="2122">
                  <c:v>5.7</c:v>
                </c:pt>
                <c:pt idx="2123">
                  <c:v>3.7</c:v>
                </c:pt>
                <c:pt idx="2124">
                  <c:v>7.5</c:v>
                </c:pt>
                <c:pt idx="2125">
                  <c:v>4.5999999999999996</c:v>
                </c:pt>
                <c:pt idx="2126">
                  <c:v>4.9000000000000004</c:v>
                </c:pt>
                <c:pt idx="2127">
                  <c:v>6.9</c:v>
                </c:pt>
                <c:pt idx="2128">
                  <c:v>7.1</c:v>
                </c:pt>
                <c:pt idx="2129">
                  <c:v>5.8</c:v>
                </c:pt>
                <c:pt idx="2130">
                  <c:v>7</c:v>
                </c:pt>
                <c:pt idx="2131">
                  <c:v>5.4</c:v>
                </c:pt>
                <c:pt idx="2132">
                  <c:v>7.3</c:v>
                </c:pt>
                <c:pt idx="2133">
                  <c:v>7.1</c:v>
                </c:pt>
                <c:pt idx="2134">
                  <c:v>5.8</c:v>
                </c:pt>
                <c:pt idx="2135">
                  <c:v>8.1</c:v>
                </c:pt>
                <c:pt idx="2136">
                  <c:v>5.7</c:v>
                </c:pt>
                <c:pt idx="2137">
                  <c:v>4.4000000000000004</c:v>
                </c:pt>
                <c:pt idx="2138">
                  <c:v>7.9</c:v>
                </c:pt>
                <c:pt idx="2139">
                  <c:v>7.6</c:v>
                </c:pt>
                <c:pt idx="2140">
                  <c:v>4.8</c:v>
                </c:pt>
                <c:pt idx="2141">
                  <c:v>7.8</c:v>
                </c:pt>
                <c:pt idx="2142">
                  <c:v>6.7</c:v>
                </c:pt>
                <c:pt idx="2143">
                  <c:v>2.7</c:v>
                </c:pt>
                <c:pt idx="2144">
                  <c:v>5.8</c:v>
                </c:pt>
                <c:pt idx="2145">
                  <c:v>7.5</c:v>
                </c:pt>
                <c:pt idx="2146">
                  <c:v>5.4</c:v>
                </c:pt>
                <c:pt idx="2147">
                  <c:v>4.0999999999999996</c:v>
                </c:pt>
                <c:pt idx="2148">
                  <c:v>5.9</c:v>
                </c:pt>
                <c:pt idx="2149">
                  <c:v>6.3</c:v>
                </c:pt>
                <c:pt idx="2150">
                  <c:v>7</c:v>
                </c:pt>
                <c:pt idx="2151">
                  <c:v>6.8</c:v>
                </c:pt>
                <c:pt idx="2152">
                  <c:v>2.2999999999999998</c:v>
                </c:pt>
                <c:pt idx="2153">
                  <c:v>6.9</c:v>
                </c:pt>
                <c:pt idx="2154">
                  <c:v>8.1</c:v>
                </c:pt>
                <c:pt idx="2155">
                  <c:v>6.1</c:v>
                </c:pt>
                <c:pt idx="2156">
                  <c:v>5</c:v>
                </c:pt>
                <c:pt idx="2157">
                  <c:v>5.5</c:v>
                </c:pt>
                <c:pt idx="2158">
                  <c:v>6.2</c:v>
                </c:pt>
                <c:pt idx="2159">
                  <c:v>6.2</c:v>
                </c:pt>
                <c:pt idx="2160">
                  <c:v>5.9</c:v>
                </c:pt>
                <c:pt idx="2161">
                  <c:v>6.3</c:v>
                </c:pt>
                <c:pt idx="2162">
                  <c:v>6.7</c:v>
                </c:pt>
                <c:pt idx="2163">
                  <c:v>3.5</c:v>
                </c:pt>
                <c:pt idx="2164">
                  <c:v>7.5</c:v>
                </c:pt>
                <c:pt idx="2165">
                  <c:v>6.6</c:v>
                </c:pt>
                <c:pt idx="2166">
                  <c:v>7.5</c:v>
                </c:pt>
                <c:pt idx="2167">
                  <c:v>7.2</c:v>
                </c:pt>
                <c:pt idx="2168">
                  <c:v>4.8</c:v>
                </c:pt>
                <c:pt idx="2169">
                  <c:v>6.6</c:v>
                </c:pt>
                <c:pt idx="2170">
                  <c:v>3.5</c:v>
                </c:pt>
                <c:pt idx="2171">
                  <c:v>6.7</c:v>
                </c:pt>
                <c:pt idx="2172">
                  <c:v>7.6</c:v>
                </c:pt>
                <c:pt idx="2173">
                  <c:v>6.3</c:v>
                </c:pt>
                <c:pt idx="2174">
                  <c:v>5.5</c:v>
                </c:pt>
                <c:pt idx="2175">
                  <c:v>6.3</c:v>
                </c:pt>
                <c:pt idx="2176">
                  <c:v>6.5</c:v>
                </c:pt>
                <c:pt idx="2177">
                  <c:v>5.6</c:v>
                </c:pt>
                <c:pt idx="2178">
                  <c:v>6.9</c:v>
                </c:pt>
                <c:pt idx="2179">
                  <c:v>7.6</c:v>
                </c:pt>
                <c:pt idx="2180">
                  <c:v>3.9</c:v>
                </c:pt>
                <c:pt idx="2181">
                  <c:v>6.1</c:v>
                </c:pt>
                <c:pt idx="2182">
                  <c:v>7.3</c:v>
                </c:pt>
                <c:pt idx="2183">
                  <c:v>8.3000000000000007</c:v>
                </c:pt>
                <c:pt idx="2184">
                  <c:v>5.8</c:v>
                </c:pt>
                <c:pt idx="2185">
                  <c:v>6.8</c:v>
                </c:pt>
                <c:pt idx="2186">
                  <c:v>7</c:v>
                </c:pt>
                <c:pt idx="2187">
                  <c:v>5.9</c:v>
                </c:pt>
                <c:pt idx="2188">
                  <c:v>6.5</c:v>
                </c:pt>
                <c:pt idx="2189">
                  <c:v>6.4</c:v>
                </c:pt>
                <c:pt idx="2190">
                  <c:v>5.8</c:v>
                </c:pt>
                <c:pt idx="2191">
                  <c:v>5.0999999999999996</c:v>
                </c:pt>
                <c:pt idx="2192">
                  <c:v>6.8</c:v>
                </c:pt>
                <c:pt idx="2193">
                  <c:v>5.3</c:v>
                </c:pt>
                <c:pt idx="2194">
                  <c:v>5.3</c:v>
                </c:pt>
                <c:pt idx="2195">
                  <c:v>6.4</c:v>
                </c:pt>
                <c:pt idx="2196">
                  <c:v>4.9000000000000004</c:v>
                </c:pt>
                <c:pt idx="2197">
                  <c:v>6.8</c:v>
                </c:pt>
                <c:pt idx="2198">
                  <c:v>7.1</c:v>
                </c:pt>
                <c:pt idx="2199">
                  <c:v>6.8</c:v>
                </c:pt>
                <c:pt idx="2200">
                  <c:v>6.1</c:v>
                </c:pt>
                <c:pt idx="2201">
                  <c:v>8.5</c:v>
                </c:pt>
                <c:pt idx="2202">
                  <c:v>5.9</c:v>
                </c:pt>
                <c:pt idx="2203">
                  <c:v>6.3</c:v>
                </c:pt>
                <c:pt idx="2204">
                  <c:v>5.9</c:v>
                </c:pt>
                <c:pt idx="2205">
                  <c:v>5.4</c:v>
                </c:pt>
                <c:pt idx="2206">
                  <c:v>7</c:v>
                </c:pt>
                <c:pt idx="2207">
                  <c:v>6.9</c:v>
                </c:pt>
                <c:pt idx="2208">
                  <c:v>7.5</c:v>
                </c:pt>
                <c:pt idx="2209">
                  <c:v>8.1999999999999993</c:v>
                </c:pt>
                <c:pt idx="2210">
                  <c:v>5.9</c:v>
                </c:pt>
                <c:pt idx="2211">
                  <c:v>5</c:v>
                </c:pt>
                <c:pt idx="2212">
                  <c:v>7.3</c:v>
                </c:pt>
                <c:pt idx="2213">
                  <c:v>6.4</c:v>
                </c:pt>
                <c:pt idx="2214">
                  <c:v>6.6</c:v>
                </c:pt>
                <c:pt idx="2215">
                  <c:v>7.8</c:v>
                </c:pt>
                <c:pt idx="2216">
                  <c:v>4</c:v>
                </c:pt>
                <c:pt idx="2217">
                  <c:v>7.6</c:v>
                </c:pt>
                <c:pt idx="2218">
                  <c:v>7.7</c:v>
                </c:pt>
                <c:pt idx="2219">
                  <c:v>5.8</c:v>
                </c:pt>
                <c:pt idx="2220">
                  <c:v>5.2</c:v>
                </c:pt>
                <c:pt idx="2221">
                  <c:v>5.6</c:v>
                </c:pt>
                <c:pt idx="2222">
                  <c:v>5.3</c:v>
                </c:pt>
                <c:pt idx="2223">
                  <c:v>7.4</c:v>
                </c:pt>
                <c:pt idx="2224">
                  <c:v>6.6</c:v>
                </c:pt>
                <c:pt idx="2225">
                  <c:v>6.2</c:v>
                </c:pt>
                <c:pt idx="2226">
                  <c:v>1.9</c:v>
                </c:pt>
                <c:pt idx="2227">
                  <c:v>5.7</c:v>
                </c:pt>
                <c:pt idx="2228">
                  <c:v>6.6</c:v>
                </c:pt>
                <c:pt idx="2229">
                  <c:v>6</c:v>
                </c:pt>
                <c:pt idx="2230">
                  <c:v>6.1</c:v>
                </c:pt>
                <c:pt idx="2231">
                  <c:v>4.8</c:v>
                </c:pt>
                <c:pt idx="2232">
                  <c:v>6.2</c:v>
                </c:pt>
                <c:pt idx="2233">
                  <c:v>7.5</c:v>
                </c:pt>
                <c:pt idx="2234">
                  <c:v>6.3</c:v>
                </c:pt>
                <c:pt idx="2235">
                  <c:v>7.1</c:v>
                </c:pt>
                <c:pt idx="2236">
                  <c:v>6.6</c:v>
                </c:pt>
                <c:pt idx="2237">
                  <c:v>6.1</c:v>
                </c:pt>
                <c:pt idx="2238">
                  <c:v>6.7</c:v>
                </c:pt>
                <c:pt idx="2239">
                  <c:v>5.6</c:v>
                </c:pt>
                <c:pt idx="2240">
                  <c:v>7.2</c:v>
                </c:pt>
                <c:pt idx="2241">
                  <c:v>4.3</c:v>
                </c:pt>
                <c:pt idx="2242">
                  <c:v>6.4</c:v>
                </c:pt>
                <c:pt idx="2243">
                  <c:v>7.1</c:v>
                </c:pt>
                <c:pt idx="2244">
                  <c:v>6.3</c:v>
                </c:pt>
                <c:pt idx="2245">
                  <c:v>7.4</c:v>
                </c:pt>
                <c:pt idx="2246">
                  <c:v>6.1</c:v>
                </c:pt>
                <c:pt idx="2247">
                  <c:v>6.6</c:v>
                </c:pt>
                <c:pt idx="2248">
                  <c:v>6</c:v>
                </c:pt>
                <c:pt idx="2249">
                  <c:v>6.8</c:v>
                </c:pt>
                <c:pt idx="2250">
                  <c:v>7.4</c:v>
                </c:pt>
                <c:pt idx="2251">
                  <c:v>6.8</c:v>
                </c:pt>
                <c:pt idx="2252">
                  <c:v>7.2</c:v>
                </c:pt>
                <c:pt idx="2253">
                  <c:v>1.9</c:v>
                </c:pt>
                <c:pt idx="2254">
                  <c:v>5.5</c:v>
                </c:pt>
                <c:pt idx="2255">
                  <c:v>4.5</c:v>
                </c:pt>
                <c:pt idx="2256">
                  <c:v>6.3</c:v>
                </c:pt>
                <c:pt idx="2257">
                  <c:v>7</c:v>
                </c:pt>
                <c:pt idx="2258">
                  <c:v>6.7</c:v>
                </c:pt>
                <c:pt idx="2259">
                  <c:v>2.8</c:v>
                </c:pt>
                <c:pt idx="2260">
                  <c:v>5</c:v>
                </c:pt>
                <c:pt idx="2261">
                  <c:v>4.3</c:v>
                </c:pt>
                <c:pt idx="2262">
                  <c:v>5.6</c:v>
                </c:pt>
                <c:pt idx="2263">
                  <c:v>6.2</c:v>
                </c:pt>
                <c:pt idx="2264">
                  <c:v>5.3</c:v>
                </c:pt>
                <c:pt idx="2265">
                  <c:v>7.4</c:v>
                </c:pt>
                <c:pt idx="2266">
                  <c:v>7.4</c:v>
                </c:pt>
                <c:pt idx="2267">
                  <c:v>6.5</c:v>
                </c:pt>
                <c:pt idx="2268">
                  <c:v>7.1</c:v>
                </c:pt>
                <c:pt idx="2269">
                  <c:v>7.2</c:v>
                </c:pt>
                <c:pt idx="2270">
                  <c:v>2.2999999999999998</c:v>
                </c:pt>
                <c:pt idx="2271">
                  <c:v>6.4</c:v>
                </c:pt>
                <c:pt idx="2272">
                  <c:v>6.1</c:v>
                </c:pt>
                <c:pt idx="2273">
                  <c:v>7</c:v>
                </c:pt>
                <c:pt idx="2274">
                  <c:v>6.5</c:v>
                </c:pt>
                <c:pt idx="2275">
                  <c:v>7</c:v>
                </c:pt>
                <c:pt idx="2276">
                  <c:v>7</c:v>
                </c:pt>
                <c:pt idx="2277">
                  <c:v>4.9000000000000004</c:v>
                </c:pt>
                <c:pt idx="2278">
                  <c:v>6.9</c:v>
                </c:pt>
                <c:pt idx="2279">
                  <c:v>7.5</c:v>
                </c:pt>
                <c:pt idx="2280">
                  <c:v>8.4</c:v>
                </c:pt>
                <c:pt idx="2281">
                  <c:v>6.9</c:v>
                </c:pt>
                <c:pt idx="2282">
                  <c:v>4.5</c:v>
                </c:pt>
                <c:pt idx="2283">
                  <c:v>7.4</c:v>
                </c:pt>
                <c:pt idx="2284">
                  <c:v>7</c:v>
                </c:pt>
                <c:pt idx="2285">
                  <c:v>2.8</c:v>
                </c:pt>
                <c:pt idx="2286">
                  <c:v>7.5</c:v>
                </c:pt>
                <c:pt idx="2287">
                  <c:v>7.1</c:v>
                </c:pt>
                <c:pt idx="2288">
                  <c:v>6.4</c:v>
                </c:pt>
                <c:pt idx="2289">
                  <c:v>6.7</c:v>
                </c:pt>
                <c:pt idx="2290">
                  <c:v>5.3</c:v>
                </c:pt>
                <c:pt idx="2291">
                  <c:v>6.9</c:v>
                </c:pt>
                <c:pt idx="2292">
                  <c:v>6.2</c:v>
                </c:pt>
                <c:pt idx="2293">
                  <c:v>6.3</c:v>
                </c:pt>
                <c:pt idx="2294">
                  <c:v>6.4</c:v>
                </c:pt>
                <c:pt idx="2295">
                  <c:v>6.5</c:v>
                </c:pt>
                <c:pt idx="2296">
                  <c:v>6</c:v>
                </c:pt>
                <c:pt idx="2297">
                  <c:v>5.0999999999999996</c:v>
                </c:pt>
                <c:pt idx="2298">
                  <c:v>5.5</c:v>
                </c:pt>
                <c:pt idx="2299">
                  <c:v>5.4</c:v>
                </c:pt>
                <c:pt idx="2300">
                  <c:v>5.7</c:v>
                </c:pt>
                <c:pt idx="2301">
                  <c:v>5.2</c:v>
                </c:pt>
                <c:pt idx="2302">
                  <c:v>6.2</c:v>
                </c:pt>
                <c:pt idx="2303">
                  <c:v>6.7</c:v>
                </c:pt>
                <c:pt idx="2304">
                  <c:v>5.8</c:v>
                </c:pt>
                <c:pt idx="2305">
                  <c:v>7</c:v>
                </c:pt>
                <c:pt idx="2306">
                  <c:v>4.8</c:v>
                </c:pt>
                <c:pt idx="2307">
                  <c:v>7.2</c:v>
                </c:pt>
                <c:pt idx="2308">
                  <c:v>5.6</c:v>
                </c:pt>
                <c:pt idx="2309">
                  <c:v>6.4</c:v>
                </c:pt>
                <c:pt idx="2310">
                  <c:v>7.5</c:v>
                </c:pt>
                <c:pt idx="2311">
                  <c:v>7.4</c:v>
                </c:pt>
                <c:pt idx="2312">
                  <c:v>8</c:v>
                </c:pt>
                <c:pt idx="2313">
                  <c:v>5.7</c:v>
                </c:pt>
                <c:pt idx="2314">
                  <c:v>6.8</c:v>
                </c:pt>
                <c:pt idx="2315">
                  <c:v>5.9</c:v>
                </c:pt>
                <c:pt idx="2316">
                  <c:v>7.2</c:v>
                </c:pt>
                <c:pt idx="2317">
                  <c:v>5.5</c:v>
                </c:pt>
                <c:pt idx="2318">
                  <c:v>8.4</c:v>
                </c:pt>
                <c:pt idx="2319">
                  <c:v>8.5</c:v>
                </c:pt>
                <c:pt idx="2320">
                  <c:v>5.6</c:v>
                </c:pt>
                <c:pt idx="2321">
                  <c:v>4.0999999999999996</c:v>
                </c:pt>
                <c:pt idx="2322">
                  <c:v>5</c:v>
                </c:pt>
                <c:pt idx="2323">
                  <c:v>6.1</c:v>
                </c:pt>
                <c:pt idx="2324">
                  <c:v>5.4</c:v>
                </c:pt>
                <c:pt idx="2325">
                  <c:v>7.1</c:v>
                </c:pt>
                <c:pt idx="2326">
                  <c:v>3.6</c:v>
                </c:pt>
                <c:pt idx="2327">
                  <c:v>6.5</c:v>
                </c:pt>
                <c:pt idx="2328">
                  <c:v>8.6</c:v>
                </c:pt>
                <c:pt idx="2329">
                  <c:v>6.2</c:v>
                </c:pt>
                <c:pt idx="2330">
                  <c:v>7</c:v>
                </c:pt>
                <c:pt idx="2331">
                  <c:v>7.6</c:v>
                </c:pt>
                <c:pt idx="2332">
                  <c:v>6.5</c:v>
                </c:pt>
                <c:pt idx="2333">
                  <c:v>6.4</c:v>
                </c:pt>
                <c:pt idx="2334">
                  <c:v>6.7</c:v>
                </c:pt>
                <c:pt idx="2335">
                  <c:v>6.3</c:v>
                </c:pt>
                <c:pt idx="2336">
                  <c:v>6.4</c:v>
                </c:pt>
                <c:pt idx="2337">
                  <c:v>5.7</c:v>
                </c:pt>
                <c:pt idx="2338">
                  <c:v>6.3</c:v>
                </c:pt>
                <c:pt idx="2339">
                  <c:v>7.8</c:v>
                </c:pt>
                <c:pt idx="2340">
                  <c:v>6</c:v>
                </c:pt>
                <c:pt idx="2341">
                  <c:v>7.7</c:v>
                </c:pt>
                <c:pt idx="2342">
                  <c:v>6.2</c:v>
                </c:pt>
                <c:pt idx="2343">
                  <c:v>5.7</c:v>
                </c:pt>
                <c:pt idx="2344">
                  <c:v>7.7</c:v>
                </c:pt>
                <c:pt idx="2345">
                  <c:v>6.4</c:v>
                </c:pt>
                <c:pt idx="2346">
                  <c:v>6.4</c:v>
                </c:pt>
                <c:pt idx="2347">
                  <c:v>6.9</c:v>
                </c:pt>
                <c:pt idx="2348">
                  <c:v>7.3</c:v>
                </c:pt>
                <c:pt idx="2349">
                  <c:v>7.3</c:v>
                </c:pt>
                <c:pt idx="2350">
                  <c:v>6.2</c:v>
                </c:pt>
                <c:pt idx="2351">
                  <c:v>6.6</c:v>
                </c:pt>
                <c:pt idx="2352">
                  <c:v>6.7</c:v>
                </c:pt>
                <c:pt idx="2353">
                  <c:v>5.7</c:v>
                </c:pt>
                <c:pt idx="2354">
                  <c:v>3.1</c:v>
                </c:pt>
                <c:pt idx="2355">
                  <c:v>6.3</c:v>
                </c:pt>
                <c:pt idx="2356">
                  <c:v>5.7</c:v>
                </c:pt>
                <c:pt idx="2357">
                  <c:v>7.1</c:v>
                </c:pt>
                <c:pt idx="2358">
                  <c:v>7</c:v>
                </c:pt>
                <c:pt idx="2359">
                  <c:v>6.1</c:v>
                </c:pt>
                <c:pt idx="2360">
                  <c:v>6.6</c:v>
                </c:pt>
                <c:pt idx="2361">
                  <c:v>7.8</c:v>
                </c:pt>
                <c:pt idx="2362">
                  <c:v>8.3000000000000007</c:v>
                </c:pt>
                <c:pt idx="2363">
                  <c:v>3.9</c:v>
                </c:pt>
                <c:pt idx="2364">
                  <c:v>7</c:v>
                </c:pt>
                <c:pt idx="2365">
                  <c:v>6.7</c:v>
                </c:pt>
                <c:pt idx="2366">
                  <c:v>7.3</c:v>
                </c:pt>
                <c:pt idx="2367">
                  <c:v>6.3</c:v>
                </c:pt>
                <c:pt idx="2368">
                  <c:v>7.8</c:v>
                </c:pt>
                <c:pt idx="2369">
                  <c:v>7.3</c:v>
                </c:pt>
                <c:pt idx="2370">
                  <c:v>7.6</c:v>
                </c:pt>
                <c:pt idx="2371">
                  <c:v>5.3</c:v>
                </c:pt>
                <c:pt idx="2372">
                  <c:v>7.9</c:v>
                </c:pt>
                <c:pt idx="2373">
                  <c:v>5.3</c:v>
                </c:pt>
                <c:pt idx="2374">
                  <c:v>6.8</c:v>
                </c:pt>
                <c:pt idx="2375">
                  <c:v>7.1</c:v>
                </c:pt>
                <c:pt idx="2376">
                  <c:v>7.2</c:v>
                </c:pt>
                <c:pt idx="2377">
                  <c:v>5.8</c:v>
                </c:pt>
                <c:pt idx="2378">
                  <c:v>5.8</c:v>
                </c:pt>
                <c:pt idx="2379">
                  <c:v>8.3000000000000007</c:v>
                </c:pt>
                <c:pt idx="2380">
                  <c:v>5.6</c:v>
                </c:pt>
                <c:pt idx="2381">
                  <c:v>6.8</c:v>
                </c:pt>
                <c:pt idx="2382">
                  <c:v>5</c:v>
                </c:pt>
                <c:pt idx="2383">
                  <c:v>7.6</c:v>
                </c:pt>
                <c:pt idx="2384">
                  <c:v>6.7</c:v>
                </c:pt>
                <c:pt idx="2385">
                  <c:v>6.7</c:v>
                </c:pt>
                <c:pt idx="2386">
                  <c:v>5.7</c:v>
                </c:pt>
                <c:pt idx="2387">
                  <c:v>5.2</c:v>
                </c:pt>
                <c:pt idx="2388">
                  <c:v>7.5</c:v>
                </c:pt>
                <c:pt idx="2389">
                  <c:v>7.2</c:v>
                </c:pt>
                <c:pt idx="2390">
                  <c:v>5.3</c:v>
                </c:pt>
                <c:pt idx="2391">
                  <c:v>6.5</c:v>
                </c:pt>
                <c:pt idx="2392">
                  <c:v>5</c:v>
                </c:pt>
                <c:pt idx="2393">
                  <c:v>6.1</c:v>
                </c:pt>
                <c:pt idx="2394">
                  <c:v>7.4</c:v>
                </c:pt>
                <c:pt idx="2395">
                  <c:v>4.4000000000000004</c:v>
                </c:pt>
                <c:pt idx="2396">
                  <c:v>7.5</c:v>
                </c:pt>
                <c:pt idx="2397">
                  <c:v>5.7</c:v>
                </c:pt>
                <c:pt idx="2398">
                  <c:v>5.5</c:v>
                </c:pt>
                <c:pt idx="2399">
                  <c:v>7.1</c:v>
                </c:pt>
                <c:pt idx="2400">
                  <c:v>5.9</c:v>
                </c:pt>
                <c:pt idx="2401">
                  <c:v>6.7</c:v>
                </c:pt>
                <c:pt idx="2402">
                  <c:v>7</c:v>
                </c:pt>
                <c:pt idx="2403">
                  <c:v>7.9</c:v>
                </c:pt>
                <c:pt idx="2404">
                  <c:v>6.9</c:v>
                </c:pt>
                <c:pt idx="2405">
                  <c:v>7.3</c:v>
                </c:pt>
                <c:pt idx="2406">
                  <c:v>7.3</c:v>
                </c:pt>
                <c:pt idx="2407">
                  <c:v>3.5</c:v>
                </c:pt>
                <c:pt idx="2408">
                  <c:v>7.8</c:v>
                </c:pt>
                <c:pt idx="2409">
                  <c:v>7.4</c:v>
                </c:pt>
                <c:pt idx="2410">
                  <c:v>6.7</c:v>
                </c:pt>
                <c:pt idx="2411">
                  <c:v>6.4</c:v>
                </c:pt>
                <c:pt idx="2412">
                  <c:v>7.1</c:v>
                </c:pt>
                <c:pt idx="2413">
                  <c:v>7.8</c:v>
                </c:pt>
                <c:pt idx="2414">
                  <c:v>4</c:v>
                </c:pt>
                <c:pt idx="2415">
                  <c:v>5.9</c:v>
                </c:pt>
                <c:pt idx="2416">
                  <c:v>7.2</c:v>
                </c:pt>
                <c:pt idx="2417">
                  <c:v>7.2</c:v>
                </c:pt>
                <c:pt idx="2418">
                  <c:v>5.0999999999999996</c:v>
                </c:pt>
                <c:pt idx="2419">
                  <c:v>5.5</c:v>
                </c:pt>
                <c:pt idx="2420">
                  <c:v>6.2</c:v>
                </c:pt>
                <c:pt idx="2421">
                  <c:v>7.2</c:v>
                </c:pt>
                <c:pt idx="2422">
                  <c:v>5.2</c:v>
                </c:pt>
                <c:pt idx="2423">
                  <c:v>6.7</c:v>
                </c:pt>
                <c:pt idx="2424">
                  <c:v>6.3</c:v>
                </c:pt>
                <c:pt idx="2425">
                  <c:v>5</c:v>
                </c:pt>
                <c:pt idx="2426">
                  <c:v>6.2</c:v>
                </c:pt>
                <c:pt idx="2427">
                  <c:v>7.6</c:v>
                </c:pt>
                <c:pt idx="2428">
                  <c:v>4.0999999999999996</c:v>
                </c:pt>
                <c:pt idx="2429">
                  <c:v>5.3</c:v>
                </c:pt>
                <c:pt idx="2430">
                  <c:v>6.2</c:v>
                </c:pt>
                <c:pt idx="2431">
                  <c:v>6.5</c:v>
                </c:pt>
                <c:pt idx="2432">
                  <c:v>8.1</c:v>
                </c:pt>
                <c:pt idx="2433">
                  <c:v>6.3</c:v>
                </c:pt>
                <c:pt idx="2434">
                  <c:v>4.4000000000000004</c:v>
                </c:pt>
                <c:pt idx="2435">
                  <c:v>4.5999999999999996</c:v>
                </c:pt>
                <c:pt idx="2436">
                  <c:v>6</c:v>
                </c:pt>
                <c:pt idx="2437">
                  <c:v>7.6</c:v>
                </c:pt>
                <c:pt idx="2438">
                  <c:v>8.4</c:v>
                </c:pt>
                <c:pt idx="2439">
                  <c:v>7.9</c:v>
                </c:pt>
                <c:pt idx="2440">
                  <c:v>5.6</c:v>
                </c:pt>
                <c:pt idx="2441">
                  <c:v>6.5</c:v>
                </c:pt>
                <c:pt idx="2442">
                  <c:v>7.5</c:v>
                </c:pt>
                <c:pt idx="2443">
                  <c:v>6.3</c:v>
                </c:pt>
                <c:pt idx="2444">
                  <c:v>7.9</c:v>
                </c:pt>
                <c:pt idx="2445">
                  <c:v>7.9</c:v>
                </c:pt>
                <c:pt idx="2446">
                  <c:v>5.0999999999999996</c:v>
                </c:pt>
                <c:pt idx="2447">
                  <c:v>6.7</c:v>
                </c:pt>
                <c:pt idx="2448">
                  <c:v>6.7</c:v>
                </c:pt>
                <c:pt idx="2449">
                  <c:v>5.6</c:v>
                </c:pt>
                <c:pt idx="2450">
                  <c:v>5.6</c:v>
                </c:pt>
                <c:pt idx="2451">
                  <c:v>6.8</c:v>
                </c:pt>
                <c:pt idx="2452">
                  <c:v>6.2</c:v>
                </c:pt>
                <c:pt idx="2453">
                  <c:v>5.6</c:v>
                </c:pt>
                <c:pt idx="2454">
                  <c:v>6.4</c:v>
                </c:pt>
                <c:pt idx="2455">
                  <c:v>5.6</c:v>
                </c:pt>
                <c:pt idx="2456">
                  <c:v>7.4</c:v>
                </c:pt>
                <c:pt idx="2457">
                  <c:v>4.9000000000000004</c:v>
                </c:pt>
                <c:pt idx="2458">
                  <c:v>6</c:v>
                </c:pt>
                <c:pt idx="2459">
                  <c:v>7.2</c:v>
                </c:pt>
                <c:pt idx="2460">
                  <c:v>4.9000000000000004</c:v>
                </c:pt>
                <c:pt idx="2461">
                  <c:v>7.5</c:v>
                </c:pt>
                <c:pt idx="2462">
                  <c:v>4.8</c:v>
                </c:pt>
                <c:pt idx="2463">
                  <c:v>3.1</c:v>
                </c:pt>
                <c:pt idx="2464">
                  <c:v>5.8</c:v>
                </c:pt>
                <c:pt idx="2465">
                  <c:v>6.7</c:v>
                </c:pt>
                <c:pt idx="2466">
                  <c:v>6.8</c:v>
                </c:pt>
                <c:pt idx="2467">
                  <c:v>6.5</c:v>
                </c:pt>
                <c:pt idx="2468">
                  <c:v>5.9</c:v>
                </c:pt>
                <c:pt idx="2469">
                  <c:v>5.5</c:v>
                </c:pt>
                <c:pt idx="2470">
                  <c:v>3.6</c:v>
                </c:pt>
                <c:pt idx="2471">
                  <c:v>3.3</c:v>
                </c:pt>
                <c:pt idx="2472">
                  <c:v>7.4</c:v>
                </c:pt>
                <c:pt idx="2473">
                  <c:v>6.7</c:v>
                </c:pt>
                <c:pt idx="2474">
                  <c:v>3</c:v>
                </c:pt>
                <c:pt idx="2475">
                  <c:v>7.6</c:v>
                </c:pt>
                <c:pt idx="2476">
                  <c:v>6.4</c:v>
                </c:pt>
                <c:pt idx="2477">
                  <c:v>6.9</c:v>
                </c:pt>
                <c:pt idx="2478">
                  <c:v>6.6</c:v>
                </c:pt>
                <c:pt idx="2479">
                  <c:v>5.5</c:v>
                </c:pt>
                <c:pt idx="2480">
                  <c:v>6.6</c:v>
                </c:pt>
                <c:pt idx="2481">
                  <c:v>5.2</c:v>
                </c:pt>
                <c:pt idx="2482">
                  <c:v>4.0999999999999996</c:v>
                </c:pt>
                <c:pt idx="2483">
                  <c:v>6.8</c:v>
                </c:pt>
                <c:pt idx="2484">
                  <c:v>6.5</c:v>
                </c:pt>
                <c:pt idx="2485">
                  <c:v>7.6</c:v>
                </c:pt>
                <c:pt idx="2486">
                  <c:v>7.4</c:v>
                </c:pt>
                <c:pt idx="2487">
                  <c:v>7.7</c:v>
                </c:pt>
                <c:pt idx="2488">
                  <c:v>7.1</c:v>
                </c:pt>
                <c:pt idx="2489">
                  <c:v>6.3</c:v>
                </c:pt>
                <c:pt idx="2490">
                  <c:v>7.6</c:v>
                </c:pt>
                <c:pt idx="2491">
                  <c:v>8</c:v>
                </c:pt>
                <c:pt idx="2492">
                  <c:v>7.3</c:v>
                </c:pt>
                <c:pt idx="2493">
                  <c:v>7.6</c:v>
                </c:pt>
                <c:pt idx="2494">
                  <c:v>7.8</c:v>
                </c:pt>
                <c:pt idx="2495">
                  <c:v>6.5</c:v>
                </c:pt>
                <c:pt idx="2496">
                  <c:v>6.4</c:v>
                </c:pt>
                <c:pt idx="2497">
                  <c:v>8</c:v>
                </c:pt>
                <c:pt idx="2498">
                  <c:v>4.8</c:v>
                </c:pt>
                <c:pt idx="2499">
                  <c:v>7.8</c:v>
                </c:pt>
                <c:pt idx="2500">
                  <c:v>5.9</c:v>
                </c:pt>
                <c:pt idx="2501">
                  <c:v>5.4</c:v>
                </c:pt>
                <c:pt idx="2502">
                  <c:v>3.3</c:v>
                </c:pt>
                <c:pt idx="2503">
                  <c:v>8.1999999999999993</c:v>
                </c:pt>
                <c:pt idx="2504">
                  <c:v>5.4</c:v>
                </c:pt>
                <c:pt idx="2505">
                  <c:v>6.4</c:v>
                </c:pt>
                <c:pt idx="2506">
                  <c:v>4.8</c:v>
                </c:pt>
                <c:pt idx="2507">
                  <c:v>5.9</c:v>
                </c:pt>
                <c:pt idx="2508">
                  <c:v>5.5</c:v>
                </c:pt>
                <c:pt idx="2509">
                  <c:v>7.9</c:v>
                </c:pt>
                <c:pt idx="2510">
                  <c:v>4.9000000000000004</c:v>
                </c:pt>
                <c:pt idx="2511">
                  <c:v>7.2</c:v>
                </c:pt>
                <c:pt idx="2512">
                  <c:v>6.6</c:v>
                </c:pt>
                <c:pt idx="2513">
                  <c:v>6.7</c:v>
                </c:pt>
                <c:pt idx="2514">
                  <c:v>5.3</c:v>
                </c:pt>
                <c:pt idx="2515">
                  <c:v>7.2</c:v>
                </c:pt>
                <c:pt idx="2516">
                  <c:v>5.0999999999999996</c:v>
                </c:pt>
                <c:pt idx="2517">
                  <c:v>5.6</c:v>
                </c:pt>
                <c:pt idx="2518">
                  <c:v>7.6</c:v>
                </c:pt>
                <c:pt idx="2519">
                  <c:v>3.1</c:v>
                </c:pt>
                <c:pt idx="2520">
                  <c:v>7.2</c:v>
                </c:pt>
                <c:pt idx="2521">
                  <c:v>5.7</c:v>
                </c:pt>
                <c:pt idx="2522">
                  <c:v>5.2</c:v>
                </c:pt>
                <c:pt idx="2523">
                  <c:v>7.7</c:v>
                </c:pt>
                <c:pt idx="2524">
                  <c:v>7</c:v>
                </c:pt>
                <c:pt idx="2525">
                  <c:v>3.6</c:v>
                </c:pt>
                <c:pt idx="2526">
                  <c:v>4.9000000000000004</c:v>
                </c:pt>
                <c:pt idx="2527">
                  <c:v>6</c:v>
                </c:pt>
                <c:pt idx="2528">
                  <c:v>6.6</c:v>
                </c:pt>
                <c:pt idx="2529">
                  <c:v>6.8</c:v>
                </c:pt>
                <c:pt idx="2530">
                  <c:v>7.2</c:v>
                </c:pt>
                <c:pt idx="2531">
                  <c:v>7.2</c:v>
                </c:pt>
                <c:pt idx="2532">
                  <c:v>2.8</c:v>
                </c:pt>
                <c:pt idx="2533">
                  <c:v>6.6</c:v>
                </c:pt>
                <c:pt idx="2534">
                  <c:v>6.7</c:v>
                </c:pt>
                <c:pt idx="2535">
                  <c:v>7</c:v>
                </c:pt>
                <c:pt idx="2536">
                  <c:v>4.4000000000000004</c:v>
                </c:pt>
                <c:pt idx="2537">
                  <c:v>7.1</c:v>
                </c:pt>
                <c:pt idx="2538">
                  <c:v>6.2</c:v>
                </c:pt>
                <c:pt idx="2539">
                  <c:v>7.3</c:v>
                </c:pt>
                <c:pt idx="2540">
                  <c:v>5.0999999999999996</c:v>
                </c:pt>
                <c:pt idx="2541">
                  <c:v>8.1</c:v>
                </c:pt>
                <c:pt idx="2542">
                  <c:v>6.7</c:v>
                </c:pt>
                <c:pt idx="2543">
                  <c:v>6.6</c:v>
                </c:pt>
                <c:pt idx="2544">
                  <c:v>4.5</c:v>
                </c:pt>
                <c:pt idx="2545">
                  <c:v>6.6</c:v>
                </c:pt>
                <c:pt idx="2546">
                  <c:v>6.5</c:v>
                </c:pt>
                <c:pt idx="2547">
                  <c:v>5.9</c:v>
                </c:pt>
                <c:pt idx="2548">
                  <c:v>6.6</c:v>
                </c:pt>
                <c:pt idx="2549">
                  <c:v>6.5</c:v>
                </c:pt>
                <c:pt idx="2550">
                  <c:v>7.3</c:v>
                </c:pt>
                <c:pt idx="2551">
                  <c:v>7.5</c:v>
                </c:pt>
                <c:pt idx="2552">
                  <c:v>5.9</c:v>
                </c:pt>
                <c:pt idx="2553">
                  <c:v>7.4</c:v>
                </c:pt>
                <c:pt idx="2554">
                  <c:v>6.9</c:v>
                </c:pt>
                <c:pt idx="2555">
                  <c:v>7.9</c:v>
                </c:pt>
                <c:pt idx="2556">
                  <c:v>8.4</c:v>
                </c:pt>
                <c:pt idx="2557">
                  <c:v>8</c:v>
                </c:pt>
                <c:pt idx="2558">
                  <c:v>6</c:v>
                </c:pt>
                <c:pt idx="2559">
                  <c:v>6.8</c:v>
                </c:pt>
                <c:pt idx="2560">
                  <c:v>7.8</c:v>
                </c:pt>
                <c:pt idx="2561">
                  <c:v>5.7</c:v>
                </c:pt>
                <c:pt idx="2562">
                  <c:v>6.1</c:v>
                </c:pt>
                <c:pt idx="2563">
                  <c:v>8.1</c:v>
                </c:pt>
                <c:pt idx="2564">
                  <c:v>6.1</c:v>
                </c:pt>
                <c:pt idx="2565">
                  <c:v>7.5</c:v>
                </c:pt>
                <c:pt idx="2566">
                  <c:v>6.2</c:v>
                </c:pt>
                <c:pt idx="2567">
                  <c:v>6.2</c:v>
                </c:pt>
                <c:pt idx="2568">
                  <c:v>7.9</c:v>
                </c:pt>
                <c:pt idx="2569">
                  <c:v>7.4</c:v>
                </c:pt>
                <c:pt idx="2570">
                  <c:v>6.6</c:v>
                </c:pt>
                <c:pt idx="2571">
                  <c:v>7.3</c:v>
                </c:pt>
                <c:pt idx="2572">
                  <c:v>7.5</c:v>
                </c:pt>
                <c:pt idx="2573">
                  <c:v>5.6</c:v>
                </c:pt>
                <c:pt idx="2574">
                  <c:v>7.3</c:v>
                </c:pt>
                <c:pt idx="2575">
                  <c:v>6.4</c:v>
                </c:pt>
                <c:pt idx="2576">
                  <c:v>5</c:v>
                </c:pt>
                <c:pt idx="2577">
                  <c:v>5.4</c:v>
                </c:pt>
                <c:pt idx="2578">
                  <c:v>8.1999999999999993</c:v>
                </c:pt>
                <c:pt idx="2579">
                  <c:v>7.1</c:v>
                </c:pt>
                <c:pt idx="2580">
                  <c:v>5.3</c:v>
                </c:pt>
                <c:pt idx="2581">
                  <c:v>6.5</c:v>
                </c:pt>
                <c:pt idx="2582">
                  <c:v>6.2</c:v>
                </c:pt>
                <c:pt idx="2583">
                  <c:v>6.4</c:v>
                </c:pt>
                <c:pt idx="2584">
                  <c:v>7.2</c:v>
                </c:pt>
                <c:pt idx="2585">
                  <c:v>6.9</c:v>
                </c:pt>
                <c:pt idx="2586">
                  <c:v>5.7</c:v>
                </c:pt>
                <c:pt idx="2587">
                  <c:v>7.7</c:v>
                </c:pt>
                <c:pt idx="2588">
                  <c:v>5.4</c:v>
                </c:pt>
                <c:pt idx="2589">
                  <c:v>5.6</c:v>
                </c:pt>
                <c:pt idx="2590">
                  <c:v>7.7</c:v>
                </c:pt>
                <c:pt idx="2591">
                  <c:v>5.0999999999999996</c:v>
                </c:pt>
                <c:pt idx="2592">
                  <c:v>6.8</c:v>
                </c:pt>
                <c:pt idx="2593">
                  <c:v>8.4</c:v>
                </c:pt>
                <c:pt idx="2594">
                  <c:v>4.9000000000000004</c:v>
                </c:pt>
                <c:pt idx="2595">
                  <c:v>7.1</c:v>
                </c:pt>
                <c:pt idx="2596">
                  <c:v>6.6</c:v>
                </c:pt>
                <c:pt idx="2597">
                  <c:v>6.1</c:v>
                </c:pt>
                <c:pt idx="2598">
                  <c:v>4.0999999999999996</c:v>
                </c:pt>
                <c:pt idx="2599">
                  <c:v>5.8</c:v>
                </c:pt>
                <c:pt idx="2600">
                  <c:v>8.1</c:v>
                </c:pt>
                <c:pt idx="2601">
                  <c:v>7.6</c:v>
                </c:pt>
                <c:pt idx="2602">
                  <c:v>7.8</c:v>
                </c:pt>
                <c:pt idx="2603">
                  <c:v>4.5999999999999996</c:v>
                </c:pt>
                <c:pt idx="2604">
                  <c:v>6</c:v>
                </c:pt>
                <c:pt idx="2605">
                  <c:v>7</c:v>
                </c:pt>
                <c:pt idx="2606">
                  <c:v>6.7</c:v>
                </c:pt>
                <c:pt idx="2607">
                  <c:v>6.4</c:v>
                </c:pt>
                <c:pt idx="2608">
                  <c:v>7.2</c:v>
                </c:pt>
                <c:pt idx="2609">
                  <c:v>7.4</c:v>
                </c:pt>
                <c:pt idx="2610">
                  <c:v>4.8</c:v>
                </c:pt>
                <c:pt idx="2611">
                  <c:v>4</c:v>
                </c:pt>
                <c:pt idx="2612">
                  <c:v>6.2</c:v>
                </c:pt>
                <c:pt idx="2613">
                  <c:v>7.7</c:v>
                </c:pt>
                <c:pt idx="2614">
                  <c:v>6.7</c:v>
                </c:pt>
                <c:pt idx="2615">
                  <c:v>7.9</c:v>
                </c:pt>
                <c:pt idx="2616">
                  <c:v>7.9</c:v>
                </c:pt>
                <c:pt idx="2617">
                  <c:v>5.5</c:v>
                </c:pt>
                <c:pt idx="2618">
                  <c:v>6.2</c:v>
                </c:pt>
                <c:pt idx="2619">
                  <c:v>5.0999999999999996</c:v>
                </c:pt>
                <c:pt idx="2620">
                  <c:v>4.0999999999999996</c:v>
                </c:pt>
                <c:pt idx="2621">
                  <c:v>6.7</c:v>
                </c:pt>
                <c:pt idx="2622">
                  <c:v>4.7</c:v>
                </c:pt>
                <c:pt idx="2623">
                  <c:v>6.4</c:v>
                </c:pt>
                <c:pt idx="2624">
                  <c:v>6.3</c:v>
                </c:pt>
                <c:pt idx="2625">
                  <c:v>5.5</c:v>
                </c:pt>
                <c:pt idx="2626">
                  <c:v>7.3</c:v>
                </c:pt>
                <c:pt idx="2627">
                  <c:v>6.3</c:v>
                </c:pt>
                <c:pt idx="2628">
                  <c:v>4.9000000000000004</c:v>
                </c:pt>
                <c:pt idx="2629">
                  <c:v>7.6</c:v>
                </c:pt>
                <c:pt idx="2630">
                  <c:v>6</c:v>
                </c:pt>
                <c:pt idx="2631">
                  <c:v>6.2</c:v>
                </c:pt>
                <c:pt idx="2632">
                  <c:v>6.8</c:v>
                </c:pt>
                <c:pt idx="2633">
                  <c:v>4.5</c:v>
                </c:pt>
                <c:pt idx="2634">
                  <c:v>5.7</c:v>
                </c:pt>
                <c:pt idx="2635">
                  <c:v>8.4</c:v>
                </c:pt>
                <c:pt idx="2636">
                  <c:v>4.5999999999999996</c:v>
                </c:pt>
                <c:pt idx="2637">
                  <c:v>6.2</c:v>
                </c:pt>
                <c:pt idx="2638">
                  <c:v>7</c:v>
                </c:pt>
                <c:pt idx="2639">
                  <c:v>6.9</c:v>
                </c:pt>
                <c:pt idx="2640">
                  <c:v>6.1</c:v>
                </c:pt>
                <c:pt idx="2641">
                  <c:v>6.7</c:v>
                </c:pt>
                <c:pt idx="2642">
                  <c:v>5.6</c:v>
                </c:pt>
                <c:pt idx="2643">
                  <c:v>6.6</c:v>
                </c:pt>
                <c:pt idx="2644">
                  <c:v>6.4</c:v>
                </c:pt>
                <c:pt idx="2645">
                  <c:v>2.8</c:v>
                </c:pt>
                <c:pt idx="2646">
                  <c:v>5.4</c:v>
                </c:pt>
                <c:pt idx="2647">
                  <c:v>5</c:v>
                </c:pt>
                <c:pt idx="2648">
                  <c:v>5.0999999999999996</c:v>
                </c:pt>
                <c:pt idx="2649">
                  <c:v>8</c:v>
                </c:pt>
                <c:pt idx="2650">
                  <c:v>5.9</c:v>
                </c:pt>
                <c:pt idx="2651">
                  <c:v>8.1999999999999993</c:v>
                </c:pt>
                <c:pt idx="2652">
                  <c:v>7</c:v>
                </c:pt>
                <c:pt idx="2653">
                  <c:v>6.6</c:v>
                </c:pt>
                <c:pt idx="2654">
                  <c:v>6.7</c:v>
                </c:pt>
                <c:pt idx="2655">
                  <c:v>5.5</c:v>
                </c:pt>
                <c:pt idx="2656">
                  <c:v>4.9000000000000004</c:v>
                </c:pt>
                <c:pt idx="2657">
                  <c:v>6.9</c:v>
                </c:pt>
                <c:pt idx="2658">
                  <c:v>7.4</c:v>
                </c:pt>
                <c:pt idx="2659">
                  <c:v>5.6</c:v>
                </c:pt>
                <c:pt idx="2660">
                  <c:v>8</c:v>
                </c:pt>
                <c:pt idx="2661">
                  <c:v>5.3</c:v>
                </c:pt>
                <c:pt idx="2662">
                  <c:v>6.2</c:v>
                </c:pt>
                <c:pt idx="2663">
                  <c:v>5.3</c:v>
                </c:pt>
                <c:pt idx="2664">
                  <c:v>6.6</c:v>
                </c:pt>
                <c:pt idx="2665">
                  <c:v>7.2</c:v>
                </c:pt>
                <c:pt idx="2666">
                  <c:v>4.5999999999999996</c:v>
                </c:pt>
                <c:pt idx="2667">
                  <c:v>7.5</c:v>
                </c:pt>
                <c:pt idx="2668">
                  <c:v>6.5</c:v>
                </c:pt>
                <c:pt idx="2669">
                  <c:v>7.6</c:v>
                </c:pt>
                <c:pt idx="2670">
                  <c:v>6.2</c:v>
                </c:pt>
                <c:pt idx="2671">
                  <c:v>8</c:v>
                </c:pt>
                <c:pt idx="2672">
                  <c:v>5.5</c:v>
                </c:pt>
                <c:pt idx="2673">
                  <c:v>6.3</c:v>
                </c:pt>
                <c:pt idx="2674">
                  <c:v>7.2</c:v>
                </c:pt>
                <c:pt idx="2675">
                  <c:v>6.7</c:v>
                </c:pt>
                <c:pt idx="2676">
                  <c:v>5.3</c:v>
                </c:pt>
                <c:pt idx="2677">
                  <c:v>6.3</c:v>
                </c:pt>
                <c:pt idx="2678">
                  <c:v>6.5</c:v>
                </c:pt>
                <c:pt idx="2679">
                  <c:v>5.6</c:v>
                </c:pt>
                <c:pt idx="2680">
                  <c:v>7</c:v>
                </c:pt>
                <c:pt idx="2681">
                  <c:v>8.3000000000000007</c:v>
                </c:pt>
                <c:pt idx="2682">
                  <c:v>7.2</c:v>
                </c:pt>
                <c:pt idx="2683">
                  <c:v>6.8</c:v>
                </c:pt>
                <c:pt idx="2684">
                  <c:v>6.4</c:v>
                </c:pt>
                <c:pt idx="2685">
                  <c:v>6.9</c:v>
                </c:pt>
                <c:pt idx="2686">
                  <c:v>8</c:v>
                </c:pt>
                <c:pt idx="2687">
                  <c:v>6.2</c:v>
                </c:pt>
                <c:pt idx="2688">
                  <c:v>6.4</c:v>
                </c:pt>
                <c:pt idx="2689">
                  <c:v>5.6</c:v>
                </c:pt>
                <c:pt idx="2690">
                  <c:v>6.1</c:v>
                </c:pt>
                <c:pt idx="2691">
                  <c:v>6</c:v>
                </c:pt>
                <c:pt idx="2692">
                  <c:v>5.0999999999999996</c:v>
                </c:pt>
                <c:pt idx="2693">
                  <c:v>4.5</c:v>
                </c:pt>
                <c:pt idx="2694">
                  <c:v>5.9</c:v>
                </c:pt>
                <c:pt idx="2695">
                  <c:v>6</c:v>
                </c:pt>
                <c:pt idx="2696">
                  <c:v>5.8</c:v>
                </c:pt>
                <c:pt idx="2697">
                  <c:v>6.1</c:v>
                </c:pt>
                <c:pt idx="2698">
                  <c:v>4.9000000000000004</c:v>
                </c:pt>
                <c:pt idx="2699">
                  <c:v>5.7</c:v>
                </c:pt>
                <c:pt idx="2700">
                  <c:v>7.1</c:v>
                </c:pt>
                <c:pt idx="2701">
                  <c:v>6.6</c:v>
                </c:pt>
                <c:pt idx="2702">
                  <c:v>8.1</c:v>
                </c:pt>
                <c:pt idx="2703">
                  <c:v>5.7</c:v>
                </c:pt>
                <c:pt idx="2704">
                  <c:v>6.8</c:v>
                </c:pt>
                <c:pt idx="2705">
                  <c:v>7.5</c:v>
                </c:pt>
                <c:pt idx="2706">
                  <c:v>6.2</c:v>
                </c:pt>
                <c:pt idx="2707">
                  <c:v>8.3000000000000007</c:v>
                </c:pt>
                <c:pt idx="2708">
                  <c:v>7.4</c:v>
                </c:pt>
                <c:pt idx="2709">
                  <c:v>8</c:v>
                </c:pt>
                <c:pt idx="2710">
                  <c:v>6.9</c:v>
                </c:pt>
                <c:pt idx="2711">
                  <c:v>6.9</c:v>
                </c:pt>
                <c:pt idx="2712">
                  <c:v>9.5</c:v>
                </c:pt>
                <c:pt idx="2713">
                  <c:v>5.5</c:v>
                </c:pt>
                <c:pt idx="2714">
                  <c:v>5.7</c:v>
                </c:pt>
                <c:pt idx="2715">
                  <c:v>7.2</c:v>
                </c:pt>
                <c:pt idx="2716">
                  <c:v>6.9</c:v>
                </c:pt>
                <c:pt idx="2717">
                  <c:v>5.5</c:v>
                </c:pt>
                <c:pt idx="2718">
                  <c:v>5.9</c:v>
                </c:pt>
                <c:pt idx="2719">
                  <c:v>7.7</c:v>
                </c:pt>
                <c:pt idx="2720">
                  <c:v>5.2</c:v>
                </c:pt>
                <c:pt idx="2721">
                  <c:v>7.1</c:v>
                </c:pt>
                <c:pt idx="2722">
                  <c:v>5.5</c:v>
                </c:pt>
                <c:pt idx="2723">
                  <c:v>7.7</c:v>
                </c:pt>
                <c:pt idx="2724">
                  <c:v>5.4</c:v>
                </c:pt>
                <c:pt idx="2725">
                  <c:v>6.7</c:v>
                </c:pt>
                <c:pt idx="2726">
                  <c:v>5</c:v>
                </c:pt>
                <c:pt idx="2727">
                  <c:v>6.4</c:v>
                </c:pt>
                <c:pt idx="2728">
                  <c:v>6.6</c:v>
                </c:pt>
                <c:pt idx="2729">
                  <c:v>5.9</c:v>
                </c:pt>
                <c:pt idx="2730">
                  <c:v>5.7</c:v>
                </c:pt>
                <c:pt idx="2731">
                  <c:v>4.5</c:v>
                </c:pt>
                <c:pt idx="2732">
                  <c:v>3.7</c:v>
                </c:pt>
                <c:pt idx="2733">
                  <c:v>5</c:v>
                </c:pt>
                <c:pt idx="2734">
                  <c:v>4.5999999999999996</c:v>
                </c:pt>
                <c:pt idx="2735">
                  <c:v>6.5</c:v>
                </c:pt>
                <c:pt idx="2736">
                  <c:v>4.9000000000000004</c:v>
                </c:pt>
                <c:pt idx="2737">
                  <c:v>6</c:v>
                </c:pt>
                <c:pt idx="2738">
                  <c:v>6.9</c:v>
                </c:pt>
                <c:pt idx="2739">
                  <c:v>5.7</c:v>
                </c:pt>
                <c:pt idx="2740">
                  <c:v>6.7</c:v>
                </c:pt>
                <c:pt idx="2741">
                  <c:v>6.9</c:v>
                </c:pt>
                <c:pt idx="2742">
                  <c:v>5.5</c:v>
                </c:pt>
                <c:pt idx="2743">
                  <c:v>4.4000000000000004</c:v>
                </c:pt>
                <c:pt idx="2744">
                  <c:v>5.4</c:v>
                </c:pt>
                <c:pt idx="2745">
                  <c:v>7</c:v>
                </c:pt>
                <c:pt idx="2746">
                  <c:v>5.4</c:v>
                </c:pt>
                <c:pt idx="2747">
                  <c:v>5.4</c:v>
                </c:pt>
                <c:pt idx="2748">
                  <c:v>8</c:v>
                </c:pt>
                <c:pt idx="2749">
                  <c:v>7.6</c:v>
                </c:pt>
                <c:pt idx="2750">
                  <c:v>5.9</c:v>
                </c:pt>
                <c:pt idx="2751">
                  <c:v>6.6</c:v>
                </c:pt>
                <c:pt idx="2752">
                  <c:v>6.7</c:v>
                </c:pt>
                <c:pt idx="2753">
                  <c:v>3.9</c:v>
                </c:pt>
                <c:pt idx="2754">
                  <c:v>5.7</c:v>
                </c:pt>
                <c:pt idx="2755">
                  <c:v>6.7</c:v>
                </c:pt>
                <c:pt idx="2756">
                  <c:v>6.5</c:v>
                </c:pt>
                <c:pt idx="2757">
                  <c:v>6.8</c:v>
                </c:pt>
                <c:pt idx="2758">
                  <c:v>6.3</c:v>
                </c:pt>
                <c:pt idx="2759">
                  <c:v>7.3</c:v>
                </c:pt>
                <c:pt idx="2760">
                  <c:v>6.9</c:v>
                </c:pt>
                <c:pt idx="2761">
                  <c:v>7</c:v>
                </c:pt>
                <c:pt idx="2762">
                  <c:v>6.5</c:v>
                </c:pt>
                <c:pt idx="2763">
                  <c:v>3.6</c:v>
                </c:pt>
                <c:pt idx="2764">
                  <c:v>7.7</c:v>
                </c:pt>
                <c:pt idx="2765">
                  <c:v>7.7</c:v>
                </c:pt>
                <c:pt idx="2766">
                  <c:v>5.9</c:v>
                </c:pt>
                <c:pt idx="2767">
                  <c:v>6.8</c:v>
                </c:pt>
                <c:pt idx="2768">
                  <c:v>7.4</c:v>
                </c:pt>
                <c:pt idx="2769">
                  <c:v>5.0999999999999996</c:v>
                </c:pt>
                <c:pt idx="2770">
                  <c:v>7.4</c:v>
                </c:pt>
                <c:pt idx="2771">
                  <c:v>7.2</c:v>
                </c:pt>
                <c:pt idx="2772">
                  <c:v>6</c:v>
                </c:pt>
                <c:pt idx="2773">
                  <c:v>8.3000000000000007</c:v>
                </c:pt>
                <c:pt idx="2774">
                  <c:v>8.1</c:v>
                </c:pt>
                <c:pt idx="2775">
                  <c:v>6.3</c:v>
                </c:pt>
                <c:pt idx="2776">
                  <c:v>7.3</c:v>
                </c:pt>
                <c:pt idx="2777">
                  <c:v>3.6</c:v>
                </c:pt>
                <c:pt idx="2778">
                  <c:v>1.6</c:v>
                </c:pt>
                <c:pt idx="2779">
                  <c:v>8</c:v>
                </c:pt>
                <c:pt idx="2780">
                  <c:v>6.2</c:v>
                </c:pt>
                <c:pt idx="2781">
                  <c:v>9</c:v>
                </c:pt>
                <c:pt idx="2782">
                  <c:v>6.1</c:v>
                </c:pt>
                <c:pt idx="2783">
                  <c:v>5.7</c:v>
                </c:pt>
                <c:pt idx="2784">
                  <c:v>6.8</c:v>
                </c:pt>
                <c:pt idx="2785">
                  <c:v>5.5</c:v>
                </c:pt>
                <c:pt idx="2786">
                  <c:v>6.8</c:v>
                </c:pt>
                <c:pt idx="2787">
                  <c:v>7.3</c:v>
                </c:pt>
                <c:pt idx="2788">
                  <c:v>6.1</c:v>
                </c:pt>
                <c:pt idx="2789">
                  <c:v>7.2</c:v>
                </c:pt>
                <c:pt idx="2790">
                  <c:v>5.9</c:v>
                </c:pt>
                <c:pt idx="2791">
                  <c:v>6.1</c:v>
                </c:pt>
                <c:pt idx="2792">
                  <c:v>6.8</c:v>
                </c:pt>
                <c:pt idx="2793">
                  <c:v>7.7</c:v>
                </c:pt>
                <c:pt idx="2794">
                  <c:v>4.9000000000000004</c:v>
                </c:pt>
                <c:pt idx="2795">
                  <c:v>6.1</c:v>
                </c:pt>
                <c:pt idx="2796">
                  <c:v>2.5</c:v>
                </c:pt>
                <c:pt idx="2797">
                  <c:v>6.1</c:v>
                </c:pt>
                <c:pt idx="2798">
                  <c:v>5.9</c:v>
                </c:pt>
                <c:pt idx="2799">
                  <c:v>5.7</c:v>
                </c:pt>
                <c:pt idx="2800">
                  <c:v>5.6</c:v>
                </c:pt>
                <c:pt idx="2801">
                  <c:v>7.2</c:v>
                </c:pt>
                <c:pt idx="2802">
                  <c:v>7.7</c:v>
                </c:pt>
                <c:pt idx="2803">
                  <c:v>7.8</c:v>
                </c:pt>
                <c:pt idx="2804">
                  <c:v>6.1</c:v>
                </c:pt>
                <c:pt idx="2805">
                  <c:v>5.8</c:v>
                </c:pt>
                <c:pt idx="2806">
                  <c:v>6.5</c:v>
                </c:pt>
                <c:pt idx="2807">
                  <c:v>7.9</c:v>
                </c:pt>
                <c:pt idx="2808">
                  <c:v>6.3</c:v>
                </c:pt>
                <c:pt idx="2809">
                  <c:v>3.8</c:v>
                </c:pt>
                <c:pt idx="2810">
                  <c:v>8.3000000000000007</c:v>
                </c:pt>
                <c:pt idx="2811">
                  <c:v>6.4</c:v>
                </c:pt>
                <c:pt idx="2812">
                  <c:v>6.7</c:v>
                </c:pt>
                <c:pt idx="2813">
                  <c:v>6.1</c:v>
                </c:pt>
                <c:pt idx="2814">
                  <c:v>8.1</c:v>
                </c:pt>
                <c:pt idx="2815">
                  <c:v>6</c:v>
                </c:pt>
                <c:pt idx="2816">
                  <c:v>5.8</c:v>
                </c:pt>
                <c:pt idx="2817">
                  <c:v>5.6</c:v>
                </c:pt>
                <c:pt idx="2818">
                  <c:v>6.1</c:v>
                </c:pt>
                <c:pt idx="2819">
                  <c:v>5.9</c:v>
                </c:pt>
                <c:pt idx="2820">
                  <c:v>7.3</c:v>
                </c:pt>
                <c:pt idx="2821">
                  <c:v>6.8</c:v>
                </c:pt>
                <c:pt idx="2822">
                  <c:v>5.7</c:v>
                </c:pt>
                <c:pt idx="2823">
                  <c:v>7.3</c:v>
                </c:pt>
                <c:pt idx="2824">
                  <c:v>6.3</c:v>
                </c:pt>
                <c:pt idx="2825">
                  <c:v>5.9</c:v>
                </c:pt>
                <c:pt idx="2826">
                  <c:v>7.1</c:v>
                </c:pt>
                <c:pt idx="2827">
                  <c:v>7.1</c:v>
                </c:pt>
                <c:pt idx="2828">
                  <c:v>8</c:v>
                </c:pt>
                <c:pt idx="2829">
                  <c:v>5.0999999999999996</c:v>
                </c:pt>
                <c:pt idx="2830">
                  <c:v>7.1</c:v>
                </c:pt>
                <c:pt idx="2831">
                  <c:v>6.5</c:v>
                </c:pt>
                <c:pt idx="2832">
                  <c:v>4.5</c:v>
                </c:pt>
                <c:pt idx="2833">
                  <c:v>6.6</c:v>
                </c:pt>
                <c:pt idx="2834">
                  <c:v>4.3</c:v>
                </c:pt>
                <c:pt idx="2835">
                  <c:v>6.7</c:v>
                </c:pt>
                <c:pt idx="2836">
                  <c:v>6.8</c:v>
                </c:pt>
                <c:pt idx="2837">
                  <c:v>5.4</c:v>
                </c:pt>
                <c:pt idx="2838">
                  <c:v>6.6</c:v>
                </c:pt>
                <c:pt idx="2839">
                  <c:v>7.4</c:v>
                </c:pt>
                <c:pt idx="2840">
                  <c:v>7.3</c:v>
                </c:pt>
                <c:pt idx="2841">
                  <c:v>6.9</c:v>
                </c:pt>
                <c:pt idx="2842">
                  <c:v>8</c:v>
                </c:pt>
                <c:pt idx="2843">
                  <c:v>6.4</c:v>
                </c:pt>
                <c:pt idx="2844">
                  <c:v>7.8</c:v>
                </c:pt>
                <c:pt idx="2845">
                  <c:v>6.1</c:v>
                </c:pt>
                <c:pt idx="2846">
                  <c:v>6.1</c:v>
                </c:pt>
                <c:pt idx="2847">
                  <c:v>5.0999999999999996</c:v>
                </c:pt>
                <c:pt idx="2848">
                  <c:v>7.8</c:v>
                </c:pt>
                <c:pt idx="2849">
                  <c:v>7.4</c:v>
                </c:pt>
                <c:pt idx="2850">
                  <c:v>7.8</c:v>
                </c:pt>
                <c:pt idx="2851">
                  <c:v>8</c:v>
                </c:pt>
                <c:pt idx="2852">
                  <c:v>6.7</c:v>
                </c:pt>
                <c:pt idx="2853">
                  <c:v>6.6</c:v>
                </c:pt>
                <c:pt idx="2854">
                  <c:v>6.4</c:v>
                </c:pt>
                <c:pt idx="2855">
                  <c:v>6.7</c:v>
                </c:pt>
                <c:pt idx="2856">
                  <c:v>6.2</c:v>
                </c:pt>
                <c:pt idx="2857">
                  <c:v>7.3</c:v>
                </c:pt>
                <c:pt idx="2858">
                  <c:v>8.1</c:v>
                </c:pt>
                <c:pt idx="2859">
                  <c:v>7</c:v>
                </c:pt>
                <c:pt idx="2860">
                  <c:v>8</c:v>
                </c:pt>
                <c:pt idx="2861">
                  <c:v>8</c:v>
                </c:pt>
                <c:pt idx="2862">
                  <c:v>7</c:v>
                </c:pt>
                <c:pt idx="2863">
                  <c:v>7.9</c:v>
                </c:pt>
                <c:pt idx="2864">
                  <c:v>5.9</c:v>
                </c:pt>
                <c:pt idx="2865">
                  <c:v>6.6</c:v>
                </c:pt>
                <c:pt idx="2866">
                  <c:v>6.3</c:v>
                </c:pt>
                <c:pt idx="2867">
                  <c:v>7.7</c:v>
                </c:pt>
                <c:pt idx="2868">
                  <c:v>6.9</c:v>
                </c:pt>
                <c:pt idx="2869">
                  <c:v>7.1</c:v>
                </c:pt>
                <c:pt idx="2870">
                  <c:v>7.4</c:v>
                </c:pt>
                <c:pt idx="2871">
                  <c:v>6.5</c:v>
                </c:pt>
                <c:pt idx="2872">
                  <c:v>6.5</c:v>
                </c:pt>
                <c:pt idx="2873">
                  <c:v>6.8</c:v>
                </c:pt>
                <c:pt idx="2874">
                  <c:v>7.5</c:v>
                </c:pt>
                <c:pt idx="2875">
                  <c:v>6.6</c:v>
                </c:pt>
                <c:pt idx="2876">
                  <c:v>7.1</c:v>
                </c:pt>
                <c:pt idx="2877">
                  <c:v>6.6</c:v>
                </c:pt>
                <c:pt idx="2878">
                  <c:v>7</c:v>
                </c:pt>
                <c:pt idx="2879">
                  <c:v>3.3</c:v>
                </c:pt>
                <c:pt idx="2880">
                  <c:v>6.7</c:v>
                </c:pt>
                <c:pt idx="2881">
                  <c:v>8</c:v>
                </c:pt>
                <c:pt idx="2882">
                  <c:v>6.8</c:v>
                </c:pt>
                <c:pt idx="2883">
                  <c:v>6</c:v>
                </c:pt>
                <c:pt idx="2884">
                  <c:v>5.4</c:v>
                </c:pt>
                <c:pt idx="2885">
                  <c:v>4.3</c:v>
                </c:pt>
                <c:pt idx="2886">
                  <c:v>6.2</c:v>
                </c:pt>
                <c:pt idx="2887">
                  <c:v>7.7</c:v>
                </c:pt>
                <c:pt idx="2888">
                  <c:v>8</c:v>
                </c:pt>
                <c:pt idx="2889">
                  <c:v>7.4</c:v>
                </c:pt>
                <c:pt idx="2890">
                  <c:v>5.9</c:v>
                </c:pt>
                <c:pt idx="2891">
                  <c:v>7.8</c:v>
                </c:pt>
                <c:pt idx="2892">
                  <c:v>7.4</c:v>
                </c:pt>
                <c:pt idx="2893">
                  <c:v>6.5</c:v>
                </c:pt>
                <c:pt idx="2894">
                  <c:v>5.4</c:v>
                </c:pt>
                <c:pt idx="2895">
                  <c:v>7</c:v>
                </c:pt>
                <c:pt idx="2896">
                  <c:v>7.6</c:v>
                </c:pt>
                <c:pt idx="2897">
                  <c:v>6.9</c:v>
                </c:pt>
                <c:pt idx="2898">
                  <c:v>7</c:v>
                </c:pt>
                <c:pt idx="2899">
                  <c:v>5.3</c:v>
                </c:pt>
                <c:pt idx="2900">
                  <c:v>6.4</c:v>
                </c:pt>
                <c:pt idx="2901">
                  <c:v>4.5</c:v>
                </c:pt>
                <c:pt idx="2902">
                  <c:v>7.8</c:v>
                </c:pt>
                <c:pt idx="2903">
                  <c:v>6.7</c:v>
                </c:pt>
                <c:pt idx="2904">
                  <c:v>5.3</c:v>
                </c:pt>
                <c:pt idx="2905">
                  <c:v>6.3</c:v>
                </c:pt>
                <c:pt idx="2906">
                  <c:v>7</c:v>
                </c:pt>
                <c:pt idx="2907">
                  <c:v>5.3</c:v>
                </c:pt>
                <c:pt idx="2908">
                  <c:v>6.6</c:v>
                </c:pt>
                <c:pt idx="2909">
                  <c:v>5.8</c:v>
                </c:pt>
                <c:pt idx="2910">
                  <c:v>6.7</c:v>
                </c:pt>
                <c:pt idx="2911">
                  <c:v>6.6</c:v>
                </c:pt>
                <c:pt idx="2912">
                  <c:v>7</c:v>
                </c:pt>
                <c:pt idx="2913">
                  <c:v>8.4</c:v>
                </c:pt>
                <c:pt idx="2914">
                  <c:v>6</c:v>
                </c:pt>
                <c:pt idx="2915">
                  <c:v>5.4</c:v>
                </c:pt>
                <c:pt idx="2916">
                  <c:v>7.8</c:v>
                </c:pt>
                <c:pt idx="2917">
                  <c:v>7.6</c:v>
                </c:pt>
                <c:pt idx="2918">
                  <c:v>6.6</c:v>
                </c:pt>
                <c:pt idx="2919">
                  <c:v>6.4</c:v>
                </c:pt>
                <c:pt idx="2920">
                  <c:v>7</c:v>
                </c:pt>
                <c:pt idx="2921">
                  <c:v>5.7</c:v>
                </c:pt>
                <c:pt idx="2922">
                  <c:v>5.9</c:v>
                </c:pt>
                <c:pt idx="2923">
                  <c:v>6.3</c:v>
                </c:pt>
                <c:pt idx="2924">
                  <c:v>6.3</c:v>
                </c:pt>
                <c:pt idx="2925">
                  <c:v>6.2</c:v>
                </c:pt>
                <c:pt idx="2926">
                  <c:v>2.1</c:v>
                </c:pt>
                <c:pt idx="2927">
                  <c:v>5</c:v>
                </c:pt>
                <c:pt idx="2928">
                  <c:v>5.3</c:v>
                </c:pt>
                <c:pt idx="2929">
                  <c:v>7.1</c:v>
                </c:pt>
                <c:pt idx="2930">
                  <c:v>7</c:v>
                </c:pt>
                <c:pt idx="2931">
                  <c:v>7</c:v>
                </c:pt>
                <c:pt idx="2932">
                  <c:v>5.7</c:v>
                </c:pt>
                <c:pt idx="2933">
                  <c:v>7.1</c:v>
                </c:pt>
                <c:pt idx="2934">
                  <c:v>7</c:v>
                </c:pt>
                <c:pt idx="2935">
                  <c:v>7.7</c:v>
                </c:pt>
                <c:pt idx="2936">
                  <c:v>7.1</c:v>
                </c:pt>
                <c:pt idx="2937">
                  <c:v>6.8</c:v>
                </c:pt>
                <c:pt idx="2938">
                  <c:v>7.5</c:v>
                </c:pt>
                <c:pt idx="2939">
                  <c:v>6.3</c:v>
                </c:pt>
                <c:pt idx="2940">
                  <c:v>7.3</c:v>
                </c:pt>
                <c:pt idx="2941">
                  <c:v>6.8</c:v>
                </c:pt>
                <c:pt idx="2942">
                  <c:v>7.2</c:v>
                </c:pt>
                <c:pt idx="2943">
                  <c:v>6.4</c:v>
                </c:pt>
                <c:pt idx="2944">
                  <c:v>6</c:v>
                </c:pt>
                <c:pt idx="2945">
                  <c:v>6.4</c:v>
                </c:pt>
                <c:pt idx="2946">
                  <c:v>5.0999999999999996</c:v>
                </c:pt>
                <c:pt idx="2947">
                  <c:v>7.5</c:v>
                </c:pt>
                <c:pt idx="2948">
                  <c:v>7.1</c:v>
                </c:pt>
                <c:pt idx="2949">
                  <c:v>4.5999999999999996</c:v>
                </c:pt>
                <c:pt idx="2950">
                  <c:v>5.7</c:v>
                </c:pt>
                <c:pt idx="2951">
                  <c:v>6.8</c:v>
                </c:pt>
                <c:pt idx="2952">
                  <c:v>7.7</c:v>
                </c:pt>
                <c:pt idx="2953">
                  <c:v>6.7</c:v>
                </c:pt>
                <c:pt idx="2954">
                  <c:v>3.2</c:v>
                </c:pt>
                <c:pt idx="2955">
                  <c:v>6.1</c:v>
                </c:pt>
                <c:pt idx="2956">
                  <c:v>5.6</c:v>
                </c:pt>
                <c:pt idx="2957">
                  <c:v>6.9</c:v>
                </c:pt>
                <c:pt idx="2958">
                  <c:v>7.5</c:v>
                </c:pt>
                <c:pt idx="2959">
                  <c:v>5.8</c:v>
                </c:pt>
                <c:pt idx="2960">
                  <c:v>8.3000000000000007</c:v>
                </c:pt>
                <c:pt idx="2961">
                  <c:v>2.8</c:v>
                </c:pt>
                <c:pt idx="2962">
                  <c:v>6.6</c:v>
                </c:pt>
                <c:pt idx="2963">
                  <c:v>7.5</c:v>
                </c:pt>
                <c:pt idx="2964">
                  <c:v>6</c:v>
                </c:pt>
                <c:pt idx="2965">
                  <c:v>6.2</c:v>
                </c:pt>
                <c:pt idx="2966">
                  <c:v>7.2</c:v>
                </c:pt>
                <c:pt idx="2967">
                  <c:v>8.6999999999999993</c:v>
                </c:pt>
                <c:pt idx="2968">
                  <c:v>6</c:v>
                </c:pt>
                <c:pt idx="2969">
                  <c:v>8</c:v>
                </c:pt>
                <c:pt idx="2970">
                  <c:v>7.2</c:v>
                </c:pt>
                <c:pt idx="2971">
                  <c:v>4.5</c:v>
                </c:pt>
                <c:pt idx="2972">
                  <c:v>7.9</c:v>
                </c:pt>
                <c:pt idx="2973">
                  <c:v>7.1</c:v>
                </c:pt>
                <c:pt idx="2974">
                  <c:v>7.5</c:v>
                </c:pt>
                <c:pt idx="2975">
                  <c:v>6.8</c:v>
                </c:pt>
                <c:pt idx="2976">
                  <c:v>4.3</c:v>
                </c:pt>
                <c:pt idx="2977">
                  <c:v>7.2</c:v>
                </c:pt>
                <c:pt idx="2978">
                  <c:v>5.8</c:v>
                </c:pt>
                <c:pt idx="2979">
                  <c:v>7.1</c:v>
                </c:pt>
                <c:pt idx="2980">
                  <c:v>7.4</c:v>
                </c:pt>
                <c:pt idx="2981">
                  <c:v>7.6</c:v>
                </c:pt>
                <c:pt idx="2982">
                  <c:v>6.9</c:v>
                </c:pt>
                <c:pt idx="2983">
                  <c:v>6</c:v>
                </c:pt>
                <c:pt idx="2984">
                  <c:v>6.9</c:v>
                </c:pt>
                <c:pt idx="2985">
                  <c:v>7.3</c:v>
                </c:pt>
                <c:pt idx="2986">
                  <c:v>4.5999999999999996</c:v>
                </c:pt>
                <c:pt idx="2987">
                  <c:v>6</c:v>
                </c:pt>
                <c:pt idx="2988">
                  <c:v>6.4</c:v>
                </c:pt>
                <c:pt idx="2989">
                  <c:v>5.5</c:v>
                </c:pt>
                <c:pt idx="2990">
                  <c:v>7.5</c:v>
                </c:pt>
                <c:pt idx="2991">
                  <c:v>8.1</c:v>
                </c:pt>
                <c:pt idx="2992">
                  <c:v>6.3</c:v>
                </c:pt>
                <c:pt idx="2993">
                  <c:v>5.0999999999999996</c:v>
                </c:pt>
                <c:pt idx="2994">
                  <c:v>6.8</c:v>
                </c:pt>
                <c:pt idx="2995">
                  <c:v>5.3</c:v>
                </c:pt>
                <c:pt idx="2996">
                  <c:v>7.3</c:v>
                </c:pt>
                <c:pt idx="2997">
                  <c:v>7.3</c:v>
                </c:pt>
                <c:pt idx="2998">
                  <c:v>7.1</c:v>
                </c:pt>
                <c:pt idx="2999">
                  <c:v>7.6</c:v>
                </c:pt>
                <c:pt idx="3000">
                  <c:v>5.3</c:v>
                </c:pt>
                <c:pt idx="3001">
                  <c:v>7.8</c:v>
                </c:pt>
                <c:pt idx="3002">
                  <c:v>7.7</c:v>
                </c:pt>
                <c:pt idx="3003">
                  <c:v>7.7</c:v>
                </c:pt>
                <c:pt idx="3004">
                  <c:v>5.4</c:v>
                </c:pt>
                <c:pt idx="3005">
                  <c:v>6.2</c:v>
                </c:pt>
                <c:pt idx="3006">
                  <c:v>7.4</c:v>
                </c:pt>
                <c:pt idx="3007">
                  <c:v>6.2</c:v>
                </c:pt>
                <c:pt idx="3008">
                  <c:v>5.0999999999999996</c:v>
                </c:pt>
                <c:pt idx="3009">
                  <c:v>6.9</c:v>
                </c:pt>
                <c:pt idx="3010">
                  <c:v>6.3</c:v>
                </c:pt>
                <c:pt idx="3011">
                  <c:v>6.8</c:v>
                </c:pt>
                <c:pt idx="3012">
                  <c:v>7.4</c:v>
                </c:pt>
                <c:pt idx="3013">
                  <c:v>5.7</c:v>
                </c:pt>
                <c:pt idx="3014">
                  <c:v>5.8</c:v>
                </c:pt>
                <c:pt idx="3015">
                  <c:v>6.2</c:v>
                </c:pt>
                <c:pt idx="3016">
                  <c:v>4.3</c:v>
                </c:pt>
                <c:pt idx="3017">
                  <c:v>6.4</c:v>
                </c:pt>
                <c:pt idx="3018">
                  <c:v>6</c:v>
                </c:pt>
                <c:pt idx="3019">
                  <c:v>6.9</c:v>
                </c:pt>
                <c:pt idx="3020">
                  <c:v>5.5</c:v>
                </c:pt>
                <c:pt idx="3021">
                  <c:v>5.4</c:v>
                </c:pt>
                <c:pt idx="3022">
                  <c:v>8.3000000000000007</c:v>
                </c:pt>
                <c:pt idx="3023">
                  <c:v>7.9</c:v>
                </c:pt>
                <c:pt idx="3024">
                  <c:v>6.5</c:v>
                </c:pt>
                <c:pt idx="3025">
                  <c:v>6.3</c:v>
                </c:pt>
                <c:pt idx="3026">
                  <c:v>6.4</c:v>
                </c:pt>
                <c:pt idx="3027">
                  <c:v>5.3</c:v>
                </c:pt>
                <c:pt idx="3028">
                  <c:v>5.8</c:v>
                </c:pt>
                <c:pt idx="3029">
                  <c:v>6.6</c:v>
                </c:pt>
                <c:pt idx="3030">
                  <c:v>7.4</c:v>
                </c:pt>
                <c:pt idx="3031">
                  <c:v>8.3000000000000007</c:v>
                </c:pt>
                <c:pt idx="3032">
                  <c:v>5.3</c:v>
                </c:pt>
                <c:pt idx="3033">
                  <c:v>6.2</c:v>
                </c:pt>
                <c:pt idx="3034">
                  <c:v>6.9</c:v>
                </c:pt>
                <c:pt idx="3035">
                  <c:v>5.9</c:v>
                </c:pt>
                <c:pt idx="3036">
                  <c:v>6.1</c:v>
                </c:pt>
                <c:pt idx="3037">
                  <c:v>5.8</c:v>
                </c:pt>
                <c:pt idx="3038">
                  <c:v>7.3</c:v>
                </c:pt>
                <c:pt idx="3039">
                  <c:v>5.9</c:v>
                </c:pt>
                <c:pt idx="3040">
                  <c:v>5.5</c:v>
                </c:pt>
                <c:pt idx="3041">
                  <c:v>5</c:v>
                </c:pt>
                <c:pt idx="3042">
                  <c:v>7</c:v>
                </c:pt>
                <c:pt idx="3043">
                  <c:v>7.8</c:v>
                </c:pt>
                <c:pt idx="3044">
                  <c:v>6.4</c:v>
                </c:pt>
                <c:pt idx="3045">
                  <c:v>5.9</c:v>
                </c:pt>
                <c:pt idx="3046">
                  <c:v>7</c:v>
                </c:pt>
                <c:pt idx="3047">
                  <c:v>6.1</c:v>
                </c:pt>
                <c:pt idx="3048">
                  <c:v>6.9</c:v>
                </c:pt>
                <c:pt idx="3049">
                  <c:v>7.5</c:v>
                </c:pt>
                <c:pt idx="3050">
                  <c:v>7.3</c:v>
                </c:pt>
                <c:pt idx="3051">
                  <c:v>6.5</c:v>
                </c:pt>
                <c:pt idx="3052">
                  <c:v>6.2</c:v>
                </c:pt>
                <c:pt idx="3053">
                  <c:v>6.7</c:v>
                </c:pt>
                <c:pt idx="3054">
                  <c:v>6</c:v>
                </c:pt>
                <c:pt idx="3055">
                  <c:v>6.3</c:v>
                </c:pt>
                <c:pt idx="3056">
                  <c:v>5.8</c:v>
                </c:pt>
                <c:pt idx="3057">
                  <c:v>6.1</c:v>
                </c:pt>
                <c:pt idx="3058">
                  <c:v>6.9</c:v>
                </c:pt>
                <c:pt idx="3059">
                  <c:v>8.3000000000000007</c:v>
                </c:pt>
                <c:pt idx="3060">
                  <c:v>5.4</c:v>
                </c:pt>
                <c:pt idx="3061">
                  <c:v>6.7</c:v>
                </c:pt>
                <c:pt idx="3062">
                  <c:v>7.4</c:v>
                </c:pt>
                <c:pt idx="3063">
                  <c:v>5.6</c:v>
                </c:pt>
                <c:pt idx="3064">
                  <c:v>6.5</c:v>
                </c:pt>
                <c:pt idx="3065">
                  <c:v>6.5</c:v>
                </c:pt>
                <c:pt idx="3066">
                  <c:v>5.8</c:v>
                </c:pt>
                <c:pt idx="3067">
                  <c:v>5</c:v>
                </c:pt>
                <c:pt idx="3068">
                  <c:v>5.5</c:v>
                </c:pt>
                <c:pt idx="3069">
                  <c:v>6.5</c:v>
                </c:pt>
                <c:pt idx="3070">
                  <c:v>7.2</c:v>
                </c:pt>
                <c:pt idx="3071">
                  <c:v>7.3</c:v>
                </c:pt>
                <c:pt idx="3072">
                  <c:v>7.2</c:v>
                </c:pt>
                <c:pt idx="3073">
                  <c:v>5.2</c:v>
                </c:pt>
                <c:pt idx="3074">
                  <c:v>5.7</c:v>
                </c:pt>
                <c:pt idx="3075">
                  <c:v>4.7</c:v>
                </c:pt>
                <c:pt idx="3076">
                  <c:v>5.9</c:v>
                </c:pt>
                <c:pt idx="3077">
                  <c:v>6.8</c:v>
                </c:pt>
                <c:pt idx="3078">
                  <c:v>5.9</c:v>
                </c:pt>
                <c:pt idx="3079">
                  <c:v>5.3</c:v>
                </c:pt>
                <c:pt idx="3080">
                  <c:v>6</c:v>
                </c:pt>
                <c:pt idx="3081">
                  <c:v>7.7</c:v>
                </c:pt>
                <c:pt idx="3082">
                  <c:v>4.4000000000000004</c:v>
                </c:pt>
                <c:pt idx="3083">
                  <c:v>6.6</c:v>
                </c:pt>
                <c:pt idx="3084">
                  <c:v>6.7</c:v>
                </c:pt>
                <c:pt idx="3085">
                  <c:v>5.5</c:v>
                </c:pt>
                <c:pt idx="3086">
                  <c:v>6.5</c:v>
                </c:pt>
                <c:pt idx="3087">
                  <c:v>6.2</c:v>
                </c:pt>
                <c:pt idx="3088">
                  <c:v>7.1</c:v>
                </c:pt>
                <c:pt idx="3089">
                  <c:v>6.1</c:v>
                </c:pt>
                <c:pt idx="3090">
                  <c:v>7.1</c:v>
                </c:pt>
                <c:pt idx="3091">
                  <c:v>6</c:v>
                </c:pt>
                <c:pt idx="3092">
                  <c:v>7.4</c:v>
                </c:pt>
                <c:pt idx="3093">
                  <c:v>5.9</c:v>
                </c:pt>
                <c:pt idx="3094">
                  <c:v>4.0999999999999996</c:v>
                </c:pt>
                <c:pt idx="3095">
                  <c:v>5.8</c:v>
                </c:pt>
                <c:pt idx="3096">
                  <c:v>5.9</c:v>
                </c:pt>
                <c:pt idx="3097">
                  <c:v>7</c:v>
                </c:pt>
                <c:pt idx="3098">
                  <c:v>6.8</c:v>
                </c:pt>
                <c:pt idx="3099">
                  <c:v>7.4</c:v>
                </c:pt>
                <c:pt idx="3100">
                  <c:v>7.1</c:v>
                </c:pt>
                <c:pt idx="3101">
                  <c:v>7</c:v>
                </c:pt>
                <c:pt idx="3102">
                  <c:v>5.8</c:v>
                </c:pt>
                <c:pt idx="3103">
                  <c:v>7.8</c:v>
                </c:pt>
                <c:pt idx="3104">
                  <c:v>6.5</c:v>
                </c:pt>
                <c:pt idx="3105">
                  <c:v>7</c:v>
                </c:pt>
                <c:pt idx="3106">
                  <c:v>6.3</c:v>
                </c:pt>
                <c:pt idx="3107">
                  <c:v>5.3</c:v>
                </c:pt>
                <c:pt idx="3108">
                  <c:v>6.8</c:v>
                </c:pt>
                <c:pt idx="3109">
                  <c:v>5.5</c:v>
                </c:pt>
                <c:pt idx="3110">
                  <c:v>7.4</c:v>
                </c:pt>
                <c:pt idx="3111">
                  <c:v>4.3</c:v>
                </c:pt>
                <c:pt idx="3112">
                  <c:v>6</c:v>
                </c:pt>
                <c:pt idx="3113">
                  <c:v>5.2</c:v>
                </c:pt>
                <c:pt idx="3114">
                  <c:v>6.7</c:v>
                </c:pt>
                <c:pt idx="3115">
                  <c:v>6.3</c:v>
                </c:pt>
                <c:pt idx="3116">
                  <c:v>8.6</c:v>
                </c:pt>
                <c:pt idx="3117">
                  <c:v>6.1</c:v>
                </c:pt>
                <c:pt idx="3118">
                  <c:v>5.8</c:v>
                </c:pt>
                <c:pt idx="3119">
                  <c:v>7.7</c:v>
                </c:pt>
                <c:pt idx="3120">
                  <c:v>8</c:v>
                </c:pt>
                <c:pt idx="3121">
                  <c:v>5.6</c:v>
                </c:pt>
                <c:pt idx="3122">
                  <c:v>6.7</c:v>
                </c:pt>
                <c:pt idx="3123">
                  <c:v>6.6</c:v>
                </c:pt>
                <c:pt idx="3124">
                  <c:v>4.2</c:v>
                </c:pt>
                <c:pt idx="3125">
                  <c:v>6.6</c:v>
                </c:pt>
                <c:pt idx="3126">
                  <c:v>4.0999999999999996</c:v>
                </c:pt>
                <c:pt idx="3127">
                  <c:v>7.3</c:v>
                </c:pt>
                <c:pt idx="3128">
                  <c:v>7.1</c:v>
                </c:pt>
                <c:pt idx="3129">
                  <c:v>6.5</c:v>
                </c:pt>
                <c:pt idx="3130">
                  <c:v>7</c:v>
                </c:pt>
                <c:pt idx="3131">
                  <c:v>5.5</c:v>
                </c:pt>
                <c:pt idx="3132">
                  <c:v>6.6</c:v>
                </c:pt>
                <c:pt idx="3133">
                  <c:v>7.1</c:v>
                </c:pt>
                <c:pt idx="3134">
                  <c:v>7.9</c:v>
                </c:pt>
                <c:pt idx="3135">
                  <c:v>7.1</c:v>
                </c:pt>
                <c:pt idx="3136">
                  <c:v>5.6</c:v>
                </c:pt>
                <c:pt idx="3137">
                  <c:v>7.3</c:v>
                </c:pt>
                <c:pt idx="3138">
                  <c:v>3.3</c:v>
                </c:pt>
                <c:pt idx="3139">
                  <c:v>6.5</c:v>
                </c:pt>
                <c:pt idx="3140">
                  <c:v>4.8</c:v>
                </c:pt>
                <c:pt idx="3141">
                  <c:v>5.2</c:v>
                </c:pt>
                <c:pt idx="3142">
                  <c:v>6.3</c:v>
                </c:pt>
                <c:pt idx="3143">
                  <c:v>7.2</c:v>
                </c:pt>
                <c:pt idx="3144">
                  <c:v>6.8</c:v>
                </c:pt>
                <c:pt idx="3145">
                  <c:v>5.7</c:v>
                </c:pt>
                <c:pt idx="3146">
                  <c:v>7.2</c:v>
                </c:pt>
                <c:pt idx="3147">
                  <c:v>6.9</c:v>
                </c:pt>
                <c:pt idx="3148">
                  <c:v>6.3</c:v>
                </c:pt>
                <c:pt idx="3149">
                  <c:v>6.2</c:v>
                </c:pt>
                <c:pt idx="3150">
                  <c:v>6.7</c:v>
                </c:pt>
                <c:pt idx="3151">
                  <c:v>6.5</c:v>
                </c:pt>
                <c:pt idx="3152">
                  <c:v>7.2</c:v>
                </c:pt>
                <c:pt idx="3153">
                  <c:v>5.3</c:v>
                </c:pt>
                <c:pt idx="3154">
                  <c:v>6.7</c:v>
                </c:pt>
                <c:pt idx="3155">
                  <c:v>6.2</c:v>
                </c:pt>
                <c:pt idx="3156">
                  <c:v>3.6</c:v>
                </c:pt>
                <c:pt idx="3157">
                  <c:v>5.7</c:v>
                </c:pt>
                <c:pt idx="3158">
                  <c:v>7.3</c:v>
                </c:pt>
                <c:pt idx="3159">
                  <c:v>5</c:v>
                </c:pt>
                <c:pt idx="3160">
                  <c:v>6.6</c:v>
                </c:pt>
                <c:pt idx="3161">
                  <c:v>6.6</c:v>
                </c:pt>
                <c:pt idx="3162">
                  <c:v>6.8</c:v>
                </c:pt>
                <c:pt idx="3163">
                  <c:v>6.2</c:v>
                </c:pt>
                <c:pt idx="3164">
                  <c:v>7.3</c:v>
                </c:pt>
                <c:pt idx="3165">
                  <c:v>6.2</c:v>
                </c:pt>
                <c:pt idx="3166">
                  <c:v>6.9</c:v>
                </c:pt>
                <c:pt idx="3167">
                  <c:v>6.6</c:v>
                </c:pt>
                <c:pt idx="3168">
                  <c:v>6.3</c:v>
                </c:pt>
                <c:pt idx="3169">
                  <c:v>7</c:v>
                </c:pt>
                <c:pt idx="3170">
                  <c:v>3.3</c:v>
                </c:pt>
                <c:pt idx="3171">
                  <c:v>6.7</c:v>
                </c:pt>
                <c:pt idx="3172">
                  <c:v>6.2</c:v>
                </c:pt>
                <c:pt idx="3173">
                  <c:v>6.5</c:v>
                </c:pt>
                <c:pt idx="3174">
                  <c:v>3.5</c:v>
                </c:pt>
                <c:pt idx="3175">
                  <c:v>5.5</c:v>
                </c:pt>
                <c:pt idx="3176">
                  <c:v>5.9</c:v>
                </c:pt>
                <c:pt idx="3177">
                  <c:v>4.7</c:v>
                </c:pt>
                <c:pt idx="3178">
                  <c:v>4.2</c:v>
                </c:pt>
                <c:pt idx="3179">
                  <c:v>5.2</c:v>
                </c:pt>
                <c:pt idx="3180">
                  <c:v>5.2</c:v>
                </c:pt>
                <c:pt idx="3181">
                  <c:v>3.9</c:v>
                </c:pt>
                <c:pt idx="3182">
                  <c:v>6.1</c:v>
                </c:pt>
                <c:pt idx="3183">
                  <c:v>5.8</c:v>
                </c:pt>
                <c:pt idx="3184">
                  <c:v>6.7</c:v>
                </c:pt>
                <c:pt idx="3185">
                  <c:v>5.7</c:v>
                </c:pt>
                <c:pt idx="3186">
                  <c:v>4.5</c:v>
                </c:pt>
                <c:pt idx="3187">
                  <c:v>6.9</c:v>
                </c:pt>
                <c:pt idx="3188">
                  <c:v>4.8</c:v>
                </c:pt>
                <c:pt idx="3189">
                  <c:v>6.3</c:v>
                </c:pt>
                <c:pt idx="3190">
                  <c:v>6.9</c:v>
                </c:pt>
                <c:pt idx="3191">
                  <c:v>5.4</c:v>
                </c:pt>
                <c:pt idx="3192">
                  <c:v>3.8</c:v>
                </c:pt>
                <c:pt idx="3193">
                  <c:v>7</c:v>
                </c:pt>
                <c:pt idx="3194">
                  <c:v>5.2</c:v>
                </c:pt>
                <c:pt idx="3195">
                  <c:v>7.3</c:v>
                </c:pt>
                <c:pt idx="3196">
                  <c:v>4.5999999999999996</c:v>
                </c:pt>
                <c:pt idx="3197">
                  <c:v>6.5</c:v>
                </c:pt>
                <c:pt idx="3198">
                  <c:v>6.8</c:v>
                </c:pt>
                <c:pt idx="3199">
                  <c:v>6.7</c:v>
                </c:pt>
                <c:pt idx="3200">
                  <c:v>6.1</c:v>
                </c:pt>
                <c:pt idx="3201">
                  <c:v>5.2</c:v>
                </c:pt>
                <c:pt idx="3202">
                  <c:v>6.9</c:v>
                </c:pt>
                <c:pt idx="3203">
                  <c:v>6</c:v>
                </c:pt>
                <c:pt idx="3204">
                  <c:v>7.9</c:v>
                </c:pt>
                <c:pt idx="3205">
                  <c:v>4.5</c:v>
                </c:pt>
                <c:pt idx="3206">
                  <c:v>5.0999999999999996</c:v>
                </c:pt>
                <c:pt idx="3207">
                  <c:v>7.6</c:v>
                </c:pt>
                <c:pt idx="3208">
                  <c:v>7.6</c:v>
                </c:pt>
                <c:pt idx="3209">
                  <c:v>6.7</c:v>
                </c:pt>
                <c:pt idx="3210">
                  <c:v>6.1</c:v>
                </c:pt>
                <c:pt idx="3211">
                  <c:v>7.5</c:v>
                </c:pt>
                <c:pt idx="3212">
                  <c:v>5.3</c:v>
                </c:pt>
                <c:pt idx="3213">
                  <c:v>6</c:v>
                </c:pt>
                <c:pt idx="3214">
                  <c:v>7.1</c:v>
                </c:pt>
                <c:pt idx="3215">
                  <c:v>7.5</c:v>
                </c:pt>
                <c:pt idx="3216">
                  <c:v>6.9</c:v>
                </c:pt>
                <c:pt idx="3217">
                  <c:v>8.5</c:v>
                </c:pt>
                <c:pt idx="3218">
                  <c:v>7.5</c:v>
                </c:pt>
                <c:pt idx="3219">
                  <c:v>6.6</c:v>
                </c:pt>
                <c:pt idx="3220">
                  <c:v>8</c:v>
                </c:pt>
                <c:pt idx="3221">
                  <c:v>7</c:v>
                </c:pt>
                <c:pt idx="3222">
                  <c:v>5.8</c:v>
                </c:pt>
                <c:pt idx="3223">
                  <c:v>7.3</c:v>
                </c:pt>
                <c:pt idx="3224">
                  <c:v>6.8</c:v>
                </c:pt>
                <c:pt idx="3225">
                  <c:v>6.7</c:v>
                </c:pt>
                <c:pt idx="3226">
                  <c:v>6.5</c:v>
                </c:pt>
                <c:pt idx="3227">
                  <c:v>8</c:v>
                </c:pt>
                <c:pt idx="3228">
                  <c:v>6.5</c:v>
                </c:pt>
                <c:pt idx="3229">
                  <c:v>4.9000000000000004</c:v>
                </c:pt>
                <c:pt idx="3230">
                  <c:v>7.1</c:v>
                </c:pt>
                <c:pt idx="3231">
                  <c:v>7</c:v>
                </c:pt>
                <c:pt idx="3232">
                  <c:v>7</c:v>
                </c:pt>
                <c:pt idx="3233">
                  <c:v>7.5</c:v>
                </c:pt>
                <c:pt idx="3234">
                  <c:v>4.5</c:v>
                </c:pt>
                <c:pt idx="3235">
                  <c:v>5.5</c:v>
                </c:pt>
                <c:pt idx="3236">
                  <c:v>7.7</c:v>
                </c:pt>
                <c:pt idx="3237">
                  <c:v>7.2</c:v>
                </c:pt>
                <c:pt idx="3238">
                  <c:v>4.8</c:v>
                </c:pt>
                <c:pt idx="3239">
                  <c:v>6.7</c:v>
                </c:pt>
                <c:pt idx="3240">
                  <c:v>7</c:v>
                </c:pt>
                <c:pt idx="3241">
                  <c:v>6.5</c:v>
                </c:pt>
                <c:pt idx="3242">
                  <c:v>7.4</c:v>
                </c:pt>
                <c:pt idx="3243">
                  <c:v>5.7</c:v>
                </c:pt>
                <c:pt idx="3244">
                  <c:v>6.2</c:v>
                </c:pt>
                <c:pt idx="3245">
                  <c:v>5.7</c:v>
                </c:pt>
                <c:pt idx="3246">
                  <c:v>6.4</c:v>
                </c:pt>
                <c:pt idx="3247">
                  <c:v>7</c:v>
                </c:pt>
                <c:pt idx="3248">
                  <c:v>7.7</c:v>
                </c:pt>
                <c:pt idx="3249">
                  <c:v>5.4</c:v>
                </c:pt>
                <c:pt idx="3250">
                  <c:v>6.6</c:v>
                </c:pt>
                <c:pt idx="3251">
                  <c:v>6.1</c:v>
                </c:pt>
                <c:pt idx="3252">
                  <c:v>6.1</c:v>
                </c:pt>
                <c:pt idx="3253">
                  <c:v>7.6</c:v>
                </c:pt>
                <c:pt idx="3254">
                  <c:v>6.2</c:v>
                </c:pt>
                <c:pt idx="3255">
                  <c:v>6.6</c:v>
                </c:pt>
                <c:pt idx="3256">
                  <c:v>6.1</c:v>
                </c:pt>
                <c:pt idx="3257">
                  <c:v>7.3</c:v>
                </c:pt>
                <c:pt idx="3258">
                  <c:v>4.2</c:v>
                </c:pt>
                <c:pt idx="3259">
                  <c:v>7.1</c:v>
                </c:pt>
                <c:pt idx="3260">
                  <c:v>6</c:v>
                </c:pt>
                <c:pt idx="3261">
                  <c:v>6.5</c:v>
                </c:pt>
                <c:pt idx="3262">
                  <c:v>6.5</c:v>
                </c:pt>
                <c:pt idx="3263">
                  <c:v>5.7</c:v>
                </c:pt>
                <c:pt idx="3264">
                  <c:v>6.1</c:v>
                </c:pt>
                <c:pt idx="3265">
                  <c:v>7.1</c:v>
                </c:pt>
                <c:pt idx="3266">
                  <c:v>7.3</c:v>
                </c:pt>
                <c:pt idx="3267">
                  <c:v>6.5</c:v>
                </c:pt>
                <c:pt idx="3268">
                  <c:v>5.7</c:v>
                </c:pt>
                <c:pt idx="3269">
                  <c:v>7.2</c:v>
                </c:pt>
                <c:pt idx="3270">
                  <c:v>7.3</c:v>
                </c:pt>
                <c:pt idx="3271">
                  <c:v>6.9</c:v>
                </c:pt>
                <c:pt idx="3272">
                  <c:v>5</c:v>
                </c:pt>
                <c:pt idx="3273">
                  <c:v>5.9</c:v>
                </c:pt>
                <c:pt idx="3274">
                  <c:v>6.7</c:v>
                </c:pt>
                <c:pt idx="3275">
                  <c:v>7.3</c:v>
                </c:pt>
                <c:pt idx="3276">
                  <c:v>7.6</c:v>
                </c:pt>
                <c:pt idx="3277">
                  <c:v>6.5</c:v>
                </c:pt>
                <c:pt idx="3278">
                  <c:v>2.1</c:v>
                </c:pt>
                <c:pt idx="3279">
                  <c:v>5.3</c:v>
                </c:pt>
                <c:pt idx="3280">
                  <c:v>7.2</c:v>
                </c:pt>
                <c:pt idx="3281">
                  <c:v>7</c:v>
                </c:pt>
                <c:pt idx="3282">
                  <c:v>8</c:v>
                </c:pt>
                <c:pt idx="3283">
                  <c:v>6.5</c:v>
                </c:pt>
                <c:pt idx="3284">
                  <c:v>6.9</c:v>
                </c:pt>
                <c:pt idx="3285">
                  <c:v>7.1</c:v>
                </c:pt>
                <c:pt idx="3286">
                  <c:v>7.3</c:v>
                </c:pt>
                <c:pt idx="3287">
                  <c:v>7.5</c:v>
                </c:pt>
                <c:pt idx="3288">
                  <c:v>6.9</c:v>
                </c:pt>
                <c:pt idx="3289">
                  <c:v>7.2</c:v>
                </c:pt>
                <c:pt idx="3290">
                  <c:v>7.2</c:v>
                </c:pt>
                <c:pt idx="3291">
                  <c:v>6.7</c:v>
                </c:pt>
                <c:pt idx="3292">
                  <c:v>6</c:v>
                </c:pt>
                <c:pt idx="3293">
                  <c:v>8.9</c:v>
                </c:pt>
                <c:pt idx="3294">
                  <c:v>7.7</c:v>
                </c:pt>
                <c:pt idx="3295">
                  <c:v>7.9</c:v>
                </c:pt>
                <c:pt idx="3296">
                  <c:v>5.6</c:v>
                </c:pt>
                <c:pt idx="3297">
                  <c:v>8</c:v>
                </c:pt>
                <c:pt idx="3298">
                  <c:v>6.2</c:v>
                </c:pt>
                <c:pt idx="3299">
                  <c:v>7.9</c:v>
                </c:pt>
                <c:pt idx="3300">
                  <c:v>8.1</c:v>
                </c:pt>
                <c:pt idx="3301">
                  <c:v>7.6</c:v>
                </c:pt>
                <c:pt idx="3302">
                  <c:v>3.5</c:v>
                </c:pt>
                <c:pt idx="3303">
                  <c:v>7.6</c:v>
                </c:pt>
                <c:pt idx="3304">
                  <c:v>6.5</c:v>
                </c:pt>
                <c:pt idx="3305">
                  <c:v>5.6</c:v>
                </c:pt>
                <c:pt idx="3306">
                  <c:v>7.7</c:v>
                </c:pt>
                <c:pt idx="3307">
                  <c:v>5.2</c:v>
                </c:pt>
                <c:pt idx="3308">
                  <c:v>6.9</c:v>
                </c:pt>
                <c:pt idx="3309">
                  <c:v>6.1</c:v>
                </c:pt>
                <c:pt idx="3310">
                  <c:v>5</c:v>
                </c:pt>
                <c:pt idx="3311">
                  <c:v>7.8</c:v>
                </c:pt>
                <c:pt idx="3312">
                  <c:v>7.4</c:v>
                </c:pt>
                <c:pt idx="3313">
                  <c:v>6.8</c:v>
                </c:pt>
                <c:pt idx="3314">
                  <c:v>6.4</c:v>
                </c:pt>
                <c:pt idx="3315">
                  <c:v>5.7</c:v>
                </c:pt>
                <c:pt idx="3316">
                  <c:v>7.5</c:v>
                </c:pt>
                <c:pt idx="3317">
                  <c:v>6.7</c:v>
                </c:pt>
                <c:pt idx="3318">
                  <c:v>5.6</c:v>
                </c:pt>
                <c:pt idx="3319">
                  <c:v>7</c:v>
                </c:pt>
                <c:pt idx="3320">
                  <c:v>7.6</c:v>
                </c:pt>
                <c:pt idx="3321">
                  <c:v>6.5</c:v>
                </c:pt>
                <c:pt idx="3322">
                  <c:v>7</c:v>
                </c:pt>
                <c:pt idx="3323">
                  <c:v>6.3</c:v>
                </c:pt>
                <c:pt idx="3324">
                  <c:v>6.4</c:v>
                </c:pt>
                <c:pt idx="3325">
                  <c:v>7.1</c:v>
                </c:pt>
                <c:pt idx="3326">
                  <c:v>7.1</c:v>
                </c:pt>
                <c:pt idx="3327">
                  <c:v>6.5</c:v>
                </c:pt>
                <c:pt idx="3328">
                  <c:v>6.9</c:v>
                </c:pt>
                <c:pt idx="3329">
                  <c:v>5.4</c:v>
                </c:pt>
                <c:pt idx="3330">
                  <c:v>4.9000000000000004</c:v>
                </c:pt>
                <c:pt idx="3331">
                  <c:v>5.0999999999999996</c:v>
                </c:pt>
                <c:pt idx="3332">
                  <c:v>5.3</c:v>
                </c:pt>
                <c:pt idx="3333">
                  <c:v>7.5</c:v>
                </c:pt>
                <c:pt idx="3334">
                  <c:v>7.3</c:v>
                </c:pt>
                <c:pt idx="3335">
                  <c:v>7.3</c:v>
                </c:pt>
                <c:pt idx="3336">
                  <c:v>7.1</c:v>
                </c:pt>
                <c:pt idx="3337">
                  <c:v>6</c:v>
                </c:pt>
                <c:pt idx="3338">
                  <c:v>6.6</c:v>
                </c:pt>
                <c:pt idx="3339">
                  <c:v>7.2</c:v>
                </c:pt>
                <c:pt idx="3340">
                  <c:v>7.2</c:v>
                </c:pt>
                <c:pt idx="3341">
                  <c:v>6.9</c:v>
                </c:pt>
                <c:pt idx="3342">
                  <c:v>6.8</c:v>
                </c:pt>
                <c:pt idx="3343">
                  <c:v>4</c:v>
                </c:pt>
                <c:pt idx="3344">
                  <c:v>7.7</c:v>
                </c:pt>
                <c:pt idx="3345">
                  <c:v>7.4</c:v>
                </c:pt>
                <c:pt idx="3346">
                  <c:v>6.5</c:v>
                </c:pt>
                <c:pt idx="3347">
                  <c:v>6.4</c:v>
                </c:pt>
                <c:pt idx="3348">
                  <c:v>7.2</c:v>
                </c:pt>
                <c:pt idx="3349">
                  <c:v>5.6</c:v>
                </c:pt>
                <c:pt idx="3350">
                  <c:v>6.3</c:v>
                </c:pt>
                <c:pt idx="3351">
                  <c:v>6.8</c:v>
                </c:pt>
                <c:pt idx="3352">
                  <c:v>5.5</c:v>
                </c:pt>
                <c:pt idx="3353">
                  <c:v>6.9</c:v>
                </c:pt>
                <c:pt idx="3354">
                  <c:v>6</c:v>
                </c:pt>
                <c:pt idx="3355">
                  <c:v>6.4</c:v>
                </c:pt>
                <c:pt idx="3356">
                  <c:v>6.6</c:v>
                </c:pt>
                <c:pt idx="3357">
                  <c:v>5.3</c:v>
                </c:pt>
                <c:pt idx="3358">
                  <c:v>8.1</c:v>
                </c:pt>
                <c:pt idx="3359">
                  <c:v>5.9</c:v>
                </c:pt>
                <c:pt idx="3360">
                  <c:v>7.7</c:v>
                </c:pt>
                <c:pt idx="3361">
                  <c:v>4.5999999999999996</c:v>
                </c:pt>
                <c:pt idx="3362">
                  <c:v>5.0999999999999996</c:v>
                </c:pt>
                <c:pt idx="3363">
                  <c:v>6.9</c:v>
                </c:pt>
                <c:pt idx="3364">
                  <c:v>8</c:v>
                </c:pt>
                <c:pt idx="3365">
                  <c:v>6.8</c:v>
                </c:pt>
                <c:pt idx="3366">
                  <c:v>5.4</c:v>
                </c:pt>
                <c:pt idx="3367">
                  <c:v>6.5</c:v>
                </c:pt>
                <c:pt idx="3368">
                  <c:v>4.2</c:v>
                </c:pt>
                <c:pt idx="3369">
                  <c:v>7.4</c:v>
                </c:pt>
                <c:pt idx="3370">
                  <c:v>6.9</c:v>
                </c:pt>
                <c:pt idx="3371">
                  <c:v>6.7</c:v>
                </c:pt>
                <c:pt idx="3372">
                  <c:v>7.3</c:v>
                </c:pt>
                <c:pt idx="3373">
                  <c:v>7.6</c:v>
                </c:pt>
                <c:pt idx="3374">
                  <c:v>5.4</c:v>
                </c:pt>
                <c:pt idx="3375">
                  <c:v>7.3</c:v>
                </c:pt>
                <c:pt idx="3376">
                  <c:v>6.4</c:v>
                </c:pt>
                <c:pt idx="3377">
                  <c:v>6</c:v>
                </c:pt>
                <c:pt idx="3378">
                  <c:v>7.2</c:v>
                </c:pt>
                <c:pt idx="3379">
                  <c:v>6</c:v>
                </c:pt>
                <c:pt idx="3380">
                  <c:v>3.1</c:v>
                </c:pt>
                <c:pt idx="3381">
                  <c:v>6.9</c:v>
                </c:pt>
                <c:pt idx="3382">
                  <c:v>6.2</c:v>
                </c:pt>
                <c:pt idx="3383">
                  <c:v>5.5</c:v>
                </c:pt>
                <c:pt idx="3384">
                  <c:v>6.9</c:v>
                </c:pt>
                <c:pt idx="3385">
                  <c:v>6.3</c:v>
                </c:pt>
                <c:pt idx="3386">
                  <c:v>4.8</c:v>
                </c:pt>
                <c:pt idx="3387">
                  <c:v>7.9</c:v>
                </c:pt>
                <c:pt idx="3388">
                  <c:v>6.7</c:v>
                </c:pt>
                <c:pt idx="3389">
                  <c:v>5.6</c:v>
                </c:pt>
                <c:pt idx="3390">
                  <c:v>5.4</c:v>
                </c:pt>
                <c:pt idx="3391">
                  <c:v>8</c:v>
                </c:pt>
                <c:pt idx="3392">
                  <c:v>5.7</c:v>
                </c:pt>
                <c:pt idx="3393">
                  <c:v>7.6</c:v>
                </c:pt>
                <c:pt idx="3394">
                  <c:v>7</c:v>
                </c:pt>
                <c:pt idx="3395">
                  <c:v>7.2</c:v>
                </c:pt>
                <c:pt idx="3396">
                  <c:v>6.2</c:v>
                </c:pt>
                <c:pt idx="3397">
                  <c:v>3.5</c:v>
                </c:pt>
                <c:pt idx="3398">
                  <c:v>7.5</c:v>
                </c:pt>
                <c:pt idx="3399">
                  <c:v>5.0999999999999996</c:v>
                </c:pt>
                <c:pt idx="3400">
                  <c:v>6.7</c:v>
                </c:pt>
                <c:pt idx="3401">
                  <c:v>9.1999999999999993</c:v>
                </c:pt>
                <c:pt idx="3402">
                  <c:v>6.1</c:v>
                </c:pt>
                <c:pt idx="3403">
                  <c:v>7.7</c:v>
                </c:pt>
                <c:pt idx="3404">
                  <c:v>7.6</c:v>
                </c:pt>
                <c:pt idx="3405">
                  <c:v>6.1</c:v>
                </c:pt>
                <c:pt idx="3406">
                  <c:v>4.9000000000000004</c:v>
                </c:pt>
                <c:pt idx="3407">
                  <c:v>6.8</c:v>
                </c:pt>
                <c:pt idx="3408">
                  <c:v>7</c:v>
                </c:pt>
                <c:pt idx="3409">
                  <c:v>7.2</c:v>
                </c:pt>
                <c:pt idx="3410">
                  <c:v>5.7</c:v>
                </c:pt>
                <c:pt idx="3411">
                  <c:v>7.3</c:v>
                </c:pt>
                <c:pt idx="3412">
                  <c:v>7.5</c:v>
                </c:pt>
                <c:pt idx="3413">
                  <c:v>7.4</c:v>
                </c:pt>
                <c:pt idx="3414">
                  <c:v>7.2</c:v>
                </c:pt>
                <c:pt idx="3415">
                  <c:v>6.5</c:v>
                </c:pt>
                <c:pt idx="3416">
                  <c:v>6.8</c:v>
                </c:pt>
                <c:pt idx="3417">
                  <c:v>6.8</c:v>
                </c:pt>
                <c:pt idx="3418">
                  <c:v>5.2</c:v>
                </c:pt>
                <c:pt idx="3419">
                  <c:v>7.2</c:v>
                </c:pt>
                <c:pt idx="3420">
                  <c:v>7.5</c:v>
                </c:pt>
                <c:pt idx="3421">
                  <c:v>4</c:v>
                </c:pt>
                <c:pt idx="3422">
                  <c:v>6.8</c:v>
                </c:pt>
                <c:pt idx="3423">
                  <c:v>6.9</c:v>
                </c:pt>
                <c:pt idx="3424">
                  <c:v>7.3</c:v>
                </c:pt>
                <c:pt idx="3425">
                  <c:v>6.1</c:v>
                </c:pt>
                <c:pt idx="3426">
                  <c:v>7.8</c:v>
                </c:pt>
                <c:pt idx="3427">
                  <c:v>6</c:v>
                </c:pt>
                <c:pt idx="3428">
                  <c:v>4.0999999999999996</c:v>
                </c:pt>
                <c:pt idx="3429">
                  <c:v>7</c:v>
                </c:pt>
                <c:pt idx="3430">
                  <c:v>7.1</c:v>
                </c:pt>
                <c:pt idx="3431">
                  <c:v>6.2</c:v>
                </c:pt>
                <c:pt idx="3432">
                  <c:v>6.9</c:v>
                </c:pt>
                <c:pt idx="3433">
                  <c:v>7.6</c:v>
                </c:pt>
                <c:pt idx="3434">
                  <c:v>7.6</c:v>
                </c:pt>
                <c:pt idx="3435">
                  <c:v>6.4</c:v>
                </c:pt>
                <c:pt idx="3436">
                  <c:v>6.2</c:v>
                </c:pt>
                <c:pt idx="3437">
                  <c:v>7.5</c:v>
                </c:pt>
                <c:pt idx="3438">
                  <c:v>2</c:v>
                </c:pt>
                <c:pt idx="3439">
                  <c:v>6.2</c:v>
                </c:pt>
                <c:pt idx="3440">
                  <c:v>6.5</c:v>
                </c:pt>
                <c:pt idx="3441">
                  <c:v>7.9</c:v>
                </c:pt>
                <c:pt idx="3442">
                  <c:v>6.8</c:v>
                </c:pt>
                <c:pt idx="3443">
                  <c:v>6.3</c:v>
                </c:pt>
                <c:pt idx="3444">
                  <c:v>6.3</c:v>
                </c:pt>
                <c:pt idx="3445">
                  <c:v>6.6</c:v>
                </c:pt>
                <c:pt idx="3446">
                  <c:v>6.4</c:v>
                </c:pt>
                <c:pt idx="3447">
                  <c:v>7.5</c:v>
                </c:pt>
                <c:pt idx="3448">
                  <c:v>5.8</c:v>
                </c:pt>
                <c:pt idx="3449">
                  <c:v>6.5</c:v>
                </c:pt>
                <c:pt idx="3450">
                  <c:v>4.8</c:v>
                </c:pt>
                <c:pt idx="3451">
                  <c:v>7.2</c:v>
                </c:pt>
                <c:pt idx="3452">
                  <c:v>6.3</c:v>
                </c:pt>
                <c:pt idx="3453">
                  <c:v>7</c:v>
                </c:pt>
                <c:pt idx="3454">
                  <c:v>6.3</c:v>
                </c:pt>
                <c:pt idx="3455">
                  <c:v>5.3</c:v>
                </c:pt>
                <c:pt idx="3456">
                  <c:v>2.2999999999999998</c:v>
                </c:pt>
                <c:pt idx="3457">
                  <c:v>7.1</c:v>
                </c:pt>
                <c:pt idx="3458">
                  <c:v>6.2</c:v>
                </c:pt>
                <c:pt idx="3459">
                  <c:v>6.2</c:v>
                </c:pt>
                <c:pt idx="3460">
                  <c:v>6.7</c:v>
                </c:pt>
                <c:pt idx="3461">
                  <c:v>6.5</c:v>
                </c:pt>
                <c:pt idx="3462">
                  <c:v>5.9</c:v>
                </c:pt>
                <c:pt idx="3463">
                  <c:v>6.7</c:v>
                </c:pt>
                <c:pt idx="3464">
                  <c:v>6</c:v>
                </c:pt>
                <c:pt idx="3465">
                  <c:v>6.9</c:v>
                </c:pt>
                <c:pt idx="3466">
                  <c:v>7.9</c:v>
                </c:pt>
                <c:pt idx="3467">
                  <c:v>5.3</c:v>
                </c:pt>
                <c:pt idx="3468">
                  <c:v>4.8</c:v>
                </c:pt>
                <c:pt idx="3469">
                  <c:v>5.3</c:v>
                </c:pt>
                <c:pt idx="3470">
                  <c:v>6</c:v>
                </c:pt>
                <c:pt idx="3471">
                  <c:v>7.3</c:v>
                </c:pt>
                <c:pt idx="3472">
                  <c:v>7.4</c:v>
                </c:pt>
                <c:pt idx="3473">
                  <c:v>7.7</c:v>
                </c:pt>
                <c:pt idx="3474">
                  <c:v>4.8</c:v>
                </c:pt>
                <c:pt idx="3475">
                  <c:v>7.2</c:v>
                </c:pt>
                <c:pt idx="3476">
                  <c:v>5.8</c:v>
                </c:pt>
                <c:pt idx="3477">
                  <c:v>7.3</c:v>
                </c:pt>
                <c:pt idx="3478">
                  <c:v>7</c:v>
                </c:pt>
                <c:pt idx="3479">
                  <c:v>6.4</c:v>
                </c:pt>
                <c:pt idx="3480">
                  <c:v>5.6</c:v>
                </c:pt>
                <c:pt idx="3481">
                  <c:v>8.1999999999999993</c:v>
                </c:pt>
                <c:pt idx="3482">
                  <c:v>6.5</c:v>
                </c:pt>
                <c:pt idx="3483">
                  <c:v>6.4</c:v>
                </c:pt>
                <c:pt idx="3484">
                  <c:v>8.1</c:v>
                </c:pt>
                <c:pt idx="3485">
                  <c:v>5.4</c:v>
                </c:pt>
                <c:pt idx="3486">
                  <c:v>6.3</c:v>
                </c:pt>
                <c:pt idx="3487">
                  <c:v>7.8</c:v>
                </c:pt>
                <c:pt idx="3488">
                  <c:v>6.8</c:v>
                </c:pt>
                <c:pt idx="3489">
                  <c:v>7.2</c:v>
                </c:pt>
                <c:pt idx="3490">
                  <c:v>7.1</c:v>
                </c:pt>
                <c:pt idx="3491">
                  <c:v>6.2</c:v>
                </c:pt>
                <c:pt idx="3492">
                  <c:v>7.3</c:v>
                </c:pt>
                <c:pt idx="3493">
                  <c:v>5.9</c:v>
                </c:pt>
                <c:pt idx="3494">
                  <c:v>7.2</c:v>
                </c:pt>
                <c:pt idx="3495">
                  <c:v>3.6</c:v>
                </c:pt>
                <c:pt idx="3496">
                  <c:v>7.7</c:v>
                </c:pt>
                <c:pt idx="3497">
                  <c:v>7.3</c:v>
                </c:pt>
                <c:pt idx="3498">
                  <c:v>7.4</c:v>
                </c:pt>
                <c:pt idx="3499">
                  <c:v>6.6</c:v>
                </c:pt>
                <c:pt idx="3500">
                  <c:v>6.9</c:v>
                </c:pt>
                <c:pt idx="3501">
                  <c:v>6.8</c:v>
                </c:pt>
                <c:pt idx="3502">
                  <c:v>7.3</c:v>
                </c:pt>
                <c:pt idx="3503">
                  <c:v>7.2</c:v>
                </c:pt>
                <c:pt idx="3504">
                  <c:v>6.5</c:v>
                </c:pt>
                <c:pt idx="3505">
                  <c:v>7.7</c:v>
                </c:pt>
                <c:pt idx="3506">
                  <c:v>8.1</c:v>
                </c:pt>
                <c:pt idx="3507">
                  <c:v>7.7</c:v>
                </c:pt>
                <c:pt idx="3508">
                  <c:v>7.6</c:v>
                </c:pt>
                <c:pt idx="3509">
                  <c:v>7.3</c:v>
                </c:pt>
                <c:pt idx="3510">
                  <c:v>7.2</c:v>
                </c:pt>
                <c:pt idx="3511">
                  <c:v>7.2</c:v>
                </c:pt>
                <c:pt idx="3512">
                  <c:v>8.1</c:v>
                </c:pt>
                <c:pt idx="3513">
                  <c:v>7.5</c:v>
                </c:pt>
                <c:pt idx="3514">
                  <c:v>8.1</c:v>
                </c:pt>
                <c:pt idx="3515">
                  <c:v>7.8</c:v>
                </c:pt>
                <c:pt idx="3516">
                  <c:v>7.8</c:v>
                </c:pt>
                <c:pt idx="3517">
                  <c:v>5.8</c:v>
                </c:pt>
                <c:pt idx="3518">
                  <c:v>7.6</c:v>
                </c:pt>
                <c:pt idx="3519">
                  <c:v>7.4</c:v>
                </c:pt>
                <c:pt idx="3520">
                  <c:v>6.3</c:v>
                </c:pt>
                <c:pt idx="3521">
                  <c:v>6.9</c:v>
                </c:pt>
                <c:pt idx="3522">
                  <c:v>8.6</c:v>
                </c:pt>
                <c:pt idx="3523">
                  <c:v>5.0999999999999996</c:v>
                </c:pt>
                <c:pt idx="3524">
                  <c:v>6.4</c:v>
                </c:pt>
                <c:pt idx="3525">
                  <c:v>7.9</c:v>
                </c:pt>
                <c:pt idx="3526">
                  <c:v>6.9</c:v>
                </c:pt>
                <c:pt idx="3527">
                  <c:v>7.5</c:v>
                </c:pt>
                <c:pt idx="3528">
                  <c:v>7.2</c:v>
                </c:pt>
                <c:pt idx="3529">
                  <c:v>5.8</c:v>
                </c:pt>
                <c:pt idx="3530">
                  <c:v>2.9</c:v>
                </c:pt>
                <c:pt idx="3531">
                  <c:v>6.2</c:v>
                </c:pt>
                <c:pt idx="3532">
                  <c:v>7.3</c:v>
                </c:pt>
                <c:pt idx="3533">
                  <c:v>6.2</c:v>
                </c:pt>
                <c:pt idx="3534">
                  <c:v>6.8</c:v>
                </c:pt>
                <c:pt idx="3535">
                  <c:v>6.1</c:v>
                </c:pt>
                <c:pt idx="3536">
                  <c:v>7.7</c:v>
                </c:pt>
                <c:pt idx="3537">
                  <c:v>5.2</c:v>
                </c:pt>
                <c:pt idx="3538">
                  <c:v>6.8</c:v>
                </c:pt>
                <c:pt idx="3539">
                  <c:v>6.5</c:v>
                </c:pt>
                <c:pt idx="3540">
                  <c:v>7</c:v>
                </c:pt>
                <c:pt idx="3541">
                  <c:v>5.9</c:v>
                </c:pt>
                <c:pt idx="3542">
                  <c:v>7.1</c:v>
                </c:pt>
                <c:pt idx="3543">
                  <c:v>5.5</c:v>
                </c:pt>
                <c:pt idx="3544">
                  <c:v>7.4</c:v>
                </c:pt>
                <c:pt idx="3545">
                  <c:v>7.3</c:v>
                </c:pt>
                <c:pt idx="3546">
                  <c:v>4.5999999999999996</c:v>
                </c:pt>
                <c:pt idx="3547">
                  <c:v>7.2</c:v>
                </c:pt>
                <c:pt idx="3548">
                  <c:v>7</c:v>
                </c:pt>
                <c:pt idx="3549">
                  <c:v>5.0999999999999996</c:v>
                </c:pt>
                <c:pt idx="3550">
                  <c:v>6.7</c:v>
                </c:pt>
                <c:pt idx="3551">
                  <c:v>5.3</c:v>
                </c:pt>
                <c:pt idx="3552">
                  <c:v>7.8</c:v>
                </c:pt>
                <c:pt idx="3553">
                  <c:v>6.7</c:v>
                </c:pt>
                <c:pt idx="3554">
                  <c:v>5.4</c:v>
                </c:pt>
                <c:pt idx="3555">
                  <c:v>7.2</c:v>
                </c:pt>
                <c:pt idx="3556">
                  <c:v>5.8</c:v>
                </c:pt>
                <c:pt idx="3557">
                  <c:v>6.4</c:v>
                </c:pt>
                <c:pt idx="3558">
                  <c:v>8</c:v>
                </c:pt>
                <c:pt idx="3559">
                  <c:v>7</c:v>
                </c:pt>
                <c:pt idx="3560">
                  <c:v>7</c:v>
                </c:pt>
                <c:pt idx="3561">
                  <c:v>6.7</c:v>
                </c:pt>
                <c:pt idx="3562">
                  <c:v>3.8</c:v>
                </c:pt>
                <c:pt idx="3563">
                  <c:v>5.7</c:v>
                </c:pt>
                <c:pt idx="3564">
                  <c:v>6.6</c:v>
                </c:pt>
                <c:pt idx="3565">
                  <c:v>6.7</c:v>
                </c:pt>
                <c:pt idx="3566">
                  <c:v>6.1</c:v>
                </c:pt>
                <c:pt idx="3567">
                  <c:v>6.2</c:v>
                </c:pt>
                <c:pt idx="3568">
                  <c:v>6.2</c:v>
                </c:pt>
                <c:pt idx="3569">
                  <c:v>7.4</c:v>
                </c:pt>
                <c:pt idx="3570">
                  <c:v>4.7</c:v>
                </c:pt>
                <c:pt idx="3571">
                  <c:v>8.3000000000000007</c:v>
                </c:pt>
                <c:pt idx="3572">
                  <c:v>7.2</c:v>
                </c:pt>
                <c:pt idx="3573">
                  <c:v>5.8</c:v>
                </c:pt>
                <c:pt idx="3574">
                  <c:v>5.9</c:v>
                </c:pt>
                <c:pt idx="3575">
                  <c:v>6.3</c:v>
                </c:pt>
                <c:pt idx="3576">
                  <c:v>7.2</c:v>
                </c:pt>
                <c:pt idx="3577">
                  <c:v>5.4</c:v>
                </c:pt>
                <c:pt idx="3578">
                  <c:v>7.3</c:v>
                </c:pt>
                <c:pt idx="3579">
                  <c:v>7.3</c:v>
                </c:pt>
                <c:pt idx="3580">
                  <c:v>5.8</c:v>
                </c:pt>
                <c:pt idx="3581">
                  <c:v>6.1</c:v>
                </c:pt>
                <c:pt idx="3582">
                  <c:v>7.1</c:v>
                </c:pt>
                <c:pt idx="3583">
                  <c:v>6.5</c:v>
                </c:pt>
                <c:pt idx="3584">
                  <c:v>7.9</c:v>
                </c:pt>
                <c:pt idx="3585">
                  <c:v>5.4</c:v>
                </c:pt>
                <c:pt idx="3586">
                  <c:v>7.1</c:v>
                </c:pt>
                <c:pt idx="3587">
                  <c:v>6.4</c:v>
                </c:pt>
                <c:pt idx="3588">
                  <c:v>6.7</c:v>
                </c:pt>
                <c:pt idx="3589">
                  <c:v>6.9</c:v>
                </c:pt>
                <c:pt idx="3590">
                  <c:v>2.1</c:v>
                </c:pt>
                <c:pt idx="3591">
                  <c:v>4.3</c:v>
                </c:pt>
                <c:pt idx="3592">
                  <c:v>6.6</c:v>
                </c:pt>
                <c:pt idx="3593">
                  <c:v>3.4</c:v>
                </c:pt>
                <c:pt idx="3594">
                  <c:v>8.3000000000000007</c:v>
                </c:pt>
                <c:pt idx="3595">
                  <c:v>7.2</c:v>
                </c:pt>
                <c:pt idx="3596">
                  <c:v>5.6</c:v>
                </c:pt>
                <c:pt idx="3597">
                  <c:v>7.7</c:v>
                </c:pt>
                <c:pt idx="3598">
                  <c:v>6.6</c:v>
                </c:pt>
                <c:pt idx="3599">
                  <c:v>7.6</c:v>
                </c:pt>
                <c:pt idx="3600">
                  <c:v>7.4</c:v>
                </c:pt>
                <c:pt idx="3601">
                  <c:v>7.1</c:v>
                </c:pt>
                <c:pt idx="3602">
                  <c:v>3.4</c:v>
                </c:pt>
                <c:pt idx="3603">
                  <c:v>7.9</c:v>
                </c:pt>
                <c:pt idx="3604">
                  <c:v>6.7</c:v>
                </c:pt>
                <c:pt idx="3605">
                  <c:v>6.6</c:v>
                </c:pt>
                <c:pt idx="3606">
                  <c:v>7.9</c:v>
                </c:pt>
                <c:pt idx="3607">
                  <c:v>4.9000000000000004</c:v>
                </c:pt>
                <c:pt idx="3608">
                  <c:v>7.2</c:v>
                </c:pt>
                <c:pt idx="3609">
                  <c:v>7.4</c:v>
                </c:pt>
                <c:pt idx="3610">
                  <c:v>6.1</c:v>
                </c:pt>
                <c:pt idx="3611">
                  <c:v>8.4</c:v>
                </c:pt>
                <c:pt idx="3612">
                  <c:v>6.2</c:v>
                </c:pt>
                <c:pt idx="3613">
                  <c:v>5.3</c:v>
                </c:pt>
                <c:pt idx="3614">
                  <c:v>5</c:v>
                </c:pt>
                <c:pt idx="3615">
                  <c:v>7.7</c:v>
                </c:pt>
                <c:pt idx="3616">
                  <c:v>7.6</c:v>
                </c:pt>
                <c:pt idx="3617">
                  <c:v>6.3</c:v>
                </c:pt>
                <c:pt idx="3618">
                  <c:v>7.6</c:v>
                </c:pt>
                <c:pt idx="3619">
                  <c:v>5.6</c:v>
                </c:pt>
                <c:pt idx="3620">
                  <c:v>7.3</c:v>
                </c:pt>
                <c:pt idx="3621">
                  <c:v>6.2</c:v>
                </c:pt>
                <c:pt idx="3622">
                  <c:v>6.6</c:v>
                </c:pt>
                <c:pt idx="3623">
                  <c:v>6.6</c:v>
                </c:pt>
                <c:pt idx="3624">
                  <c:v>7.3</c:v>
                </c:pt>
                <c:pt idx="3625">
                  <c:v>6.6</c:v>
                </c:pt>
                <c:pt idx="3626">
                  <c:v>6.9</c:v>
                </c:pt>
                <c:pt idx="3627">
                  <c:v>5.8</c:v>
                </c:pt>
                <c:pt idx="3628">
                  <c:v>4.4000000000000004</c:v>
                </c:pt>
                <c:pt idx="3629">
                  <c:v>6.6</c:v>
                </c:pt>
                <c:pt idx="3630">
                  <c:v>7.1</c:v>
                </c:pt>
                <c:pt idx="3631">
                  <c:v>7.6</c:v>
                </c:pt>
                <c:pt idx="3632">
                  <c:v>4.5999999999999996</c:v>
                </c:pt>
                <c:pt idx="3633">
                  <c:v>6.8</c:v>
                </c:pt>
                <c:pt idx="3634">
                  <c:v>7.1</c:v>
                </c:pt>
                <c:pt idx="3635">
                  <c:v>4.9000000000000004</c:v>
                </c:pt>
                <c:pt idx="3636">
                  <c:v>7.3</c:v>
                </c:pt>
                <c:pt idx="3637">
                  <c:v>7.2</c:v>
                </c:pt>
                <c:pt idx="3638">
                  <c:v>5</c:v>
                </c:pt>
                <c:pt idx="3639">
                  <c:v>8.1999999999999993</c:v>
                </c:pt>
                <c:pt idx="3640">
                  <c:v>8</c:v>
                </c:pt>
                <c:pt idx="3641">
                  <c:v>5.2</c:v>
                </c:pt>
                <c:pt idx="3642">
                  <c:v>8.5</c:v>
                </c:pt>
                <c:pt idx="3643">
                  <c:v>6.5</c:v>
                </c:pt>
                <c:pt idx="3644">
                  <c:v>7.4</c:v>
                </c:pt>
                <c:pt idx="3645">
                  <c:v>7.7</c:v>
                </c:pt>
                <c:pt idx="3646">
                  <c:v>7.4</c:v>
                </c:pt>
                <c:pt idx="3647">
                  <c:v>5.0999999999999996</c:v>
                </c:pt>
                <c:pt idx="3648">
                  <c:v>7.3</c:v>
                </c:pt>
                <c:pt idx="3649">
                  <c:v>5</c:v>
                </c:pt>
                <c:pt idx="3650">
                  <c:v>7.2</c:v>
                </c:pt>
                <c:pt idx="3651">
                  <c:v>6.7</c:v>
                </c:pt>
                <c:pt idx="3652">
                  <c:v>6.4</c:v>
                </c:pt>
                <c:pt idx="3653">
                  <c:v>7.1</c:v>
                </c:pt>
                <c:pt idx="3654">
                  <c:v>5.6</c:v>
                </c:pt>
                <c:pt idx="3655">
                  <c:v>6.2</c:v>
                </c:pt>
                <c:pt idx="3656">
                  <c:v>6.1</c:v>
                </c:pt>
                <c:pt idx="3657">
                  <c:v>5.2</c:v>
                </c:pt>
                <c:pt idx="3658">
                  <c:v>7.3</c:v>
                </c:pt>
                <c:pt idx="3659">
                  <c:v>7.5</c:v>
                </c:pt>
                <c:pt idx="3660">
                  <c:v>6.6</c:v>
                </c:pt>
                <c:pt idx="3661">
                  <c:v>6.4</c:v>
                </c:pt>
                <c:pt idx="3662">
                  <c:v>4.5</c:v>
                </c:pt>
                <c:pt idx="3663">
                  <c:v>6.6</c:v>
                </c:pt>
                <c:pt idx="3664">
                  <c:v>5.3</c:v>
                </c:pt>
                <c:pt idx="3665">
                  <c:v>4.9000000000000004</c:v>
                </c:pt>
                <c:pt idx="3666">
                  <c:v>7.7</c:v>
                </c:pt>
                <c:pt idx="3667">
                  <c:v>8</c:v>
                </c:pt>
                <c:pt idx="3668">
                  <c:v>3.8</c:v>
                </c:pt>
                <c:pt idx="3669">
                  <c:v>7.6</c:v>
                </c:pt>
                <c:pt idx="3670">
                  <c:v>5.9</c:v>
                </c:pt>
                <c:pt idx="3671">
                  <c:v>6.2</c:v>
                </c:pt>
                <c:pt idx="3672">
                  <c:v>7.2</c:v>
                </c:pt>
                <c:pt idx="3673">
                  <c:v>6.3</c:v>
                </c:pt>
                <c:pt idx="3674">
                  <c:v>5.2</c:v>
                </c:pt>
                <c:pt idx="3675">
                  <c:v>6.9</c:v>
                </c:pt>
                <c:pt idx="3676">
                  <c:v>6.8</c:v>
                </c:pt>
                <c:pt idx="3677">
                  <c:v>6.2</c:v>
                </c:pt>
                <c:pt idx="3678">
                  <c:v>6.2</c:v>
                </c:pt>
                <c:pt idx="3679">
                  <c:v>3.5</c:v>
                </c:pt>
                <c:pt idx="3680">
                  <c:v>6.1</c:v>
                </c:pt>
                <c:pt idx="3681">
                  <c:v>6.6</c:v>
                </c:pt>
                <c:pt idx="3682">
                  <c:v>4.5</c:v>
                </c:pt>
                <c:pt idx="3683">
                  <c:v>5.9</c:v>
                </c:pt>
                <c:pt idx="3684">
                  <c:v>6.9</c:v>
                </c:pt>
                <c:pt idx="3685">
                  <c:v>7.7</c:v>
                </c:pt>
                <c:pt idx="3686">
                  <c:v>6.6</c:v>
                </c:pt>
                <c:pt idx="3687">
                  <c:v>5.3</c:v>
                </c:pt>
                <c:pt idx="3688">
                  <c:v>6.3</c:v>
                </c:pt>
                <c:pt idx="3689">
                  <c:v>7</c:v>
                </c:pt>
                <c:pt idx="3690">
                  <c:v>7</c:v>
                </c:pt>
                <c:pt idx="3691">
                  <c:v>6.6</c:v>
                </c:pt>
                <c:pt idx="3692">
                  <c:v>8.6</c:v>
                </c:pt>
                <c:pt idx="3693">
                  <c:v>6.4</c:v>
                </c:pt>
                <c:pt idx="3694">
                  <c:v>7.9</c:v>
                </c:pt>
                <c:pt idx="3695">
                  <c:v>5.4</c:v>
                </c:pt>
                <c:pt idx="3696">
                  <c:v>6.9</c:v>
                </c:pt>
                <c:pt idx="3697">
                  <c:v>7.7</c:v>
                </c:pt>
                <c:pt idx="3698">
                  <c:v>7.2</c:v>
                </c:pt>
                <c:pt idx="3699">
                  <c:v>6.8</c:v>
                </c:pt>
                <c:pt idx="3700">
                  <c:v>6.2</c:v>
                </c:pt>
                <c:pt idx="3701">
                  <c:v>7.4</c:v>
                </c:pt>
                <c:pt idx="3702">
                  <c:v>4.5999999999999996</c:v>
                </c:pt>
                <c:pt idx="3703">
                  <c:v>6.4</c:v>
                </c:pt>
                <c:pt idx="3704">
                  <c:v>7</c:v>
                </c:pt>
                <c:pt idx="3705">
                  <c:v>7.7</c:v>
                </c:pt>
                <c:pt idx="3706">
                  <c:v>6.8</c:v>
                </c:pt>
                <c:pt idx="3707">
                  <c:v>7</c:v>
                </c:pt>
                <c:pt idx="3708">
                  <c:v>7</c:v>
                </c:pt>
                <c:pt idx="3709">
                  <c:v>6.3</c:v>
                </c:pt>
                <c:pt idx="3710">
                  <c:v>7.1</c:v>
                </c:pt>
                <c:pt idx="3711">
                  <c:v>7.2</c:v>
                </c:pt>
                <c:pt idx="3712">
                  <c:v>5</c:v>
                </c:pt>
                <c:pt idx="3713">
                  <c:v>8.1999999999999993</c:v>
                </c:pt>
                <c:pt idx="3714">
                  <c:v>8</c:v>
                </c:pt>
                <c:pt idx="3715">
                  <c:v>5.2</c:v>
                </c:pt>
                <c:pt idx="3716">
                  <c:v>8.5</c:v>
                </c:pt>
                <c:pt idx="3717">
                  <c:v>6.5</c:v>
                </c:pt>
                <c:pt idx="3718">
                  <c:v>7.4</c:v>
                </c:pt>
                <c:pt idx="3719">
                  <c:v>7.7</c:v>
                </c:pt>
                <c:pt idx="3720">
                  <c:v>7.4</c:v>
                </c:pt>
                <c:pt idx="3721">
                  <c:v>5.0999999999999996</c:v>
                </c:pt>
                <c:pt idx="3722">
                  <c:v>7.3</c:v>
                </c:pt>
                <c:pt idx="3723">
                  <c:v>5</c:v>
                </c:pt>
                <c:pt idx="3724">
                  <c:v>7.2</c:v>
                </c:pt>
                <c:pt idx="3725">
                  <c:v>6.7</c:v>
                </c:pt>
                <c:pt idx="3726">
                  <c:v>6.4</c:v>
                </c:pt>
                <c:pt idx="3727">
                  <c:v>7.1</c:v>
                </c:pt>
                <c:pt idx="3728">
                  <c:v>5.6</c:v>
                </c:pt>
                <c:pt idx="3729">
                  <c:v>6.2</c:v>
                </c:pt>
                <c:pt idx="3730">
                  <c:v>6.1</c:v>
                </c:pt>
                <c:pt idx="3731">
                  <c:v>5.2</c:v>
                </c:pt>
                <c:pt idx="3732">
                  <c:v>7.3</c:v>
                </c:pt>
                <c:pt idx="3733">
                  <c:v>7.5</c:v>
                </c:pt>
                <c:pt idx="3734">
                  <c:v>6.6</c:v>
                </c:pt>
                <c:pt idx="3735">
                  <c:v>6.4</c:v>
                </c:pt>
                <c:pt idx="3736">
                  <c:v>4.5</c:v>
                </c:pt>
                <c:pt idx="3737">
                  <c:v>6.6</c:v>
                </c:pt>
                <c:pt idx="3738">
                  <c:v>5.3</c:v>
                </c:pt>
                <c:pt idx="3739">
                  <c:v>4.9000000000000004</c:v>
                </c:pt>
                <c:pt idx="3740">
                  <c:v>7.7</c:v>
                </c:pt>
                <c:pt idx="3741">
                  <c:v>8</c:v>
                </c:pt>
                <c:pt idx="3742">
                  <c:v>3.8</c:v>
                </c:pt>
                <c:pt idx="3743">
                  <c:v>7.6</c:v>
                </c:pt>
                <c:pt idx="3744">
                  <c:v>5.9</c:v>
                </c:pt>
                <c:pt idx="3745">
                  <c:v>6.2</c:v>
                </c:pt>
                <c:pt idx="3746">
                  <c:v>7.2</c:v>
                </c:pt>
                <c:pt idx="3747">
                  <c:v>6.3</c:v>
                </c:pt>
                <c:pt idx="3748">
                  <c:v>5.2</c:v>
                </c:pt>
                <c:pt idx="3749">
                  <c:v>6.9</c:v>
                </c:pt>
                <c:pt idx="3750">
                  <c:v>6.8</c:v>
                </c:pt>
                <c:pt idx="3751">
                  <c:v>6.2</c:v>
                </c:pt>
                <c:pt idx="3752">
                  <c:v>6.2</c:v>
                </c:pt>
                <c:pt idx="3753">
                  <c:v>3.5</c:v>
                </c:pt>
                <c:pt idx="3754">
                  <c:v>6.1</c:v>
                </c:pt>
                <c:pt idx="3755">
                  <c:v>6.6</c:v>
                </c:pt>
                <c:pt idx="3756">
                  <c:v>4.5</c:v>
                </c:pt>
                <c:pt idx="3757">
                  <c:v>5.9</c:v>
                </c:pt>
                <c:pt idx="3758">
                  <c:v>6.9</c:v>
                </c:pt>
                <c:pt idx="3759">
                  <c:v>7.7</c:v>
                </c:pt>
                <c:pt idx="3760">
                  <c:v>6.6</c:v>
                </c:pt>
                <c:pt idx="3761">
                  <c:v>5.3</c:v>
                </c:pt>
                <c:pt idx="3762">
                  <c:v>6.3</c:v>
                </c:pt>
                <c:pt idx="3763">
                  <c:v>7</c:v>
                </c:pt>
                <c:pt idx="3764">
                  <c:v>7</c:v>
                </c:pt>
                <c:pt idx="3765">
                  <c:v>6.6</c:v>
                </c:pt>
                <c:pt idx="3766">
                  <c:v>8.6</c:v>
                </c:pt>
                <c:pt idx="3767">
                  <c:v>6.4</c:v>
                </c:pt>
                <c:pt idx="3768">
                  <c:v>7.9</c:v>
                </c:pt>
                <c:pt idx="3769">
                  <c:v>5.4</c:v>
                </c:pt>
                <c:pt idx="3770">
                  <c:v>6.9</c:v>
                </c:pt>
                <c:pt idx="3771">
                  <c:v>7.7</c:v>
                </c:pt>
                <c:pt idx="3772">
                  <c:v>7.2</c:v>
                </c:pt>
                <c:pt idx="3773">
                  <c:v>6.8</c:v>
                </c:pt>
                <c:pt idx="3774">
                  <c:v>6.2</c:v>
                </c:pt>
                <c:pt idx="3775">
                  <c:v>7.4</c:v>
                </c:pt>
                <c:pt idx="3776">
                  <c:v>4.5999999999999996</c:v>
                </c:pt>
                <c:pt idx="3777">
                  <c:v>6.4</c:v>
                </c:pt>
                <c:pt idx="3778">
                  <c:v>7</c:v>
                </c:pt>
                <c:pt idx="3779">
                  <c:v>7.7</c:v>
                </c:pt>
                <c:pt idx="3780">
                  <c:v>6.8</c:v>
                </c:pt>
                <c:pt idx="3781">
                  <c:v>7</c:v>
                </c:pt>
                <c:pt idx="3782">
                  <c:v>7</c:v>
                </c:pt>
                <c:pt idx="3783">
                  <c:v>6.3</c:v>
                </c:pt>
                <c:pt idx="3784">
                  <c:v>7.1</c:v>
                </c:pt>
              </c:numCache>
            </c:numRef>
          </c:yVal>
          <c:smooth val="0"/>
          <c:extLst>
            <c:ext xmlns:c16="http://schemas.microsoft.com/office/drawing/2014/chart" uri="{C3380CC4-5D6E-409C-BE32-E72D297353CC}">
              <c16:uniqueId val="{00000000-A934-4F44-8737-5A1D4E55CD8B}"/>
            </c:ext>
          </c:extLst>
        </c:ser>
        <c:dLbls>
          <c:showLegendKey val="0"/>
          <c:showVal val="0"/>
          <c:showCatName val="0"/>
          <c:showSerName val="0"/>
          <c:showPercent val="0"/>
          <c:showBubbleSize val="0"/>
        </c:dLbls>
        <c:axId val="443716687"/>
        <c:axId val="443713807"/>
      </c:scatterChart>
      <c:valAx>
        <c:axId val="4437166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t>Duration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713807"/>
        <c:crosses val="autoZero"/>
        <c:crossBetween val="midCat"/>
      </c:valAx>
      <c:valAx>
        <c:axId val="4437138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a:t>IMDB</a:t>
                </a:r>
                <a:r>
                  <a:rPr lang="en-IN" sz="1200" baseline="0"/>
                  <a:t> Score</a:t>
                </a:r>
                <a:endParaRPr lang="en-IN" sz="12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71668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'Director analysis'!$G$1</c:f>
              <c:strCache>
                <c:ptCount val="1"/>
                <c:pt idx="0">
                  <c:v>Average Imdb_score</c:v>
                </c:pt>
              </c:strCache>
            </c:strRef>
          </c:tx>
          <c:spPr>
            <a:solidFill>
              <a:schemeClr val="accent1"/>
            </a:solidFill>
            <a:ln>
              <a:noFill/>
            </a:ln>
            <a:effectLst/>
          </c:spPr>
          <c:invertIfNegative val="0"/>
          <c:cat>
            <c:strRef>
              <c:f>'Director analysis'!$F$2:$F$11</c:f>
              <c:strCache>
                <c:ptCount val="10"/>
                <c:pt idx="0">
                  <c:v>Christopher Nolan</c:v>
                </c:pt>
                <c:pt idx="1">
                  <c:v>Francis Ford Coppola</c:v>
                </c:pt>
                <c:pt idx="2">
                  <c:v>Frank Darabont</c:v>
                </c:pt>
                <c:pt idx="3">
                  <c:v>John Blanchard</c:v>
                </c:pt>
                <c:pt idx="4">
                  <c:v>Peter Jackson</c:v>
                </c:pt>
                <c:pt idx="5">
                  <c:v>David Fincher</c:v>
                </c:pt>
                <c:pt idx="6">
                  <c:v>Robert Zemeckis</c:v>
                </c:pt>
                <c:pt idx="7">
                  <c:v>Steven Spielberg</c:v>
                </c:pt>
                <c:pt idx="8">
                  <c:v>Irvin Kershner</c:v>
                </c:pt>
                <c:pt idx="9">
                  <c:v>Quentin Tarantino</c:v>
                </c:pt>
              </c:strCache>
            </c:strRef>
          </c:cat>
          <c:val>
            <c:numRef>
              <c:f>'Director analysis'!$G$2:$G$11</c:f>
              <c:numCache>
                <c:formatCode>0.0</c:formatCode>
                <c:ptCount val="10"/>
                <c:pt idx="0">
                  <c:v>8.4250000000000007</c:v>
                </c:pt>
                <c:pt idx="1">
                  <c:v>7.37</c:v>
                </c:pt>
                <c:pt idx="2">
                  <c:v>7.9750000000000005</c:v>
                </c:pt>
                <c:pt idx="3">
                  <c:v>9.5</c:v>
                </c:pt>
                <c:pt idx="4">
                  <c:v>7.82</c:v>
                </c:pt>
                <c:pt idx="5">
                  <c:v>7.7499999999999982</c:v>
                </c:pt>
                <c:pt idx="6">
                  <c:v>7.3076923076923084</c:v>
                </c:pt>
                <c:pt idx="7">
                  <c:v>7.4807692307692308</c:v>
                </c:pt>
                <c:pt idx="8">
                  <c:v>7.5</c:v>
                </c:pt>
                <c:pt idx="9">
                  <c:v>8.1714285714285726</c:v>
                </c:pt>
              </c:numCache>
            </c:numRef>
          </c:val>
          <c:extLst>
            <c:ext xmlns:c16="http://schemas.microsoft.com/office/drawing/2014/chart" uri="{C3380CC4-5D6E-409C-BE32-E72D297353CC}">
              <c16:uniqueId val="{00000000-2CC6-42C8-B1E0-B59E0D5E6371}"/>
            </c:ext>
          </c:extLst>
        </c:ser>
        <c:dLbls>
          <c:showLegendKey val="0"/>
          <c:showVal val="0"/>
          <c:showCatName val="0"/>
          <c:showSerName val="0"/>
          <c:showPercent val="0"/>
          <c:showBubbleSize val="0"/>
        </c:dLbls>
        <c:gapWidth val="182"/>
        <c:axId val="1850457376"/>
        <c:axId val="1850456416"/>
      </c:barChart>
      <c:catAx>
        <c:axId val="1850457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456416"/>
        <c:crosses val="autoZero"/>
        <c:auto val="1"/>
        <c:lblAlgn val="ctr"/>
        <c:lblOffset val="100"/>
        <c:noMultiLvlLbl val="0"/>
      </c:catAx>
      <c:valAx>
        <c:axId val="185045641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4573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Budget Analysis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'Budget Analysis'!$B$1</c:f>
              <c:strCache>
                <c:ptCount val="1"/>
                <c:pt idx="0">
                  <c:v>Budget</c:v>
                </c:pt>
              </c:strCache>
            </c:strRef>
          </c:tx>
          <c:spPr>
            <a:ln w="28575" cap="rnd">
              <a:solidFill>
                <a:schemeClr val="accent1"/>
              </a:solidFill>
              <a:round/>
            </a:ln>
            <a:effectLst/>
          </c:spPr>
          <c:marker>
            <c:symbol val="none"/>
          </c:marker>
          <c:val>
            <c:numRef>
              <c:f>'Budget Analysis'!$B$2:$B$3712</c:f>
              <c:numCache>
                <c:formatCode>_("₹"* #,##0.00_);_("₹"* \(#,##0.00\);_("₹"* "-"??_);_(@_)</c:formatCode>
                <c:ptCount val="3711"/>
                <c:pt idx="0">
                  <c:v>237000000</c:v>
                </c:pt>
                <c:pt idx="1">
                  <c:v>300000000</c:v>
                </c:pt>
                <c:pt idx="2">
                  <c:v>245000000</c:v>
                </c:pt>
                <c:pt idx="3">
                  <c:v>250000000</c:v>
                </c:pt>
                <c:pt idx="4">
                  <c:v>263700000</c:v>
                </c:pt>
                <c:pt idx="5">
                  <c:v>258000000</c:v>
                </c:pt>
                <c:pt idx="6">
                  <c:v>260000000</c:v>
                </c:pt>
                <c:pt idx="7">
                  <c:v>250000000</c:v>
                </c:pt>
                <c:pt idx="8">
                  <c:v>250000000</c:v>
                </c:pt>
                <c:pt idx="9">
                  <c:v>250000000</c:v>
                </c:pt>
                <c:pt idx="10">
                  <c:v>200000000</c:v>
                </c:pt>
                <c:pt idx="11">
                  <c:v>225000000</c:v>
                </c:pt>
                <c:pt idx="12">
                  <c:v>215000000</c:v>
                </c:pt>
                <c:pt idx="13">
                  <c:v>225000000</c:v>
                </c:pt>
                <c:pt idx="14">
                  <c:v>225000000</c:v>
                </c:pt>
                <c:pt idx="15">
                  <c:v>220000000</c:v>
                </c:pt>
                <c:pt idx="16">
                  <c:v>250000000</c:v>
                </c:pt>
                <c:pt idx="17">
                  <c:v>225000000</c:v>
                </c:pt>
                <c:pt idx="18">
                  <c:v>250000000</c:v>
                </c:pt>
                <c:pt idx="19">
                  <c:v>230000000</c:v>
                </c:pt>
                <c:pt idx="20">
                  <c:v>200000000</c:v>
                </c:pt>
                <c:pt idx="21">
                  <c:v>225000000</c:v>
                </c:pt>
                <c:pt idx="22">
                  <c:v>180000000</c:v>
                </c:pt>
                <c:pt idx="23">
                  <c:v>207000000</c:v>
                </c:pt>
                <c:pt idx="24">
                  <c:v>200000000</c:v>
                </c:pt>
                <c:pt idx="25">
                  <c:v>250000000</c:v>
                </c:pt>
                <c:pt idx="26">
                  <c:v>209000000</c:v>
                </c:pt>
                <c:pt idx="27">
                  <c:v>150000000</c:v>
                </c:pt>
                <c:pt idx="28">
                  <c:v>200000000</c:v>
                </c:pt>
                <c:pt idx="29">
                  <c:v>200000000</c:v>
                </c:pt>
                <c:pt idx="30">
                  <c:v>200000000</c:v>
                </c:pt>
                <c:pt idx="31">
                  <c:v>200000000</c:v>
                </c:pt>
                <c:pt idx="32">
                  <c:v>210000000</c:v>
                </c:pt>
                <c:pt idx="33">
                  <c:v>200000000</c:v>
                </c:pt>
                <c:pt idx="34">
                  <c:v>200000000</c:v>
                </c:pt>
                <c:pt idx="35">
                  <c:v>210000000</c:v>
                </c:pt>
                <c:pt idx="36">
                  <c:v>215000000</c:v>
                </c:pt>
                <c:pt idx="37">
                  <c:v>200000000</c:v>
                </c:pt>
                <c:pt idx="38">
                  <c:v>170000000</c:v>
                </c:pt>
                <c:pt idx="39">
                  <c:v>200000000</c:v>
                </c:pt>
                <c:pt idx="40">
                  <c:v>200000000</c:v>
                </c:pt>
                <c:pt idx="41">
                  <c:v>200000000</c:v>
                </c:pt>
                <c:pt idx="42">
                  <c:v>200000000</c:v>
                </c:pt>
                <c:pt idx="43">
                  <c:v>190000000</c:v>
                </c:pt>
                <c:pt idx="44">
                  <c:v>190000000</c:v>
                </c:pt>
                <c:pt idx="45">
                  <c:v>200000000</c:v>
                </c:pt>
                <c:pt idx="46">
                  <c:v>190000000</c:v>
                </c:pt>
                <c:pt idx="47">
                  <c:v>195000000</c:v>
                </c:pt>
                <c:pt idx="48">
                  <c:v>105000000</c:v>
                </c:pt>
                <c:pt idx="49">
                  <c:v>200000000</c:v>
                </c:pt>
                <c:pt idx="50">
                  <c:v>190000000</c:v>
                </c:pt>
                <c:pt idx="51">
                  <c:v>195000000</c:v>
                </c:pt>
                <c:pt idx="52">
                  <c:v>185000000</c:v>
                </c:pt>
                <c:pt idx="53">
                  <c:v>185000000</c:v>
                </c:pt>
                <c:pt idx="54">
                  <c:v>185000000</c:v>
                </c:pt>
                <c:pt idx="55">
                  <c:v>180000000</c:v>
                </c:pt>
                <c:pt idx="56">
                  <c:v>140000000</c:v>
                </c:pt>
                <c:pt idx="57">
                  <c:v>200000000</c:v>
                </c:pt>
                <c:pt idx="58">
                  <c:v>200000000</c:v>
                </c:pt>
                <c:pt idx="59">
                  <c:v>176000000</c:v>
                </c:pt>
                <c:pt idx="60">
                  <c:v>180000000</c:v>
                </c:pt>
                <c:pt idx="61">
                  <c:v>180000000</c:v>
                </c:pt>
                <c:pt idx="62">
                  <c:v>178000000</c:v>
                </c:pt>
                <c:pt idx="63">
                  <c:v>185000000</c:v>
                </c:pt>
                <c:pt idx="64">
                  <c:v>175000000</c:v>
                </c:pt>
                <c:pt idx="65">
                  <c:v>175000000</c:v>
                </c:pt>
                <c:pt idx="66">
                  <c:v>140000000</c:v>
                </c:pt>
                <c:pt idx="67">
                  <c:v>170000000</c:v>
                </c:pt>
                <c:pt idx="68">
                  <c:v>170000000</c:v>
                </c:pt>
                <c:pt idx="69">
                  <c:v>145000000</c:v>
                </c:pt>
                <c:pt idx="70">
                  <c:v>175000000</c:v>
                </c:pt>
                <c:pt idx="71">
                  <c:v>175000000</c:v>
                </c:pt>
                <c:pt idx="72">
                  <c:v>178000000</c:v>
                </c:pt>
                <c:pt idx="73">
                  <c:v>175000000</c:v>
                </c:pt>
                <c:pt idx="74">
                  <c:v>175000000</c:v>
                </c:pt>
                <c:pt idx="75">
                  <c:v>175000000</c:v>
                </c:pt>
                <c:pt idx="76">
                  <c:v>175000000</c:v>
                </c:pt>
                <c:pt idx="77">
                  <c:v>200000000</c:v>
                </c:pt>
                <c:pt idx="78">
                  <c:v>170000000</c:v>
                </c:pt>
                <c:pt idx="79">
                  <c:v>180000000</c:v>
                </c:pt>
                <c:pt idx="80">
                  <c:v>170000000</c:v>
                </c:pt>
                <c:pt idx="81">
                  <c:v>175000000</c:v>
                </c:pt>
                <c:pt idx="82">
                  <c:v>170000000</c:v>
                </c:pt>
                <c:pt idx="83">
                  <c:v>165000000</c:v>
                </c:pt>
                <c:pt idx="84">
                  <c:v>190000000</c:v>
                </c:pt>
                <c:pt idx="85">
                  <c:v>165000000</c:v>
                </c:pt>
                <c:pt idx="86">
                  <c:v>165000000</c:v>
                </c:pt>
                <c:pt idx="87">
                  <c:v>165000000</c:v>
                </c:pt>
                <c:pt idx="88">
                  <c:v>165000000</c:v>
                </c:pt>
                <c:pt idx="89">
                  <c:v>165000000</c:v>
                </c:pt>
                <c:pt idx="90">
                  <c:v>200000000</c:v>
                </c:pt>
                <c:pt idx="91">
                  <c:v>170000000</c:v>
                </c:pt>
                <c:pt idx="92">
                  <c:v>165000000</c:v>
                </c:pt>
                <c:pt idx="93">
                  <c:v>160000000</c:v>
                </c:pt>
                <c:pt idx="94">
                  <c:v>180000000</c:v>
                </c:pt>
                <c:pt idx="95">
                  <c:v>38000000</c:v>
                </c:pt>
                <c:pt idx="96">
                  <c:v>150000000</c:v>
                </c:pt>
                <c:pt idx="97">
                  <c:v>160000000</c:v>
                </c:pt>
                <c:pt idx="98">
                  <c:v>160000000</c:v>
                </c:pt>
                <c:pt idx="99">
                  <c:v>150000000</c:v>
                </c:pt>
                <c:pt idx="100">
                  <c:v>160000000</c:v>
                </c:pt>
                <c:pt idx="101">
                  <c:v>170000000</c:v>
                </c:pt>
                <c:pt idx="102">
                  <c:v>160000000</c:v>
                </c:pt>
                <c:pt idx="103">
                  <c:v>160000000</c:v>
                </c:pt>
                <c:pt idx="104">
                  <c:v>155000000</c:v>
                </c:pt>
                <c:pt idx="105">
                  <c:v>155000000</c:v>
                </c:pt>
                <c:pt idx="106">
                  <c:v>140000000</c:v>
                </c:pt>
                <c:pt idx="107">
                  <c:v>150000000</c:v>
                </c:pt>
                <c:pt idx="108">
                  <c:v>155000000</c:v>
                </c:pt>
                <c:pt idx="109">
                  <c:v>150000000</c:v>
                </c:pt>
                <c:pt idx="110">
                  <c:v>150000000</c:v>
                </c:pt>
                <c:pt idx="111">
                  <c:v>150000000</c:v>
                </c:pt>
                <c:pt idx="112">
                  <c:v>150000000</c:v>
                </c:pt>
                <c:pt idx="113">
                  <c:v>150000000</c:v>
                </c:pt>
                <c:pt idx="114">
                  <c:v>150000000</c:v>
                </c:pt>
                <c:pt idx="115">
                  <c:v>150000000</c:v>
                </c:pt>
                <c:pt idx="116">
                  <c:v>150000000</c:v>
                </c:pt>
                <c:pt idx="117">
                  <c:v>150000000</c:v>
                </c:pt>
                <c:pt idx="118">
                  <c:v>150000000</c:v>
                </c:pt>
                <c:pt idx="119">
                  <c:v>150000000</c:v>
                </c:pt>
                <c:pt idx="120">
                  <c:v>150000000</c:v>
                </c:pt>
                <c:pt idx="121">
                  <c:v>150000000</c:v>
                </c:pt>
                <c:pt idx="122">
                  <c:v>170000000</c:v>
                </c:pt>
                <c:pt idx="123">
                  <c:v>150000000</c:v>
                </c:pt>
                <c:pt idx="124">
                  <c:v>150000000</c:v>
                </c:pt>
                <c:pt idx="125">
                  <c:v>150000000</c:v>
                </c:pt>
                <c:pt idx="126">
                  <c:v>150000000</c:v>
                </c:pt>
                <c:pt idx="127">
                  <c:v>150000000</c:v>
                </c:pt>
                <c:pt idx="128">
                  <c:v>150000000</c:v>
                </c:pt>
                <c:pt idx="129">
                  <c:v>100000000</c:v>
                </c:pt>
                <c:pt idx="130">
                  <c:v>150000000</c:v>
                </c:pt>
                <c:pt idx="131">
                  <c:v>150000000</c:v>
                </c:pt>
                <c:pt idx="132">
                  <c:v>150000000</c:v>
                </c:pt>
                <c:pt idx="133">
                  <c:v>150000000</c:v>
                </c:pt>
                <c:pt idx="134">
                  <c:v>150000000</c:v>
                </c:pt>
                <c:pt idx="135">
                  <c:v>150000000</c:v>
                </c:pt>
                <c:pt idx="136">
                  <c:v>150000000</c:v>
                </c:pt>
                <c:pt idx="137">
                  <c:v>150000000</c:v>
                </c:pt>
                <c:pt idx="138">
                  <c:v>149000000</c:v>
                </c:pt>
                <c:pt idx="139">
                  <c:v>150000000</c:v>
                </c:pt>
                <c:pt idx="140">
                  <c:v>145000000</c:v>
                </c:pt>
                <c:pt idx="141">
                  <c:v>175000000</c:v>
                </c:pt>
                <c:pt idx="142">
                  <c:v>145000000</c:v>
                </c:pt>
                <c:pt idx="143">
                  <c:v>142000000</c:v>
                </c:pt>
                <c:pt idx="144">
                  <c:v>144000000</c:v>
                </c:pt>
                <c:pt idx="145">
                  <c:v>140000000</c:v>
                </c:pt>
                <c:pt idx="146">
                  <c:v>140000000</c:v>
                </c:pt>
                <c:pt idx="147">
                  <c:v>150000000</c:v>
                </c:pt>
                <c:pt idx="148">
                  <c:v>145000000</c:v>
                </c:pt>
                <c:pt idx="149">
                  <c:v>145000000</c:v>
                </c:pt>
                <c:pt idx="150">
                  <c:v>145000000</c:v>
                </c:pt>
                <c:pt idx="151">
                  <c:v>100000000</c:v>
                </c:pt>
                <c:pt idx="152">
                  <c:v>140000000</c:v>
                </c:pt>
                <c:pt idx="153">
                  <c:v>140000000</c:v>
                </c:pt>
                <c:pt idx="154">
                  <c:v>150000000</c:v>
                </c:pt>
                <c:pt idx="155">
                  <c:v>139000000</c:v>
                </c:pt>
                <c:pt idx="156">
                  <c:v>145000000</c:v>
                </c:pt>
                <c:pt idx="157">
                  <c:v>140000000</c:v>
                </c:pt>
                <c:pt idx="158">
                  <c:v>135000000</c:v>
                </c:pt>
                <c:pt idx="159">
                  <c:v>130000000</c:v>
                </c:pt>
                <c:pt idx="160">
                  <c:v>140000000</c:v>
                </c:pt>
                <c:pt idx="161">
                  <c:v>137000000</c:v>
                </c:pt>
                <c:pt idx="162">
                  <c:v>130000000</c:v>
                </c:pt>
                <c:pt idx="163">
                  <c:v>130000000</c:v>
                </c:pt>
                <c:pt idx="164">
                  <c:v>137000000</c:v>
                </c:pt>
                <c:pt idx="165">
                  <c:v>140000000</c:v>
                </c:pt>
                <c:pt idx="166">
                  <c:v>135000000</c:v>
                </c:pt>
                <c:pt idx="167">
                  <c:v>150000000</c:v>
                </c:pt>
                <c:pt idx="168">
                  <c:v>120000000</c:v>
                </c:pt>
                <c:pt idx="169">
                  <c:v>135000000</c:v>
                </c:pt>
                <c:pt idx="170">
                  <c:v>150000000</c:v>
                </c:pt>
                <c:pt idx="171">
                  <c:v>140000000</c:v>
                </c:pt>
                <c:pt idx="172">
                  <c:v>135000000</c:v>
                </c:pt>
                <c:pt idx="173">
                  <c:v>135000000</c:v>
                </c:pt>
                <c:pt idx="174">
                  <c:v>135000000</c:v>
                </c:pt>
                <c:pt idx="175">
                  <c:v>132000000</c:v>
                </c:pt>
                <c:pt idx="176">
                  <c:v>110000000</c:v>
                </c:pt>
                <c:pt idx="177">
                  <c:v>130000000</c:v>
                </c:pt>
                <c:pt idx="178">
                  <c:v>130000000</c:v>
                </c:pt>
                <c:pt idx="179">
                  <c:v>135000000</c:v>
                </c:pt>
                <c:pt idx="180">
                  <c:v>132000000</c:v>
                </c:pt>
                <c:pt idx="181">
                  <c:v>130000000</c:v>
                </c:pt>
                <c:pt idx="182">
                  <c:v>130000000</c:v>
                </c:pt>
                <c:pt idx="183">
                  <c:v>110000000</c:v>
                </c:pt>
                <c:pt idx="184">
                  <c:v>125000000</c:v>
                </c:pt>
                <c:pt idx="185">
                  <c:v>135000000</c:v>
                </c:pt>
                <c:pt idx="186">
                  <c:v>130000000</c:v>
                </c:pt>
                <c:pt idx="187">
                  <c:v>130000000</c:v>
                </c:pt>
                <c:pt idx="188">
                  <c:v>130000000</c:v>
                </c:pt>
                <c:pt idx="189">
                  <c:v>127500000</c:v>
                </c:pt>
                <c:pt idx="190">
                  <c:v>127000000</c:v>
                </c:pt>
                <c:pt idx="191">
                  <c:v>130000000</c:v>
                </c:pt>
                <c:pt idx="192">
                  <c:v>125000000</c:v>
                </c:pt>
                <c:pt idx="193">
                  <c:v>130000000</c:v>
                </c:pt>
                <c:pt idx="194">
                  <c:v>140000000</c:v>
                </c:pt>
                <c:pt idx="195">
                  <c:v>125000000</c:v>
                </c:pt>
                <c:pt idx="196">
                  <c:v>125000000</c:v>
                </c:pt>
                <c:pt idx="197">
                  <c:v>103000000</c:v>
                </c:pt>
                <c:pt idx="198">
                  <c:v>110000000</c:v>
                </c:pt>
                <c:pt idx="199">
                  <c:v>125000000</c:v>
                </c:pt>
                <c:pt idx="200">
                  <c:v>125000000</c:v>
                </c:pt>
                <c:pt idx="201">
                  <c:v>125000000</c:v>
                </c:pt>
                <c:pt idx="202">
                  <c:v>65000000</c:v>
                </c:pt>
                <c:pt idx="203">
                  <c:v>85000000</c:v>
                </c:pt>
                <c:pt idx="204">
                  <c:v>125000000</c:v>
                </c:pt>
                <c:pt idx="205">
                  <c:v>125000000</c:v>
                </c:pt>
                <c:pt idx="206">
                  <c:v>123000000</c:v>
                </c:pt>
                <c:pt idx="207">
                  <c:v>125000000</c:v>
                </c:pt>
                <c:pt idx="208">
                  <c:v>125000000</c:v>
                </c:pt>
                <c:pt idx="209">
                  <c:v>140000000</c:v>
                </c:pt>
                <c:pt idx="210">
                  <c:v>130000000</c:v>
                </c:pt>
                <c:pt idx="211">
                  <c:v>120000000</c:v>
                </c:pt>
                <c:pt idx="212">
                  <c:v>110000000</c:v>
                </c:pt>
                <c:pt idx="213">
                  <c:v>120000000</c:v>
                </c:pt>
                <c:pt idx="214">
                  <c:v>120000000</c:v>
                </c:pt>
                <c:pt idx="215">
                  <c:v>130000000</c:v>
                </c:pt>
                <c:pt idx="216">
                  <c:v>120000000</c:v>
                </c:pt>
                <c:pt idx="217">
                  <c:v>115000000</c:v>
                </c:pt>
                <c:pt idx="218">
                  <c:v>105000000</c:v>
                </c:pt>
                <c:pt idx="219">
                  <c:v>100000000</c:v>
                </c:pt>
                <c:pt idx="220">
                  <c:v>120000000</c:v>
                </c:pt>
                <c:pt idx="221">
                  <c:v>120000000</c:v>
                </c:pt>
                <c:pt idx="222">
                  <c:v>117000000</c:v>
                </c:pt>
                <c:pt idx="223">
                  <c:v>120000000</c:v>
                </c:pt>
                <c:pt idx="224">
                  <c:v>113000000</c:v>
                </c:pt>
                <c:pt idx="225">
                  <c:v>115000000</c:v>
                </c:pt>
                <c:pt idx="226">
                  <c:v>115000000</c:v>
                </c:pt>
                <c:pt idx="227">
                  <c:v>120000000</c:v>
                </c:pt>
                <c:pt idx="228">
                  <c:v>115000000</c:v>
                </c:pt>
                <c:pt idx="229">
                  <c:v>135000000</c:v>
                </c:pt>
                <c:pt idx="230">
                  <c:v>115000000</c:v>
                </c:pt>
                <c:pt idx="231">
                  <c:v>115000000</c:v>
                </c:pt>
                <c:pt idx="232">
                  <c:v>125000000</c:v>
                </c:pt>
                <c:pt idx="233">
                  <c:v>100000000</c:v>
                </c:pt>
                <c:pt idx="234">
                  <c:v>116000000</c:v>
                </c:pt>
                <c:pt idx="235">
                  <c:v>135000000</c:v>
                </c:pt>
                <c:pt idx="236">
                  <c:v>120000000</c:v>
                </c:pt>
                <c:pt idx="237">
                  <c:v>110000000</c:v>
                </c:pt>
                <c:pt idx="238">
                  <c:v>110000000</c:v>
                </c:pt>
                <c:pt idx="239">
                  <c:v>110000000</c:v>
                </c:pt>
                <c:pt idx="240">
                  <c:v>110000000</c:v>
                </c:pt>
                <c:pt idx="241">
                  <c:v>110000000</c:v>
                </c:pt>
                <c:pt idx="242">
                  <c:v>120000000</c:v>
                </c:pt>
                <c:pt idx="243">
                  <c:v>110000000</c:v>
                </c:pt>
                <c:pt idx="244">
                  <c:v>110000000</c:v>
                </c:pt>
                <c:pt idx="245">
                  <c:v>112000000</c:v>
                </c:pt>
                <c:pt idx="246">
                  <c:v>120000000</c:v>
                </c:pt>
                <c:pt idx="247">
                  <c:v>110000000</c:v>
                </c:pt>
                <c:pt idx="248">
                  <c:v>110000000</c:v>
                </c:pt>
                <c:pt idx="249">
                  <c:v>110000000</c:v>
                </c:pt>
                <c:pt idx="250">
                  <c:v>110000000</c:v>
                </c:pt>
                <c:pt idx="251">
                  <c:v>110000000</c:v>
                </c:pt>
                <c:pt idx="252">
                  <c:v>105000000</c:v>
                </c:pt>
                <c:pt idx="253">
                  <c:v>160000000</c:v>
                </c:pt>
                <c:pt idx="254">
                  <c:v>110000000</c:v>
                </c:pt>
                <c:pt idx="255">
                  <c:v>110000000</c:v>
                </c:pt>
                <c:pt idx="256">
                  <c:v>93000000</c:v>
                </c:pt>
                <c:pt idx="257">
                  <c:v>110000000</c:v>
                </c:pt>
                <c:pt idx="258">
                  <c:v>107000000</c:v>
                </c:pt>
                <c:pt idx="259">
                  <c:v>120000000</c:v>
                </c:pt>
                <c:pt idx="260">
                  <c:v>130000000</c:v>
                </c:pt>
                <c:pt idx="261">
                  <c:v>133000000</c:v>
                </c:pt>
                <c:pt idx="262">
                  <c:v>105000000</c:v>
                </c:pt>
                <c:pt idx="263">
                  <c:v>108000000</c:v>
                </c:pt>
                <c:pt idx="264">
                  <c:v>126000000</c:v>
                </c:pt>
                <c:pt idx="265">
                  <c:v>90000000</c:v>
                </c:pt>
                <c:pt idx="266">
                  <c:v>90000000</c:v>
                </c:pt>
                <c:pt idx="267">
                  <c:v>103000000</c:v>
                </c:pt>
                <c:pt idx="268">
                  <c:v>102000000</c:v>
                </c:pt>
                <c:pt idx="269">
                  <c:v>100000000</c:v>
                </c:pt>
                <c:pt idx="270">
                  <c:v>150000000</c:v>
                </c:pt>
                <c:pt idx="271">
                  <c:v>100000000</c:v>
                </c:pt>
                <c:pt idx="272">
                  <c:v>102000000</c:v>
                </c:pt>
                <c:pt idx="273">
                  <c:v>100000000</c:v>
                </c:pt>
                <c:pt idx="274">
                  <c:v>100000000</c:v>
                </c:pt>
                <c:pt idx="275">
                  <c:v>115000000</c:v>
                </c:pt>
                <c:pt idx="276">
                  <c:v>100000000</c:v>
                </c:pt>
                <c:pt idx="277">
                  <c:v>100000000</c:v>
                </c:pt>
                <c:pt idx="278">
                  <c:v>100000000</c:v>
                </c:pt>
                <c:pt idx="279">
                  <c:v>100000000</c:v>
                </c:pt>
                <c:pt idx="280">
                  <c:v>100000000</c:v>
                </c:pt>
                <c:pt idx="281">
                  <c:v>100000000</c:v>
                </c:pt>
                <c:pt idx="282">
                  <c:v>100000000</c:v>
                </c:pt>
                <c:pt idx="283">
                  <c:v>92000000</c:v>
                </c:pt>
                <c:pt idx="284">
                  <c:v>100000000</c:v>
                </c:pt>
                <c:pt idx="285">
                  <c:v>100000000</c:v>
                </c:pt>
                <c:pt idx="286">
                  <c:v>100000000</c:v>
                </c:pt>
                <c:pt idx="287">
                  <c:v>100000000</c:v>
                </c:pt>
                <c:pt idx="288">
                  <c:v>100000000</c:v>
                </c:pt>
                <c:pt idx="289">
                  <c:v>83000000</c:v>
                </c:pt>
                <c:pt idx="290">
                  <c:v>100000000</c:v>
                </c:pt>
                <c:pt idx="291">
                  <c:v>100000000</c:v>
                </c:pt>
                <c:pt idx="292">
                  <c:v>100000000</c:v>
                </c:pt>
                <c:pt idx="293">
                  <c:v>105000000</c:v>
                </c:pt>
                <c:pt idx="294">
                  <c:v>102000000</c:v>
                </c:pt>
                <c:pt idx="295">
                  <c:v>80000000</c:v>
                </c:pt>
                <c:pt idx="296">
                  <c:v>100000000</c:v>
                </c:pt>
                <c:pt idx="297">
                  <c:v>100000000</c:v>
                </c:pt>
                <c:pt idx="298">
                  <c:v>140000000</c:v>
                </c:pt>
                <c:pt idx="299">
                  <c:v>100000000</c:v>
                </c:pt>
                <c:pt idx="300">
                  <c:v>90000000</c:v>
                </c:pt>
                <c:pt idx="301">
                  <c:v>105000000</c:v>
                </c:pt>
                <c:pt idx="302">
                  <c:v>84000000</c:v>
                </c:pt>
                <c:pt idx="303">
                  <c:v>100000000</c:v>
                </c:pt>
                <c:pt idx="304">
                  <c:v>100000000</c:v>
                </c:pt>
                <c:pt idx="305">
                  <c:v>100000000</c:v>
                </c:pt>
                <c:pt idx="306">
                  <c:v>99000000</c:v>
                </c:pt>
                <c:pt idx="307">
                  <c:v>10000000</c:v>
                </c:pt>
                <c:pt idx="308">
                  <c:v>98000000</c:v>
                </c:pt>
                <c:pt idx="309">
                  <c:v>100000000</c:v>
                </c:pt>
                <c:pt idx="310">
                  <c:v>94000000</c:v>
                </c:pt>
                <c:pt idx="311">
                  <c:v>100000000</c:v>
                </c:pt>
                <c:pt idx="312">
                  <c:v>90000000</c:v>
                </c:pt>
                <c:pt idx="313">
                  <c:v>92000000</c:v>
                </c:pt>
                <c:pt idx="314">
                  <c:v>95000000</c:v>
                </c:pt>
                <c:pt idx="315">
                  <c:v>93000000</c:v>
                </c:pt>
                <c:pt idx="316">
                  <c:v>100000000</c:v>
                </c:pt>
                <c:pt idx="317">
                  <c:v>95000000</c:v>
                </c:pt>
                <c:pt idx="318">
                  <c:v>95000000</c:v>
                </c:pt>
                <c:pt idx="319">
                  <c:v>95000000</c:v>
                </c:pt>
                <c:pt idx="320">
                  <c:v>65000000</c:v>
                </c:pt>
                <c:pt idx="321">
                  <c:v>94000000</c:v>
                </c:pt>
                <c:pt idx="322">
                  <c:v>94000000</c:v>
                </c:pt>
                <c:pt idx="323">
                  <c:v>94000000</c:v>
                </c:pt>
                <c:pt idx="324">
                  <c:v>95000000</c:v>
                </c:pt>
                <c:pt idx="325">
                  <c:v>115000000</c:v>
                </c:pt>
                <c:pt idx="326">
                  <c:v>100000000</c:v>
                </c:pt>
                <c:pt idx="327">
                  <c:v>93000000</c:v>
                </c:pt>
                <c:pt idx="328">
                  <c:v>93000000</c:v>
                </c:pt>
                <c:pt idx="329">
                  <c:v>90000000</c:v>
                </c:pt>
                <c:pt idx="330">
                  <c:v>92000000</c:v>
                </c:pt>
                <c:pt idx="331">
                  <c:v>107000000</c:v>
                </c:pt>
                <c:pt idx="332">
                  <c:v>92000000</c:v>
                </c:pt>
                <c:pt idx="333">
                  <c:v>98000000</c:v>
                </c:pt>
                <c:pt idx="334">
                  <c:v>95000000</c:v>
                </c:pt>
                <c:pt idx="335">
                  <c:v>90000000</c:v>
                </c:pt>
                <c:pt idx="336">
                  <c:v>90000000</c:v>
                </c:pt>
                <c:pt idx="337">
                  <c:v>100000000</c:v>
                </c:pt>
                <c:pt idx="338">
                  <c:v>90000000</c:v>
                </c:pt>
                <c:pt idx="339">
                  <c:v>100000000</c:v>
                </c:pt>
                <c:pt idx="340">
                  <c:v>100000000</c:v>
                </c:pt>
                <c:pt idx="341">
                  <c:v>90000000</c:v>
                </c:pt>
                <c:pt idx="342">
                  <c:v>90000000</c:v>
                </c:pt>
                <c:pt idx="343">
                  <c:v>92000000</c:v>
                </c:pt>
                <c:pt idx="344">
                  <c:v>90000000</c:v>
                </c:pt>
                <c:pt idx="345">
                  <c:v>90000000</c:v>
                </c:pt>
                <c:pt idx="346">
                  <c:v>92000000</c:v>
                </c:pt>
                <c:pt idx="347">
                  <c:v>90000000</c:v>
                </c:pt>
                <c:pt idx="348">
                  <c:v>90000000</c:v>
                </c:pt>
                <c:pt idx="349">
                  <c:v>90000000</c:v>
                </c:pt>
                <c:pt idx="350">
                  <c:v>120000000</c:v>
                </c:pt>
                <c:pt idx="351">
                  <c:v>90000000</c:v>
                </c:pt>
                <c:pt idx="352">
                  <c:v>75000000</c:v>
                </c:pt>
                <c:pt idx="353">
                  <c:v>90000000</c:v>
                </c:pt>
                <c:pt idx="354">
                  <c:v>88000000</c:v>
                </c:pt>
                <c:pt idx="355">
                  <c:v>100000000</c:v>
                </c:pt>
                <c:pt idx="356">
                  <c:v>90000000</c:v>
                </c:pt>
                <c:pt idx="357">
                  <c:v>90000000</c:v>
                </c:pt>
                <c:pt idx="358">
                  <c:v>95000000</c:v>
                </c:pt>
                <c:pt idx="359">
                  <c:v>80000000</c:v>
                </c:pt>
                <c:pt idx="360">
                  <c:v>90000000</c:v>
                </c:pt>
                <c:pt idx="361">
                  <c:v>95000000</c:v>
                </c:pt>
                <c:pt idx="362">
                  <c:v>90000000</c:v>
                </c:pt>
                <c:pt idx="363">
                  <c:v>68000000</c:v>
                </c:pt>
                <c:pt idx="364">
                  <c:v>92000000</c:v>
                </c:pt>
                <c:pt idx="365">
                  <c:v>90000000</c:v>
                </c:pt>
                <c:pt idx="366">
                  <c:v>90000000</c:v>
                </c:pt>
                <c:pt idx="367">
                  <c:v>100000000</c:v>
                </c:pt>
                <c:pt idx="368">
                  <c:v>90000000</c:v>
                </c:pt>
                <c:pt idx="369">
                  <c:v>86000000</c:v>
                </c:pt>
                <c:pt idx="370">
                  <c:v>100000000</c:v>
                </c:pt>
                <c:pt idx="371">
                  <c:v>20000000</c:v>
                </c:pt>
                <c:pt idx="372">
                  <c:v>88000000</c:v>
                </c:pt>
                <c:pt idx="373">
                  <c:v>90000000</c:v>
                </c:pt>
                <c:pt idx="374">
                  <c:v>87000000</c:v>
                </c:pt>
                <c:pt idx="375">
                  <c:v>92000000</c:v>
                </c:pt>
                <c:pt idx="376">
                  <c:v>90000000</c:v>
                </c:pt>
                <c:pt idx="377">
                  <c:v>100000000</c:v>
                </c:pt>
                <c:pt idx="378">
                  <c:v>75000000</c:v>
                </c:pt>
                <c:pt idx="379">
                  <c:v>85000000</c:v>
                </c:pt>
                <c:pt idx="380">
                  <c:v>85000000</c:v>
                </c:pt>
                <c:pt idx="381">
                  <c:v>75000000</c:v>
                </c:pt>
                <c:pt idx="382">
                  <c:v>85000000</c:v>
                </c:pt>
                <c:pt idx="383">
                  <c:v>85000000</c:v>
                </c:pt>
                <c:pt idx="384">
                  <c:v>85000000</c:v>
                </c:pt>
                <c:pt idx="385">
                  <c:v>85000000</c:v>
                </c:pt>
                <c:pt idx="386">
                  <c:v>75000000</c:v>
                </c:pt>
                <c:pt idx="387">
                  <c:v>85000000</c:v>
                </c:pt>
                <c:pt idx="388">
                  <c:v>90000000</c:v>
                </c:pt>
                <c:pt idx="389">
                  <c:v>85000000</c:v>
                </c:pt>
                <c:pt idx="390">
                  <c:v>85000000</c:v>
                </c:pt>
                <c:pt idx="391">
                  <c:v>85000000</c:v>
                </c:pt>
                <c:pt idx="392">
                  <c:v>85000000</c:v>
                </c:pt>
                <c:pt idx="393">
                  <c:v>68000000</c:v>
                </c:pt>
                <c:pt idx="394">
                  <c:v>85000000</c:v>
                </c:pt>
                <c:pt idx="395">
                  <c:v>70000000</c:v>
                </c:pt>
                <c:pt idx="396">
                  <c:v>85000000</c:v>
                </c:pt>
                <c:pt idx="397">
                  <c:v>85000000</c:v>
                </c:pt>
                <c:pt idx="398">
                  <c:v>100000000</c:v>
                </c:pt>
                <c:pt idx="399">
                  <c:v>90000000</c:v>
                </c:pt>
                <c:pt idx="400">
                  <c:v>85000000</c:v>
                </c:pt>
                <c:pt idx="401">
                  <c:v>85000000</c:v>
                </c:pt>
                <c:pt idx="402">
                  <c:v>60000000</c:v>
                </c:pt>
                <c:pt idx="403">
                  <c:v>65000000</c:v>
                </c:pt>
                <c:pt idx="404">
                  <c:v>84000000</c:v>
                </c:pt>
                <c:pt idx="405">
                  <c:v>35000000</c:v>
                </c:pt>
                <c:pt idx="406">
                  <c:v>70000000</c:v>
                </c:pt>
                <c:pt idx="407">
                  <c:v>85000000</c:v>
                </c:pt>
                <c:pt idx="408">
                  <c:v>85000000</c:v>
                </c:pt>
                <c:pt idx="409">
                  <c:v>85000000</c:v>
                </c:pt>
                <c:pt idx="410">
                  <c:v>65000000</c:v>
                </c:pt>
                <c:pt idx="411">
                  <c:v>82000000</c:v>
                </c:pt>
                <c:pt idx="412">
                  <c:v>81000000</c:v>
                </c:pt>
                <c:pt idx="413">
                  <c:v>80000000</c:v>
                </c:pt>
                <c:pt idx="414">
                  <c:v>80000000</c:v>
                </c:pt>
                <c:pt idx="415">
                  <c:v>78000000</c:v>
                </c:pt>
                <c:pt idx="416">
                  <c:v>80000000</c:v>
                </c:pt>
                <c:pt idx="417">
                  <c:v>80000000</c:v>
                </c:pt>
                <c:pt idx="418">
                  <c:v>80000000</c:v>
                </c:pt>
                <c:pt idx="419">
                  <c:v>80000000</c:v>
                </c:pt>
                <c:pt idx="420">
                  <c:v>75000000</c:v>
                </c:pt>
                <c:pt idx="421">
                  <c:v>84000000</c:v>
                </c:pt>
                <c:pt idx="422">
                  <c:v>82000000</c:v>
                </c:pt>
                <c:pt idx="423">
                  <c:v>75000000</c:v>
                </c:pt>
                <c:pt idx="424">
                  <c:v>80000000</c:v>
                </c:pt>
                <c:pt idx="425">
                  <c:v>80000000</c:v>
                </c:pt>
                <c:pt idx="426">
                  <c:v>80000000</c:v>
                </c:pt>
                <c:pt idx="427">
                  <c:v>80000000</c:v>
                </c:pt>
                <c:pt idx="428">
                  <c:v>80000000</c:v>
                </c:pt>
                <c:pt idx="429">
                  <c:v>75000000</c:v>
                </c:pt>
                <c:pt idx="430">
                  <c:v>80000000</c:v>
                </c:pt>
                <c:pt idx="431">
                  <c:v>80000000</c:v>
                </c:pt>
                <c:pt idx="432">
                  <c:v>80000000</c:v>
                </c:pt>
                <c:pt idx="433">
                  <c:v>80000000</c:v>
                </c:pt>
                <c:pt idx="434">
                  <c:v>75000000</c:v>
                </c:pt>
                <c:pt idx="435">
                  <c:v>80000000</c:v>
                </c:pt>
                <c:pt idx="436">
                  <c:v>79000000</c:v>
                </c:pt>
                <c:pt idx="437">
                  <c:v>80000000</c:v>
                </c:pt>
                <c:pt idx="438">
                  <c:v>80000000</c:v>
                </c:pt>
                <c:pt idx="439">
                  <c:v>80000000</c:v>
                </c:pt>
                <c:pt idx="440">
                  <c:v>80000000</c:v>
                </c:pt>
                <c:pt idx="441">
                  <c:v>65000000</c:v>
                </c:pt>
                <c:pt idx="442">
                  <c:v>80000000</c:v>
                </c:pt>
                <c:pt idx="443">
                  <c:v>75000000</c:v>
                </c:pt>
                <c:pt idx="444">
                  <c:v>68000000</c:v>
                </c:pt>
                <c:pt idx="445">
                  <c:v>70000000</c:v>
                </c:pt>
                <c:pt idx="446">
                  <c:v>80000000</c:v>
                </c:pt>
                <c:pt idx="447">
                  <c:v>80000000</c:v>
                </c:pt>
                <c:pt idx="448">
                  <c:v>80000000</c:v>
                </c:pt>
                <c:pt idx="449">
                  <c:v>80000000</c:v>
                </c:pt>
                <c:pt idx="450">
                  <c:v>80000000</c:v>
                </c:pt>
                <c:pt idx="451">
                  <c:v>80000000</c:v>
                </c:pt>
                <c:pt idx="452">
                  <c:v>80000000</c:v>
                </c:pt>
                <c:pt idx="453">
                  <c:v>80000000</c:v>
                </c:pt>
                <c:pt idx="454">
                  <c:v>90000000</c:v>
                </c:pt>
                <c:pt idx="455">
                  <c:v>80000000</c:v>
                </c:pt>
                <c:pt idx="456">
                  <c:v>85000000</c:v>
                </c:pt>
                <c:pt idx="457">
                  <c:v>80000000</c:v>
                </c:pt>
                <c:pt idx="458">
                  <c:v>88000000</c:v>
                </c:pt>
                <c:pt idx="459">
                  <c:v>70000000</c:v>
                </c:pt>
                <c:pt idx="460">
                  <c:v>80000000</c:v>
                </c:pt>
                <c:pt idx="461">
                  <c:v>80000000</c:v>
                </c:pt>
                <c:pt idx="462">
                  <c:v>80000000</c:v>
                </c:pt>
                <c:pt idx="463">
                  <c:v>80000000</c:v>
                </c:pt>
                <c:pt idx="464">
                  <c:v>44000000</c:v>
                </c:pt>
                <c:pt idx="465">
                  <c:v>80000000</c:v>
                </c:pt>
                <c:pt idx="466">
                  <c:v>80000000</c:v>
                </c:pt>
                <c:pt idx="467">
                  <c:v>80000000</c:v>
                </c:pt>
                <c:pt idx="468">
                  <c:v>80000000</c:v>
                </c:pt>
                <c:pt idx="469">
                  <c:v>80000000</c:v>
                </c:pt>
                <c:pt idx="470">
                  <c:v>90000000</c:v>
                </c:pt>
                <c:pt idx="471">
                  <c:v>70000000</c:v>
                </c:pt>
                <c:pt idx="472">
                  <c:v>86000000</c:v>
                </c:pt>
                <c:pt idx="473">
                  <c:v>40000000</c:v>
                </c:pt>
                <c:pt idx="474">
                  <c:v>52000000</c:v>
                </c:pt>
                <c:pt idx="475">
                  <c:v>58000000</c:v>
                </c:pt>
                <c:pt idx="476">
                  <c:v>45000000</c:v>
                </c:pt>
                <c:pt idx="477">
                  <c:v>79000000</c:v>
                </c:pt>
                <c:pt idx="478">
                  <c:v>78000000</c:v>
                </c:pt>
                <c:pt idx="479">
                  <c:v>78000000</c:v>
                </c:pt>
                <c:pt idx="480">
                  <c:v>100000000</c:v>
                </c:pt>
                <c:pt idx="481">
                  <c:v>79000000</c:v>
                </c:pt>
                <c:pt idx="482">
                  <c:v>76000000</c:v>
                </c:pt>
                <c:pt idx="483">
                  <c:v>81200000</c:v>
                </c:pt>
                <c:pt idx="484">
                  <c:v>80000000</c:v>
                </c:pt>
                <c:pt idx="485">
                  <c:v>76000000</c:v>
                </c:pt>
                <c:pt idx="486">
                  <c:v>75000000</c:v>
                </c:pt>
                <c:pt idx="487">
                  <c:v>78000000</c:v>
                </c:pt>
                <c:pt idx="488">
                  <c:v>76000000</c:v>
                </c:pt>
                <c:pt idx="489">
                  <c:v>75000000</c:v>
                </c:pt>
                <c:pt idx="490">
                  <c:v>73000000</c:v>
                </c:pt>
                <c:pt idx="491">
                  <c:v>75000000</c:v>
                </c:pt>
                <c:pt idx="492">
                  <c:v>76000000</c:v>
                </c:pt>
                <c:pt idx="493">
                  <c:v>75000000</c:v>
                </c:pt>
                <c:pt idx="494">
                  <c:v>75000000</c:v>
                </c:pt>
                <c:pt idx="495">
                  <c:v>75000000</c:v>
                </c:pt>
                <c:pt idx="496">
                  <c:v>80000000</c:v>
                </c:pt>
                <c:pt idx="497">
                  <c:v>75000000</c:v>
                </c:pt>
                <c:pt idx="498">
                  <c:v>75000000</c:v>
                </c:pt>
                <c:pt idx="499">
                  <c:v>50000000</c:v>
                </c:pt>
                <c:pt idx="500">
                  <c:v>75000000</c:v>
                </c:pt>
                <c:pt idx="501">
                  <c:v>75000000</c:v>
                </c:pt>
                <c:pt idx="502">
                  <c:v>80000000</c:v>
                </c:pt>
                <c:pt idx="503">
                  <c:v>60000000</c:v>
                </c:pt>
                <c:pt idx="504">
                  <c:v>35000000</c:v>
                </c:pt>
                <c:pt idx="505">
                  <c:v>75000000</c:v>
                </c:pt>
                <c:pt idx="506">
                  <c:v>75000000</c:v>
                </c:pt>
                <c:pt idx="507">
                  <c:v>75000000</c:v>
                </c:pt>
                <c:pt idx="508">
                  <c:v>70000000</c:v>
                </c:pt>
                <c:pt idx="509">
                  <c:v>53000000</c:v>
                </c:pt>
                <c:pt idx="510">
                  <c:v>70000000</c:v>
                </c:pt>
                <c:pt idx="511">
                  <c:v>70000000</c:v>
                </c:pt>
                <c:pt idx="512">
                  <c:v>75000000</c:v>
                </c:pt>
                <c:pt idx="513">
                  <c:v>75000000</c:v>
                </c:pt>
                <c:pt idx="514">
                  <c:v>80000000</c:v>
                </c:pt>
                <c:pt idx="515">
                  <c:v>75000000</c:v>
                </c:pt>
                <c:pt idx="516">
                  <c:v>80000000</c:v>
                </c:pt>
                <c:pt idx="517">
                  <c:v>55000000</c:v>
                </c:pt>
                <c:pt idx="518">
                  <c:v>75000000</c:v>
                </c:pt>
                <c:pt idx="519">
                  <c:v>75000000</c:v>
                </c:pt>
                <c:pt idx="520">
                  <c:v>52000000</c:v>
                </c:pt>
                <c:pt idx="521">
                  <c:v>75000000</c:v>
                </c:pt>
                <c:pt idx="522">
                  <c:v>75000000</c:v>
                </c:pt>
                <c:pt idx="523">
                  <c:v>75000000</c:v>
                </c:pt>
                <c:pt idx="524">
                  <c:v>75000000</c:v>
                </c:pt>
                <c:pt idx="525">
                  <c:v>45000000</c:v>
                </c:pt>
                <c:pt idx="526">
                  <c:v>75000000</c:v>
                </c:pt>
                <c:pt idx="527">
                  <c:v>74000000</c:v>
                </c:pt>
                <c:pt idx="528">
                  <c:v>82000000</c:v>
                </c:pt>
                <c:pt idx="529">
                  <c:v>69000000</c:v>
                </c:pt>
                <c:pt idx="530">
                  <c:v>75000000</c:v>
                </c:pt>
                <c:pt idx="531">
                  <c:v>73000000</c:v>
                </c:pt>
                <c:pt idx="532">
                  <c:v>75000000</c:v>
                </c:pt>
                <c:pt idx="533">
                  <c:v>70000000</c:v>
                </c:pt>
                <c:pt idx="534">
                  <c:v>73000000</c:v>
                </c:pt>
                <c:pt idx="535">
                  <c:v>72000000</c:v>
                </c:pt>
                <c:pt idx="536">
                  <c:v>72000000</c:v>
                </c:pt>
                <c:pt idx="537">
                  <c:v>75000000</c:v>
                </c:pt>
                <c:pt idx="538">
                  <c:v>72000000</c:v>
                </c:pt>
                <c:pt idx="539">
                  <c:v>72000000</c:v>
                </c:pt>
                <c:pt idx="540">
                  <c:v>59660000</c:v>
                </c:pt>
                <c:pt idx="541">
                  <c:v>60000000</c:v>
                </c:pt>
                <c:pt idx="542">
                  <c:v>71500000</c:v>
                </c:pt>
                <c:pt idx="543">
                  <c:v>72000000</c:v>
                </c:pt>
                <c:pt idx="544">
                  <c:v>150000000</c:v>
                </c:pt>
                <c:pt idx="545">
                  <c:v>120000000</c:v>
                </c:pt>
                <c:pt idx="546">
                  <c:v>70000000</c:v>
                </c:pt>
                <c:pt idx="547">
                  <c:v>70000000</c:v>
                </c:pt>
                <c:pt idx="548">
                  <c:v>74000000</c:v>
                </c:pt>
                <c:pt idx="549">
                  <c:v>80000000</c:v>
                </c:pt>
                <c:pt idx="550">
                  <c:v>75000000</c:v>
                </c:pt>
                <c:pt idx="551">
                  <c:v>70000000</c:v>
                </c:pt>
                <c:pt idx="552">
                  <c:v>70000000</c:v>
                </c:pt>
                <c:pt idx="553">
                  <c:v>80000000</c:v>
                </c:pt>
                <c:pt idx="554">
                  <c:v>68000000</c:v>
                </c:pt>
                <c:pt idx="555">
                  <c:v>70000000</c:v>
                </c:pt>
                <c:pt idx="556">
                  <c:v>60000000</c:v>
                </c:pt>
                <c:pt idx="557">
                  <c:v>75000000</c:v>
                </c:pt>
                <c:pt idx="558">
                  <c:v>75000000</c:v>
                </c:pt>
                <c:pt idx="559">
                  <c:v>70000000</c:v>
                </c:pt>
                <c:pt idx="560">
                  <c:v>58000000</c:v>
                </c:pt>
                <c:pt idx="561">
                  <c:v>70000000</c:v>
                </c:pt>
                <c:pt idx="562">
                  <c:v>70000000</c:v>
                </c:pt>
                <c:pt idx="563">
                  <c:v>70000000</c:v>
                </c:pt>
                <c:pt idx="564">
                  <c:v>66000000</c:v>
                </c:pt>
                <c:pt idx="565">
                  <c:v>70000000</c:v>
                </c:pt>
                <c:pt idx="566">
                  <c:v>69500000</c:v>
                </c:pt>
                <c:pt idx="567">
                  <c:v>70000000</c:v>
                </c:pt>
                <c:pt idx="568">
                  <c:v>70000000</c:v>
                </c:pt>
                <c:pt idx="569">
                  <c:v>70000000</c:v>
                </c:pt>
                <c:pt idx="570">
                  <c:v>70000000</c:v>
                </c:pt>
                <c:pt idx="571">
                  <c:v>70000000</c:v>
                </c:pt>
                <c:pt idx="572">
                  <c:v>70000000</c:v>
                </c:pt>
                <c:pt idx="573">
                  <c:v>70000000</c:v>
                </c:pt>
                <c:pt idx="574">
                  <c:v>60000000</c:v>
                </c:pt>
                <c:pt idx="575">
                  <c:v>70000000</c:v>
                </c:pt>
                <c:pt idx="576">
                  <c:v>70000000</c:v>
                </c:pt>
                <c:pt idx="577">
                  <c:v>75000000</c:v>
                </c:pt>
                <c:pt idx="578">
                  <c:v>60000000</c:v>
                </c:pt>
                <c:pt idx="579">
                  <c:v>35000000</c:v>
                </c:pt>
                <c:pt idx="580">
                  <c:v>70000000</c:v>
                </c:pt>
                <c:pt idx="581">
                  <c:v>70000000</c:v>
                </c:pt>
                <c:pt idx="582">
                  <c:v>70000000</c:v>
                </c:pt>
                <c:pt idx="583">
                  <c:v>70000000</c:v>
                </c:pt>
                <c:pt idx="584">
                  <c:v>70000000</c:v>
                </c:pt>
                <c:pt idx="585">
                  <c:v>70000000</c:v>
                </c:pt>
                <c:pt idx="586">
                  <c:v>70000000</c:v>
                </c:pt>
                <c:pt idx="587">
                  <c:v>50000000</c:v>
                </c:pt>
                <c:pt idx="588">
                  <c:v>70000000</c:v>
                </c:pt>
                <c:pt idx="589">
                  <c:v>68000000</c:v>
                </c:pt>
                <c:pt idx="590">
                  <c:v>68000000</c:v>
                </c:pt>
                <c:pt idx="591">
                  <c:v>68000000</c:v>
                </c:pt>
                <c:pt idx="592">
                  <c:v>69000000</c:v>
                </c:pt>
                <c:pt idx="593">
                  <c:v>68000000</c:v>
                </c:pt>
                <c:pt idx="594">
                  <c:v>68000000</c:v>
                </c:pt>
                <c:pt idx="595">
                  <c:v>70000000</c:v>
                </c:pt>
                <c:pt idx="596">
                  <c:v>65000000</c:v>
                </c:pt>
                <c:pt idx="597">
                  <c:v>36000000</c:v>
                </c:pt>
                <c:pt idx="598">
                  <c:v>68000000</c:v>
                </c:pt>
                <c:pt idx="599">
                  <c:v>70000000</c:v>
                </c:pt>
                <c:pt idx="600">
                  <c:v>69000000</c:v>
                </c:pt>
                <c:pt idx="601">
                  <c:v>66000000</c:v>
                </c:pt>
                <c:pt idx="602">
                  <c:v>66000000</c:v>
                </c:pt>
                <c:pt idx="603">
                  <c:v>35000000</c:v>
                </c:pt>
                <c:pt idx="604">
                  <c:v>70000000</c:v>
                </c:pt>
                <c:pt idx="605">
                  <c:v>66000000</c:v>
                </c:pt>
                <c:pt idx="606">
                  <c:v>70000000</c:v>
                </c:pt>
                <c:pt idx="607">
                  <c:v>59000000</c:v>
                </c:pt>
                <c:pt idx="608">
                  <c:v>68000000</c:v>
                </c:pt>
                <c:pt idx="609">
                  <c:v>65000000</c:v>
                </c:pt>
                <c:pt idx="610">
                  <c:v>63000000</c:v>
                </c:pt>
                <c:pt idx="611">
                  <c:v>62000000</c:v>
                </c:pt>
                <c:pt idx="612">
                  <c:v>60000000</c:v>
                </c:pt>
                <c:pt idx="613">
                  <c:v>61000000</c:v>
                </c:pt>
                <c:pt idx="614">
                  <c:v>65000000</c:v>
                </c:pt>
                <c:pt idx="615">
                  <c:v>65000000</c:v>
                </c:pt>
                <c:pt idx="616">
                  <c:v>65000000</c:v>
                </c:pt>
                <c:pt idx="617">
                  <c:v>65000000</c:v>
                </c:pt>
                <c:pt idx="618">
                  <c:v>65000000</c:v>
                </c:pt>
                <c:pt idx="619">
                  <c:v>65000000</c:v>
                </c:pt>
                <c:pt idx="620">
                  <c:v>70000000</c:v>
                </c:pt>
                <c:pt idx="621">
                  <c:v>50000000</c:v>
                </c:pt>
                <c:pt idx="622">
                  <c:v>60000000</c:v>
                </c:pt>
                <c:pt idx="623">
                  <c:v>63000000</c:v>
                </c:pt>
                <c:pt idx="624">
                  <c:v>65000000</c:v>
                </c:pt>
                <c:pt idx="625">
                  <c:v>65000000</c:v>
                </c:pt>
                <c:pt idx="626">
                  <c:v>65000000</c:v>
                </c:pt>
                <c:pt idx="627">
                  <c:v>65000000</c:v>
                </c:pt>
                <c:pt idx="628">
                  <c:v>50100000</c:v>
                </c:pt>
                <c:pt idx="629">
                  <c:v>65000000</c:v>
                </c:pt>
                <c:pt idx="630">
                  <c:v>65000000</c:v>
                </c:pt>
                <c:pt idx="631">
                  <c:v>65000000</c:v>
                </c:pt>
                <c:pt idx="632">
                  <c:v>65000000</c:v>
                </c:pt>
                <c:pt idx="633">
                  <c:v>45000000</c:v>
                </c:pt>
                <c:pt idx="634">
                  <c:v>65000000</c:v>
                </c:pt>
                <c:pt idx="635">
                  <c:v>65000000</c:v>
                </c:pt>
                <c:pt idx="636">
                  <c:v>65000000</c:v>
                </c:pt>
                <c:pt idx="637">
                  <c:v>65000000</c:v>
                </c:pt>
                <c:pt idx="638">
                  <c:v>70000000</c:v>
                </c:pt>
                <c:pt idx="639">
                  <c:v>65000000</c:v>
                </c:pt>
                <c:pt idx="640">
                  <c:v>65000000</c:v>
                </c:pt>
                <c:pt idx="641">
                  <c:v>50000000</c:v>
                </c:pt>
                <c:pt idx="642">
                  <c:v>43000000</c:v>
                </c:pt>
                <c:pt idx="643">
                  <c:v>65000000</c:v>
                </c:pt>
                <c:pt idx="644">
                  <c:v>64000000</c:v>
                </c:pt>
                <c:pt idx="645">
                  <c:v>55000000</c:v>
                </c:pt>
                <c:pt idx="646">
                  <c:v>50000000</c:v>
                </c:pt>
                <c:pt idx="647">
                  <c:v>63000000</c:v>
                </c:pt>
                <c:pt idx="648">
                  <c:v>65000000</c:v>
                </c:pt>
                <c:pt idx="649">
                  <c:v>63000000</c:v>
                </c:pt>
                <c:pt idx="650">
                  <c:v>63000000</c:v>
                </c:pt>
                <c:pt idx="651">
                  <c:v>62000000</c:v>
                </c:pt>
                <c:pt idx="652">
                  <c:v>65000000</c:v>
                </c:pt>
                <c:pt idx="653">
                  <c:v>64000000</c:v>
                </c:pt>
                <c:pt idx="654">
                  <c:v>62000000</c:v>
                </c:pt>
                <c:pt idx="655">
                  <c:v>62000000</c:v>
                </c:pt>
                <c:pt idx="656">
                  <c:v>62000000</c:v>
                </c:pt>
                <c:pt idx="657">
                  <c:v>42000000</c:v>
                </c:pt>
                <c:pt idx="658">
                  <c:v>44000000</c:v>
                </c:pt>
                <c:pt idx="659">
                  <c:v>61000000</c:v>
                </c:pt>
                <c:pt idx="660">
                  <c:v>63000000</c:v>
                </c:pt>
                <c:pt idx="661">
                  <c:v>65000000</c:v>
                </c:pt>
                <c:pt idx="662">
                  <c:v>80000000</c:v>
                </c:pt>
                <c:pt idx="663">
                  <c:v>60000000</c:v>
                </c:pt>
                <c:pt idx="664">
                  <c:v>60000000</c:v>
                </c:pt>
                <c:pt idx="665">
                  <c:v>150000000</c:v>
                </c:pt>
                <c:pt idx="666">
                  <c:v>61000000</c:v>
                </c:pt>
                <c:pt idx="667">
                  <c:v>60000000</c:v>
                </c:pt>
                <c:pt idx="668">
                  <c:v>58000000</c:v>
                </c:pt>
                <c:pt idx="669">
                  <c:v>95000000</c:v>
                </c:pt>
                <c:pt idx="670">
                  <c:v>60000000</c:v>
                </c:pt>
                <c:pt idx="671">
                  <c:v>70000000</c:v>
                </c:pt>
                <c:pt idx="672">
                  <c:v>60000000</c:v>
                </c:pt>
                <c:pt idx="673">
                  <c:v>61000000</c:v>
                </c:pt>
                <c:pt idx="674">
                  <c:v>60000000</c:v>
                </c:pt>
                <c:pt idx="675">
                  <c:v>60000000</c:v>
                </c:pt>
                <c:pt idx="676">
                  <c:v>105000000</c:v>
                </c:pt>
                <c:pt idx="677">
                  <c:v>60000000</c:v>
                </c:pt>
                <c:pt idx="678">
                  <c:v>60000000</c:v>
                </c:pt>
                <c:pt idx="679">
                  <c:v>60000000</c:v>
                </c:pt>
                <c:pt idx="680">
                  <c:v>61000000</c:v>
                </c:pt>
                <c:pt idx="681">
                  <c:v>60000000</c:v>
                </c:pt>
                <c:pt idx="682">
                  <c:v>60000000</c:v>
                </c:pt>
                <c:pt idx="683">
                  <c:v>58000000</c:v>
                </c:pt>
                <c:pt idx="684">
                  <c:v>55000000</c:v>
                </c:pt>
                <c:pt idx="685">
                  <c:v>60000000</c:v>
                </c:pt>
                <c:pt idx="686">
                  <c:v>65000000</c:v>
                </c:pt>
                <c:pt idx="687">
                  <c:v>60000000</c:v>
                </c:pt>
                <c:pt idx="688">
                  <c:v>55000000</c:v>
                </c:pt>
                <c:pt idx="689">
                  <c:v>60000000</c:v>
                </c:pt>
                <c:pt idx="690">
                  <c:v>60000000</c:v>
                </c:pt>
                <c:pt idx="691">
                  <c:v>60000000</c:v>
                </c:pt>
                <c:pt idx="692">
                  <c:v>60000000</c:v>
                </c:pt>
                <c:pt idx="693">
                  <c:v>60000000</c:v>
                </c:pt>
                <c:pt idx="694">
                  <c:v>60000000</c:v>
                </c:pt>
                <c:pt idx="695">
                  <c:v>48000000</c:v>
                </c:pt>
                <c:pt idx="696">
                  <c:v>70000000</c:v>
                </c:pt>
                <c:pt idx="697">
                  <c:v>50000000</c:v>
                </c:pt>
                <c:pt idx="698">
                  <c:v>60000000</c:v>
                </c:pt>
                <c:pt idx="699">
                  <c:v>60000000</c:v>
                </c:pt>
                <c:pt idx="700">
                  <c:v>66000000</c:v>
                </c:pt>
                <c:pt idx="701">
                  <c:v>60000000</c:v>
                </c:pt>
                <c:pt idx="702">
                  <c:v>60000000</c:v>
                </c:pt>
                <c:pt idx="703">
                  <c:v>60000000</c:v>
                </c:pt>
                <c:pt idx="704">
                  <c:v>60000000</c:v>
                </c:pt>
                <c:pt idx="705">
                  <c:v>60000000</c:v>
                </c:pt>
                <c:pt idx="706">
                  <c:v>60000000</c:v>
                </c:pt>
                <c:pt idx="707">
                  <c:v>60000000</c:v>
                </c:pt>
                <c:pt idx="708">
                  <c:v>60000000</c:v>
                </c:pt>
                <c:pt idx="709">
                  <c:v>60000000</c:v>
                </c:pt>
                <c:pt idx="710">
                  <c:v>60000000</c:v>
                </c:pt>
                <c:pt idx="711">
                  <c:v>60000000</c:v>
                </c:pt>
                <c:pt idx="712">
                  <c:v>75000000</c:v>
                </c:pt>
                <c:pt idx="713">
                  <c:v>61000000</c:v>
                </c:pt>
                <c:pt idx="714">
                  <c:v>60000000</c:v>
                </c:pt>
                <c:pt idx="715">
                  <c:v>48000000</c:v>
                </c:pt>
                <c:pt idx="716">
                  <c:v>60000000</c:v>
                </c:pt>
                <c:pt idx="717">
                  <c:v>45000000</c:v>
                </c:pt>
                <c:pt idx="718">
                  <c:v>60000000</c:v>
                </c:pt>
                <c:pt idx="719">
                  <c:v>60000000</c:v>
                </c:pt>
                <c:pt idx="720">
                  <c:v>60000000</c:v>
                </c:pt>
                <c:pt idx="721">
                  <c:v>60000000</c:v>
                </c:pt>
                <c:pt idx="722">
                  <c:v>60000000</c:v>
                </c:pt>
                <c:pt idx="723">
                  <c:v>65000000</c:v>
                </c:pt>
                <c:pt idx="724">
                  <c:v>60000000</c:v>
                </c:pt>
                <c:pt idx="725">
                  <c:v>70000000</c:v>
                </c:pt>
                <c:pt idx="726">
                  <c:v>60000000</c:v>
                </c:pt>
                <c:pt idx="727">
                  <c:v>60000000</c:v>
                </c:pt>
                <c:pt idx="728">
                  <c:v>80000000</c:v>
                </c:pt>
                <c:pt idx="729">
                  <c:v>40000000</c:v>
                </c:pt>
                <c:pt idx="730">
                  <c:v>60000000</c:v>
                </c:pt>
                <c:pt idx="731">
                  <c:v>60000000</c:v>
                </c:pt>
                <c:pt idx="732">
                  <c:v>60000000</c:v>
                </c:pt>
                <c:pt idx="733">
                  <c:v>60000000</c:v>
                </c:pt>
                <c:pt idx="734">
                  <c:v>60000000</c:v>
                </c:pt>
                <c:pt idx="735">
                  <c:v>60000000</c:v>
                </c:pt>
                <c:pt idx="736">
                  <c:v>87000000</c:v>
                </c:pt>
                <c:pt idx="737">
                  <c:v>60000000</c:v>
                </c:pt>
                <c:pt idx="738">
                  <c:v>60000000</c:v>
                </c:pt>
                <c:pt idx="739">
                  <c:v>60000000</c:v>
                </c:pt>
                <c:pt idx="740">
                  <c:v>60000000</c:v>
                </c:pt>
                <c:pt idx="741">
                  <c:v>50000000</c:v>
                </c:pt>
                <c:pt idx="742">
                  <c:v>60000000</c:v>
                </c:pt>
                <c:pt idx="743">
                  <c:v>60000000</c:v>
                </c:pt>
                <c:pt idx="744">
                  <c:v>65000000</c:v>
                </c:pt>
                <c:pt idx="745">
                  <c:v>60000000</c:v>
                </c:pt>
                <c:pt idx="746">
                  <c:v>60000000</c:v>
                </c:pt>
                <c:pt idx="747">
                  <c:v>30000000</c:v>
                </c:pt>
                <c:pt idx="748">
                  <c:v>55000000</c:v>
                </c:pt>
                <c:pt idx="749">
                  <c:v>60000000</c:v>
                </c:pt>
                <c:pt idx="750">
                  <c:v>60000000</c:v>
                </c:pt>
                <c:pt idx="751">
                  <c:v>60000000</c:v>
                </c:pt>
                <c:pt idx="752">
                  <c:v>60000000</c:v>
                </c:pt>
                <c:pt idx="753">
                  <c:v>35000000</c:v>
                </c:pt>
                <c:pt idx="754">
                  <c:v>80000000</c:v>
                </c:pt>
                <c:pt idx="755">
                  <c:v>58000000</c:v>
                </c:pt>
                <c:pt idx="756">
                  <c:v>60000000</c:v>
                </c:pt>
                <c:pt idx="757">
                  <c:v>58800000</c:v>
                </c:pt>
                <c:pt idx="758">
                  <c:v>58000000</c:v>
                </c:pt>
                <c:pt idx="759">
                  <c:v>58000000</c:v>
                </c:pt>
                <c:pt idx="760">
                  <c:v>60000000</c:v>
                </c:pt>
                <c:pt idx="761">
                  <c:v>63000000</c:v>
                </c:pt>
                <c:pt idx="762">
                  <c:v>58000000</c:v>
                </c:pt>
                <c:pt idx="763">
                  <c:v>58000000</c:v>
                </c:pt>
                <c:pt idx="764">
                  <c:v>58000000</c:v>
                </c:pt>
                <c:pt idx="765">
                  <c:v>60000000</c:v>
                </c:pt>
                <c:pt idx="766">
                  <c:v>58000000</c:v>
                </c:pt>
                <c:pt idx="767">
                  <c:v>57000000</c:v>
                </c:pt>
                <c:pt idx="768">
                  <c:v>70000000</c:v>
                </c:pt>
                <c:pt idx="769">
                  <c:v>57000000</c:v>
                </c:pt>
                <c:pt idx="770">
                  <c:v>58000000</c:v>
                </c:pt>
                <c:pt idx="771">
                  <c:v>57000000</c:v>
                </c:pt>
                <c:pt idx="772">
                  <c:v>57000000</c:v>
                </c:pt>
                <c:pt idx="773">
                  <c:v>56000000</c:v>
                </c:pt>
                <c:pt idx="774">
                  <c:v>56000000</c:v>
                </c:pt>
                <c:pt idx="775">
                  <c:v>55000000</c:v>
                </c:pt>
                <c:pt idx="776">
                  <c:v>60000000</c:v>
                </c:pt>
                <c:pt idx="777">
                  <c:v>55000000</c:v>
                </c:pt>
                <c:pt idx="778">
                  <c:v>55000000</c:v>
                </c:pt>
                <c:pt idx="779">
                  <c:v>55000000</c:v>
                </c:pt>
                <c:pt idx="780">
                  <c:v>54000000</c:v>
                </c:pt>
                <c:pt idx="781">
                  <c:v>70000000</c:v>
                </c:pt>
                <c:pt idx="782">
                  <c:v>55000000</c:v>
                </c:pt>
                <c:pt idx="783">
                  <c:v>55000000</c:v>
                </c:pt>
                <c:pt idx="784">
                  <c:v>55000000</c:v>
                </c:pt>
                <c:pt idx="785">
                  <c:v>55000000</c:v>
                </c:pt>
                <c:pt idx="786">
                  <c:v>50000000</c:v>
                </c:pt>
                <c:pt idx="787">
                  <c:v>55000000</c:v>
                </c:pt>
                <c:pt idx="788">
                  <c:v>55000000</c:v>
                </c:pt>
                <c:pt idx="789">
                  <c:v>53000000</c:v>
                </c:pt>
                <c:pt idx="790">
                  <c:v>55000000</c:v>
                </c:pt>
                <c:pt idx="791">
                  <c:v>55000000</c:v>
                </c:pt>
                <c:pt idx="792">
                  <c:v>55000000</c:v>
                </c:pt>
                <c:pt idx="793">
                  <c:v>55000000</c:v>
                </c:pt>
                <c:pt idx="794">
                  <c:v>30000000</c:v>
                </c:pt>
                <c:pt idx="795">
                  <c:v>55000000</c:v>
                </c:pt>
                <c:pt idx="796">
                  <c:v>30000000</c:v>
                </c:pt>
                <c:pt idx="797">
                  <c:v>55000000</c:v>
                </c:pt>
                <c:pt idx="798">
                  <c:v>55000000</c:v>
                </c:pt>
                <c:pt idx="799">
                  <c:v>55000000</c:v>
                </c:pt>
                <c:pt idx="800">
                  <c:v>55000000</c:v>
                </c:pt>
                <c:pt idx="801">
                  <c:v>55000000</c:v>
                </c:pt>
                <c:pt idx="802">
                  <c:v>55000000</c:v>
                </c:pt>
                <c:pt idx="803">
                  <c:v>55000000</c:v>
                </c:pt>
                <c:pt idx="804">
                  <c:v>50000000</c:v>
                </c:pt>
                <c:pt idx="805">
                  <c:v>55000000</c:v>
                </c:pt>
                <c:pt idx="806">
                  <c:v>55000000</c:v>
                </c:pt>
                <c:pt idx="807">
                  <c:v>55000000</c:v>
                </c:pt>
                <c:pt idx="808">
                  <c:v>68000000</c:v>
                </c:pt>
                <c:pt idx="809">
                  <c:v>55000000</c:v>
                </c:pt>
                <c:pt idx="810">
                  <c:v>55000000</c:v>
                </c:pt>
                <c:pt idx="811">
                  <c:v>55000000</c:v>
                </c:pt>
                <c:pt idx="812">
                  <c:v>55000000</c:v>
                </c:pt>
                <c:pt idx="813">
                  <c:v>55000000</c:v>
                </c:pt>
                <c:pt idx="814">
                  <c:v>50000000</c:v>
                </c:pt>
                <c:pt idx="815">
                  <c:v>55000000</c:v>
                </c:pt>
                <c:pt idx="816">
                  <c:v>70000000</c:v>
                </c:pt>
                <c:pt idx="817">
                  <c:v>55000000</c:v>
                </c:pt>
                <c:pt idx="818">
                  <c:v>62000000</c:v>
                </c:pt>
                <c:pt idx="819">
                  <c:v>56000000</c:v>
                </c:pt>
                <c:pt idx="820">
                  <c:v>55000000</c:v>
                </c:pt>
                <c:pt idx="821">
                  <c:v>50000000</c:v>
                </c:pt>
                <c:pt idx="822">
                  <c:v>57000000</c:v>
                </c:pt>
                <c:pt idx="823">
                  <c:v>55000000</c:v>
                </c:pt>
                <c:pt idx="824">
                  <c:v>47000000</c:v>
                </c:pt>
                <c:pt idx="825">
                  <c:v>54000000</c:v>
                </c:pt>
                <c:pt idx="826">
                  <c:v>55000000</c:v>
                </c:pt>
                <c:pt idx="827">
                  <c:v>55000000</c:v>
                </c:pt>
                <c:pt idx="828">
                  <c:v>54000000</c:v>
                </c:pt>
                <c:pt idx="829">
                  <c:v>57000000</c:v>
                </c:pt>
                <c:pt idx="830">
                  <c:v>54000000</c:v>
                </c:pt>
                <c:pt idx="831">
                  <c:v>54000000</c:v>
                </c:pt>
                <c:pt idx="832">
                  <c:v>54000000</c:v>
                </c:pt>
                <c:pt idx="833">
                  <c:v>55000000</c:v>
                </c:pt>
                <c:pt idx="834">
                  <c:v>46000000</c:v>
                </c:pt>
                <c:pt idx="835">
                  <c:v>50000000</c:v>
                </c:pt>
                <c:pt idx="836">
                  <c:v>52500000</c:v>
                </c:pt>
                <c:pt idx="837">
                  <c:v>53000000</c:v>
                </c:pt>
                <c:pt idx="838">
                  <c:v>53000000</c:v>
                </c:pt>
                <c:pt idx="839">
                  <c:v>90000000</c:v>
                </c:pt>
                <c:pt idx="840">
                  <c:v>50000000</c:v>
                </c:pt>
                <c:pt idx="841">
                  <c:v>53000000</c:v>
                </c:pt>
                <c:pt idx="842">
                  <c:v>55000000</c:v>
                </c:pt>
                <c:pt idx="843">
                  <c:v>52000000</c:v>
                </c:pt>
                <c:pt idx="844">
                  <c:v>40000000</c:v>
                </c:pt>
                <c:pt idx="845">
                  <c:v>52000000</c:v>
                </c:pt>
                <c:pt idx="846">
                  <c:v>52000000</c:v>
                </c:pt>
                <c:pt idx="847">
                  <c:v>52000000</c:v>
                </c:pt>
                <c:pt idx="848">
                  <c:v>50000000</c:v>
                </c:pt>
                <c:pt idx="849">
                  <c:v>52000000</c:v>
                </c:pt>
                <c:pt idx="850">
                  <c:v>52000000</c:v>
                </c:pt>
                <c:pt idx="851">
                  <c:v>52000000</c:v>
                </c:pt>
                <c:pt idx="852">
                  <c:v>52000000</c:v>
                </c:pt>
                <c:pt idx="853">
                  <c:v>52000000</c:v>
                </c:pt>
                <c:pt idx="854">
                  <c:v>52000000</c:v>
                </c:pt>
                <c:pt idx="855">
                  <c:v>51000000</c:v>
                </c:pt>
                <c:pt idx="856">
                  <c:v>51000000</c:v>
                </c:pt>
                <c:pt idx="857">
                  <c:v>50000000</c:v>
                </c:pt>
                <c:pt idx="858">
                  <c:v>60000000</c:v>
                </c:pt>
                <c:pt idx="859">
                  <c:v>50200000</c:v>
                </c:pt>
                <c:pt idx="860">
                  <c:v>48000000</c:v>
                </c:pt>
                <c:pt idx="861">
                  <c:v>50000000</c:v>
                </c:pt>
                <c:pt idx="862">
                  <c:v>50000000</c:v>
                </c:pt>
                <c:pt idx="863">
                  <c:v>50000000</c:v>
                </c:pt>
                <c:pt idx="864">
                  <c:v>50000000</c:v>
                </c:pt>
                <c:pt idx="865">
                  <c:v>50000000</c:v>
                </c:pt>
                <c:pt idx="866">
                  <c:v>50000000</c:v>
                </c:pt>
                <c:pt idx="867">
                  <c:v>50000000</c:v>
                </c:pt>
                <c:pt idx="868">
                  <c:v>52000000</c:v>
                </c:pt>
                <c:pt idx="869">
                  <c:v>50000000</c:v>
                </c:pt>
                <c:pt idx="870">
                  <c:v>50000000</c:v>
                </c:pt>
                <c:pt idx="871">
                  <c:v>60000000</c:v>
                </c:pt>
                <c:pt idx="872">
                  <c:v>70000000</c:v>
                </c:pt>
                <c:pt idx="873">
                  <c:v>50000000</c:v>
                </c:pt>
                <c:pt idx="874">
                  <c:v>50000000</c:v>
                </c:pt>
                <c:pt idx="875">
                  <c:v>50000000</c:v>
                </c:pt>
                <c:pt idx="876">
                  <c:v>50000000</c:v>
                </c:pt>
                <c:pt idx="877">
                  <c:v>45000000</c:v>
                </c:pt>
                <c:pt idx="878">
                  <c:v>50000000</c:v>
                </c:pt>
                <c:pt idx="879">
                  <c:v>50000000</c:v>
                </c:pt>
                <c:pt idx="880">
                  <c:v>50000000</c:v>
                </c:pt>
                <c:pt idx="881">
                  <c:v>50000000</c:v>
                </c:pt>
                <c:pt idx="882">
                  <c:v>50000000</c:v>
                </c:pt>
                <c:pt idx="883">
                  <c:v>35000000</c:v>
                </c:pt>
                <c:pt idx="884">
                  <c:v>60000000</c:v>
                </c:pt>
                <c:pt idx="885">
                  <c:v>50000000</c:v>
                </c:pt>
                <c:pt idx="886">
                  <c:v>50000000</c:v>
                </c:pt>
                <c:pt idx="887">
                  <c:v>50000000</c:v>
                </c:pt>
                <c:pt idx="888">
                  <c:v>65000000</c:v>
                </c:pt>
                <c:pt idx="889">
                  <c:v>54000000</c:v>
                </c:pt>
                <c:pt idx="890">
                  <c:v>50000000</c:v>
                </c:pt>
                <c:pt idx="891">
                  <c:v>50000000</c:v>
                </c:pt>
                <c:pt idx="892">
                  <c:v>50000000</c:v>
                </c:pt>
                <c:pt idx="893">
                  <c:v>50000000</c:v>
                </c:pt>
                <c:pt idx="894">
                  <c:v>50000000</c:v>
                </c:pt>
                <c:pt idx="895">
                  <c:v>50000000</c:v>
                </c:pt>
                <c:pt idx="896">
                  <c:v>60000000</c:v>
                </c:pt>
                <c:pt idx="897">
                  <c:v>50000000</c:v>
                </c:pt>
                <c:pt idx="898">
                  <c:v>50000000</c:v>
                </c:pt>
                <c:pt idx="899">
                  <c:v>50000000</c:v>
                </c:pt>
                <c:pt idx="900">
                  <c:v>50000000</c:v>
                </c:pt>
                <c:pt idx="901">
                  <c:v>50000000</c:v>
                </c:pt>
                <c:pt idx="902">
                  <c:v>50000000</c:v>
                </c:pt>
                <c:pt idx="903">
                  <c:v>50000000</c:v>
                </c:pt>
                <c:pt idx="904">
                  <c:v>50000000</c:v>
                </c:pt>
                <c:pt idx="905">
                  <c:v>50000000</c:v>
                </c:pt>
                <c:pt idx="906">
                  <c:v>50000000</c:v>
                </c:pt>
                <c:pt idx="907">
                  <c:v>50000000</c:v>
                </c:pt>
                <c:pt idx="908">
                  <c:v>50000000</c:v>
                </c:pt>
                <c:pt idx="909">
                  <c:v>55000000</c:v>
                </c:pt>
                <c:pt idx="910">
                  <c:v>50000000</c:v>
                </c:pt>
                <c:pt idx="911">
                  <c:v>50000000</c:v>
                </c:pt>
                <c:pt idx="912">
                  <c:v>50000000</c:v>
                </c:pt>
                <c:pt idx="913">
                  <c:v>45000000</c:v>
                </c:pt>
                <c:pt idx="914">
                  <c:v>40000000</c:v>
                </c:pt>
                <c:pt idx="915">
                  <c:v>50000000</c:v>
                </c:pt>
                <c:pt idx="916">
                  <c:v>50000000</c:v>
                </c:pt>
                <c:pt idx="917">
                  <c:v>50000000</c:v>
                </c:pt>
                <c:pt idx="918">
                  <c:v>50000000</c:v>
                </c:pt>
                <c:pt idx="919">
                  <c:v>50000000</c:v>
                </c:pt>
                <c:pt idx="920">
                  <c:v>40000000</c:v>
                </c:pt>
                <c:pt idx="921">
                  <c:v>50000000</c:v>
                </c:pt>
                <c:pt idx="922">
                  <c:v>40000000</c:v>
                </c:pt>
                <c:pt idx="923">
                  <c:v>50000000</c:v>
                </c:pt>
                <c:pt idx="924">
                  <c:v>50000000</c:v>
                </c:pt>
                <c:pt idx="925">
                  <c:v>50000000</c:v>
                </c:pt>
                <c:pt idx="926">
                  <c:v>50000000</c:v>
                </c:pt>
                <c:pt idx="927">
                  <c:v>50000000</c:v>
                </c:pt>
                <c:pt idx="928">
                  <c:v>50000000</c:v>
                </c:pt>
                <c:pt idx="929">
                  <c:v>40000000</c:v>
                </c:pt>
                <c:pt idx="930">
                  <c:v>50000000</c:v>
                </c:pt>
                <c:pt idx="931">
                  <c:v>50000000</c:v>
                </c:pt>
                <c:pt idx="932">
                  <c:v>50000000</c:v>
                </c:pt>
                <c:pt idx="933">
                  <c:v>50000000</c:v>
                </c:pt>
                <c:pt idx="934">
                  <c:v>70000000</c:v>
                </c:pt>
                <c:pt idx="935">
                  <c:v>50000000</c:v>
                </c:pt>
                <c:pt idx="936">
                  <c:v>50000000</c:v>
                </c:pt>
                <c:pt idx="937">
                  <c:v>50000000</c:v>
                </c:pt>
                <c:pt idx="938">
                  <c:v>40000000</c:v>
                </c:pt>
                <c:pt idx="939">
                  <c:v>50000000</c:v>
                </c:pt>
                <c:pt idx="940">
                  <c:v>25000000</c:v>
                </c:pt>
                <c:pt idx="941">
                  <c:v>50000000</c:v>
                </c:pt>
                <c:pt idx="942">
                  <c:v>390000000</c:v>
                </c:pt>
                <c:pt idx="943">
                  <c:v>49900000</c:v>
                </c:pt>
                <c:pt idx="944">
                  <c:v>55000000</c:v>
                </c:pt>
                <c:pt idx="945">
                  <c:v>50000000</c:v>
                </c:pt>
                <c:pt idx="946">
                  <c:v>50000000</c:v>
                </c:pt>
                <c:pt idx="947">
                  <c:v>22000000</c:v>
                </c:pt>
                <c:pt idx="948">
                  <c:v>50000000</c:v>
                </c:pt>
                <c:pt idx="949">
                  <c:v>50000000</c:v>
                </c:pt>
                <c:pt idx="950">
                  <c:v>50000000</c:v>
                </c:pt>
                <c:pt idx="951">
                  <c:v>60000000</c:v>
                </c:pt>
                <c:pt idx="952">
                  <c:v>55000000</c:v>
                </c:pt>
                <c:pt idx="953">
                  <c:v>50000000</c:v>
                </c:pt>
                <c:pt idx="954">
                  <c:v>50000000</c:v>
                </c:pt>
                <c:pt idx="955">
                  <c:v>50000000</c:v>
                </c:pt>
                <c:pt idx="956">
                  <c:v>50000000</c:v>
                </c:pt>
                <c:pt idx="957">
                  <c:v>18000000</c:v>
                </c:pt>
                <c:pt idx="958">
                  <c:v>49000000</c:v>
                </c:pt>
                <c:pt idx="959">
                  <c:v>40000000</c:v>
                </c:pt>
                <c:pt idx="960">
                  <c:v>48000000</c:v>
                </c:pt>
                <c:pt idx="961">
                  <c:v>48000000</c:v>
                </c:pt>
                <c:pt idx="962">
                  <c:v>49000000</c:v>
                </c:pt>
                <c:pt idx="963">
                  <c:v>48000000</c:v>
                </c:pt>
                <c:pt idx="964">
                  <c:v>48000000</c:v>
                </c:pt>
                <c:pt idx="965">
                  <c:v>48000000</c:v>
                </c:pt>
                <c:pt idx="966">
                  <c:v>50000000</c:v>
                </c:pt>
                <c:pt idx="967">
                  <c:v>48000000</c:v>
                </c:pt>
                <c:pt idx="968">
                  <c:v>48000000</c:v>
                </c:pt>
                <c:pt idx="969">
                  <c:v>48000000</c:v>
                </c:pt>
                <c:pt idx="970">
                  <c:v>48000000</c:v>
                </c:pt>
                <c:pt idx="971">
                  <c:v>58000000</c:v>
                </c:pt>
                <c:pt idx="972">
                  <c:v>55000000</c:v>
                </c:pt>
                <c:pt idx="973">
                  <c:v>48000000</c:v>
                </c:pt>
                <c:pt idx="974">
                  <c:v>48000000</c:v>
                </c:pt>
                <c:pt idx="975">
                  <c:v>47000000</c:v>
                </c:pt>
                <c:pt idx="976">
                  <c:v>100000000</c:v>
                </c:pt>
                <c:pt idx="977">
                  <c:v>48000000</c:v>
                </c:pt>
                <c:pt idx="978">
                  <c:v>47000000</c:v>
                </c:pt>
                <c:pt idx="979">
                  <c:v>47000000</c:v>
                </c:pt>
                <c:pt idx="980">
                  <c:v>46000000</c:v>
                </c:pt>
                <c:pt idx="981">
                  <c:v>48000000</c:v>
                </c:pt>
                <c:pt idx="982">
                  <c:v>46000000</c:v>
                </c:pt>
                <c:pt idx="983">
                  <c:v>45000000</c:v>
                </c:pt>
                <c:pt idx="984">
                  <c:v>47000000</c:v>
                </c:pt>
                <c:pt idx="985">
                  <c:v>46000000</c:v>
                </c:pt>
                <c:pt idx="986">
                  <c:v>45000000</c:v>
                </c:pt>
                <c:pt idx="987">
                  <c:v>25000000</c:v>
                </c:pt>
                <c:pt idx="988">
                  <c:v>45000000</c:v>
                </c:pt>
                <c:pt idx="989">
                  <c:v>45000000</c:v>
                </c:pt>
                <c:pt idx="990">
                  <c:v>45000000</c:v>
                </c:pt>
                <c:pt idx="991">
                  <c:v>45000000</c:v>
                </c:pt>
                <c:pt idx="992">
                  <c:v>40000000</c:v>
                </c:pt>
                <c:pt idx="993">
                  <c:v>45000000</c:v>
                </c:pt>
                <c:pt idx="994">
                  <c:v>45000000</c:v>
                </c:pt>
                <c:pt idx="995">
                  <c:v>45000000</c:v>
                </c:pt>
                <c:pt idx="996">
                  <c:v>45000000</c:v>
                </c:pt>
                <c:pt idx="997">
                  <c:v>60000000</c:v>
                </c:pt>
                <c:pt idx="998">
                  <c:v>46000000</c:v>
                </c:pt>
                <c:pt idx="999">
                  <c:v>45000000</c:v>
                </c:pt>
                <c:pt idx="1000">
                  <c:v>45000000</c:v>
                </c:pt>
                <c:pt idx="1001">
                  <c:v>45000000</c:v>
                </c:pt>
                <c:pt idx="1002">
                  <c:v>45000000</c:v>
                </c:pt>
                <c:pt idx="1003">
                  <c:v>45000000</c:v>
                </c:pt>
                <c:pt idx="1004">
                  <c:v>30000000</c:v>
                </c:pt>
                <c:pt idx="1005">
                  <c:v>45000000</c:v>
                </c:pt>
                <c:pt idx="1006">
                  <c:v>45000000</c:v>
                </c:pt>
                <c:pt idx="1007">
                  <c:v>45000000</c:v>
                </c:pt>
                <c:pt idx="1008">
                  <c:v>120000000</c:v>
                </c:pt>
                <c:pt idx="1009">
                  <c:v>35000000</c:v>
                </c:pt>
                <c:pt idx="1010">
                  <c:v>45000000</c:v>
                </c:pt>
                <c:pt idx="1011">
                  <c:v>45000000</c:v>
                </c:pt>
                <c:pt idx="1012">
                  <c:v>45000000</c:v>
                </c:pt>
                <c:pt idx="1013">
                  <c:v>50000000</c:v>
                </c:pt>
                <c:pt idx="1014">
                  <c:v>26000000</c:v>
                </c:pt>
                <c:pt idx="1015">
                  <c:v>45000000</c:v>
                </c:pt>
                <c:pt idx="1016">
                  <c:v>45000000</c:v>
                </c:pt>
                <c:pt idx="1017">
                  <c:v>45000000</c:v>
                </c:pt>
                <c:pt idx="1018">
                  <c:v>45000000</c:v>
                </c:pt>
                <c:pt idx="1019">
                  <c:v>45000000</c:v>
                </c:pt>
                <c:pt idx="1020">
                  <c:v>25000000</c:v>
                </c:pt>
                <c:pt idx="1021">
                  <c:v>35000000</c:v>
                </c:pt>
                <c:pt idx="1022">
                  <c:v>50000000</c:v>
                </c:pt>
                <c:pt idx="1023">
                  <c:v>40000000</c:v>
                </c:pt>
                <c:pt idx="1024">
                  <c:v>45000000</c:v>
                </c:pt>
                <c:pt idx="1025">
                  <c:v>35000000</c:v>
                </c:pt>
                <c:pt idx="1026">
                  <c:v>52000000</c:v>
                </c:pt>
                <c:pt idx="1027">
                  <c:v>70000000</c:v>
                </c:pt>
                <c:pt idx="1028">
                  <c:v>45000000</c:v>
                </c:pt>
                <c:pt idx="1029">
                  <c:v>45000000</c:v>
                </c:pt>
                <c:pt idx="1030">
                  <c:v>45000000</c:v>
                </c:pt>
                <c:pt idx="1031">
                  <c:v>45000000</c:v>
                </c:pt>
                <c:pt idx="1032">
                  <c:v>45000000</c:v>
                </c:pt>
                <c:pt idx="1033">
                  <c:v>45000000</c:v>
                </c:pt>
                <c:pt idx="1034">
                  <c:v>57000000</c:v>
                </c:pt>
                <c:pt idx="1035">
                  <c:v>50000000</c:v>
                </c:pt>
                <c:pt idx="1036">
                  <c:v>45000000</c:v>
                </c:pt>
                <c:pt idx="1037">
                  <c:v>45000000</c:v>
                </c:pt>
                <c:pt idx="1038">
                  <c:v>45000000</c:v>
                </c:pt>
                <c:pt idx="1039">
                  <c:v>45000000</c:v>
                </c:pt>
                <c:pt idx="1040">
                  <c:v>40000000</c:v>
                </c:pt>
                <c:pt idx="1041">
                  <c:v>40000000</c:v>
                </c:pt>
                <c:pt idx="1042">
                  <c:v>45000000</c:v>
                </c:pt>
                <c:pt idx="1043">
                  <c:v>45000000</c:v>
                </c:pt>
                <c:pt idx="1044">
                  <c:v>45000000</c:v>
                </c:pt>
                <c:pt idx="1045">
                  <c:v>44500000</c:v>
                </c:pt>
                <c:pt idx="1046">
                  <c:v>44000000</c:v>
                </c:pt>
                <c:pt idx="1047">
                  <c:v>40000000</c:v>
                </c:pt>
                <c:pt idx="1048">
                  <c:v>44000000</c:v>
                </c:pt>
                <c:pt idx="1049">
                  <c:v>44000000</c:v>
                </c:pt>
                <c:pt idx="1050">
                  <c:v>44000000</c:v>
                </c:pt>
                <c:pt idx="1051">
                  <c:v>2600000</c:v>
                </c:pt>
                <c:pt idx="1052">
                  <c:v>44000000</c:v>
                </c:pt>
                <c:pt idx="1053">
                  <c:v>50000000</c:v>
                </c:pt>
                <c:pt idx="1054">
                  <c:v>40000000</c:v>
                </c:pt>
                <c:pt idx="1055">
                  <c:v>43000000</c:v>
                </c:pt>
                <c:pt idx="1056">
                  <c:v>43000000</c:v>
                </c:pt>
                <c:pt idx="1057">
                  <c:v>45000000</c:v>
                </c:pt>
                <c:pt idx="1058">
                  <c:v>43000000</c:v>
                </c:pt>
                <c:pt idx="1059">
                  <c:v>42000000</c:v>
                </c:pt>
                <c:pt idx="1060">
                  <c:v>44000000</c:v>
                </c:pt>
                <c:pt idx="1061">
                  <c:v>40000000</c:v>
                </c:pt>
                <c:pt idx="1062">
                  <c:v>42000000</c:v>
                </c:pt>
                <c:pt idx="1063">
                  <c:v>42000000</c:v>
                </c:pt>
                <c:pt idx="1064">
                  <c:v>45000000</c:v>
                </c:pt>
                <c:pt idx="1065">
                  <c:v>42000000</c:v>
                </c:pt>
                <c:pt idx="1066">
                  <c:v>40000000</c:v>
                </c:pt>
                <c:pt idx="1067">
                  <c:v>43000000</c:v>
                </c:pt>
                <c:pt idx="1068">
                  <c:v>31115000</c:v>
                </c:pt>
                <c:pt idx="1069">
                  <c:v>42000000</c:v>
                </c:pt>
                <c:pt idx="1070">
                  <c:v>42000000</c:v>
                </c:pt>
                <c:pt idx="1071">
                  <c:v>42000000</c:v>
                </c:pt>
                <c:pt idx="1072">
                  <c:v>32000000</c:v>
                </c:pt>
                <c:pt idx="1073">
                  <c:v>42000000</c:v>
                </c:pt>
                <c:pt idx="1074">
                  <c:v>32000000</c:v>
                </c:pt>
                <c:pt idx="1075">
                  <c:v>42000000</c:v>
                </c:pt>
                <c:pt idx="1076">
                  <c:v>42000000</c:v>
                </c:pt>
                <c:pt idx="1077">
                  <c:v>42000000</c:v>
                </c:pt>
                <c:pt idx="1078">
                  <c:v>50000000</c:v>
                </c:pt>
                <c:pt idx="1079">
                  <c:v>31000000</c:v>
                </c:pt>
                <c:pt idx="1080">
                  <c:v>40000000</c:v>
                </c:pt>
                <c:pt idx="1081">
                  <c:v>44000000</c:v>
                </c:pt>
                <c:pt idx="1082">
                  <c:v>45000000</c:v>
                </c:pt>
                <c:pt idx="1083">
                  <c:v>27000000</c:v>
                </c:pt>
                <c:pt idx="1084">
                  <c:v>41000000</c:v>
                </c:pt>
                <c:pt idx="1085">
                  <c:v>65000000</c:v>
                </c:pt>
                <c:pt idx="1086">
                  <c:v>41000000</c:v>
                </c:pt>
                <c:pt idx="1087">
                  <c:v>40000000</c:v>
                </c:pt>
                <c:pt idx="1088">
                  <c:v>42000000</c:v>
                </c:pt>
                <c:pt idx="1089">
                  <c:v>41000000</c:v>
                </c:pt>
                <c:pt idx="1090">
                  <c:v>8000000</c:v>
                </c:pt>
                <c:pt idx="1091">
                  <c:v>40000000</c:v>
                </c:pt>
                <c:pt idx="1092">
                  <c:v>40000000</c:v>
                </c:pt>
                <c:pt idx="1093">
                  <c:v>70000000</c:v>
                </c:pt>
                <c:pt idx="1094">
                  <c:v>40000000</c:v>
                </c:pt>
                <c:pt idx="1095">
                  <c:v>40000000</c:v>
                </c:pt>
                <c:pt idx="1096">
                  <c:v>40000000</c:v>
                </c:pt>
                <c:pt idx="1097">
                  <c:v>38000000</c:v>
                </c:pt>
                <c:pt idx="1098">
                  <c:v>40000000</c:v>
                </c:pt>
                <c:pt idx="1099">
                  <c:v>40000000</c:v>
                </c:pt>
                <c:pt idx="1100">
                  <c:v>40000000</c:v>
                </c:pt>
                <c:pt idx="1101">
                  <c:v>40000000</c:v>
                </c:pt>
                <c:pt idx="1102">
                  <c:v>40000000</c:v>
                </c:pt>
                <c:pt idx="1103">
                  <c:v>40000000</c:v>
                </c:pt>
                <c:pt idx="1104">
                  <c:v>40000000</c:v>
                </c:pt>
                <c:pt idx="1105">
                  <c:v>45000000</c:v>
                </c:pt>
                <c:pt idx="1106">
                  <c:v>40000000</c:v>
                </c:pt>
                <c:pt idx="1107">
                  <c:v>40000000</c:v>
                </c:pt>
                <c:pt idx="1108">
                  <c:v>40000000</c:v>
                </c:pt>
                <c:pt idx="1109">
                  <c:v>40000000</c:v>
                </c:pt>
                <c:pt idx="1110">
                  <c:v>40000000</c:v>
                </c:pt>
                <c:pt idx="1111">
                  <c:v>40000000</c:v>
                </c:pt>
                <c:pt idx="1112">
                  <c:v>40000000</c:v>
                </c:pt>
                <c:pt idx="1113">
                  <c:v>40000000</c:v>
                </c:pt>
                <c:pt idx="1114">
                  <c:v>35000000</c:v>
                </c:pt>
                <c:pt idx="1115">
                  <c:v>40000000</c:v>
                </c:pt>
                <c:pt idx="1116">
                  <c:v>40000000</c:v>
                </c:pt>
                <c:pt idx="1117">
                  <c:v>40000000</c:v>
                </c:pt>
                <c:pt idx="1118">
                  <c:v>40000000</c:v>
                </c:pt>
                <c:pt idx="1119">
                  <c:v>40000000</c:v>
                </c:pt>
                <c:pt idx="1120">
                  <c:v>40000000</c:v>
                </c:pt>
                <c:pt idx="1121">
                  <c:v>40000000</c:v>
                </c:pt>
                <c:pt idx="1122">
                  <c:v>40000000</c:v>
                </c:pt>
                <c:pt idx="1123">
                  <c:v>40000000</c:v>
                </c:pt>
                <c:pt idx="1124">
                  <c:v>34000000</c:v>
                </c:pt>
                <c:pt idx="1125">
                  <c:v>20000000</c:v>
                </c:pt>
                <c:pt idx="1126">
                  <c:v>40000000</c:v>
                </c:pt>
                <c:pt idx="1127">
                  <c:v>40000000</c:v>
                </c:pt>
                <c:pt idx="1128">
                  <c:v>40000000</c:v>
                </c:pt>
                <c:pt idx="1129">
                  <c:v>40000000</c:v>
                </c:pt>
                <c:pt idx="1130">
                  <c:v>50000000</c:v>
                </c:pt>
                <c:pt idx="1131">
                  <c:v>40000000</c:v>
                </c:pt>
                <c:pt idx="1132">
                  <c:v>40000000</c:v>
                </c:pt>
                <c:pt idx="1133">
                  <c:v>35000000</c:v>
                </c:pt>
                <c:pt idx="1134">
                  <c:v>40000000</c:v>
                </c:pt>
                <c:pt idx="1135">
                  <c:v>30000000</c:v>
                </c:pt>
                <c:pt idx="1136">
                  <c:v>40000000</c:v>
                </c:pt>
                <c:pt idx="1137">
                  <c:v>42000000</c:v>
                </c:pt>
                <c:pt idx="1138">
                  <c:v>40000000</c:v>
                </c:pt>
                <c:pt idx="1139">
                  <c:v>40000000</c:v>
                </c:pt>
                <c:pt idx="1140">
                  <c:v>30000000</c:v>
                </c:pt>
                <c:pt idx="1141">
                  <c:v>40000000</c:v>
                </c:pt>
                <c:pt idx="1142">
                  <c:v>40000000</c:v>
                </c:pt>
                <c:pt idx="1143">
                  <c:v>40000000</c:v>
                </c:pt>
                <c:pt idx="1144">
                  <c:v>40000000</c:v>
                </c:pt>
                <c:pt idx="1145">
                  <c:v>43000000</c:v>
                </c:pt>
                <c:pt idx="1146">
                  <c:v>25000000</c:v>
                </c:pt>
                <c:pt idx="1147">
                  <c:v>40000000</c:v>
                </c:pt>
                <c:pt idx="1148">
                  <c:v>40000000</c:v>
                </c:pt>
                <c:pt idx="1149">
                  <c:v>40000000</c:v>
                </c:pt>
                <c:pt idx="1150">
                  <c:v>40000000</c:v>
                </c:pt>
                <c:pt idx="1151">
                  <c:v>36000000</c:v>
                </c:pt>
                <c:pt idx="1152">
                  <c:v>40000000</c:v>
                </c:pt>
                <c:pt idx="1153">
                  <c:v>40000000</c:v>
                </c:pt>
                <c:pt idx="1154">
                  <c:v>40000000</c:v>
                </c:pt>
                <c:pt idx="1155">
                  <c:v>40000000</c:v>
                </c:pt>
                <c:pt idx="1156">
                  <c:v>40000000</c:v>
                </c:pt>
                <c:pt idx="1157">
                  <c:v>40000000</c:v>
                </c:pt>
                <c:pt idx="1158">
                  <c:v>40000000</c:v>
                </c:pt>
                <c:pt idx="1159">
                  <c:v>38000000</c:v>
                </c:pt>
                <c:pt idx="1160">
                  <c:v>40000000</c:v>
                </c:pt>
                <c:pt idx="1161">
                  <c:v>60000000</c:v>
                </c:pt>
                <c:pt idx="1162">
                  <c:v>40000000</c:v>
                </c:pt>
                <c:pt idx="1163">
                  <c:v>40000000</c:v>
                </c:pt>
                <c:pt idx="1164">
                  <c:v>40000000</c:v>
                </c:pt>
                <c:pt idx="1165">
                  <c:v>30000000</c:v>
                </c:pt>
                <c:pt idx="1166">
                  <c:v>40000000</c:v>
                </c:pt>
                <c:pt idx="1167">
                  <c:v>40000000</c:v>
                </c:pt>
                <c:pt idx="1168">
                  <c:v>25000000</c:v>
                </c:pt>
                <c:pt idx="1169">
                  <c:v>40000000</c:v>
                </c:pt>
                <c:pt idx="1170">
                  <c:v>40000000</c:v>
                </c:pt>
                <c:pt idx="1171">
                  <c:v>40000000</c:v>
                </c:pt>
                <c:pt idx="1172">
                  <c:v>40000000</c:v>
                </c:pt>
                <c:pt idx="1173">
                  <c:v>40000000</c:v>
                </c:pt>
                <c:pt idx="1174">
                  <c:v>40000000</c:v>
                </c:pt>
                <c:pt idx="1175">
                  <c:v>40000000</c:v>
                </c:pt>
                <c:pt idx="1176">
                  <c:v>40000000</c:v>
                </c:pt>
                <c:pt idx="1177">
                  <c:v>40000000</c:v>
                </c:pt>
                <c:pt idx="1178">
                  <c:v>35000000</c:v>
                </c:pt>
                <c:pt idx="1179">
                  <c:v>40000000</c:v>
                </c:pt>
                <c:pt idx="1180">
                  <c:v>40000000</c:v>
                </c:pt>
                <c:pt idx="1181">
                  <c:v>500000</c:v>
                </c:pt>
                <c:pt idx="1182">
                  <c:v>40000000</c:v>
                </c:pt>
                <c:pt idx="1183">
                  <c:v>40000000</c:v>
                </c:pt>
                <c:pt idx="1184">
                  <c:v>40000000</c:v>
                </c:pt>
                <c:pt idx="1185">
                  <c:v>60000000</c:v>
                </c:pt>
                <c:pt idx="1186">
                  <c:v>60000000</c:v>
                </c:pt>
                <c:pt idx="1187">
                  <c:v>40000000</c:v>
                </c:pt>
                <c:pt idx="1188">
                  <c:v>40000000</c:v>
                </c:pt>
                <c:pt idx="1189">
                  <c:v>45000000</c:v>
                </c:pt>
                <c:pt idx="1190">
                  <c:v>40000000</c:v>
                </c:pt>
                <c:pt idx="1191">
                  <c:v>40000000</c:v>
                </c:pt>
                <c:pt idx="1192">
                  <c:v>40000000</c:v>
                </c:pt>
                <c:pt idx="1193">
                  <c:v>45000000</c:v>
                </c:pt>
                <c:pt idx="1194">
                  <c:v>51000000</c:v>
                </c:pt>
                <c:pt idx="1195">
                  <c:v>40000000</c:v>
                </c:pt>
                <c:pt idx="1196">
                  <c:v>40000000</c:v>
                </c:pt>
                <c:pt idx="1197">
                  <c:v>40000000</c:v>
                </c:pt>
                <c:pt idx="1198">
                  <c:v>77000000</c:v>
                </c:pt>
                <c:pt idx="1199">
                  <c:v>30000000</c:v>
                </c:pt>
                <c:pt idx="1200">
                  <c:v>60000000</c:v>
                </c:pt>
                <c:pt idx="1201">
                  <c:v>40000000</c:v>
                </c:pt>
                <c:pt idx="1202">
                  <c:v>40000000</c:v>
                </c:pt>
                <c:pt idx="1203">
                  <c:v>42000000</c:v>
                </c:pt>
                <c:pt idx="1204">
                  <c:v>40000000</c:v>
                </c:pt>
                <c:pt idx="1205">
                  <c:v>40000000</c:v>
                </c:pt>
                <c:pt idx="1206">
                  <c:v>36000000</c:v>
                </c:pt>
                <c:pt idx="1207">
                  <c:v>24000000</c:v>
                </c:pt>
                <c:pt idx="1208">
                  <c:v>33000000</c:v>
                </c:pt>
                <c:pt idx="1209">
                  <c:v>40000000</c:v>
                </c:pt>
                <c:pt idx="1210">
                  <c:v>40000000</c:v>
                </c:pt>
                <c:pt idx="1211">
                  <c:v>40000000</c:v>
                </c:pt>
                <c:pt idx="1212">
                  <c:v>26000000</c:v>
                </c:pt>
                <c:pt idx="1213">
                  <c:v>40000000</c:v>
                </c:pt>
                <c:pt idx="1214">
                  <c:v>40000000</c:v>
                </c:pt>
                <c:pt idx="1215">
                  <c:v>40000000</c:v>
                </c:pt>
                <c:pt idx="1216">
                  <c:v>40000000</c:v>
                </c:pt>
                <c:pt idx="1217">
                  <c:v>20000000</c:v>
                </c:pt>
                <c:pt idx="1218">
                  <c:v>20000000</c:v>
                </c:pt>
                <c:pt idx="1219">
                  <c:v>25000000</c:v>
                </c:pt>
                <c:pt idx="1220">
                  <c:v>30000000</c:v>
                </c:pt>
                <c:pt idx="1221">
                  <c:v>40000000</c:v>
                </c:pt>
                <c:pt idx="1222">
                  <c:v>25000000</c:v>
                </c:pt>
                <c:pt idx="1223">
                  <c:v>39200000</c:v>
                </c:pt>
                <c:pt idx="1224">
                  <c:v>23000000</c:v>
                </c:pt>
                <c:pt idx="1225">
                  <c:v>18026148</c:v>
                </c:pt>
                <c:pt idx="1226">
                  <c:v>39000000</c:v>
                </c:pt>
                <c:pt idx="1227">
                  <c:v>39000000</c:v>
                </c:pt>
                <c:pt idx="1228">
                  <c:v>40000000</c:v>
                </c:pt>
                <c:pt idx="1229">
                  <c:v>39000000</c:v>
                </c:pt>
                <c:pt idx="1230">
                  <c:v>39000000</c:v>
                </c:pt>
                <c:pt idx="1231">
                  <c:v>40000000</c:v>
                </c:pt>
                <c:pt idx="1232">
                  <c:v>553632000</c:v>
                </c:pt>
                <c:pt idx="1233">
                  <c:v>38000000</c:v>
                </c:pt>
                <c:pt idx="1234">
                  <c:v>38000000</c:v>
                </c:pt>
                <c:pt idx="1235">
                  <c:v>39000000</c:v>
                </c:pt>
                <c:pt idx="1236">
                  <c:v>38000000</c:v>
                </c:pt>
                <c:pt idx="1237">
                  <c:v>35000000</c:v>
                </c:pt>
                <c:pt idx="1238">
                  <c:v>38600000</c:v>
                </c:pt>
                <c:pt idx="1239">
                  <c:v>38000000</c:v>
                </c:pt>
                <c:pt idx="1240">
                  <c:v>38000000</c:v>
                </c:pt>
                <c:pt idx="1241">
                  <c:v>38000000</c:v>
                </c:pt>
                <c:pt idx="1242">
                  <c:v>35000000</c:v>
                </c:pt>
                <c:pt idx="1243">
                  <c:v>38000000</c:v>
                </c:pt>
                <c:pt idx="1244">
                  <c:v>38000000</c:v>
                </c:pt>
                <c:pt idx="1245">
                  <c:v>38000000</c:v>
                </c:pt>
                <c:pt idx="1246">
                  <c:v>38000000</c:v>
                </c:pt>
                <c:pt idx="1247">
                  <c:v>57000000</c:v>
                </c:pt>
                <c:pt idx="1248">
                  <c:v>10000000</c:v>
                </c:pt>
                <c:pt idx="1249">
                  <c:v>38000000</c:v>
                </c:pt>
                <c:pt idx="1250">
                  <c:v>15000000</c:v>
                </c:pt>
                <c:pt idx="1251">
                  <c:v>38000000</c:v>
                </c:pt>
                <c:pt idx="1252">
                  <c:v>37000000</c:v>
                </c:pt>
                <c:pt idx="1253">
                  <c:v>38000000</c:v>
                </c:pt>
                <c:pt idx="1254">
                  <c:v>55000000</c:v>
                </c:pt>
                <c:pt idx="1255">
                  <c:v>32000000</c:v>
                </c:pt>
                <c:pt idx="1256">
                  <c:v>40000000</c:v>
                </c:pt>
                <c:pt idx="1257">
                  <c:v>38000000</c:v>
                </c:pt>
                <c:pt idx="1258">
                  <c:v>35000000</c:v>
                </c:pt>
                <c:pt idx="1259">
                  <c:v>37000000</c:v>
                </c:pt>
                <c:pt idx="1260">
                  <c:v>40000000</c:v>
                </c:pt>
                <c:pt idx="1261">
                  <c:v>37000000</c:v>
                </c:pt>
                <c:pt idx="1262">
                  <c:v>37000000</c:v>
                </c:pt>
                <c:pt idx="1263">
                  <c:v>38000000</c:v>
                </c:pt>
                <c:pt idx="1264">
                  <c:v>37000000</c:v>
                </c:pt>
                <c:pt idx="1265">
                  <c:v>37000000</c:v>
                </c:pt>
                <c:pt idx="1266">
                  <c:v>38000000</c:v>
                </c:pt>
                <c:pt idx="1267">
                  <c:v>37000000</c:v>
                </c:pt>
                <c:pt idx="1268">
                  <c:v>37000000</c:v>
                </c:pt>
                <c:pt idx="1269">
                  <c:v>36000000</c:v>
                </c:pt>
                <c:pt idx="1270">
                  <c:v>65000000</c:v>
                </c:pt>
                <c:pt idx="1271">
                  <c:v>37000000</c:v>
                </c:pt>
                <c:pt idx="1272">
                  <c:v>36000000</c:v>
                </c:pt>
                <c:pt idx="1273">
                  <c:v>36000000</c:v>
                </c:pt>
                <c:pt idx="1274">
                  <c:v>36000000</c:v>
                </c:pt>
                <c:pt idx="1275">
                  <c:v>36000000</c:v>
                </c:pt>
                <c:pt idx="1276">
                  <c:v>34000000</c:v>
                </c:pt>
                <c:pt idx="1277">
                  <c:v>36000000</c:v>
                </c:pt>
                <c:pt idx="1278">
                  <c:v>37000000</c:v>
                </c:pt>
                <c:pt idx="1279">
                  <c:v>36000000</c:v>
                </c:pt>
                <c:pt idx="1280">
                  <c:v>36000000</c:v>
                </c:pt>
                <c:pt idx="1281">
                  <c:v>37000000</c:v>
                </c:pt>
                <c:pt idx="1282">
                  <c:v>36000000</c:v>
                </c:pt>
                <c:pt idx="1283">
                  <c:v>36000000</c:v>
                </c:pt>
                <c:pt idx="1284">
                  <c:v>37000000</c:v>
                </c:pt>
                <c:pt idx="1285">
                  <c:v>35200000</c:v>
                </c:pt>
                <c:pt idx="1286">
                  <c:v>35000000</c:v>
                </c:pt>
                <c:pt idx="1287">
                  <c:v>36000000</c:v>
                </c:pt>
                <c:pt idx="1288">
                  <c:v>33000000</c:v>
                </c:pt>
                <c:pt idx="1289">
                  <c:v>35000000</c:v>
                </c:pt>
                <c:pt idx="1290">
                  <c:v>36000000</c:v>
                </c:pt>
                <c:pt idx="1291">
                  <c:v>35000000</c:v>
                </c:pt>
                <c:pt idx="1292">
                  <c:v>29000000</c:v>
                </c:pt>
                <c:pt idx="1293">
                  <c:v>35000000</c:v>
                </c:pt>
                <c:pt idx="1294">
                  <c:v>35000000</c:v>
                </c:pt>
                <c:pt idx="1295">
                  <c:v>38000000</c:v>
                </c:pt>
                <c:pt idx="1296">
                  <c:v>35000000</c:v>
                </c:pt>
                <c:pt idx="1297">
                  <c:v>35000000</c:v>
                </c:pt>
                <c:pt idx="1298">
                  <c:v>35000000</c:v>
                </c:pt>
                <c:pt idx="1299">
                  <c:v>35000000</c:v>
                </c:pt>
                <c:pt idx="1300">
                  <c:v>35000000</c:v>
                </c:pt>
                <c:pt idx="1301">
                  <c:v>35000000</c:v>
                </c:pt>
                <c:pt idx="1302">
                  <c:v>35000000</c:v>
                </c:pt>
                <c:pt idx="1303">
                  <c:v>27000000</c:v>
                </c:pt>
                <c:pt idx="1304">
                  <c:v>35000000</c:v>
                </c:pt>
                <c:pt idx="1305">
                  <c:v>35000000</c:v>
                </c:pt>
                <c:pt idx="1306">
                  <c:v>35000000</c:v>
                </c:pt>
                <c:pt idx="1307">
                  <c:v>35000000</c:v>
                </c:pt>
                <c:pt idx="1308">
                  <c:v>1800000</c:v>
                </c:pt>
                <c:pt idx="1309">
                  <c:v>33000000</c:v>
                </c:pt>
                <c:pt idx="1310">
                  <c:v>35000000</c:v>
                </c:pt>
                <c:pt idx="1311">
                  <c:v>35000000</c:v>
                </c:pt>
                <c:pt idx="1312">
                  <c:v>34000000</c:v>
                </c:pt>
                <c:pt idx="1313">
                  <c:v>35000000</c:v>
                </c:pt>
                <c:pt idx="1314">
                  <c:v>35000000</c:v>
                </c:pt>
                <c:pt idx="1315">
                  <c:v>35000000</c:v>
                </c:pt>
                <c:pt idx="1316">
                  <c:v>35000000</c:v>
                </c:pt>
                <c:pt idx="1317">
                  <c:v>33000000</c:v>
                </c:pt>
                <c:pt idx="1318">
                  <c:v>35000000</c:v>
                </c:pt>
                <c:pt idx="1319">
                  <c:v>35000000</c:v>
                </c:pt>
                <c:pt idx="1320">
                  <c:v>35000000</c:v>
                </c:pt>
                <c:pt idx="1321">
                  <c:v>35000000</c:v>
                </c:pt>
                <c:pt idx="1322">
                  <c:v>33000000</c:v>
                </c:pt>
                <c:pt idx="1323">
                  <c:v>35000000</c:v>
                </c:pt>
                <c:pt idx="1324">
                  <c:v>33000000</c:v>
                </c:pt>
                <c:pt idx="1325">
                  <c:v>10700000</c:v>
                </c:pt>
                <c:pt idx="1326">
                  <c:v>35000000</c:v>
                </c:pt>
                <c:pt idx="1327">
                  <c:v>35000000</c:v>
                </c:pt>
                <c:pt idx="1328">
                  <c:v>40000000</c:v>
                </c:pt>
                <c:pt idx="1329">
                  <c:v>35000000</c:v>
                </c:pt>
                <c:pt idx="1330">
                  <c:v>35000000</c:v>
                </c:pt>
                <c:pt idx="1331">
                  <c:v>50000000</c:v>
                </c:pt>
                <c:pt idx="1332">
                  <c:v>35000000</c:v>
                </c:pt>
                <c:pt idx="1333">
                  <c:v>35000000</c:v>
                </c:pt>
                <c:pt idx="1334">
                  <c:v>30000000</c:v>
                </c:pt>
                <c:pt idx="1335">
                  <c:v>30000000</c:v>
                </c:pt>
                <c:pt idx="1336">
                  <c:v>27000000</c:v>
                </c:pt>
                <c:pt idx="1337">
                  <c:v>35000000</c:v>
                </c:pt>
                <c:pt idx="1338">
                  <c:v>35000000</c:v>
                </c:pt>
                <c:pt idx="1339">
                  <c:v>35000000</c:v>
                </c:pt>
                <c:pt idx="1340">
                  <c:v>35000000</c:v>
                </c:pt>
                <c:pt idx="1341">
                  <c:v>35000000</c:v>
                </c:pt>
                <c:pt idx="1342">
                  <c:v>35000000</c:v>
                </c:pt>
                <c:pt idx="1343">
                  <c:v>35000000</c:v>
                </c:pt>
                <c:pt idx="1344">
                  <c:v>35000000</c:v>
                </c:pt>
                <c:pt idx="1345">
                  <c:v>30000000</c:v>
                </c:pt>
                <c:pt idx="1346">
                  <c:v>35000000</c:v>
                </c:pt>
                <c:pt idx="1347">
                  <c:v>35000000</c:v>
                </c:pt>
                <c:pt idx="1348">
                  <c:v>30000000</c:v>
                </c:pt>
                <c:pt idx="1349">
                  <c:v>35000000</c:v>
                </c:pt>
                <c:pt idx="1350">
                  <c:v>35000000</c:v>
                </c:pt>
                <c:pt idx="1351">
                  <c:v>35000000</c:v>
                </c:pt>
                <c:pt idx="1352">
                  <c:v>35000000</c:v>
                </c:pt>
                <c:pt idx="1353">
                  <c:v>55000000</c:v>
                </c:pt>
                <c:pt idx="1354">
                  <c:v>35000000</c:v>
                </c:pt>
                <c:pt idx="1355">
                  <c:v>35000000</c:v>
                </c:pt>
                <c:pt idx="1356">
                  <c:v>35000000</c:v>
                </c:pt>
                <c:pt idx="1357">
                  <c:v>35000000</c:v>
                </c:pt>
                <c:pt idx="1358">
                  <c:v>35000000</c:v>
                </c:pt>
                <c:pt idx="1359">
                  <c:v>35000000</c:v>
                </c:pt>
                <c:pt idx="1360">
                  <c:v>35000000</c:v>
                </c:pt>
                <c:pt idx="1361">
                  <c:v>31000000</c:v>
                </c:pt>
                <c:pt idx="1362">
                  <c:v>35000000</c:v>
                </c:pt>
                <c:pt idx="1363">
                  <c:v>35000000</c:v>
                </c:pt>
                <c:pt idx="1364">
                  <c:v>35000000</c:v>
                </c:pt>
                <c:pt idx="1365">
                  <c:v>35000000</c:v>
                </c:pt>
                <c:pt idx="1366">
                  <c:v>35000000</c:v>
                </c:pt>
                <c:pt idx="1367">
                  <c:v>35000000</c:v>
                </c:pt>
                <c:pt idx="1368">
                  <c:v>35000000</c:v>
                </c:pt>
                <c:pt idx="1369">
                  <c:v>35000000</c:v>
                </c:pt>
                <c:pt idx="1370">
                  <c:v>32000000</c:v>
                </c:pt>
                <c:pt idx="1371">
                  <c:v>35000000</c:v>
                </c:pt>
                <c:pt idx="1372">
                  <c:v>35000000</c:v>
                </c:pt>
                <c:pt idx="1373">
                  <c:v>38000000</c:v>
                </c:pt>
                <c:pt idx="1374">
                  <c:v>35000000</c:v>
                </c:pt>
                <c:pt idx="1375">
                  <c:v>35000000</c:v>
                </c:pt>
                <c:pt idx="1376">
                  <c:v>35000000</c:v>
                </c:pt>
                <c:pt idx="1377">
                  <c:v>35000000</c:v>
                </c:pt>
                <c:pt idx="1378">
                  <c:v>35000000</c:v>
                </c:pt>
                <c:pt idx="1379">
                  <c:v>35000000</c:v>
                </c:pt>
                <c:pt idx="1380">
                  <c:v>35000000</c:v>
                </c:pt>
                <c:pt idx="1381">
                  <c:v>35000000</c:v>
                </c:pt>
                <c:pt idx="1382">
                  <c:v>35000000</c:v>
                </c:pt>
                <c:pt idx="1383">
                  <c:v>34000000</c:v>
                </c:pt>
                <c:pt idx="1384">
                  <c:v>35000000</c:v>
                </c:pt>
                <c:pt idx="1385">
                  <c:v>30000000</c:v>
                </c:pt>
                <c:pt idx="1386">
                  <c:v>35000000</c:v>
                </c:pt>
                <c:pt idx="1387">
                  <c:v>34000000</c:v>
                </c:pt>
                <c:pt idx="1388">
                  <c:v>35000000</c:v>
                </c:pt>
                <c:pt idx="1389">
                  <c:v>34000000</c:v>
                </c:pt>
                <c:pt idx="1390">
                  <c:v>34000000</c:v>
                </c:pt>
                <c:pt idx="1391">
                  <c:v>34000000</c:v>
                </c:pt>
                <c:pt idx="1392">
                  <c:v>34000000</c:v>
                </c:pt>
                <c:pt idx="1393">
                  <c:v>35000000</c:v>
                </c:pt>
                <c:pt idx="1394">
                  <c:v>35000000</c:v>
                </c:pt>
                <c:pt idx="1395">
                  <c:v>40000000</c:v>
                </c:pt>
                <c:pt idx="1396">
                  <c:v>33000000</c:v>
                </c:pt>
                <c:pt idx="1397">
                  <c:v>30000000</c:v>
                </c:pt>
                <c:pt idx="1398">
                  <c:v>34000000</c:v>
                </c:pt>
                <c:pt idx="1399">
                  <c:v>30000000</c:v>
                </c:pt>
                <c:pt idx="1400">
                  <c:v>33000000</c:v>
                </c:pt>
                <c:pt idx="1401">
                  <c:v>33000000</c:v>
                </c:pt>
                <c:pt idx="1402">
                  <c:v>33000000</c:v>
                </c:pt>
                <c:pt idx="1403">
                  <c:v>33000000</c:v>
                </c:pt>
                <c:pt idx="1404">
                  <c:v>10000000</c:v>
                </c:pt>
                <c:pt idx="1405">
                  <c:v>30000000</c:v>
                </c:pt>
                <c:pt idx="1406">
                  <c:v>38000000</c:v>
                </c:pt>
                <c:pt idx="1407">
                  <c:v>32500000</c:v>
                </c:pt>
                <c:pt idx="1408">
                  <c:v>30000000</c:v>
                </c:pt>
                <c:pt idx="1409">
                  <c:v>32000000</c:v>
                </c:pt>
                <c:pt idx="1410">
                  <c:v>33000000</c:v>
                </c:pt>
                <c:pt idx="1411">
                  <c:v>32000000</c:v>
                </c:pt>
                <c:pt idx="1412">
                  <c:v>35000000</c:v>
                </c:pt>
                <c:pt idx="1413">
                  <c:v>32000000</c:v>
                </c:pt>
                <c:pt idx="1414">
                  <c:v>32000000</c:v>
                </c:pt>
                <c:pt idx="1415">
                  <c:v>32500000</c:v>
                </c:pt>
                <c:pt idx="1416">
                  <c:v>32000000</c:v>
                </c:pt>
                <c:pt idx="1417">
                  <c:v>29000000</c:v>
                </c:pt>
                <c:pt idx="1418">
                  <c:v>32000000</c:v>
                </c:pt>
                <c:pt idx="1419">
                  <c:v>35000000</c:v>
                </c:pt>
                <c:pt idx="1420">
                  <c:v>32000000</c:v>
                </c:pt>
                <c:pt idx="1421">
                  <c:v>32000000</c:v>
                </c:pt>
                <c:pt idx="1422">
                  <c:v>32000000</c:v>
                </c:pt>
                <c:pt idx="1423">
                  <c:v>32000000</c:v>
                </c:pt>
                <c:pt idx="1424">
                  <c:v>33000000</c:v>
                </c:pt>
                <c:pt idx="1425">
                  <c:v>32000000</c:v>
                </c:pt>
                <c:pt idx="1426">
                  <c:v>32000000</c:v>
                </c:pt>
                <c:pt idx="1427">
                  <c:v>32000000</c:v>
                </c:pt>
                <c:pt idx="1428">
                  <c:v>32000000</c:v>
                </c:pt>
                <c:pt idx="1429">
                  <c:v>28000000</c:v>
                </c:pt>
                <c:pt idx="1430">
                  <c:v>55000000</c:v>
                </c:pt>
                <c:pt idx="1431">
                  <c:v>32000000</c:v>
                </c:pt>
                <c:pt idx="1432">
                  <c:v>35000000</c:v>
                </c:pt>
                <c:pt idx="1433">
                  <c:v>30000000</c:v>
                </c:pt>
                <c:pt idx="1434">
                  <c:v>30000000</c:v>
                </c:pt>
                <c:pt idx="1435">
                  <c:v>32000000</c:v>
                </c:pt>
                <c:pt idx="1436">
                  <c:v>32000000</c:v>
                </c:pt>
                <c:pt idx="1437">
                  <c:v>32000000</c:v>
                </c:pt>
                <c:pt idx="1438">
                  <c:v>31500000</c:v>
                </c:pt>
                <c:pt idx="1439">
                  <c:v>32000000</c:v>
                </c:pt>
                <c:pt idx="1440">
                  <c:v>6500000</c:v>
                </c:pt>
                <c:pt idx="1441">
                  <c:v>31500000</c:v>
                </c:pt>
                <c:pt idx="1442">
                  <c:v>31000000</c:v>
                </c:pt>
                <c:pt idx="1443">
                  <c:v>31000000</c:v>
                </c:pt>
                <c:pt idx="1444">
                  <c:v>34000000</c:v>
                </c:pt>
                <c:pt idx="1445">
                  <c:v>25000000</c:v>
                </c:pt>
                <c:pt idx="1446">
                  <c:v>31000000</c:v>
                </c:pt>
                <c:pt idx="1447">
                  <c:v>31000000</c:v>
                </c:pt>
                <c:pt idx="1448">
                  <c:v>31000000</c:v>
                </c:pt>
                <c:pt idx="1449">
                  <c:v>31000000</c:v>
                </c:pt>
                <c:pt idx="1450">
                  <c:v>30250000</c:v>
                </c:pt>
                <c:pt idx="1451">
                  <c:v>45000000</c:v>
                </c:pt>
                <c:pt idx="1452">
                  <c:v>34200000</c:v>
                </c:pt>
                <c:pt idx="1453">
                  <c:v>30000000</c:v>
                </c:pt>
                <c:pt idx="1454">
                  <c:v>30000000</c:v>
                </c:pt>
                <c:pt idx="1455">
                  <c:v>25000000</c:v>
                </c:pt>
                <c:pt idx="1456">
                  <c:v>30000000</c:v>
                </c:pt>
                <c:pt idx="1457">
                  <c:v>31000000</c:v>
                </c:pt>
                <c:pt idx="1458">
                  <c:v>30000000</c:v>
                </c:pt>
                <c:pt idx="1459">
                  <c:v>30000000</c:v>
                </c:pt>
                <c:pt idx="1460">
                  <c:v>30000000</c:v>
                </c:pt>
                <c:pt idx="1461">
                  <c:v>20000000</c:v>
                </c:pt>
                <c:pt idx="1462">
                  <c:v>38000000</c:v>
                </c:pt>
                <c:pt idx="1463">
                  <c:v>30000000</c:v>
                </c:pt>
                <c:pt idx="1464">
                  <c:v>37000000</c:v>
                </c:pt>
                <c:pt idx="1465">
                  <c:v>26000000</c:v>
                </c:pt>
                <c:pt idx="1466">
                  <c:v>33000000</c:v>
                </c:pt>
                <c:pt idx="1467">
                  <c:v>30000000</c:v>
                </c:pt>
                <c:pt idx="1468">
                  <c:v>30000000</c:v>
                </c:pt>
                <c:pt idx="1469">
                  <c:v>25000000</c:v>
                </c:pt>
                <c:pt idx="1470">
                  <c:v>30000000</c:v>
                </c:pt>
                <c:pt idx="1471">
                  <c:v>30000000</c:v>
                </c:pt>
                <c:pt idx="1472">
                  <c:v>29000000</c:v>
                </c:pt>
                <c:pt idx="1473">
                  <c:v>30000000</c:v>
                </c:pt>
                <c:pt idx="1474">
                  <c:v>30000000</c:v>
                </c:pt>
                <c:pt idx="1475">
                  <c:v>30000000</c:v>
                </c:pt>
                <c:pt idx="1476">
                  <c:v>30000000</c:v>
                </c:pt>
                <c:pt idx="1477">
                  <c:v>25000000</c:v>
                </c:pt>
                <c:pt idx="1478">
                  <c:v>30000000</c:v>
                </c:pt>
                <c:pt idx="1479">
                  <c:v>35000000</c:v>
                </c:pt>
                <c:pt idx="1480">
                  <c:v>30000000</c:v>
                </c:pt>
                <c:pt idx="1481">
                  <c:v>30000000</c:v>
                </c:pt>
                <c:pt idx="1482">
                  <c:v>30000000</c:v>
                </c:pt>
                <c:pt idx="1483">
                  <c:v>30000000</c:v>
                </c:pt>
                <c:pt idx="1484">
                  <c:v>30000000</c:v>
                </c:pt>
                <c:pt idx="1485">
                  <c:v>45000000</c:v>
                </c:pt>
                <c:pt idx="1486">
                  <c:v>30000000</c:v>
                </c:pt>
                <c:pt idx="1487">
                  <c:v>30000000</c:v>
                </c:pt>
                <c:pt idx="1488">
                  <c:v>30000000</c:v>
                </c:pt>
                <c:pt idx="1489">
                  <c:v>19000000</c:v>
                </c:pt>
                <c:pt idx="1490">
                  <c:v>37000000</c:v>
                </c:pt>
                <c:pt idx="1491">
                  <c:v>17000000</c:v>
                </c:pt>
                <c:pt idx="1492">
                  <c:v>42000000</c:v>
                </c:pt>
                <c:pt idx="1493">
                  <c:v>30000000</c:v>
                </c:pt>
                <c:pt idx="1494">
                  <c:v>55000000</c:v>
                </c:pt>
                <c:pt idx="1495">
                  <c:v>27800000</c:v>
                </c:pt>
                <c:pt idx="1496">
                  <c:v>30000000</c:v>
                </c:pt>
                <c:pt idx="1497">
                  <c:v>30000000</c:v>
                </c:pt>
                <c:pt idx="1498">
                  <c:v>30000000</c:v>
                </c:pt>
                <c:pt idx="1499">
                  <c:v>30000000</c:v>
                </c:pt>
                <c:pt idx="1500">
                  <c:v>30000000</c:v>
                </c:pt>
                <c:pt idx="1501">
                  <c:v>30000000</c:v>
                </c:pt>
                <c:pt idx="1502">
                  <c:v>30000000</c:v>
                </c:pt>
                <c:pt idx="1503">
                  <c:v>30000000</c:v>
                </c:pt>
                <c:pt idx="1504">
                  <c:v>40000000</c:v>
                </c:pt>
                <c:pt idx="1505">
                  <c:v>30000000</c:v>
                </c:pt>
                <c:pt idx="1506">
                  <c:v>30000000</c:v>
                </c:pt>
                <c:pt idx="1507">
                  <c:v>30000000</c:v>
                </c:pt>
                <c:pt idx="1508">
                  <c:v>25000000</c:v>
                </c:pt>
                <c:pt idx="1509">
                  <c:v>30000000</c:v>
                </c:pt>
                <c:pt idx="1510">
                  <c:v>30000000</c:v>
                </c:pt>
                <c:pt idx="1511">
                  <c:v>30000000</c:v>
                </c:pt>
                <c:pt idx="1512">
                  <c:v>38000000</c:v>
                </c:pt>
                <c:pt idx="1513">
                  <c:v>32000000</c:v>
                </c:pt>
                <c:pt idx="1514">
                  <c:v>30000000</c:v>
                </c:pt>
                <c:pt idx="1515">
                  <c:v>30000000</c:v>
                </c:pt>
                <c:pt idx="1516">
                  <c:v>30000000</c:v>
                </c:pt>
                <c:pt idx="1517">
                  <c:v>27000000</c:v>
                </c:pt>
                <c:pt idx="1518">
                  <c:v>25000000</c:v>
                </c:pt>
                <c:pt idx="1519">
                  <c:v>30000000</c:v>
                </c:pt>
                <c:pt idx="1520">
                  <c:v>30000000</c:v>
                </c:pt>
                <c:pt idx="1521">
                  <c:v>30000000</c:v>
                </c:pt>
                <c:pt idx="1522">
                  <c:v>30000000</c:v>
                </c:pt>
                <c:pt idx="1523">
                  <c:v>30000000</c:v>
                </c:pt>
                <c:pt idx="1524">
                  <c:v>30000000</c:v>
                </c:pt>
                <c:pt idx="1525">
                  <c:v>45000000</c:v>
                </c:pt>
                <c:pt idx="1526">
                  <c:v>30000000</c:v>
                </c:pt>
                <c:pt idx="1527">
                  <c:v>30000000</c:v>
                </c:pt>
                <c:pt idx="1528">
                  <c:v>30000000</c:v>
                </c:pt>
                <c:pt idx="1529">
                  <c:v>19000000</c:v>
                </c:pt>
                <c:pt idx="1530">
                  <c:v>30000000</c:v>
                </c:pt>
                <c:pt idx="1531">
                  <c:v>30000000</c:v>
                </c:pt>
                <c:pt idx="1532">
                  <c:v>30000000</c:v>
                </c:pt>
                <c:pt idx="1533">
                  <c:v>30000000</c:v>
                </c:pt>
                <c:pt idx="1534">
                  <c:v>30000000</c:v>
                </c:pt>
                <c:pt idx="1535">
                  <c:v>30000000</c:v>
                </c:pt>
                <c:pt idx="1536">
                  <c:v>30000000</c:v>
                </c:pt>
                <c:pt idx="1537">
                  <c:v>35000000</c:v>
                </c:pt>
                <c:pt idx="1538">
                  <c:v>30000000</c:v>
                </c:pt>
                <c:pt idx="1539">
                  <c:v>30000000</c:v>
                </c:pt>
                <c:pt idx="1540">
                  <c:v>35000000</c:v>
                </c:pt>
                <c:pt idx="1541">
                  <c:v>30000000</c:v>
                </c:pt>
                <c:pt idx="1542">
                  <c:v>20000000</c:v>
                </c:pt>
                <c:pt idx="1543">
                  <c:v>30000000</c:v>
                </c:pt>
                <c:pt idx="1544">
                  <c:v>25000000</c:v>
                </c:pt>
                <c:pt idx="1545">
                  <c:v>30000000</c:v>
                </c:pt>
                <c:pt idx="1546">
                  <c:v>30000000</c:v>
                </c:pt>
                <c:pt idx="1547">
                  <c:v>30000000</c:v>
                </c:pt>
                <c:pt idx="1548">
                  <c:v>35000000</c:v>
                </c:pt>
                <c:pt idx="1549">
                  <c:v>40000000</c:v>
                </c:pt>
                <c:pt idx="1550">
                  <c:v>26000000</c:v>
                </c:pt>
                <c:pt idx="1551">
                  <c:v>35000000</c:v>
                </c:pt>
                <c:pt idx="1552">
                  <c:v>30000000</c:v>
                </c:pt>
                <c:pt idx="1553">
                  <c:v>30000000</c:v>
                </c:pt>
                <c:pt idx="1554">
                  <c:v>30000000</c:v>
                </c:pt>
                <c:pt idx="1555">
                  <c:v>30000000</c:v>
                </c:pt>
                <c:pt idx="1556">
                  <c:v>30000000</c:v>
                </c:pt>
                <c:pt idx="1557">
                  <c:v>30000000</c:v>
                </c:pt>
                <c:pt idx="1558">
                  <c:v>30000000</c:v>
                </c:pt>
                <c:pt idx="1559">
                  <c:v>30000000</c:v>
                </c:pt>
                <c:pt idx="1560">
                  <c:v>45000000</c:v>
                </c:pt>
                <c:pt idx="1561">
                  <c:v>45000000</c:v>
                </c:pt>
                <c:pt idx="1562">
                  <c:v>25000000</c:v>
                </c:pt>
                <c:pt idx="1563">
                  <c:v>23000000</c:v>
                </c:pt>
                <c:pt idx="1564">
                  <c:v>30000000</c:v>
                </c:pt>
                <c:pt idx="1565">
                  <c:v>30000000</c:v>
                </c:pt>
                <c:pt idx="1566">
                  <c:v>40000000</c:v>
                </c:pt>
                <c:pt idx="1567">
                  <c:v>30000000</c:v>
                </c:pt>
                <c:pt idx="1568">
                  <c:v>30000000</c:v>
                </c:pt>
                <c:pt idx="1569">
                  <c:v>18000000</c:v>
                </c:pt>
                <c:pt idx="1570">
                  <c:v>30000000</c:v>
                </c:pt>
                <c:pt idx="1571">
                  <c:v>30000000</c:v>
                </c:pt>
                <c:pt idx="1572">
                  <c:v>18000000</c:v>
                </c:pt>
                <c:pt idx="1573">
                  <c:v>25000000</c:v>
                </c:pt>
                <c:pt idx="1574">
                  <c:v>30000000</c:v>
                </c:pt>
                <c:pt idx="1575">
                  <c:v>60000000</c:v>
                </c:pt>
                <c:pt idx="1576">
                  <c:v>21000000</c:v>
                </c:pt>
                <c:pt idx="1577">
                  <c:v>30000000</c:v>
                </c:pt>
                <c:pt idx="1578">
                  <c:v>18000000</c:v>
                </c:pt>
                <c:pt idx="1579">
                  <c:v>30000000</c:v>
                </c:pt>
                <c:pt idx="1580">
                  <c:v>29000000</c:v>
                </c:pt>
                <c:pt idx="1581">
                  <c:v>28000000</c:v>
                </c:pt>
                <c:pt idx="1582">
                  <c:v>30000000</c:v>
                </c:pt>
                <c:pt idx="1583">
                  <c:v>29000000</c:v>
                </c:pt>
                <c:pt idx="1584">
                  <c:v>35000000</c:v>
                </c:pt>
                <c:pt idx="1585">
                  <c:v>29000000</c:v>
                </c:pt>
                <c:pt idx="1586">
                  <c:v>29000000</c:v>
                </c:pt>
                <c:pt idx="1587">
                  <c:v>29000000</c:v>
                </c:pt>
                <c:pt idx="1588">
                  <c:v>28000000</c:v>
                </c:pt>
                <c:pt idx="1589">
                  <c:v>12000000</c:v>
                </c:pt>
                <c:pt idx="1590">
                  <c:v>29000000</c:v>
                </c:pt>
                <c:pt idx="1591">
                  <c:v>28000000</c:v>
                </c:pt>
                <c:pt idx="1592">
                  <c:v>28000000</c:v>
                </c:pt>
                <c:pt idx="1593">
                  <c:v>24000000</c:v>
                </c:pt>
                <c:pt idx="1594">
                  <c:v>60000000</c:v>
                </c:pt>
                <c:pt idx="1595">
                  <c:v>29000000</c:v>
                </c:pt>
                <c:pt idx="1596">
                  <c:v>28000000</c:v>
                </c:pt>
                <c:pt idx="1597">
                  <c:v>28000000</c:v>
                </c:pt>
                <c:pt idx="1598">
                  <c:v>28000000</c:v>
                </c:pt>
                <c:pt idx="1599">
                  <c:v>30000000</c:v>
                </c:pt>
                <c:pt idx="1600">
                  <c:v>28000000</c:v>
                </c:pt>
                <c:pt idx="1601">
                  <c:v>26000000</c:v>
                </c:pt>
                <c:pt idx="1602">
                  <c:v>35000000</c:v>
                </c:pt>
                <c:pt idx="1603">
                  <c:v>21000000</c:v>
                </c:pt>
                <c:pt idx="1604">
                  <c:v>30000000</c:v>
                </c:pt>
                <c:pt idx="1605">
                  <c:v>28000000</c:v>
                </c:pt>
                <c:pt idx="1606">
                  <c:v>28000000</c:v>
                </c:pt>
                <c:pt idx="1607">
                  <c:v>28000000</c:v>
                </c:pt>
                <c:pt idx="1608">
                  <c:v>27000000</c:v>
                </c:pt>
                <c:pt idx="1609">
                  <c:v>28000000</c:v>
                </c:pt>
                <c:pt idx="1610">
                  <c:v>28000000</c:v>
                </c:pt>
                <c:pt idx="1611">
                  <c:v>28000000</c:v>
                </c:pt>
                <c:pt idx="1612">
                  <c:v>28000000</c:v>
                </c:pt>
                <c:pt idx="1613">
                  <c:v>30000000</c:v>
                </c:pt>
                <c:pt idx="1614">
                  <c:v>28000000</c:v>
                </c:pt>
                <c:pt idx="1615">
                  <c:v>28000000</c:v>
                </c:pt>
                <c:pt idx="1616">
                  <c:v>28000000</c:v>
                </c:pt>
                <c:pt idx="1617">
                  <c:v>28000000</c:v>
                </c:pt>
                <c:pt idx="1618">
                  <c:v>28000000</c:v>
                </c:pt>
                <c:pt idx="1619">
                  <c:v>28000000</c:v>
                </c:pt>
                <c:pt idx="1620">
                  <c:v>28000000</c:v>
                </c:pt>
                <c:pt idx="1621">
                  <c:v>21000000</c:v>
                </c:pt>
                <c:pt idx="1622">
                  <c:v>28000000</c:v>
                </c:pt>
                <c:pt idx="1623">
                  <c:v>160000000</c:v>
                </c:pt>
                <c:pt idx="1624">
                  <c:v>28000000</c:v>
                </c:pt>
                <c:pt idx="1625">
                  <c:v>28000000</c:v>
                </c:pt>
                <c:pt idx="1626">
                  <c:v>28000000</c:v>
                </c:pt>
                <c:pt idx="1627">
                  <c:v>28000000</c:v>
                </c:pt>
                <c:pt idx="1628">
                  <c:v>28000000</c:v>
                </c:pt>
                <c:pt idx="1629">
                  <c:v>28000000</c:v>
                </c:pt>
                <c:pt idx="1630">
                  <c:v>28000000</c:v>
                </c:pt>
                <c:pt idx="1631">
                  <c:v>27000000</c:v>
                </c:pt>
                <c:pt idx="1632">
                  <c:v>28000000</c:v>
                </c:pt>
                <c:pt idx="1633">
                  <c:v>28000000</c:v>
                </c:pt>
                <c:pt idx="1634">
                  <c:v>27500000</c:v>
                </c:pt>
                <c:pt idx="1635">
                  <c:v>30000000</c:v>
                </c:pt>
                <c:pt idx="1636">
                  <c:v>35000000</c:v>
                </c:pt>
                <c:pt idx="1637">
                  <c:v>16000000</c:v>
                </c:pt>
                <c:pt idx="1638">
                  <c:v>15000000</c:v>
                </c:pt>
                <c:pt idx="1639">
                  <c:v>27500000</c:v>
                </c:pt>
                <c:pt idx="1640">
                  <c:v>30000000</c:v>
                </c:pt>
                <c:pt idx="1641">
                  <c:v>27000000</c:v>
                </c:pt>
                <c:pt idx="1642">
                  <c:v>27000000</c:v>
                </c:pt>
                <c:pt idx="1643">
                  <c:v>27000000</c:v>
                </c:pt>
                <c:pt idx="1644">
                  <c:v>25000000</c:v>
                </c:pt>
                <c:pt idx="1645">
                  <c:v>30000000</c:v>
                </c:pt>
                <c:pt idx="1646">
                  <c:v>27000000</c:v>
                </c:pt>
                <c:pt idx="1647">
                  <c:v>27000000</c:v>
                </c:pt>
                <c:pt idx="1648">
                  <c:v>27000000</c:v>
                </c:pt>
                <c:pt idx="1649">
                  <c:v>30000000</c:v>
                </c:pt>
                <c:pt idx="1650">
                  <c:v>27000000</c:v>
                </c:pt>
                <c:pt idx="1651">
                  <c:v>13500000</c:v>
                </c:pt>
                <c:pt idx="1652">
                  <c:v>27000000</c:v>
                </c:pt>
                <c:pt idx="1653">
                  <c:v>27000000</c:v>
                </c:pt>
                <c:pt idx="1654">
                  <c:v>27000000</c:v>
                </c:pt>
                <c:pt idx="1655">
                  <c:v>27000000</c:v>
                </c:pt>
                <c:pt idx="1656">
                  <c:v>27000000</c:v>
                </c:pt>
                <c:pt idx="1657">
                  <c:v>27000000</c:v>
                </c:pt>
                <c:pt idx="1658">
                  <c:v>28000000</c:v>
                </c:pt>
                <c:pt idx="1659">
                  <c:v>15000000</c:v>
                </c:pt>
                <c:pt idx="1660">
                  <c:v>27000000</c:v>
                </c:pt>
                <c:pt idx="1661">
                  <c:v>25000000</c:v>
                </c:pt>
                <c:pt idx="1662">
                  <c:v>23000000</c:v>
                </c:pt>
                <c:pt idx="1663">
                  <c:v>26000000</c:v>
                </c:pt>
                <c:pt idx="1664">
                  <c:v>26000000</c:v>
                </c:pt>
                <c:pt idx="1665">
                  <c:v>26000000</c:v>
                </c:pt>
                <c:pt idx="1666">
                  <c:v>25000000</c:v>
                </c:pt>
                <c:pt idx="1667">
                  <c:v>28000000</c:v>
                </c:pt>
                <c:pt idx="1668">
                  <c:v>26000000</c:v>
                </c:pt>
                <c:pt idx="1669">
                  <c:v>27000000</c:v>
                </c:pt>
                <c:pt idx="1670">
                  <c:v>26000000</c:v>
                </c:pt>
                <c:pt idx="1671">
                  <c:v>22000000</c:v>
                </c:pt>
                <c:pt idx="1672">
                  <c:v>26000000</c:v>
                </c:pt>
                <c:pt idx="1673">
                  <c:v>26000000</c:v>
                </c:pt>
                <c:pt idx="1674">
                  <c:v>26000000</c:v>
                </c:pt>
                <c:pt idx="1675">
                  <c:v>26000000</c:v>
                </c:pt>
                <c:pt idx="1676">
                  <c:v>26000000</c:v>
                </c:pt>
                <c:pt idx="1677">
                  <c:v>26000000</c:v>
                </c:pt>
                <c:pt idx="1678">
                  <c:v>26000000</c:v>
                </c:pt>
                <c:pt idx="1679">
                  <c:v>26000000</c:v>
                </c:pt>
                <c:pt idx="1680">
                  <c:v>26000000</c:v>
                </c:pt>
                <c:pt idx="1681">
                  <c:v>26000000</c:v>
                </c:pt>
                <c:pt idx="1682">
                  <c:v>26000000</c:v>
                </c:pt>
                <c:pt idx="1683">
                  <c:v>56000000</c:v>
                </c:pt>
                <c:pt idx="1684">
                  <c:v>42000000</c:v>
                </c:pt>
                <c:pt idx="1685">
                  <c:v>26000000</c:v>
                </c:pt>
                <c:pt idx="1686">
                  <c:v>26000000</c:v>
                </c:pt>
                <c:pt idx="1687">
                  <c:v>26000000</c:v>
                </c:pt>
                <c:pt idx="1688">
                  <c:v>22000000</c:v>
                </c:pt>
                <c:pt idx="1689">
                  <c:v>26000000</c:v>
                </c:pt>
                <c:pt idx="1690">
                  <c:v>25530000</c:v>
                </c:pt>
                <c:pt idx="1691">
                  <c:v>26000000</c:v>
                </c:pt>
                <c:pt idx="1692">
                  <c:v>15000000</c:v>
                </c:pt>
                <c:pt idx="1693">
                  <c:v>30000000</c:v>
                </c:pt>
                <c:pt idx="1694">
                  <c:v>25000000</c:v>
                </c:pt>
                <c:pt idx="1695">
                  <c:v>25000000</c:v>
                </c:pt>
                <c:pt idx="1696">
                  <c:v>33000000</c:v>
                </c:pt>
                <c:pt idx="1697">
                  <c:v>25100000</c:v>
                </c:pt>
                <c:pt idx="1698">
                  <c:v>25000000</c:v>
                </c:pt>
                <c:pt idx="1699">
                  <c:v>26000000</c:v>
                </c:pt>
                <c:pt idx="1700">
                  <c:v>25000000</c:v>
                </c:pt>
                <c:pt idx="1701">
                  <c:v>22000000</c:v>
                </c:pt>
                <c:pt idx="1702">
                  <c:v>25000000</c:v>
                </c:pt>
                <c:pt idx="1703">
                  <c:v>28000000</c:v>
                </c:pt>
                <c:pt idx="1704">
                  <c:v>80000000</c:v>
                </c:pt>
                <c:pt idx="1705">
                  <c:v>30000000</c:v>
                </c:pt>
                <c:pt idx="1706">
                  <c:v>25000000</c:v>
                </c:pt>
                <c:pt idx="1707">
                  <c:v>25000000</c:v>
                </c:pt>
                <c:pt idx="1708">
                  <c:v>25000000</c:v>
                </c:pt>
                <c:pt idx="1709">
                  <c:v>25000000</c:v>
                </c:pt>
                <c:pt idx="1710">
                  <c:v>25000000</c:v>
                </c:pt>
                <c:pt idx="1711">
                  <c:v>26000000</c:v>
                </c:pt>
                <c:pt idx="1712">
                  <c:v>25000000</c:v>
                </c:pt>
                <c:pt idx="1713">
                  <c:v>45000000</c:v>
                </c:pt>
                <c:pt idx="1714">
                  <c:v>25000000</c:v>
                </c:pt>
                <c:pt idx="1715">
                  <c:v>25000000</c:v>
                </c:pt>
                <c:pt idx="1716">
                  <c:v>25000000</c:v>
                </c:pt>
                <c:pt idx="1717">
                  <c:v>25000000</c:v>
                </c:pt>
                <c:pt idx="1718">
                  <c:v>25000000</c:v>
                </c:pt>
                <c:pt idx="1719">
                  <c:v>25000000</c:v>
                </c:pt>
                <c:pt idx="1720">
                  <c:v>17000000</c:v>
                </c:pt>
                <c:pt idx="1721">
                  <c:v>25000000</c:v>
                </c:pt>
                <c:pt idx="1722">
                  <c:v>25000000</c:v>
                </c:pt>
                <c:pt idx="1723">
                  <c:v>25000000</c:v>
                </c:pt>
                <c:pt idx="1724">
                  <c:v>30000000</c:v>
                </c:pt>
                <c:pt idx="1725">
                  <c:v>26000000</c:v>
                </c:pt>
                <c:pt idx="1726">
                  <c:v>25000000</c:v>
                </c:pt>
                <c:pt idx="1727">
                  <c:v>26000000</c:v>
                </c:pt>
                <c:pt idx="1728">
                  <c:v>25000000</c:v>
                </c:pt>
                <c:pt idx="1729">
                  <c:v>25000000</c:v>
                </c:pt>
                <c:pt idx="1730">
                  <c:v>25000000</c:v>
                </c:pt>
                <c:pt idx="1731">
                  <c:v>23000000</c:v>
                </c:pt>
                <c:pt idx="1732">
                  <c:v>25000000</c:v>
                </c:pt>
                <c:pt idx="1733">
                  <c:v>25000000</c:v>
                </c:pt>
                <c:pt idx="1734">
                  <c:v>25000000</c:v>
                </c:pt>
                <c:pt idx="1735">
                  <c:v>25000000</c:v>
                </c:pt>
                <c:pt idx="1736">
                  <c:v>25000000</c:v>
                </c:pt>
                <c:pt idx="1737">
                  <c:v>25000000</c:v>
                </c:pt>
                <c:pt idx="1738">
                  <c:v>25000000</c:v>
                </c:pt>
                <c:pt idx="1739">
                  <c:v>25000000</c:v>
                </c:pt>
                <c:pt idx="1740">
                  <c:v>25000000</c:v>
                </c:pt>
                <c:pt idx="1741">
                  <c:v>25000000</c:v>
                </c:pt>
                <c:pt idx="1742">
                  <c:v>25000000</c:v>
                </c:pt>
                <c:pt idx="1743">
                  <c:v>20000000</c:v>
                </c:pt>
                <c:pt idx="1744">
                  <c:v>17000000</c:v>
                </c:pt>
                <c:pt idx="1745">
                  <c:v>25000000</c:v>
                </c:pt>
                <c:pt idx="1746">
                  <c:v>30000000</c:v>
                </c:pt>
                <c:pt idx="1747">
                  <c:v>25000000</c:v>
                </c:pt>
                <c:pt idx="1748">
                  <c:v>20000000</c:v>
                </c:pt>
                <c:pt idx="1749">
                  <c:v>25000000</c:v>
                </c:pt>
                <c:pt idx="1750">
                  <c:v>25000000</c:v>
                </c:pt>
                <c:pt idx="1751">
                  <c:v>25500000</c:v>
                </c:pt>
                <c:pt idx="1752">
                  <c:v>30000000</c:v>
                </c:pt>
                <c:pt idx="1753">
                  <c:v>25000000</c:v>
                </c:pt>
                <c:pt idx="1754">
                  <c:v>25000000</c:v>
                </c:pt>
                <c:pt idx="1755">
                  <c:v>25000000</c:v>
                </c:pt>
                <c:pt idx="1756">
                  <c:v>25000000</c:v>
                </c:pt>
                <c:pt idx="1757">
                  <c:v>25000000</c:v>
                </c:pt>
                <c:pt idx="1758">
                  <c:v>25000000</c:v>
                </c:pt>
                <c:pt idx="1759">
                  <c:v>21150000</c:v>
                </c:pt>
                <c:pt idx="1760">
                  <c:v>27000000</c:v>
                </c:pt>
                <c:pt idx="1761">
                  <c:v>25000000</c:v>
                </c:pt>
                <c:pt idx="1762">
                  <c:v>25000000</c:v>
                </c:pt>
                <c:pt idx="1763">
                  <c:v>30000000</c:v>
                </c:pt>
                <c:pt idx="1764">
                  <c:v>23000000</c:v>
                </c:pt>
                <c:pt idx="1765">
                  <c:v>25000000</c:v>
                </c:pt>
                <c:pt idx="1766">
                  <c:v>25000000</c:v>
                </c:pt>
                <c:pt idx="1767">
                  <c:v>25000000</c:v>
                </c:pt>
                <c:pt idx="1768">
                  <c:v>25000000</c:v>
                </c:pt>
                <c:pt idx="1769">
                  <c:v>25000000</c:v>
                </c:pt>
                <c:pt idx="1770">
                  <c:v>25000000</c:v>
                </c:pt>
                <c:pt idx="1771">
                  <c:v>25000000</c:v>
                </c:pt>
                <c:pt idx="1772">
                  <c:v>13000000</c:v>
                </c:pt>
                <c:pt idx="1773">
                  <c:v>26000000</c:v>
                </c:pt>
                <c:pt idx="1774">
                  <c:v>25000000</c:v>
                </c:pt>
                <c:pt idx="1775">
                  <c:v>25000000</c:v>
                </c:pt>
                <c:pt idx="1776">
                  <c:v>16000000</c:v>
                </c:pt>
                <c:pt idx="1777">
                  <c:v>8000000</c:v>
                </c:pt>
                <c:pt idx="1778">
                  <c:v>25000000</c:v>
                </c:pt>
                <c:pt idx="1779">
                  <c:v>25000000</c:v>
                </c:pt>
                <c:pt idx="1780">
                  <c:v>25000000</c:v>
                </c:pt>
                <c:pt idx="1781">
                  <c:v>25000000</c:v>
                </c:pt>
                <c:pt idx="1782">
                  <c:v>25000000</c:v>
                </c:pt>
                <c:pt idx="1783">
                  <c:v>30000000</c:v>
                </c:pt>
                <c:pt idx="1784">
                  <c:v>25000000</c:v>
                </c:pt>
                <c:pt idx="1785">
                  <c:v>25000000</c:v>
                </c:pt>
                <c:pt idx="1786">
                  <c:v>25000000</c:v>
                </c:pt>
                <c:pt idx="1787">
                  <c:v>25000000</c:v>
                </c:pt>
                <c:pt idx="1788">
                  <c:v>26000000</c:v>
                </c:pt>
                <c:pt idx="1789">
                  <c:v>25000000</c:v>
                </c:pt>
                <c:pt idx="1790">
                  <c:v>25000000</c:v>
                </c:pt>
                <c:pt idx="1791">
                  <c:v>28000000</c:v>
                </c:pt>
                <c:pt idx="1792">
                  <c:v>25000000</c:v>
                </c:pt>
                <c:pt idx="1793">
                  <c:v>25000000</c:v>
                </c:pt>
                <c:pt idx="1794">
                  <c:v>25000000</c:v>
                </c:pt>
                <c:pt idx="1795">
                  <c:v>25000000</c:v>
                </c:pt>
                <c:pt idx="1796">
                  <c:v>14000000</c:v>
                </c:pt>
                <c:pt idx="1797">
                  <c:v>25000000</c:v>
                </c:pt>
                <c:pt idx="1798">
                  <c:v>25000000</c:v>
                </c:pt>
                <c:pt idx="1799">
                  <c:v>25000000</c:v>
                </c:pt>
                <c:pt idx="1800">
                  <c:v>17000000</c:v>
                </c:pt>
                <c:pt idx="1801">
                  <c:v>25000000</c:v>
                </c:pt>
                <c:pt idx="1802">
                  <c:v>25000000</c:v>
                </c:pt>
                <c:pt idx="1803">
                  <c:v>25000000</c:v>
                </c:pt>
                <c:pt idx="1804">
                  <c:v>25000000</c:v>
                </c:pt>
                <c:pt idx="1805">
                  <c:v>25000000</c:v>
                </c:pt>
                <c:pt idx="1806">
                  <c:v>15000000</c:v>
                </c:pt>
                <c:pt idx="1807">
                  <c:v>25000000</c:v>
                </c:pt>
                <c:pt idx="1808">
                  <c:v>25000000</c:v>
                </c:pt>
                <c:pt idx="1809">
                  <c:v>25000000</c:v>
                </c:pt>
                <c:pt idx="1810">
                  <c:v>25000000</c:v>
                </c:pt>
                <c:pt idx="1811">
                  <c:v>13500000</c:v>
                </c:pt>
                <c:pt idx="1812">
                  <c:v>20000000</c:v>
                </c:pt>
                <c:pt idx="1813">
                  <c:v>25000000</c:v>
                </c:pt>
                <c:pt idx="1814">
                  <c:v>25000000</c:v>
                </c:pt>
                <c:pt idx="1815">
                  <c:v>25000000</c:v>
                </c:pt>
                <c:pt idx="1816">
                  <c:v>25000000</c:v>
                </c:pt>
                <c:pt idx="1817">
                  <c:v>14000000</c:v>
                </c:pt>
                <c:pt idx="1818">
                  <c:v>25000000</c:v>
                </c:pt>
                <c:pt idx="1819">
                  <c:v>25000000</c:v>
                </c:pt>
                <c:pt idx="1820">
                  <c:v>24000000</c:v>
                </c:pt>
                <c:pt idx="1821">
                  <c:v>24000000</c:v>
                </c:pt>
                <c:pt idx="1822">
                  <c:v>25000000</c:v>
                </c:pt>
                <c:pt idx="1823">
                  <c:v>24000000</c:v>
                </c:pt>
                <c:pt idx="1824">
                  <c:v>24000000</c:v>
                </c:pt>
                <c:pt idx="1825">
                  <c:v>8200000</c:v>
                </c:pt>
                <c:pt idx="1826">
                  <c:v>24000000</c:v>
                </c:pt>
                <c:pt idx="1827">
                  <c:v>24000000</c:v>
                </c:pt>
                <c:pt idx="1828">
                  <c:v>24000000</c:v>
                </c:pt>
                <c:pt idx="1829">
                  <c:v>24000000</c:v>
                </c:pt>
                <c:pt idx="1830">
                  <c:v>24000000</c:v>
                </c:pt>
                <c:pt idx="1831">
                  <c:v>24000000</c:v>
                </c:pt>
                <c:pt idx="1832">
                  <c:v>25000000</c:v>
                </c:pt>
                <c:pt idx="1833">
                  <c:v>24000000</c:v>
                </c:pt>
                <c:pt idx="1834">
                  <c:v>24000000</c:v>
                </c:pt>
                <c:pt idx="1835">
                  <c:v>24000000</c:v>
                </c:pt>
                <c:pt idx="1836">
                  <c:v>24000000</c:v>
                </c:pt>
                <c:pt idx="1837">
                  <c:v>24000000</c:v>
                </c:pt>
                <c:pt idx="1838">
                  <c:v>24000000</c:v>
                </c:pt>
                <c:pt idx="1839">
                  <c:v>24000000</c:v>
                </c:pt>
                <c:pt idx="1840">
                  <c:v>24000000</c:v>
                </c:pt>
                <c:pt idx="1841">
                  <c:v>24000000</c:v>
                </c:pt>
                <c:pt idx="1842">
                  <c:v>23000000</c:v>
                </c:pt>
                <c:pt idx="1843">
                  <c:v>24000000</c:v>
                </c:pt>
                <c:pt idx="1844">
                  <c:v>28000000</c:v>
                </c:pt>
                <c:pt idx="1845">
                  <c:v>24000000</c:v>
                </c:pt>
                <c:pt idx="1846">
                  <c:v>24000000</c:v>
                </c:pt>
                <c:pt idx="1847">
                  <c:v>24000000</c:v>
                </c:pt>
                <c:pt idx="1848">
                  <c:v>23600000</c:v>
                </c:pt>
                <c:pt idx="1849">
                  <c:v>20000000</c:v>
                </c:pt>
                <c:pt idx="1850">
                  <c:v>18000000</c:v>
                </c:pt>
                <c:pt idx="1851">
                  <c:v>19000000</c:v>
                </c:pt>
                <c:pt idx="1852">
                  <c:v>23000000</c:v>
                </c:pt>
                <c:pt idx="1853">
                  <c:v>23000000</c:v>
                </c:pt>
                <c:pt idx="1854">
                  <c:v>12500000</c:v>
                </c:pt>
                <c:pt idx="1855">
                  <c:v>23000000</c:v>
                </c:pt>
                <c:pt idx="1856">
                  <c:v>23000000</c:v>
                </c:pt>
                <c:pt idx="1857">
                  <c:v>23000000</c:v>
                </c:pt>
                <c:pt idx="1858">
                  <c:v>23000000</c:v>
                </c:pt>
                <c:pt idx="1859">
                  <c:v>25000000</c:v>
                </c:pt>
                <c:pt idx="1860">
                  <c:v>23000000</c:v>
                </c:pt>
                <c:pt idx="1861">
                  <c:v>23000000</c:v>
                </c:pt>
                <c:pt idx="1862">
                  <c:v>23000000</c:v>
                </c:pt>
                <c:pt idx="1863">
                  <c:v>23000000</c:v>
                </c:pt>
                <c:pt idx="1864">
                  <c:v>23000000</c:v>
                </c:pt>
                <c:pt idx="1865">
                  <c:v>23000000</c:v>
                </c:pt>
                <c:pt idx="1866">
                  <c:v>23000000</c:v>
                </c:pt>
                <c:pt idx="1867">
                  <c:v>23000000</c:v>
                </c:pt>
                <c:pt idx="1868">
                  <c:v>19430000</c:v>
                </c:pt>
                <c:pt idx="1869">
                  <c:v>23000000</c:v>
                </c:pt>
                <c:pt idx="1870">
                  <c:v>23000000</c:v>
                </c:pt>
                <c:pt idx="1871">
                  <c:v>25000000</c:v>
                </c:pt>
                <c:pt idx="1872">
                  <c:v>22700000</c:v>
                </c:pt>
                <c:pt idx="1873">
                  <c:v>22500000</c:v>
                </c:pt>
                <c:pt idx="1874">
                  <c:v>22000000</c:v>
                </c:pt>
                <c:pt idx="1875">
                  <c:v>23000000</c:v>
                </c:pt>
                <c:pt idx="1876">
                  <c:v>22000000</c:v>
                </c:pt>
                <c:pt idx="1877">
                  <c:v>20000000</c:v>
                </c:pt>
                <c:pt idx="1878">
                  <c:v>22000000</c:v>
                </c:pt>
                <c:pt idx="1879">
                  <c:v>35000000</c:v>
                </c:pt>
                <c:pt idx="1880">
                  <c:v>22000000</c:v>
                </c:pt>
                <c:pt idx="1881">
                  <c:v>22000000</c:v>
                </c:pt>
                <c:pt idx="1882">
                  <c:v>22000000</c:v>
                </c:pt>
                <c:pt idx="1883">
                  <c:v>22000000</c:v>
                </c:pt>
                <c:pt idx="1884">
                  <c:v>22000000</c:v>
                </c:pt>
                <c:pt idx="1885">
                  <c:v>22000000</c:v>
                </c:pt>
                <c:pt idx="1886">
                  <c:v>22000000</c:v>
                </c:pt>
                <c:pt idx="1887">
                  <c:v>21000000</c:v>
                </c:pt>
                <c:pt idx="1888">
                  <c:v>22000000</c:v>
                </c:pt>
                <c:pt idx="1889">
                  <c:v>22000000</c:v>
                </c:pt>
                <c:pt idx="1890">
                  <c:v>26000000</c:v>
                </c:pt>
                <c:pt idx="1891">
                  <c:v>22000000</c:v>
                </c:pt>
                <c:pt idx="1892">
                  <c:v>22000000</c:v>
                </c:pt>
                <c:pt idx="1893">
                  <c:v>22000000</c:v>
                </c:pt>
                <c:pt idx="1894">
                  <c:v>22000000</c:v>
                </c:pt>
                <c:pt idx="1895">
                  <c:v>30000000</c:v>
                </c:pt>
                <c:pt idx="1896">
                  <c:v>22000000</c:v>
                </c:pt>
                <c:pt idx="1897">
                  <c:v>22000000</c:v>
                </c:pt>
                <c:pt idx="1898">
                  <c:v>22000000</c:v>
                </c:pt>
                <c:pt idx="1899">
                  <c:v>22000000</c:v>
                </c:pt>
                <c:pt idx="1900">
                  <c:v>22000000</c:v>
                </c:pt>
                <c:pt idx="1901">
                  <c:v>23500000</c:v>
                </c:pt>
                <c:pt idx="1902">
                  <c:v>22000000</c:v>
                </c:pt>
                <c:pt idx="1903">
                  <c:v>25000000</c:v>
                </c:pt>
                <c:pt idx="1904">
                  <c:v>22000000</c:v>
                </c:pt>
                <c:pt idx="1905">
                  <c:v>25000000</c:v>
                </c:pt>
                <c:pt idx="1906">
                  <c:v>21000000</c:v>
                </c:pt>
                <c:pt idx="1907">
                  <c:v>22000000</c:v>
                </c:pt>
                <c:pt idx="1908">
                  <c:v>2000000</c:v>
                </c:pt>
                <c:pt idx="1909">
                  <c:v>22000000</c:v>
                </c:pt>
                <c:pt idx="1910">
                  <c:v>22000000</c:v>
                </c:pt>
                <c:pt idx="1911">
                  <c:v>22000000</c:v>
                </c:pt>
                <c:pt idx="1912">
                  <c:v>22000000</c:v>
                </c:pt>
                <c:pt idx="1913">
                  <c:v>25000000</c:v>
                </c:pt>
                <c:pt idx="1914">
                  <c:v>21500000</c:v>
                </c:pt>
                <c:pt idx="1915">
                  <c:v>21500000</c:v>
                </c:pt>
                <c:pt idx="1916">
                  <c:v>17000000</c:v>
                </c:pt>
                <c:pt idx="1917">
                  <c:v>21000000</c:v>
                </c:pt>
                <c:pt idx="1918">
                  <c:v>21000000</c:v>
                </c:pt>
                <c:pt idx="1919">
                  <c:v>9000000</c:v>
                </c:pt>
                <c:pt idx="1920">
                  <c:v>17000000</c:v>
                </c:pt>
                <c:pt idx="1921">
                  <c:v>21000000</c:v>
                </c:pt>
                <c:pt idx="1922">
                  <c:v>21000000</c:v>
                </c:pt>
                <c:pt idx="1923">
                  <c:v>21000000</c:v>
                </c:pt>
                <c:pt idx="1924">
                  <c:v>21000000</c:v>
                </c:pt>
                <c:pt idx="1925">
                  <c:v>20000000</c:v>
                </c:pt>
                <c:pt idx="1926">
                  <c:v>21000000</c:v>
                </c:pt>
                <c:pt idx="1927">
                  <c:v>17000000</c:v>
                </c:pt>
                <c:pt idx="1928">
                  <c:v>21000000</c:v>
                </c:pt>
                <c:pt idx="1929">
                  <c:v>21000000</c:v>
                </c:pt>
                <c:pt idx="1930">
                  <c:v>20000000</c:v>
                </c:pt>
                <c:pt idx="1931">
                  <c:v>21000000</c:v>
                </c:pt>
                <c:pt idx="1932">
                  <c:v>21000000</c:v>
                </c:pt>
                <c:pt idx="1933">
                  <c:v>35000000</c:v>
                </c:pt>
                <c:pt idx="1934">
                  <c:v>31000000</c:v>
                </c:pt>
                <c:pt idx="1935">
                  <c:v>18000000</c:v>
                </c:pt>
                <c:pt idx="1936">
                  <c:v>19400870</c:v>
                </c:pt>
                <c:pt idx="1937">
                  <c:v>20000000</c:v>
                </c:pt>
                <c:pt idx="1938">
                  <c:v>28000000</c:v>
                </c:pt>
                <c:pt idx="1939">
                  <c:v>33000000</c:v>
                </c:pt>
                <c:pt idx="1940">
                  <c:v>19000000</c:v>
                </c:pt>
                <c:pt idx="1941">
                  <c:v>20000000</c:v>
                </c:pt>
                <c:pt idx="1942">
                  <c:v>20000000</c:v>
                </c:pt>
                <c:pt idx="1943">
                  <c:v>20000000</c:v>
                </c:pt>
                <c:pt idx="1944">
                  <c:v>20000000</c:v>
                </c:pt>
                <c:pt idx="1945">
                  <c:v>20000000</c:v>
                </c:pt>
                <c:pt idx="1946">
                  <c:v>32000000</c:v>
                </c:pt>
                <c:pt idx="1947">
                  <c:v>20000000</c:v>
                </c:pt>
                <c:pt idx="1948">
                  <c:v>35000000</c:v>
                </c:pt>
                <c:pt idx="1949">
                  <c:v>18000000</c:v>
                </c:pt>
                <c:pt idx="1950">
                  <c:v>37000000</c:v>
                </c:pt>
                <c:pt idx="1951">
                  <c:v>20000000</c:v>
                </c:pt>
                <c:pt idx="1952">
                  <c:v>20000000</c:v>
                </c:pt>
                <c:pt idx="1953">
                  <c:v>20000000</c:v>
                </c:pt>
                <c:pt idx="1954">
                  <c:v>20000000</c:v>
                </c:pt>
                <c:pt idx="1955">
                  <c:v>20000000</c:v>
                </c:pt>
                <c:pt idx="1956">
                  <c:v>20000000</c:v>
                </c:pt>
                <c:pt idx="1957">
                  <c:v>20000000</c:v>
                </c:pt>
                <c:pt idx="1958">
                  <c:v>20000000</c:v>
                </c:pt>
                <c:pt idx="1959">
                  <c:v>20000000</c:v>
                </c:pt>
                <c:pt idx="1960">
                  <c:v>20000000</c:v>
                </c:pt>
                <c:pt idx="1961">
                  <c:v>20000000</c:v>
                </c:pt>
                <c:pt idx="1962">
                  <c:v>20000000</c:v>
                </c:pt>
                <c:pt idx="1963">
                  <c:v>20000000</c:v>
                </c:pt>
                <c:pt idx="1964">
                  <c:v>20000000</c:v>
                </c:pt>
                <c:pt idx="1965">
                  <c:v>20000000</c:v>
                </c:pt>
                <c:pt idx="1966">
                  <c:v>20000000</c:v>
                </c:pt>
                <c:pt idx="1967">
                  <c:v>30000000</c:v>
                </c:pt>
                <c:pt idx="1968">
                  <c:v>20000000</c:v>
                </c:pt>
                <c:pt idx="1969">
                  <c:v>20000000</c:v>
                </c:pt>
                <c:pt idx="1970">
                  <c:v>20000000</c:v>
                </c:pt>
                <c:pt idx="1971">
                  <c:v>22000000</c:v>
                </c:pt>
                <c:pt idx="1972">
                  <c:v>20000000</c:v>
                </c:pt>
                <c:pt idx="1973">
                  <c:v>20000000</c:v>
                </c:pt>
                <c:pt idx="1974">
                  <c:v>20000000</c:v>
                </c:pt>
                <c:pt idx="1975">
                  <c:v>20000000</c:v>
                </c:pt>
                <c:pt idx="1976">
                  <c:v>20000000</c:v>
                </c:pt>
                <c:pt idx="1977">
                  <c:v>20000000</c:v>
                </c:pt>
                <c:pt idx="1978">
                  <c:v>20000000</c:v>
                </c:pt>
                <c:pt idx="1979">
                  <c:v>25000000</c:v>
                </c:pt>
                <c:pt idx="1980">
                  <c:v>19800000</c:v>
                </c:pt>
                <c:pt idx="1981">
                  <c:v>20000000</c:v>
                </c:pt>
                <c:pt idx="1982">
                  <c:v>30000000</c:v>
                </c:pt>
                <c:pt idx="1983">
                  <c:v>11000000</c:v>
                </c:pt>
                <c:pt idx="1984">
                  <c:v>20000000</c:v>
                </c:pt>
                <c:pt idx="1985">
                  <c:v>20000000</c:v>
                </c:pt>
                <c:pt idx="1986">
                  <c:v>20000000</c:v>
                </c:pt>
                <c:pt idx="1987">
                  <c:v>20000000</c:v>
                </c:pt>
                <c:pt idx="1988">
                  <c:v>35000000</c:v>
                </c:pt>
                <c:pt idx="1989">
                  <c:v>19000000</c:v>
                </c:pt>
                <c:pt idx="1990">
                  <c:v>20000000</c:v>
                </c:pt>
                <c:pt idx="1991">
                  <c:v>20000000</c:v>
                </c:pt>
                <c:pt idx="1992">
                  <c:v>20000000</c:v>
                </c:pt>
                <c:pt idx="1993">
                  <c:v>27000000</c:v>
                </c:pt>
                <c:pt idx="1994">
                  <c:v>20000000</c:v>
                </c:pt>
                <c:pt idx="1995">
                  <c:v>20000000</c:v>
                </c:pt>
                <c:pt idx="1996">
                  <c:v>20000000</c:v>
                </c:pt>
                <c:pt idx="1997">
                  <c:v>20000000</c:v>
                </c:pt>
                <c:pt idx="1998">
                  <c:v>20000000</c:v>
                </c:pt>
                <c:pt idx="1999">
                  <c:v>20000000</c:v>
                </c:pt>
                <c:pt idx="2000">
                  <c:v>20000000</c:v>
                </c:pt>
                <c:pt idx="2001">
                  <c:v>20000000</c:v>
                </c:pt>
                <c:pt idx="2002">
                  <c:v>20000000</c:v>
                </c:pt>
                <c:pt idx="2003">
                  <c:v>20000000</c:v>
                </c:pt>
                <c:pt idx="2004">
                  <c:v>9000000</c:v>
                </c:pt>
                <c:pt idx="2005">
                  <c:v>20000000</c:v>
                </c:pt>
                <c:pt idx="2006">
                  <c:v>20000000</c:v>
                </c:pt>
                <c:pt idx="2007">
                  <c:v>20000000</c:v>
                </c:pt>
                <c:pt idx="2008">
                  <c:v>40000000</c:v>
                </c:pt>
                <c:pt idx="2009">
                  <c:v>20000000</c:v>
                </c:pt>
                <c:pt idx="2010">
                  <c:v>20000000</c:v>
                </c:pt>
                <c:pt idx="2011">
                  <c:v>20000000</c:v>
                </c:pt>
                <c:pt idx="2012">
                  <c:v>806947</c:v>
                </c:pt>
                <c:pt idx="2013">
                  <c:v>40000000</c:v>
                </c:pt>
                <c:pt idx="2014">
                  <c:v>20000000</c:v>
                </c:pt>
                <c:pt idx="2015">
                  <c:v>20000000</c:v>
                </c:pt>
                <c:pt idx="2016">
                  <c:v>20000000</c:v>
                </c:pt>
                <c:pt idx="2017">
                  <c:v>30000000</c:v>
                </c:pt>
                <c:pt idx="2018">
                  <c:v>20000000</c:v>
                </c:pt>
                <c:pt idx="2019">
                  <c:v>15000000</c:v>
                </c:pt>
                <c:pt idx="2020">
                  <c:v>20000000</c:v>
                </c:pt>
                <c:pt idx="2021">
                  <c:v>20000000</c:v>
                </c:pt>
                <c:pt idx="2022">
                  <c:v>19000000</c:v>
                </c:pt>
                <c:pt idx="2023">
                  <c:v>20000000</c:v>
                </c:pt>
                <c:pt idx="2024">
                  <c:v>20000000</c:v>
                </c:pt>
                <c:pt idx="2025">
                  <c:v>20000000</c:v>
                </c:pt>
                <c:pt idx="2026">
                  <c:v>35000000</c:v>
                </c:pt>
                <c:pt idx="2027">
                  <c:v>20000000</c:v>
                </c:pt>
                <c:pt idx="2028">
                  <c:v>20000000</c:v>
                </c:pt>
                <c:pt idx="2029">
                  <c:v>20000000</c:v>
                </c:pt>
                <c:pt idx="2030">
                  <c:v>20000000</c:v>
                </c:pt>
                <c:pt idx="2031">
                  <c:v>20000000</c:v>
                </c:pt>
                <c:pt idx="2032">
                  <c:v>20000000</c:v>
                </c:pt>
                <c:pt idx="2033">
                  <c:v>25000000</c:v>
                </c:pt>
                <c:pt idx="2034">
                  <c:v>27000000</c:v>
                </c:pt>
                <c:pt idx="2035">
                  <c:v>20000000</c:v>
                </c:pt>
                <c:pt idx="2036">
                  <c:v>20000000</c:v>
                </c:pt>
                <c:pt idx="2037">
                  <c:v>20000000</c:v>
                </c:pt>
                <c:pt idx="2038">
                  <c:v>20000000</c:v>
                </c:pt>
                <c:pt idx="2039">
                  <c:v>20000000</c:v>
                </c:pt>
                <c:pt idx="2040">
                  <c:v>20000000</c:v>
                </c:pt>
                <c:pt idx="2041">
                  <c:v>30000000</c:v>
                </c:pt>
                <c:pt idx="2042">
                  <c:v>22000000</c:v>
                </c:pt>
                <c:pt idx="2043">
                  <c:v>20000000</c:v>
                </c:pt>
                <c:pt idx="2044">
                  <c:v>20000000</c:v>
                </c:pt>
                <c:pt idx="2045">
                  <c:v>22000000</c:v>
                </c:pt>
                <c:pt idx="2046">
                  <c:v>20000000</c:v>
                </c:pt>
                <c:pt idx="2047">
                  <c:v>20000000</c:v>
                </c:pt>
                <c:pt idx="2048">
                  <c:v>20000000</c:v>
                </c:pt>
                <c:pt idx="2049">
                  <c:v>20000000</c:v>
                </c:pt>
                <c:pt idx="2050">
                  <c:v>20000000</c:v>
                </c:pt>
                <c:pt idx="2051">
                  <c:v>20000000</c:v>
                </c:pt>
                <c:pt idx="2052">
                  <c:v>20000000</c:v>
                </c:pt>
                <c:pt idx="2053">
                  <c:v>20000000</c:v>
                </c:pt>
                <c:pt idx="2054">
                  <c:v>20000000</c:v>
                </c:pt>
                <c:pt idx="2055">
                  <c:v>20000000</c:v>
                </c:pt>
                <c:pt idx="2056">
                  <c:v>20000000</c:v>
                </c:pt>
                <c:pt idx="2057">
                  <c:v>21000000</c:v>
                </c:pt>
                <c:pt idx="2058">
                  <c:v>20000000</c:v>
                </c:pt>
                <c:pt idx="2059">
                  <c:v>33000000</c:v>
                </c:pt>
                <c:pt idx="2060">
                  <c:v>20000000</c:v>
                </c:pt>
                <c:pt idx="2061">
                  <c:v>20000000</c:v>
                </c:pt>
                <c:pt idx="2062">
                  <c:v>20000000</c:v>
                </c:pt>
                <c:pt idx="2063">
                  <c:v>20000000</c:v>
                </c:pt>
                <c:pt idx="2064">
                  <c:v>20000000</c:v>
                </c:pt>
                <c:pt idx="2065">
                  <c:v>12000000</c:v>
                </c:pt>
                <c:pt idx="2066">
                  <c:v>20000000</c:v>
                </c:pt>
                <c:pt idx="2067">
                  <c:v>22000000</c:v>
                </c:pt>
                <c:pt idx="2068">
                  <c:v>20000000</c:v>
                </c:pt>
                <c:pt idx="2069">
                  <c:v>10000000</c:v>
                </c:pt>
                <c:pt idx="2070">
                  <c:v>20000000</c:v>
                </c:pt>
                <c:pt idx="2071">
                  <c:v>15000000</c:v>
                </c:pt>
                <c:pt idx="2072">
                  <c:v>8700000</c:v>
                </c:pt>
                <c:pt idx="2073">
                  <c:v>20000000</c:v>
                </c:pt>
                <c:pt idx="2074">
                  <c:v>20000000</c:v>
                </c:pt>
                <c:pt idx="2075">
                  <c:v>20000000</c:v>
                </c:pt>
                <c:pt idx="2076">
                  <c:v>20000000</c:v>
                </c:pt>
                <c:pt idx="2077">
                  <c:v>20000000</c:v>
                </c:pt>
                <c:pt idx="2078">
                  <c:v>20000000</c:v>
                </c:pt>
                <c:pt idx="2079">
                  <c:v>20000000</c:v>
                </c:pt>
                <c:pt idx="2080">
                  <c:v>20000000</c:v>
                </c:pt>
                <c:pt idx="2081">
                  <c:v>20000000</c:v>
                </c:pt>
                <c:pt idx="2082">
                  <c:v>21000000</c:v>
                </c:pt>
                <c:pt idx="2083">
                  <c:v>2400000000</c:v>
                </c:pt>
                <c:pt idx="2084">
                  <c:v>20000000</c:v>
                </c:pt>
                <c:pt idx="2085">
                  <c:v>20000000</c:v>
                </c:pt>
                <c:pt idx="2086">
                  <c:v>2000000</c:v>
                </c:pt>
                <c:pt idx="2087">
                  <c:v>20000000</c:v>
                </c:pt>
                <c:pt idx="2088">
                  <c:v>20000000</c:v>
                </c:pt>
                <c:pt idx="2089">
                  <c:v>20000000</c:v>
                </c:pt>
                <c:pt idx="2090">
                  <c:v>40000000</c:v>
                </c:pt>
                <c:pt idx="2091">
                  <c:v>24000000</c:v>
                </c:pt>
                <c:pt idx="2092">
                  <c:v>20000000</c:v>
                </c:pt>
                <c:pt idx="2093">
                  <c:v>10000000</c:v>
                </c:pt>
                <c:pt idx="2094">
                  <c:v>2127519898</c:v>
                </c:pt>
                <c:pt idx="2095">
                  <c:v>20000000</c:v>
                </c:pt>
                <c:pt idx="2096">
                  <c:v>20000000</c:v>
                </c:pt>
                <c:pt idx="2097">
                  <c:v>140000000</c:v>
                </c:pt>
                <c:pt idx="2098">
                  <c:v>20000000</c:v>
                </c:pt>
                <c:pt idx="2099">
                  <c:v>22000000</c:v>
                </c:pt>
                <c:pt idx="2100">
                  <c:v>20000000</c:v>
                </c:pt>
                <c:pt idx="2101">
                  <c:v>19400000</c:v>
                </c:pt>
                <c:pt idx="2102">
                  <c:v>20000000</c:v>
                </c:pt>
                <c:pt idx="2103">
                  <c:v>22000000</c:v>
                </c:pt>
                <c:pt idx="2104">
                  <c:v>20000000</c:v>
                </c:pt>
                <c:pt idx="2105">
                  <c:v>20000000</c:v>
                </c:pt>
                <c:pt idx="2106">
                  <c:v>15000000</c:v>
                </c:pt>
                <c:pt idx="2107">
                  <c:v>20000000</c:v>
                </c:pt>
                <c:pt idx="2108">
                  <c:v>19000000</c:v>
                </c:pt>
                <c:pt idx="2109">
                  <c:v>19000000</c:v>
                </c:pt>
                <c:pt idx="2110">
                  <c:v>13000000</c:v>
                </c:pt>
                <c:pt idx="2111">
                  <c:v>19000000</c:v>
                </c:pt>
                <c:pt idx="2112">
                  <c:v>18000000</c:v>
                </c:pt>
                <c:pt idx="2113">
                  <c:v>15000000</c:v>
                </c:pt>
                <c:pt idx="2114">
                  <c:v>19000000</c:v>
                </c:pt>
                <c:pt idx="2115">
                  <c:v>20000000</c:v>
                </c:pt>
                <c:pt idx="2116">
                  <c:v>19000000</c:v>
                </c:pt>
                <c:pt idx="2117">
                  <c:v>25000000</c:v>
                </c:pt>
                <c:pt idx="2118">
                  <c:v>19000000</c:v>
                </c:pt>
                <c:pt idx="2119">
                  <c:v>19000000</c:v>
                </c:pt>
                <c:pt idx="2120">
                  <c:v>19000000</c:v>
                </c:pt>
                <c:pt idx="2121">
                  <c:v>23000000</c:v>
                </c:pt>
                <c:pt idx="2122">
                  <c:v>19000000</c:v>
                </c:pt>
                <c:pt idx="2123">
                  <c:v>19000000</c:v>
                </c:pt>
                <c:pt idx="2124">
                  <c:v>19000000</c:v>
                </c:pt>
                <c:pt idx="2125">
                  <c:v>19000000</c:v>
                </c:pt>
                <c:pt idx="2126">
                  <c:v>15000000</c:v>
                </c:pt>
                <c:pt idx="2127">
                  <c:v>18500000</c:v>
                </c:pt>
                <c:pt idx="2128">
                  <c:v>18500000</c:v>
                </c:pt>
                <c:pt idx="2129">
                  <c:v>18000000</c:v>
                </c:pt>
                <c:pt idx="2130">
                  <c:v>18000000</c:v>
                </c:pt>
                <c:pt idx="2131">
                  <c:v>18000000</c:v>
                </c:pt>
                <c:pt idx="2132">
                  <c:v>18000000</c:v>
                </c:pt>
                <c:pt idx="2133">
                  <c:v>18000000</c:v>
                </c:pt>
                <c:pt idx="2134">
                  <c:v>17000000</c:v>
                </c:pt>
                <c:pt idx="2135">
                  <c:v>20000000</c:v>
                </c:pt>
                <c:pt idx="2136">
                  <c:v>17000000</c:v>
                </c:pt>
                <c:pt idx="2137">
                  <c:v>16000000</c:v>
                </c:pt>
                <c:pt idx="2138">
                  <c:v>17000000</c:v>
                </c:pt>
                <c:pt idx="2139">
                  <c:v>18000000</c:v>
                </c:pt>
                <c:pt idx="2140">
                  <c:v>18000000</c:v>
                </c:pt>
                <c:pt idx="2141">
                  <c:v>17000000</c:v>
                </c:pt>
                <c:pt idx="2142">
                  <c:v>18000000</c:v>
                </c:pt>
                <c:pt idx="2143">
                  <c:v>21000000</c:v>
                </c:pt>
                <c:pt idx="2144">
                  <c:v>15000000</c:v>
                </c:pt>
                <c:pt idx="2145">
                  <c:v>18000000</c:v>
                </c:pt>
                <c:pt idx="2146">
                  <c:v>20000000</c:v>
                </c:pt>
                <c:pt idx="2147">
                  <c:v>17000000</c:v>
                </c:pt>
                <c:pt idx="2148">
                  <c:v>18000000</c:v>
                </c:pt>
                <c:pt idx="2149">
                  <c:v>19800000</c:v>
                </c:pt>
                <c:pt idx="2150">
                  <c:v>18000000</c:v>
                </c:pt>
                <c:pt idx="2151">
                  <c:v>18000000</c:v>
                </c:pt>
                <c:pt idx="2152">
                  <c:v>15000000</c:v>
                </c:pt>
                <c:pt idx="2153">
                  <c:v>25000000</c:v>
                </c:pt>
                <c:pt idx="2154">
                  <c:v>18000000</c:v>
                </c:pt>
                <c:pt idx="2155">
                  <c:v>1000000</c:v>
                </c:pt>
                <c:pt idx="2156">
                  <c:v>18000000</c:v>
                </c:pt>
                <c:pt idx="2157">
                  <c:v>18000000</c:v>
                </c:pt>
                <c:pt idx="2158">
                  <c:v>18000000</c:v>
                </c:pt>
                <c:pt idx="2159">
                  <c:v>18000000</c:v>
                </c:pt>
                <c:pt idx="2160">
                  <c:v>18000000</c:v>
                </c:pt>
                <c:pt idx="2161">
                  <c:v>18000000</c:v>
                </c:pt>
                <c:pt idx="2162">
                  <c:v>18000000</c:v>
                </c:pt>
                <c:pt idx="2163">
                  <c:v>18000000</c:v>
                </c:pt>
                <c:pt idx="2164">
                  <c:v>18000000</c:v>
                </c:pt>
                <c:pt idx="2165">
                  <c:v>18000000</c:v>
                </c:pt>
                <c:pt idx="2166">
                  <c:v>17000000</c:v>
                </c:pt>
                <c:pt idx="2167">
                  <c:v>18000000</c:v>
                </c:pt>
                <c:pt idx="2168">
                  <c:v>18000000</c:v>
                </c:pt>
                <c:pt idx="2169">
                  <c:v>30000000</c:v>
                </c:pt>
                <c:pt idx="2170">
                  <c:v>18000000</c:v>
                </c:pt>
                <c:pt idx="2171">
                  <c:v>18000000</c:v>
                </c:pt>
                <c:pt idx="2172">
                  <c:v>18000000</c:v>
                </c:pt>
                <c:pt idx="2173">
                  <c:v>18000000</c:v>
                </c:pt>
                <c:pt idx="2174">
                  <c:v>18000000</c:v>
                </c:pt>
                <c:pt idx="2175">
                  <c:v>18000000</c:v>
                </c:pt>
                <c:pt idx="2176">
                  <c:v>18000000</c:v>
                </c:pt>
                <c:pt idx="2177">
                  <c:v>18000000</c:v>
                </c:pt>
                <c:pt idx="2178">
                  <c:v>18000000</c:v>
                </c:pt>
                <c:pt idx="2179">
                  <c:v>17000000</c:v>
                </c:pt>
                <c:pt idx="2180">
                  <c:v>18000000</c:v>
                </c:pt>
                <c:pt idx="2181">
                  <c:v>13000000</c:v>
                </c:pt>
                <c:pt idx="2182">
                  <c:v>18000000</c:v>
                </c:pt>
                <c:pt idx="2183">
                  <c:v>18000000</c:v>
                </c:pt>
                <c:pt idx="2184">
                  <c:v>20000000</c:v>
                </c:pt>
                <c:pt idx="2185">
                  <c:v>18000000</c:v>
                </c:pt>
                <c:pt idx="2186">
                  <c:v>20000000</c:v>
                </c:pt>
                <c:pt idx="2187">
                  <c:v>18000000</c:v>
                </c:pt>
                <c:pt idx="2188">
                  <c:v>18000000</c:v>
                </c:pt>
                <c:pt idx="2189">
                  <c:v>18000000</c:v>
                </c:pt>
                <c:pt idx="2190">
                  <c:v>18000000</c:v>
                </c:pt>
                <c:pt idx="2191">
                  <c:v>12000000</c:v>
                </c:pt>
                <c:pt idx="2192">
                  <c:v>2700000</c:v>
                </c:pt>
                <c:pt idx="2193">
                  <c:v>18000000</c:v>
                </c:pt>
                <c:pt idx="2194">
                  <c:v>11350000</c:v>
                </c:pt>
                <c:pt idx="2195">
                  <c:v>14000000</c:v>
                </c:pt>
                <c:pt idx="2196">
                  <c:v>20000000</c:v>
                </c:pt>
                <c:pt idx="2197">
                  <c:v>23000000</c:v>
                </c:pt>
                <c:pt idx="2198">
                  <c:v>17500000</c:v>
                </c:pt>
                <c:pt idx="2199">
                  <c:v>17500000</c:v>
                </c:pt>
                <c:pt idx="2200">
                  <c:v>24000000</c:v>
                </c:pt>
                <c:pt idx="2201">
                  <c:v>17500000</c:v>
                </c:pt>
                <c:pt idx="2202">
                  <c:v>17000000</c:v>
                </c:pt>
                <c:pt idx="2203">
                  <c:v>18500000</c:v>
                </c:pt>
                <c:pt idx="2204">
                  <c:v>17000000</c:v>
                </c:pt>
                <c:pt idx="2205">
                  <c:v>17000000</c:v>
                </c:pt>
                <c:pt idx="2206">
                  <c:v>17000000</c:v>
                </c:pt>
                <c:pt idx="2207">
                  <c:v>12000000</c:v>
                </c:pt>
                <c:pt idx="2208">
                  <c:v>17500000</c:v>
                </c:pt>
                <c:pt idx="2209">
                  <c:v>300000</c:v>
                </c:pt>
                <c:pt idx="2210">
                  <c:v>17000000</c:v>
                </c:pt>
                <c:pt idx="2211">
                  <c:v>17000000</c:v>
                </c:pt>
                <c:pt idx="2212">
                  <c:v>17000000</c:v>
                </c:pt>
                <c:pt idx="2213">
                  <c:v>20000000</c:v>
                </c:pt>
                <c:pt idx="2214">
                  <c:v>17000000</c:v>
                </c:pt>
                <c:pt idx="2215">
                  <c:v>17000000</c:v>
                </c:pt>
                <c:pt idx="2216">
                  <c:v>15000000</c:v>
                </c:pt>
                <c:pt idx="2217">
                  <c:v>17000000</c:v>
                </c:pt>
                <c:pt idx="2218">
                  <c:v>17000000</c:v>
                </c:pt>
                <c:pt idx="2219">
                  <c:v>17000000</c:v>
                </c:pt>
                <c:pt idx="2220">
                  <c:v>34000000</c:v>
                </c:pt>
                <c:pt idx="2221">
                  <c:v>17000000</c:v>
                </c:pt>
                <c:pt idx="2222">
                  <c:v>17000000</c:v>
                </c:pt>
                <c:pt idx="2223">
                  <c:v>4000000</c:v>
                </c:pt>
                <c:pt idx="2224">
                  <c:v>17000000</c:v>
                </c:pt>
                <c:pt idx="2225">
                  <c:v>17000000</c:v>
                </c:pt>
                <c:pt idx="2226">
                  <c:v>17000000</c:v>
                </c:pt>
                <c:pt idx="2227">
                  <c:v>17000000</c:v>
                </c:pt>
                <c:pt idx="2228">
                  <c:v>19000000</c:v>
                </c:pt>
                <c:pt idx="2229">
                  <c:v>17000000</c:v>
                </c:pt>
                <c:pt idx="2230">
                  <c:v>17000000</c:v>
                </c:pt>
                <c:pt idx="2231">
                  <c:v>17000000</c:v>
                </c:pt>
                <c:pt idx="2232">
                  <c:v>16000000</c:v>
                </c:pt>
                <c:pt idx="2233">
                  <c:v>17000000</c:v>
                </c:pt>
                <c:pt idx="2234">
                  <c:v>17000000</c:v>
                </c:pt>
                <c:pt idx="2235">
                  <c:v>17000000</c:v>
                </c:pt>
                <c:pt idx="2236">
                  <c:v>17000000</c:v>
                </c:pt>
                <c:pt idx="2237">
                  <c:v>17000000</c:v>
                </c:pt>
                <c:pt idx="2238">
                  <c:v>16500000</c:v>
                </c:pt>
                <c:pt idx="2239">
                  <c:v>16800000</c:v>
                </c:pt>
                <c:pt idx="2240">
                  <c:v>15000000</c:v>
                </c:pt>
                <c:pt idx="2241">
                  <c:v>16500000</c:v>
                </c:pt>
                <c:pt idx="2242">
                  <c:v>16500000</c:v>
                </c:pt>
                <c:pt idx="2243">
                  <c:v>16500000</c:v>
                </c:pt>
                <c:pt idx="2244">
                  <c:v>15000000</c:v>
                </c:pt>
                <c:pt idx="2245">
                  <c:v>16400000</c:v>
                </c:pt>
                <c:pt idx="2246">
                  <c:v>16000000</c:v>
                </c:pt>
                <c:pt idx="2247">
                  <c:v>16000000</c:v>
                </c:pt>
                <c:pt idx="2248">
                  <c:v>16000000</c:v>
                </c:pt>
                <c:pt idx="2249">
                  <c:v>15600000</c:v>
                </c:pt>
                <c:pt idx="2250">
                  <c:v>16000000</c:v>
                </c:pt>
                <c:pt idx="2251">
                  <c:v>15000000</c:v>
                </c:pt>
                <c:pt idx="2252">
                  <c:v>16000000</c:v>
                </c:pt>
                <c:pt idx="2253">
                  <c:v>16000000</c:v>
                </c:pt>
                <c:pt idx="2254">
                  <c:v>16000000</c:v>
                </c:pt>
                <c:pt idx="2255">
                  <c:v>18500000</c:v>
                </c:pt>
                <c:pt idx="2256">
                  <c:v>16000000</c:v>
                </c:pt>
                <c:pt idx="2257">
                  <c:v>13500000</c:v>
                </c:pt>
                <c:pt idx="2258">
                  <c:v>35000000</c:v>
                </c:pt>
                <c:pt idx="2259">
                  <c:v>16000000</c:v>
                </c:pt>
                <c:pt idx="2260">
                  <c:v>16000000</c:v>
                </c:pt>
                <c:pt idx="2261">
                  <c:v>15000000</c:v>
                </c:pt>
                <c:pt idx="2262">
                  <c:v>8000000</c:v>
                </c:pt>
                <c:pt idx="2263">
                  <c:v>16500000</c:v>
                </c:pt>
                <c:pt idx="2264">
                  <c:v>15500000</c:v>
                </c:pt>
                <c:pt idx="2265">
                  <c:v>16000000</c:v>
                </c:pt>
                <c:pt idx="2266">
                  <c:v>16000000</c:v>
                </c:pt>
                <c:pt idx="2267">
                  <c:v>16000000</c:v>
                </c:pt>
                <c:pt idx="2268">
                  <c:v>16000000</c:v>
                </c:pt>
                <c:pt idx="2269">
                  <c:v>16000000</c:v>
                </c:pt>
                <c:pt idx="2270">
                  <c:v>16000000</c:v>
                </c:pt>
                <c:pt idx="2271">
                  <c:v>16000000</c:v>
                </c:pt>
                <c:pt idx="2272">
                  <c:v>20000000</c:v>
                </c:pt>
                <c:pt idx="2273">
                  <c:v>26000000</c:v>
                </c:pt>
                <c:pt idx="2274">
                  <c:v>16000000</c:v>
                </c:pt>
                <c:pt idx="2275">
                  <c:v>15000000</c:v>
                </c:pt>
                <c:pt idx="2276">
                  <c:v>16000000</c:v>
                </c:pt>
                <c:pt idx="2277">
                  <c:v>15000000</c:v>
                </c:pt>
                <c:pt idx="2278">
                  <c:v>16000000</c:v>
                </c:pt>
                <c:pt idx="2279">
                  <c:v>16000000</c:v>
                </c:pt>
                <c:pt idx="2280">
                  <c:v>16000000</c:v>
                </c:pt>
                <c:pt idx="2281">
                  <c:v>16000000</c:v>
                </c:pt>
                <c:pt idx="2282">
                  <c:v>16000000</c:v>
                </c:pt>
                <c:pt idx="2283">
                  <c:v>20000000</c:v>
                </c:pt>
                <c:pt idx="2284">
                  <c:v>16000000</c:v>
                </c:pt>
                <c:pt idx="2285">
                  <c:v>15000000</c:v>
                </c:pt>
                <c:pt idx="2286">
                  <c:v>13000000</c:v>
                </c:pt>
                <c:pt idx="2287">
                  <c:v>16000000</c:v>
                </c:pt>
                <c:pt idx="2288">
                  <c:v>16000000</c:v>
                </c:pt>
                <c:pt idx="2289">
                  <c:v>15600000</c:v>
                </c:pt>
                <c:pt idx="2290">
                  <c:v>15500000</c:v>
                </c:pt>
                <c:pt idx="2291">
                  <c:v>15300000</c:v>
                </c:pt>
                <c:pt idx="2292">
                  <c:v>15500000</c:v>
                </c:pt>
                <c:pt idx="2293">
                  <c:v>14000000</c:v>
                </c:pt>
                <c:pt idx="2294">
                  <c:v>18000000</c:v>
                </c:pt>
                <c:pt idx="2295">
                  <c:v>11000000</c:v>
                </c:pt>
                <c:pt idx="2296">
                  <c:v>22000000</c:v>
                </c:pt>
                <c:pt idx="2297">
                  <c:v>15000000</c:v>
                </c:pt>
                <c:pt idx="2298">
                  <c:v>15000000</c:v>
                </c:pt>
                <c:pt idx="2299">
                  <c:v>15000000</c:v>
                </c:pt>
                <c:pt idx="2300">
                  <c:v>15000000</c:v>
                </c:pt>
                <c:pt idx="2301">
                  <c:v>15500000</c:v>
                </c:pt>
                <c:pt idx="2302">
                  <c:v>15000000</c:v>
                </c:pt>
                <c:pt idx="2303">
                  <c:v>14000000</c:v>
                </c:pt>
                <c:pt idx="2304">
                  <c:v>10000000</c:v>
                </c:pt>
                <c:pt idx="2305">
                  <c:v>15000000</c:v>
                </c:pt>
                <c:pt idx="2306">
                  <c:v>20000000</c:v>
                </c:pt>
                <c:pt idx="2307">
                  <c:v>15000000</c:v>
                </c:pt>
                <c:pt idx="2308">
                  <c:v>15000000</c:v>
                </c:pt>
                <c:pt idx="2309">
                  <c:v>9800000</c:v>
                </c:pt>
                <c:pt idx="2310">
                  <c:v>15000000</c:v>
                </c:pt>
                <c:pt idx="2311">
                  <c:v>15000000</c:v>
                </c:pt>
                <c:pt idx="2312">
                  <c:v>15000000</c:v>
                </c:pt>
                <c:pt idx="2313">
                  <c:v>17000000</c:v>
                </c:pt>
                <c:pt idx="2314">
                  <c:v>15000000</c:v>
                </c:pt>
                <c:pt idx="2315">
                  <c:v>15000000</c:v>
                </c:pt>
                <c:pt idx="2316">
                  <c:v>15000000</c:v>
                </c:pt>
                <c:pt idx="2317">
                  <c:v>17000000</c:v>
                </c:pt>
                <c:pt idx="2318">
                  <c:v>15000000</c:v>
                </c:pt>
                <c:pt idx="2319">
                  <c:v>15000000</c:v>
                </c:pt>
                <c:pt idx="2320">
                  <c:v>15000000</c:v>
                </c:pt>
                <c:pt idx="2321">
                  <c:v>10000000</c:v>
                </c:pt>
                <c:pt idx="2322">
                  <c:v>16000000</c:v>
                </c:pt>
                <c:pt idx="2323">
                  <c:v>7000000</c:v>
                </c:pt>
                <c:pt idx="2324">
                  <c:v>15000000</c:v>
                </c:pt>
                <c:pt idx="2325">
                  <c:v>15000000</c:v>
                </c:pt>
                <c:pt idx="2326">
                  <c:v>15000000</c:v>
                </c:pt>
                <c:pt idx="2327">
                  <c:v>15000000</c:v>
                </c:pt>
                <c:pt idx="2328">
                  <c:v>15000000</c:v>
                </c:pt>
                <c:pt idx="2329">
                  <c:v>15000000</c:v>
                </c:pt>
                <c:pt idx="2330">
                  <c:v>15000000</c:v>
                </c:pt>
                <c:pt idx="2331">
                  <c:v>15000000</c:v>
                </c:pt>
                <c:pt idx="2332">
                  <c:v>15000000</c:v>
                </c:pt>
                <c:pt idx="2333">
                  <c:v>16000000</c:v>
                </c:pt>
                <c:pt idx="2334">
                  <c:v>15000000</c:v>
                </c:pt>
                <c:pt idx="2335">
                  <c:v>15000000</c:v>
                </c:pt>
                <c:pt idx="2336">
                  <c:v>15000000</c:v>
                </c:pt>
                <c:pt idx="2337">
                  <c:v>15000000</c:v>
                </c:pt>
                <c:pt idx="2338">
                  <c:v>15000000</c:v>
                </c:pt>
                <c:pt idx="2339">
                  <c:v>15000000</c:v>
                </c:pt>
                <c:pt idx="2340">
                  <c:v>14000000</c:v>
                </c:pt>
                <c:pt idx="2341">
                  <c:v>15000000</c:v>
                </c:pt>
                <c:pt idx="2342">
                  <c:v>15000000</c:v>
                </c:pt>
                <c:pt idx="2343">
                  <c:v>15000000</c:v>
                </c:pt>
                <c:pt idx="2344">
                  <c:v>15000000</c:v>
                </c:pt>
                <c:pt idx="2345">
                  <c:v>15000000</c:v>
                </c:pt>
                <c:pt idx="2346">
                  <c:v>15000000</c:v>
                </c:pt>
                <c:pt idx="2347">
                  <c:v>15000000</c:v>
                </c:pt>
                <c:pt idx="2348">
                  <c:v>11500000</c:v>
                </c:pt>
                <c:pt idx="2349">
                  <c:v>15000000</c:v>
                </c:pt>
                <c:pt idx="2350">
                  <c:v>15000000</c:v>
                </c:pt>
                <c:pt idx="2351">
                  <c:v>15000000</c:v>
                </c:pt>
                <c:pt idx="2352">
                  <c:v>15000000</c:v>
                </c:pt>
                <c:pt idx="2353">
                  <c:v>14000000</c:v>
                </c:pt>
                <c:pt idx="2354">
                  <c:v>15000000</c:v>
                </c:pt>
                <c:pt idx="2355">
                  <c:v>20000000</c:v>
                </c:pt>
                <c:pt idx="2356">
                  <c:v>15000000</c:v>
                </c:pt>
                <c:pt idx="2357">
                  <c:v>15000000</c:v>
                </c:pt>
                <c:pt idx="2358">
                  <c:v>15000000</c:v>
                </c:pt>
                <c:pt idx="2359">
                  <c:v>15000000</c:v>
                </c:pt>
                <c:pt idx="2360">
                  <c:v>15000000</c:v>
                </c:pt>
                <c:pt idx="2361">
                  <c:v>15000000</c:v>
                </c:pt>
                <c:pt idx="2362">
                  <c:v>15000000</c:v>
                </c:pt>
                <c:pt idx="2363">
                  <c:v>15000000</c:v>
                </c:pt>
                <c:pt idx="2364">
                  <c:v>15000000</c:v>
                </c:pt>
                <c:pt idx="2365">
                  <c:v>15000000</c:v>
                </c:pt>
                <c:pt idx="2366">
                  <c:v>15000000</c:v>
                </c:pt>
                <c:pt idx="2367">
                  <c:v>15000000</c:v>
                </c:pt>
                <c:pt idx="2368">
                  <c:v>15000000</c:v>
                </c:pt>
                <c:pt idx="2369">
                  <c:v>15000000</c:v>
                </c:pt>
                <c:pt idx="2370">
                  <c:v>15000000</c:v>
                </c:pt>
                <c:pt idx="2371">
                  <c:v>15000000</c:v>
                </c:pt>
                <c:pt idx="2372">
                  <c:v>15000000</c:v>
                </c:pt>
                <c:pt idx="2373">
                  <c:v>20000000</c:v>
                </c:pt>
                <c:pt idx="2374">
                  <c:v>15000000</c:v>
                </c:pt>
                <c:pt idx="2375">
                  <c:v>15000000</c:v>
                </c:pt>
                <c:pt idx="2376">
                  <c:v>15000000</c:v>
                </c:pt>
                <c:pt idx="2377">
                  <c:v>15000000</c:v>
                </c:pt>
                <c:pt idx="2378">
                  <c:v>15000000</c:v>
                </c:pt>
                <c:pt idx="2379">
                  <c:v>15000000</c:v>
                </c:pt>
                <c:pt idx="2380">
                  <c:v>15000000</c:v>
                </c:pt>
                <c:pt idx="2381">
                  <c:v>15000000</c:v>
                </c:pt>
                <c:pt idx="2382">
                  <c:v>15000000</c:v>
                </c:pt>
                <c:pt idx="2383">
                  <c:v>15000000</c:v>
                </c:pt>
                <c:pt idx="2384">
                  <c:v>16000000</c:v>
                </c:pt>
                <c:pt idx="2385">
                  <c:v>15000000</c:v>
                </c:pt>
                <c:pt idx="2386">
                  <c:v>20000000</c:v>
                </c:pt>
                <c:pt idx="2387">
                  <c:v>15000000</c:v>
                </c:pt>
                <c:pt idx="2388">
                  <c:v>15000000</c:v>
                </c:pt>
                <c:pt idx="2389">
                  <c:v>15000000</c:v>
                </c:pt>
                <c:pt idx="2390">
                  <c:v>15000000</c:v>
                </c:pt>
                <c:pt idx="2391">
                  <c:v>15000000</c:v>
                </c:pt>
                <c:pt idx="2392">
                  <c:v>15000000</c:v>
                </c:pt>
                <c:pt idx="2393">
                  <c:v>15000000</c:v>
                </c:pt>
                <c:pt idx="2394">
                  <c:v>15000000</c:v>
                </c:pt>
                <c:pt idx="2395">
                  <c:v>15000000</c:v>
                </c:pt>
                <c:pt idx="2396">
                  <c:v>15000000</c:v>
                </c:pt>
                <c:pt idx="2397">
                  <c:v>15000000</c:v>
                </c:pt>
                <c:pt idx="2398">
                  <c:v>15000000</c:v>
                </c:pt>
                <c:pt idx="2399">
                  <c:v>20000000</c:v>
                </c:pt>
                <c:pt idx="2400">
                  <c:v>15000000</c:v>
                </c:pt>
                <c:pt idx="2401">
                  <c:v>22000000</c:v>
                </c:pt>
                <c:pt idx="2402">
                  <c:v>15000000</c:v>
                </c:pt>
                <c:pt idx="2403">
                  <c:v>15000000</c:v>
                </c:pt>
                <c:pt idx="2404">
                  <c:v>15000000</c:v>
                </c:pt>
                <c:pt idx="2405">
                  <c:v>15000000</c:v>
                </c:pt>
                <c:pt idx="2406">
                  <c:v>15000000</c:v>
                </c:pt>
                <c:pt idx="2407">
                  <c:v>6000000</c:v>
                </c:pt>
                <c:pt idx="2408">
                  <c:v>12000000</c:v>
                </c:pt>
                <c:pt idx="2409">
                  <c:v>7000000</c:v>
                </c:pt>
                <c:pt idx="2410">
                  <c:v>15000000</c:v>
                </c:pt>
                <c:pt idx="2411">
                  <c:v>15000000</c:v>
                </c:pt>
                <c:pt idx="2412">
                  <c:v>300000000</c:v>
                </c:pt>
                <c:pt idx="2413">
                  <c:v>15000000</c:v>
                </c:pt>
                <c:pt idx="2414">
                  <c:v>25000000</c:v>
                </c:pt>
                <c:pt idx="2415">
                  <c:v>15000000</c:v>
                </c:pt>
                <c:pt idx="2416">
                  <c:v>14600000</c:v>
                </c:pt>
                <c:pt idx="2417">
                  <c:v>14800000</c:v>
                </c:pt>
                <c:pt idx="2418">
                  <c:v>14500000</c:v>
                </c:pt>
                <c:pt idx="2419">
                  <c:v>14400000</c:v>
                </c:pt>
                <c:pt idx="2420">
                  <c:v>14200000</c:v>
                </c:pt>
                <c:pt idx="2421">
                  <c:v>15000000</c:v>
                </c:pt>
                <c:pt idx="2422">
                  <c:v>14000000</c:v>
                </c:pt>
                <c:pt idx="2423">
                  <c:v>14000000</c:v>
                </c:pt>
                <c:pt idx="2424">
                  <c:v>15800000</c:v>
                </c:pt>
                <c:pt idx="2425">
                  <c:v>14000000</c:v>
                </c:pt>
                <c:pt idx="2426">
                  <c:v>15000000</c:v>
                </c:pt>
                <c:pt idx="2427">
                  <c:v>15000000</c:v>
                </c:pt>
                <c:pt idx="2428">
                  <c:v>14000000</c:v>
                </c:pt>
                <c:pt idx="2429">
                  <c:v>14000000</c:v>
                </c:pt>
                <c:pt idx="2430">
                  <c:v>14000000</c:v>
                </c:pt>
                <c:pt idx="2431">
                  <c:v>14000000</c:v>
                </c:pt>
                <c:pt idx="2432">
                  <c:v>14000000</c:v>
                </c:pt>
                <c:pt idx="2433">
                  <c:v>13000000</c:v>
                </c:pt>
                <c:pt idx="2434">
                  <c:v>14000000</c:v>
                </c:pt>
                <c:pt idx="2435">
                  <c:v>14000000</c:v>
                </c:pt>
                <c:pt idx="2436">
                  <c:v>14000000</c:v>
                </c:pt>
                <c:pt idx="2437">
                  <c:v>20000000</c:v>
                </c:pt>
                <c:pt idx="2438">
                  <c:v>14000000</c:v>
                </c:pt>
                <c:pt idx="2439">
                  <c:v>14000000</c:v>
                </c:pt>
                <c:pt idx="2440">
                  <c:v>14000000</c:v>
                </c:pt>
                <c:pt idx="2441">
                  <c:v>14000000</c:v>
                </c:pt>
                <c:pt idx="2442">
                  <c:v>14000000</c:v>
                </c:pt>
                <c:pt idx="2443">
                  <c:v>12000000</c:v>
                </c:pt>
                <c:pt idx="2444">
                  <c:v>8500000</c:v>
                </c:pt>
                <c:pt idx="2445">
                  <c:v>14000000</c:v>
                </c:pt>
                <c:pt idx="2446">
                  <c:v>11000000</c:v>
                </c:pt>
                <c:pt idx="2447">
                  <c:v>14000000</c:v>
                </c:pt>
                <c:pt idx="2448">
                  <c:v>14000000</c:v>
                </c:pt>
                <c:pt idx="2449">
                  <c:v>14000000</c:v>
                </c:pt>
                <c:pt idx="2450">
                  <c:v>26000000</c:v>
                </c:pt>
                <c:pt idx="2451">
                  <c:v>24000000</c:v>
                </c:pt>
                <c:pt idx="2452">
                  <c:v>14000000</c:v>
                </c:pt>
                <c:pt idx="2453">
                  <c:v>14000000</c:v>
                </c:pt>
                <c:pt idx="2454">
                  <c:v>14000000</c:v>
                </c:pt>
                <c:pt idx="2455">
                  <c:v>14000000</c:v>
                </c:pt>
                <c:pt idx="2456">
                  <c:v>14000000</c:v>
                </c:pt>
                <c:pt idx="2457">
                  <c:v>8200000</c:v>
                </c:pt>
                <c:pt idx="2458">
                  <c:v>103000000</c:v>
                </c:pt>
                <c:pt idx="2459">
                  <c:v>15000000</c:v>
                </c:pt>
                <c:pt idx="2460">
                  <c:v>14000000</c:v>
                </c:pt>
                <c:pt idx="2461">
                  <c:v>14000000</c:v>
                </c:pt>
                <c:pt idx="2462">
                  <c:v>14000000</c:v>
                </c:pt>
                <c:pt idx="2463">
                  <c:v>12000000</c:v>
                </c:pt>
                <c:pt idx="2464">
                  <c:v>13500000</c:v>
                </c:pt>
                <c:pt idx="2465">
                  <c:v>14000000</c:v>
                </c:pt>
                <c:pt idx="2466">
                  <c:v>13500000</c:v>
                </c:pt>
                <c:pt idx="2467">
                  <c:v>15000000</c:v>
                </c:pt>
                <c:pt idx="2468">
                  <c:v>13500000</c:v>
                </c:pt>
                <c:pt idx="2469">
                  <c:v>10000000</c:v>
                </c:pt>
                <c:pt idx="2470">
                  <c:v>13000000</c:v>
                </c:pt>
                <c:pt idx="2471">
                  <c:v>13400000</c:v>
                </c:pt>
                <c:pt idx="2472">
                  <c:v>13000000</c:v>
                </c:pt>
                <c:pt idx="2473">
                  <c:v>13000000</c:v>
                </c:pt>
                <c:pt idx="2474">
                  <c:v>13000000</c:v>
                </c:pt>
                <c:pt idx="2475">
                  <c:v>13000000</c:v>
                </c:pt>
                <c:pt idx="2476">
                  <c:v>7000000</c:v>
                </c:pt>
                <c:pt idx="2477">
                  <c:v>13000000</c:v>
                </c:pt>
                <c:pt idx="2478">
                  <c:v>13000000</c:v>
                </c:pt>
                <c:pt idx="2479">
                  <c:v>13000000</c:v>
                </c:pt>
                <c:pt idx="2480">
                  <c:v>13000000</c:v>
                </c:pt>
                <c:pt idx="2481">
                  <c:v>12500000</c:v>
                </c:pt>
                <c:pt idx="2482">
                  <c:v>16000000</c:v>
                </c:pt>
                <c:pt idx="2483">
                  <c:v>13000000</c:v>
                </c:pt>
                <c:pt idx="2484">
                  <c:v>8200000</c:v>
                </c:pt>
                <c:pt idx="2485">
                  <c:v>17000000</c:v>
                </c:pt>
                <c:pt idx="2486">
                  <c:v>13000000</c:v>
                </c:pt>
                <c:pt idx="2487">
                  <c:v>13000000</c:v>
                </c:pt>
                <c:pt idx="2488">
                  <c:v>13000000</c:v>
                </c:pt>
                <c:pt idx="2489">
                  <c:v>18000000</c:v>
                </c:pt>
                <c:pt idx="2490">
                  <c:v>13000000</c:v>
                </c:pt>
                <c:pt idx="2491">
                  <c:v>13000000</c:v>
                </c:pt>
                <c:pt idx="2492">
                  <c:v>13000000</c:v>
                </c:pt>
                <c:pt idx="2493">
                  <c:v>13200000</c:v>
                </c:pt>
                <c:pt idx="2494">
                  <c:v>18000000</c:v>
                </c:pt>
                <c:pt idx="2495">
                  <c:v>15000000</c:v>
                </c:pt>
                <c:pt idx="2496">
                  <c:v>13000000</c:v>
                </c:pt>
                <c:pt idx="2497">
                  <c:v>6000000</c:v>
                </c:pt>
                <c:pt idx="2498">
                  <c:v>13000000</c:v>
                </c:pt>
                <c:pt idx="2499">
                  <c:v>14000000</c:v>
                </c:pt>
                <c:pt idx="2500">
                  <c:v>19000000</c:v>
                </c:pt>
                <c:pt idx="2501">
                  <c:v>13000000</c:v>
                </c:pt>
                <c:pt idx="2502">
                  <c:v>13000000</c:v>
                </c:pt>
                <c:pt idx="2503">
                  <c:v>13000000</c:v>
                </c:pt>
                <c:pt idx="2504">
                  <c:v>13000000</c:v>
                </c:pt>
                <c:pt idx="2505">
                  <c:v>13000000</c:v>
                </c:pt>
                <c:pt idx="2506">
                  <c:v>13000000</c:v>
                </c:pt>
                <c:pt idx="2507">
                  <c:v>13000000</c:v>
                </c:pt>
                <c:pt idx="2508">
                  <c:v>13000000</c:v>
                </c:pt>
                <c:pt idx="2509">
                  <c:v>13000000</c:v>
                </c:pt>
                <c:pt idx="2510">
                  <c:v>13000000</c:v>
                </c:pt>
                <c:pt idx="2511">
                  <c:v>13000000</c:v>
                </c:pt>
                <c:pt idx="2512">
                  <c:v>13000000</c:v>
                </c:pt>
                <c:pt idx="2513">
                  <c:v>13000000</c:v>
                </c:pt>
                <c:pt idx="2514">
                  <c:v>100000000</c:v>
                </c:pt>
                <c:pt idx="2515">
                  <c:v>11000000</c:v>
                </c:pt>
                <c:pt idx="2516">
                  <c:v>13000000</c:v>
                </c:pt>
                <c:pt idx="2517">
                  <c:v>13000000</c:v>
                </c:pt>
                <c:pt idx="2518">
                  <c:v>13000000</c:v>
                </c:pt>
                <c:pt idx="2519">
                  <c:v>3000000</c:v>
                </c:pt>
                <c:pt idx="2520">
                  <c:v>13000000</c:v>
                </c:pt>
                <c:pt idx="2521">
                  <c:v>20000000</c:v>
                </c:pt>
                <c:pt idx="2522">
                  <c:v>8495000</c:v>
                </c:pt>
                <c:pt idx="2523">
                  <c:v>13000000</c:v>
                </c:pt>
                <c:pt idx="2524">
                  <c:v>13000000</c:v>
                </c:pt>
                <c:pt idx="2525">
                  <c:v>13000000</c:v>
                </c:pt>
                <c:pt idx="2526">
                  <c:v>12620000</c:v>
                </c:pt>
                <c:pt idx="2527">
                  <c:v>13000000</c:v>
                </c:pt>
                <c:pt idx="2528">
                  <c:v>13000000</c:v>
                </c:pt>
                <c:pt idx="2529">
                  <c:v>12500000</c:v>
                </c:pt>
                <c:pt idx="2530">
                  <c:v>12500000</c:v>
                </c:pt>
                <c:pt idx="2531">
                  <c:v>13000000</c:v>
                </c:pt>
                <c:pt idx="2532">
                  <c:v>12500000</c:v>
                </c:pt>
                <c:pt idx="2533">
                  <c:v>13000000</c:v>
                </c:pt>
                <c:pt idx="2534">
                  <c:v>16000000</c:v>
                </c:pt>
                <c:pt idx="2535">
                  <c:v>12000000</c:v>
                </c:pt>
                <c:pt idx="2536">
                  <c:v>12500000</c:v>
                </c:pt>
                <c:pt idx="2537">
                  <c:v>12800000</c:v>
                </c:pt>
                <c:pt idx="2538">
                  <c:v>16000000</c:v>
                </c:pt>
                <c:pt idx="2539">
                  <c:v>12500000</c:v>
                </c:pt>
                <c:pt idx="2540">
                  <c:v>15000000</c:v>
                </c:pt>
                <c:pt idx="2541">
                  <c:v>10500000</c:v>
                </c:pt>
                <c:pt idx="2542">
                  <c:v>15000000</c:v>
                </c:pt>
                <c:pt idx="2543">
                  <c:v>12500000</c:v>
                </c:pt>
                <c:pt idx="2544">
                  <c:v>12800000</c:v>
                </c:pt>
                <c:pt idx="2545">
                  <c:v>8000000</c:v>
                </c:pt>
                <c:pt idx="2546">
                  <c:v>8000000</c:v>
                </c:pt>
                <c:pt idx="2547">
                  <c:v>11000000</c:v>
                </c:pt>
                <c:pt idx="2548">
                  <c:v>9600000</c:v>
                </c:pt>
                <c:pt idx="2549">
                  <c:v>25000000</c:v>
                </c:pt>
                <c:pt idx="2550">
                  <c:v>12000000</c:v>
                </c:pt>
                <c:pt idx="2551">
                  <c:v>12000000</c:v>
                </c:pt>
                <c:pt idx="2552">
                  <c:v>11000000</c:v>
                </c:pt>
                <c:pt idx="2553">
                  <c:v>12000000</c:v>
                </c:pt>
                <c:pt idx="2554">
                  <c:v>12000000</c:v>
                </c:pt>
                <c:pt idx="2555">
                  <c:v>12000000</c:v>
                </c:pt>
                <c:pt idx="2556">
                  <c:v>12000000</c:v>
                </c:pt>
                <c:pt idx="2557">
                  <c:v>12000000</c:v>
                </c:pt>
                <c:pt idx="2558">
                  <c:v>12000000</c:v>
                </c:pt>
                <c:pt idx="2559">
                  <c:v>12000000</c:v>
                </c:pt>
                <c:pt idx="2560">
                  <c:v>12000000</c:v>
                </c:pt>
                <c:pt idx="2561">
                  <c:v>12000000</c:v>
                </c:pt>
                <c:pt idx="2562">
                  <c:v>5000000</c:v>
                </c:pt>
                <c:pt idx="2563">
                  <c:v>12000000</c:v>
                </c:pt>
                <c:pt idx="2564">
                  <c:v>12000000</c:v>
                </c:pt>
                <c:pt idx="2565">
                  <c:v>12000000</c:v>
                </c:pt>
                <c:pt idx="2566">
                  <c:v>12000000</c:v>
                </c:pt>
                <c:pt idx="2567">
                  <c:v>12000000</c:v>
                </c:pt>
                <c:pt idx="2568">
                  <c:v>12000000</c:v>
                </c:pt>
                <c:pt idx="2569">
                  <c:v>12000000</c:v>
                </c:pt>
                <c:pt idx="2570">
                  <c:v>12000000</c:v>
                </c:pt>
                <c:pt idx="2571">
                  <c:v>12000000</c:v>
                </c:pt>
                <c:pt idx="2572">
                  <c:v>12000000</c:v>
                </c:pt>
                <c:pt idx="2573">
                  <c:v>12000000</c:v>
                </c:pt>
                <c:pt idx="2574">
                  <c:v>12000000</c:v>
                </c:pt>
                <c:pt idx="2575">
                  <c:v>12000000</c:v>
                </c:pt>
                <c:pt idx="2576">
                  <c:v>12000000</c:v>
                </c:pt>
                <c:pt idx="2577">
                  <c:v>12000000</c:v>
                </c:pt>
                <c:pt idx="2578">
                  <c:v>9000000</c:v>
                </c:pt>
                <c:pt idx="2579">
                  <c:v>12000000</c:v>
                </c:pt>
                <c:pt idx="2580">
                  <c:v>12000000</c:v>
                </c:pt>
                <c:pt idx="2581">
                  <c:v>12000000</c:v>
                </c:pt>
                <c:pt idx="2582">
                  <c:v>13000000</c:v>
                </c:pt>
                <c:pt idx="2583">
                  <c:v>12000000</c:v>
                </c:pt>
                <c:pt idx="2584">
                  <c:v>12000000</c:v>
                </c:pt>
                <c:pt idx="2585">
                  <c:v>12000000</c:v>
                </c:pt>
                <c:pt idx="2586">
                  <c:v>12000000</c:v>
                </c:pt>
                <c:pt idx="2587">
                  <c:v>14000000</c:v>
                </c:pt>
                <c:pt idx="2588">
                  <c:v>12000000</c:v>
                </c:pt>
                <c:pt idx="2589">
                  <c:v>12000000</c:v>
                </c:pt>
                <c:pt idx="2590">
                  <c:v>100000000</c:v>
                </c:pt>
                <c:pt idx="2591">
                  <c:v>12000000</c:v>
                </c:pt>
                <c:pt idx="2592">
                  <c:v>12000000</c:v>
                </c:pt>
                <c:pt idx="2593">
                  <c:v>12000000</c:v>
                </c:pt>
                <c:pt idx="2594">
                  <c:v>10000000</c:v>
                </c:pt>
                <c:pt idx="2595">
                  <c:v>8000000</c:v>
                </c:pt>
                <c:pt idx="2596">
                  <c:v>12000000</c:v>
                </c:pt>
                <c:pt idx="2597">
                  <c:v>12000000</c:v>
                </c:pt>
                <c:pt idx="2598">
                  <c:v>12000000</c:v>
                </c:pt>
                <c:pt idx="2599">
                  <c:v>12000000</c:v>
                </c:pt>
                <c:pt idx="2600">
                  <c:v>12000000</c:v>
                </c:pt>
                <c:pt idx="2601">
                  <c:v>12000000</c:v>
                </c:pt>
                <c:pt idx="2602">
                  <c:v>12000000</c:v>
                </c:pt>
                <c:pt idx="2603">
                  <c:v>12000000</c:v>
                </c:pt>
                <c:pt idx="2604">
                  <c:v>12215500000</c:v>
                </c:pt>
                <c:pt idx="2605">
                  <c:v>12000000</c:v>
                </c:pt>
                <c:pt idx="2606">
                  <c:v>12000000</c:v>
                </c:pt>
                <c:pt idx="2607">
                  <c:v>9200000</c:v>
                </c:pt>
                <c:pt idx="2608">
                  <c:v>12000000</c:v>
                </c:pt>
                <c:pt idx="2609">
                  <c:v>12000000</c:v>
                </c:pt>
                <c:pt idx="2610">
                  <c:v>12000000</c:v>
                </c:pt>
                <c:pt idx="2611">
                  <c:v>12000000</c:v>
                </c:pt>
                <c:pt idx="2612">
                  <c:v>12000000</c:v>
                </c:pt>
                <c:pt idx="2613">
                  <c:v>12000000</c:v>
                </c:pt>
                <c:pt idx="2614">
                  <c:v>10000000</c:v>
                </c:pt>
                <c:pt idx="2615">
                  <c:v>12000000</c:v>
                </c:pt>
                <c:pt idx="2616">
                  <c:v>12000000</c:v>
                </c:pt>
                <c:pt idx="2617">
                  <c:v>8000000</c:v>
                </c:pt>
                <c:pt idx="2618">
                  <c:v>12000000</c:v>
                </c:pt>
                <c:pt idx="2619">
                  <c:v>2500000000</c:v>
                </c:pt>
                <c:pt idx="2620">
                  <c:v>12000000</c:v>
                </c:pt>
                <c:pt idx="2621">
                  <c:v>12000000</c:v>
                </c:pt>
                <c:pt idx="2622">
                  <c:v>20000000</c:v>
                </c:pt>
                <c:pt idx="2623">
                  <c:v>12000000</c:v>
                </c:pt>
                <c:pt idx="2624">
                  <c:v>12000000</c:v>
                </c:pt>
                <c:pt idx="2625">
                  <c:v>6000000</c:v>
                </c:pt>
                <c:pt idx="2626">
                  <c:v>11500000</c:v>
                </c:pt>
                <c:pt idx="2627">
                  <c:v>11900000</c:v>
                </c:pt>
                <c:pt idx="2628">
                  <c:v>11000000</c:v>
                </c:pt>
                <c:pt idx="2629">
                  <c:v>11000000</c:v>
                </c:pt>
                <c:pt idx="2630">
                  <c:v>11500000</c:v>
                </c:pt>
                <c:pt idx="2631">
                  <c:v>11000000</c:v>
                </c:pt>
                <c:pt idx="2632">
                  <c:v>11000000</c:v>
                </c:pt>
                <c:pt idx="2633">
                  <c:v>25000000</c:v>
                </c:pt>
                <c:pt idx="2634">
                  <c:v>11000000</c:v>
                </c:pt>
                <c:pt idx="2635">
                  <c:v>11000000</c:v>
                </c:pt>
                <c:pt idx="2636">
                  <c:v>11000000</c:v>
                </c:pt>
                <c:pt idx="2637">
                  <c:v>13000000</c:v>
                </c:pt>
                <c:pt idx="2638">
                  <c:v>11000000</c:v>
                </c:pt>
                <c:pt idx="2639">
                  <c:v>11000000</c:v>
                </c:pt>
                <c:pt idx="2640">
                  <c:v>10500000</c:v>
                </c:pt>
                <c:pt idx="2641">
                  <c:v>11000000</c:v>
                </c:pt>
                <c:pt idx="2642">
                  <c:v>11000000</c:v>
                </c:pt>
                <c:pt idx="2643">
                  <c:v>11000000</c:v>
                </c:pt>
                <c:pt idx="2644">
                  <c:v>12000000</c:v>
                </c:pt>
                <c:pt idx="2645">
                  <c:v>12000000</c:v>
                </c:pt>
                <c:pt idx="2646">
                  <c:v>11000000</c:v>
                </c:pt>
                <c:pt idx="2647">
                  <c:v>11000000</c:v>
                </c:pt>
                <c:pt idx="2648">
                  <c:v>11000000</c:v>
                </c:pt>
                <c:pt idx="2649">
                  <c:v>11000000</c:v>
                </c:pt>
                <c:pt idx="2650">
                  <c:v>11000000</c:v>
                </c:pt>
                <c:pt idx="2651">
                  <c:v>11000000</c:v>
                </c:pt>
                <c:pt idx="2652">
                  <c:v>11000000</c:v>
                </c:pt>
                <c:pt idx="2653">
                  <c:v>13000000</c:v>
                </c:pt>
                <c:pt idx="2654">
                  <c:v>11000000</c:v>
                </c:pt>
                <c:pt idx="2655">
                  <c:v>11000000</c:v>
                </c:pt>
                <c:pt idx="2656">
                  <c:v>17000000</c:v>
                </c:pt>
                <c:pt idx="2657">
                  <c:v>11000000</c:v>
                </c:pt>
                <c:pt idx="2658">
                  <c:v>11000000</c:v>
                </c:pt>
                <c:pt idx="2659">
                  <c:v>11000000</c:v>
                </c:pt>
                <c:pt idx="2660">
                  <c:v>11000000</c:v>
                </c:pt>
                <c:pt idx="2661">
                  <c:v>5000000</c:v>
                </c:pt>
                <c:pt idx="2662">
                  <c:v>11000000</c:v>
                </c:pt>
                <c:pt idx="2663">
                  <c:v>11000000</c:v>
                </c:pt>
                <c:pt idx="2664">
                  <c:v>10800000</c:v>
                </c:pt>
                <c:pt idx="2665">
                  <c:v>15000000</c:v>
                </c:pt>
                <c:pt idx="2666">
                  <c:v>700000000</c:v>
                </c:pt>
                <c:pt idx="2667">
                  <c:v>14000000</c:v>
                </c:pt>
                <c:pt idx="2668">
                  <c:v>7000000</c:v>
                </c:pt>
                <c:pt idx="2669">
                  <c:v>10600000</c:v>
                </c:pt>
                <c:pt idx="2670">
                  <c:v>12000000</c:v>
                </c:pt>
                <c:pt idx="2671">
                  <c:v>10500000</c:v>
                </c:pt>
                <c:pt idx="2672">
                  <c:v>10000000</c:v>
                </c:pt>
                <c:pt idx="2673">
                  <c:v>10500000</c:v>
                </c:pt>
                <c:pt idx="2674">
                  <c:v>10818775</c:v>
                </c:pt>
                <c:pt idx="2675">
                  <c:v>10000000</c:v>
                </c:pt>
                <c:pt idx="2676">
                  <c:v>10000000</c:v>
                </c:pt>
                <c:pt idx="2677">
                  <c:v>10000000</c:v>
                </c:pt>
                <c:pt idx="2678">
                  <c:v>10000000</c:v>
                </c:pt>
                <c:pt idx="2679">
                  <c:v>10000000</c:v>
                </c:pt>
                <c:pt idx="2680">
                  <c:v>10000000</c:v>
                </c:pt>
                <c:pt idx="2681">
                  <c:v>10000000</c:v>
                </c:pt>
                <c:pt idx="2682">
                  <c:v>6000000</c:v>
                </c:pt>
                <c:pt idx="2683">
                  <c:v>13800000</c:v>
                </c:pt>
                <c:pt idx="2684">
                  <c:v>10000000</c:v>
                </c:pt>
                <c:pt idx="2685">
                  <c:v>10000000</c:v>
                </c:pt>
                <c:pt idx="2686">
                  <c:v>12000000</c:v>
                </c:pt>
                <c:pt idx="2687">
                  <c:v>10000000</c:v>
                </c:pt>
                <c:pt idx="2688">
                  <c:v>10000000</c:v>
                </c:pt>
                <c:pt idx="2689">
                  <c:v>10000000</c:v>
                </c:pt>
                <c:pt idx="2690">
                  <c:v>10000000</c:v>
                </c:pt>
                <c:pt idx="2691">
                  <c:v>23000000</c:v>
                </c:pt>
                <c:pt idx="2692">
                  <c:v>12305523</c:v>
                </c:pt>
                <c:pt idx="2693">
                  <c:v>10000000</c:v>
                </c:pt>
                <c:pt idx="2694">
                  <c:v>10000000</c:v>
                </c:pt>
                <c:pt idx="2695">
                  <c:v>20000000</c:v>
                </c:pt>
                <c:pt idx="2696">
                  <c:v>10000000</c:v>
                </c:pt>
                <c:pt idx="2697">
                  <c:v>10000000</c:v>
                </c:pt>
                <c:pt idx="2698">
                  <c:v>10000000</c:v>
                </c:pt>
                <c:pt idx="2699">
                  <c:v>9000000</c:v>
                </c:pt>
                <c:pt idx="2700">
                  <c:v>10000000</c:v>
                </c:pt>
                <c:pt idx="2701">
                  <c:v>10000000</c:v>
                </c:pt>
                <c:pt idx="2702">
                  <c:v>10000000</c:v>
                </c:pt>
                <c:pt idx="2703">
                  <c:v>17000000</c:v>
                </c:pt>
                <c:pt idx="2704">
                  <c:v>10000000</c:v>
                </c:pt>
                <c:pt idx="2705">
                  <c:v>8500000</c:v>
                </c:pt>
                <c:pt idx="2706">
                  <c:v>12000000</c:v>
                </c:pt>
                <c:pt idx="2707">
                  <c:v>10000000</c:v>
                </c:pt>
                <c:pt idx="2708">
                  <c:v>10000000</c:v>
                </c:pt>
                <c:pt idx="2709">
                  <c:v>10000000</c:v>
                </c:pt>
                <c:pt idx="2710">
                  <c:v>17000000</c:v>
                </c:pt>
                <c:pt idx="2711">
                  <c:v>10000000</c:v>
                </c:pt>
                <c:pt idx="2712">
                  <c:v>10000000</c:v>
                </c:pt>
                <c:pt idx="2713">
                  <c:v>10000000</c:v>
                </c:pt>
                <c:pt idx="2714">
                  <c:v>10000000</c:v>
                </c:pt>
                <c:pt idx="2715">
                  <c:v>9000000</c:v>
                </c:pt>
                <c:pt idx="2716">
                  <c:v>10000000</c:v>
                </c:pt>
                <c:pt idx="2717">
                  <c:v>10000000</c:v>
                </c:pt>
                <c:pt idx="2718">
                  <c:v>10000000</c:v>
                </c:pt>
                <c:pt idx="2719">
                  <c:v>25000000</c:v>
                </c:pt>
                <c:pt idx="2720">
                  <c:v>10000000</c:v>
                </c:pt>
                <c:pt idx="2721">
                  <c:v>10000000</c:v>
                </c:pt>
                <c:pt idx="2722">
                  <c:v>12600000</c:v>
                </c:pt>
                <c:pt idx="2723">
                  <c:v>30000000</c:v>
                </c:pt>
                <c:pt idx="2724">
                  <c:v>10000000</c:v>
                </c:pt>
                <c:pt idx="2725">
                  <c:v>10000000</c:v>
                </c:pt>
                <c:pt idx="2726">
                  <c:v>10000000</c:v>
                </c:pt>
                <c:pt idx="2727">
                  <c:v>3000000</c:v>
                </c:pt>
                <c:pt idx="2728">
                  <c:v>6400000</c:v>
                </c:pt>
                <c:pt idx="2729">
                  <c:v>10000000</c:v>
                </c:pt>
                <c:pt idx="2730">
                  <c:v>10000000</c:v>
                </c:pt>
                <c:pt idx="2731">
                  <c:v>5000000</c:v>
                </c:pt>
                <c:pt idx="2732">
                  <c:v>10000000</c:v>
                </c:pt>
                <c:pt idx="2733">
                  <c:v>22000000</c:v>
                </c:pt>
                <c:pt idx="2734">
                  <c:v>10000000</c:v>
                </c:pt>
                <c:pt idx="2735">
                  <c:v>10000000</c:v>
                </c:pt>
                <c:pt idx="2736">
                  <c:v>10000000</c:v>
                </c:pt>
                <c:pt idx="2737">
                  <c:v>10000000</c:v>
                </c:pt>
                <c:pt idx="2738">
                  <c:v>10000000</c:v>
                </c:pt>
                <c:pt idx="2739">
                  <c:v>10000000</c:v>
                </c:pt>
                <c:pt idx="2740">
                  <c:v>10000000</c:v>
                </c:pt>
                <c:pt idx="2741">
                  <c:v>6000000</c:v>
                </c:pt>
                <c:pt idx="2742">
                  <c:v>10000000</c:v>
                </c:pt>
                <c:pt idx="2743">
                  <c:v>10000000</c:v>
                </c:pt>
                <c:pt idx="2744">
                  <c:v>7500000</c:v>
                </c:pt>
                <c:pt idx="2745">
                  <c:v>10000000</c:v>
                </c:pt>
                <c:pt idx="2746">
                  <c:v>10000000</c:v>
                </c:pt>
                <c:pt idx="2747">
                  <c:v>10000000</c:v>
                </c:pt>
                <c:pt idx="2748">
                  <c:v>10000000</c:v>
                </c:pt>
                <c:pt idx="2749">
                  <c:v>10000000</c:v>
                </c:pt>
                <c:pt idx="2750">
                  <c:v>10000000</c:v>
                </c:pt>
                <c:pt idx="2751">
                  <c:v>9000000</c:v>
                </c:pt>
                <c:pt idx="2752">
                  <c:v>16000000</c:v>
                </c:pt>
                <c:pt idx="2753">
                  <c:v>10000000</c:v>
                </c:pt>
                <c:pt idx="2754">
                  <c:v>10000000</c:v>
                </c:pt>
                <c:pt idx="2755">
                  <c:v>10000000</c:v>
                </c:pt>
                <c:pt idx="2756">
                  <c:v>10000000</c:v>
                </c:pt>
                <c:pt idx="2757">
                  <c:v>10000000</c:v>
                </c:pt>
                <c:pt idx="2758">
                  <c:v>11500000</c:v>
                </c:pt>
                <c:pt idx="2759">
                  <c:v>9000000</c:v>
                </c:pt>
                <c:pt idx="2760">
                  <c:v>6500000</c:v>
                </c:pt>
                <c:pt idx="2761">
                  <c:v>10000000</c:v>
                </c:pt>
                <c:pt idx="2762">
                  <c:v>10000000</c:v>
                </c:pt>
                <c:pt idx="2763">
                  <c:v>10000000</c:v>
                </c:pt>
                <c:pt idx="2764">
                  <c:v>10000000</c:v>
                </c:pt>
                <c:pt idx="2765">
                  <c:v>10000000</c:v>
                </c:pt>
                <c:pt idx="2766">
                  <c:v>10000000</c:v>
                </c:pt>
                <c:pt idx="2767">
                  <c:v>14000000</c:v>
                </c:pt>
                <c:pt idx="2768">
                  <c:v>10000000</c:v>
                </c:pt>
                <c:pt idx="2769">
                  <c:v>10000000</c:v>
                </c:pt>
                <c:pt idx="2770">
                  <c:v>10000000</c:v>
                </c:pt>
                <c:pt idx="2771">
                  <c:v>10000000</c:v>
                </c:pt>
                <c:pt idx="2772">
                  <c:v>10000000</c:v>
                </c:pt>
                <c:pt idx="2773">
                  <c:v>11000000</c:v>
                </c:pt>
                <c:pt idx="2774">
                  <c:v>5000000</c:v>
                </c:pt>
                <c:pt idx="2775">
                  <c:v>10000000</c:v>
                </c:pt>
                <c:pt idx="2776">
                  <c:v>10000000</c:v>
                </c:pt>
                <c:pt idx="2777">
                  <c:v>10000000</c:v>
                </c:pt>
                <c:pt idx="2778">
                  <c:v>10000000</c:v>
                </c:pt>
                <c:pt idx="2779">
                  <c:v>10000000</c:v>
                </c:pt>
                <c:pt idx="2780">
                  <c:v>10000000</c:v>
                </c:pt>
                <c:pt idx="2781">
                  <c:v>10000000</c:v>
                </c:pt>
                <c:pt idx="2782">
                  <c:v>60000000</c:v>
                </c:pt>
                <c:pt idx="2783">
                  <c:v>5000000</c:v>
                </c:pt>
                <c:pt idx="2784">
                  <c:v>4000000</c:v>
                </c:pt>
                <c:pt idx="2785">
                  <c:v>10000000</c:v>
                </c:pt>
                <c:pt idx="2786">
                  <c:v>5000000</c:v>
                </c:pt>
                <c:pt idx="2787">
                  <c:v>10000000</c:v>
                </c:pt>
                <c:pt idx="2788">
                  <c:v>6200000</c:v>
                </c:pt>
                <c:pt idx="2789">
                  <c:v>10000000</c:v>
                </c:pt>
                <c:pt idx="2790">
                  <c:v>10000000</c:v>
                </c:pt>
                <c:pt idx="2791">
                  <c:v>10000000</c:v>
                </c:pt>
                <c:pt idx="2792">
                  <c:v>8000000</c:v>
                </c:pt>
                <c:pt idx="2793">
                  <c:v>5000000</c:v>
                </c:pt>
                <c:pt idx="2794">
                  <c:v>10000000</c:v>
                </c:pt>
                <c:pt idx="2795">
                  <c:v>10000000</c:v>
                </c:pt>
                <c:pt idx="2796">
                  <c:v>6500000</c:v>
                </c:pt>
                <c:pt idx="2797">
                  <c:v>10000000</c:v>
                </c:pt>
                <c:pt idx="2798">
                  <c:v>10000000</c:v>
                </c:pt>
                <c:pt idx="2799">
                  <c:v>9600000</c:v>
                </c:pt>
                <c:pt idx="2800">
                  <c:v>9500000</c:v>
                </c:pt>
                <c:pt idx="2801">
                  <c:v>9500000</c:v>
                </c:pt>
                <c:pt idx="2802">
                  <c:v>8900000</c:v>
                </c:pt>
                <c:pt idx="2803">
                  <c:v>10500000</c:v>
                </c:pt>
                <c:pt idx="2804">
                  <c:v>9400000</c:v>
                </c:pt>
                <c:pt idx="2805">
                  <c:v>6000000</c:v>
                </c:pt>
                <c:pt idx="2806">
                  <c:v>600000000</c:v>
                </c:pt>
                <c:pt idx="2807">
                  <c:v>7400000</c:v>
                </c:pt>
                <c:pt idx="2808">
                  <c:v>7217600</c:v>
                </c:pt>
                <c:pt idx="2809">
                  <c:v>11000000</c:v>
                </c:pt>
                <c:pt idx="2810">
                  <c:v>83532</c:v>
                </c:pt>
                <c:pt idx="2811">
                  <c:v>10000000</c:v>
                </c:pt>
                <c:pt idx="2812">
                  <c:v>9000000</c:v>
                </c:pt>
                <c:pt idx="2813">
                  <c:v>9000000</c:v>
                </c:pt>
                <c:pt idx="2814">
                  <c:v>9000000</c:v>
                </c:pt>
                <c:pt idx="2815">
                  <c:v>9000000</c:v>
                </c:pt>
                <c:pt idx="2816">
                  <c:v>9000000</c:v>
                </c:pt>
                <c:pt idx="2817">
                  <c:v>9000000</c:v>
                </c:pt>
                <c:pt idx="2818">
                  <c:v>9000000</c:v>
                </c:pt>
                <c:pt idx="2819">
                  <c:v>9000000</c:v>
                </c:pt>
                <c:pt idx="2820">
                  <c:v>9000000</c:v>
                </c:pt>
                <c:pt idx="2821">
                  <c:v>20000000</c:v>
                </c:pt>
                <c:pt idx="2822">
                  <c:v>8000000</c:v>
                </c:pt>
                <c:pt idx="2823">
                  <c:v>9000000</c:v>
                </c:pt>
                <c:pt idx="2824">
                  <c:v>9000000</c:v>
                </c:pt>
                <c:pt idx="2825">
                  <c:v>8500000</c:v>
                </c:pt>
                <c:pt idx="2826">
                  <c:v>9000000</c:v>
                </c:pt>
                <c:pt idx="2827">
                  <c:v>8000000</c:v>
                </c:pt>
                <c:pt idx="2828">
                  <c:v>9000000</c:v>
                </c:pt>
                <c:pt idx="2829">
                  <c:v>9000000</c:v>
                </c:pt>
                <c:pt idx="2830">
                  <c:v>9000000</c:v>
                </c:pt>
                <c:pt idx="2831">
                  <c:v>9000000</c:v>
                </c:pt>
                <c:pt idx="2832">
                  <c:v>400000000</c:v>
                </c:pt>
                <c:pt idx="2833">
                  <c:v>9000000</c:v>
                </c:pt>
                <c:pt idx="2834">
                  <c:v>9000000</c:v>
                </c:pt>
                <c:pt idx="2835">
                  <c:v>9000000</c:v>
                </c:pt>
                <c:pt idx="2836">
                  <c:v>11400000</c:v>
                </c:pt>
                <c:pt idx="2837">
                  <c:v>45000000</c:v>
                </c:pt>
                <c:pt idx="2838">
                  <c:v>9000000</c:v>
                </c:pt>
                <c:pt idx="2839">
                  <c:v>8800000</c:v>
                </c:pt>
                <c:pt idx="2840">
                  <c:v>8600000</c:v>
                </c:pt>
                <c:pt idx="2841">
                  <c:v>9000000</c:v>
                </c:pt>
                <c:pt idx="2842">
                  <c:v>7000000</c:v>
                </c:pt>
                <c:pt idx="2843">
                  <c:v>8500000</c:v>
                </c:pt>
                <c:pt idx="2844">
                  <c:v>8500000</c:v>
                </c:pt>
                <c:pt idx="2845">
                  <c:v>8000000</c:v>
                </c:pt>
                <c:pt idx="2846">
                  <c:v>8500000</c:v>
                </c:pt>
                <c:pt idx="2847">
                  <c:v>22000000</c:v>
                </c:pt>
                <c:pt idx="2848">
                  <c:v>8500000</c:v>
                </c:pt>
                <c:pt idx="2849">
                  <c:v>12000000</c:v>
                </c:pt>
                <c:pt idx="2850">
                  <c:v>9000000</c:v>
                </c:pt>
                <c:pt idx="2851">
                  <c:v>8000000</c:v>
                </c:pt>
                <c:pt idx="2852">
                  <c:v>8500000</c:v>
                </c:pt>
                <c:pt idx="2853">
                  <c:v>8000000</c:v>
                </c:pt>
                <c:pt idx="2854">
                  <c:v>8500000</c:v>
                </c:pt>
                <c:pt idx="2855">
                  <c:v>8550000</c:v>
                </c:pt>
                <c:pt idx="2856">
                  <c:v>8200000</c:v>
                </c:pt>
                <c:pt idx="2857">
                  <c:v>8000000</c:v>
                </c:pt>
                <c:pt idx="2858">
                  <c:v>8000000</c:v>
                </c:pt>
                <c:pt idx="2859">
                  <c:v>8000000</c:v>
                </c:pt>
                <c:pt idx="2860">
                  <c:v>8000000</c:v>
                </c:pt>
                <c:pt idx="2861">
                  <c:v>8000000</c:v>
                </c:pt>
                <c:pt idx="2862">
                  <c:v>8000000</c:v>
                </c:pt>
                <c:pt idx="2863">
                  <c:v>8000000</c:v>
                </c:pt>
                <c:pt idx="2864">
                  <c:v>8000000</c:v>
                </c:pt>
                <c:pt idx="2865">
                  <c:v>8000000</c:v>
                </c:pt>
                <c:pt idx="2866">
                  <c:v>8000000</c:v>
                </c:pt>
                <c:pt idx="2867">
                  <c:v>8000000</c:v>
                </c:pt>
                <c:pt idx="2868">
                  <c:v>8000000</c:v>
                </c:pt>
                <c:pt idx="2869">
                  <c:v>7000000</c:v>
                </c:pt>
                <c:pt idx="2870">
                  <c:v>8000000</c:v>
                </c:pt>
                <c:pt idx="2871">
                  <c:v>8000000</c:v>
                </c:pt>
                <c:pt idx="2872">
                  <c:v>8000000</c:v>
                </c:pt>
                <c:pt idx="2873">
                  <c:v>8000000</c:v>
                </c:pt>
                <c:pt idx="2874">
                  <c:v>7000000</c:v>
                </c:pt>
                <c:pt idx="2875">
                  <c:v>5000000</c:v>
                </c:pt>
                <c:pt idx="2876">
                  <c:v>8000000</c:v>
                </c:pt>
                <c:pt idx="2877">
                  <c:v>8000000</c:v>
                </c:pt>
                <c:pt idx="2878">
                  <c:v>8000000</c:v>
                </c:pt>
                <c:pt idx="2879">
                  <c:v>8000000</c:v>
                </c:pt>
                <c:pt idx="2880">
                  <c:v>8000000</c:v>
                </c:pt>
                <c:pt idx="2881">
                  <c:v>8000000</c:v>
                </c:pt>
                <c:pt idx="2882">
                  <c:v>8000000</c:v>
                </c:pt>
                <c:pt idx="2883">
                  <c:v>8000000</c:v>
                </c:pt>
                <c:pt idx="2884">
                  <c:v>10000000</c:v>
                </c:pt>
                <c:pt idx="2885">
                  <c:v>8000000</c:v>
                </c:pt>
                <c:pt idx="2886">
                  <c:v>8000000</c:v>
                </c:pt>
                <c:pt idx="2887">
                  <c:v>8000000</c:v>
                </c:pt>
                <c:pt idx="2888">
                  <c:v>8000000</c:v>
                </c:pt>
                <c:pt idx="2889">
                  <c:v>7200000</c:v>
                </c:pt>
                <c:pt idx="2890">
                  <c:v>8000000</c:v>
                </c:pt>
                <c:pt idx="2891">
                  <c:v>8000000</c:v>
                </c:pt>
                <c:pt idx="2892">
                  <c:v>6500000</c:v>
                </c:pt>
                <c:pt idx="2893">
                  <c:v>8000000</c:v>
                </c:pt>
                <c:pt idx="2894">
                  <c:v>8000000</c:v>
                </c:pt>
                <c:pt idx="2895">
                  <c:v>8000000</c:v>
                </c:pt>
                <c:pt idx="2896">
                  <c:v>8000000</c:v>
                </c:pt>
                <c:pt idx="2897">
                  <c:v>8000000</c:v>
                </c:pt>
                <c:pt idx="2898">
                  <c:v>8000000</c:v>
                </c:pt>
                <c:pt idx="2899">
                  <c:v>8000000</c:v>
                </c:pt>
                <c:pt idx="2900">
                  <c:v>8000000</c:v>
                </c:pt>
                <c:pt idx="2901">
                  <c:v>50000000</c:v>
                </c:pt>
                <c:pt idx="2902">
                  <c:v>8000000</c:v>
                </c:pt>
                <c:pt idx="2903">
                  <c:v>1100000000</c:v>
                </c:pt>
                <c:pt idx="2904">
                  <c:v>7900000</c:v>
                </c:pt>
                <c:pt idx="2905">
                  <c:v>10000000</c:v>
                </c:pt>
                <c:pt idx="2906">
                  <c:v>7500000</c:v>
                </c:pt>
                <c:pt idx="2907">
                  <c:v>7500000</c:v>
                </c:pt>
                <c:pt idx="2908">
                  <c:v>7500000</c:v>
                </c:pt>
                <c:pt idx="2909">
                  <c:v>6500000</c:v>
                </c:pt>
                <c:pt idx="2910">
                  <c:v>10000000</c:v>
                </c:pt>
                <c:pt idx="2911">
                  <c:v>4500000</c:v>
                </c:pt>
                <c:pt idx="2912">
                  <c:v>7500000</c:v>
                </c:pt>
                <c:pt idx="2913">
                  <c:v>7500000</c:v>
                </c:pt>
                <c:pt idx="2914">
                  <c:v>7500000</c:v>
                </c:pt>
                <c:pt idx="2915">
                  <c:v>7500000</c:v>
                </c:pt>
                <c:pt idx="2916">
                  <c:v>7500000</c:v>
                </c:pt>
                <c:pt idx="2917">
                  <c:v>8000000</c:v>
                </c:pt>
                <c:pt idx="2918">
                  <c:v>50000000</c:v>
                </c:pt>
                <c:pt idx="2919">
                  <c:v>7500000</c:v>
                </c:pt>
                <c:pt idx="2920">
                  <c:v>8000000</c:v>
                </c:pt>
                <c:pt idx="2921">
                  <c:v>6000000</c:v>
                </c:pt>
                <c:pt idx="2922">
                  <c:v>7300000</c:v>
                </c:pt>
                <c:pt idx="2923">
                  <c:v>7000000</c:v>
                </c:pt>
                <c:pt idx="2924">
                  <c:v>7300000</c:v>
                </c:pt>
                <c:pt idx="2925">
                  <c:v>7500000</c:v>
                </c:pt>
                <c:pt idx="2926">
                  <c:v>7500000</c:v>
                </c:pt>
                <c:pt idx="2927">
                  <c:v>7200000</c:v>
                </c:pt>
                <c:pt idx="2928">
                  <c:v>6000000</c:v>
                </c:pt>
                <c:pt idx="2929">
                  <c:v>4000000</c:v>
                </c:pt>
                <c:pt idx="2930">
                  <c:v>7500000</c:v>
                </c:pt>
                <c:pt idx="2931">
                  <c:v>7000000</c:v>
                </c:pt>
                <c:pt idx="2932">
                  <c:v>7000000</c:v>
                </c:pt>
                <c:pt idx="2933">
                  <c:v>11000000</c:v>
                </c:pt>
                <c:pt idx="2934">
                  <c:v>7000000</c:v>
                </c:pt>
                <c:pt idx="2935">
                  <c:v>5000000</c:v>
                </c:pt>
                <c:pt idx="2936">
                  <c:v>6600000</c:v>
                </c:pt>
                <c:pt idx="2937">
                  <c:v>7500000</c:v>
                </c:pt>
                <c:pt idx="2938">
                  <c:v>7000000</c:v>
                </c:pt>
                <c:pt idx="2939">
                  <c:v>7000000</c:v>
                </c:pt>
                <c:pt idx="2940">
                  <c:v>9000000</c:v>
                </c:pt>
                <c:pt idx="2941">
                  <c:v>13000000</c:v>
                </c:pt>
                <c:pt idx="2942">
                  <c:v>7000000</c:v>
                </c:pt>
                <c:pt idx="2943">
                  <c:v>3500000</c:v>
                </c:pt>
                <c:pt idx="2944">
                  <c:v>7000000</c:v>
                </c:pt>
                <c:pt idx="2945">
                  <c:v>7000000</c:v>
                </c:pt>
                <c:pt idx="2946">
                  <c:v>7000000</c:v>
                </c:pt>
                <c:pt idx="2947">
                  <c:v>7000000</c:v>
                </c:pt>
                <c:pt idx="2948">
                  <c:v>7000000</c:v>
                </c:pt>
                <c:pt idx="2949">
                  <c:v>7000000</c:v>
                </c:pt>
                <c:pt idx="2950">
                  <c:v>7000000</c:v>
                </c:pt>
                <c:pt idx="2951">
                  <c:v>7500000</c:v>
                </c:pt>
                <c:pt idx="2952">
                  <c:v>7000000</c:v>
                </c:pt>
                <c:pt idx="2953">
                  <c:v>7000000</c:v>
                </c:pt>
                <c:pt idx="2954">
                  <c:v>7000000</c:v>
                </c:pt>
                <c:pt idx="2955">
                  <c:v>7000000</c:v>
                </c:pt>
                <c:pt idx="2956">
                  <c:v>7000000</c:v>
                </c:pt>
                <c:pt idx="2957">
                  <c:v>7000000</c:v>
                </c:pt>
                <c:pt idx="2958">
                  <c:v>6000000</c:v>
                </c:pt>
                <c:pt idx="2959">
                  <c:v>7000000</c:v>
                </c:pt>
                <c:pt idx="2960">
                  <c:v>7000000</c:v>
                </c:pt>
                <c:pt idx="2961">
                  <c:v>7000000</c:v>
                </c:pt>
                <c:pt idx="2962">
                  <c:v>7000000</c:v>
                </c:pt>
                <c:pt idx="2963">
                  <c:v>7000000</c:v>
                </c:pt>
                <c:pt idx="2964">
                  <c:v>7000000</c:v>
                </c:pt>
                <c:pt idx="2965">
                  <c:v>7000000</c:v>
                </c:pt>
                <c:pt idx="2966">
                  <c:v>7000000</c:v>
                </c:pt>
                <c:pt idx="2967">
                  <c:v>7000000</c:v>
                </c:pt>
                <c:pt idx="2968">
                  <c:v>7000000</c:v>
                </c:pt>
                <c:pt idx="2969">
                  <c:v>7000000</c:v>
                </c:pt>
                <c:pt idx="2970">
                  <c:v>4825000</c:v>
                </c:pt>
                <c:pt idx="2971">
                  <c:v>9000000</c:v>
                </c:pt>
                <c:pt idx="2972">
                  <c:v>50000000</c:v>
                </c:pt>
                <c:pt idx="2973">
                  <c:v>7000000</c:v>
                </c:pt>
                <c:pt idx="2974">
                  <c:v>10000000</c:v>
                </c:pt>
                <c:pt idx="2975">
                  <c:v>7000000</c:v>
                </c:pt>
                <c:pt idx="2976">
                  <c:v>3500000</c:v>
                </c:pt>
                <c:pt idx="2977">
                  <c:v>7000000</c:v>
                </c:pt>
                <c:pt idx="2978">
                  <c:v>7000000</c:v>
                </c:pt>
                <c:pt idx="2979">
                  <c:v>7000000</c:v>
                </c:pt>
                <c:pt idx="2980">
                  <c:v>7000000</c:v>
                </c:pt>
                <c:pt idx="2981">
                  <c:v>7000000</c:v>
                </c:pt>
                <c:pt idx="2982">
                  <c:v>6900000</c:v>
                </c:pt>
                <c:pt idx="2983">
                  <c:v>6900000</c:v>
                </c:pt>
                <c:pt idx="2984">
                  <c:v>15000000</c:v>
                </c:pt>
                <c:pt idx="2985">
                  <c:v>6800000</c:v>
                </c:pt>
                <c:pt idx="2986">
                  <c:v>6800000</c:v>
                </c:pt>
                <c:pt idx="2987">
                  <c:v>6900000</c:v>
                </c:pt>
                <c:pt idx="2988">
                  <c:v>6800000</c:v>
                </c:pt>
                <c:pt idx="2989">
                  <c:v>5000000</c:v>
                </c:pt>
                <c:pt idx="2990">
                  <c:v>4000000</c:v>
                </c:pt>
                <c:pt idx="2991">
                  <c:v>6500000</c:v>
                </c:pt>
                <c:pt idx="2992">
                  <c:v>6500000</c:v>
                </c:pt>
                <c:pt idx="2993">
                  <c:v>6000000</c:v>
                </c:pt>
                <c:pt idx="2994">
                  <c:v>6500000</c:v>
                </c:pt>
                <c:pt idx="2995">
                  <c:v>6500000</c:v>
                </c:pt>
                <c:pt idx="2996">
                  <c:v>6500000</c:v>
                </c:pt>
                <c:pt idx="2997">
                  <c:v>6500000</c:v>
                </c:pt>
                <c:pt idx="2998">
                  <c:v>6500000</c:v>
                </c:pt>
                <c:pt idx="2999">
                  <c:v>6500000</c:v>
                </c:pt>
                <c:pt idx="3000">
                  <c:v>7000000</c:v>
                </c:pt>
                <c:pt idx="3001">
                  <c:v>6500000</c:v>
                </c:pt>
                <c:pt idx="3002">
                  <c:v>4000000</c:v>
                </c:pt>
                <c:pt idx="3003">
                  <c:v>6500000</c:v>
                </c:pt>
                <c:pt idx="3004">
                  <c:v>6500000</c:v>
                </c:pt>
                <c:pt idx="3005">
                  <c:v>6500000</c:v>
                </c:pt>
                <c:pt idx="3006">
                  <c:v>6500000</c:v>
                </c:pt>
                <c:pt idx="3007">
                  <c:v>6500000</c:v>
                </c:pt>
                <c:pt idx="3008">
                  <c:v>4500000</c:v>
                </c:pt>
                <c:pt idx="3009">
                  <c:v>6500000</c:v>
                </c:pt>
                <c:pt idx="3010">
                  <c:v>4800000</c:v>
                </c:pt>
                <c:pt idx="3011">
                  <c:v>10000000</c:v>
                </c:pt>
                <c:pt idx="3012">
                  <c:v>6000000</c:v>
                </c:pt>
                <c:pt idx="3013">
                  <c:v>6000000</c:v>
                </c:pt>
                <c:pt idx="3014">
                  <c:v>6000000</c:v>
                </c:pt>
                <c:pt idx="3015">
                  <c:v>6000000</c:v>
                </c:pt>
                <c:pt idx="3016">
                  <c:v>6000000</c:v>
                </c:pt>
                <c:pt idx="3017">
                  <c:v>6000000</c:v>
                </c:pt>
                <c:pt idx="3018">
                  <c:v>6000000</c:v>
                </c:pt>
                <c:pt idx="3019">
                  <c:v>6000000</c:v>
                </c:pt>
                <c:pt idx="3020">
                  <c:v>6000000</c:v>
                </c:pt>
                <c:pt idx="3021">
                  <c:v>6000000</c:v>
                </c:pt>
                <c:pt idx="3022">
                  <c:v>6000000</c:v>
                </c:pt>
                <c:pt idx="3023">
                  <c:v>6000000</c:v>
                </c:pt>
                <c:pt idx="3024">
                  <c:v>8000000</c:v>
                </c:pt>
                <c:pt idx="3025">
                  <c:v>6000000</c:v>
                </c:pt>
                <c:pt idx="3026">
                  <c:v>6000000</c:v>
                </c:pt>
                <c:pt idx="3027">
                  <c:v>6000000</c:v>
                </c:pt>
                <c:pt idx="3028">
                  <c:v>6000000</c:v>
                </c:pt>
                <c:pt idx="3029">
                  <c:v>6500000</c:v>
                </c:pt>
                <c:pt idx="3030">
                  <c:v>6000000</c:v>
                </c:pt>
                <c:pt idx="3031">
                  <c:v>6000000</c:v>
                </c:pt>
                <c:pt idx="3032">
                  <c:v>9000000</c:v>
                </c:pt>
                <c:pt idx="3033">
                  <c:v>6000000</c:v>
                </c:pt>
                <c:pt idx="3034">
                  <c:v>6000000</c:v>
                </c:pt>
                <c:pt idx="3035">
                  <c:v>3000000</c:v>
                </c:pt>
                <c:pt idx="3036">
                  <c:v>5000000</c:v>
                </c:pt>
                <c:pt idx="3037">
                  <c:v>6000000</c:v>
                </c:pt>
                <c:pt idx="3038">
                  <c:v>6000000</c:v>
                </c:pt>
                <c:pt idx="3039">
                  <c:v>6000000</c:v>
                </c:pt>
                <c:pt idx="3040">
                  <c:v>6000000</c:v>
                </c:pt>
                <c:pt idx="3041">
                  <c:v>6000000</c:v>
                </c:pt>
                <c:pt idx="3042">
                  <c:v>6000000</c:v>
                </c:pt>
                <c:pt idx="3043">
                  <c:v>6000000</c:v>
                </c:pt>
                <c:pt idx="3044">
                  <c:v>6500000</c:v>
                </c:pt>
                <c:pt idx="3045">
                  <c:v>6000000</c:v>
                </c:pt>
                <c:pt idx="3046">
                  <c:v>6000000</c:v>
                </c:pt>
                <c:pt idx="3047">
                  <c:v>6000000</c:v>
                </c:pt>
                <c:pt idx="3048">
                  <c:v>6000000</c:v>
                </c:pt>
                <c:pt idx="3049">
                  <c:v>6000000</c:v>
                </c:pt>
                <c:pt idx="3050">
                  <c:v>6000000</c:v>
                </c:pt>
                <c:pt idx="3051">
                  <c:v>6000000</c:v>
                </c:pt>
                <c:pt idx="3052">
                  <c:v>6000000</c:v>
                </c:pt>
                <c:pt idx="3053">
                  <c:v>6000000</c:v>
                </c:pt>
                <c:pt idx="3054">
                  <c:v>6000000</c:v>
                </c:pt>
                <c:pt idx="3055">
                  <c:v>6000000</c:v>
                </c:pt>
                <c:pt idx="3056">
                  <c:v>6000000</c:v>
                </c:pt>
                <c:pt idx="3057">
                  <c:v>6000000</c:v>
                </c:pt>
                <c:pt idx="3058">
                  <c:v>6000000</c:v>
                </c:pt>
                <c:pt idx="3059">
                  <c:v>6000000</c:v>
                </c:pt>
                <c:pt idx="3060">
                  <c:v>6000000</c:v>
                </c:pt>
                <c:pt idx="3061">
                  <c:v>12000000</c:v>
                </c:pt>
                <c:pt idx="3062">
                  <c:v>5300000</c:v>
                </c:pt>
                <c:pt idx="3063">
                  <c:v>6000000</c:v>
                </c:pt>
                <c:pt idx="3064">
                  <c:v>4000000</c:v>
                </c:pt>
                <c:pt idx="3065">
                  <c:v>200000000</c:v>
                </c:pt>
                <c:pt idx="3066">
                  <c:v>3500159</c:v>
                </c:pt>
                <c:pt idx="3067">
                  <c:v>5600000</c:v>
                </c:pt>
                <c:pt idx="3068">
                  <c:v>5600000</c:v>
                </c:pt>
                <c:pt idx="3069">
                  <c:v>5600000</c:v>
                </c:pt>
                <c:pt idx="3070">
                  <c:v>5500000</c:v>
                </c:pt>
                <c:pt idx="3071">
                  <c:v>5500000</c:v>
                </c:pt>
                <c:pt idx="3072">
                  <c:v>5500000</c:v>
                </c:pt>
                <c:pt idx="3073">
                  <c:v>5500000</c:v>
                </c:pt>
                <c:pt idx="3074">
                  <c:v>3000000</c:v>
                </c:pt>
                <c:pt idx="3075">
                  <c:v>7000000</c:v>
                </c:pt>
                <c:pt idx="3076">
                  <c:v>5500000</c:v>
                </c:pt>
                <c:pt idx="3077">
                  <c:v>5500000</c:v>
                </c:pt>
                <c:pt idx="3078">
                  <c:v>5000000</c:v>
                </c:pt>
                <c:pt idx="3079">
                  <c:v>5000000</c:v>
                </c:pt>
                <c:pt idx="3080">
                  <c:v>6500000</c:v>
                </c:pt>
                <c:pt idx="3081">
                  <c:v>5500000</c:v>
                </c:pt>
                <c:pt idx="3082">
                  <c:v>3850000</c:v>
                </c:pt>
                <c:pt idx="3083">
                  <c:v>5500000</c:v>
                </c:pt>
                <c:pt idx="3084">
                  <c:v>9000000</c:v>
                </c:pt>
                <c:pt idx="3085">
                  <c:v>5250000</c:v>
                </c:pt>
                <c:pt idx="3086">
                  <c:v>30300000</c:v>
                </c:pt>
                <c:pt idx="3087">
                  <c:v>6000000</c:v>
                </c:pt>
                <c:pt idx="3088">
                  <c:v>5000000</c:v>
                </c:pt>
                <c:pt idx="3089">
                  <c:v>4000000</c:v>
                </c:pt>
                <c:pt idx="3090">
                  <c:v>15000000</c:v>
                </c:pt>
                <c:pt idx="3091">
                  <c:v>5000000</c:v>
                </c:pt>
                <c:pt idx="3092">
                  <c:v>4900000</c:v>
                </c:pt>
                <c:pt idx="3093">
                  <c:v>5000000</c:v>
                </c:pt>
                <c:pt idx="3094">
                  <c:v>5000000</c:v>
                </c:pt>
                <c:pt idx="3095">
                  <c:v>4500000</c:v>
                </c:pt>
                <c:pt idx="3096">
                  <c:v>5000000</c:v>
                </c:pt>
                <c:pt idx="3097">
                  <c:v>5000000</c:v>
                </c:pt>
                <c:pt idx="3098">
                  <c:v>5000000</c:v>
                </c:pt>
                <c:pt idx="3099">
                  <c:v>8500000</c:v>
                </c:pt>
                <c:pt idx="3100">
                  <c:v>4500000</c:v>
                </c:pt>
                <c:pt idx="3101">
                  <c:v>5000000</c:v>
                </c:pt>
                <c:pt idx="3102">
                  <c:v>5000000</c:v>
                </c:pt>
                <c:pt idx="3103">
                  <c:v>3300000</c:v>
                </c:pt>
                <c:pt idx="3104">
                  <c:v>9000000</c:v>
                </c:pt>
                <c:pt idx="3105">
                  <c:v>5000000</c:v>
                </c:pt>
                <c:pt idx="3106">
                  <c:v>5000000</c:v>
                </c:pt>
                <c:pt idx="3107">
                  <c:v>5000000</c:v>
                </c:pt>
                <c:pt idx="3108">
                  <c:v>5000000</c:v>
                </c:pt>
                <c:pt idx="3109">
                  <c:v>5000000</c:v>
                </c:pt>
                <c:pt idx="3110">
                  <c:v>5000000</c:v>
                </c:pt>
                <c:pt idx="3111">
                  <c:v>5000000</c:v>
                </c:pt>
                <c:pt idx="3112">
                  <c:v>5000000</c:v>
                </c:pt>
                <c:pt idx="3113">
                  <c:v>4500000</c:v>
                </c:pt>
                <c:pt idx="3114">
                  <c:v>5000000</c:v>
                </c:pt>
                <c:pt idx="3115">
                  <c:v>5000000</c:v>
                </c:pt>
                <c:pt idx="3116">
                  <c:v>5000000</c:v>
                </c:pt>
                <c:pt idx="3117">
                  <c:v>5000000</c:v>
                </c:pt>
                <c:pt idx="3118">
                  <c:v>5000000</c:v>
                </c:pt>
                <c:pt idx="3119">
                  <c:v>5000000</c:v>
                </c:pt>
                <c:pt idx="3120">
                  <c:v>5000000</c:v>
                </c:pt>
                <c:pt idx="3121">
                  <c:v>2000000</c:v>
                </c:pt>
                <c:pt idx="3122">
                  <c:v>4000000</c:v>
                </c:pt>
                <c:pt idx="3123">
                  <c:v>5000000</c:v>
                </c:pt>
                <c:pt idx="3124">
                  <c:v>5000000</c:v>
                </c:pt>
                <c:pt idx="3125">
                  <c:v>5000000</c:v>
                </c:pt>
                <c:pt idx="3126">
                  <c:v>5000000</c:v>
                </c:pt>
                <c:pt idx="3127">
                  <c:v>5000000</c:v>
                </c:pt>
                <c:pt idx="3128">
                  <c:v>5000000</c:v>
                </c:pt>
                <c:pt idx="3129">
                  <c:v>5000000</c:v>
                </c:pt>
                <c:pt idx="3130">
                  <c:v>8000000</c:v>
                </c:pt>
                <c:pt idx="3131">
                  <c:v>5000000</c:v>
                </c:pt>
                <c:pt idx="3132">
                  <c:v>5000000</c:v>
                </c:pt>
                <c:pt idx="3133">
                  <c:v>8000000</c:v>
                </c:pt>
                <c:pt idx="3134">
                  <c:v>5000000</c:v>
                </c:pt>
                <c:pt idx="3135">
                  <c:v>5000000</c:v>
                </c:pt>
                <c:pt idx="3136">
                  <c:v>5000000</c:v>
                </c:pt>
                <c:pt idx="3137">
                  <c:v>6000000</c:v>
                </c:pt>
                <c:pt idx="3138">
                  <c:v>5000000</c:v>
                </c:pt>
                <c:pt idx="3139">
                  <c:v>5000000</c:v>
                </c:pt>
                <c:pt idx="3140">
                  <c:v>5000000</c:v>
                </c:pt>
                <c:pt idx="3141">
                  <c:v>5000000</c:v>
                </c:pt>
                <c:pt idx="3142">
                  <c:v>5000000</c:v>
                </c:pt>
                <c:pt idx="3143">
                  <c:v>5000000</c:v>
                </c:pt>
                <c:pt idx="3144">
                  <c:v>5000000</c:v>
                </c:pt>
                <c:pt idx="3145">
                  <c:v>4000000</c:v>
                </c:pt>
                <c:pt idx="3146">
                  <c:v>5000000</c:v>
                </c:pt>
                <c:pt idx="3147">
                  <c:v>5000000</c:v>
                </c:pt>
                <c:pt idx="3148">
                  <c:v>5000000</c:v>
                </c:pt>
                <c:pt idx="3149">
                  <c:v>5000000</c:v>
                </c:pt>
                <c:pt idx="3150">
                  <c:v>5000000</c:v>
                </c:pt>
                <c:pt idx="3151">
                  <c:v>5000000</c:v>
                </c:pt>
                <c:pt idx="3152">
                  <c:v>5000000</c:v>
                </c:pt>
                <c:pt idx="3153">
                  <c:v>5000000</c:v>
                </c:pt>
                <c:pt idx="3154">
                  <c:v>5000000</c:v>
                </c:pt>
                <c:pt idx="3155">
                  <c:v>5000000</c:v>
                </c:pt>
                <c:pt idx="3156">
                  <c:v>5000000</c:v>
                </c:pt>
                <c:pt idx="3157">
                  <c:v>7000000</c:v>
                </c:pt>
                <c:pt idx="3158">
                  <c:v>5000000</c:v>
                </c:pt>
                <c:pt idx="3159">
                  <c:v>5000000</c:v>
                </c:pt>
                <c:pt idx="3160">
                  <c:v>2000000</c:v>
                </c:pt>
                <c:pt idx="3161">
                  <c:v>5000000</c:v>
                </c:pt>
                <c:pt idx="3162">
                  <c:v>5000000</c:v>
                </c:pt>
                <c:pt idx="3163">
                  <c:v>5000000</c:v>
                </c:pt>
                <c:pt idx="3164">
                  <c:v>5000000</c:v>
                </c:pt>
                <c:pt idx="3165">
                  <c:v>84450000</c:v>
                </c:pt>
                <c:pt idx="3166">
                  <c:v>4000000</c:v>
                </c:pt>
                <c:pt idx="3167">
                  <c:v>890000</c:v>
                </c:pt>
                <c:pt idx="3168">
                  <c:v>4800000</c:v>
                </c:pt>
                <c:pt idx="3169">
                  <c:v>2800000</c:v>
                </c:pt>
                <c:pt idx="3170">
                  <c:v>5000000</c:v>
                </c:pt>
                <c:pt idx="3171">
                  <c:v>4700000</c:v>
                </c:pt>
                <c:pt idx="3172">
                  <c:v>4700000</c:v>
                </c:pt>
                <c:pt idx="3173">
                  <c:v>4800000</c:v>
                </c:pt>
                <c:pt idx="3174">
                  <c:v>4600000</c:v>
                </c:pt>
                <c:pt idx="3175">
                  <c:v>4600000</c:v>
                </c:pt>
                <c:pt idx="3176">
                  <c:v>4500000</c:v>
                </c:pt>
                <c:pt idx="3177">
                  <c:v>4500000</c:v>
                </c:pt>
                <c:pt idx="3178">
                  <c:v>15000000</c:v>
                </c:pt>
                <c:pt idx="3179">
                  <c:v>4500000</c:v>
                </c:pt>
                <c:pt idx="3180">
                  <c:v>4500000</c:v>
                </c:pt>
                <c:pt idx="3181">
                  <c:v>700000000</c:v>
                </c:pt>
                <c:pt idx="3182">
                  <c:v>5000000</c:v>
                </c:pt>
                <c:pt idx="3183">
                  <c:v>4500000</c:v>
                </c:pt>
                <c:pt idx="3184">
                  <c:v>4500000</c:v>
                </c:pt>
                <c:pt idx="3185">
                  <c:v>2000000</c:v>
                </c:pt>
                <c:pt idx="3186">
                  <c:v>4200000000</c:v>
                </c:pt>
                <c:pt idx="3187">
                  <c:v>2500000</c:v>
                </c:pt>
                <c:pt idx="3188">
                  <c:v>35000000</c:v>
                </c:pt>
                <c:pt idx="3189">
                  <c:v>4500000</c:v>
                </c:pt>
                <c:pt idx="3190">
                  <c:v>4400000</c:v>
                </c:pt>
                <c:pt idx="3191">
                  <c:v>4500000</c:v>
                </c:pt>
                <c:pt idx="3192">
                  <c:v>3000000</c:v>
                </c:pt>
                <c:pt idx="3193">
                  <c:v>6000000</c:v>
                </c:pt>
                <c:pt idx="3194">
                  <c:v>150000000</c:v>
                </c:pt>
                <c:pt idx="3195">
                  <c:v>4200000</c:v>
                </c:pt>
                <c:pt idx="3196">
                  <c:v>2300000</c:v>
                </c:pt>
                <c:pt idx="3197">
                  <c:v>4000000</c:v>
                </c:pt>
                <c:pt idx="3198">
                  <c:v>4000000</c:v>
                </c:pt>
                <c:pt idx="3199">
                  <c:v>4000000</c:v>
                </c:pt>
                <c:pt idx="3200">
                  <c:v>4000000</c:v>
                </c:pt>
                <c:pt idx="3201">
                  <c:v>4000000</c:v>
                </c:pt>
                <c:pt idx="3202">
                  <c:v>4000000</c:v>
                </c:pt>
                <c:pt idx="3203">
                  <c:v>8500000</c:v>
                </c:pt>
                <c:pt idx="3204">
                  <c:v>3600000</c:v>
                </c:pt>
                <c:pt idx="3205">
                  <c:v>4000000</c:v>
                </c:pt>
                <c:pt idx="3206">
                  <c:v>3500000</c:v>
                </c:pt>
                <c:pt idx="3207">
                  <c:v>4000000</c:v>
                </c:pt>
                <c:pt idx="3208">
                  <c:v>5000000</c:v>
                </c:pt>
                <c:pt idx="3209">
                  <c:v>4000000</c:v>
                </c:pt>
                <c:pt idx="3210">
                  <c:v>4000000</c:v>
                </c:pt>
                <c:pt idx="3211">
                  <c:v>4000000</c:v>
                </c:pt>
                <c:pt idx="3212">
                  <c:v>6000000</c:v>
                </c:pt>
                <c:pt idx="3213">
                  <c:v>3200000</c:v>
                </c:pt>
                <c:pt idx="3214">
                  <c:v>4000000</c:v>
                </c:pt>
                <c:pt idx="3215">
                  <c:v>3400000</c:v>
                </c:pt>
                <c:pt idx="3216">
                  <c:v>4000000</c:v>
                </c:pt>
                <c:pt idx="3217">
                  <c:v>4000000</c:v>
                </c:pt>
                <c:pt idx="3218">
                  <c:v>4000000</c:v>
                </c:pt>
                <c:pt idx="3219">
                  <c:v>4000000</c:v>
                </c:pt>
                <c:pt idx="3220">
                  <c:v>8000000</c:v>
                </c:pt>
                <c:pt idx="3221">
                  <c:v>4000000</c:v>
                </c:pt>
                <c:pt idx="3222">
                  <c:v>4000000</c:v>
                </c:pt>
                <c:pt idx="3223">
                  <c:v>4000000</c:v>
                </c:pt>
                <c:pt idx="3224">
                  <c:v>4000000</c:v>
                </c:pt>
                <c:pt idx="3225">
                  <c:v>4000000</c:v>
                </c:pt>
                <c:pt idx="3226">
                  <c:v>4000000</c:v>
                </c:pt>
                <c:pt idx="3227">
                  <c:v>4000000</c:v>
                </c:pt>
                <c:pt idx="3228">
                  <c:v>4000000</c:v>
                </c:pt>
                <c:pt idx="3229">
                  <c:v>4000000</c:v>
                </c:pt>
                <c:pt idx="3230">
                  <c:v>4000000</c:v>
                </c:pt>
                <c:pt idx="3231">
                  <c:v>4000000</c:v>
                </c:pt>
                <c:pt idx="3232">
                  <c:v>3000000</c:v>
                </c:pt>
                <c:pt idx="3233">
                  <c:v>1300000</c:v>
                </c:pt>
                <c:pt idx="3234">
                  <c:v>1500000</c:v>
                </c:pt>
                <c:pt idx="3235">
                  <c:v>4000000</c:v>
                </c:pt>
                <c:pt idx="3236">
                  <c:v>4000000</c:v>
                </c:pt>
                <c:pt idx="3237">
                  <c:v>9500000</c:v>
                </c:pt>
                <c:pt idx="3238">
                  <c:v>14000000</c:v>
                </c:pt>
                <c:pt idx="3239">
                  <c:v>2500000</c:v>
                </c:pt>
                <c:pt idx="3240">
                  <c:v>16000000</c:v>
                </c:pt>
                <c:pt idx="3241">
                  <c:v>4000000</c:v>
                </c:pt>
                <c:pt idx="3242">
                  <c:v>650000</c:v>
                </c:pt>
                <c:pt idx="3243">
                  <c:v>4000000</c:v>
                </c:pt>
                <c:pt idx="3244">
                  <c:v>4000000</c:v>
                </c:pt>
                <c:pt idx="3245">
                  <c:v>3977000</c:v>
                </c:pt>
                <c:pt idx="3246">
                  <c:v>4000000</c:v>
                </c:pt>
                <c:pt idx="3247">
                  <c:v>3800000</c:v>
                </c:pt>
                <c:pt idx="3248">
                  <c:v>3768785</c:v>
                </c:pt>
                <c:pt idx="3249">
                  <c:v>3500000</c:v>
                </c:pt>
                <c:pt idx="3250">
                  <c:v>3700000</c:v>
                </c:pt>
                <c:pt idx="3251">
                  <c:v>3800000</c:v>
                </c:pt>
                <c:pt idx="3252">
                  <c:v>2000000</c:v>
                </c:pt>
                <c:pt idx="3253">
                  <c:v>3500000</c:v>
                </c:pt>
                <c:pt idx="3254">
                  <c:v>3500000</c:v>
                </c:pt>
                <c:pt idx="3255">
                  <c:v>3500000</c:v>
                </c:pt>
                <c:pt idx="3256">
                  <c:v>3500000</c:v>
                </c:pt>
                <c:pt idx="3257">
                  <c:v>3500000</c:v>
                </c:pt>
                <c:pt idx="3258">
                  <c:v>3500000</c:v>
                </c:pt>
                <c:pt idx="3259">
                  <c:v>3500000</c:v>
                </c:pt>
                <c:pt idx="3260">
                  <c:v>3500000</c:v>
                </c:pt>
                <c:pt idx="3261">
                  <c:v>3500000</c:v>
                </c:pt>
                <c:pt idx="3262">
                  <c:v>2000000</c:v>
                </c:pt>
                <c:pt idx="3263">
                  <c:v>3600000</c:v>
                </c:pt>
                <c:pt idx="3264">
                  <c:v>3000000</c:v>
                </c:pt>
                <c:pt idx="3265">
                  <c:v>3500000</c:v>
                </c:pt>
                <c:pt idx="3266">
                  <c:v>19900000</c:v>
                </c:pt>
                <c:pt idx="3267">
                  <c:v>3500000</c:v>
                </c:pt>
                <c:pt idx="3268">
                  <c:v>3500000</c:v>
                </c:pt>
                <c:pt idx="3269">
                  <c:v>3500000</c:v>
                </c:pt>
                <c:pt idx="3270">
                  <c:v>3500000</c:v>
                </c:pt>
                <c:pt idx="3271">
                  <c:v>8000000</c:v>
                </c:pt>
                <c:pt idx="3272">
                  <c:v>3500000</c:v>
                </c:pt>
                <c:pt idx="3273">
                  <c:v>3000000</c:v>
                </c:pt>
                <c:pt idx="3274">
                  <c:v>3300000</c:v>
                </c:pt>
                <c:pt idx="3275">
                  <c:v>3300000</c:v>
                </c:pt>
                <c:pt idx="3276">
                  <c:v>2200000</c:v>
                </c:pt>
                <c:pt idx="3277">
                  <c:v>3800000</c:v>
                </c:pt>
                <c:pt idx="3278">
                  <c:v>3300000</c:v>
                </c:pt>
                <c:pt idx="3279">
                  <c:v>2000000</c:v>
                </c:pt>
                <c:pt idx="3280">
                  <c:v>3000000</c:v>
                </c:pt>
                <c:pt idx="3281">
                  <c:v>3200000</c:v>
                </c:pt>
                <c:pt idx="3282">
                  <c:v>3000000</c:v>
                </c:pt>
                <c:pt idx="3283">
                  <c:v>3000000</c:v>
                </c:pt>
                <c:pt idx="3284">
                  <c:v>3500000</c:v>
                </c:pt>
                <c:pt idx="3285">
                  <c:v>3000000</c:v>
                </c:pt>
                <c:pt idx="3286">
                  <c:v>3000000</c:v>
                </c:pt>
                <c:pt idx="3287">
                  <c:v>3000000</c:v>
                </c:pt>
                <c:pt idx="3288">
                  <c:v>4000000</c:v>
                </c:pt>
                <c:pt idx="3289">
                  <c:v>2200000</c:v>
                </c:pt>
                <c:pt idx="3290">
                  <c:v>3000000</c:v>
                </c:pt>
                <c:pt idx="3291">
                  <c:v>3000000</c:v>
                </c:pt>
                <c:pt idx="3292">
                  <c:v>3000000</c:v>
                </c:pt>
                <c:pt idx="3293">
                  <c:v>3000000</c:v>
                </c:pt>
                <c:pt idx="3294">
                  <c:v>3000000</c:v>
                </c:pt>
                <c:pt idx="3295">
                  <c:v>3000000</c:v>
                </c:pt>
                <c:pt idx="3296">
                  <c:v>3000000</c:v>
                </c:pt>
                <c:pt idx="3297">
                  <c:v>3000000</c:v>
                </c:pt>
                <c:pt idx="3298">
                  <c:v>2500000</c:v>
                </c:pt>
                <c:pt idx="3299">
                  <c:v>3000000</c:v>
                </c:pt>
                <c:pt idx="3300">
                  <c:v>3000000</c:v>
                </c:pt>
                <c:pt idx="3301">
                  <c:v>3000000</c:v>
                </c:pt>
                <c:pt idx="3302">
                  <c:v>3000000</c:v>
                </c:pt>
                <c:pt idx="3303">
                  <c:v>3000000</c:v>
                </c:pt>
                <c:pt idx="3304">
                  <c:v>3000000</c:v>
                </c:pt>
                <c:pt idx="3305">
                  <c:v>3000000</c:v>
                </c:pt>
                <c:pt idx="3306">
                  <c:v>1900000</c:v>
                </c:pt>
                <c:pt idx="3307">
                  <c:v>3000000</c:v>
                </c:pt>
                <c:pt idx="3308">
                  <c:v>3000000</c:v>
                </c:pt>
                <c:pt idx="3309">
                  <c:v>3000000</c:v>
                </c:pt>
                <c:pt idx="3310">
                  <c:v>3000000</c:v>
                </c:pt>
                <c:pt idx="3311">
                  <c:v>4500000</c:v>
                </c:pt>
                <c:pt idx="3312">
                  <c:v>3500000</c:v>
                </c:pt>
                <c:pt idx="3313">
                  <c:v>3300000</c:v>
                </c:pt>
                <c:pt idx="3314">
                  <c:v>3000000</c:v>
                </c:pt>
                <c:pt idx="3315">
                  <c:v>3000000</c:v>
                </c:pt>
                <c:pt idx="3316">
                  <c:v>3000000</c:v>
                </c:pt>
                <c:pt idx="3317">
                  <c:v>3000000</c:v>
                </c:pt>
                <c:pt idx="3318">
                  <c:v>3500000</c:v>
                </c:pt>
                <c:pt idx="3319">
                  <c:v>3000000</c:v>
                </c:pt>
                <c:pt idx="3320">
                  <c:v>3000000</c:v>
                </c:pt>
                <c:pt idx="3321">
                  <c:v>3000000</c:v>
                </c:pt>
                <c:pt idx="3322">
                  <c:v>3000000</c:v>
                </c:pt>
                <c:pt idx="3323">
                  <c:v>2700000</c:v>
                </c:pt>
                <c:pt idx="3324">
                  <c:v>3000000</c:v>
                </c:pt>
                <c:pt idx="3325">
                  <c:v>5000000</c:v>
                </c:pt>
                <c:pt idx="3326">
                  <c:v>3000000</c:v>
                </c:pt>
                <c:pt idx="3327">
                  <c:v>3000000</c:v>
                </c:pt>
                <c:pt idx="3328">
                  <c:v>3000000</c:v>
                </c:pt>
                <c:pt idx="3329">
                  <c:v>2900000</c:v>
                </c:pt>
                <c:pt idx="3330">
                  <c:v>1500000</c:v>
                </c:pt>
                <c:pt idx="3331">
                  <c:v>3000000</c:v>
                </c:pt>
                <c:pt idx="3332">
                  <c:v>2200000</c:v>
                </c:pt>
                <c:pt idx="3333">
                  <c:v>8000000</c:v>
                </c:pt>
                <c:pt idx="3334">
                  <c:v>2800000</c:v>
                </c:pt>
                <c:pt idx="3335">
                  <c:v>2800000</c:v>
                </c:pt>
                <c:pt idx="3336">
                  <c:v>2800000</c:v>
                </c:pt>
                <c:pt idx="3337">
                  <c:v>2000000</c:v>
                </c:pt>
                <c:pt idx="3338">
                  <c:v>2700000</c:v>
                </c:pt>
                <c:pt idx="3339">
                  <c:v>2600000</c:v>
                </c:pt>
                <c:pt idx="3340">
                  <c:v>1800000</c:v>
                </c:pt>
                <c:pt idx="3341">
                  <c:v>2600000</c:v>
                </c:pt>
                <c:pt idx="3342">
                  <c:v>2800000</c:v>
                </c:pt>
                <c:pt idx="3343">
                  <c:v>2600000</c:v>
                </c:pt>
                <c:pt idx="3344">
                  <c:v>2500000</c:v>
                </c:pt>
                <c:pt idx="3345">
                  <c:v>2500000</c:v>
                </c:pt>
                <c:pt idx="3346">
                  <c:v>26000000</c:v>
                </c:pt>
                <c:pt idx="3347">
                  <c:v>2500000</c:v>
                </c:pt>
                <c:pt idx="3348">
                  <c:v>2500000</c:v>
                </c:pt>
                <c:pt idx="3349">
                  <c:v>2500000</c:v>
                </c:pt>
                <c:pt idx="3350">
                  <c:v>2500000</c:v>
                </c:pt>
                <c:pt idx="3351">
                  <c:v>2500000</c:v>
                </c:pt>
                <c:pt idx="3352">
                  <c:v>2500000</c:v>
                </c:pt>
                <c:pt idx="3353">
                  <c:v>2500000</c:v>
                </c:pt>
                <c:pt idx="3354">
                  <c:v>2000000</c:v>
                </c:pt>
                <c:pt idx="3355">
                  <c:v>34000</c:v>
                </c:pt>
                <c:pt idx="3356">
                  <c:v>2500000</c:v>
                </c:pt>
                <c:pt idx="3357">
                  <c:v>2500000</c:v>
                </c:pt>
                <c:pt idx="3358">
                  <c:v>2500000</c:v>
                </c:pt>
                <c:pt idx="3359">
                  <c:v>2500000</c:v>
                </c:pt>
                <c:pt idx="3360">
                  <c:v>2500000</c:v>
                </c:pt>
                <c:pt idx="3361">
                  <c:v>14000000</c:v>
                </c:pt>
                <c:pt idx="3362">
                  <c:v>8400000</c:v>
                </c:pt>
                <c:pt idx="3363">
                  <c:v>2500000</c:v>
                </c:pt>
                <c:pt idx="3364">
                  <c:v>2500000</c:v>
                </c:pt>
                <c:pt idx="3365">
                  <c:v>2400000</c:v>
                </c:pt>
                <c:pt idx="3366">
                  <c:v>2400000</c:v>
                </c:pt>
                <c:pt idx="3367">
                  <c:v>1500000</c:v>
                </c:pt>
                <c:pt idx="3368">
                  <c:v>2450000</c:v>
                </c:pt>
                <c:pt idx="3369">
                  <c:v>2280000</c:v>
                </c:pt>
                <c:pt idx="3370">
                  <c:v>4000000</c:v>
                </c:pt>
                <c:pt idx="3371">
                  <c:v>2200000</c:v>
                </c:pt>
                <c:pt idx="3372">
                  <c:v>2200000</c:v>
                </c:pt>
                <c:pt idx="3373">
                  <c:v>2300000</c:v>
                </c:pt>
                <c:pt idx="3374">
                  <c:v>2100000</c:v>
                </c:pt>
                <c:pt idx="3375">
                  <c:v>15500000</c:v>
                </c:pt>
                <c:pt idx="3376">
                  <c:v>2100000</c:v>
                </c:pt>
                <c:pt idx="3377">
                  <c:v>2000000</c:v>
                </c:pt>
                <c:pt idx="3378">
                  <c:v>2300000</c:v>
                </c:pt>
                <c:pt idx="3379">
                  <c:v>2000000</c:v>
                </c:pt>
                <c:pt idx="3380">
                  <c:v>2000000</c:v>
                </c:pt>
                <c:pt idx="3381">
                  <c:v>2000000</c:v>
                </c:pt>
                <c:pt idx="3382">
                  <c:v>2000000</c:v>
                </c:pt>
                <c:pt idx="3383">
                  <c:v>2000000</c:v>
                </c:pt>
                <c:pt idx="3384">
                  <c:v>2000000</c:v>
                </c:pt>
                <c:pt idx="3385">
                  <c:v>2000000</c:v>
                </c:pt>
                <c:pt idx="3386">
                  <c:v>9500000</c:v>
                </c:pt>
                <c:pt idx="3387">
                  <c:v>2000000</c:v>
                </c:pt>
                <c:pt idx="3388">
                  <c:v>2700000</c:v>
                </c:pt>
                <c:pt idx="3389">
                  <c:v>2000000</c:v>
                </c:pt>
                <c:pt idx="3390">
                  <c:v>1500000</c:v>
                </c:pt>
                <c:pt idx="3391">
                  <c:v>2000000</c:v>
                </c:pt>
                <c:pt idx="3392">
                  <c:v>2000000</c:v>
                </c:pt>
                <c:pt idx="3393">
                  <c:v>2000000</c:v>
                </c:pt>
                <c:pt idx="3394">
                  <c:v>2000000</c:v>
                </c:pt>
                <c:pt idx="3395">
                  <c:v>2000000</c:v>
                </c:pt>
                <c:pt idx="3396">
                  <c:v>2000000</c:v>
                </c:pt>
                <c:pt idx="3397">
                  <c:v>2000000</c:v>
                </c:pt>
                <c:pt idx="3398">
                  <c:v>2000000</c:v>
                </c:pt>
                <c:pt idx="3399">
                  <c:v>1500000</c:v>
                </c:pt>
                <c:pt idx="3400">
                  <c:v>2000000</c:v>
                </c:pt>
                <c:pt idx="3401">
                  <c:v>2000000</c:v>
                </c:pt>
                <c:pt idx="3402">
                  <c:v>2000000</c:v>
                </c:pt>
                <c:pt idx="3403">
                  <c:v>2000000</c:v>
                </c:pt>
                <c:pt idx="3404">
                  <c:v>2000000</c:v>
                </c:pt>
                <c:pt idx="3405">
                  <c:v>3400000</c:v>
                </c:pt>
                <c:pt idx="3406">
                  <c:v>6000000</c:v>
                </c:pt>
                <c:pt idx="3407">
                  <c:v>2000000</c:v>
                </c:pt>
                <c:pt idx="3408">
                  <c:v>3800000</c:v>
                </c:pt>
                <c:pt idx="3409">
                  <c:v>13500000</c:v>
                </c:pt>
                <c:pt idx="3410">
                  <c:v>1500000</c:v>
                </c:pt>
                <c:pt idx="3411">
                  <c:v>14000</c:v>
                </c:pt>
                <c:pt idx="3412">
                  <c:v>2000000</c:v>
                </c:pt>
                <c:pt idx="3413">
                  <c:v>2000000</c:v>
                </c:pt>
                <c:pt idx="3414">
                  <c:v>2300000</c:v>
                </c:pt>
                <c:pt idx="3415">
                  <c:v>2000000</c:v>
                </c:pt>
                <c:pt idx="3416">
                  <c:v>1900000</c:v>
                </c:pt>
                <c:pt idx="3417">
                  <c:v>3000000</c:v>
                </c:pt>
                <c:pt idx="3418">
                  <c:v>1400000</c:v>
                </c:pt>
                <c:pt idx="3419">
                  <c:v>1000000</c:v>
                </c:pt>
                <c:pt idx="3420">
                  <c:v>1900000</c:v>
                </c:pt>
                <c:pt idx="3421">
                  <c:v>1800000</c:v>
                </c:pt>
                <c:pt idx="3422">
                  <c:v>1800000</c:v>
                </c:pt>
                <c:pt idx="3423">
                  <c:v>1800000</c:v>
                </c:pt>
                <c:pt idx="3424">
                  <c:v>1500000</c:v>
                </c:pt>
                <c:pt idx="3425">
                  <c:v>1800000</c:v>
                </c:pt>
                <c:pt idx="3426">
                  <c:v>3500000</c:v>
                </c:pt>
                <c:pt idx="3427">
                  <c:v>500000</c:v>
                </c:pt>
                <c:pt idx="3428">
                  <c:v>1700000</c:v>
                </c:pt>
                <c:pt idx="3429">
                  <c:v>2000000</c:v>
                </c:pt>
                <c:pt idx="3430">
                  <c:v>1700000</c:v>
                </c:pt>
                <c:pt idx="3431">
                  <c:v>1700000</c:v>
                </c:pt>
                <c:pt idx="3432">
                  <c:v>1000000</c:v>
                </c:pt>
                <c:pt idx="3433">
                  <c:v>1000000</c:v>
                </c:pt>
                <c:pt idx="3434">
                  <c:v>2000000</c:v>
                </c:pt>
                <c:pt idx="3435">
                  <c:v>1300000</c:v>
                </c:pt>
                <c:pt idx="3436">
                  <c:v>1500000</c:v>
                </c:pt>
                <c:pt idx="3437">
                  <c:v>1600000</c:v>
                </c:pt>
                <c:pt idx="3438">
                  <c:v>1650000</c:v>
                </c:pt>
                <c:pt idx="3439">
                  <c:v>2000000</c:v>
                </c:pt>
                <c:pt idx="3440">
                  <c:v>1500000</c:v>
                </c:pt>
                <c:pt idx="3441">
                  <c:v>1000000</c:v>
                </c:pt>
                <c:pt idx="3442">
                  <c:v>2000000</c:v>
                </c:pt>
                <c:pt idx="3443">
                  <c:v>1500000</c:v>
                </c:pt>
                <c:pt idx="3444">
                  <c:v>1500000</c:v>
                </c:pt>
                <c:pt idx="3445">
                  <c:v>1500000</c:v>
                </c:pt>
                <c:pt idx="3446">
                  <c:v>1500000</c:v>
                </c:pt>
                <c:pt idx="3447">
                  <c:v>1500000</c:v>
                </c:pt>
                <c:pt idx="3448">
                  <c:v>1500000</c:v>
                </c:pt>
                <c:pt idx="3449">
                  <c:v>1500000</c:v>
                </c:pt>
                <c:pt idx="3450">
                  <c:v>1500000</c:v>
                </c:pt>
                <c:pt idx="3451">
                  <c:v>1500000</c:v>
                </c:pt>
                <c:pt idx="3452">
                  <c:v>1500000</c:v>
                </c:pt>
                <c:pt idx="3453">
                  <c:v>1500000</c:v>
                </c:pt>
                <c:pt idx="3454">
                  <c:v>1500000</c:v>
                </c:pt>
                <c:pt idx="3455">
                  <c:v>1500000</c:v>
                </c:pt>
                <c:pt idx="3456">
                  <c:v>1500000</c:v>
                </c:pt>
                <c:pt idx="3457">
                  <c:v>1700000</c:v>
                </c:pt>
                <c:pt idx="3458">
                  <c:v>1500000</c:v>
                </c:pt>
                <c:pt idx="3459">
                  <c:v>2000000</c:v>
                </c:pt>
                <c:pt idx="3460">
                  <c:v>2500000</c:v>
                </c:pt>
                <c:pt idx="3461">
                  <c:v>2000000</c:v>
                </c:pt>
                <c:pt idx="3462">
                  <c:v>1400000</c:v>
                </c:pt>
                <c:pt idx="3463">
                  <c:v>1400000</c:v>
                </c:pt>
                <c:pt idx="3464">
                  <c:v>960000</c:v>
                </c:pt>
                <c:pt idx="3465">
                  <c:v>1300000</c:v>
                </c:pt>
                <c:pt idx="3466">
                  <c:v>1300000</c:v>
                </c:pt>
                <c:pt idx="3467">
                  <c:v>1592000</c:v>
                </c:pt>
                <c:pt idx="3468">
                  <c:v>1300000</c:v>
                </c:pt>
                <c:pt idx="3469">
                  <c:v>1500000</c:v>
                </c:pt>
                <c:pt idx="3470">
                  <c:v>1000000</c:v>
                </c:pt>
                <c:pt idx="3471">
                  <c:v>1500000</c:v>
                </c:pt>
                <c:pt idx="3472">
                  <c:v>1250000</c:v>
                </c:pt>
                <c:pt idx="3473">
                  <c:v>427000</c:v>
                </c:pt>
                <c:pt idx="3474">
                  <c:v>1200000</c:v>
                </c:pt>
                <c:pt idx="3475">
                  <c:v>1200000</c:v>
                </c:pt>
                <c:pt idx="3476">
                  <c:v>1200000</c:v>
                </c:pt>
                <c:pt idx="3477">
                  <c:v>1300000</c:v>
                </c:pt>
                <c:pt idx="3478">
                  <c:v>7000000</c:v>
                </c:pt>
                <c:pt idx="3479">
                  <c:v>1200000</c:v>
                </c:pt>
                <c:pt idx="3480">
                  <c:v>1200000</c:v>
                </c:pt>
                <c:pt idx="3481">
                  <c:v>1200000</c:v>
                </c:pt>
                <c:pt idx="3482">
                  <c:v>1200000</c:v>
                </c:pt>
                <c:pt idx="3483">
                  <c:v>1200000</c:v>
                </c:pt>
                <c:pt idx="3484">
                  <c:v>4000000</c:v>
                </c:pt>
                <c:pt idx="3485">
                  <c:v>1200000</c:v>
                </c:pt>
                <c:pt idx="3486">
                  <c:v>1200000</c:v>
                </c:pt>
                <c:pt idx="3487">
                  <c:v>1200000</c:v>
                </c:pt>
                <c:pt idx="3488">
                  <c:v>1200000</c:v>
                </c:pt>
                <c:pt idx="3489">
                  <c:v>1200000</c:v>
                </c:pt>
                <c:pt idx="3490">
                  <c:v>2600000</c:v>
                </c:pt>
                <c:pt idx="3491">
                  <c:v>3000000</c:v>
                </c:pt>
                <c:pt idx="3492">
                  <c:v>695393</c:v>
                </c:pt>
                <c:pt idx="3493">
                  <c:v>1100000</c:v>
                </c:pt>
                <c:pt idx="3494">
                  <c:v>1600000</c:v>
                </c:pt>
                <c:pt idx="3495">
                  <c:v>1100000</c:v>
                </c:pt>
                <c:pt idx="3496">
                  <c:v>1100000</c:v>
                </c:pt>
                <c:pt idx="3497">
                  <c:v>960000</c:v>
                </c:pt>
                <c:pt idx="3498">
                  <c:v>1000000</c:v>
                </c:pt>
                <c:pt idx="3499">
                  <c:v>1000000</c:v>
                </c:pt>
                <c:pt idx="3500">
                  <c:v>1100000</c:v>
                </c:pt>
                <c:pt idx="3501">
                  <c:v>1000000</c:v>
                </c:pt>
                <c:pt idx="3502">
                  <c:v>1000000</c:v>
                </c:pt>
                <c:pt idx="3503">
                  <c:v>5000000</c:v>
                </c:pt>
                <c:pt idx="3504">
                  <c:v>1000000</c:v>
                </c:pt>
                <c:pt idx="3505">
                  <c:v>1000000000</c:v>
                </c:pt>
                <c:pt idx="3506">
                  <c:v>3500000</c:v>
                </c:pt>
                <c:pt idx="3507">
                  <c:v>1000000</c:v>
                </c:pt>
                <c:pt idx="3508">
                  <c:v>1000000</c:v>
                </c:pt>
                <c:pt idx="3509">
                  <c:v>900000</c:v>
                </c:pt>
                <c:pt idx="3510">
                  <c:v>1000000</c:v>
                </c:pt>
                <c:pt idx="3511">
                  <c:v>1000000</c:v>
                </c:pt>
                <c:pt idx="3512">
                  <c:v>1000000</c:v>
                </c:pt>
                <c:pt idx="3513">
                  <c:v>1000000</c:v>
                </c:pt>
                <c:pt idx="3514">
                  <c:v>1000000</c:v>
                </c:pt>
                <c:pt idx="3515">
                  <c:v>1000000</c:v>
                </c:pt>
                <c:pt idx="3516">
                  <c:v>1000000</c:v>
                </c:pt>
                <c:pt idx="3517">
                  <c:v>1000000</c:v>
                </c:pt>
                <c:pt idx="3518">
                  <c:v>1000000</c:v>
                </c:pt>
                <c:pt idx="3519">
                  <c:v>1000000</c:v>
                </c:pt>
                <c:pt idx="3520">
                  <c:v>1000000</c:v>
                </c:pt>
                <c:pt idx="3521">
                  <c:v>1000000</c:v>
                </c:pt>
                <c:pt idx="3522">
                  <c:v>2500000</c:v>
                </c:pt>
                <c:pt idx="3523">
                  <c:v>1000000</c:v>
                </c:pt>
                <c:pt idx="3524">
                  <c:v>1000000</c:v>
                </c:pt>
                <c:pt idx="3525">
                  <c:v>1000000</c:v>
                </c:pt>
                <c:pt idx="3526">
                  <c:v>1000000</c:v>
                </c:pt>
                <c:pt idx="3527">
                  <c:v>1000000</c:v>
                </c:pt>
                <c:pt idx="3528">
                  <c:v>1000000</c:v>
                </c:pt>
                <c:pt idx="3529">
                  <c:v>1000000</c:v>
                </c:pt>
                <c:pt idx="3530">
                  <c:v>1000000</c:v>
                </c:pt>
                <c:pt idx="3531">
                  <c:v>1000000</c:v>
                </c:pt>
                <c:pt idx="3532">
                  <c:v>1000000</c:v>
                </c:pt>
                <c:pt idx="3533">
                  <c:v>1000000</c:v>
                </c:pt>
                <c:pt idx="3534">
                  <c:v>900000</c:v>
                </c:pt>
                <c:pt idx="3535">
                  <c:v>500000</c:v>
                </c:pt>
                <c:pt idx="3536">
                  <c:v>1000000</c:v>
                </c:pt>
                <c:pt idx="3537">
                  <c:v>1000000</c:v>
                </c:pt>
                <c:pt idx="3538">
                  <c:v>1000000</c:v>
                </c:pt>
                <c:pt idx="3539">
                  <c:v>1000000</c:v>
                </c:pt>
                <c:pt idx="3540">
                  <c:v>1000000</c:v>
                </c:pt>
                <c:pt idx="3541">
                  <c:v>1000000</c:v>
                </c:pt>
                <c:pt idx="3542">
                  <c:v>1500000</c:v>
                </c:pt>
                <c:pt idx="3543">
                  <c:v>910000</c:v>
                </c:pt>
                <c:pt idx="3544">
                  <c:v>930000</c:v>
                </c:pt>
                <c:pt idx="3545">
                  <c:v>590000</c:v>
                </c:pt>
                <c:pt idx="3546">
                  <c:v>950000</c:v>
                </c:pt>
                <c:pt idx="3547">
                  <c:v>900000</c:v>
                </c:pt>
                <c:pt idx="3548">
                  <c:v>900000</c:v>
                </c:pt>
                <c:pt idx="3549">
                  <c:v>900000</c:v>
                </c:pt>
                <c:pt idx="3550">
                  <c:v>850000</c:v>
                </c:pt>
                <c:pt idx="3551">
                  <c:v>850000</c:v>
                </c:pt>
                <c:pt idx="3552">
                  <c:v>825000</c:v>
                </c:pt>
                <c:pt idx="3553">
                  <c:v>500000</c:v>
                </c:pt>
                <c:pt idx="3554">
                  <c:v>800000</c:v>
                </c:pt>
                <c:pt idx="3555">
                  <c:v>800000</c:v>
                </c:pt>
                <c:pt idx="3556">
                  <c:v>800000</c:v>
                </c:pt>
                <c:pt idx="3557">
                  <c:v>800000</c:v>
                </c:pt>
                <c:pt idx="3558">
                  <c:v>600000</c:v>
                </c:pt>
                <c:pt idx="3559">
                  <c:v>800000</c:v>
                </c:pt>
                <c:pt idx="3560">
                  <c:v>780000</c:v>
                </c:pt>
                <c:pt idx="3561">
                  <c:v>777000</c:v>
                </c:pt>
                <c:pt idx="3562">
                  <c:v>750000</c:v>
                </c:pt>
                <c:pt idx="3563">
                  <c:v>750000</c:v>
                </c:pt>
                <c:pt idx="3564">
                  <c:v>500000</c:v>
                </c:pt>
                <c:pt idx="3565">
                  <c:v>750000</c:v>
                </c:pt>
                <c:pt idx="3566">
                  <c:v>750000</c:v>
                </c:pt>
                <c:pt idx="3567">
                  <c:v>900000</c:v>
                </c:pt>
                <c:pt idx="3568">
                  <c:v>700000</c:v>
                </c:pt>
                <c:pt idx="3569">
                  <c:v>700000</c:v>
                </c:pt>
                <c:pt idx="3570">
                  <c:v>700000</c:v>
                </c:pt>
                <c:pt idx="3571">
                  <c:v>700000</c:v>
                </c:pt>
                <c:pt idx="3572">
                  <c:v>650000</c:v>
                </c:pt>
                <c:pt idx="3573">
                  <c:v>609000</c:v>
                </c:pt>
                <c:pt idx="3574">
                  <c:v>60000</c:v>
                </c:pt>
                <c:pt idx="3575">
                  <c:v>600000</c:v>
                </c:pt>
                <c:pt idx="3576">
                  <c:v>600000</c:v>
                </c:pt>
                <c:pt idx="3577">
                  <c:v>600000</c:v>
                </c:pt>
                <c:pt idx="3578">
                  <c:v>560000</c:v>
                </c:pt>
                <c:pt idx="3579">
                  <c:v>560000</c:v>
                </c:pt>
                <c:pt idx="3580">
                  <c:v>500000</c:v>
                </c:pt>
                <c:pt idx="3581">
                  <c:v>500000</c:v>
                </c:pt>
                <c:pt idx="3582">
                  <c:v>500000</c:v>
                </c:pt>
                <c:pt idx="3583">
                  <c:v>500000</c:v>
                </c:pt>
                <c:pt idx="3584">
                  <c:v>500000</c:v>
                </c:pt>
                <c:pt idx="3585">
                  <c:v>1000000</c:v>
                </c:pt>
                <c:pt idx="3586">
                  <c:v>500000</c:v>
                </c:pt>
                <c:pt idx="3587">
                  <c:v>500000</c:v>
                </c:pt>
                <c:pt idx="3588">
                  <c:v>500000</c:v>
                </c:pt>
                <c:pt idx="3589">
                  <c:v>500000</c:v>
                </c:pt>
                <c:pt idx="3590">
                  <c:v>500000</c:v>
                </c:pt>
                <c:pt idx="3591">
                  <c:v>500000</c:v>
                </c:pt>
                <c:pt idx="3592">
                  <c:v>500000</c:v>
                </c:pt>
                <c:pt idx="3593">
                  <c:v>500000</c:v>
                </c:pt>
                <c:pt idx="3594">
                  <c:v>500000</c:v>
                </c:pt>
                <c:pt idx="3595">
                  <c:v>500000</c:v>
                </c:pt>
                <c:pt idx="3596">
                  <c:v>500000</c:v>
                </c:pt>
                <c:pt idx="3597">
                  <c:v>500000</c:v>
                </c:pt>
                <c:pt idx="3598">
                  <c:v>2000000</c:v>
                </c:pt>
                <c:pt idx="3599">
                  <c:v>500000</c:v>
                </c:pt>
                <c:pt idx="3600">
                  <c:v>500000</c:v>
                </c:pt>
                <c:pt idx="3601">
                  <c:v>500000</c:v>
                </c:pt>
                <c:pt idx="3602">
                  <c:v>500000</c:v>
                </c:pt>
                <c:pt idx="3603">
                  <c:v>500000</c:v>
                </c:pt>
                <c:pt idx="3604">
                  <c:v>500000</c:v>
                </c:pt>
                <c:pt idx="3605">
                  <c:v>500000</c:v>
                </c:pt>
                <c:pt idx="3606">
                  <c:v>500000</c:v>
                </c:pt>
                <c:pt idx="3607">
                  <c:v>500000</c:v>
                </c:pt>
                <c:pt idx="3608">
                  <c:v>450000</c:v>
                </c:pt>
                <c:pt idx="3609">
                  <c:v>2000000</c:v>
                </c:pt>
                <c:pt idx="3610">
                  <c:v>450000</c:v>
                </c:pt>
                <c:pt idx="3611">
                  <c:v>500000</c:v>
                </c:pt>
                <c:pt idx="3612">
                  <c:v>439000</c:v>
                </c:pt>
                <c:pt idx="3613">
                  <c:v>225000</c:v>
                </c:pt>
                <c:pt idx="3614">
                  <c:v>25000000</c:v>
                </c:pt>
                <c:pt idx="3615">
                  <c:v>400000</c:v>
                </c:pt>
                <c:pt idx="3616">
                  <c:v>1066167</c:v>
                </c:pt>
                <c:pt idx="3617">
                  <c:v>15000</c:v>
                </c:pt>
                <c:pt idx="3618">
                  <c:v>229575</c:v>
                </c:pt>
                <c:pt idx="3619">
                  <c:v>400000</c:v>
                </c:pt>
                <c:pt idx="3620">
                  <c:v>100000</c:v>
                </c:pt>
                <c:pt idx="3621">
                  <c:v>218</c:v>
                </c:pt>
                <c:pt idx="3622">
                  <c:v>400000</c:v>
                </c:pt>
                <c:pt idx="3623">
                  <c:v>400000</c:v>
                </c:pt>
                <c:pt idx="3624">
                  <c:v>35000000</c:v>
                </c:pt>
                <c:pt idx="3625">
                  <c:v>375000</c:v>
                </c:pt>
                <c:pt idx="3626">
                  <c:v>379000</c:v>
                </c:pt>
                <c:pt idx="3627">
                  <c:v>6000000</c:v>
                </c:pt>
                <c:pt idx="3628">
                  <c:v>450000</c:v>
                </c:pt>
                <c:pt idx="3629">
                  <c:v>1750211</c:v>
                </c:pt>
                <c:pt idx="3630">
                  <c:v>350000</c:v>
                </c:pt>
                <c:pt idx="3631">
                  <c:v>312000</c:v>
                </c:pt>
                <c:pt idx="3632">
                  <c:v>8000000</c:v>
                </c:pt>
                <c:pt idx="3633">
                  <c:v>300000</c:v>
                </c:pt>
                <c:pt idx="3634">
                  <c:v>300000</c:v>
                </c:pt>
                <c:pt idx="3635">
                  <c:v>300000</c:v>
                </c:pt>
                <c:pt idx="3636">
                  <c:v>200000</c:v>
                </c:pt>
                <c:pt idx="3637">
                  <c:v>300000</c:v>
                </c:pt>
                <c:pt idx="3638">
                  <c:v>160000</c:v>
                </c:pt>
                <c:pt idx="3639">
                  <c:v>300000</c:v>
                </c:pt>
                <c:pt idx="3640">
                  <c:v>200000</c:v>
                </c:pt>
                <c:pt idx="3641">
                  <c:v>300000</c:v>
                </c:pt>
                <c:pt idx="3642">
                  <c:v>270000</c:v>
                </c:pt>
                <c:pt idx="3643">
                  <c:v>250000</c:v>
                </c:pt>
                <c:pt idx="3644">
                  <c:v>250000</c:v>
                </c:pt>
                <c:pt idx="3645">
                  <c:v>250000</c:v>
                </c:pt>
                <c:pt idx="3646">
                  <c:v>250000</c:v>
                </c:pt>
                <c:pt idx="3647">
                  <c:v>250000</c:v>
                </c:pt>
                <c:pt idx="3648">
                  <c:v>250000</c:v>
                </c:pt>
                <c:pt idx="3649">
                  <c:v>365000</c:v>
                </c:pt>
                <c:pt idx="3650">
                  <c:v>250000</c:v>
                </c:pt>
                <c:pt idx="3651">
                  <c:v>250000</c:v>
                </c:pt>
                <c:pt idx="3652">
                  <c:v>150000</c:v>
                </c:pt>
                <c:pt idx="3653">
                  <c:v>250000</c:v>
                </c:pt>
                <c:pt idx="3654">
                  <c:v>250000</c:v>
                </c:pt>
                <c:pt idx="3655">
                  <c:v>250000</c:v>
                </c:pt>
                <c:pt idx="3656">
                  <c:v>250000</c:v>
                </c:pt>
                <c:pt idx="3657">
                  <c:v>225000</c:v>
                </c:pt>
                <c:pt idx="3658">
                  <c:v>225000</c:v>
                </c:pt>
                <c:pt idx="3659">
                  <c:v>210000</c:v>
                </c:pt>
                <c:pt idx="3660">
                  <c:v>200000</c:v>
                </c:pt>
                <c:pt idx="3661">
                  <c:v>200000</c:v>
                </c:pt>
                <c:pt idx="3662">
                  <c:v>200000</c:v>
                </c:pt>
                <c:pt idx="3663">
                  <c:v>200000</c:v>
                </c:pt>
                <c:pt idx="3664">
                  <c:v>200000</c:v>
                </c:pt>
                <c:pt idx="3665">
                  <c:v>200000</c:v>
                </c:pt>
                <c:pt idx="3666">
                  <c:v>200000</c:v>
                </c:pt>
                <c:pt idx="3667">
                  <c:v>200000</c:v>
                </c:pt>
                <c:pt idx="3668">
                  <c:v>180000</c:v>
                </c:pt>
                <c:pt idx="3669">
                  <c:v>120000</c:v>
                </c:pt>
                <c:pt idx="3670">
                  <c:v>175000</c:v>
                </c:pt>
                <c:pt idx="3671">
                  <c:v>100000</c:v>
                </c:pt>
                <c:pt idx="3672">
                  <c:v>500000</c:v>
                </c:pt>
                <c:pt idx="3673">
                  <c:v>150000</c:v>
                </c:pt>
                <c:pt idx="3674">
                  <c:v>180000</c:v>
                </c:pt>
                <c:pt idx="3675">
                  <c:v>1200000</c:v>
                </c:pt>
                <c:pt idx="3676">
                  <c:v>160000</c:v>
                </c:pt>
                <c:pt idx="3677">
                  <c:v>150000</c:v>
                </c:pt>
                <c:pt idx="3678">
                  <c:v>150000</c:v>
                </c:pt>
                <c:pt idx="3679">
                  <c:v>160000</c:v>
                </c:pt>
                <c:pt idx="3680">
                  <c:v>125000</c:v>
                </c:pt>
                <c:pt idx="3681">
                  <c:v>100000</c:v>
                </c:pt>
                <c:pt idx="3682">
                  <c:v>100000</c:v>
                </c:pt>
                <c:pt idx="3683">
                  <c:v>100000</c:v>
                </c:pt>
                <c:pt idx="3684">
                  <c:v>40000</c:v>
                </c:pt>
                <c:pt idx="3685">
                  <c:v>200000</c:v>
                </c:pt>
                <c:pt idx="3686">
                  <c:v>60000</c:v>
                </c:pt>
                <c:pt idx="3687">
                  <c:v>60000</c:v>
                </c:pt>
                <c:pt idx="3688">
                  <c:v>65000</c:v>
                </c:pt>
                <c:pt idx="3689">
                  <c:v>60000</c:v>
                </c:pt>
                <c:pt idx="3690">
                  <c:v>70000</c:v>
                </c:pt>
                <c:pt idx="3691">
                  <c:v>25000</c:v>
                </c:pt>
                <c:pt idx="3692">
                  <c:v>65000</c:v>
                </c:pt>
                <c:pt idx="3693">
                  <c:v>42000</c:v>
                </c:pt>
                <c:pt idx="3694">
                  <c:v>40000</c:v>
                </c:pt>
                <c:pt idx="3695">
                  <c:v>30000</c:v>
                </c:pt>
                <c:pt idx="3696">
                  <c:v>230000</c:v>
                </c:pt>
                <c:pt idx="3697">
                  <c:v>27000</c:v>
                </c:pt>
                <c:pt idx="3698">
                  <c:v>25000</c:v>
                </c:pt>
                <c:pt idx="3699">
                  <c:v>23000</c:v>
                </c:pt>
                <c:pt idx="3700">
                  <c:v>15000</c:v>
                </c:pt>
                <c:pt idx="3701">
                  <c:v>15000</c:v>
                </c:pt>
                <c:pt idx="3702">
                  <c:v>10000</c:v>
                </c:pt>
                <c:pt idx="3703">
                  <c:v>4500</c:v>
                </c:pt>
                <c:pt idx="3704">
                  <c:v>10000</c:v>
                </c:pt>
                <c:pt idx="3705">
                  <c:v>1000000</c:v>
                </c:pt>
                <c:pt idx="3706">
                  <c:v>7000</c:v>
                </c:pt>
                <c:pt idx="3707">
                  <c:v>7000</c:v>
                </c:pt>
                <c:pt idx="3708">
                  <c:v>7000</c:v>
                </c:pt>
                <c:pt idx="3709">
                  <c:v>9000</c:v>
                </c:pt>
                <c:pt idx="3710">
                  <c:v>1100</c:v>
                </c:pt>
              </c:numCache>
            </c:numRef>
          </c:val>
          <c:smooth val="0"/>
          <c:extLst>
            <c:ext xmlns:c16="http://schemas.microsoft.com/office/drawing/2014/chart" uri="{C3380CC4-5D6E-409C-BE32-E72D297353CC}">
              <c16:uniqueId val="{00000000-9B41-4833-B834-F92E41C6C325}"/>
            </c:ext>
          </c:extLst>
        </c:ser>
        <c:ser>
          <c:idx val="1"/>
          <c:order val="1"/>
          <c:tx>
            <c:strRef>
              <c:f>'Budget Analysis'!$D$1</c:f>
              <c:strCache>
                <c:ptCount val="1"/>
                <c:pt idx="0">
                  <c:v>Profit</c:v>
                </c:pt>
              </c:strCache>
            </c:strRef>
          </c:tx>
          <c:spPr>
            <a:ln w="28575" cap="rnd">
              <a:solidFill>
                <a:schemeClr val="accent2"/>
              </a:solidFill>
              <a:round/>
            </a:ln>
            <a:effectLst/>
          </c:spPr>
          <c:marker>
            <c:symbol val="none"/>
          </c:marker>
          <c:val>
            <c:numRef>
              <c:f>'Budget Analysis'!$D$2:$D$3712</c:f>
              <c:numCache>
                <c:formatCode>General</c:formatCode>
                <c:ptCount val="3711"/>
                <c:pt idx="0">
                  <c:v>523505847</c:v>
                </c:pt>
                <c:pt idx="1">
                  <c:v>9404152</c:v>
                </c:pt>
                <c:pt idx="2">
                  <c:v>-44925825</c:v>
                </c:pt>
                <c:pt idx="3">
                  <c:v>198130642</c:v>
                </c:pt>
                <c:pt idx="4">
                  <c:v>-190641321</c:v>
                </c:pt>
                <c:pt idx="5">
                  <c:v>78530303</c:v>
                </c:pt>
                <c:pt idx="6">
                  <c:v>-59192738</c:v>
                </c:pt>
                <c:pt idx="7">
                  <c:v>208991599</c:v>
                </c:pt>
                <c:pt idx="8">
                  <c:v>51956980</c:v>
                </c:pt>
                <c:pt idx="9">
                  <c:v>80249062</c:v>
                </c:pt>
                <c:pt idx="10">
                  <c:v>-31631573</c:v>
                </c:pt>
                <c:pt idx="11">
                  <c:v>198032628</c:v>
                </c:pt>
                <c:pt idx="12">
                  <c:v>-125710090</c:v>
                </c:pt>
                <c:pt idx="13">
                  <c:v>66021565</c:v>
                </c:pt>
                <c:pt idx="14">
                  <c:v>-83385977</c:v>
                </c:pt>
                <c:pt idx="15">
                  <c:v>403279547</c:v>
                </c:pt>
                <c:pt idx="16">
                  <c:v>-8936125</c:v>
                </c:pt>
                <c:pt idx="17">
                  <c:v>-45979146</c:v>
                </c:pt>
                <c:pt idx="18">
                  <c:v>5108370</c:v>
                </c:pt>
                <c:pt idx="19">
                  <c:v>32030663</c:v>
                </c:pt>
                <c:pt idx="20">
                  <c:v>-94780265</c:v>
                </c:pt>
                <c:pt idx="21">
                  <c:v>33355354</c:v>
                </c:pt>
                <c:pt idx="22">
                  <c:v>-109916481</c:v>
                </c:pt>
                <c:pt idx="23">
                  <c:v>11051260</c:v>
                </c:pt>
                <c:pt idx="24">
                  <c:v>458672302</c:v>
                </c:pt>
                <c:pt idx="25">
                  <c:v>157197282</c:v>
                </c:pt>
                <c:pt idx="26">
                  <c:v>-143826840</c:v>
                </c:pt>
                <c:pt idx="27">
                  <c:v>502177271</c:v>
                </c:pt>
                <c:pt idx="28">
                  <c:v>104360277</c:v>
                </c:pt>
                <c:pt idx="29">
                  <c:v>173377893</c:v>
                </c:pt>
                <c:pt idx="30">
                  <c:v>208992272</c:v>
                </c:pt>
                <c:pt idx="31">
                  <c:v>134185206</c:v>
                </c:pt>
                <c:pt idx="32">
                  <c:v>24360014</c:v>
                </c:pt>
                <c:pt idx="33">
                  <c:v>68488329</c:v>
                </c:pt>
                <c:pt idx="34">
                  <c:v>202076689</c:v>
                </c:pt>
                <c:pt idx="35">
                  <c:v>35428137</c:v>
                </c:pt>
                <c:pt idx="36">
                  <c:v>19903076</c:v>
                </c:pt>
                <c:pt idx="37">
                  <c:v>2853933</c:v>
                </c:pt>
                <c:pt idx="38">
                  <c:v>2051787</c:v>
                </c:pt>
                <c:pt idx="39">
                  <c:v>-8549125</c:v>
                </c:pt>
                <c:pt idx="40">
                  <c:v>-83406809</c:v>
                </c:pt>
                <c:pt idx="41">
                  <c:v>214984497</c:v>
                </c:pt>
                <c:pt idx="42">
                  <c:v>-74679997</c:v>
                </c:pt>
                <c:pt idx="43">
                  <c:v>160034110</c:v>
                </c:pt>
                <c:pt idx="44">
                  <c:v>12351611</c:v>
                </c:pt>
                <c:pt idx="45">
                  <c:v>33914986</c:v>
                </c:pt>
                <c:pt idx="46">
                  <c:v>38756232</c:v>
                </c:pt>
                <c:pt idx="47">
                  <c:v>-129828140</c:v>
                </c:pt>
                <c:pt idx="48">
                  <c:v>39812796</c:v>
                </c:pt>
                <c:pt idx="49">
                  <c:v>-109244357</c:v>
                </c:pt>
                <c:pt idx="50">
                  <c:v>-88214518</c:v>
                </c:pt>
                <c:pt idx="51">
                  <c:v>157358779</c:v>
                </c:pt>
                <c:pt idx="52">
                  <c:v>132011114</c:v>
                </c:pt>
                <c:pt idx="53">
                  <c:v>52282182</c:v>
                </c:pt>
                <c:pt idx="54">
                  <c:v>-54531374</c:v>
                </c:pt>
                <c:pt idx="55">
                  <c:v>43806889</c:v>
                </c:pt>
                <c:pt idx="56">
                  <c:v>80850</c:v>
                </c:pt>
                <c:pt idx="57">
                  <c:v>-33887833</c:v>
                </c:pt>
                <c:pt idx="58">
                  <c:v>-62149904</c:v>
                </c:pt>
                <c:pt idx="59">
                  <c:v>-128624673</c:v>
                </c:pt>
                <c:pt idx="60">
                  <c:v>-55948241</c:v>
                </c:pt>
                <c:pt idx="61">
                  <c:v>111709845</c:v>
                </c:pt>
                <c:pt idx="62">
                  <c:v>-23014913</c:v>
                </c:pt>
                <c:pt idx="63">
                  <c:v>348316061</c:v>
                </c:pt>
                <c:pt idx="64">
                  <c:v>117979556</c:v>
                </c:pt>
                <c:pt idx="65">
                  <c:v>23332128</c:v>
                </c:pt>
                <c:pt idx="66">
                  <c:v>178298180</c:v>
                </c:pt>
                <c:pt idx="67">
                  <c:v>-96179906</c:v>
                </c:pt>
                <c:pt idx="68">
                  <c:v>-56254592</c:v>
                </c:pt>
                <c:pt idx="69">
                  <c:v>-42823835</c:v>
                </c:pt>
                <c:pt idx="70">
                  <c:v>-13912817</c:v>
                </c:pt>
                <c:pt idx="71">
                  <c:v>-74710310</c:v>
                </c:pt>
                <c:pt idx="72">
                  <c:v>-77810499</c:v>
                </c:pt>
                <c:pt idx="73">
                  <c:v>-86753780</c:v>
                </c:pt>
                <c:pt idx="74">
                  <c:v>-24832370</c:v>
                </c:pt>
                <c:pt idx="75">
                  <c:v>181454367</c:v>
                </c:pt>
                <c:pt idx="76">
                  <c:v>187645141</c:v>
                </c:pt>
                <c:pt idx="77">
                  <c:v>112057433</c:v>
                </c:pt>
                <c:pt idx="78">
                  <c:v>-14888185</c:v>
                </c:pt>
                <c:pt idx="79">
                  <c:v>61407328</c:v>
                </c:pt>
                <c:pt idx="80">
                  <c:v>38543795</c:v>
                </c:pt>
                <c:pt idx="81">
                  <c:v>-136702695</c:v>
                </c:pt>
                <c:pt idx="82">
                  <c:v>89746958</c:v>
                </c:pt>
                <c:pt idx="83">
                  <c:v>73371987</c:v>
                </c:pt>
                <c:pt idx="84">
                  <c:v>-96582135</c:v>
                </c:pt>
                <c:pt idx="85">
                  <c:v>57487711</c:v>
                </c:pt>
                <c:pt idx="86">
                  <c:v>24412677</c:v>
                </c:pt>
                <c:pt idx="87">
                  <c:v>-164334574</c:v>
                </c:pt>
                <c:pt idx="88">
                  <c:v>-62684455</c:v>
                </c:pt>
                <c:pt idx="89">
                  <c:v>52387997</c:v>
                </c:pt>
                <c:pt idx="90">
                  <c:v>-49649808</c:v>
                </c:pt>
                <c:pt idx="91">
                  <c:v>163130696</c:v>
                </c:pt>
                <c:pt idx="92">
                  <c:v>22991439</c:v>
                </c:pt>
                <c:pt idx="93">
                  <c:v>132568851</c:v>
                </c:pt>
                <c:pt idx="94">
                  <c:v>123001229</c:v>
                </c:pt>
                <c:pt idx="95">
                  <c:v>106512310</c:v>
                </c:pt>
                <c:pt idx="96">
                  <c:v>-22509198</c:v>
                </c:pt>
                <c:pt idx="97">
                  <c:v>-13594629</c:v>
                </c:pt>
                <c:pt idx="98">
                  <c:v>121666058</c:v>
                </c:pt>
                <c:pt idx="99">
                  <c:v>-86856188</c:v>
                </c:pt>
                <c:pt idx="100">
                  <c:v>-99344497</c:v>
                </c:pt>
                <c:pt idx="101">
                  <c:v>-93153376</c:v>
                </c:pt>
                <c:pt idx="102">
                  <c:v>160706665</c:v>
                </c:pt>
                <c:pt idx="103">
                  <c:v>-113021005</c:v>
                </c:pt>
                <c:pt idx="104">
                  <c:v>-65267965</c:v>
                </c:pt>
                <c:pt idx="105">
                  <c:v>-50616376</c:v>
                </c:pt>
                <c:pt idx="106">
                  <c:v>58539855</c:v>
                </c:pt>
                <c:pt idx="107">
                  <c:v>168759914</c:v>
                </c:pt>
                <c:pt idx="108">
                  <c:v>-120706229</c:v>
                </c:pt>
                <c:pt idx="109">
                  <c:v>142000866</c:v>
                </c:pt>
                <c:pt idx="110">
                  <c:v>139994397</c:v>
                </c:pt>
                <c:pt idx="111">
                  <c:v>77946274</c:v>
                </c:pt>
                <c:pt idx="112">
                  <c:v>106386216</c:v>
                </c:pt>
                <c:pt idx="113">
                  <c:v>56456431</c:v>
                </c:pt>
                <c:pt idx="114">
                  <c:v>56435493</c:v>
                </c:pt>
                <c:pt idx="115">
                  <c:v>55343774</c:v>
                </c:pt>
                <c:pt idx="116">
                  <c:v>29982968</c:v>
                </c:pt>
                <c:pt idx="117">
                  <c:v>27243721</c:v>
                </c:pt>
                <c:pt idx="118">
                  <c:v>29883016</c:v>
                </c:pt>
                <c:pt idx="119">
                  <c:v>-10740241</c:v>
                </c:pt>
                <c:pt idx="120">
                  <c:v>250736600</c:v>
                </c:pt>
                <c:pt idx="121">
                  <c:v>131492479</c:v>
                </c:pt>
                <c:pt idx="122">
                  <c:v>36360018</c:v>
                </c:pt>
                <c:pt idx="123">
                  <c:v>3629485</c:v>
                </c:pt>
                <c:pt idx="124">
                  <c:v>-16624154</c:v>
                </c:pt>
                <c:pt idx="125">
                  <c:v>31015141</c:v>
                </c:pt>
                <c:pt idx="126">
                  <c:v>-35946421</c:v>
                </c:pt>
                <c:pt idx="127">
                  <c:v>-30579748</c:v>
                </c:pt>
                <c:pt idx="128">
                  <c:v>-66359574</c:v>
                </c:pt>
                <c:pt idx="129">
                  <c:v>-20288322</c:v>
                </c:pt>
                <c:pt idx="130">
                  <c:v>45000874</c:v>
                </c:pt>
                <c:pt idx="131">
                  <c:v>-88062505</c:v>
                </c:pt>
                <c:pt idx="132">
                  <c:v>-23402879</c:v>
                </c:pt>
                <c:pt idx="133">
                  <c:v>15230261</c:v>
                </c:pt>
                <c:pt idx="134">
                  <c:v>-18435269</c:v>
                </c:pt>
                <c:pt idx="135">
                  <c:v>-16617691</c:v>
                </c:pt>
                <c:pt idx="136">
                  <c:v>-76896216</c:v>
                </c:pt>
                <c:pt idx="137">
                  <c:v>-128620685</c:v>
                </c:pt>
                <c:pt idx="138">
                  <c:v>-84540684</c:v>
                </c:pt>
                <c:pt idx="139">
                  <c:v>-115035182</c:v>
                </c:pt>
                <c:pt idx="140">
                  <c:v>-33494358</c:v>
                </c:pt>
                <c:pt idx="141">
                  <c:v>-41771652</c:v>
                </c:pt>
                <c:pt idx="142">
                  <c:v>71366733</c:v>
                </c:pt>
                <c:pt idx="143">
                  <c:v>18201106</c:v>
                </c:pt>
                <c:pt idx="144">
                  <c:v>-25900341</c:v>
                </c:pt>
                <c:pt idx="145">
                  <c:v>61573391</c:v>
                </c:pt>
                <c:pt idx="146">
                  <c:v>50418803</c:v>
                </c:pt>
                <c:pt idx="147">
                  <c:v>-67838031</c:v>
                </c:pt>
                <c:pt idx="148">
                  <c:v>-1476537</c:v>
                </c:pt>
                <c:pt idx="149">
                  <c:v>64364921</c:v>
                </c:pt>
                <c:pt idx="150">
                  <c:v>-41599308</c:v>
                </c:pt>
                <c:pt idx="151">
                  <c:v>10332737</c:v>
                </c:pt>
                <c:pt idx="152">
                  <c:v>-28889425</c:v>
                </c:pt>
                <c:pt idx="153">
                  <c:v>-74992955</c:v>
                </c:pt>
                <c:pt idx="154">
                  <c:v>107704099</c:v>
                </c:pt>
                <c:pt idx="155">
                  <c:v>264706375</c:v>
                </c:pt>
                <c:pt idx="156">
                  <c:v>31997107</c:v>
                </c:pt>
                <c:pt idx="157">
                  <c:v>-108858926</c:v>
                </c:pt>
                <c:pt idx="158">
                  <c:v>-103295584</c:v>
                </c:pt>
                <c:pt idx="159">
                  <c:v>-22496684</c:v>
                </c:pt>
                <c:pt idx="160">
                  <c:v>-10265197</c:v>
                </c:pt>
                <c:pt idx="161">
                  <c:v>-4877005</c:v>
                </c:pt>
                <c:pt idx="162">
                  <c:v>-7487948</c:v>
                </c:pt>
                <c:pt idx="163">
                  <c:v>-61357548</c:v>
                </c:pt>
                <c:pt idx="164">
                  <c:v>-104868170</c:v>
                </c:pt>
                <c:pt idx="165">
                  <c:v>36636816</c:v>
                </c:pt>
                <c:pt idx="166">
                  <c:v>-8069340</c:v>
                </c:pt>
                <c:pt idx="167">
                  <c:v>-56073614</c:v>
                </c:pt>
                <c:pt idx="168">
                  <c:v>172298923</c:v>
                </c:pt>
                <c:pt idx="169">
                  <c:v>-71007672</c:v>
                </c:pt>
                <c:pt idx="170">
                  <c:v>-15481610</c:v>
                </c:pt>
                <c:pt idx="171">
                  <c:v>-87207693</c:v>
                </c:pt>
                <c:pt idx="172">
                  <c:v>48635922</c:v>
                </c:pt>
                <c:pt idx="173">
                  <c:v>-51975100</c:v>
                </c:pt>
                <c:pt idx="174">
                  <c:v>-11792806</c:v>
                </c:pt>
                <c:pt idx="175">
                  <c:v>-48651080</c:v>
                </c:pt>
                <c:pt idx="176">
                  <c:v>117137090</c:v>
                </c:pt>
                <c:pt idx="177">
                  <c:v>50191634</c:v>
                </c:pt>
                <c:pt idx="178">
                  <c:v>294645577</c:v>
                </c:pt>
                <c:pt idx="179">
                  <c:v>42343675</c:v>
                </c:pt>
                <c:pt idx="180">
                  <c:v>102277056</c:v>
                </c:pt>
                <c:pt idx="181">
                  <c:v>8396624</c:v>
                </c:pt>
                <c:pt idx="182">
                  <c:v>19234747</c:v>
                </c:pt>
                <c:pt idx="183">
                  <c:v>8311368</c:v>
                </c:pt>
                <c:pt idx="184">
                  <c:v>-23839471</c:v>
                </c:pt>
                <c:pt idx="185">
                  <c:v>-57435963</c:v>
                </c:pt>
                <c:pt idx="186">
                  <c:v>119358727</c:v>
                </c:pt>
                <c:pt idx="187">
                  <c:v>-80448338</c:v>
                </c:pt>
                <c:pt idx="188">
                  <c:v>-69477903</c:v>
                </c:pt>
                <c:pt idx="189">
                  <c:v>10248063</c:v>
                </c:pt>
                <c:pt idx="190">
                  <c:v>-13266274</c:v>
                </c:pt>
                <c:pt idx="191">
                  <c:v>18337537</c:v>
                </c:pt>
                <c:pt idx="192">
                  <c:v>192557891</c:v>
                </c:pt>
                <c:pt idx="193">
                  <c:v>-96407585</c:v>
                </c:pt>
                <c:pt idx="194">
                  <c:v>165388685</c:v>
                </c:pt>
                <c:pt idx="195">
                  <c:v>212103873</c:v>
                </c:pt>
                <c:pt idx="196">
                  <c:v>92536138</c:v>
                </c:pt>
                <c:pt idx="197">
                  <c:v>28536019</c:v>
                </c:pt>
                <c:pt idx="198">
                  <c:v>104948780</c:v>
                </c:pt>
                <c:pt idx="199">
                  <c:v>84805005</c:v>
                </c:pt>
                <c:pt idx="200">
                  <c:v>61830669</c:v>
                </c:pt>
                <c:pt idx="201">
                  <c:v>38192114</c:v>
                </c:pt>
                <c:pt idx="202">
                  <c:v>54412921</c:v>
                </c:pt>
                <c:pt idx="203">
                  <c:v>-52305212</c:v>
                </c:pt>
                <c:pt idx="204">
                  <c:v>-11834365</c:v>
                </c:pt>
                <c:pt idx="205">
                  <c:v>-17714996</c:v>
                </c:pt>
                <c:pt idx="206">
                  <c:v>137031035</c:v>
                </c:pt>
                <c:pt idx="207">
                  <c:v>61739919</c:v>
                </c:pt>
                <c:pt idx="208">
                  <c:v>90397307</c:v>
                </c:pt>
                <c:pt idx="209">
                  <c:v>42618434</c:v>
                </c:pt>
                <c:pt idx="210">
                  <c:v>1920333</c:v>
                </c:pt>
                <c:pt idx="211">
                  <c:v>4976634</c:v>
                </c:pt>
                <c:pt idx="212">
                  <c:v>5802596</c:v>
                </c:pt>
                <c:pt idx="213">
                  <c:v>-11478165</c:v>
                </c:pt>
                <c:pt idx="214">
                  <c:v>-19314120</c:v>
                </c:pt>
                <c:pt idx="215">
                  <c:v>-3535096</c:v>
                </c:pt>
                <c:pt idx="216">
                  <c:v>-55263886</c:v>
                </c:pt>
                <c:pt idx="217">
                  <c:v>-21949883</c:v>
                </c:pt>
                <c:pt idx="218">
                  <c:v>-47362515</c:v>
                </c:pt>
                <c:pt idx="219">
                  <c:v>-41392993</c:v>
                </c:pt>
                <c:pt idx="220">
                  <c:v>-76070659</c:v>
                </c:pt>
                <c:pt idx="221">
                  <c:v>-89787380</c:v>
                </c:pt>
                <c:pt idx="222">
                  <c:v>-40581346</c:v>
                </c:pt>
                <c:pt idx="223">
                  <c:v>-30978265</c:v>
                </c:pt>
                <c:pt idx="224">
                  <c:v>267262555</c:v>
                </c:pt>
                <c:pt idx="225">
                  <c:v>195675583</c:v>
                </c:pt>
                <c:pt idx="226">
                  <c:v>174907418</c:v>
                </c:pt>
                <c:pt idx="227">
                  <c:v>12550960</c:v>
                </c:pt>
                <c:pt idx="228">
                  <c:v>359544677</c:v>
                </c:pt>
                <c:pt idx="229">
                  <c:v>52165546</c:v>
                </c:pt>
                <c:pt idx="230">
                  <c:v>-74088170</c:v>
                </c:pt>
                <c:pt idx="231">
                  <c:v>-67047980</c:v>
                </c:pt>
                <c:pt idx="232">
                  <c:v>65871240</c:v>
                </c:pt>
                <c:pt idx="233">
                  <c:v>174084951</c:v>
                </c:pt>
                <c:pt idx="234">
                  <c:v>-48844258</c:v>
                </c:pt>
                <c:pt idx="235">
                  <c:v>-53361326</c:v>
                </c:pt>
                <c:pt idx="236">
                  <c:v>-63885779</c:v>
                </c:pt>
                <c:pt idx="237">
                  <c:v>140863268</c:v>
                </c:pt>
                <c:pt idx="238">
                  <c:v>45181732</c:v>
                </c:pt>
                <c:pt idx="239">
                  <c:v>15332007</c:v>
                </c:pt>
                <c:pt idx="240">
                  <c:v>3330342</c:v>
                </c:pt>
                <c:pt idx="241">
                  <c:v>15531634</c:v>
                </c:pt>
                <c:pt idx="242">
                  <c:v>66336103</c:v>
                </c:pt>
                <c:pt idx="243">
                  <c:v>19995817</c:v>
                </c:pt>
                <c:pt idx="244">
                  <c:v>-7391173</c:v>
                </c:pt>
                <c:pt idx="245">
                  <c:v>-69223741</c:v>
                </c:pt>
                <c:pt idx="246">
                  <c:v>-21219958</c:v>
                </c:pt>
                <c:pt idx="247">
                  <c:v>-3630883</c:v>
                </c:pt>
                <c:pt idx="248">
                  <c:v>32614158</c:v>
                </c:pt>
                <c:pt idx="249">
                  <c:v>-59973647</c:v>
                </c:pt>
                <c:pt idx="250">
                  <c:v>-43997807</c:v>
                </c:pt>
                <c:pt idx="251">
                  <c:v>-24536691</c:v>
                </c:pt>
                <c:pt idx="252">
                  <c:v>-33982216</c:v>
                </c:pt>
                <c:pt idx="253">
                  <c:v>-111931604</c:v>
                </c:pt>
                <c:pt idx="254">
                  <c:v>-48343151</c:v>
                </c:pt>
                <c:pt idx="255">
                  <c:v>24520804</c:v>
                </c:pt>
                <c:pt idx="256">
                  <c:v>220837577</c:v>
                </c:pt>
                <c:pt idx="257">
                  <c:v>-85995841</c:v>
                </c:pt>
                <c:pt idx="258">
                  <c:v>-48816034</c:v>
                </c:pt>
                <c:pt idx="259">
                  <c:v>24795350</c:v>
                </c:pt>
                <c:pt idx="260">
                  <c:v>-82603302</c:v>
                </c:pt>
                <c:pt idx="261">
                  <c:v>7015224</c:v>
                </c:pt>
                <c:pt idx="262">
                  <c:v>-625893</c:v>
                </c:pt>
                <c:pt idx="263">
                  <c:v>120430993</c:v>
                </c:pt>
                <c:pt idx="264">
                  <c:v>-90200974</c:v>
                </c:pt>
                <c:pt idx="265">
                  <c:v>-83287549</c:v>
                </c:pt>
                <c:pt idx="266">
                  <c:v>11643008</c:v>
                </c:pt>
                <c:pt idx="267">
                  <c:v>84670866</c:v>
                </c:pt>
                <c:pt idx="268">
                  <c:v>30014112</c:v>
                </c:pt>
                <c:pt idx="269">
                  <c:v>161970615</c:v>
                </c:pt>
                <c:pt idx="270">
                  <c:v>17007184</c:v>
                </c:pt>
                <c:pt idx="271">
                  <c:v>80011740</c:v>
                </c:pt>
                <c:pt idx="272">
                  <c:v>102843350</c:v>
                </c:pt>
                <c:pt idx="273">
                  <c:v>-2969275</c:v>
                </c:pt>
                <c:pt idx="274">
                  <c:v>30127620</c:v>
                </c:pt>
                <c:pt idx="275">
                  <c:v>31282411</c:v>
                </c:pt>
                <c:pt idx="276">
                  <c:v>-34547688</c:v>
                </c:pt>
                <c:pt idx="277">
                  <c:v>48383780</c:v>
                </c:pt>
                <c:pt idx="278">
                  <c:v>19219978</c:v>
                </c:pt>
                <c:pt idx="279">
                  <c:v>1228120</c:v>
                </c:pt>
                <c:pt idx="280">
                  <c:v>62804648</c:v>
                </c:pt>
                <c:pt idx="281">
                  <c:v>117603</c:v>
                </c:pt>
                <c:pt idx="282">
                  <c:v>-10703427</c:v>
                </c:pt>
                <c:pt idx="283">
                  <c:v>-6982599</c:v>
                </c:pt>
                <c:pt idx="284">
                  <c:v>73005002</c:v>
                </c:pt>
                <c:pt idx="285">
                  <c:v>-24969837</c:v>
                </c:pt>
                <c:pt idx="286">
                  <c:v>-22777816</c:v>
                </c:pt>
                <c:pt idx="287">
                  <c:v>7515297</c:v>
                </c:pt>
                <c:pt idx="288">
                  <c:v>-32368843</c:v>
                </c:pt>
                <c:pt idx="289">
                  <c:v>-16137932</c:v>
                </c:pt>
                <c:pt idx="290">
                  <c:v>-42633738</c:v>
                </c:pt>
                <c:pt idx="291">
                  <c:v>16866727</c:v>
                </c:pt>
                <c:pt idx="292">
                  <c:v>84031112</c:v>
                </c:pt>
                <c:pt idx="293">
                  <c:v>-50299935</c:v>
                </c:pt>
                <c:pt idx="294">
                  <c:v>-74901420</c:v>
                </c:pt>
                <c:pt idx="295">
                  <c:v>-24326667</c:v>
                </c:pt>
                <c:pt idx="296">
                  <c:v>-59801290</c:v>
                </c:pt>
                <c:pt idx="297">
                  <c:v>-27339971</c:v>
                </c:pt>
                <c:pt idx="298">
                  <c:v>-101879446</c:v>
                </c:pt>
                <c:pt idx="299">
                  <c:v>-50607905</c:v>
                </c:pt>
                <c:pt idx="300">
                  <c:v>-50707978</c:v>
                </c:pt>
                <c:pt idx="301">
                  <c:v>-76227778</c:v>
                </c:pt>
                <c:pt idx="302">
                  <c:v>-66989354</c:v>
                </c:pt>
                <c:pt idx="303">
                  <c:v>-75014388</c:v>
                </c:pt>
                <c:pt idx="304">
                  <c:v>-95588898</c:v>
                </c:pt>
                <c:pt idx="305">
                  <c:v>-64975525</c:v>
                </c:pt>
                <c:pt idx="306">
                  <c:v>31174897</c:v>
                </c:pt>
                <c:pt idx="307">
                  <c:v>200000</c:v>
                </c:pt>
                <c:pt idx="308">
                  <c:v>104007640</c:v>
                </c:pt>
                <c:pt idx="309">
                  <c:v>-22320362</c:v>
                </c:pt>
                <c:pt idx="310">
                  <c:v>-93990787</c:v>
                </c:pt>
                <c:pt idx="311">
                  <c:v>-41132306</c:v>
                </c:pt>
                <c:pt idx="312">
                  <c:v>-30524377</c:v>
                </c:pt>
                <c:pt idx="313">
                  <c:v>16638745</c:v>
                </c:pt>
                <c:pt idx="314">
                  <c:v>-8102818</c:v>
                </c:pt>
                <c:pt idx="315">
                  <c:v>-29459980</c:v>
                </c:pt>
                <c:pt idx="316">
                  <c:v>-4671063</c:v>
                </c:pt>
                <c:pt idx="317">
                  <c:v>-44197339</c:v>
                </c:pt>
                <c:pt idx="318">
                  <c:v>66317423</c:v>
                </c:pt>
                <c:pt idx="319">
                  <c:v>106148159</c:v>
                </c:pt>
                <c:pt idx="320">
                  <c:v>-21017158</c:v>
                </c:pt>
                <c:pt idx="321">
                  <c:v>286838870</c:v>
                </c:pt>
                <c:pt idx="322">
                  <c:v>283019252</c:v>
                </c:pt>
                <c:pt idx="323">
                  <c:v>246478898</c:v>
                </c:pt>
                <c:pt idx="324">
                  <c:v>-77823100</c:v>
                </c:pt>
                <c:pt idx="325">
                  <c:v>16144183</c:v>
                </c:pt>
                <c:pt idx="326">
                  <c:v>-76985496</c:v>
                </c:pt>
                <c:pt idx="327">
                  <c:v>88166115</c:v>
                </c:pt>
                <c:pt idx="328">
                  <c:v>83740650</c:v>
                </c:pt>
                <c:pt idx="329">
                  <c:v>-18851301</c:v>
                </c:pt>
                <c:pt idx="330">
                  <c:v>-24655608</c:v>
                </c:pt>
                <c:pt idx="331">
                  <c:v>-84593638</c:v>
                </c:pt>
                <c:pt idx="332">
                  <c:v>169437578</c:v>
                </c:pt>
                <c:pt idx="333">
                  <c:v>-87000000</c:v>
                </c:pt>
                <c:pt idx="334">
                  <c:v>-6238280</c:v>
                </c:pt>
                <c:pt idx="335">
                  <c:v>160147615</c:v>
                </c:pt>
                <c:pt idx="336">
                  <c:v>155823397</c:v>
                </c:pt>
                <c:pt idx="337">
                  <c:v>-18442521</c:v>
                </c:pt>
                <c:pt idx="338">
                  <c:v>136138454</c:v>
                </c:pt>
                <c:pt idx="339">
                  <c:v>55370362</c:v>
                </c:pt>
                <c:pt idx="340">
                  <c:v>24870275</c:v>
                </c:pt>
                <c:pt idx="341">
                  <c:v>106573705</c:v>
                </c:pt>
                <c:pt idx="342">
                  <c:v>-31770880</c:v>
                </c:pt>
                <c:pt idx="343">
                  <c:v>33305545</c:v>
                </c:pt>
                <c:pt idx="344">
                  <c:v>42373442</c:v>
                </c:pt>
                <c:pt idx="345">
                  <c:v>30618403</c:v>
                </c:pt>
                <c:pt idx="346">
                  <c:v>18416702</c:v>
                </c:pt>
                <c:pt idx="347">
                  <c:v>12515793</c:v>
                </c:pt>
                <c:pt idx="348">
                  <c:v>10012500</c:v>
                </c:pt>
                <c:pt idx="349">
                  <c:v>119019489</c:v>
                </c:pt>
                <c:pt idx="350">
                  <c:v>-35962961</c:v>
                </c:pt>
                <c:pt idx="351">
                  <c:v>-4115185</c:v>
                </c:pt>
                <c:pt idx="352">
                  <c:v>8077470</c:v>
                </c:pt>
                <c:pt idx="353">
                  <c:v>10018837</c:v>
                </c:pt>
                <c:pt idx="354">
                  <c:v>-9252415</c:v>
                </c:pt>
                <c:pt idx="355">
                  <c:v>-21383311</c:v>
                </c:pt>
                <c:pt idx="356">
                  <c:v>-14182006</c:v>
                </c:pt>
                <c:pt idx="357">
                  <c:v>10853835</c:v>
                </c:pt>
                <c:pt idx="358">
                  <c:v>-21790660</c:v>
                </c:pt>
                <c:pt idx="359">
                  <c:v>-7484640</c:v>
                </c:pt>
                <c:pt idx="360">
                  <c:v>-21441338</c:v>
                </c:pt>
                <c:pt idx="361">
                  <c:v>-29346242</c:v>
                </c:pt>
                <c:pt idx="362">
                  <c:v>-25314641</c:v>
                </c:pt>
                <c:pt idx="363">
                  <c:v>-6644564</c:v>
                </c:pt>
                <c:pt idx="364">
                  <c:v>-91973129</c:v>
                </c:pt>
                <c:pt idx="365">
                  <c:v>-29125385</c:v>
                </c:pt>
                <c:pt idx="366">
                  <c:v>53618384</c:v>
                </c:pt>
                <c:pt idx="367">
                  <c:v>-41779224</c:v>
                </c:pt>
                <c:pt idx="368">
                  <c:v>-42525888</c:v>
                </c:pt>
                <c:pt idx="369">
                  <c:v>-43122835</c:v>
                </c:pt>
                <c:pt idx="370">
                  <c:v>-64831323</c:v>
                </c:pt>
                <c:pt idx="371">
                  <c:v>17567440</c:v>
                </c:pt>
                <c:pt idx="372">
                  <c:v>-26355679</c:v>
                </c:pt>
                <c:pt idx="373">
                  <c:v>-89809438</c:v>
                </c:pt>
                <c:pt idx="374">
                  <c:v>33147445</c:v>
                </c:pt>
                <c:pt idx="375">
                  <c:v>149688385</c:v>
                </c:pt>
                <c:pt idx="376">
                  <c:v>143630478</c:v>
                </c:pt>
                <c:pt idx="377">
                  <c:v>97992827</c:v>
                </c:pt>
                <c:pt idx="378">
                  <c:v>101049130</c:v>
                </c:pt>
                <c:pt idx="379">
                  <c:v>87620724</c:v>
                </c:pt>
                <c:pt idx="380">
                  <c:v>98405771</c:v>
                </c:pt>
                <c:pt idx="381">
                  <c:v>-54684676</c:v>
                </c:pt>
                <c:pt idx="382">
                  <c:v>63313048</c:v>
                </c:pt>
                <c:pt idx="383">
                  <c:v>42706877</c:v>
                </c:pt>
                <c:pt idx="384">
                  <c:v>41149655</c:v>
                </c:pt>
                <c:pt idx="385">
                  <c:v>-18058441</c:v>
                </c:pt>
                <c:pt idx="386">
                  <c:v>3009155</c:v>
                </c:pt>
                <c:pt idx="387">
                  <c:v>-21775151</c:v>
                </c:pt>
                <c:pt idx="388">
                  <c:v>21544445</c:v>
                </c:pt>
                <c:pt idx="389">
                  <c:v>27703470</c:v>
                </c:pt>
                <c:pt idx="390">
                  <c:v>32144465</c:v>
                </c:pt>
                <c:pt idx="391">
                  <c:v>-696442</c:v>
                </c:pt>
                <c:pt idx="392">
                  <c:v>65832203</c:v>
                </c:pt>
                <c:pt idx="393">
                  <c:v>-16603219</c:v>
                </c:pt>
                <c:pt idx="394">
                  <c:v>-37407175</c:v>
                </c:pt>
                <c:pt idx="395">
                  <c:v>-19983606</c:v>
                </c:pt>
                <c:pt idx="396">
                  <c:v>-27989147</c:v>
                </c:pt>
                <c:pt idx="397">
                  <c:v>-22505025</c:v>
                </c:pt>
                <c:pt idx="398">
                  <c:v>-53559509</c:v>
                </c:pt>
                <c:pt idx="399">
                  <c:v>-45393665</c:v>
                </c:pt>
                <c:pt idx="400">
                  <c:v>-44951668</c:v>
                </c:pt>
                <c:pt idx="401">
                  <c:v>-20066330</c:v>
                </c:pt>
                <c:pt idx="402">
                  <c:v>-28888740</c:v>
                </c:pt>
                <c:pt idx="403">
                  <c:v>58307945</c:v>
                </c:pt>
                <c:pt idx="404">
                  <c:v>69288182</c:v>
                </c:pt>
                <c:pt idx="405">
                  <c:v>-21598317</c:v>
                </c:pt>
                <c:pt idx="406">
                  <c:v>67340146</c:v>
                </c:pt>
                <c:pt idx="407">
                  <c:v>-41424284</c:v>
                </c:pt>
                <c:pt idx="408">
                  <c:v>-4829854</c:v>
                </c:pt>
                <c:pt idx="409">
                  <c:v>-9245330</c:v>
                </c:pt>
                <c:pt idx="410">
                  <c:v>-31951647</c:v>
                </c:pt>
                <c:pt idx="411">
                  <c:v>-47456299</c:v>
                </c:pt>
                <c:pt idx="412">
                  <c:v>161589580</c:v>
                </c:pt>
                <c:pt idx="413">
                  <c:v>22981571</c:v>
                </c:pt>
                <c:pt idx="414">
                  <c:v>100965237</c:v>
                </c:pt>
                <c:pt idx="415">
                  <c:v>329999255</c:v>
                </c:pt>
                <c:pt idx="416">
                  <c:v>174455986</c:v>
                </c:pt>
                <c:pt idx="417">
                  <c:v>82831698</c:v>
                </c:pt>
                <c:pt idx="418">
                  <c:v>75019340</c:v>
                </c:pt>
                <c:pt idx="419">
                  <c:v>65771527</c:v>
                </c:pt>
                <c:pt idx="420">
                  <c:v>65459099</c:v>
                </c:pt>
                <c:pt idx="421">
                  <c:v>-30784021</c:v>
                </c:pt>
                <c:pt idx="422">
                  <c:v>76115031</c:v>
                </c:pt>
                <c:pt idx="423">
                  <c:v>58103929</c:v>
                </c:pt>
                <c:pt idx="424">
                  <c:v>53668525</c:v>
                </c:pt>
                <c:pt idx="425">
                  <c:v>50313314</c:v>
                </c:pt>
                <c:pt idx="426">
                  <c:v>44590960</c:v>
                </c:pt>
                <c:pt idx="427">
                  <c:v>47968405</c:v>
                </c:pt>
                <c:pt idx="428">
                  <c:v>40136047</c:v>
                </c:pt>
                <c:pt idx="429">
                  <c:v>53200012</c:v>
                </c:pt>
                <c:pt idx="430">
                  <c:v>32225777</c:v>
                </c:pt>
                <c:pt idx="431">
                  <c:v>29993847</c:v>
                </c:pt>
                <c:pt idx="432">
                  <c:v>24054514</c:v>
                </c:pt>
                <c:pt idx="433">
                  <c:v>23028109</c:v>
                </c:pt>
                <c:pt idx="434">
                  <c:v>26087161</c:v>
                </c:pt>
                <c:pt idx="435">
                  <c:v>21111837</c:v>
                </c:pt>
                <c:pt idx="436">
                  <c:v>16632614</c:v>
                </c:pt>
                <c:pt idx="437">
                  <c:v>14822707</c:v>
                </c:pt>
                <c:pt idx="438">
                  <c:v>12969824</c:v>
                </c:pt>
                <c:pt idx="439">
                  <c:v>11188905</c:v>
                </c:pt>
                <c:pt idx="440">
                  <c:v>10443603</c:v>
                </c:pt>
                <c:pt idx="441">
                  <c:v>17226474</c:v>
                </c:pt>
                <c:pt idx="442">
                  <c:v>-636215</c:v>
                </c:pt>
                <c:pt idx="443">
                  <c:v>1081498</c:v>
                </c:pt>
                <c:pt idx="444">
                  <c:v>17707116</c:v>
                </c:pt>
                <c:pt idx="445">
                  <c:v>4329966</c:v>
                </c:pt>
                <c:pt idx="446">
                  <c:v>20169068</c:v>
                </c:pt>
                <c:pt idx="447">
                  <c:v>-6784690</c:v>
                </c:pt>
                <c:pt idx="448">
                  <c:v>360866</c:v>
                </c:pt>
                <c:pt idx="449">
                  <c:v>-10897090</c:v>
                </c:pt>
                <c:pt idx="450">
                  <c:v>-14051289</c:v>
                </c:pt>
                <c:pt idx="451">
                  <c:v>89692572</c:v>
                </c:pt>
                <c:pt idx="452">
                  <c:v>-19492772</c:v>
                </c:pt>
                <c:pt idx="453">
                  <c:v>-23315181</c:v>
                </c:pt>
                <c:pt idx="454">
                  <c:v>-39371991</c:v>
                </c:pt>
                <c:pt idx="455">
                  <c:v>-10227031</c:v>
                </c:pt>
                <c:pt idx="456">
                  <c:v>-29649103</c:v>
                </c:pt>
                <c:pt idx="457">
                  <c:v>-40557129</c:v>
                </c:pt>
                <c:pt idx="458">
                  <c:v>-50100362</c:v>
                </c:pt>
                <c:pt idx="459">
                  <c:v>-32245792</c:v>
                </c:pt>
                <c:pt idx="460">
                  <c:v>-41457582</c:v>
                </c:pt>
                <c:pt idx="461">
                  <c:v>-45433254</c:v>
                </c:pt>
                <c:pt idx="462">
                  <c:v>-47114435</c:v>
                </c:pt>
                <c:pt idx="463">
                  <c:v>-43926768</c:v>
                </c:pt>
                <c:pt idx="464">
                  <c:v>-22528315</c:v>
                </c:pt>
                <c:pt idx="465">
                  <c:v>-59049180</c:v>
                </c:pt>
                <c:pt idx="466">
                  <c:v>-60326576</c:v>
                </c:pt>
                <c:pt idx="467">
                  <c:v>-60519261</c:v>
                </c:pt>
                <c:pt idx="468">
                  <c:v>-62406609</c:v>
                </c:pt>
                <c:pt idx="469">
                  <c:v>-61682000</c:v>
                </c:pt>
                <c:pt idx="470">
                  <c:v>-62643910</c:v>
                </c:pt>
                <c:pt idx="471">
                  <c:v>-52526755</c:v>
                </c:pt>
                <c:pt idx="472">
                  <c:v>-70868670</c:v>
                </c:pt>
                <c:pt idx="473">
                  <c:v>-20593594</c:v>
                </c:pt>
                <c:pt idx="474">
                  <c:v>-50108179</c:v>
                </c:pt>
                <c:pt idx="475">
                  <c:v>112708996</c:v>
                </c:pt>
                <c:pt idx="476">
                  <c:v>377783777</c:v>
                </c:pt>
                <c:pt idx="477">
                  <c:v>24812241</c:v>
                </c:pt>
                <c:pt idx="478">
                  <c:v>41793567</c:v>
                </c:pt>
                <c:pt idx="479">
                  <c:v>14930005</c:v>
                </c:pt>
                <c:pt idx="480">
                  <c:v>-32713269</c:v>
                </c:pt>
                <c:pt idx="481">
                  <c:v>-4841843</c:v>
                </c:pt>
                <c:pt idx="482">
                  <c:v>51083765</c:v>
                </c:pt>
                <c:pt idx="483">
                  <c:v>-79860848</c:v>
                </c:pt>
                <c:pt idx="484">
                  <c:v>-64928486</c:v>
                </c:pt>
                <c:pt idx="485">
                  <c:v>-49999390</c:v>
                </c:pt>
                <c:pt idx="486">
                  <c:v>248505540</c:v>
                </c:pt>
                <c:pt idx="487">
                  <c:v>-11537400</c:v>
                </c:pt>
                <c:pt idx="488">
                  <c:v>292049635</c:v>
                </c:pt>
                <c:pt idx="489">
                  <c:v>231124059</c:v>
                </c:pt>
                <c:pt idx="490">
                  <c:v>156074524</c:v>
                </c:pt>
                <c:pt idx="491">
                  <c:v>118136719</c:v>
                </c:pt>
                <c:pt idx="492">
                  <c:v>-40713572</c:v>
                </c:pt>
                <c:pt idx="493">
                  <c:v>82299717</c:v>
                </c:pt>
                <c:pt idx="494">
                  <c:v>59568845</c:v>
                </c:pt>
                <c:pt idx="495">
                  <c:v>59006721</c:v>
                </c:pt>
                <c:pt idx="496">
                  <c:v>115329763</c:v>
                </c:pt>
                <c:pt idx="497">
                  <c:v>45776832</c:v>
                </c:pt>
                <c:pt idx="498">
                  <c:v>43823091</c:v>
                </c:pt>
                <c:pt idx="499">
                  <c:v>-8185137</c:v>
                </c:pt>
                <c:pt idx="500">
                  <c:v>22360069</c:v>
                </c:pt>
                <c:pt idx="501">
                  <c:v>42698894</c:v>
                </c:pt>
                <c:pt idx="502">
                  <c:v>82001186</c:v>
                </c:pt>
                <c:pt idx="503">
                  <c:v>17032279</c:v>
                </c:pt>
                <c:pt idx="504">
                  <c:v>38023275</c:v>
                </c:pt>
                <c:pt idx="505">
                  <c:v>-6526640</c:v>
                </c:pt>
                <c:pt idx="506">
                  <c:v>-8363615</c:v>
                </c:pt>
                <c:pt idx="507">
                  <c:v>85762022</c:v>
                </c:pt>
                <c:pt idx="508">
                  <c:v>33338338</c:v>
                </c:pt>
                <c:pt idx="509">
                  <c:v>2808744</c:v>
                </c:pt>
                <c:pt idx="510">
                  <c:v>-22620910</c:v>
                </c:pt>
                <c:pt idx="511">
                  <c:v>-26573039</c:v>
                </c:pt>
                <c:pt idx="512">
                  <c:v>-27999515</c:v>
                </c:pt>
                <c:pt idx="513">
                  <c:v>-29565557</c:v>
                </c:pt>
                <c:pt idx="514">
                  <c:v>-37955679</c:v>
                </c:pt>
                <c:pt idx="515">
                  <c:v>-1338990</c:v>
                </c:pt>
                <c:pt idx="516">
                  <c:v>-38476729</c:v>
                </c:pt>
                <c:pt idx="517">
                  <c:v>-17399565</c:v>
                </c:pt>
                <c:pt idx="518">
                  <c:v>-35748872</c:v>
                </c:pt>
                <c:pt idx="519">
                  <c:v>8503161</c:v>
                </c:pt>
                <c:pt idx="520">
                  <c:v>-17363557</c:v>
                </c:pt>
                <c:pt idx="521">
                  <c:v>-52248021</c:v>
                </c:pt>
                <c:pt idx="522">
                  <c:v>-44986654</c:v>
                </c:pt>
                <c:pt idx="523">
                  <c:v>-60432117</c:v>
                </c:pt>
                <c:pt idx="524">
                  <c:v>-69590483</c:v>
                </c:pt>
                <c:pt idx="525">
                  <c:v>-23990820</c:v>
                </c:pt>
                <c:pt idx="526">
                  <c:v>19999143</c:v>
                </c:pt>
                <c:pt idx="527">
                  <c:v>262029560</c:v>
                </c:pt>
                <c:pt idx="528">
                  <c:v>-45618284</c:v>
                </c:pt>
                <c:pt idx="529">
                  <c:v>-13414611</c:v>
                </c:pt>
                <c:pt idx="530">
                  <c:v>-38023633</c:v>
                </c:pt>
                <c:pt idx="531">
                  <c:v>34225164</c:v>
                </c:pt>
                <c:pt idx="532">
                  <c:v>-23185810</c:v>
                </c:pt>
                <c:pt idx="533">
                  <c:v>-22543550</c:v>
                </c:pt>
                <c:pt idx="534">
                  <c:v>75213377</c:v>
                </c:pt>
                <c:pt idx="535">
                  <c:v>40950721</c:v>
                </c:pt>
                <c:pt idx="536">
                  <c:v>3600000</c:v>
                </c:pt>
                <c:pt idx="537">
                  <c:v>108132370</c:v>
                </c:pt>
                <c:pt idx="538">
                  <c:v>-44203958</c:v>
                </c:pt>
                <c:pt idx="539">
                  <c:v>-39383131</c:v>
                </c:pt>
                <c:pt idx="540">
                  <c:v>-40712370</c:v>
                </c:pt>
                <c:pt idx="541">
                  <c:v>54195633</c:v>
                </c:pt>
                <c:pt idx="542">
                  <c:v>72656464</c:v>
                </c:pt>
                <c:pt idx="543">
                  <c:v>155965690</c:v>
                </c:pt>
                <c:pt idx="544">
                  <c:v>286471036</c:v>
                </c:pt>
                <c:pt idx="545">
                  <c:v>124052771</c:v>
                </c:pt>
                <c:pt idx="546">
                  <c:v>82149590</c:v>
                </c:pt>
                <c:pt idx="547">
                  <c:v>71204016</c:v>
                </c:pt>
                <c:pt idx="548">
                  <c:v>88495848</c:v>
                </c:pt>
                <c:pt idx="549">
                  <c:v>56448821</c:v>
                </c:pt>
                <c:pt idx="550">
                  <c:v>45523073</c:v>
                </c:pt>
                <c:pt idx="551">
                  <c:v>49654900</c:v>
                </c:pt>
                <c:pt idx="552">
                  <c:v>47541000</c:v>
                </c:pt>
                <c:pt idx="553">
                  <c:v>36643346</c:v>
                </c:pt>
                <c:pt idx="554">
                  <c:v>32614858</c:v>
                </c:pt>
                <c:pt idx="555">
                  <c:v>-27727253</c:v>
                </c:pt>
                <c:pt idx="556">
                  <c:v>20281096</c:v>
                </c:pt>
                <c:pt idx="557">
                  <c:v>144613391</c:v>
                </c:pt>
                <c:pt idx="558">
                  <c:v>3120196</c:v>
                </c:pt>
                <c:pt idx="559">
                  <c:v>28895417</c:v>
                </c:pt>
                <c:pt idx="560">
                  <c:v>12117571</c:v>
                </c:pt>
                <c:pt idx="561">
                  <c:v>13552429</c:v>
                </c:pt>
                <c:pt idx="562">
                  <c:v>-3742998</c:v>
                </c:pt>
                <c:pt idx="563">
                  <c:v>-4988000</c:v>
                </c:pt>
                <c:pt idx="564">
                  <c:v>13883359</c:v>
                </c:pt>
                <c:pt idx="565">
                  <c:v>8031620</c:v>
                </c:pt>
                <c:pt idx="566">
                  <c:v>-15278000</c:v>
                </c:pt>
                <c:pt idx="567">
                  <c:v>-17525384</c:v>
                </c:pt>
                <c:pt idx="568">
                  <c:v>-14057170</c:v>
                </c:pt>
                <c:pt idx="569">
                  <c:v>-29067628</c:v>
                </c:pt>
                <c:pt idx="570">
                  <c:v>-31654597</c:v>
                </c:pt>
                <c:pt idx="571">
                  <c:v>-32098491</c:v>
                </c:pt>
                <c:pt idx="572">
                  <c:v>-21569645</c:v>
                </c:pt>
                <c:pt idx="573">
                  <c:v>-39842984</c:v>
                </c:pt>
                <c:pt idx="574">
                  <c:v>-31968750</c:v>
                </c:pt>
                <c:pt idx="575">
                  <c:v>-36894400</c:v>
                </c:pt>
                <c:pt idx="576">
                  <c:v>-7678961</c:v>
                </c:pt>
                <c:pt idx="577">
                  <c:v>-36490658</c:v>
                </c:pt>
                <c:pt idx="578">
                  <c:v>-40923185</c:v>
                </c:pt>
                <c:pt idx="579">
                  <c:v>-9906393</c:v>
                </c:pt>
                <c:pt idx="580">
                  <c:v>-51009458</c:v>
                </c:pt>
                <c:pt idx="581">
                  <c:v>-55705158</c:v>
                </c:pt>
                <c:pt idx="582">
                  <c:v>-50180506</c:v>
                </c:pt>
                <c:pt idx="583">
                  <c:v>-56403089</c:v>
                </c:pt>
                <c:pt idx="584">
                  <c:v>-61539010</c:v>
                </c:pt>
                <c:pt idx="585">
                  <c:v>-62902875</c:v>
                </c:pt>
                <c:pt idx="586">
                  <c:v>-64148812</c:v>
                </c:pt>
                <c:pt idx="587">
                  <c:v>-24878709</c:v>
                </c:pt>
                <c:pt idx="588">
                  <c:v>-51178721</c:v>
                </c:pt>
                <c:pt idx="589">
                  <c:v>50471320</c:v>
                </c:pt>
                <c:pt idx="590">
                  <c:v>232523113</c:v>
                </c:pt>
                <c:pt idx="591">
                  <c:v>3069884</c:v>
                </c:pt>
                <c:pt idx="592">
                  <c:v>182501645</c:v>
                </c:pt>
                <c:pt idx="593">
                  <c:v>-32675768</c:v>
                </c:pt>
                <c:pt idx="594">
                  <c:v>13257500</c:v>
                </c:pt>
                <c:pt idx="595">
                  <c:v>-69382160</c:v>
                </c:pt>
                <c:pt idx="596">
                  <c:v>-35344410</c:v>
                </c:pt>
                <c:pt idx="597">
                  <c:v>9045037</c:v>
                </c:pt>
                <c:pt idx="598">
                  <c:v>-39034803</c:v>
                </c:pt>
                <c:pt idx="599">
                  <c:v>-30619558</c:v>
                </c:pt>
                <c:pt idx="600">
                  <c:v>-31483987</c:v>
                </c:pt>
                <c:pt idx="601">
                  <c:v>21704396</c:v>
                </c:pt>
                <c:pt idx="602">
                  <c:v>17892374</c:v>
                </c:pt>
                <c:pt idx="603">
                  <c:v>-29067940</c:v>
                </c:pt>
                <c:pt idx="604">
                  <c:v>146119491</c:v>
                </c:pt>
                <c:pt idx="605">
                  <c:v>-22431493</c:v>
                </c:pt>
                <c:pt idx="606">
                  <c:v>112805123</c:v>
                </c:pt>
                <c:pt idx="607">
                  <c:v>117387405</c:v>
                </c:pt>
                <c:pt idx="608">
                  <c:v>-34314732</c:v>
                </c:pt>
                <c:pt idx="609">
                  <c:v>117204440</c:v>
                </c:pt>
                <c:pt idx="610">
                  <c:v>108383253</c:v>
                </c:pt>
                <c:pt idx="611">
                  <c:v>110071312</c:v>
                </c:pt>
                <c:pt idx="612">
                  <c:v>79225854</c:v>
                </c:pt>
                <c:pt idx="613">
                  <c:v>87775460</c:v>
                </c:pt>
                <c:pt idx="614">
                  <c:v>50731542</c:v>
                </c:pt>
                <c:pt idx="615">
                  <c:v>35468793</c:v>
                </c:pt>
                <c:pt idx="616">
                  <c:v>28771072</c:v>
                </c:pt>
                <c:pt idx="617">
                  <c:v>35448498</c:v>
                </c:pt>
                <c:pt idx="618">
                  <c:v>50603980</c:v>
                </c:pt>
                <c:pt idx="619">
                  <c:v>25454043</c:v>
                </c:pt>
                <c:pt idx="620">
                  <c:v>14049211</c:v>
                </c:pt>
                <c:pt idx="621">
                  <c:v>20450000</c:v>
                </c:pt>
                <c:pt idx="622">
                  <c:v>9688384</c:v>
                </c:pt>
                <c:pt idx="623">
                  <c:v>7236496</c:v>
                </c:pt>
                <c:pt idx="624">
                  <c:v>-1304240</c:v>
                </c:pt>
                <c:pt idx="625">
                  <c:v>-5382932</c:v>
                </c:pt>
                <c:pt idx="626">
                  <c:v>-9362320</c:v>
                </c:pt>
                <c:pt idx="627">
                  <c:v>20911262</c:v>
                </c:pt>
                <c:pt idx="628">
                  <c:v>3746915</c:v>
                </c:pt>
                <c:pt idx="629">
                  <c:v>-10241539</c:v>
                </c:pt>
                <c:pt idx="630">
                  <c:v>-12602611</c:v>
                </c:pt>
                <c:pt idx="631">
                  <c:v>-26033943</c:v>
                </c:pt>
                <c:pt idx="632">
                  <c:v>-22654469</c:v>
                </c:pt>
                <c:pt idx="633">
                  <c:v>-8935090</c:v>
                </c:pt>
                <c:pt idx="634">
                  <c:v>-31671949</c:v>
                </c:pt>
                <c:pt idx="635">
                  <c:v>-32401069</c:v>
                </c:pt>
                <c:pt idx="636">
                  <c:v>-36954460</c:v>
                </c:pt>
                <c:pt idx="637">
                  <c:v>-21467706</c:v>
                </c:pt>
                <c:pt idx="638">
                  <c:v>-52781920</c:v>
                </c:pt>
                <c:pt idx="639">
                  <c:v>-54985766</c:v>
                </c:pt>
                <c:pt idx="640">
                  <c:v>-45940982</c:v>
                </c:pt>
                <c:pt idx="641">
                  <c:v>-48012713</c:v>
                </c:pt>
                <c:pt idx="642">
                  <c:v>-18592056</c:v>
                </c:pt>
                <c:pt idx="643">
                  <c:v>-51249444</c:v>
                </c:pt>
                <c:pt idx="644">
                  <c:v>-32945076</c:v>
                </c:pt>
                <c:pt idx="645">
                  <c:v>-11752860</c:v>
                </c:pt>
                <c:pt idx="646">
                  <c:v>-47791061</c:v>
                </c:pt>
                <c:pt idx="647">
                  <c:v>150079163</c:v>
                </c:pt>
                <c:pt idx="648">
                  <c:v>-45451936</c:v>
                </c:pt>
                <c:pt idx="649">
                  <c:v>293784000</c:v>
                </c:pt>
                <c:pt idx="650">
                  <c:v>-37948000</c:v>
                </c:pt>
                <c:pt idx="651">
                  <c:v>60012710</c:v>
                </c:pt>
                <c:pt idx="652">
                  <c:v>-64927587</c:v>
                </c:pt>
                <c:pt idx="653">
                  <c:v>-5744713</c:v>
                </c:pt>
                <c:pt idx="654">
                  <c:v>15086030</c:v>
                </c:pt>
                <c:pt idx="655">
                  <c:v>3000000</c:v>
                </c:pt>
                <c:pt idx="656">
                  <c:v>-29821223</c:v>
                </c:pt>
                <c:pt idx="657">
                  <c:v>-26261368</c:v>
                </c:pt>
                <c:pt idx="658">
                  <c:v>10116191</c:v>
                </c:pt>
                <c:pt idx="659">
                  <c:v>57153533</c:v>
                </c:pt>
                <c:pt idx="660">
                  <c:v>45012170</c:v>
                </c:pt>
                <c:pt idx="661">
                  <c:v>145592590</c:v>
                </c:pt>
                <c:pt idx="662">
                  <c:v>199167575</c:v>
                </c:pt>
                <c:pt idx="663">
                  <c:v>83151473</c:v>
                </c:pt>
                <c:pt idx="664">
                  <c:v>76801374</c:v>
                </c:pt>
                <c:pt idx="665">
                  <c:v>-14618493</c:v>
                </c:pt>
                <c:pt idx="666">
                  <c:v>106735396</c:v>
                </c:pt>
                <c:pt idx="667">
                  <c:v>61468960</c:v>
                </c:pt>
                <c:pt idx="668">
                  <c:v>48635996</c:v>
                </c:pt>
                <c:pt idx="669">
                  <c:v>7678089</c:v>
                </c:pt>
                <c:pt idx="670">
                  <c:v>65603360</c:v>
                </c:pt>
                <c:pt idx="671">
                  <c:v>31217900</c:v>
                </c:pt>
                <c:pt idx="672">
                  <c:v>44148781</c:v>
                </c:pt>
                <c:pt idx="673">
                  <c:v>14573300</c:v>
                </c:pt>
                <c:pt idx="674">
                  <c:v>33375151</c:v>
                </c:pt>
                <c:pt idx="675">
                  <c:v>46126012</c:v>
                </c:pt>
                <c:pt idx="676">
                  <c:v>-14353446</c:v>
                </c:pt>
                <c:pt idx="677">
                  <c:v>49176215</c:v>
                </c:pt>
                <c:pt idx="678">
                  <c:v>22670733</c:v>
                </c:pt>
                <c:pt idx="679">
                  <c:v>22569532</c:v>
                </c:pt>
                <c:pt idx="680">
                  <c:v>20687587</c:v>
                </c:pt>
                <c:pt idx="681">
                  <c:v>20574010</c:v>
                </c:pt>
                <c:pt idx="682">
                  <c:v>15764085</c:v>
                </c:pt>
                <c:pt idx="683">
                  <c:v>32356857</c:v>
                </c:pt>
                <c:pt idx="684">
                  <c:v>20530832</c:v>
                </c:pt>
                <c:pt idx="685">
                  <c:v>15370763</c:v>
                </c:pt>
                <c:pt idx="686">
                  <c:v>35003492</c:v>
                </c:pt>
                <c:pt idx="687">
                  <c:v>30341670</c:v>
                </c:pt>
                <c:pt idx="688">
                  <c:v>19540762</c:v>
                </c:pt>
                <c:pt idx="689">
                  <c:v>20033643</c:v>
                </c:pt>
                <c:pt idx="690">
                  <c:v>13648142</c:v>
                </c:pt>
                <c:pt idx="691">
                  <c:v>11844424</c:v>
                </c:pt>
                <c:pt idx="692">
                  <c:v>15638743</c:v>
                </c:pt>
                <c:pt idx="693">
                  <c:v>6734992</c:v>
                </c:pt>
                <c:pt idx="694">
                  <c:v>15280058</c:v>
                </c:pt>
                <c:pt idx="695">
                  <c:v>16505912</c:v>
                </c:pt>
                <c:pt idx="696">
                  <c:v>7862546</c:v>
                </c:pt>
                <c:pt idx="697">
                  <c:v>11112916</c:v>
                </c:pt>
                <c:pt idx="698">
                  <c:v>28200225</c:v>
                </c:pt>
                <c:pt idx="699">
                  <c:v>573641</c:v>
                </c:pt>
                <c:pt idx="700">
                  <c:v>-6964896</c:v>
                </c:pt>
                <c:pt idx="701">
                  <c:v>-3297099</c:v>
                </c:pt>
                <c:pt idx="702">
                  <c:v>-4005443</c:v>
                </c:pt>
                <c:pt idx="703">
                  <c:v>-5089440</c:v>
                </c:pt>
                <c:pt idx="704">
                  <c:v>-6210687</c:v>
                </c:pt>
                <c:pt idx="705">
                  <c:v>-8954199</c:v>
                </c:pt>
                <c:pt idx="706">
                  <c:v>-9181250</c:v>
                </c:pt>
                <c:pt idx="707">
                  <c:v>-9810821</c:v>
                </c:pt>
                <c:pt idx="708">
                  <c:v>-9975917</c:v>
                </c:pt>
                <c:pt idx="709">
                  <c:v>-9450893</c:v>
                </c:pt>
                <c:pt idx="710">
                  <c:v>-3556518</c:v>
                </c:pt>
                <c:pt idx="711">
                  <c:v>2401264</c:v>
                </c:pt>
                <c:pt idx="712">
                  <c:v>-27251390</c:v>
                </c:pt>
                <c:pt idx="713">
                  <c:v>-14024817</c:v>
                </c:pt>
                <c:pt idx="714">
                  <c:v>-9192361</c:v>
                </c:pt>
                <c:pt idx="715">
                  <c:v>-1388796</c:v>
                </c:pt>
                <c:pt idx="716">
                  <c:v>197756197</c:v>
                </c:pt>
                <c:pt idx="717">
                  <c:v>3472213</c:v>
                </c:pt>
                <c:pt idx="718">
                  <c:v>-16939434</c:v>
                </c:pt>
                <c:pt idx="719">
                  <c:v>-14003282</c:v>
                </c:pt>
                <c:pt idx="720">
                  <c:v>-16662721</c:v>
                </c:pt>
                <c:pt idx="721">
                  <c:v>-22520222</c:v>
                </c:pt>
                <c:pt idx="722">
                  <c:v>-19440070</c:v>
                </c:pt>
                <c:pt idx="723">
                  <c:v>-28169943</c:v>
                </c:pt>
                <c:pt idx="724">
                  <c:v>-23720770</c:v>
                </c:pt>
                <c:pt idx="725">
                  <c:v>-27805940</c:v>
                </c:pt>
                <c:pt idx="726">
                  <c:v>-16880121</c:v>
                </c:pt>
                <c:pt idx="727">
                  <c:v>-24903810</c:v>
                </c:pt>
                <c:pt idx="728">
                  <c:v>-36709023</c:v>
                </c:pt>
                <c:pt idx="729">
                  <c:v>-6072524</c:v>
                </c:pt>
                <c:pt idx="730">
                  <c:v>-27877751</c:v>
                </c:pt>
                <c:pt idx="731">
                  <c:v>-19923562</c:v>
                </c:pt>
                <c:pt idx="732">
                  <c:v>-27059493</c:v>
                </c:pt>
                <c:pt idx="733">
                  <c:v>-28329069</c:v>
                </c:pt>
                <c:pt idx="734">
                  <c:v>-29304773</c:v>
                </c:pt>
                <c:pt idx="735">
                  <c:v>-27477648</c:v>
                </c:pt>
                <c:pt idx="736">
                  <c:v>-60917086</c:v>
                </c:pt>
                <c:pt idx="737">
                  <c:v>-30863374</c:v>
                </c:pt>
                <c:pt idx="738">
                  <c:v>-33711680</c:v>
                </c:pt>
                <c:pt idx="739">
                  <c:v>-33383410</c:v>
                </c:pt>
                <c:pt idx="740">
                  <c:v>-29936195</c:v>
                </c:pt>
                <c:pt idx="741">
                  <c:v>-27481675</c:v>
                </c:pt>
                <c:pt idx="742">
                  <c:v>-46917712</c:v>
                </c:pt>
                <c:pt idx="743">
                  <c:v>-41791922</c:v>
                </c:pt>
                <c:pt idx="744">
                  <c:v>-50781132</c:v>
                </c:pt>
                <c:pt idx="745">
                  <c:v>-59977549</c:v>
                </c:pt>
                <c:pt idx="746">
                  <c:v>-28834579</c:v>
                </c:pt>
                <c:pt idx="747">
                  <c:v>-4527033</c:v>
                </c:pt>
                <c:pt idx="748">
                  <c:v>-32637500</c:v>
                </c:pt>
                <c:pt idx="749">
                  <c:v>-42718168</c:v>
                </c:pt>
                <c:pt idx="750">
                  <c:v>-40218121</c:v>
                </c:pt>
                <c:pt idx="751">
                  <c:v>-52394332</c:v>
                </c:pt>
                <c:pt idx="752">
                  <c:v>-55464883</c:v>
                </c:pt>
                <c:pt idx="753">
                  <c:v>-30573703</c:v>
                </c:pt>
                <c:pt idx="754">
                  <c:v>-69833498</c:v>
                </c:pt>
                <c:pt idx="755">
                  <c:v>305024263</c:v>
                </c:pt>
                <c:pt idx="756">
                  <c:v>-47934015</c:v>
                </c:pt>
                <c:pt idx="757">
                  <c:v>291323553</c:v>
                </c:pt>
                <c:pt idx="758">
                  <c:v>22021740</c:v>
                </c:pt>
                <c:pt idx="759">
                  <c:v>-9708376</c:v>
                </c:pt>
                <c:pt idx="760">
                  <c:v>-24768635</c:v>
                </c:pt>
                <c:pt idx="761">
                  <c:v>-9284389</c:v>
                </c:pt>
                <c:pt idx="762">
                  <c:v>-26800785</c:v>
                </c:pt>
                <c:pt idx="763">
                  <c:v>-28419913</c:v>
                </c:pt>
                <c:pt idx="764">
                  <c:v>-13334037</c:v>
                </c:pt>
                <c:pt idx="765">
                  <c:v>128566</c:v>
                </c:pt>
                <c:pt idx="766">
                  <c:v>-8124411</c:v>
                </c:pt>
                <c:pt idx="767">
                  <c:v>3984028</c:v>
                </c:pt>
                <c:pt idx="768">
                  <c:v>-33068911</c:v>
                </c:pt>
                <c:pt idx="769">
                  <c:v>-5682650</c:v>
                </c:pt>
                <c:pt idx="770">
                  <c:v>-29671868</c:v>
                </c:pt>
                <c:pt idx="771">
                  <c:v>-5225998</c:v>
                </c:pt>
                <c:pt idx="772">
                  <c:v>-31471505</c:v>
                </c:pt>
                <c:pt idx="773">
                  <c:v>57006880</c:v>
                </c:pt>
                <c:pt idx="774">
                  <c:v>-10139961</c:v>
                </c:pt>
                <c:pt idx="775">
                  <c:v>274691196</c:v>
                </c:pt>
                <c:pt idx="776">
                  <c:v>157326336</c:v>
                </c:pt>
                <c:pt idx="777">
                  <c:v>111225040</c:v>
                </c:pt>
                <c:pt idx="778">
                  <c:v>86600000</c:v>
                </c:pt>
                <c:pt idx="779">
                  <c:v>79218018</c:v>
                </c:pt>
                <c:pt idx="780">
                  <c:v>74769345</c:v>
                </c:pt>
                <c:pt idx="781">
                  <c:v>107575142</c:v>
                </c:pt>
                <c:pt idx="782">
                  <c:v>50263257</c:v>
                </c:pt>
                <c:pt idx="783">
                  <c:v>49354205</c:v>
                </c:pt>
                <c:pt idx="784">
                  <c:v>52100855</c:v>
                </c:pt>
                <c:pt idx="785">
                  <c:v>43711404</c:v>
                </c:pt>
                <c:pt idx="786">
                  <c:v>50328194</c:v>
                </c:pt>
                <c:pt idx="787">
                  <c:v>46530738</c:v>
                </c:pt>
                <c:pt idx="788">
                  <c:v>38815117</c:v>
                </c:pt>
                <c:pt idx="789">
                  <c:v>38400000</c:v>
                </c:pt>
                <c:pt idx="790">
                  <c:v>107586036</c:v>
                </c:pt>
                <c:pt idx="791">
                  <c:v>34706988</c:v>
                </c:pt>
                <c:pt idx="792">
                  <c:v>28000000</c:v>
                </c:pt>
                <c:pt idx="793">
                  <c:v>23745923</c:v>
                </c:pt>
                <c:pt idx="794">
                  <c:v>40098138</c:v>
                </c:pt>
                <c:pt idx="795">
                  <c:v>11365290</c:v>
                </c:pt>
                <c:pt idx="796">
                  <c:v>36207920</c:v>
                </c:pt>
                <c:pt idx="797">
                  <c:v>8408614</c:v>
                </c:pt>
                <c:pt idx="798">
                  <c:v>3422650</c:v>
                </c:pt>
                <c:pt idx="799">
                  <c:v>1932305</c:v>
                </c:pt>
                <c:pt idx="800">
                  <c:v>13750000</c:v>
                </c:pt>
                <c:pt idx="801">
                  <c:v>13218041</c:v>
                </c:pt>
                <c:pt idx="802">
                  <c:v>-29959707</c:v>
                </c:pt>
                <c:pt idx="803">
                  <c:v>747724</c:v>
                </c:pt>
                <c:pt idx="804">
                  <c:v>5473600</c:v>
                </c:pt>
                <c:pt idx="805">
                  <c:v>-13390407</c:v>
                </c:pt>
                <c:pt idx="806">
                  <c:v>-16446167</c:v>
                </c:pt>
                <c:pt idx="807">
                  <c:v>21137505</c:v>
                </c:pt>
                <c:pt idx="808">
                  <c:v>-33649447</c:v>
                </c:pt>
                <c:pt idx="809">
                  <c:v>-20761389</c:v>
                </c:pt>
                <c:pt idx="810">
                  <c:v>-20901437</c:v>
                </c:pt>
                <c:pt idx="811">
                  <c:v>-21171682</c:v>
                </c:pt>
                <c:pt idx="812">
                  <c:v>-21527150</c:v>
                </c:pt>
                <c:pt idx="813">
                  <c:v>-23948874</c:v>
                </c:pt>
                <c:pt idx="814">
                  <c:v>-29449288</c:v>
                </c:pt>
                <c:pt idx="815">
                  <c:v>-36426209</c:v>
                </c:pt>
                <c:pt idx="816">
                  <c:v>-18774204</c:v>
                </c:pt>
                <c:pt idx="817">
                  <c:v>-38735525</c:v>
                </c:pt>
                <c:pt idx="818">
                  <c:v>-36142013</c:v>
                </c:pt>
                <c:pt idx="819">
                  <c:v>-43129431</c:v>
                </c:pt>
                <c:pt idx="820">
                  <c:v>-38911390</c:v>
                </c:pt>
                <c:pt idx="821">
                  <c:v>1178893</c:v>
                </c:pt>
                <c:pt idx="822">
                  <c:v>-50231945</c:v>
                </c:pt>
                <c:pt idx="823">
                  <c:v>-15559345</c:v>
                </c:pt>
                <c:pt idx="824">
                  <c:v>-40832183</c:v>
                </c:pt>
                <c:pt idx="825">
                  <c:v>27645152</c:v>
                </c:pt>
                <c:pt idx="826">
                  <c:v>14951824</c:v>
                </c:pt>
                <c:pt idx="827">
                  <c:v>-45516179</c:v>
                </c:pt>
                <c:pt idx="828">
                  <c:v>12676062</c:v>
                </c:pt>
                <c:pt idx="829">
                  <c:v>-30161611</c:v>
                </c:pt>
                <c:pt idx="830">
                  <c:v>21604320</c:v>
                </c:pt>
                <c:pt idx="831">
                  <c:v>54200000</c:v>
                </c:pt>
                <c:pt idx="832">
                  <c:v>-48339916</c:v>
                </c:pt>
                <c:pt idx="833">
                  <c:v>-47778542</c:v>
                </c:pt>
                <c:pt idx="834">
                  <c:v>24327868</c:v>
                </c:pt>
                <c:pt idx="835">
                  <c:v>8297830</c:v>
                </c:pt>
                <c:pt idx="836">
                  <c:v>4886369</c:v>
                </c:pt>
                <c:pt idx="837">
                  <c:v>-7792888</c:v>
                </c:pt>
                <c:pt idx="838">
                  <c:v>9563543</c:v>
                </c:pt>
                <c:pt idx="839">
                  <c:v>-56425668</c:v>
                </c:pt>
                <c:pt idx="840">
                  <c:v>23343413</c:v>
                </c:pt>
                <c:pt idx="841">
                  <c:v>-27968963</c:v>
                </c:pt>
                <c:pt idx="842">
                  <c:v>-32156953</c:v>
                </c:pt>
                <c:pt idx="843">
                  <c:v>112435221</c:v>
                </c:pt>
                <c:pt idx="844">
                  <c:v>55720716</c:v>
                </c:pt>
                <c:pt idx="845">
                  <c:v>66683135</c:v>
                </c:pt>
                <c:pt idx="846">
                  <c:v>91704210</c:v>
                </c:pt>
                <c:pt idx="847">
                  <c:v>58476776</c:v>
                </c:pt>
                <c:pt idx="848">
                  <c:v>30270227</c:v>
                </c:pt>
                <c:pt idx="849">
                  <c:v>-15614237</c:v>
                </c:pt>
                <c:pt idx="850">
                  <c:v>-14964155</c:v>
                </c:pt>
                <c:pt idx="851">
                  <c:v>-17419365</c:v>
                </c:pt>
                <c:pt idx="852">
                  <c:v>-9561700</c:v>
                </c:pt>
                <c:pt idx="853">
                  <c:v>-28675334</c:v>
                </c:pt>
                <c:pt idx="854">
                  <c:v>-28979512</c:v>
                </c:pt>
                <c:pt idx="855">
                  <c:v>39567722</c:v>
                </c:pt>
                <c:pt idx="856">
                  <c:v>21601713</c:v>
                </c:pt>
                <c:pt idx="857">
                  <c:v>246623634</c:v>
                </c:pt>
                <c:pt idx="858">
                  <c:v>207652016</c:v>
                </c:pt>
                <c:pt idx="859">
                  <c:v>12253315</c:v>
                </c:pt>
                <c:pt idx="860">
                  <c:v>117500000</c:v>
                </c:pt>
                <c:pt idx="861">
                  <c:v>103620822</c:v>
                </c:pt>
                <c:pt idx="862">
                  <c:v>168628680</c:v>
                </c:pt>
                <c:pt idx="863">
                  <c:v>97637474</c:v>
                </c:pt>
                <c:pt idx="864">
                  <c:v>85014968</c:v>
                </c:pt>
                <c:pt idx="865">
                  <c:v>-47824688</c:v>
                </c:pt>
                <c:pt idx="866">
                  <c:v>76203320</c:v>
                </c:pt>
                <c:pt idx="867">
                  <c:v>76975169</c:v>
                </c:pt>
                <c:pt idx="868">
                  <c:v>73548685</c:v>
                </c:pt>
                <c:pt idx="869">
                  <c:v>55807520</c:v>
                </c:pt>
                <c:pt idx="870">
                  <c:v>141616238</c:v>
                </c:pt>
                <c:pt idx="871">
                  <c:v>45264608</c:v>
                </c:pt>
                <c:pt idx="872">
                  <c:v>27680195</c:v>
                </c:pt>
                <c:pt idx="873">
                  <c:v>76088877</c:v>
                </c:pt>
                <c:pt idx="874">
                  <c:v>41030827</c:v>
                </c:pt>
                <c:pt idx="875">
                  <c:v>100315155</c:v>
                </c:pt>
                <c:pt idx="876">
                  <c:v>77997349</c:v>
                </c:pt>
                <c:pt idx="877">
                  <c:v>43504640</c:v>
                </c:pt>
                <c:pt idx="878">
                  <c:v>31517441</c:v>
                </c:pt>
                <c:pt idx="879">
                  <c:v>31022333</c:v>
                </c:pt>
                <c:pt idx="880">
                  <c:v>29948113</c:v>
                </c:pt>
                <c:pt idx="881">
                  <c:v>38658172</c:v>
                </c:pt>
                <c:pt idx="882">
                  <c:v>34244877</c:v>
                </c:pt>
                <c:pt idx="883">
                  <c:v>40367693</c:v>
                </c:pt>
                <c:pt idx="884">
                  <c:v>13701902</c:v>
                </c:pt>
                <c:pt idx="885">
                  <c:v>25605492</c:v>
                </c:pt>
                <c:pt idx="886">
                  <c:v>17823573</c:v>
                </c:pt>
                <c:pt idx="887">
                  <c:v>41439400</c:v>
                </c:pt>
                <c:pt idx="888">
                  <c:v>2128202</c:v>
                </c:pt>
                <c:pt idx="889">
                  <c:v>16496802</c:v>
                </c:pt>
                <c:pt idx="890">
                  <c:v>10470220</c:v>
                </c:pt>
                <c:pt idx="891">
                  <c:v>8336565</c:v>
                </c:pt>
                <c:pt idx="892">
                  <c:v>16002004</c:v>
                </c:pt>
                <c:pt idx="893">
                  <c:v>4997476</c:v>
                </c:pt>
                <c:pt idx="894">
                  <c:v>5682070</c:v>
                </c:pt>
                <c:pt idx="895">
                  <c:v>2752475</c:v>
                </c:pt>
                <c:pt idx="896">
                  <c:v>-4907170</c:v>
                </c:pt>
                <c:pt idx="897">
                  <c:v>815288</c:v>
                </c:pt>
                <c:pt idx="898">
                  <c:v>2822418</c:v>
                </c:pt>
                <c:pt idx="899">
                  <c:v>150619</c:v>
                </c:pt>
                <c:pt idx="900">
                  <c:v>-1254850</c:v>
                </c:pt>
                <c:pt idx="901">
                  <c:v>7168</c:v>
                </c:pt>
                <c:pt idx="902">
                  <c:v>-1845268</c:v>
                </c:pt>
                <c:pt idx="903">
                  <c:v>-1734419</c:v>
                </c:pt>
                <c:pt idx="904">
                  <c:v>-3017368</c:v>
                </c:pt>
                <c:pt idx="905">
                  <c:v>-5262941</c:v>
                </c:pt>
                <c:pt idx="906">
                  <c:v>6724080</c:v>
                </c:pt>
                <c:pt idx="907">
                  <c:v>-5515935</c:v>
                </c:pt>
                <c:pt idx="908">
                  <c:v>-2446488</c:v>
                </c:pt>
                <c:pt idx="909">
                  <c:v>-12390000</c:v>
                </c:pt>
                <c:pt idx="910">
                  <c:v>-8517793</c:v>
                </c:pt>
                <c:pt idx="911">
                  <c:v>-2894915</c:v>
                </c:pt>
                <c:pt idx="912">
                  <c:v>-8743723</c:v>
                </c:pt>
                <c:pt idx="913">
                  <c:v>5740078</c:v>
                </c:pt>
                <c:pt idx="914">
                  <c:v>203020</c:v>
                </c:pt>
                <c:pt idx="915">
                  <c:v>-9094723</c:v>
                </c:pt>
                <c:pt idx="916">
                  <c:v>-11409500</c:v>
                </c:pt>
                <c:pt idx="917">
                  <c:v>-10822459</c:v>
                </c:pt>
                <c:pt idx="918">
                  <c:v>-10221401</c:v>
                </c:pt>
                <c:pt idx="919">
                  <c:v>-12513862</c:v>
                </c:pt>
                <c:pt idx="920">
                  <c:v>-1894923</c:v>
                </c:pt>
                <c:pt idx="921">
                  <c:v>-14831605</c:v>
                </c:pt>
                <c:pt idx="922">
                  <c:v>-7200000</c:v>
                </c:pt>
                <c:pt idx="923">
                  <c:v>-16356539</c:v>
                </c:pt>
                <c:pt idx="924">
                  <c:v>-17258404</c:v>
                </c:pt>
                <c:pt idx="925">
                  <c:v>-18125131</c:v>
                </c:pt>
                <c:pt idx="926">
                  <c:v>-19693732</c:v>
                </c:pt>
                <c:pt idx="927">
                  <c:v>-22332053</c:v>
                </c:pt>
                <c:pt idx="928">
                  <c:v>-22932840</c:v>
                </c:pt>
                <c:pt idx="929">
                  <c:v>-13383001</c:v>
                </c:pt>
                <c:pt idx="930">
                  <c:v>-23463880</c:v>
                </c:pt>
                <c:pt idx="931">
                  <c:v>-23800483</c:v>
                </c:pt>
                <c:pt idx="932">
                  <c:v>-24549473</c:v>
                </c:pt>
                <c:pt idx="933">
                  <c:v>-24592750</c:v>
                </c:pt>
                <c:pt idx="934">
                  <c:v>-46840695</c:v>
                </c:pt>
                <c:pt idx="935">
                  <c:v>-25993274</c:v>
                </c:pt>
                <c:pt idx="936">
                  <c:v>-29610033</c:v>
                </c:pt>
                <c:pt idx="937">
                  <c:v>-30406260</c:v>
                </c:pt>
                <c:pt idx="938">
                  <c:v>-20881753</c:v>
                </c:pt>
                <c:pt idx="939">
                  <c:v>-23557749</c:v>
                </c:pt>
                <c:pt idx="940">
                  <c:v>-7885118</c:v>
                </c:pt>
                <c:pt idx="941">
                  <c:v>-31527637</c:v>
                </c:pt>
                <c:pt idx="942">
                  <c:v>-375868702</c:v>
                </c:pt>
                <c:pt idx="943">
                  <c:v>-28342760</c:v>
                </c:pt>
                <c:pt idx="944">
                  <c:v>-33716560</c:v>
                </c:pt>
                <c:pt idx="945">
                  <c:v>-39443804</c:v>
                </c:pt>
                <c:pt idx="946">
                  <c:v>-33328495</c:v>
                </c:pt>
                <c:pt idx="947">
                  <c:v>-12471908</c:v>
                </c:pt>
                <c:pt idx="948">
                  <c:v>-39862768</c:v>
                </c:pt>
                <c:pt idx="949">
                  <c:v>-40204983</c:v>
                </c:pt>
                <c:pt idx="950">
                  <c:v>-29511421</c:v>
                </c:pt>
                <c:pt idx="951">
                  <c:v>-40554783</c:v>
                </c:pt>
                <c:pt idx="952">
                  <c:v>-46644185</c:v>
                </c:pt>
                <c:pt idx="953">
                  <c:v>-21162885</c:v>
                </c:pt>
                <c:pt idx="954">
                  <c:v>-43528606</c:v>
                </c:pt>
                <c:pt idx="955">
                  <c:v>-43708398</c:v>
                </c:pt>
                <c:pt idx="956">
                  <c:v>-39293214</c:v>
                </c:pt>
                <c:pt idx="957">
                  <c:v>-9257739</c:v>
                </c:pt>
                <c:pt idx="958">
                  <c:v>-5094254</c:v>
                </c:pt>
                <c:pt idx="959">
                  <c:v>-18586498</c:v>
                </c:pt>
                <c:pt idx="960">
                  <c:v>76107476</c:v>
                </c:pt>
                <c:pt idx="961">
                  <c:v>149171806</c:v>
                </c:pt>
                <c:pt idx="962">
                  <c:v>-17430732</c:v>
                </c:pt>
                <c:pt idx="963">
                  <c:v>18488090</c:v>
                </c:pt>
                <c:pt idx="964">
                  <c:v>47308367</c:v>
                </c:pt>
                <c:pt idx="965">
                  <c:v>12652036</c:v>
                </c:pt>
                <c:pt idx="966">
                  <c:v>-48793865</c:v>
                </c:pt>
                <c:pt idx="967">
                  <c:v>8607223</c:v>
                </c:pt>
                <c:pt idx="968">
                  <c:v>2173190</c:v>
                </c:pt>
                <c:pt idx="969">
                  <c:v>-904547</c:v>
                </c:pt>
                <c:pt idx="970">
                  <c:v>-10120004</c:v>
                </c:pt>
                <c:pt idx="971">
                  <c:v>-32100000</c:v>
                </c:pt>
                <c:pt idx="972">
                  <c:v>-1425912</c:v>
                </c:pt>
                <c:pt idx="973">
                  <c:v>41253340</c:v>
                </c:pt>
                <c:pt idx="974">
                  <c:v>-10660475</c:v>
                </c:pt>
                <c:pt idx="975">
                  <c:v>13154431</c:v>
                </c:pt>
                <c:pt idx="976">
                  <c:v>3738726</c:v>
                </c:pt>
                <c:pt idx="977">
                  <c:v>21304264</c:v>
                </c:pt>
                <c:pt idx="978">
                  <c:v>-31480159</c:v>
                </c:pt>
                <c:pt idx="979">
                  <c:v>-41400000</c:v>
                </c:pt>
                <c:pt idx="980">
                  <c:v>80805112</c:v>
                </c:pt>
                <c:pt idx="981">
                  <c:v>45607673</c:v>
                </c:pt>
                <c:pt idx="982">
                  <c:v>21263182</c:v>
                </c:pt>
                <c:pt idx="983">
                  <c:v>47001027</c:v>
                </c:pt>
                <c:pt idx="984">
                  <c:v>-36460586</c:v>
                </c:pt>
                <c:pt idx="985">
                  <c:v>12918501</c:v>
                </c:pt>
                <c:pt idx="986">
                  <c:v>136395380</c:v>
                </c:pt>
                <c:pt idx="987">
                  <c:v>-10053771</c:v>
                </c:pt>
                <c:pt idx="988">
                  <c:v>85512915</c:v>
                </c:pt>
                <c:pt idx="989">
                  <c:v>94852971</c:v>
                </c:pt>
                <c:pt idx="990">
                  <c:v>61807667</c:v>
                </c:pt>
                <c:pt idx="991">
                  <c:v>56702060</c:v>
                </c:pt>
                <c:pt idx="992">
                  <c:v>55149435</c:v>
                </c:pt>
                <c:pt idx="993">
                  <c:v>55768056</c:v>
                </c:pt>
                <c:pt idx="994">
                  <c:v>47115211</c:v>
                </c:pt>
                <c:pt idx="995">
                  <c:v>48452056</c:v>
                </c:pt>
                <c:pt idx="996">
                  <c:v>38287363</c:v>
                </c:pt>
                <c:pt idx="997">
                  <c:v>22931301</c:v>
                </c:pt>
                <c:pt idx="998">
                  <c:v>14962878</c:v>
                </c:pt>
                <c:pt idx="999">
                  <c:v>31261036</c:v>
                </c:pt>
                <c:pt idx="1000">
                  <c:v>26423726</c:v>
                </c:pt>
                <c:pt idx="1001">
                  <c:v>26277420</c:v>
                </c:pt>
                <c:pt idx="1002">
                  <c:v>43625922</c:v>
                </c:pt>
                <c:pt idx="1003">
                  <c:v>25001065</c:v>
                </c:pt>
                <c:pt idx="1004">
                  <c:v>37253092</c:v>
                </c:pt>
                <c:pt idx="1005">
                  <c:v>20557989</c:v>
                </c:pt>
                <c:pt idx="1006">
                  <c:v>15786269</c:v>
                </c:pt>
                <c:pt idx="1007">
                  <c:v>14365105</c:v>
                </c:pt>
                <c:pt idx="1008">
                  <c:v>42792677</c:v>
                </c:pt>
                <c:pt idx="1009">
                  <c:v>-3401692</c:v>
                </c:pt>
                <c:pt idx="1010">
                  <c:v>12362581</c:v>
                </c:pt>
                <c:pt idx="1011">
                  <c:v>8854588</c:v>
                </c:pt>
                <c:pt idx="1012">
                  <c:v>7580895</c:v>
                </c:pt>
                <c:pt idx="1013">
                  <c:v>1019112</c:v>
                </c:pt>
                <c:pt idx="1014">
                  <c:v>22114556</c:v>
                </c:pt>
                <c:pt idx="1015">
                  <c:v>5648679</c:v>
                </c:pt>
                <c:pt idx="1016">
                  <c:v>-6639805</c:v>
                </c:pt>
                <c:pt idx="1017">
                  <c:v>1815748</c:v>
                </c:pt>
                <c:pt idx="1018">
                  <c:v>-9382401</c:v>
                </c:pt>
                <c:pt idx="1019">
                  <c:v>2307550</c:v>
                </c:pt>
                <c:pt idx="1020">
                  <c:v>7003620</c:v>
                </c:pt>
                <c:pt idx="1021">
                  <c:v>-7027590</c:v>
                </c:pt>
                <c:pt idx="1022">
                  <c:v>-21866841</c:v>
                </c:pt>
                <c:pt idx="1023">
                  <c:v>-12600000</c:v>
                </c:pt>
                <c:pt idx="1024">
                  <c:v>-20656327</c:v>
                </c:pt>
                <c:pt idx="1025">
                  <c:v>-12122192</c:v>
                </c:pt>
                <c:pt idx="1026">
                  <c:v>-15116461</c:v>
                </c:pt>
                <c:pt idx="1027">
                  <c:v>-47468302</c:v>
                </c:pt>
                <c:pt idx="1028">
                  <c:v>-24599087</c:v>
                </c:pt>
                <c:pt idx="1029">
                  <c:v>-24898139</c:v>
                </c:pt>
                <c:pt idx="1030">
                  <c:v>-19799588</c:v>
                </c:pt>
                <c:pt idx="1031">
                  <c:v>-25280070</c:v>
                </c:pt>
                <c:pt idx="1032">
                  <c:v>-25622273</c:v>
                </c:pt>
                <c:pt idx="1033">
                  <c:v>-27699111</c:v>
                </c:pt>
                <c:pt idx="1034">
                  <c:v>-41472875</c:v>
                </c:pt>
                <c:pt idx="1035">
                  <c:v>-36439040</c:v>
                </c:pt>
                <c:pt idx="1036">
                  <c:v>-29476832</c:v>
                </c:pt>
                <c:pt idx="1037">
                  <c:v>-33853591</c:v>
                </c:pt>
                <c:pt idx="1038">
                  <c:v>-37083113</c:v>
                </c:pt>
                <c:pt idx="1039">
                  <c:v>-38434505</c:v>
                </c:pt>
                <c:pt idx="1040">
                  <c:v>-24720320</c:v>
                </c:pt>
                <c:pt idx="1041">
                  <c:v>-32737712</c:v>
                </c:pt>
                <c:pt idx="1042">
                  <c:v>-40415114</c:v>
                </c:pt>
                <c:pt idx="1043">
                  <c:v>-42845460</c:v>
                </c:pt>
                <c:pt idx="1044">
                  <c:v>-36870545</c:v>
                </c:pt>
                <c:pt idx="1045">
                  <c:v>91519448</c:v>
                </c:pt>
                <c:pt idx="1046">
                  <c:v>139875760</c:v>
                </c:pt>
                <c:pt idx="1047">
                  <c:v>27061228</c:v>
                </c:pt>
                <c:pt idx="1048">
                  <c:v>9300852</c:v>
                </c:pt>
                <c:pt idx="1049">
                  <c:v>106415432</c:v>
                </c:pt>
                <c:pt idx="1050">
                  <c:v>834712</c:v>
                </c:pt>
                <c:pt idx="1051">
                  <c:v>81700000</c:v>
                </c:pt>
                <c:pt idx="1052">
                  <c:v>-42500000</c:v>
                </c:pt>
                <c:pt idx="1053">
                  <c:v>12318875</c:v>
                </c:pt>
                <c:pt idx="1054">
                  <c:v>-34226481</c:v>
                </c:pt>
                <c:pt idx="1055">
                  <c:v>8768623</c:v>
                </c:pt>
                <c:pt idx="1056">
                  <c:v>-5964485</c:v>
                </c:pt>
                <c:pt idx="1057">
                  <c:v>-20479108</c:v>
                </c:pt>
                <c:pt idx="1058">
                  <c:v>-18569728</c:v>
                </c:pt>
                <c:pt idx="1059">
                  <c:v>116348400</c:v>
                </c:pt>
                <c:pt idx="1060">
                  <c:v>-12863050</c:v>
                </c:pt>
                <c:pt idx="1061">
                  <c:v>-10886412</c:v>
                </c:pt>
                <c:pt idx="1062">
                  <c:v>96447667</c:v>
                </c:pt>
                <c:pt idx="1063">
                  <c:v>74006080</c:v>
                </c:pt>
                <c:pt idx="1064">
                  <c:v>61793915</c:v>
                </c:pt>
                <c:pt idx="1065">
                  <c:v>45856565</c:v>
                </c:pt>
                <c:pt idx="1066">
                  <c:v>30100000</c:v>
                </c:pt>
                <c:pt idx="1067">
                  <c:v>116578352</c:v>
                </c:pt>
                <c:pt idx="1068">
                  <c:v>26635000</c:v>
                </c:pt>
                <c:pt idx="1069">
                  <c:v>3290318</c:v>
                </c:pt>
                <c:pt idx="1070">
                  <c:v>-456793</c:v>
                </c:pt>
                <c:pt idx="1071">
                  <c:v>-747572</c:v>
                </c:pt>
                <c:pt idx="1072">
                  <c:v>3228696</c:v>
                </c:pt>
                <c:pt idx="1073">
                  <c:v>17992760</c:v>
                </c:pt>
                <c:pt idx="1074">
                  <c:v>2667015</c:v>
                </c:pt>
                <c:pt idx="1075">
                  <c:v>-4347435</c:v>
                </c:pt>
                <c:pt idx="1076">
                  <c:v>-17624564</c:v>
                </c:pt>
                <c:pt idx="1077">
                  <c:v>-21084535</c:v>
                </c:pt>
                <c:pt idx="1078">
                  <c:v>-25872105</c:v>
                </c:pt>
                <c:pt idx="1079">
                  <c:v>-30915039</c:v>
                </c:pt>
                <c:pt idx="1080">
                  <c:v>-13595247</c:v>
                </c:pt>
                <c:pt idx="1081">
                  <c:v>-37894825</c:v>
                </c:pt>
                <c:pt idx="1082">
                  <c:v>-39335749</c:v>
                </c:pt>
                <c:pt idx="1083">
                  <c:v>-25739083</c:v>
                </c:pt>
                <c:pt idx="1084">
                  <c:v>75724075</c:v>
                </c:pt>
                <c:pt idx="1085">
                  <c:v>-8916034</c:v>
                </c:pt>
                <c:pt idx="1086">
                  <c:v>-18891023</c:v>
                </c:pt>
                <c:pt idx="1087">
                  <c:v>253501675</c:v>
                </c:pt>
                <c:pt idx="1088">
                  <c:v>-23399089</c:v>
                </c:pt>
                <c:pt idx="1089">
                  <c:v>-33795862</c:v>
                </c:pt>
                <c:pt idx="1090">
                  <c:v>82800000</c:v>
                </c:pt>
                <c:pt idx="1091">
                  <c:v>110117807</c:v>
                </c:pt>
                <c:pt idx="1092">
                  <c:v>123947053</c:v>
                </c:pt>
                <c:pt idx="1093">
                  <c:v>46735231</c:v>
                </c:pt>
                <c:pt idx="1094">
                  <c:v>78500000</c:v>
                </c:pt>
                <c:pt idx="1095">
                  <c:v>86546825</c:v>
                </c:pt>
                <c:pt idx="1096">
                  <c:v>126147885</c:v>
                </c:pt>
                <c:pt idx="1097">
                  <c:v>73760631</c:v>
                </c:pt>
                <c:pt idx="1098">
                  <c:v>68706165</c:v>
                </c:pt>
                <c:pt idx="1099">
                  <c:v>98614544</c:v>
                </c:pt>
                <c:pt idx="1100">
                  <c:v>85069696</c:v>
                </c:pt>
                <c:pt idx="1101">
                  <c:v>67458785</c:v>
                </c:pt>
                <c:pt idx="1102">
                  <c:v>62310175</c:v>
                </c:pt>
                <c:pt idx="1103">
                  <c:v>56917897</c:v>
                </c:pt>
                <c:pt idx="1104">
                  <c:v>53952276</c:v>
                </c:pt>
                <c:pt idx="1105">
                  <c:v>45703745</c:v>
                </c:pt>
                <c:pt idx="1106">
                  <c:v>49138076</c:v>
                </c:pt>
                <c:pt idx="1107">
                  <c:v>47666629</c:v>
                </c:pt>
                <c:pt idx="1108">
                  <c:v>50353764</c:v>
                </c:pt>
                <c:pt idx="1109">
                  <c:v>42522790</c:v>
                </c:pt>
                <c:pt idx="1110">
                  <c:v>54125426</c:v>
                </c:pt>
                <c:pt idx="1111">
                  <c:v>55001343</c:v>
                </c:pt>
                <c:pt idx="1112">
                  <c:v>41292135</c:v>
                </c:pt>
                <c:pt idx="1113">
                  <c:v>41593527</c:v>
                </c:pt>
                <c:pt idx="1114">
                  <c:v>40274748</c:v>
                </c:pt>
                <c:pt idx="1115">
                  <c:v>50835030</c:v>
                </c:pt>
                <c:pt idx="1116">
                  <c:v>32455275</c:v>
                </c:pt>
                <c:pt idx="1117">
                  <c:v>35305995</c:v>
                </c:pt>
                <c:pt idx="1118">
                  <c:v>34098862</c:v>
                </c:pt>
                <c:pt idx="1119">
                  <c:v>32266306</c:v>
                </c:pt>
                <c:pt idx="1120">
                  <c:v>31347010</c:v>
                </c:pt>
                <c:pt idx="1121">
                  <c:v>30836296</c:v>
                </c:pt>
                <c:pt idx="1122">
                  <c:v>30405498</c:v>
                </c:pt>
                <c:pt idx="1123">
                  <c:v>30163652</c:v>
                </c:pt>
                <c:pt idx="1124">
                  <c:v>32808615</c:v>
                </c:pt>
                <c:pt idx="1125">
                  <c:v>44149837</c:v>
                </c:pt>
                <c:pt idx="1126">
                  <c:v>43906114</c:v>
                </c:pt>
                <c:pt idx="1127">
                  <c:v>26466372</c:v>
                </c:pt>
                <c:pt idx="1128">
                  <c:v>32306065</c:v>
                </c:pt>
                <c:pt idx="1129">
                  <c:v>19068786</c:v>
                </c:pt>
                <c:pt idx="1130">
                  <c:v>7887882</c:v>
                </c:pt>
                <c:pt idx="1131">
                  <c:v>13955614</c:v>
                </c:pt>
                <c:pt idx="1132">
                  <c:v>14967359</c:v>
                </c:pt>
                <c:pt idx="1133">
                  <c:v>19228104</c:v>
                </c:pt>
                <c:pt idx="1134">
                  <c:v>17981889</c:v>
                </c:pt>
                <c:pt idx="1135">
                  <c:v>31094903</c:v>
                </c:pt>
                <c:pt idx="1136">
                  <c:v>13082743</c:v>
                </c:pt>
                <c:pt idx="1137">
                  <c:v>12414716</c:v>
                </c:pt>
                <c:pt idx="1138">
                  <c:v>17011847</c:v>
                </c:pt>
                <c:pt idx="1139">
                  <c:v>10859889</c:v>
                </c:pt>
                <c:pt idx="1140">
                  <c:v>21185897</c:v>
                </c:pt>
                <c:pt idx="1141">
                  <c:v>12000688</c:v>
                </c:pt>
                <c:pt idx="1142">
                  <c:v>9851591</c:v>
                </c:pt>
                <c:pt idx="1143">
                  <c:v>7781388</c:v>
                </c:pt>
                <c:pt idx="1144">
                  <c:v>12320979</c:v>
                </c:pt>
                <c:pt idx="1145">
                  <c:v>4806295</c:v>
                </c:pt>
                <c:pt idx="1146">
                  <c:v>26853450</c:v>
                </c:pt>
                <c:pt idx="1147">
                  <c:v>6012734</c:v>
                </c:pt>
                <c:pt idx="1148">
                  <c:v>7034272</c:v>
                </c:pt>
                <c:pt idx="1149">
                  <c:v>5856732</c:v>
                </c:pt>
                <c:pt idx="1150">
                  <c:v>19588068</c:v>
                </c:pt>
                <c:pt idx="1151">
                  <c:v>8175394</c:v>
                </c:pt>
                <c:pt idx="1152">
                  <c:v>5500797</c:v>
                </c:pt>
                <c:pt idx="1153">
                  <c:v>1797066</c:v>
                </c:pt>
                <c:pt idx="1154">
                  <c:v>-2247069</c:v>
                </c:pt>
                <c:pt idx="1155">
                  <c:v>-2628615</c:v>
                </c:pt>
                <c:pt idx="1156">
                  <c:v>-2898989</c:v>
                </c:pt>
                <c:pt idx="1157">
                  <c:v>-1823108</c:v>
                </c:pt>
                <c:pt idx="1158">
                  <c:v>-3716496</c:v>
                </c:pt>
                <c:pt idx="1159">
                  <c:v>-2816208</c:v>
                </c:pt>
                <c:pt idx="1160">
                  <c:v>-1456527</c:v>
                </c:pt>
                <c:pt idx="1161">
                  <c:v>-23962091</c:v>
                </c:pt>
                <c:pt idx="1162">
                  <c:v>2575718</c:v>
                </c:pt>
                <c:pt idx="1163">
                  <c:v>-6135658</c:v>
                </c:pt>
                <c:pt idx="1164">
                  <c:v>-6491078</c:v>
                </c:pt>
                <c:pt idx="1165">
                  <c:v>12071069</c:v>
                </c:pt>
                <c:pt idx="1166">
                  <c:v>-7146360</c:v>
                </c:pt>
                <c:pt idx="1167">
                  <c:v>2615685</c:v>
                </c:pt>
                <c:pt idx="1168">
                  <c:v>7055248</c:v>
                </c:pt>
                <c:pt idx="1169">
                  <c:v>-8163255</c:v>
                </c:pt>
                <c:pt idx="1170">
                  <c:v>-9006456</c:v>
                </c:pt>
                <c:pt idx="1171">
                  <c:v>-9018150</c:v>
                </c:pt>
                <c:pt idx="1172">
                  <c:v>-9800895</c:v>
                </c:pt>
                <c:pt idx="1173">
                  <c:v>-10922453</c:v>
                </c:pt>
                <c:pt idx="1174">
                  <c:v>-10625822</c:v>
                </c:pt>
                <c:pt idx="1175">
                  <c:v>-11464232</c:v>
                </c:pt>
                <c:pt idx="1176">
                  <c:v>-12336018</c:v>
                </c:pt>
                <c:pt idx="1177">
                  <c:v>-12946185</c:v>
                </c:pt>
                <c:pt idx="1178">
                  <c:v>-8185043</c:v>
                </c:pt>
                <c:pt idx="1179">
                  <c:v>-14821835</c:v>
                </c:pt>
                <c:pt idx="1180">
                  <c:v>-14882502</c:v>
                </c:pt>
                <c:pt idx="1181">
                  <c:v>-467355</c:v>
                </c:pt>
                <c:pt idx="1182">
                  <c:v>-15667676</c:v>
                </c:pt>
                <c:pt idx="1183">
                  <c:v>-3334146</c:v>
                </c:pt>
                <c:pt idx="1184">
                  <c:v>-17282242</c:v>
                </c:pt>
                <c:pt idx="1185">
                  <c:v>-37566085</c:v>
                </c:pt>
                <c:pt idx="1186">
                  <c:v>-37673753</c:v>
                </c:pt>
                <c:pt idx="1187">
                  <c:v>-18823678</c:v>
                </c:pt>
                <c:pt idx="1188">
                  <c:v>-19700000</c:v>
                </c:pt>
                <c:pt idx="1189">
                  <c:v>-24697039</c:v>
                </c:pt>
                <c:pt idx="1190">
                  <c:v>-24037529</c:v>
                </c:pt>
                <c:pt idx="1191">
                  <c:v>-25057578</c:v>
                </c:pt>
                <c:pt idx="1192">
                  <c:v>-25032818</c:v>
                </c:pt>
                <c:pt idx="1193">
                  <c:v>-26003245</c:v>
                </c:pt>
                <c:pt idx="1194">
                  <c:v>-36624819</c:v>
                </c:pt>
                <c:pt idx="1195">
                  <c:v>-19000897</c:v>
                </c:pt>
                <c:pt idx="1196">
                  <c:v>-25551411</c:v>
                </c:pt>
                <c:pt idx="1197">
                  <c:v>-25641967</c:v>
                </c:pt>
                <c:pt idx="1198">
                  <c:v>-43798339</c:v>
                </c:pt>
                <c:pt idx="1199">
                  <c:v>-15981636</c:v>
                </c:pt>
                <c:pt idx="1200">
                  <c:v>-46604061</c:v>
                </c:pt>
                <c:pt idx="1201">
                  <c:v>-19886035</c:v>
                </c:pt>
                <c:pt idx="1202">
                  <c:v>-26623494</c:v>
                </c:pt>
                <c:pt idx="1203">
                  <c:v>-28791977</c:v>
                </c:pt>
                <c:pt idx="1204">
                  <c:v>-26161870</c:v>
                </c:pt>
                <c:pt idx="1205">
                  <c:v>-30348000</c:v>
                </c:pt>
                <c:pt idx="1206">
                  <c:v>-29000000</c:v>
                </c:pt>
                <c:pt idx="1207">
                  <c:v>-13568780</c:v>
                </c:pt>
                <c:pt idx="1208">
                  <c:v>-22673938</c:v>
                </c:pt>
                <c:pt idx="1209">
                  <c:v>-33885763</c:v>
                </c:pt>
                <c:pt idx="1210">
                  <c:v>-35164032</c:v>
                </c:pt>
                <c:pt idx="1211">
                  <c:v>-35222993</c:v>
                </c:pt>
                <c:pt idx="1212">
                  <c:v>-22324928</c:v>
                </c:pt>
                <c:pt idx="1213">
                  <c:v>-21561851</c:v>
                </c:pt>
                <c:pt idx="1214">
                  <c:v>-39488080</c:v>
                </c:pt>
                <c:pt idx="1215">
                  <c:v>-29359355</c:v>
                </c:pt>
                <c:pt idx="1216">
                  <c:v>-39347474</c:v>
                </c:pt>
                <c:pt idx="1217">
                  <c:v>60050171</c:v>
                </c:pt>
                <c:pt idx="1218">
                  <c:v>-12436000</c:v>
                </c:pt>
                <c:pt idx="1219">
                  <c:v>-24123329</c:v>
                </c:pt>
                <c:pt idx="1220">
                  <c:v>-27130631</c:v>
                </c:pt>
                <c:pt idx="1221">
                  <c:v>-39871022</c:v>
                </c:pt>
                <c:pt idx="1222">
                  <c:v>-24922769</c:v>
                </c:pt>
                <c:pt idx="1223">
                  <c:v>-34636971</c:v>
                </c:pt>
                <c:pt idx="1224">
                  <c:v>27693162</c:v>
                </c:pt>
                <c:pt idx="1225">
                  <c:v>-11528148</c:v>
                </c:pt>
                <c:pt idx="1226">
                  <c:v>24411478</c:v>
                </c:pt>
                <c:pt idx="1227">
                  <c:v>-3712212</c:v>
                </c:pt>
                <c:pt idx="1228">
                  <c:v>-14664065</c:v>
                </c:pt>
                <c:pt idx="1229">
                  <c:v>-33118496</c:v>
                </c:pt>
                <c:pt idx="1230">
                  <c:v>21000000</c:v>
                </c:pt>
                <c:pt idx="1231">
                  <c:v>-10197239</c:v>
                </c:pt>
                <c:pt idx="1232">
                  <c:v>-553005191</c:v>
                </c:pt>
                <c:pt idx="1233">
                  <c:v>89214072</c:v>
                </c:pt>
                <c:pt idx="1234">
                  <c:v>50915214</c:v>
                </c:pt>
                <c:pt idx="1235">
                  <c:v>-8600000</c:v>
                </c:pt>
                <c:pt idx="1236">
                  <c:v>47570368</c:v>
                </c:pt>
                <c:pt idx="1237">
                  <c:v>40668868</c:v>
                </c:pt>
                <c:pt idx="1238">
                  <c:v>-32005864</c:v>
                </c:pt>
                <c:pt idx="1239">
                  <c:v>20700247</c:v>
                </c:pt>
                <c:pt idx="1240">
                  <c:v>12668906</c:v>
                </c:pt>
                <c:pt idx="1241">
                  <c:v>1177215</c:v>
                </c:pt>
                <c:pt idx="1242">
                  <c:v>5334024</c:v>
                </c:pt>
                <c:pt idx="1243">
                  <c:v>-13955468</c:v>
                </c:pt>
                <c:pt idx="1244">
                  <c:v>-15229136</c:v>
                </c:pt>
                <c:pt idx="1245">
                  <c:v>-19346254</c:v>
                </c:pt>
                <c:pt idx="1246">
                  <c:v>-20694789</c:v>
                </c:pt>
                <c:pt idx="1247">
                  <c:v>-40008098</c:v>
                </c:pt>
                <c:pt idx="1248">
                  <c:v>37536959</c:v>
                </c:pt>
                <c:pt idx="1249">
                  <c:v>-27700000</c:v>
                </c:pt>
                <c:pt idx="1250">
                  <c:v>-1217162</c:v>
                </c:pt>
                <c:pt idx="1251">
                  <c:v>3997790</c:v>
                </c:pt>
                <c:pt idx="1252">
                  <c:v>-30517805</c:v>
                </c:pt>
                <c:pt idx="1253">
                  <c:v>-37376626</c:v>
                </c:pt>
                <c:pt idx="1254">
                  <c:v>-47128307</c:v>
                </c:pt>
                <c:pt idx="1255">
                  <c:v>-15622726</c:v>
                </c:pt>
                <c:pt idx="1256">
                  <c:v>-30410125</c:v>
                </c:pt>
                <c:pt idx="1257">
                  <c:v>-3087018</c:v>
                </c:pt>
                <c:pt idx="1258">
                  <c:v>74712885</c:v>
                </c:pt>
                <c:pt idx="1259">
                  <c:v>55173235</c:v>
                </c:pt>
                <c:pt idx="1260">
                  <c:v>1102171</c:v>
                </c:pt>
                <c:pt idx="1261">
                  <c:v>23338891</c:v>
                </c:pt>
                <c:pt idx="1262">
                  <c:v>11006503</c:v>
                </c:pt>
                <c:pt idx="1263">
                  <c:v>-11096291</c:v>
                </c:pt>
                <c:pt idx="1264">
                  <c:v>-14549025</c:v>
                </c:pt>
                <c:pt idx="1265">
                  <c:v>7867349</c:v>
                </c:pt>
                <c:pt idx="1266">
                  <c:v>8813366</c:v>
                </c:pt>
                <c:pt idx="1267">
                  <c:v>35279690</c:v>
                </c:pt>
                <c:pt idx="1268">
                  <c:v>154449475</c:v>
                </c:pt>
                <c:pt idx="1269">
                  <c:v>35026631</c:v>
                </c:pt>
                <c:pt idx="1270">
                  <c:v>3208190</c:v>
                </c:pt>
                <c:pt idx="1271">
                  <c:v>113368971</c:v>
                </c:pt>
                <c:pt idx="1272">
                  <c:v>14129186</c:v>
                </c:pt>
                <c:pt idx="1273">
                  <c:v>19500000</c:v>
                </c:pt>
                <c:pt idx="1274">
                  <c:v>14213619</c:v>
                </c:pt>
                <c:pt idx="1275">
                  <c:v>6019483</c:v>
                </c:pt>
                <c:pt idx="1276">
                  <c:v>-10639221</c:v>
                </c:pt>
                <c:pt idx="1277">
                  <c:v>-9816803</c:v>
                </c:pt>
                <c:pt idx="1278">
                  <c:v>-16008503</c:v>
                </c:pt>
                <c:pt idx="1279">
                  <c:v>-22947259</c:v>
                </c:pt>
                <c:pt idx="1280">
                  <c:v>-21621647</c:v>
                </c:pt>
                <c:pt idx="1281">
                  <c:v>-3962246</c:v>
                </c:pt>
                <c:pt idx="1282">
                  <c:v>-23660367</c:v>
                </c:pt>
                <c:pt idx="1283">
                  <c:v>-33045595</c:v>
                </c:pt>
                <c:pt idx="1284">
                  <c:v>-6894032</c:v>
                </c:pt>
                <c:pt idx="1285">
                  <c:v>2588228</c:v>
                </c:pt>
                <c:pt idx="1286">
                  <c:v>242313371</c:v>
                </c:pt>
                <c:pt idx="1287">
                  <c:v>-33873489</c:v>
                </c:pt>
                <c:pt idx="1288">
                  <c:v>172399422</c:v>
                </c:pt>
                <c:pt idx="1289">
                  <c:v>216188924</c:v>
                </c:pt>
                <c:pt idx="1290">
                  <c:v>-34931608</c:v>
                </c:pt>
                <c:pt idx="1291">
                  <c:v>109731527</c:v>
                </c:pt>
                <c:pt idx="1292">
                  <c:v>226950375</c:v>
                </c:pt>
                <c:pt idx="1293">
                  <c:v>77692062</c:v>
                </c:pt>
                <c:pt idx="1294">
                  <c:v>82528646</c:v>
                </c:pt>
                <c:pt idx="1295">
                  <c:v>133031347</c:v>
                </c:pt>
                <c:pt idx="1296">
                  <c:v>89732962</c:v>
                </c:pt>
                <c:pt idx="1297">
                  <c:v>47300000</c:v>
                </c:pt>
                <c:pt idx="1298">
                  <c:v>99455175</c:v>
                </c:pt>
                <c:pt idx="1299">
                  <c:v>44100000</c:v>
                </c:pt>
                <c:pt idx="1300">
                  <c:v>46159365</c:v>
                </c:pt>
                <c:pt idx="1301">
                  <c:v>75008260</c:v>
                </c:pt>
                <c:pt idx="1302">
                  <c:v>32962333</c:v>
                </c:pt>
                <c:pt idx="1303">
                  <c:v>51651430</c:v>
                </c:pt>
                <c:pt idx="1304">
                  <c:v>29604977</c:v>
                </c:pt>
                <c:pt idx="1305">
                  <c:v>28939454</c:v>
                </c:pt>
                <c:pt idx="1306">
                  <c:v>28826569</c:v>
                </c:pt>
                <c:pt idx="1307">
                  <c:v>25054449</c:v>
                </c:pt>
                <c:pt idx="1308">
                  <c:v>24705000</c:v>
                </c:pt>
                <c:pt idx="1309">
                  <c:v>28280963</c:v>
                </c:pt>
                <c:pt idx="1310">
                  <c:v>21876365</c:v>
                </c:pt>
                <c:pt idx="1311">
                  <c:v>24699513</c:v>
                </c:pt>
                <c:pt idx="1312">
                  <c:v>20132596</c:v>
                </c:pt>
                <c:pt idx="1313">
                  <c:v>17277485</c:v>
                </c:pt>
                <c:pt idx="1314">
                  <c:v>20802754</c:v>
                </c:pt>
                <c:pt idx="1315">
                  <c:v>20291815</c:v>
                </c:pt>
                <c:pt idx="1316">
                  <c:v>48299761</c:v>
                </c:pt>
                <c:pt idx="1317">
                  <c:v>15169908</c:v>
                </c:pt>
                <c:pt idx="1318">
                  <c:v>32523385</c:v>
                </c:pt>
                <c:pt idx="1319">
                  <c:v>14474048</c:v>
                </c:pt>
                <c:pt idx="1320">
                  <c:v>10802315</c:v>
                </c:pt>
                <c:pt idx="1321">
                  <c:v>8792641</c:v>
                </c:pt>
                <c:pt idx="1322">
                  <c:v>24651794</c:v>
                </c:pt>
                <c:pt idx="1323">
                  <c:v>6954997</c:v>
                </c:pt>
                <c:pt idx="1324">
                  <c:v>6532308</c:v>
                </c:pt>
                <c:pt idx="1325">
                  <c:v>65900000</c:v>
                </c:pt>
                <c:pt idx="1326">
                  <c:v>4692139</c:v>
                </c:pt>
                <c:pt idx="1327">
                  <c:v>5687294</c:v>
                </c:pt>
                <c:pt idx="1328">
                  <c:v>-2446068</c:v>
                </c:pt>
                <c:pt idx="1329">
                  <c:v>2481242</c:v>
                </c:pt>
                <c:pt idx="1330">
                  <c:v>4026186</c:v>
                </c:pt>
                <c:pt idx="1331">
                  <c:v>-16577194</c:v>
                </c:pt>
                <c:pt idx="1332">
                  <c:v>-1576479</c:v>
                </c:pt>
                <c:pt idx="1333">
                  <c:v>-2480678</c:v>
                </c:pt>
                <c:pt idx="1334">
                  <c:v>7617947</c:v>
                </c:pt>
                <c:pt idx="1335">
                  <c:v>2048809</c:v>
                </c:pt>
                <c:pt idx="1336">
                  <c:v>6987757</c:v>
                </c:pt>
                <c:pt idx="1337">
                  <c:v>2304950</c:v>
                </c:pt>
                <c:pt idx="1338">
                  <c:v>-4308561</c:v>
                </c:pt>
                <c:pt idx="1339">
                  <c:v>-4692196</c:v>
                </c:pt>
                <c:pt idx="1340">
                  <c:v>-4330587</c:v>
                </c:pt>
                <c:pt idx="1341">
                  <c:v>-6312165</c:v>
                </c:pt>
                <c:pt idx="1342">
                  <c:v>-8505389</c:v>
                </c:pt>
                <c:pt idx="1343">
                  <c:v>-9733871</c:v>
                </c:pt>
                <c:pt idx="1344">
                  <c:v>-9136085</c:v>
                </c:pt>
                <c:pt idx="1345">
                  <c:v>-4921063</c:v>
                </c:pt>
                <c:pt idx="1346">
                  <c:v>-6004550</c:v>
                </c:pt>
                <c:pt idx="1347">
                  <c:v>-10723500</c:v>
                </c:pt>
                <c:pt idx="1348">
                  <c:v>-9018367</c:v>
                </c:pt>
                <c:pt idx="1349">
                  <c:v>-12086323</c:v>
                </c:pt>
                <c:pt idx="1350">
                  <c:v>-468168</c:v>
                </c:pt>
                <c:pt idx="1351">
                  <c:v>-6935774</c:v>
                </c:pt>
                <c:pt idx="1352">
                  <c:v>-15552522</c:v>
                </c:pt>
                <c:pt idx="1353">
                  <c:v>-35610546</c:v>
                </c:pt>
                <c:pt idx="1354">
                  <c:v>-9128166</c:v>
                </c:pt>
                <c:pt idx="1355">
                  <c:v>-15307392</c:v>
                </c:pt>
                <c:pt idx="1356">
                  <c:v>-15705099</c:v>
                </c:pt>
                <c:pt idx="1357">
                  <c:v>-14724554</c:v>
                </c:pt>
                <c:pt idx="1358">
                  <c:v>-492921</c:v>
                </c:pt>
                <c:pt idx="1359">
                  <c:v>-16693834</c:v>
                </c:pt>
                <c:pt idx="1360">
                  <c:v>-17390018</c:v>
                </c:pt>
                <c:pt idx="1361">
                  <c:v>-14168495</c:v>
                </c:pt>
                <c:pt idx="1362">
                  <c:v>-17403744</c:v>
                </c:pt>
                <c:pt idx="1363">
                  <c:v>-20001930</c:v>
                </c:pt>
                <c:pt idx="1364">
                  <c:v>-20412268</c:v>
                </c:pt>
                <c:pt idx="1365">
                  <c:v>-16682849</c:v>
                </c:pt>
                <c:pt idx="1366">
                  <c:v>-23594175</c:v>
                </c:pt>
                <c:pt idx="1367">
                  <c:v>-21735014</c:v>
                </c:pt>
                <c:pt idx="1368">
                  <c:v>-24008619</c:v>
                </c:pt>
                <c:pt idx="1369">
                  <c:v>-24731154</c:v>
                </c:pt>
                <c:pt idx="1370">
                  <c:v>-18696681</c:v>
                </c:pt>
                <c:pt idx="1371">
                  <c:v>-24923864</c:v>
                </c:pt>
                <c:pt idx="1372">
                  <c:v>-24500032</c:v>
                </c:pt>
                <c:pt idx="1373">
                  <c:v>-30340253</c:v>
                </c:pt>
                <c:pt idx="1374">
                  <c:v>-27051841</c:v>
                </c:pt>
                <c:pt idx="1375">
                  <c:v>-23368755</c:v>
                </c:pt>
                <c:pt idx="1376">
                  <c:v>-24862498</c:v>
                </c:pt>
                <c:pt idx="1377">
                  <c:v>-28551183</c:v>
                </c:pt>
                <c:pt idx="1378">
                  <c:v>-27541731</c:v>
                </c:pt>
                <c:pt idx="1379">
                  <c:v>-30348023</c:v>
                </c:pt>
                <c:pt idx="1380">
                  <c:v>-32778006</c:v>
                </c:pt>
                <c:pt idx="1381">
                  <c:v>-28407897</c:v>
                </c:pt>
                <c:pt idx="1382">
                  <c:v>-34369221</c:v>
                </c:pt>
                <c:pt idx="1383">
                  <c:v>68413606</c:v>
                </c:pt>
                <c:pt idx="1384">
                  <c:v>-24785987</c:v>
                </c:pt>
                <c:pt idx="1385">
                  <c:v>2000000</c:v>
                </c:pt>
                <c:pt idx="1386">
                  <c:v>-24860746</c:v>
                </c:pt>
                <c:pt idx="1387">
                  <c:v>-22772060</c:v>
                </c:pt>
                <c:pt idx="1388">
                  <c:v>-34816875</c:v>
                </c:pt>
                <c:pt idx="1389">
                  <c:v>-18918217</c:v>
                </c:pt>
                <c:pt idx="1390">
                  <c:v>3432299</c:v>
                </c:pt>
                <c:pt idx="1391">
                  <c:v>-23345419</c:v>
                </c:pt>
                <c:pt idx="1392">
                  <c:v>-27456806</c:v>
                </c:pt>
                <c:pt idx="1393">
                  <c:v>-21898858</c:v>
                </c:pt>
                <c:pt idx="1394">
                  <c:v>-26675252</c:v>
                </c:pt>
                <c:pt idx="1395">
                  <c:v>101340178</c:v>
                </c:pt>
                <c:pt idx="1396">
                  <c:v>18758599</c:v>
                </c:pt>
                <c:pt idx="1397">
                  <c:v>87559438</c:v>
                </c:pt>
                <c:pt idx="1398">
                  <c:v>-33995909</c:v>
                </c:pt>
                <c:pt idx="1399">
                  <c:v>-8573195</c:v>
                </c:pt>
                <c:pt idx="1400">
                  <c:v>2057332</c:v>
                </c:pt>
                <c:pt idx="1401">
                  <c:v>1014398</c:v>
                </c:pt>
                <c:pt idx="1402">
                  <c:v>-4072280</c:v>
                </c:pt>
                <c:pt idx="1403">
                  <c:v>682273</c:v>
                </c:pt>
                <c:pt idx="1404">
                  <c:v>-5719423</c:v>
                </c:pt>
                <c:pt idx="1405">
                  <c:v>-12879981</c:v>
                </c:pt>
                <c:pt idx="1406">
                  <c:v>-29593736</c:v>
                </c:pt>
                <c:pt idx="1407">
                  <c:v>276625409</c:v>
                </c:pt>
                <c:pt idx="1408">
                  <c:v>-19044575</c:v>
                </c:pt>
                <c:pt idx="1409">
                  <c:v>2180954</c:v>
                </c:pt>
                <c:pt idx="1410">
                  <c:v>140381405</c:v>
                </c:pt>
                <c:pt idx="1411">
                  <c:v>72632573</c:v>
                </c:pt>
                <c:pt idx="1412">
                  <c:v>46150692</c:v>
                </c:pt>
                <c:pt idx="1413">
                  <c:v>28328558</c:v>
                </c:pt>
                <c:pt idx="1414">
                  <c:v>48197993</c:v>
                </c:pt>
                <c:pt idx="1415">
                  <c:v>136576745</c:v>
                </c:pt>
                <c:pt idx="1416">
                  <c:v>69470202</c:v>
                </c:pt>
                <c:pt idx="1417">
                  <c:v>21041732</c:v>
                </c:pt>
                <c:pt idx="1418">
                  <c:v>16814909</c:v>
                </c:pt>
                <c:pt idx="1419">
                  <c:v>-13215568</c:v>
                </c:pt>
                <c:pt idx="1420">
                  <c:v>5911876</c:v>
                </c:pt>
                <c:pt idx="1421">
                  <c:v>22696902</c:v>
                </c:pt>
                <c:pt idx="1422">
                  <c:v>4733909</c:v>
                </c:pt>
                <c:pt idx="1423">
                  <c:v>3063732</c:v>
                </c:pt>
                <c:pt idx="1424">
                  <c:v>-32900538</c:v>
                </c:pt>
                <c:pt idx="1425">
                  <c:v>701088</c:v>
                </c:pt>
                <c:pt idx="1426">
                  <c:v>-506218</c:v>
                </c:pt>
                <c:pt idx="1427">
                  <c:v>11095600</c:v>
                </c:pt>
                <c:pt idx="1428">
                  <c:v>-13363463</c:v>
                </c:pt>
                <c:pt idx="1429">
                  <c:v>-10151678</c:v>
                </c:pt>
                <c:pt idx="1430">
                  <c:v>-38359790</c:v>
                </c:pt>
                <c:pt idx="1431">
                  <c:v>-18236870</c:v>
                </c:pt>
                <c:pt idx="1432">
                  <c:v>-24043621</c:v>
                </c:pt>
                <c:pt idx="1433">
                  <c:v>-25643000</c:v>
                </c:pt>
                <c:pt idx="1434">
                  <c:v>-7474079</c:v>
                </c:pt>
                <c:pt idx="1435">
                  <c:v>-28437251</c:v>
                </c:pt>
                <c:pt idx="1436">
                  <c:v>-29100030</c:v>
                </c:pt>
                <c:pt idx="1437">
                  <c:v>-30695163</c:v>
                </c:pt>
                <c:pt idx="1438">
                  <c:v>47300000</c:v>
                </c:pt>
                <c:pt idx="1439">
                  <c:v>-14202684</c:v>
                </c:pt>
                <c:pt idx="1440">
                  <c:v>76028097</c:v>
                </c:pt>
                <c:pt idx="1441">
                  <c:v>-17231467</c:v>
                </c:pt>
                <c:pt idx="1442">
                  <c:v>56100000</c:v>
                </c:pt>
                <c:pt idx="1443">
                  <c:v>62749203</c:v>
                </c:pt>
                <c:pt idx="1444">
                  <c:v>28700000</c:v>
                </c:pt>
                <c:pt idx="1445">
                  <c:v>34073773</c:v>
                </c:pt>
                <c:pt idx="1446">
                  <c:v>-6814219</c:v>
                </c:pt>
                <c:pt idx="1447">
                  <c:v>22133888</c:v>
                </c:pt>
                <c:pt idx="1448">
                  <c:v>13983704</c:v>
                </c:pt>
                <c:pt idx="1449">
                  <c:v>27879132</c:v>
                </c:pt>
                <c:pt idx="1450">
                  <c:v>41827000</c:v>
                </c:pt>
                <c:pt idx="1451">
                  <c:v>125684505</c:v>
                </c:pt>
                <c:pt idx="1452">
                  <c:v>129279795</c:v>
                </c:pt>
                <c:pt idx="1453">
                  <c:v>115096820</c:v>
                </c:pt>
                <c:pt idx="1454">
                  <c:v>161796233</c:v>
                </c:pt>
                <c:pt idx="1455">
                  <c:v>96248145</c:v>
                </c:pt>
                <c:pt idx="1456">
                  <c:v>95014030</c:v>
                </c:pt>
                <c:pt idx="1457">
                  <c:v>-19145306</c:v>
                </c:pt>
                <c:pt idx="1458">
                  <c:v>85648585</c:v>
                </c:pt>
                <c:pt idx="1459">
                  <c:v>92012643</c:v>
                </c:pt>
                <c:pt idx="1460">
                  <c:v>86631310</c:v>
                </c:pt>
                <c:pt idx="1461">
                  <c:v>94324072</c:v>
                </c:pt>
                <c:pt idx="1462">
                  <c:v>75502246</c:v>
                </c:pt>
                <c:pt idx="1463">
                  <c:v>78360000</c:v>
                </c:pt>
                <c:pt idx="1464">
                  <c:v>71244774</c:v>
                </c:pt>
                <c:pt idx="1465">
                  <c:v>79444419</c:v>
                </c:pt>
                <c:pt idx="1466">
                  <c:v>67125340</c:v>
                </c:pt>
                <c:pt idx="1467">
                  <c:v>85646235</c:v>
                </c:pt>
                <c:pt idx="1468">
                  <c:v>55416609</c:v>
                </c:pt>
                <c:pt idx="1469">
                  <c:v>65135191</c:v>
                </c:pt>
                <c:pt idx="1470">
                  <c:v>70422786</c:v>
                </c:pt>
                <c:pt idx="1471">
                  <c:v>76694016</c:v>
                </c:pt>
                <c:pt idx="1472">
                  <c:v>-28935714</c:v>
                </c:pt>
                <c:pt idx="1473">
                  <c:v>49566871</c:v>
                </c:pt>
                <c:pt idx="1474">
                  <c:v>46501438</c:v>
                </c:pt>
                <c:pt idx="1475">
                  <c:v>44787599</c:v>
                </c:pt>
                <c:pt idx="1476">
                  <c:v>36528842</c:v>
                </c:pt>
                <c:pt idx="1477">
                  <c:v>58813460</c:v>
                </c:pt>
                <c:pt idx="1478">
                  <c:v>35010106</c:v>
                </c:pt>
                <c:pt idx="1479">
                  <c:v>31359959</c:v>
                </c:pt>
                <c:pt idx="1480">
                  <c:v>36468315</c:v>
                </c:pt>
                <c:pt idx="1481">
                  <c:v>34172251</c:v>
                </c:pt>
                <c:pt idx="1482">
                  <c:v>36600000</c:v>
                </c:pt>
                <c:pt idx="1483">
                  <c:v>33536011</c:v>
                </c:pt>
                <c:pt idx="1484">
                  <c:v>32877175</c:v>
                </c:pt>
                <c:pt idx="1485">
                  <c:v>29484168</c:v>
                </c:pt>
                <c:pt idx="1486">
                  <c:v>30269340</c:v>
                </c:pt>
                <c:pt idx="1487">
                  <c:v>30033780</c:v>
                </c:pt>
                <c:pt idx="1488">
                  <c:v>28715510</c:v>
                </c:pt>
                <c:pt idx="1489">
                  <c:v>39156435</c:v>
                </c:pt>
                <c:pt idx="1490">
                  <c:v>19044241</c:v>
                </c:pt>
                <c:pt idx="1491">
                  <c:v>39816662</c:v>
                </c:pt>
                <c:pt idx="1492">
                  <c:v>22238770</c:v>
                </c:pt>
                <c:pt idx="1493">
                  <c:v>22937130</c:v>
                </c:pt>
                <c:pt idx="1494">
                  <c:v>-2200996</c:v>
                </c:pt>
                <c:pt idx="1495">
                  <c:v>27410049</c:v>
                </c:pt>
                <c:pt idx="1496">
                  <c:v>21432423</c:v>
                </c:pt>
                <c:pt idx="1497">
                  <c:v>21109400</c:v>
                </c:pt>
                <c:pt idx="1498">
                  <c:v>20300000</c:v>
                </c:pt>
                <c:pt idx="1499">
                  <c:v>26068547</c:v>
                </c:pt>
                <c:pt idx="1500">
                  <c:v>23680848</c:v>
                </c:pt>
                <c:pt idx="1501">
                  <c:v>20921738</c:v>
                </c:pt>
                <c:pt idx="1502">
                  <c:v>23021560</c:v>
                </c:pt>
                <c:pt idx="1503">
                  <c:v>15645204</c:v>
                </c:pt>
                <c:pt idx="1504">
                  <c:v>13337608</c:v>
                </c:pt>
                <c:pt idx="1505">
                  <c:v>16875468</c:v>
                </c:pt>
                <c:pt idx="1506">
                  <c:v>22418902</c:v>
                </c:pt>
                <c:pt idx="1507">
                  <c:v>12057340</c:v>
                </c:pt>
                <c:pt idx="1508">
                  <c:v>17478175</c:v>
                </c:pt>
                <c:pt idx="1509">
                  <c:v>11407470</c:v>
                </c:pt>
                <c:pt idx="1510">
                  <c:v>12385520</c:v>
                </c:pt>
                <c:pt idx="1511">
                  <c:v>10118420</c:v>
                </c:pt>
                <c:pt idx="1512">
                  <c:v>2137776</c:v>
                </c:pt>
                <c:pt idx="1513">
                  <c:v>7568996</c:v>
                </c:pt>
                <c:pt idx="1514">
                  <c:v>12043633</c:v>
                </c:pt>
                <c:pt idx="1515">
                  <c:v>8232624</c:v>
                </c:pt>
                <c:pt idx="1516">
                  <c:v>8413606</c:v>
                </c:pt>
                <c:pt idx="1517">
                  <c:v>11122105</c:v>
                </c:pt>
                <c:pt idx="1518">
                  <c:v>13747385</c:v>
                </c:pt>
                <c:pt idx="1519">
                  <c:v>10247512</c:v>
                </c:pt>
                <c:pt idx="1520">
                  <c:v>5927406</c:v>
                </c:pt>
                <c:pt idx="1521">
                  <c:v>5565975</c:v>
                </c:pt>
                <c:pt idx="1522">
                  <c:v>5266619</c:v>
                </c:pt>
                <c:pt idx="1523">
                  <c:v>4703228</c:v>
                </c:pt>
                <c:pt idx="1524">
                  <c:v>8432823</c:v>
                </c:pt>
                <c:pt idx="1525">
                  <c:v>-12904682</c:v>
                </c:pt>
                <c:pt idx="1526">
                  <c:v>1743332</c:v>
                </c:pt>
                <c:pt idx="1527">
                  <c:v>2154410</c:v>
                </c:pt>
                <c:pt idx="1528">
                  <c:v>-3312828</c:v>
                </c:pt>
                <c:pt idx="1529">
                  <c:v>7096584</c:v>
                </c:pt>
                <c:pt idx="1530">
                  <c:v>-3474166</c:v>
                </c:pt>
                <c:pt idx="1531">
                  <c:v>513940</c:v>
                </c:pt>
                <c:pt idx="1532">
                  <c:v>-6790560</c:v>
                </c:pt>
                <c:pt idx="1533">
                  <c:v>-5952000</c:v>
                </c:pt>
                <c:pt idx="1534">
                  <c:v>-7473856</c:v>
                </c:pt>
                <c:pt idx="1535">
                  <c:v>523568</c:v>
                </c:pt>
                <c:pt idx="1536">
                  <c:v>-6929955</c:v>
                </c:pt>
                <c:pt idx="1537">
                  <c:v>-14577793</c:v>
                </c:pt>
                <c:pt idx="1538">
                  <c:v>-1355230</c:v>
                </c:pt>
                <c:pt idx="1539">
                  <c:v>-8199698</c:v>
                </c:pt>
                <c:pt idx="1540">
                  <c:v>-13870652</c:v>
                </c:pt>
                <c:pt idx="1541">
                  <c:v>-11499034</c:v>
                </c:pt>
                <c:pt idx="1542">
                  <c:v>-23927</c:v>
                </c:pt>
                <c:pt idx="1543">
                  <c:v>-11032429</c:v>
                </c:pt>
                <c:pt idx="1544">
                  <c:v>-7900000</c:v>
                </c:pt>
                <c:pt idx="1545">
                  <c:v>-12733495</c:v>
                </c:pt>
                <c:pt idx="1546">
                  <c:v>2357532</c:v>
                </c:pt>
                <c:pt idx="1547">
                  <c:v>-13069116</c:v>
                </c:pt>
                <c:pt idx="1548">
                  <c:v>-16675758</c:v>
                </c:pt>
                <c:pt idx="1549">
                  <c:v>-23676031</c:v>
                </c:pt>
                <c:pt idx="1550">
                  <c:v>-9000954</c:v>
                </c:pt>
                <c:pt idx="1551">
                  <c:v>-18704226</c:v>
                </c:pt>
                <c:pt idx="1552">
                  <c:v>-14290615</c:v>
                </c:pt>
                <c:pt idx="1553">
                  <c:v>-15111972</c:v>
                </c:pt>
                <c:pt idx="1554">
                  <c:v>-15791616</c:v>
                </c:pt>
                <c:pt idx="1555">
                  <c:v>-17168879</c:v>
                </c:pt>
                <c:pt idx="1556">
                  <c:v>-11701351</c:v>
                </c:pt>
                <c:pt idx="1557">
                  <c:v>-17287907</c:v>
                </c:pt>
                <c:pt idx="1558">
                  <c:v>-18423913</c:v>
                </c:pt>
                <c:pt idx="1559">
                  <c:v>-18100000</c:v>
                </c:pt>
                <c:pt idx="1560">
                  <c:v>-35646427</c:v>
                </c:pt>
                <c:pt idx="1561">
                  <c:v>-32973330</c:v>
                </c:pt>
                <c:pt idx="1562">
                  <c:v>-10665355</c:v>
                </c:pt>
                <c:pt idx="1563">
                  <c:v>-10810486</c:v>
                </c:pt>
                <c:pt idx="1564">
                  <c:v>-19865246</c:v>
                </c:pt>
                <c:pt idx="1565">
                  <c:v>-21464425</c:v>
                </c:pt>
                <c:pt idx="1566">
                  <c:v>-32310542</c:v>
                </c:pt>
                <c:pt idx="1567">
                  <c:v>-10683354</c:v>
                </c:pt>
                <c:pt idx="1568">
                  <c:v>-19034791</c:v>
                </c:pt>
                <c:pt idx="1569">
                  <c:v>8830000</c:v>
                </c:pt>
                <c:pt idx="1570">
                  <c:v>-24700000</c:v>
                </c:pt>
                <c:pt idx="1571">
                  <c:v>-19119074</c:v>
                </c:pt>
                <c:pt idx="1572">
                  <c:v>-14247275</c:v>
                </c:pt>
                <c:pt idx="1573">
                  <c:v>-21482203</c:v>
                </c:pt>
                <c:pt idx="1574">
                  <c:v>-27024351</c:v>
                </c:pt>
                <c:pt idx="1575">
                  <c:v>-59331829</c:v>
                </c:pt>
                <c:pt idx="1576">
                  <c:v>-20519686</c:v>
                </c:pt>
                <c:pt idx="1577">
                  <c:v>-26095018</c:v>
                </c:pt>
                <c:pt idx="1578">
                  <c:v>-17872563</c:v>
                </c:pt>
                <c:pt idx="1579">
                  <c:v>-29462420</c:v>
                </c:pt>
                <c:pt idx="1580">
                  <c:v>154436380</c:v>
                </c:pt>
                <c:pt idx="1581">
                  <c:v>91518352</c:v>
                </c:pt>
                <c:pt idx="1582">
                  <c:v>7036404</c:v>
                </c:pt>
                <c:pt idx="1583">
                  <c:v>-6640707</c:v>
                </c:pt>
                <c:pt idx="1584">
                  <c:v>-16406844</c:v>
                </c:pt>
                <c:pt idx="1585">
                  <c:v>-12069815</c:v>
                </c:pt>
                <c:pt idx="1586">
                  <c:v>34034755</c:v>
                </c:pt>
                <c:pt idx="1587">
                  <c:v>-23100203</c:v>
                </c:pt>
                <c:pt idx="1588">
                  <c:v>-23445431</c:v>
                </c:pt>
                <c:pt idx="1589">
                  <c:v>5016190</c:v>
                </c:pt>
                <c:pt idx="1590">
                  <c:v>-22698869</c:v>
                </c:pt>
                <c:pt idx="1591">
                  <c:v>189350219</c:v>
                </c:pt>
                <c:pt idx="1592">
                  <c:v>133029270</c:v>
                </c:pt>
                <c:pt idx="1593">
                  <c:v>76491683</c:v>
                </c:pt>
                <c:pt idx="1594">
                  <c:v>14058698</c:v>
                </c:pt>
                <c:pt idx="1595">
                  <c:v>26845943</c:v>
                </c:pt>
                <c:pt idx="1596">
                  <c:v>53350242</c:v>
                </c:pt>
                <c:pt idx="1597">
                  <c:v>39266300</c:v>
                </c:pt>
                <c:pt idx="1598">
                  <c:v>42235322</c:v>
                </c:pt>
                <c:pt idx="1599">
                  <c:v>-22556993</c:v>
                </c:pt>
                <c:pt idx="1600">
                  <c:v>36371181</c:v>
                </c:pt>
                <c:pt idx="1601">
                  <c:v>32885635</c:v>
                </c:pt>
                <c:pt idx="1602">
                  <c:v>25400856</c:v>
                </c:pt>
                <c:pt idx="1603">
                  <c:v>31353636</c:v>
                </c:pt>
                <c:pt idx="1604">
                  <c:v>21475962</c:v>
                </c:pt>
                <c:pt idx="1605">
                  <c:v>35910583</c:v>
                </c:pt>
                <c:pt idx="1606">
                  <c:v>34300000</c:v>
                </c:pt>
                <c:pt idx="1607">
                  <c:v>21968653</c:v>
                </c:pt>
                <c:pt idx="1608">
                  <c:v>17450000</c:v>
                </c:pt>
                <c:pt idx="1609">
                  <c:v>17162741</c:v>
                </c:pt>
                <c:pt idx="1610">
                  <c:v>43346930</c:v>
                </c:pt>
                <c:pt idx="1611">
                  <c:v>11514713</c:v>
                </c:pt>
                <c:pt idx="1612">
                  <c:v>15097652</c:v>
                </c:pt>
                <c:pt idx="1613">
                  <c:v>18043505</c:v>
                </c:pt>
                <c:pt idx="1614">
                  <c:v>9053924</c:v>
                </c:pt>
                <c:pt idx="1615">
                  <c:v>5000377</c:v>
                </c:pt>
                <c:pt idx="1616">
                  <c:v>38950483</c:v>
                </c:pt>
                <c:pt idx="1617">
                  <c:v>10372662</c:v>
                </c:pt>
                <c:pt idx="1618">
                  <c:v>-1000000</c:v>
                </c:pt>
                <c:pt idx="1619">
                  <c:v>3600000</c:v>
                </c:pt>
                <c:pt idx="1620">
                  <c:v>2688364</c:v>
                </c:pt>
                <c:pt idx="1621">
                  <c:v>7563179</c:v>
                </c:pt>
                <c:pt idx="1622">
                  <c:v>-11220364</c:v>
                </c:pt>
                <c:pt idx="1623">
                  <c:v>-149237822</c:v>
                </c:pt>
                <c:pt idx="1624">
                  <c:v>-10675256</c:v>
                </c:pt>
                <c:pt idx="1625">
                  <c:v>-19111857</c:v>
                </c:pt>
                <c:pt idx="1626">
                  <c:v>-3731172</c:v>
                </c:pt>
                <c:pt idx="1627">
                  <c:v>-19880795</c:v>
                </c:pt>
                <c:pt idx="1628">
                  <c:v>-19565399</c:v>
                </c:pt>
                <c:pt idx="1629">
                  <c:v>-21001676</c:v>
                </c:pt>
                <c:pt idx="1630">
                  <c:v>-17092709</c:v>
                </c:pt>
                <c:pt idx="1631">
                  <c:v>-24224407</c:v>
                </c:pt>
                <c:pt idx="1632">
                  <c:v>751715</c:v>
                </c:pt>
                <c:pt idx="1633">
                  <c:v>-7714482</c:v>
                </c:pt>
                <c:pt idx="1634">
                  <c:v>40400000</c:v>
                </c:pt>
                <c:pt idx="1635">
                  <c:v>19185998</c:v>
                </c:pt>
                <c:pt idx="1636">
                  <c:v>7168445</c:v>
                </c:pt>
                <c:pt idx="1637">
                  <c:v>10400000</c:v>
                </c:pt>
                <c:pt idx="1638">
                  <c:v>2508670</c:v>
                </c:pt>
                <c:pt idx="1639">
                  <c:v>-17835684</c:v>
                </c:pt>
                <c:pt idx="1640">
                  <c:v>44888996</c:v>
                </c:pt>
                <c:pt idx="1641">
                  <c:v>42586544</c:v>
                </c:pt>
                <c:pt idx="1642">
                  <c:v>33491560</c:v>
                </c:pt>
                <c:pt idx="1643">
                  <c:v>27200000</c:v>
                </c:pt>
                <c:pt idx="1644">
                  <c:v>5920167</c:v>
                </c:pt>
                <c:pt idx="1645">
                  <c:v>10566655</c:v>
                </c:pt>
                <c:pt idx="1646">
                  <c:v>4768374</c:v>
                </c:pt>
                <c:pt idx="1647">
                  <c:v>-4505513</c:v>
                </c:pt>
                <c:pt idx="1648">
                  <c:v>-5500000</c:v>
                </c:pt>
                <c:pt idx="1649">
                  <c:v>-25536708</c:v>
                </c:pt>
                <c:pt idx="1650">
                  <c:v>-12662421</c:v>
                </c:pt>
                <c:pt idx="1651">
                  <c:v>323741</c:v>
                </c:pt>
                <c:pt idx="1652">
                  <c:v>-16702103</c:v>
                </c:pt>
                <c:pt idx="1653">
                  <c:v>-13751523</c:v>
                </c:pt>
                <c:pt idx="1654">
                  <c:v>-18287436</c:v>
                </c:pt>
                <c:pt idx="1655">
                  <c:v>-19513094</c:v>
                </c:pt>
                <c:pt idx="1656">
                  <c:v>11536376</c:v>
                </c:pt>
                <c:pt idx="1657">
                  <c:v>14008532</c:v>
                </c:pt>
                <c:pt idx="1658">
                  <c:v>-22795993</c:v>
                </c:pt>
                <c:pt idx="1659">
                  <c:v>-10514515</c:v>
                </c:pt>
                <c:pt idx="1660">
                  <c:v>-22523765</c:v>
                </c:pt>
                <c:pt idx="1661">
                  <c:v>-23910635</c:v>
                </c:pt>
                <c:pt idx="1662">
                  <c:v>-22236956</c:v>
                </c:pt>
                <c:pt idx="1663">
                  <c:v>-5180871</c:v>
                </c:pt>
                <c:pt idx="1664">
                  <c:v>84222438</c:v>
                </c:pt>
                <c:pt idx="1665">
                  <c:v>83243478</c:v>
                </c:pt>
                <c:pt idx="1666">
                  <c:v>75241322</c:v>
                </c:pt>
                <c:pt idx="1667">
                  <c:v>-2022635</c:v>
                </c:pt>
                <c:pt idx="1668">
                  <c:v>65457688</c:v>
                </c:pt>
                <c:pt idx="1669">
                  <c:v>60341380</c:v>
                </c:pt>
                <c:pt idx="1670">
                  <c:v>39703412</c:v>
                </c:pt>
                <c:pt idx="1671">
                  <c:v>36328680</c:v>
                </c:pt>
                <c:pt idx="1672">
                  <c:v>35490000</c:v>
                </c:pt>
                <c:pt idx="1673">
                  <c:v>24800000</c:v>
                </c:pt>
                <c:pt idx="1674">
                  <c:v>31859105</c:v>
                </c:pt>
                <c:pt idx="1675">
                  <c:v>20455802</c:v>
                </c:pt>
                <c:pt idx="1676">
                  <c:v>19506619</c:v>
                </c:pt>
                <c:pt idx="1677">
                  <c:v>14168080</c:v>
                </c:pt>
                <c:pt idx="1678">
                  <c:v>23874933</c:v>
                </c:pt>
                <c:pt idx="1679">
                  <c:v>19489752</c:v>
                </c:pt>
                <c:pt idx="1680">
                  <c:v>7200000</c:v>
                </c:pt>
                <c:pt idx="1681">
                  <c:v>2501651</c:v>
                </c:pt>
                <c:pt idx="1682">
                  <c:v>-2777139</c:v>
                </c:pt>
                <c:pt idx="1683">
                  <c:v>-1459475</c:v>
                </c:pt>
                <c:pt idx="1684">
                  <c:v>-25747235</c:v>
                </c:pt>
                <c:pt idx="1685">
                  <c:v>-9994022</c:v>
                </c:pt>
                <c:pt idx="1686">
                  <c:v>-11530572</c:v>
                </c:pt>
                <c:pt idx="1687">
                  <c:v>-12170266</c:v>
                </c:pt>
                <c:pt idx="1688">
                  <c:v>-20924712</c:v>
                </c:pt>
                <c:pt idx="1689">
                  <c:v>-18503478</c:v>
                </c:pt>
                <c:pt idx="1690">
                  <c:v>-5482285</c:v>
                </c:pt>
                <c:pt idx="1691">
                  <c:v>-13723190</c:v>
                </c:pt>
                <c:pt idx="1692">
                  <c:v>18565375</c:v>
                </c:pt>
                <c:pt idx="1693">
                  <c:v>-29500737</c:v>
                </c:pt>
                <c:pt idx="1694">
                  <c:v>194200000</c:v>
                </c:pt>
                <c:pt idx="1695">
                  <c:v>147825435</c:v>
                </c:pt>
                <c:pt idx="1696">
                  <c:v>115085755</c:v>
                </c:pt>
                <c:pt idx="1697">
                  <c:v>417500</c:v>
                </c:pt>
                <c:pt idx="1698">
                  <c:v>120000989</c:v>
                </c:pt>
                <c:pt idx="1699">
                  <c:v>761283</c:v>
                </c:pt>
                <c:pt idx="1700">
                  <c:v>96945720</c:v>
                </c:pt>
                <c:pt idx="1701">
                  <c:v>74067179</c:v>
                </c:pt>
                <c:pt idx="1702">
                  <c:v>144705587</c:v>
                </c:pt>
                <c:pt idx="1703">
                  <c:v>-24745828</c:v>
                </c:pt>
                <c:pt idx="1704">
                  <c:v>4185387</c:v>
                </c:pt>
                <c:pt idx="1705">
                  <c:v>50920948</c:v>
                </c:pt>
                <c:pt idx="1706">
                  <c:v>55034302</c:v>
                </c:pt>
                <c:pt idx="1707">
                  <c:v>53656813</c:v>
                </c:pt>
                <c:pt idx="1708">
                  <c:v>51270454</c:v>
                </c:pt>
                <c:pt idx="1709">
                  <c:v>49273505</c:v>
                </c:pt>
                <c:pt idx="1710">
                  <c:v>109141530</c:v>
                </c:pt>
                <c:pt idx="1711">
                  <c:v>45500556</c:v>
                </c:pt>
                <c:pt idx="1712">
                  <c:v>46309760</c:v>
                </c:pt>
                <c:pt idx="1713">
                  <c:v>44808372</c:v>
                </c:pt>
                <c:pt idx="1714">
                  <c:v>52264926</c:v>
                </c:pt>
                <c:pt idx="1715">
                  <c:v>45625986</c:v>
                </c:pt>
                <c:pt idx="1716">
                  <c:v>31505065</c:v>
                </c:pt>
                <c:pt idx="1717">
                  <c:v>30973336</c:v>
                </c:pt>
                <c:pt idx="1718">
                  <c:v>29098051</c:v>
                </c:pt>
                <c:pt idx="1719">
                  <c:v>35443237</c:v>
                </c:pt>
                <c:pt idx="1720">
                  <c:v>65234139</c:v>
                </c:pt>
                <c:pt idx="1721">
                  <c:v>26676606</c:v>
                </c:pt>
                <c:pt idx="1722">
                  <c:v>27528330</c:v>
                </c:pt>
                <c:pt idx="1723">
                  <c:v>26533608</c:v>
                </c:pt>
                <c:pt idx="1724">
                  <c:v>21097664</c:v>
                </c:pt>
                <c:pt idx="1725">
                  <c:v>58136909</c:v>
                </c:pt>
                <c:pt idx="1726">
                  <c:v>21836394</c:v>
                </c:pt>
                <c:pt idx="1727">
                  <c:v>21285499</c:v>
                </c:pt>
                <c:pt idx="1728">
                  <c:v>22124400</c:v>
                </c:pt>
                <c:pt idx="1729">
                  <c:v>19700000</c:v>
                </c:pt>
                <c:pt idx="1730">
                  <c:v>19455658</c:v>
                </c:pt>
                <c:pt idx="1731">
                  <c:v>20984230</c:v>
                </c:pt>
                <c:pt idx="1732">
                  <c:v>41489425</c:v>
                </c:pt>
                <c:pt idx="1733">
                  <c:v>16067398</c:v>
                </c:pt>
                <c:pt idx="1734">
                  <c:v>15218903</c:v>
                </c:pt>
                <c:pt idx="1735">
                  <c:v>14880476</c:v>
                </c:pt>
                <c:pt idx="1736">
                  <c:v>14399750</c:v>
                </c:pt>
                <c:pt idx="1737">
                  <c:v>13230435</c:v>
                </c:pt>
                <c:pt idx="1738">
                  <c:v>14008741</c:v>
                </c:pt>
                <c:pt idx="1739">
                  <c:v>11833473</c:v>
                </c:pt>
                <c:pt idx="1740">
                  <c:v>23237389</c:v>
                </c:pt>
                <c:pt idx="1741">
                  <c:v>11447959</c:v>
                </c:pt>
                <c:pt idx="1742">
                  <c:v>20089048</c:v>
                </c:pt>
                <c:pt idx="1743">
                  <c:v>15990505</c:v>
                </c:pt>
                <c:pt idx="1744">
                  <c:v>18143332</c:v>
                </c:pt>
                <c:pt idx="1745">
                  <c:v>10000629</c:v>
                </c:pt>
                <c:pt idx="1746">
                  <c:v>4604054</c:v>
                </c:pt>
                <c:pt idx="1747">
                  <c:v>16597830</c:v>
                </c:pt>
                <c:pt idx="1748">
                  <c:v>13687630</c:v>
                </c:pt>
                <c:pt idx="1749">
                  <c:v>7553210</c:v>
                </c:pt>
                <c:pt idx="1750">
                  <c:v>6526393</c:v>
                </c:pt>
                <c:pt idx="1751">
                  <c:v>-25458771</c:v>
                </c:pt>
                <c:pt idx="1752">
                  <c:v>1655091</c:v>
                </c:pt>
                <c:pt idx="1753">
                  <c:v>5012990</c:v>
                </c:pt>
                <c:pt idx="1754">
                  <c:v>7368960</c:v>
                </c:pt>
                <c:pt idx="1755">
                  <c:v>-10500000</c:v>
                </c:pt>
                <c:pt idx="1756">
                  <c:v>4247405</c:v>
                </c:pt>
                <c:pt idx="1757">
                  <c:v>615792</c:v>
                </c:pt>
                <c:pt idx="1758">
                  <c:v>3341469</c:v>
                </c:pt>
                <c:pt idx="1759">
                  <c:v>4440119</c:v>
                </c:pt>
                <c:pt idx="1760">
                  <c:v>-2055787</c:v>
                </c:pt>
                <c:pt idx="1761">
                  <c:v>8631221</c:v>
                </c:pt>
                <c:pt idx="1762">
                  <c:v>12738400</c:v>
                </c:pt>
                <c:pt idx="1763">
                  <c:v>-8164216</c:v>
                </c:pt>
                <c:pt idx="1764">
                  <c:v>-7214368</c:v>
                </c:pt>
                <c:pt idx="1765">
                  <c:v>-3445415</c:v>
                </c:pt>
                <c:pt idx="1766">
                  <c:v>-2800000</c:v>
                </c:pt>
                <c:pt idx="1767">
                  <c:v>55014842</c:v>
                </c:pt>
                <c:pt idx="1768">
                  <c:v>-1472045</c:v>
                </c:pt>
                <c:pt idx="1769">
                  <c:v>-957510</c:v>
                </c:pt>
                <c:pt idx="1770">
                  <c:v>-7208969</c:v>
                </c:pt>
                <c:pt idx="1771">
                  <c:v>-7281777</c:v>
                </c:pt>
                <c:pt idx="1772">
                  <c:v>2361537</c:v>
                </c:pt>
                <c:pt idx="1773">
                  <c:v>-9352616</c:v>
                </c:pt>
                <c:pt idx="1774">
                  <c:v>-8881923</c:v>
                </c:pt>
                <c:pt idx="1775">
                  <c:v>-9908458</c:v>
                </c:pt>
                <c:pt idx="1776">
                  <c:v>-954324</c:v>
                </c:pt>
                <c:pt idx="1777">
                  <c:v>9427926</c:v>
                </c:pt>
                <c:pt idx="1778">
                  <c:v>-10016428</c:v>
                </c:pt>
                <c:pt idx="1779">
                  <c:v>-10362510</c:v>
                </c:pt>
                <c:pt idx="1780">
                  <c:v>-10410556</c:v>
                </c:pt>
                <c:pt idx="1781">
                  <c:v>-10904697</c:v>
                </c:pt>
                <c:pt idx="1782">
                  <c:v>-11026468</c:v>
                </c:pt>
                <c:pt idx="1783">
                  <c:v>-28134226</c:v>
                </c:pt>
                <c:pt idx="1784">
                  <c:v>-6139597</c:v>
                </c:pt>
                <c:pt idx="1785">
                  <c:v>3831145</c:v>
                </c:pt>
                <c:pt idx="1786">
                  <c:v>-13461796</c:v>
                </c:pt>
                <c:pt idx="1787">
                  <c:v>-13991568</c:v>
                </c:pt>
                <c:pt idx="1788">
                  <c:v>-13811358</c:v>
                </c:pt>
                <c:pt idx="1789">
                  <c:v>-13900000</c:v>
                </c:pt>
                <c:pt idx="1790">
                  <c:v>-11348338</c:v>
                </c:pt>
                <c:pt idx="1791">
                  <c:v>-16969037</c:v>
                </c:pt>
                <c:pt idx="1792">
                  <c:v>-14230040</c:v>
                </c:pt>
                <c:pt idx="1793">
                  <c:v>-14088250</c:v>
                </c:pt>
                <c:pt idx="1794">
                  <c:v>-14280633</c:v>
                </c:pt>
                <c:pt idx="1795">
                  <c:v>-14885685</c:v>
                </c:pt>
                <c:pt idx="1796">
                  <c:v>35122319</c:v>
                </c:pt>
                <c:pt idx="1797">
                  <c:v>-14930000</c:v>
                </c:pt>
                <c:pt idx="1798">
                  <c:v>-14675559</c:v>
                </c:pt>
                <c:pt idx="1799">
                  <c:v>-17843067</c:v>
                </c:pt>
                <c:pt idx="1800">
                  <c:v>-7713686</c:v>
                </c:pt>
                <c:pt idx="1801">
                  <c:v>-24943308</c:v>
                </c:pt>
                <c:pt idx="1802">
                  <c:v>-19345223</c:v>
                </c:pt>
                <c:pt idx="1803">
                  <c:v>-19483292</c:v>
                </c:pt>
                <c:pt idx="1804">
                  <c:v>-19871876</c:v>
                </c:pt>
                <c:pt idx="1805">
                  <c:v>-20935667</c:v>
                </c:pt>
                <c:pt idx="1806">
                  <c:v>-10993094</c:v>
                </c:pt>
                <c:pt idx="1807">
                  <c:v>-21926608</c:v>
                </c:pt>
                <c:pt idx="1808">
                  <c:v>-24128473</c:v>
                </c:pt>
                <c:pt idx="1809">
                  <c:v>-24222577</c:v>
                </c:pt>
                <c:pt idx="1810">
                  <c:v>-23813043</c:v>
                </c:pt>
                <c:pt idx="1811">
                  <c:v>-13414567</c:v>
                </c:pt>
                <c:pt idx="1812">
                  <c:v>-18302044</c:v>
                </c:pt>
                <c:pt idx="1813">
                  <c:v>-24816338</c:v>
                </c:pt>
                <c:pt idx="1814">
                  <c:v>-24865096</c:v>
                </c:pt>
                <c:pt idx="1815">
                  <c:v>-8030610</c:v>
                </c:pt>
                <c:pt idx="1816">
                  <c:v>-24870885</c:v>
                </c:pt>
                <c:pt idx="1817">
                  <c:v>20700000</c:v>
                </c:pt>
                <c:pt idx="1818">
                  <c:v>-24282247</c:v>
                </c:pt>
                <c:pt idx="1819">
                  <c:v>84713132</c:v>
                </c:pt>
                <c:pt idx="1820">
                  <c:v>46269171</c:v>
                </c:pt>
                <c:pt idx="1821">
                  <c:v>77334374</c:v>
                </c:pt>
                <c:pt idx="1822">
                  <c:v>-23487185</c:v>
                </c:pt>
                <c:pt idx="1823">
                  <c:v>41182182</c:v>
                </c:pt>
                <c:pt idx="1824">
                  <c:v>33262492</c:v>
                </c:pt>
                <c:pt idx="1825">
                  <c:v>71800000</c:v>
                </c:pt>
                <c:pt idx="1826">
                  <c:v>50608545</c:v>
                </c:pt>
                <c:pt idx="1827">
                  <c:v>17895491</c:v>
                </c:pt>
                <c:pt idx="1828">
                  <c:v>15989008</c:v>
                </c:pt>
                <c:pt idx="1829">
                  <c:v>8662299</c:v>
                </c:pt>
                <c:pt idx="1830">
                  <c:v>7452765</c:v>
                </c:pt>
                <c:pt idx="1831">
                  <c:v>1167270</c:v>
                </c:pt>
                <c:pt idx="1832">
                  <c:v>7416109</c:v>
                </c:pt>
                <c:pt idx="1833">
                  <c:v>-23979782</c:v>
                </c:pt>
                <c:pt idx="1834">
                  <c:v>4871190</c:v>
                </c:pt>
                <c:pt idx="1835">
                  <c:v>-7035257</c:v>
                </c:pt>
                <c:pt idx="1836">
                  <c:v>-7709024</c:v>
                </c:pt>
                <c:pt idx="1837">
                  <c:v>-11000000</c:v>
                </c:pt>
                <c:pt idx="1838">
                  <c:v>-11627590</c:v>
                </c:pt>
                <c:pt idx="1839">
                  <c:v>-15572796</c:v>
                </c:pt>
                <c:pt idx="1840">
                  <c:v>-14360758</c:v>
                </c:pt>
                <c:pt idx="1841">
                  <c:v>1003072</c:v>
                </c:pt>
                <c:pt idx="1842">
                  <c:v>-16855194</c:v>
                </c:pt>
                <c:pt idx="1843">
                  <c:v>-19691019</c:v>
                </c:pt>
                <c:pt idx="1844">
                  <c:v>-27330724</c:v>
                </c:pt>
                <c:pt idx="1845">
                  <c:v>-23957120</c:v>
                </c:pt>
                <c:pt idx="1846">
                  <c:v>-774089</c:v>
                </c:pt>
                <c:pt idx="1847">
                  <c:v>-19289545</c:v>
                </c:pt>
                <c:pt idx="1848">
                  <c:v>51990286</c:v>
                </c:pt>
                <c:pt idx="1849">
                  <c:v>141487252</c:v>
                </c:pt>
                <c:pt idx="1850">
                  <c:v>272158751</c:v>
                </c:pt>
                <c:pt idx="1851">
                  <c:v>46807024</c:v>
                </c:pt>
                <c:pt idx="1852">
                  <c:v>63930411</c:v>
                </c:pt>
                <c:pt idx="1853">
                  <c:v>30302314</c:v>
                </c:pt>
                <c:pt idx="1854">
                  <c:v>28462534</c:v>
                </c:pt>
                <c:pt idx="1855">
                  <c:v>16235088</c:v>
                </c:pt>
                <c:pt idx="1856">
                  <c:v>4338033</c:v>
                </c:pt>
                <c:pt idx="1857">
                  <c:v>2556065</c:v>
                </c:pt>
                <c:pt idx="1858">
                  <c:v>-1026818</c:v>
                </c:pt>
                <c:pt idx="1859">
                  <c:v>-24995244</c:v>
                </c:pt>
                <c:pt idx="1860">
                  <c:v>-4346385</c:v>
                </c:pt>
                <c:pt idx="1861">
                  <c:v>-9980747</c:v>
                </c:pt>
                <c:pt idx="1862">
                  <c:v>-4065142</c:v>
                </c:pt>
                <c:pt idx="1863">
                  <c:v>-2236987</c:v>
                </c:pt>
                <c:pt idx="1864">
                  <c:v>-10217492</c:v>
                </c:pt>
                <c:pt idx="1865">
                  <c:v>-11491577</c:v>
                </c:pt>
                <c:pt idx="1866">
                  <c:v>-12339853</c:v>
                </c:pt>
                <c:pt idx="1867">
                  <c:v>-15565274</c:v>
                </c:pt>
                <c:pt idx="1868">
                  <c:v>-13320925</c:v>
                </c:pt>
                <c:pt idx="1869">
                  <c:v>-20291812</c:v>
                </c:pt>
                <c:pt idx="1870">
                  <c:v>-6876149</c:v>
                </c:pt>
                <c:pt idx="1871">
                  <c:v>46975611</c:v>
                </c:pt>
                <c:pt idx="1872">
                  <c:v>15419483</c:v>
                </c:pt>
                <c:pt idx="1873">
                  <c:v>-18309470</c:v>
                </c:pt>
                <c:pt idx="1874">
                  <c:v>195631306</c:v>
                </c:pt>
                <c:pt idx="1875">
                  <c:v>153483808</c:v>
                </c:pt>
                <c:pt idx="1876">
                  <c:v>122833357</c:v>
                </c:pt>
                <c:pt idx="1877">
                  <c:v>55597042</c:v>
                </c:pt>
                <c:pt idx="1878">
                  <c:v>68636983</c:v>
                </c:pt>
                <c:pt idx="1879">
                  <c:v>35960517</c:v>
                </c:pt>
                <c:pt idx="1880">
                  <c:v>33762229</c:v>
                </c:pt>
                <c:pt idx="1881">
                  <c:v>32235441</c:v>
                </c:pt>
                <c:pt idx="1882">
                  <c:v>28728000</c:v>
                </c:pt>
                <c:pt idx="1883">
                  <c:v>18270895</c:v>
                </c:pt>
                <c:pt idx="1884">
                  <c:v>37696176</c:v>
                </c:pt>
                <c:pt idx="1885">
                  <c:v>29483949</c:v>
                </c:pt>
                <c:pt idx="1886">
                  <c:v>14020063</c:v>
                </c:pt>
                <c:pt idx="1887">
                  <c:v>12313582</c:v>
                </c:pt>
                <c:pt idx="1888">
                  <c:v>3842000</c:v>
                </c:pt>
                <c:pt idx="1889">
                  <c:v>264487</c:v>
                </c:pt>
                <c:pt idx="1890">
                  <c:v>4659817</c:v>
                </c:pt>
                <c:pt idx="1891">
                  <c:v>-2648431</c:v>
                </c:pt>
                <c:pt idx="1892">
                  <c:v>27002815</c:v>
                </c:pt>
                <c:pt idx="1893">
                  <c:v>-2716218</c:v>
                </c:pt>
                <c:pt idx="1894">
                  <c:v>8059386</c:v>
                </c:pt>
                <c:pt idx="1895">
                  <c:v>-12048569</c:v>
                </c:pt>
                <c:pt idx="1896">
                  <c:v>7997095</c:v>
                </c:pt>
                <c:pt idx="1897">
                  <c:v>-7747170</c:v>
                </c:pt>
                <c:pt idx="1898">
                  <c:v>-2216223</c:v>
                </c:pt>
                <c:pt idx="1899">
                  <c:v>-8444012</c:v>
                </c:pt>
                <c:pt idx="1900">
                  <c:v>-9215287</c:v>
                </c:pt>
                <c:pt idx="1901">
                  <c:v>-12803790</c:v>
                </c:pt>
                <c:pt idx="1902">
                  <c:v>-16025347</c:v>
                </c:pt>
                <c:pt idx="1903">
                  <c:v>-20000000</c:v>
                </c:pt>
                <c:pt idx="1904">
                  <c:v>-12305895</c:v>
                </c:pt>
                <c:pt idx="1905">
                  <c:v>-8972134</c:v>
                </c:pt>
                <c:pt idx="1906">
                  <c:v>-16601608</c:v>
                </c:pt>
                <c:pt idx="1907">
                  <c:v>-20949555</c:v>
                </c:pt>
                <c:pt idx="1908">
                  <c:v>11746550</c:v>
                </c:pt>
                <c:pt idx="1909">
                  <c:v>-1331157</c:v>
                </c:pt>
                <c:pt idx="1910">
                  <c:v>-19036988</c:v>
                </c:pt>
                <c:pt idx="1911">
                  <c:v>-20203976</c:v>
                </c:pt>
                <c:pt idx="1912">
                  <c:v>-10673164</c:v>
                </c:pt>
                <c:pt idx="1913">
                  <c:v>24024969</c:v>
                </c:pt>
                <c:pt idx="1914">
                  <c:v>794341</c:v>
                </c:pt>
                <c:pt idx="1915">
                  <c:v>2862501</c:v>
                </c:pt>
                <c:pt idx="1916">
                  <c:v>-315648</c:v>
                </c:pt>
                <c:pt idx="1917">
                  <c:v>25700000</c:v>
                </c:pt>
                <c:pt idx="1918">
                  <c:v>31008288</c:v>
                </c:pt>
                <c:pt idx="1919">
                  <c:v>-420316</c:v>
                </c:pt>
                <c:pt idx="1920">
                  <c:v>25660000</c:v>
                </c:pt>
                <c:pt idx="1921">
                  <c:v>19219708</c:v>
                </c:pt>
                <c:pt idx="1922">
                  <c:v>111088910</c:v>
                </c:pt>
                <c:pt idx="1923">
                  <c:v>15581633</c:v>
                </c:pt>
                <c:pt idx="1924">
                  <c:v>4296447</c:v>
                </c:pt>
                <c:pt idx="1925">
                  <c:v>4848292</c:v>
                </c:pt>
                <c:pt idx="1926">
                  <c:v>-3242913</c:v>
                </c:pt>
                <c:pt idx="1927">
                  <c:v>-7569012</c:v>
                </c:pt>
                <c:pt idx="1928">
                  <c:v>-4715640</c:v>
                </c:pt>
                <c:pt idx="1929">
                  <c:v>-14169043</c:v>
                </c:pt>
                <c:pt idx="1930">
                  <c:v>4104113</c:v>
                </c:pt>
                <c:pt idx="1931">
                  <c:v>-20984407</c:v>
                </c:pt>
                <c:pt idx="1932">
                  <c:v>-20041681</c:v>
                </c:pt>
                <c:pt idx="1933">
                  <c:v>34700000</c:v>
                </c:pt>
                <c:pt idx="1934">
                  <c:v>-28159583</c:v>
                </c:pt>
                <c:pt idx="1935">
                  <c:v>224374454</c:v>
                </c:pt>
                <c:pt idx="1936">
                  <c:v>108899130</c:v>
                </c:pt>
                <c:pt idx="1937">
                  <c:v>259297</c:v>
                </c:pt>
                <c:pt idx="1938">
                  <c:v>125665036</c:v>
                </c:pt>
                <c:pt idx="1939">
                  <c:v>99541238</c:v>
                </c:pt>
                <c:pt idx="1940">
                  <c:v>111727000</c:v>
                </c:pt>
                <c:pt idx="1941">
                  <c:v>101697350</c:v>
                </c:pt>
                <c:pt idx="1942">
                  <c:v>97224271</c:v>
                </c:pt>
                <c:pt idx="1943">
                  <c:v>82922376</c:v>
                </c:pt>
                <c:pt idx="1944">
                  <c:v>74497271</c:v>
                </c:pt>
                <c:pt idx="1945">
                  <c:v>117387272</c:v>
                </c:pt>
                <c:pt idx="1946">
                  <c:v>50301521</c:v>
                </c:pt>
                <c:pt idx="1947">
                  <c:v>64518155</c:v>
                </c:pt>
                <c:pt idx="1948">
                  <c:v>46257845</c:v>
                </c:pt>
                <c:pt idx="1949">
                  <c:v>52360285</c:v>
                </c:pt>
                <c:pt idx="1950">
                  <c:v>32148997</c:v>
                </c:pt>
                <c:pt idx="1951">
                  <c:v>62624961</c:v>
                </c:pt>
                <c:pt idx="1952">
                  <c:v>47325559</c:v>
                </c:pt>
                <c:pt idx="1953">
                  <c:v>42933793</c:v>
                </c:pt>
                <c:pt idx="1954">
                  <c:v>36667870</c:v>
                </c:pt>
                <c:pt idx="1955">
                  <c:v>36398162</c:v>
                </c:pt>
                <c:pt idx="1956">
                  <c:v>40072596</c:v>
                </c:pt>
                <c:pt idx="1957">
                  <c:v>36362352</c:v>
                </c:pt>
                <c:pt idx="1958">
                  <c:v>36154094</c:v>
                </c:pt>
                <c:pt idx="1959">
                  <c:v>45623128</c:v>
                </c:pt>
                <c:pt idx="1960">
                  <c:v>35461307</c:v>
                </c:pt>
                <c:pt idx="1961">
                  <c:v>28546578</c:v>
                </c:pt>
                <c:pt idx="1962">
                  <c:v>28423368</c:v>
                </c:pt>
                <c:pt idx="1963">
                  <c:v>32066000</c:v>
                </c:pt>
                <c:pt idx="1964">
                  <c:v>27887943</c:v>
                </c:pt>
                <c:pt idx="1965">
                  <c:v>26363118</c:v>
                </c:pt>
                <c:pt idx="1966">
                  <c:v>27852604</c:v>
                </c:pt>
                <c:pt idx="1967">
                  <c:v>15542421</c:v>
                </c:pt>
                <c:pt idx="1968">
                  <c:v>22652003</c:v>
                </c:pt>
                <c:pt idx="1969">
                  <c:v>19737645</c:v>
                </c:pt>
                <c:pt idx="1970">
                  <c:v>24988180</c:v>
                </c:pt>
                <c:pt idx="1971">
                  <c:v>17263506</c:v>
                </c:pt>
                <c:pt idx="1972">
                  <c:v>19143839</c:v>
                </c:pt>
                <c:pt idx="1973">
                  <c:v>17672350</c:v>
                </c:pt>
                <c:pt idx="1974">
                  <c:v>18037513</c:v>
                </c:pt>
                <c:pt idx="1975">
                  <c:v>17442180</c:v>
                </c:pt>
                <c:pt idx="1976">
                  <c:v>15596227</c:v>
                </c:pt>
                <c:pt idx="1977">
                  <c:v>15422828</c:v>
                </c:pt>
                <c:pt idx="1978">
                  <c:v>16658108</c:v>
                </c:pt>
                <c:pt idx="1979">
                  <c:v>9300771</c:v>
                </c:pt>
                <c:pt idx="1980">
                  <c:v>14490142</c:v>
                </c:pt>
                <c:pt idx="1981">
                  <c:v>13422556</c:v>
                </c:pt>
                <c:pt idx="1982">
                  <c:v>2774834</c:v>
                </c:pt>
                <c:pt idx="1983">
                  <c:v>23334256</c:v>
                </c:pt>
                <c:pt idx="1984">
                  <c:v>12051917</c:v>
                </c:pt>
                <c:pt idx="1985">
                  <c:v>12014289</c:v>
                </c:pt>
                <c:pt idx="1986">
                  <c:v>11838002</c:v>
                </c:pt>
                <c:pt idx="1987">
                  <c:v>16874745</c:v>
                </c:pt>
                <c:pt idx="1988">
                  <c:v>-4920684</c:v>
                </c:pt>
                <c:pt idx="1989">
                  <c:v>16033759</c:v>
                </c:pt>
                <c:pt idx="1990">
                  <c:v>9753944</c:v>
                </c:pt>
                <c:pt idx="1991">
                  <c:v>11146570</c:v>
                </c:pt>
                <c:pt idx="1992">
                  <c:v>7277055</c:v>
                </c:pt>
                <c:pt idx="1993">
                  <c:v>-123471</c:v>
                </c:pt>
                <c:pt idx="1994">
                  <c:v>33146000</c:v>
                </c:pt>
                <c:pt idx="1995">
                  <c:v>10028592</c:v>
                </c:pt>
                <c:pt idx="1996">
                  <c:v>14126138</c:v>
                </c:pt>
                <c:pt idx="1997">
                  <c:v>5677801</c:v>
                </c:pt>
                <c:pt idx="1998">
                  <c:v>6415649</c:v>
                </c:pt>
                <c:pt idx="1999">
                  <c:v>6003149</c:v>
                </c:pt>
                <c:pt idx="2000">
                  <c:v>5584685</c:v>
                </c:pt>
                <c:pt idx="2001">
                  <c:v>9975979</c:v>
                </c:pt>
                <c:pt idx="2002">
                  <c:v>11584722</c:v>
                </c:pt>
                <c:pt idx="2003">
                  <c:v>3179303</c:v>
                </c:pt>
                <c:pt idx="2004">
                  <c:v>14078294</c:v>
                </c:pt>
                <c:pt idx="2005">
                  <c:v>1413105</c:v>
                </c:pt>
                <c:pt idx="2006">
                  <c:v>5077977</c:v>
                </c:pt>
                <c:pt idx="2007">
                  <c:v>3292105</c:v>
                </c:pt>
                <c:pt idx="2008">
                  <c:v>-19083691</c:v>
                </c:pt>
                <c:pt idx="2009">
                  <c:v>1200000</c:v>
                </c:pt>
                <c:pt idx="2010">
                  <c:v>8876924</c:v>
                </c:pt>
                <c:pt idx="2011">
                  <c:v>241395</c:v>
                </c:pt>
                <c:pt idx="2012">
                  <c:v>31193053</c:v>
                </c:pt>
                <c:pt idx="2013">
                  <c:v>-20848136</c:v>
                </c:pt>
                <c:pt idx="2014">
                  <c:v>3393765</c:v>
                </c:pt>
                <c:pt idx="2015">
                  <c:v>-1117120</c:v>
                </c:pt>
                <c:pt idx="2016">
                  <c:v>-11500000</c:v>
                </c:pt>
                <c:pt idx="2017">
                  <c:v>-11747316</c:v>
                </c:pt>
                <c:pt idx="2018">
                  <c:v>-338013</c:v>
                </c:pt>
                <c:pt idx="2019">
                  <c:v>3352454</c:v>
                </c:pt>
                <c:pt idx="2020">
                  <c:v>-2196204</c:v>
                </c:pt>
                <c:pt idx="2021">
                  <c:v>-2470843</c:v>
                </c:pt>
                <c:pt idx="2022">
                  <c:v>6753840</c:v>
                </c:pt>
                <c:pt idx="2023">
                  <c:v>-1918374</c:v>
                </c:pt>
                <c:pt idx="2024">
                  <c:v>-2481780</c:v>
                </c:pt>
                <c:pt idx="2025">
                  <c:v>-2895331</c:v>
                </c:pt>
                <c:pt idx="2026">
                  <c:v>-18011004</c:v>
                </c:pt>
                <c:pt idx="2027">
                  <c:v>-4202093</c:v>
                </c:pt>
                <c:pt idx="2028">
                  <c:v>-3751299</c:v>
                </c:pt>
                <c:pt idx="2029">
                  <c:v>-4287928</c:v>
                </c:pt>
                <c:pt idx="2030">
                  <c:v>-4591178</c:v>
                </c:pt>
                <c:pt idx="2031">
                  <c:v>-4535974</c:v>
                </c:pt>
                <c:pt idx="2032">
                  <c:v>-12000000</c:v>
                </c:pt>
                <c:pt idx="2033">
                  <c:v>-10825346</c:v>
                </c:pt>
                <c:pt idx="2034">
                  <c:v>-11011124</c:v>
                </c:pt>
                <c:pt idx="2035">
                  <c:v>-6198245</c:v>
                </c:pt>
                <c:pt idx="2036">
                  <c:v>-6012518</c:v>
                </c:pt>
                <c:pt idx="2037">
                  <c:v>-5708430</c:v>
                </c:pt>
                <c:pt idx="2038">
                  <c:v>-6369774</c:v>
                </c:pt>
                <c:pt idx="2039">
                  <c:v>-6616263</c:v>
                </c:pt>
                <c:pt idx="2040">
                  <c:v>-6608826</c:v>
                </c:pt>
                <c:pt idx="2041">
                  <c:v>-17012353</c:v>
                </c:pt>
                <c:pt idx="2042">
                  <c:v>-9530189</c:v>
                </c:pt>
                <c:pt idx="2043">
                  <c:v>-7601372</c:v>
                </c:pt>
                <c:pt idx="2044">
                  <c:v>-6785970</c:v>
                </c:pt>
                <c:pt idx="2045">
                  <c:v>-9767063</c:v>
                </c:pt>
                <c:pt idx="2046">
                  <c:v>-7865580</c:v>
                </c:pt>
                <c:pt idx="2047">
                  <c:v>-8216000</c:v>
                </c:pt>
                <c:pt idx="2048">
                  <c:v>-8830469</c:v>
                </c:pt>
                <c:pt idx="2049">
                  <c:v>-8965564</c:v>
                </c:pt>
                <c:pt idx="2050">
                  <c:v>-7373095</c:v>
                </c:pt>
                <c:pt idx="2051">
                  <c:v>-9430929</c:v>
                </c:pt>
                <c:pt idx="2052">
                  <c:v>-9455857</c:v>
                </c:pt>
                <c:pt idx="2053">
                  <c:v>-6349262</c:v>
                </c:pt>
                <c:pt idx="2054">
                  <c:v>-9444652</c:v>
                </c:pt>
                <c:pt idx="2055">
                  <c:v>-10285518</c:v>
                </c:pt>
                <c:pt idx="2056">
                  <c:v>-10474724</c:v>
                </c:pt>
                <c:pt idx="2057">
                  <c:v>-12144354</c:v>
                </c:pt>
                <c:pt idx="2058">
                  <c:v>-10890678</c:v>
                </c:pt>
                <c:pt idx="2059">
                  <c:v>-24673965</c:v>
                </c:pt>
                <c:pt idx="2060">
                  <c:v>-11895931</c:v>
                </c:pt>
                <c:pt idx="2061">
                  <c:v>-11945720</c:v>
                </c:pt>
                <c:pt idx="2062">
                  <c:v>-11906682</c:v>
                </c:pt>
                <c:pt idx="2063">
                  <c:v>-12617007</c:v>
                </c:pt>
                <c:pt idx="2064">
                  <c:v>-11111645</c:v>
                </c:pt>
                <c:pt idx="2065">
                  <c:v>-4998280</c:v>
                </c:pt>
                <c:pt idx="2066">
                  <c:v>-12731341</c:v>
                </c:pt>
                <c:pt idx="2067">
                  <c:v>-15147856</c:v>
                </c:pt>
                <c:pt idx="2068">
                  <c:v>-13436643</c:v>
                </c:pt>
                <c:pt idx="2069">
                  <c:v>-3798243</c:v>
                </c:pt>
                <c:pt idx="2070">
                  <c:v>-13579681</c:v>
                </c:pt>
                <c:pt idx="2071">
                  <c:v>-9297917</c:v>
                </c:pt>
                <c:pt idx="2072">
                  <c:v>-3219004</c:v>
                </c:pt>
                <c:pt idx="2073">
                  <c:v>-13997244</c:v>
                </c:pt>
                <c:pt idx="2074">
                  <c:v>-14867345</c:v>
                </c:pt>
                <c:pt idx="2075">
                  <c:v>-14794657</c:v>
                </c:pt>
                <c:pt idx="2076">
                  <c:v>-14994117</c:v>
                </c:pt>
                <c:pt idx="2077">
                  <c:v>-14250866</c:v>
                </c:pt>
                <c:pt idx="2078">
                  <c:v>-15765960</c:v>
                </c:pt>
                <c:pt idx="2079">
                  <c:v>-15998879</c:v>
                </c:pt>
                <c:pt idx="2080">
                  <c:v>-16250939</c:v>
                </c:pt>
                <c:pt idx="2081">
                  <c:v>-16480373</c:v>
                </c:pt>
                <c:pt idx="2082">
                  <c:v>-17918075</c:v>
                </c:pt>
                <c:pt idx="2083">
                  <c:v>-2397701809</c:v>
                </c:pt>
                <c:pt idx="2084">
                  <c:v>-17646272</c:v>
                </c:pt>
                <c:pt idx="2085">
                  <c:v>-18000000</c:v>
                </c:pt>
                <c:pt idx="2086">
                  <c:v>-99275</c:v>
                </c:pt>
                <c:pt idx="2087">
                  <c:v>-17754000</c:v>
                </c:pt>
                <c:pt idx="2088">
                  <c:v>-18353336</c:v>
                </c:pt>
                <c:pt idx="2089">
                  <c:v>-18809982</c:v>
                </c:pt>
                <c:pt idx="2090">
                  <c:v>-38972251</c:v>
                </c:pt>
                <c:pt idx="2091">
                  <c:v>-23117290</c:v>
                </c:pt>
                <c:pt idx="2092">
                  <c:v>-18935723</c:v>
                </c:pt>
                <c:pt idx="2093">
                  <c:v>-9468991</c:v>
                </c:pt>
                <c:pt idx="2094">
                  <c:v>-2127109510</c:v>
                </c:pt>
                <c:pt idx="2095">
                  <c:v>-19624526</c:v>
                </c:pt>
                <c:pt idx="2096">
                  <c:v>-19694930</c:v>
                </c:pt>
                <c:pt idx="2097">
                  <c:v>-139853928</c:v>
                </c:pt>
                <c:pt idx="2098">
                  <c:v>-18816646</c:v>
                </c:pt>
                <c:pt idx="2099">
                  <c:v>-21878028</c:v>
                </c:pt>
                <c:pt idx="2100">
                  <c:v>-19736635</c:v>
                </c:pt>
                <c:pt idx="2101">
                  <c:v>-11352310</c:v>
                </c:pt>
                <c:pt idx="2102">
                  <c:v>-19523730</c:v>
                </c:pt>
                <c:pt idx="2103">
                  <c:v>162208848</c:v>
                </c:pt>
                <c:pt idx="2104">
                  <c:v>80292856</c:v>
                </c:pt>
                <c:pt idx="2105">
                  <c:v>31431160</c:v>
                </c:pt>
                <c:pt idx="2106">
                  <c:v>88001286</c:v>
                </c:pt>
                <c:pt idx="2107">
                  <c:v>21867960</c:v>
                </c:pt>
                <c:pt idx="2108">
                  <c:v>191609762</c:v>
                </c:pt>
                <c:pt idx="2109">
                  <c:v>21846082</c:v>
                </c:pt>
                <c:pt idx="2110">
                  <c:v>38697449</c:v>
                </c:pt>
                <c:pt idx="2111">
                  <c:v>8758465</c:v>
                </c:pt>
                <c:pt idx="2112">
                  <c:v>38127162</c:v>
                </c:pt>
                <c:pt idx="2113">
                  <c:v>-13642958</c:v>
                </c:pt>
                <c:pt idx="2114">
                  <c:v>-3088667</c:v>
                </c:pt>
                <c:pt idx="2115">
                  <c:v>19103378</c:v>
                </c:pt>
                <c:pt idx="2116">
                  <c:v>-8950114</c:v>
                </c:pt>
                <c:pt idx="2117">
                  <c:v>-16400000</c:v>
                </c:pt>
                <c:pt idx="2118">
                  <c:v>2483154</c:v>
                </c:pt>
                <c:pt idx="2119">
                  <c:v>-10603058</c:v>
                </c:pt>
                <c:pt idx="2120">
                  <c:v>-18987439</c:v>
                </c:pt>
                <c:pt idx="2121">
                  <c:v>-16076109</c:v>
                </c:pt>
                <c:pt idx="2122">
                  <c:v>-16880006</c:v>
                </c:pt>
                <c:pt idx="2123">
                  <c:v>-17707473</c:v>
                </c:pt>
                <c:pt idx="2124">
                  <c:v>45255243</c:v>
                </c:pt>
                <c:pt idx="2125">
                  <c:v>3245861</c:v>
                </c:pt>
                <c:pt idx="2126">
                  <c:v>5433940</c:v>
                </c:pt>
                <c:pt idx="2127">
                  <c:v>-7937613</c:v>
                </c:pt>
                <c:pt idx="2128">
                  <c:v>-60918</c:v>
                </c:pt>
                <c:pt idx="2129">
                  <c:v>132056505</c:v>
                </c:pt>
                <c:pt idx="2130">
                  <c:v>101938730</c:v>
                </c:pt>
                <c:pt idx="2131">
                  <c:v>96968774</c:v>
                </c:pt>
                <c:pt idx="2132">
                  <c:v>110505958</c:v>
                </c:pt>
                <c:pt idx="2133">
                  <c:v>77001351</c:v>
                </c:pt>
                <c:pt idx="2134">
                  <c:v>59400000</c:v>
                </c:pt>
                <c:pt idx="2135">
                  <c:v>55072454</c:v>
                </c:pt>
                <c:pt idx="2136">
                  <c:v>48535067</c:v>
                </c:pt>
                <c:pt idx="2137">
                  <c:v>-2001718</c:v>
                </c:pt>
                <c:pt idx="2138">
                  <c:v>-10938241</c:v>
                </c:pt>
                <c:pt idx="2139">
                  <c:v>46955956</c:v>
                </c:pt>
                <c:pt idx="2140">
                  <c:v>42057639</c:v>
                </c:pt>
                <c:pt idx="2141">
                  <c:v>36868030</c:v>
                </c:pt>
                <c:pt idx="2142">
                  <c:v>41573085</c:v>
                </c:pt>
                <c:pt idx="2143">
                  <c:v>31691009</c:v>
                </c:pt>
                <c:pt idx="2144">
                  <c:v>44735548</c:v>
                </c:pt>
                <c:pt idx="2145">
                  <c:v>33600000</c:v>
                </c:pt>
                <c:pt idx="2146">
                  <c:v>23818159</c:v>
                </c:pt>
                <c:pt idx="2147">
                  <c:v>69049418</c:v>
                </c:pt>
                <c:pt idx="2148">
                  <c:v>25601508</c:v>
                </c:pt>
                <c:pt idx="2149">
                  <c:v>21500105</c:v>
                </c:pt>
                <c:pt idx="2150">
                  <c:v>23382841</c:v>
                </c:pt>
                <c:pt idx="2151">
                  <c:v>24335698</c:v>
                </c:pt>
                <c:pt idx="2152">
                  <c:v>16471430</c:v>
                </c:pt>
                <c:pt idx="2153">
                  <c:v>5222640</c:v>
                </c:pt>
                <c:pt idx="2154">
                  <c:v>8906039</c:v>
                </c:pt>
                <c:pt idx="2155">
                  <c:v>20378000</c:v>
                </c:pt>
                <c:pt idx="2156">
                  <c:v>25853424</c:v>
                </c:pt>
                <c:pt idx="2157">
                  <c:v>5993605</c:v>
                </c:pt>
                <c:pt idx="2158">
                  <c:v>8400000</c:v>
                </c:pt>
                <c:pt idx="2159">
                  <c:v>-17954750</c:v>
                </c:pt>
                <c:pt idx="2160">
                  <c:v>4927390</c:v>
                </c:pt>
                <c:pt idx="2161">
                  <c:v>-13749680</c:v>
                </c:pt>
                <c:pt idx="2162">
                  <c:v>4452209</c:v>
                </c:pt>
                <c:pt idx="2163">
                  <c:v>329466</c:v>
                </c:pt>
                <c:pt idx="2164">
                  <c:v>-928770</c:v>
                </c:pt>
                <c:pt idx="2165">
                  <c:v>-825130</c:v>
                </c:pt>
                <c:pt idx="2166">
                  <c:v>9284475</c:v>
                </c:pt>
                <c:pt idx="2167">
                  <c:v>-1297136</c:v>
                </c:pt>
                <c:pt idx="2168">
                  <c:v>-2438373</c:v>
                </c:pt>
                <c:pt idx="2169">
                  <c:v>-12249417</c:v>
                </c:pt>
                <c:pt idx="2170">
                  <c:v>-3206096</c:v>
                </c:pt>
                <c:pt idx="2171">
                  <c:v>-2718714</c:v>
                </c:pt>
                <c:pt idx="2172">
                  <c:v>-10000000</c:v>
                </c:pt>
                <c:pt idx="2173">
                  <c:v>-4508347</c:v>
                </c:pt>
                <c:pt idx="2174">
                  <c:v>-7505506</c:v>
                </c:pt>
                <c:pt idx="2175">
                  <c:v>-10162368</c:v>
                </c:pt>
                <c:pt idx="2176">
                  <c:v>-2844228</c:v>
                </c:pt>
                <c:pt idx="2177">
                  <c:v>-9491157</c:v>
                </c:pt>
                <c:pt idx="2178">
                  <c:v>-10260951</c:v>
                </c:pt>
                <c:pt idx="2179">
                  <c:v>-10265156</c:v>
                </c:pt>
                <c:pt idx="2180">
                  <c:v>-12000000</c:v>
                </c:pt>
                <c:pt idx="2181">
                  <c:v>-6384422</c:v>
                </c:pt>
                <c:pt idx="2182">
                  <c:v>-12112543</c:v>
                </c:pt>
                <c:pt idx="2183">
                  <c:v>-4637692</c:v>
                </c:pt>
                <c:pt idx="2184">
                  <c:v>-14298357</c:v>
                </c:pt>
                <c:pt idx="2185">
                  <c:v>-12305599</c:v>
                </c:pt>
                <c:pt idx="2186">
                  <c:v>-14666342</c:v>
                </c:pt>
                <c:pt idx="2187">
                  <c:v>-13585465</c:v>
                </c:pt>
                <c:pt idx="2188">
                  <c:v>-14292206</c:v>
                </c:pt>
                <c:pt idx="2189">
                  <c:v>-14796956</c:v>
                </c:pt>
                <c:pt idx="2190">
                  <c:v>-13564917</c:v>
                </c:pt>
                <c:pt idx="2191">
                  <c:v>-9777353</c:v>
                </c:pt>
                <c:pt idx="2192">
                  <c:v>800000</c:v>
                </c:pt>
                <c:pt idx="2193">
                  <c:v>-17323302</c:v>
                </c:pt>
                <c:pt idx="2194">
                  <c:v>-11120689</c:v>
                </c:pt>
                <c:pt idx="2195">
                  <c:v>-13936740</c:v>
                </c:pt>
                <c:pt idx="2196">
                  <c:v>101463226</c:v>
                </c:pt>
                <c:pt idx="2197">
                  <c:v>35006147</c:v>
                </c:pt>
                <c:pt idx="2198">
                  <c:v>33553787</c:v>
                </c:pt>
                <c:pt idx="2199">
                  <c:v>5972900</c:v>
                </c:pt>
                <c:pt idx="2200">
                  <c:v>15687528</c:v>
                </c:pt>
                <c:pt idx="2201">
                  <c:v>-17174509</c:v>
                </c:pt>
                <c:pt idx="2202">
                  <c:v>79471845</c:v>
                </c:pt>
                <c:pt idx="2203">
                  <c:v>66700000</c:v>
                </c:pt>
                <c:pt idx="2204">
                  <c:v>55000000</c:v>
                </c:pt>
                <c:pt idx="2205">
                  <c:v>55219395</c:v>
                </c:pt>
                <c:pt idx="2206">
                  <c:v>65389560</c:v>
                </c:pt>
                <c:pt idx="2207">
                  <c:v>59502303</c:v>
                </c:pt>
                <c:pt idx="2208">
                  <c:v>1679969</c:v>
                </c:pt>
                <c:pt idx="2209">
                  <c:v>46700000</c:v>
                </c:pt>
                <c:pt idx="2210">
                  <c:v>20566230</c:v>
                </c:pt>
                <c:pt idx="2211">
                  <c:v>53492685</c:v>
                </c:pt>
                <c:pt idx="2212">
                  <c:v>18635046</c:v>
                </c:pt>
                <c:pt idx="2213">
                  <c:v>25670855</c:v>
                </c:pt>
                <c:pt idx="2214">
                  <c:v>20939782</c:v>
                </c:pt>
                <c:pt idx="2215">
                  <c:v>13324946</c:v>
                </c:pt>
                <c:pt idx="2216">
                  <c:v>26777564</c:v>
                </c:pt>
                <c:pt idx="2217">
                  <c:v>5734486</c:v>
                </c:pt>
                <c:pt idx="2218">
                  <c:v>27469602</c:v>
                </c:pt>
                <c:pt idx="2219">
                  <c:v>47998368</c:v>
                </c:pt>
                <c:pt idx="2220">
                  <c:v>-14306109</c:v>
                </c:pt>
                <c:pt idx="2221">
                  <c:v>-688237</c:v>
                </c:pt>
                <c:pt idx="2222">
                  <c:v>-4306379</c:v>
                </c:pt>
                <c:pt idx="2223">
                  <c:v>11655665</c:v>
                </c:pt>
                <c:pt idx="2224">
                  <c:v>-5365542</c:v>
                </c:pt>
                <c:pt idx="2225">
                  <c:v>10154426</c:v>
                </c:pt>
                <c:pt idx="2226">
                  <c:v>37239856</c:v>
                </c:pt>
                <c:pt idx="2227">
                  <c:v>-8337682</c:v>
                </c:pt>
                <c:pt idx="2228">
                  <c:v>-11843275</c:v>
                </c:pt>
                <c:pt idx="2229">
                  <c:v>-1318980</c:v>
                </c:pt>
                <c:pt idx="2230">
                  <c:v>-10144863</c:v>
                </c:pt>
                <c:pt idx="2231">
                  <c:v>-14684317</c:v>
                </c:pt>
                <c:pt idx="2232">
                  <c:v>23825798</c:v>
                </c:pt>
                <c:pt idx="2233">
                  <c:v>-15000000</c:v>
                </c:pt>
                <c:pt idx="2234">
                  <c:v>-15430082</c:v>
                </c:pt>
                <c:pt idx="2235">
                  <c:v>-16893131</c:v>
                </c:pt>
                <c:pt idx="2236">
                  <c:v>-16726580</c:v>
                </c:pt>
                <c:pt idx="2237">
                  <c:v>-12069202</c:v>
                </c:pt>
                <c:pt idx="2238">
                  <c:v>43347242</c:v>
                </c:pt>
                <c:pt idx="2239">
                  <c:v>-16579086</c:v>
                </c:pt>
                <c:pt idx="2240">
                  <c:v>28848100</c:v>
                </c:pt>
                <c:pt idx="2241">
                  <c:v>26200000</c:v>
                </c:pt>
                <c:pt idx="2242">
                  <c:v>2163911</c:v>
                </c:pt>
                <c:pt idx="2243">
                  <c:v>-4797910</c:v>
                </c:pt>
                <c:pt idx="2244">
                  <c:v>-1994515</c:v>
                </c:pt>
                <c:pt idx="2245">
                  <c:v>79460116</c:v>
                </c:pt>
                <c:pt idx="2246">
                  <c:v>111175354</c:v>
                </c:pt>
                <c:pt idx="2247">
                  <c:v>76823600</c:v>
                </c:pt>
                <c:pt idx="2248">
                  <c:v>38000000</c:v>
                </c:pt>
                <c:pt idx="2249">
                  <c:v>52925609</c:v>
                </c:pt>
                <c:pt idx="2250">
                  <c:v>36885587</c:v>
                </c:pt>
                <c:pt idx="2251">
                  <c:v>29667095</c:v>
                </c:pt>
                <c:pt idx="2252">
                  <c:v>26638165</c:v>
                </c:pt>
                <c:pt idx="2253">
                  <c:v>29507053</c:v>
                </c:pt>
                <c:pt idx="2254">
                  <c:v>23511038</c:v>
                </c:pt>
                <c:pt idx="2255">
                  <c:v>-12037424</c:v>
                </c:pt>
                <c:pt idx="2256">
                  <c:v>24363530</c:v>
                </c:pt>
                <c:pt idx="2257">
                  <c:v>24123143</c:v>
                </c:pt>
                <c:pt idx="2258">
                  <c:v>-1642524</c:v>
                </c:pt>
                <c:pt idx="2259">
                  <c:v>12734552</c:v>
                </c:pt>
                <c:pt idx="2260">
                  <c:v>21300107</c:v>
                </c:pt>
                <c:pt idx="2261">
                  <c:v>15102717</c:v>
                </c:pt>
                <c:pt idx="2262">
                  <c:v>15618786</c:v>
                </c:pt>
                <c:pt idx="2263">
                  <c:v>10396744</c:v>
                </c:pt>
                <c:pt idx="2264">
                  <c:v>7713577</c:v>
                </c:pt>
                <c:pt idx="2265">
                  <c:v>4627372</c:v>
                </c:pt>
                <c:pt idx="2266">
                  <c:v>346122</c:v>
                </c:pt>
                <c:pt idx="2267">
                  <c:v>204793</c:v>
                </c:pt>
                <c:pt idx="2268">
                  <c:v>-572808</c:v>
                </c:pt>
                <c:pt idx="2269">
                  <c:v>-1207221</c:v>
                </c:pt>
                <c:pt idx="2270">
                  <c:v>3057024</c:v>
                </c:pt>
                <c:pt idx="2271">
                  <c:v>-1891482</c:v>
                </c:pt>
                <c:pt idx="2272">
                  <c:v>-6146000</c:v>
                </c:pt>
                <c:pt idx="2273">
                  <c:v>51324422</c:v>
                </c:pt>
                <c:pt idx="2274">
                  <c:v>-500000</c:v>
                </c:pt>
                <c:pt idx="2275">
                  <c:v>-10265765</c:v>
                </c:pt>
                <c:pt idx="2276">
                  <c:v>-11160617</c:v>
                </c:pt>
                <c:pt idx="2277">
                  <c:v>-10806975</c:v>
                </c:pt>
                <c:pt idx="2278">
                  <c:v>-10100000</c:v>
                </c:pt>
                <c:pt idx="2279">
                  <c:v>-13150858</c:v>
                </c:pt>
                <c:pt idx="2280">
                  <c:v>-14313571</c:v>
                </c:pt>
                <c:pt idx="2281">
                  <c:v>-14015257</c:v>
                </c:pt>
                <c:pt idx="2282">
                  <c:v>-14333738</c:v>
                </c:pt>
                <c:pt idx="2283">
                  <c:v>-17680813</c:v>
                </c:pt>
                <c:pt idx="2284">
                  <c:v>-2077789</c:v>
                </c:pt>
                <c:pt idx="2285">
                  <c:v>-14976909</c:v>
                </c:pt>
                <c:pt idx="2286">
                  <c:v>-12663533</c:v>
                </c:pt>
                <c:pt idx="2287">
                  <c:v>-15997036</c:v>
                </c:pt>
                <c:pt idx="2288">
                  <c:v>-13571117</c:v>
                </c:pt>
                <c:pt idx="2289">
                  <c:v>-2028183</c:v>
                </c:pt>
                <c:pt idx="2290">
                  <c:v>-14318803</c:v>
                </c:pt>
                <c:pt idx="2291">
                  <c:v>-15218475</c:v>
                </c:pt>
                <c:pt idx="2292">
                  <c:v>-7725270</c:v>
                </c:pt>
                <c:pt idx="2293">
                  <c:v>220760500</c:v>
                </c:pt>
                <c:pt idx="2294">
                  <c:v>267761243</c:v>
                </c:pt>
                <c:pt idx="2295">
                  <c:v>156780960</c:v>
                </c:pt>
                <c:pt idx="2296">
                  <c:v>155200000</c:v>
                </c:pt>
                <c:pt idx="2297">
                  <c:v>161781728</c:v>
                </c:pt>
                <c:pt idx="2298">
                  <c:v>113067808</c:v>
                </c:pt>
                <c:pt idx="2299">
                  <c:v>123795342</c:v>
                </c:pt>
                <c:pt idx="2300">
                  <c:v>96936400</c:v>
                </c:pt>
                <c:pt idx="2301">
                  <c:v>-15182960</c:v>
                </c:pt>
                <c:pt idx="2302">
                  <c:v>79175854</c:v>
                </c:pt>
                <c:pt idx="2303">
                  <c:v>77121452</c:v>
                </c:pt>
                <c:pt idx="2304">
                  <c:v>59800000</c:v>
                </c:pt>
                <c:pt idx="2305">
                  <c:v>49001297</c:v>
                </c:pt>
                <c:pt idx="2306">
                  <c:v>51588220</c:v>
                </c:pt>
                <c:pt idx="2307">
                  <c:v>46400000</c:v>
                </c:pt>
                <c:pt idx="2308">
                  <c:v>86978840</c:v>
                </c:pt>
                <c:pt idx="2309">
                  <c:v>46637947</c:v>
                </c:pt>
                <c:pt idx="2310">
                  <c:v>58326666</c:v>
                </c:pt>
                <c:pt idx="2311">
                  <c:v>40184721</c:v>
                </c:pt>
                <c:pt idx="2312">
                  <c:v>35003300</c:v>
                </c:pt>
                <c:pt idx="2313">
                  <c:v>37322273</c:v>
                </c:pt>
                <c:pt idx="2314">
                  <c:v>32860214</c:v>
                </c:pt>
                <c:pt idx="2315">
                  <c:v>32811275</c:v>
                </c:pt>
                <c:pt idx="2316">
                  <c:v>28022524</c:v>
                </c:pt>
                <c:pt idx="2317">
                  <c:v>25672630</c:v>
                </c:pt>
                <c:pt idx="2318">
                  <c:v>27919096</c:v>
                </c:pt>
                <c:pt idx="2319">
                  <c:v>27592530</c:v>
                </c:pt>
                <c:pt idx="2320">
                  <c:v>25064955</c:v>
                </c:pt>
                <c:pt idx="2321">
                  <c:v>34886089</c:v>
                </c:pt>
                <c:pt idx="2322">
                  <c:v>21882551</c:v>
                </c:pt>
                <c:pt idx="2323">
                  <c:v>33983001</c:v>
                </c:pt>
                <c:pt idx="2324">
                  <c:v>20007180</c:v>
                </c:pt>
                <c:pt idx="2325">
                  <c:v>20887263</c:v>
                </c:pt>
                <c:pt idx="2326">
                  <c:v>18771174</c:v>
                </c:pt>
                <c:pt idx="2327">
                  <c:v>-9000000</c:v>
                </c:pt>
                <c:pt idx="2328">
                  <c:v>18386128</c:v>
                </c:pt>
                <c:pt idx="2329">
                  <c:v>22877959</c:v>
                </c:pt>
                <c:pt idx="2330">
                  <c:v>17721635</c:v>
                </c:pt>
                <c:pt idx="2331">
                  <c:v>16585300</c:v>
                </c:pt>
                <c:pt idx="2332">
                  <c:v>15259652</c:v>
                </c:pt>
                <c:pt idx="2333">
                  <c:v>14857814</c:v>
                </c:pt>
                <c:pt idx="2334">
                  <c:v>15226144</c:v>
                </c:pt>
                <c:pt idx="2335">
                  <c:v>20054909</c:v>
                </c:pt>
                <c:pt idx="2336">
                  <c:v>14302097</c:v>
                </c:pt>
                <c:pt idx="2337">
                  <c:v>14106737</c:v>
                </c:pt>
                <c:pt idx="2338">
                  <c:v>13637507</c:v>
                </c:pt>
                <c:pt idx="2339">
                  <c:v>15127963</c:v>
                </c:pt>
                <c:pt idx="2340">
                  <c:v>18645546</c:v>
                </c:pt>
                <c:pt idx="2341">
                  <c:v>12441122</c:v>
                </c:pt>
                <c:pt idx="2342">
                  <c:v>13014536</c:v>
                </c:pt>
                <c:pt idx="2343">
                  <c:v>18860010</c:v>
                </c:pt>
                <c:pt idx="2344">
                  <c:v>11421314</c:v>
                </c:pt>
                <c:pt idx="2345">
                  <c:v>9881000</c:v>
                </c:pt>
                <c:pt idx="2346">
                  <c:v>8089926</c:v>
                </c:pt>
                <c:pt idx="2347">
                  <c:v>11161406</c:v>
                </c:pt>
                <c:pt idx="2348">
                  <c:v>11454968</c:v>
                </c:pt>
                <c:pt idx="2349">
                  <c:v>11384919</c:v>
                </c:pt>
                <c:pt idx="2350">
                  <c:v>7189039</c:v>
                </c:pt>
                <c:pt idx="2351">
                  <c:v>5998709</c:v>
                </c:pt>
                <c:pt idx="2352">
                  <c:v>5801344</c:v>
                </c:pt>
                <c:pt idx="2353">
                  <c:v>7468807</c:v>
                </c:pt>
                <c:pt idx="2354">
                  <c:v>4158074</c:v>
                </c:pt>
                <c:pt idx="2355">
                  <c:v>-1156686</c:v>
                </c:pt>
                <c:pt idx="2356">
                  <c:v>5566327</c:v>
                </c:pt>
                <c:pt idx="2357">
                  <c:v>5218921</c:v>
                </c:pt>
                <c:pt idx="2358">
                  <c:v>2411331</c:v>
                </c:pt>
                <c:pt idx="2359">
                  <c:v>6383298</c:v>
                </c:pt>
                <c:pt idx="2360">
                  <c:v>9984868</c:v>
                </c:pt>
                <c:pt idx="2361">
                  <c:v>1459004</c:v>
                </c:pt>
                <c:pt idx="2362">
                  <c:v>700000</c:v>
                </c:pt>
                <c:pt idx="2363">
                  <c:v>100000</c:v>
                </c:pt>
                <c:pt idx="2364">
                  <c:v>-61430</c:v>
                </c:pt>
                <c:pt idx="2365">
                  <c:v>2237244</c:v>
                </c:pt>
                <c:pt idx="2366">
                  <c:v>-750995</c:v>
                </c:pt>
                <c:pt idx="2367">
                  <c:v>-2198810</c:v>
                </c:pt>
                <c:pt idx="2368">
                  <c:v>-2450515</c:v>
                </c:pt>
                <c:pt idx="2369">
                  <c:v>-1233986</c:v>
                </c:pt>
                <c:pt idx="2370">
                  <c:v>-1965583</c:v>
                </c:pt>
                <c:pt idx="2371">
                  <c:v>-2787583</c:v>
                </c:pt>
                <c:pt idx="2372">
                  <c:v>-3385764</c:v>
                </c:pt>
                <c:pt idx="2373">
                  <c:v>-6662701</c:v>
                </c:pt>
                <c:pt idx="2374">
                  <c:v>-4236531</c:v>
                </c:pt>
                <c:pt idx="2375">
                  <c:v>-3855482</c:v>
                </c:pt>
                <c:pt idx="2376">
                  <c:v>608545</c:v>
                </c:pt>
                <c:pt idx="2377">
                  <c:v>-4556684</c:v>
                </c:pt>
                <c:pt idx="2378">
                  <c:v>-4505853</c:v>
                </c:pt>
                <c:pt idx="2379">
                  <c:v>-5071000</c:v>
                </c:pt>
                <c:pt idx="2380">
                  <c:v>-4588020</c:v>
                </c:pt>
                <c:pt idx="2381">
                  <c:v>2439163</c:v>
                </c:pt>
                <c:pt idx="2382">
                  <c:v>-5603513</c:v>
                </c:pt>
                <c:pt idx="2383">
                  <c:v>-5940412</c:v>
                </c:pt>
                <c:pt idx="2384">
                  <c:v>-6827190</c:v>
                </c:pt>
                <c:pt idx="2385">
                  <c:v>-6264471</c:v>
                </c:pt>
                <c:pt idx="2386">
                  <c:v>-11413624</c:v>
                </c:pt>
                <c:pt idx="2387">
                  <c:v>-6621859</c:v>
                </c:pt>
                <c:pt idx="2388">
                  <c:v>-6919884</c:v>
                </c:pt>
                <c:pt idx="2389">
                  <c:v>-7242870</c:v>
                </c:pt>
                <c:pt idx="2390">
                  <c:v>-5876166</c:v>
                </c:pt>
                <c:pt idx="2391">
                  <c:v>-8590794</c:v>
                </c:pt>
                <c:pt idx="2392">
                  <c:v>-8626307</c:v>
                </c:pt>
                <c:pt idx="2393">
                  <c:v>-7443292</c:v>
                </c:pt>
                <c:pt idx="2394">
                  <c:v>-9693553</c:v>
                </c:pt>
                <c:pt idx="2395">
                  <c:v>-9782502</c:v>
                </c:pt>
                <c:pt idx="2396">
                  <c:v>-9976725</c:v>
                </c:pt>
                <c:pt idx="2397">
                  <c:v>-10043599</c:v>
                </c:pt>
                <c:pt idx="2398">
                  <c:v>-10764163</c:v>
                </c:pt>
                <c:pt idx="2399">
                  <c:v>-15997045</c:v>
                </c:pt>
                <c:pt idx="2400">
                  <c:v>-7780422</c:v>
                </c:pt>
                <c:pt idx="2401">
                  <c:v>-18752184</c:v>
                </c:pt>
                <c:pt idx="2402">
                  <c:v>-12587955</c:v>
                </c:pt>
                <c:pt idx="2403">
                  <c:v>-12796359</c:v>
                </c:pt>
                <c:pt idx="2404">
                  <c:v>-13046268</c:v>
                </c:pt>
                <c:pt idx="2405">
                  <c:v>-13045798</c:v>
                </c:pt>
                <c:pt idx="2406">
                  <c:v>-13705360</c:v>
                </c:pt>
                <c:pt idx="2407">
                  <c:v>-5973565</c:v>
                </c:pt>
                <c:pt idx="2408">
                  <c:v>-10802214</c:v>
                </c:pt>
                <c:pt idx="2409">
                  <c:v>-6470234</c:v>
                </c:pt>
                <c:pt idx="2410">
                  <c:v>-14386444</c:v>
                </c:pt>
                <c:pt idx="2411">
                  <c:v>-14646257</c:v>
                </c:pt>
                <c:pt idx="2412">
                  <c:v>-299897945</c:v>
                </c:pt>
                <c:pt idx="2413">
                  <c:v>-14971130</c:v>
                </c:pt>
                <c:pt idx="2414">
                  <c:v>-24977277</c:v>
                </c:pt>
                <c:pt idx="2415">
                  <c:v>-14979620</c:v>
                </c:pt>
                <c:pt idx="2416">
                  <c:v>56306973</c:v>
                </c:pt>
                <c:pt idx="2417">
                  <c:v>51209973</c:v>
                </c:pt>
                <c:pt idx="2418">
                  <c:v>31838728</c:v>
                </c:pt>
                <c:pt idx="2419">
                  <c:v>86757447</c:v>
                </c:pt>
                <c:pt idx="2420">
                  <c:v>-14125795</c:v>
                </c:pt>
                <c:pt idx="2421">
                  <c:v>126319195</c:v>
                </c:pt>
                <c:pt idx="2422">
                  <c:v>142645693</c:v>
                </c:pt>
                <c:pt idx="2423">
                  <c:v>164406268</c:v>
                </c:pt>
                <c:pt idx="2424">
                  <c:v>93506210</c:v>
                </c:pt>
                <c:pt idx="2425">
                  <c:v>56001698</c:v>
                </c:pt>
                <c:pt idx="2426">
                  <c:v>53856263</c:v>
                </c:pt>
                <c:pt idx="2427">
                  <c:v>36527787</c:v>
                </c:pt>
                <c:pt idx="2428">
                  <c:v>47356221</c:v>
                </c:pt>
                <c:pt idx="2429">
                  <c:v>32800000</c:v>
                </c:pt>
                <c:pt idx="2430">
                  <c:v>24048637</c:v>
                </c:pt>
                <c:pt idx="2431">
                  <c:v>20793160</c:v>
                </c:pt>
                <c:pt idx="2432">
                  <c:v>16628981</c:v>
                </c:pt>
                <c:pt idx="2433">
                  <c:v>16959436</c:v>
                </c:pt>
                <c:pt idx="2434">
                  <c:v>11571351</c:v>
                </c:pt>
                <c:pt idx="2435">
                  <c:v>13515786</c:v>
                </c:pt>
                <c:pt idx="2436">
                  <c:v>11482931</c:v>
                </c:pt>
                <c:pt idx="2437">
                  <c:v>-100000</c:v>
                </c:pt>
                <c:pt idx="2438">
                  <c:v>2298046</c:v>
                </c:pt>
                <c:pt idx="2439">
                  <c:v>1549702</c:v>
                </c:pt>
                <c:pt idx="2440">
                  <c:v>1483540</c:v>
                </c:pt>
                <c:pt idx="2441">
                  <c:v>6246959</c:v>
                </c:pt>
                <c:pt idx="2442">
                  <c:v>1062898</c:v>
                </c:pt>
                <c:pt idx="2443">
                  <c:v>2348123</c:v>
                </c:pt>
                <c:pt idx="2444">
                  <c:v>6671475</c:v>
                </c:pt>
                <c:pt idx="2445">
                  <c:v>-360000</c:v>
                </c:pt>
                <c:pt idx="2446">
                  <c:v>1610731</c:v>
                </c:pt>
                <c:pt idx="2447">
                  <c:v>-2795501</c:v>
                </c:pt>
                <c:pt idx="2448">
                  <c:v>-3602635</c:v>
                </c:pt>
                <c:pt idx="2449">
                  <c:v>-4597590</c:v>
                </c:pt>
                <c:pt idx="2450">
                  <c:v>-20540176</c:v>
                </c:pt>
                <c:pt idx="2451">
                  <c:v>-18891180</c:v>
                </c:pt>
                <c:pt idx="2452">
                  <c:v>-9258013</c:v>
                </c:pt>
                <c:pt idx="2453">
                  <c:v>-9708035</c:v>
                </c:pt>
                <c:pt idx="2454">
                  <c:v>-10899350</c:v>
                </c:pt>
                <c:pt idx="2455">
                  <c:v>-11526000</c:v>
                </c:pt>
                <c:pt idx="2456">
                  <c:v>-13000000</c:v>
                </c:pt>
                <c:pt idx="2457">
                  <c:v>-4241500</c:v>
                </c:pt>
                <c:pt idx="2458">
                  <c:v>-102725701</c:v>
                </c:pt>
                <c:pt idx="2459">
                  <c:v>-14816912</c:v>
                </c:pt>
                <c:pt idx="2460">
                  <c:v>-13953505</c:v>
                </c:pt>
                <c:pt idx="2461">
                  <c:v>-12247786</c:v>
                </c:pt>
                <c:pt idx="2462">
                  <c:v>69025853</c:v>
                </c:pt>
                <c:pt idx="2463">
                  <c:v>44631572</c:v>
                </c:pt>
                <c:pt idx="2464">
                  <c:v>2354988</c:v>
                </c:pt>
                <c:pt idx="2465">
                  <c:v>-1717323</c:v>
                </c:pt>
                <c:pt idx="2466">
                  <c:v>-6439124</c:v>
                </c:pt>
                <c:pt idx="2467">
                  <c:v>-10239</c:v>
                </c:pt>
                <c:pt idx="2468">
                  <c:v>-7998060</c:v>
                </c:pt>
                <c:pt idx="2469">
                  <c:v>-7913655</c:v>
                </c:pt>
                <c:pt idx="2470">
                  <c:v>110922370</c:v>
                </c:pt>
                <c:pt idx="2471">
                  <c:v>-13236409</c:v>
                </c:pt>
                <c:pt idx="2472">
                  <c:v>60000942</c:v>
                </c:pt>
                <c:pt idx="2473">
                  <c:v>93952327</c:v>
                </c:pt>
                <c:pt idx="2474">
                  <c:v>44300000</c:v>
                </c:pt>
                <c:pt idx="2475">
                  <c:v>78038276</c:v>
                </c:pt>
                <c:pt idx="2476">
                  <c:v>42369900</c:v>
                </c:pt>
                <c:pt idx="2477">
                  <c:v>48693523</c:v>
                </c:pt>
                <c:pt idx="2478">
                  <c:v>33729374</c:v>
                </c:pt>
                <c:pt idx="2479">
                  <c:v>31726644</c:v>
                </c:pt>
                <c:pt idx="2480">
                  <c:v>31134898</c:v>
                </c:pt>
                <c:pt idx="2481">
                  <c:v>36137684</c:v>
                </c:pt>
                <c:pt idx="2482">
                  <c:v>22176108</c:v>
                </c:pt>
                <c:pt idx="2483">
                  <c:v>15972187</c:v>
                </c:pt>
                <c:pt idx="2484">
                  <c:v>19779400</c:v>
                </c:pt>
                <c:pt idx="2485">
                  <c:v>37257433</c:v>
                </c:pt>
                <c:pt idx="2486">
                  <c:v>-12976053</c:v>
                </c:pt>
                <c:pt idx="2487">
                  <c:v>47008303</c:v>
                </c:pt>
                <c:pt idx="2488">
                  <c:v>36121934</c:v>
                </c:pt>
                <c:pt idx="2489">
                  <c:v>9141959</c:v>
                </c:pt>
                <c:pt idx="2490">
                  <c:v>14052167</c:v>
                </c:pt>
                <c:pt idx="2491">
                  <c:v>13539321</c:v>
                </c:pt>
                <c:pt idx="2492">
                  <c:v>15501605</c:v>
                </c:pt>
                <c:pt idx="2493">
                  <c:v>39343632</c:v>
                </c:pt>
                <c:pt idx="2494">
                  <c:v>7592632</c:v>
                </c:pt>
                <c:pt idx="2495">
                  <c:v>10440971</c:v>
                </c:pt>
                <c:pt idx="2496">
                  <c:v>9858926</c:v>
                </c:pt>
                <c:pt idx="2497">
                  <c:v>16235901</c:v>
                </c:pt>
                <c:pt idx="2498">
                  <c:v>25916903</c:v>
                </c:pt>
                <c:pt idx="2499">
                  <c:v>2929123</c:v>
                </c:pt>
                <c:pt idx="2500">
                  <c:v>-5246069</c:v>
                </c:pt>
                <c:pt idx="2501">
                  <c:v>-2003560</c:v>
                </c:pt>
                <c:pt idx="2502">
                  <c:v>-4973029</c:v>
                </c:pt>
                <c:pt idx="2503">
                  <c:v>1677654</c:v>
                </c:pt>
                <c:pt idx="2504">
                  <c:v>-5118665</c:v>
                </c:pt>
                <c:pt idx="2505">
                  <c:v>-6758303</c:v>
                </c:pt>
                <c:pt idx="2506">
                  <c:v>-7128397</c:v>
                </c:pt>
                <c:pt idx="2507">
                  <c:v>3574731</c:v>
                </c:pt>
                <c:pt idx="2508">
                  <c:v>-7997690</c:v>
                </c:pt>
                <c:pt idx="2509">
                  <c:v>-8080104</c:v>
                </c:pt>
                <c:pt idx="2510">
                  <c:v>12675765</c:v>
                </c:pt>
                <c:pt idx="2511">
                  <c:v>-8142624</c:v>
                </c:pt>
                <c:pt idx="2512">
                  <c:v>-9830576</c:v>
                </c:pt>
                <c:pt idx="2513">
                  <c:v>5004225</c:v>
                </c:pt>
                <c:pt idx="2514">
                  <c:v>-96941620</c:v>
                </c:pt>
                <c:pt idx="2515">
                  <c:v>-7925162</c:v>
                </c:pt>
                <c:pt idx="2516">
                  <c:v>-10896000</c:v>
                </c:pt>
                <c:pt idx="2517">
                  <c:v>-11827231</c:v>
                </c:pt>
                <c:pt idx="2518">
                  <c:v>4738570</c:v>
                </c:pt>
                <c:pt idx="2519">
                  <c:v>-1800000</c:v>
                </c:pt>
                <c:pt idx="2520">
                  <c:v>-11849597</c:v>
                </c:pt>
                <c:pt idx="2521">
                  <c:v>-19596068</c:v>
                </c:pt>
                <c:pt idx="2522">
                  <c:v>-6782889</c:v>
                </c:pt>
                <c:pt idx="2523">
                  <c:v>-11975825</c:v>
                </c:pt>
                <c:pt idx="2524">
                  <c:v>-12698695</c:v>
                </c:pt>
                <c:pt idx="2525">
                  <c:v>38872378</c:v>
                </c:pt>
                <c:pt idx="2526">
                  <c:v>-12588338</c:v>
                </c:pt>
                <c:pt idx="2527">
                  <c:v>15399192</c:v>
                </c:pt>
                <c:pt idx="2528">
                  <c:v>-10964434</c:v>
                </c:pt>
                <c:pt idx="2529">
                  <c:v>8578145</c:v>
                </c:pt>
                <c:pt idx="2530">
                  <c:v>1560950</c:v>
                </c:pt>
                <c:pt idx="2531">
                  <c:v>-718500</c:v>
                </c:pt>
                <c:pt idx="2532">
                  <c:v>-1774772</c:v>
                </c:pt>
                <c:pt idx="2533">
                  <c:v>-12785034</c:v>
                </c:pt>
                <c:pt idx="2534">
                  <c:v>-4043793</c:v>
                </c:pt>
                <c:pt idx="2535">
                  <c:v>-6050307</c:v>
                </c:pt>
                <c:pt idx="2536">
                  <c:v>-3469419</c:v>
                </c:pt>
                <c:pt idx="2537">
                  <c:v>-8642509</c:v>
                </c:pt>
                <c:pt idx="2538">
                  <c:v>-14491311</c:v>
                </c:pt>
                <c:pt idx="2539">
                  <c:v>-11272676</c:v>
                </c:pt>
                <c:pt idx="2540">
                  <c:v>-10639452</c:v>
                </c:pt>
                <c:pt idx="2541">
                  <c:v>16089953</c:v>
                </c:pt>
                <c:pt idx="2542">
                  <c:v>-13960131</c:v>
                </c:pt>
                <c:pt idx="2543">
                  <c:v>35592846</c:v>
                </c:pt>
                <c:pt idx="2544">
                  <c:v>-11689814</c:v>
                </c:pt>
                <c:pt idx="2545">
                  <c:v>196565000</c:v>
                </c:pt>
                <c:pt idx="2546">
                  <c:v>252000000</c:v>
                </c:pt>
                <c:pt idx="2547">
                  <c:v>90736215</c:v>
                </c:pt>
                <c:pt idx="2548">
                  <c:v>-9528558</c:v>
                </c:pt>
                <c:pt idx="2549">
                  <c:v>54817937</c:v>
                </c:pt>
                <c:pt idx="2550">
                  <c:v>79547205</c:v>
                </c:pt>
                <c:pt idx="2551">
                  <c:v>63074950</c:v>
                </c:pt>
                <c:pt idx="2552">
                  <c:v>67900000</c:v>
                </c:pt>
                <c:pt idx="2553">
                  <c:v>60217000</c:v>
                </c:pt>
                <c:pt idx="2554">
                  <c:v>67568000</c:v>
                </c:pt>
                <c:pt idx="2555">
                  <c:v>53500000</c:v>
                </c:pt>
                <c:pt idx="2556">
                  <c:v>58011073</c:v>
                </c:pt>
                <c:pt idx="2557">
                  <c:v>53269010</c:v>
                </c:pt>
                <c:pt idx="2558">
                  <c:v>51071133</c:v>
                </c:pt>
                <c:pt idx="2559">
                  <c:v>26087366</c:v>
                </c:pt>
                <c:pt idx="2560">
                  <c:v>52572496</c:v>
                </c:pt>
                <c:pt idx="2561">
                  <c:v>18400000</c:v>
                </c:pt>
                <c:pt idx="2562">
                  <c:v>37365600</c:v>
                </c:pt>
                <c:pt idx="2563">
                  <c:v>25188667</c:v>
                </c:pt>
                <c:pt idx="2564">
                  <c:v>42724272</c:v>
                </c:pt>
                <c:pt idx="2565">
                  <c:v>19597131</c:v>
                </c:pt>
                <c:pt idx="2566">
                  <c:v>19691811</c:v>
                </c:pt>
                <c:pt idx="2567">
                  <c:v>19397498</c:v>
                </c:pt>
                <c:pt idx="2568">
                  <c:v>19179516</c:v>
                </c:pt>
                <c:pt idx="2569">
                  <c:v>19155435</c:v>
                </c:pt>
                <c:pt idx="2570">
                  <c:v>15281507</c:v>
                </c:pt>
                <c:pt idx="2571">
                  <c:v>13776062</c:v>
                </c:pt>
                <c:pt idx="2572">
                  <c:v>13240988</c:v>
                </c:pt>
                <c:pt idx="2573">
                  <c:v>112868837</c:v>
                </c:pt>
                <c:pt idx="2574">
                  <c:v>10905674</c:v>
                </c:pt>
                <c:pt idx="2575">
                  <c:v>13277561</c:v>
                </c:pt>
                <c:pt idx="2576">
                  <c:v>9133087</c:v>
                </c:pt>
                <c:pt idx="2577">
                  <c:v>25707719</c:v>
                </c:pt>
                <c:pt idx="2578">
                  <c:v>9761993</c:v>
                </c:pt>
                <c:pt idx="2579">
                  <c:v>6595716</c:v>
                </c:pt>
                <c:pt idx="2580">
                  <c:v>19990064</c:v>
                </c:pt>
                <c:pt idx="2581">
                  <c:v>5613460</c:v>
                </c:pt>
                <c:pt idx="2582">
                  <c:v>8088568</c:v>
                </c:pt>
                <c:pt idx="2583">
                  <c:v>5292381</c:v>
                </c:pt>
                <c:pt idx="2584">
                  <c:v>4300302</c:v>
                </c:pt>
                <c:pt idx="2585">
                  <c:v>15829874</c:v>
                </c:pt>
                <c:pt idx="2586">
                  <c:v>902790</c:v>
                </c:pt>
                <c:pt idx="2587">
                  <c:v>-2566866</c:v>
                </c:pt>
                <c:pt idx="2588">
                  <c:v>-1801234</c:v>
                </c:pt>
                <c:pt idx="2589">
                  <c:v>3294553</c:v>
                </c:pt>
                <c:pt idx="2590">
                  <c:v>-88958772</c:v>
                </c:pt>
                <c:pt idx="2591">
                  <c:v>-4081717</c:v>
                </c:pt>
                <c:pt idx="2592">
                  <c:v>10331028</c:v>
                </c:pt>
                <c:pt idx="2593">
                  <c:v>-3865783</c:v>
                </c:pt>
                <c:pt idx="2594">
                  <c:v>-3017320</c:v>
                </c:pt>
                <c:pt idx="2595">
                  <c:v>-1260859</c:v>
                </c:pt>
                <c:pt idx="2596">
                  <c:v>-6457975</c:v>
                </c:pt>
                <c:pt idx="2597">
                  <c:v>-6967504</c:v>
                </c:pt>
                <c:pt idx="2598">
                  <c:v>-5245102</c:v>
                </c:pt>
                <c:pt idx="2599">
                  <c:v>-7077834</c:v>
                </c:pt>
                <c:pt idx="2600">
                  <c:v>-7097000</c:v>
                </c:pt>
                <c:pt idx="2601">
                  <c:v>-7282545</c:v>
                </c:pt>
                <c:pt idx="2602">
                  <c:v>-8851518</c:v>
                </c:pt>
                <c:pt idx="2603">
                  <c:v>-9673593</c:v>
                </c:pt>
                <c:pt idx="2604">
                  <c:v>-12213298588</c:v>
                </c:pt>
                <c:pt idx="2605">
                  <c:v>-9939047</c:v>
                </c:pt>
                <c:pt idx="2606">
                  <c:v>-8049706</c:v>
                </c:pt>
                <c:pt idx="2607">
                  <c:v>-6364114</c:v>
                </c:pt>
                <c:pt idx="2608">
                  <c:v>-10220716</c:v>
                </c:pt>
                <c:pt idx="2609">
                  <c:v>-10297723</c:v>
                </c:pt>
                <c:pt idx="2610">
                  <c:v>-11738519</c:v>
                </c:pt>
                <c:pt idx="2611">
                  <c:v>-10493002</c:v>
                </c:pt>
                <c:pt idx="2612">
                  <c:v>-11139998</c:v>
                </c:pt>
                <c:pt idx="2613">
                  <c:v>-11451066</c:v>
                </c:pt>
                <c:pt idx="2614">
                  <c:v>-9552250</c:v>
                </c:pt>
                <c:pt idx="2615">
                  <c:v>-11666024</c:v>
                </c:pt>
                <c:pt idx="2616">
                  <c:v>-11858147</c:v>
                </c:pt>
                <c:pt idx="2617">
                  <c:v>-7696561</c:v>
                </c:pt>
                <c:pt idx="2618">
                  <c:v>-11785798</c:v>
                </c:pt>
                <c:pt idx="2619">
                  <c:v>-2499804112</c:v>
                </c:pt>
                <c:pt idx="2620">
                  <c:v>-11824630</c:v>
                </c:pt>
                <c:pt idx="2621">
                  <c:v>-11880078</c:v>
                </c:pt>
                <c:pt idx="2622">
                  <c:v>-19982851</c:v>
                </c:pt>
                <c:pt idx="2623">
                  <c:v>-11985384</c:v>
                </c:pt>
                <c:pt idx="2624">
                  <c:v>79443253</c:v>
                </c:pt>
                <c:pt idx="2625">
                  <c:v>24093107</c:v>
                </c:pt>
                <c:pt idx="2626">
                  <c:v>45969179</c:v>
                </c:pt>
                <c:pt idx="2627">
                  <c:v>-11851144</c:v>
                </c:pt>
                <c:pt idx="2628">
                  <c:v>137170000</c:v>
                </c:pt>
                <c:pt idx="2629">
                  <c:v>449935665</c:v>
                </c:pt>
                <c:pt idx="2630">
                  <c:v>24037564</c:v>
                </c:pt>
                <c:pt idx="2631">
                  <c:v>100722000</c:v>
                </c:pt>
                <c:pt idx="2632">
                  <c:v>79556401</c:v>
                </c:pt>
                <c:pt idx="2633">
                  <c:v>68571803</c:v>
                </c:pt>
                <c:pt idx="2634">
                  <c:v>41929168</c:v>
                </c:pt>
                <c:pt idx="2635">
                  <c:v>39461335</c:v>
                </c:pt>
                <c:pt idx="2636">
                  <c:v>38797148</c:v>
                </c:pt>
                <c:pt idx="2637">
                  <c:v>33563158</c:v>
                </c:pt>
                <c:pt idx="2638">
                  <c:v>30227069</c:v>
                </c:pt>
                <c:pt idx="2639">
                  <c:v>28025000</c:v>
                </c:pt>
                <c:pt idx="2640">
                  <c:v>27701895</c:v>
                </c:pt>
                <c:pt idx="2641">
                  <c:v>16669413</c:v>
                </c:pt>
                <c:pt idx="2642">
                  <c:v>26766350</c:v>
                </c:pt>
                <c:pt idx="2643">
                  <c:v>12978402</c:v>
                </c:pt>
                <c:pt idx="2644">
                  <c:v>9370057</c:v>
                </c:pt>
                <c:pt idx="2645">
                  <c:v>-7115337</c:v>
                </c:pt>
                <c:pt idx="2646">
                  <c:v>27317535</c:v>
                </c:pt>
                <c:pt idx="2647">
                  <c:v>2903262</c:v>
                </c:pt>
                <c:pt idx="2648">
                  <c:v>2592872</c:v>
                </c:pt>
                <c:pt idx="2649">
                  <c:v>7381787</c:v>
                </c:pt>
                <c:pt idx="2650">
                  <c:v>2558739</c:v>
                </c:pt>
                <c:pt idx="2651">
                  <c:v>22305037</c:v>
                </c:pt>
                <c:pt idx="2652">
                  <c:v>-785353</c:v>
                </c:pt>
                <c:pt idx="2653">
                  <c:v>-1498907</c:v>
                </c:pt>
                <c:pt idx="2654">
                  <c:v>-6185756</c:v>
                </c:pt>
                <c:pt idx="2655">
                  <c:v>-1829786</c:v>
                </c:pt>
                <c:pt idx="2656">
                  <c:v>-12931913</c:v>
                </c:pt>
                <c:pt idx="2657">
                  <c:v>-7246194</c:v>
                </c:pt>
                <c:pt idx="2658">
                  <c:v>-7965819</c:v>
                </c:pt>
                <c:pt idx="2659">
                  <c:v>-8167174</c:v>
                </c:pt>
                <c:pt idx="2660">
                  <c:v>2214255</c:v>
                </c:pt>
                <c:pt idx="2661">
                  <c:v>11017403</c:v>
                </c:pt>
                <c:pt idx="2662">
                  <c:v>-8192146</c:v>
                </c:pt>
                <c:pt idx="2663">
                  <c:v>-10647214</c:v>
                </c:pt>
                <c:pt idx="2664">
                  <c:v>45929973</c:v>
                </c:pt>
                <c:pt idx="2665">
                  <c:v>-14600121</c:v>
                </c:pt>
                <c:pt idx="2666">
                  <c:v>-696724557</c:v>
                </c:pt>
                <c:pt idx="2667">
                  <c:v>4535191</c:v>
                </c:pt>
                <c:pt idx="2668">
                  <c:v>-6976162</c:v>
                </c:pt>
                <c:pt idx="2669">
                  <c:v>11560085</c:v>
                </c:pt>
                <c:pt idx="2670">
                  <c:v>44715371</c:v>
                </c:pt>
                <c:pt idx="2671">
                  <c:v>424449459</c:v>
                </c:pt>
                <c:pt idx="2672">
                  <c:v>1043445</c:v>
                </c:pt>
                <c:pt idx="2673">
                  <c:v>-10374831</c:v>
                </c:pt>
                <c:pt idx="2674">
                  <c:v>-5149694</c:v>
                </c:pt>
                <c:pt idx="2675">
                  <c:v>70150343</c:v>
                </c:pt>
                <c:pt idx="2676">
                  <c:v>75300000</c:v>
                </c:pt>
                <c:pt idx="2677">
                  <c:v>58353550</c:v>
                </c:pt>
                <c:pt idx="2678">
                  <c:v>68845130</c:v>
                </c:pt>
                <c:pt idx="2679">
                  <c:v>53319509</c:v>
                </c:pt>
                <c:pt idx="2680">
                  <c:v>53270259</c:v>
                </c:pt>
                <c:pt idx="2681">
                  <c:v>45865715</c:v>
                </c:pt>
                <c:pt idx="2682">
                  <c:v>57231524</c:v>
                </c:pt>
                <c:pt idx="2683">
                  <c:v>38493982</c:v>
                </c:pt>
                <c:pt idx="2684">
                  <c:v>40752337</c:v>
                </c:pt>
                <c:pt idx="2685">
                  <c:v>100175871</c:v>
                </c:pt>
                <c:pt idx="2686">
                  <c:v>26624000</c:v>
                </c:pt>
                <c:pt idx="2687">
                  <c:v>27470017</c:v>
                </c:pt>
                <c:pt idx="2688">
                  <c:v>30485039</c:v>
                </c:pt>
                <c:pt idx="2689">
                  <c:v>6800000</c:v>
                </c:pt>
                <c:pt idx="2690">
                  <c:v>36377022</c:v>
                </c:pt>
                <c:pt idx="2691">
                  <c:v>13696761</c:v>
                </c:pt>
                <c:pt idx="2692">
                  <c:v>23894477</c:v>
                </c:pt>
                <c:pt idx="2693">
                  <c:v>25794166</c:v>
                </c:pt>
                <c:pt idx="2694">
                  <c:v>23583175</c:v>
                </c:pt>
                <c:pt idx="2695">
                  <c:v>12983713</c:v>
                </c:pt>
                <c:pt idx="2696">
                  <c:v>42200504</c:v>
                </c:pt>
                <c:pt idx="2697">
                  <c:v>23000000</c:v>
                </c:pt>
                <c:pt idx="2698">
                  <c:v>22101000</c:v>
                </c:pt>
                <c:pt idx="2699">
                  <c:v>22487293</c:v>
                </c:pt>
                <c:pt idx="2700">
                  <c:v>20651422</c:v>
                </c:pt>
                <c:pt idx="2701">
                  <c:v>20306281</c:v>
                </c:pt>
                <c:pt idx="2702">
                  <c:v>19500000</c:v>
                </c:pt>
                <c:pt idx="2703">
                  <c:v>13050028</c:v>
                </c:pt>
                <c:pt idx="2704">
                  <c:v>19392418</c:v>
                </c:pt>
                <c:pt idx="2705">
                  <c:v>20063926</c:v>
                </c:pt>
                <c:pt idx="2706">
                  <c:v>16435406</c:v>
                </c:pt>
                <c:pt idx="2707">
                  <c:v>15339117</c:v>
                </c:pt>
                <c:pt idx="2708">
                  <c:v>15600000</c:v>
                </c:pt>
                <c:pt idx="2709">
                  <c:v>17736779</c:v>
                </c:pt>
                <c:pt idx="2710">
                  <c:v>7397469</c:v>
                </c:pt>
                <c:pt idx="2711">
                  <c:v>10384136</c:v>
                </c:pt>
                <c:pt idx="2712">
                  <c:v>15464480</c:v>
                </c:pt>
                <c:pt idx="2713">
                  <c:v>10338609</c:v>
                </c:pt>
                <c:pt idx="2714">
                  <c:v>8272447</c:v>
                </c:pt>
                <c:pt idx="2715">
                  <c:v>8096053</c:v>
                </c:pt>
                <c:pt idx="2716">
                  <c:v>11371425</c:v>
                </c:pt>
                <c:pt idx="2717">
                  <c:v>23071558</c:v>
                </c:pt>
                <c:pt idx="2718">
                  <c:v>7655201</c:v>
                </c:pt>
                <c:pt idx="2719">
                  <c:v>-8752225</c:v>
                </c:pt>
                <c:pt idx="2720">
                  <c:v>6153600</c:v>
                </c:pt>
                <c:pt idx="2721">
                  <c:v>6033556</c:v>
                </c:pt>
                <c:pt idx="2722">
                  <c:v>2817771</c:v>
                </c:pt>
                <c:pt idx="2723">
                  <c:v>-14843800</c:v>
                </c:pt>
                <c:pt idx="2724">
                  <c:v>11589307</c:v>
                </c:pt>
                <c:pt idx="2725">
                  <c:v>10339754</c:v>
                </c:pt>
                <c:pt idx="2726">
                  <c:v>18873374</c:v>
                </c:pt>
                <c:pt idx="2727">
                  <c:v>10684949</c:v>
                </c:pt>
                <c:pt idx="2728">
                  <c:v>8197405</c:v>
                </c:pt>
                <c:pt idx="2729">
                  <c:v>2570442</c:v>
                </c:pt>
                <c:pt idx="2730">
                  <c:v>2514138</c:v>
                </c:pt>
                <c:pt idx="2731">
                  <c:v>38771291</c:v>
                </c:pt>
                <c:pt idx="2732">
                  <c:v>1703287</c:v>
                </c:pt>
                <c:pt idx="2733">
                  <c:v>-10439741</c:v>
                </c:pt>
                <c:pt idx="2734">
                  <c:v>824921</c:v>
                </c:pt>
                <c:pt idx="2735">
                  <c:v>561238</c:v>
                </c:pt>
                <c:pt idx="2736">
                  <c:v>4479776</c:v>
                </c:pt>
                <c:pt idx="2737">
                  <c:v>-198218</c:v>
                </c:pt>
                <c:pt idx="2738">
                  <c:v>-1929689</c:v>
                </c:pt>
                <c:pt idx="2739">
                  <c:v>-1539005</c:v>
                </c:pt>
                <c:pt idx="2740">
                  <c:v>-1888640</c:v>
                </c:pt>
                <c:pt idx="2741">
                  <c:v>2828771</c:v>
                </c:pt>
                <c:pt idx="2742">
                  <c:v>-2436330</c:v>
                </c:pt>
                <c:pt idx="2743">
                  <c:v>-3380827</c:v>
                </c:pt>
                <c:pt idx="2744">
                  <c:v>-787759</c:v>
                </c:pt>
                <c:pt idx="2745">
                  <c:v>-3157942</c:v>
                </c:pt>
                <c:pt idx="2746">
                  <c:v>-3508650</c:v>
                </c:pt>
                <c:pt idx="2747">
                  <c:v>-526618</c:v>
                </c:pt>
                <c:pt idx="2748">
                  <c:v>-3802134</c:v>
                </c:pt>
                <c:pt idx="2749">
                  <c:v>-3955382</c:v>
                </c:pt>
                <c:pt idx="2750">
                  <c:v>-2235973</c:v>
                </c:pt>
                <c:pt idx="2751">
                  <c:v>12569041</c:v>
                </c:pt>
                <c:pt idx="2752">
                  <c:v>-11643257</c:v>
                </c:pt>
                <c:pt idx="2753">
                  <c:v>-4515625</c:v>
                </c:pt>
                <c:pt idx="2754">
                  <c:v>-4651683</c:v>
                </c:pt>
                <c:pt idx="2755">
                  <c:v>-5755845</c:v>
                </c:pt>
                <c:pt idx="2756">
                  <c:v>-4995352</c:v>
                </c:pt>
                <c:pt idx="2757">
                  <c:v>-6666177</c:v>
                </c:pt>
                <c:pt idx="2758">
                  <c:v>-8224415</c:v>
                </c:pt>
                <c:pt idx="2759">
                  <c:v>-5806898</c:v>
                </c:pt>
                <c:pt idx="2760">
                  <c:v>48057348</c:v>
                </c:pt>
                <c:pt idx="2761">
                  <c:v>-6958197</c:v>
                </c:pt>
                <c:pt idx="2762">
                  <c:v>-6939142</c:v>
                </c:pt>
                <c:pt idx="2763">
                  <c:v>-8944346</c:v>
                </c:pt>
                <c:pt idx="2764">
                  <c:v>-7668682</c:v>
                </c:pt>
                <c:pt idx="2765">
                  <c:v>-7814734</c:v>
                </c:pt>
                <c:pt idx="2766">
                  <c:v>16583369</c:v>
                </c:pt>
                <c:pt idx="2767">
                  <c:v>-13200000</c:v>
                </c:pt>
                <c:pt idx="2768">
                  <c:v>-2425934</c:v>
                </c:pt>
                <c:pt idx="2769">
                  <c:v>-8245681</c:v>
                </c:pt>
                <c:pt idx="2770">
                  <c:v>-8368161</c:v>
                </c:pt>
                <c:pt idx="2771">
                  <c:v>-8690151</c:v>
                </c:pt>
                <c:pt idx="2772">
                  <c:v>-8060559</c:v>
                </c:pt>
                <c:pt idx="2773">
                  <c:v>-9012238</c:v>
                </c:pt>
                <c:pt idx="2774">
                  <c:v>-3525492</c:v>
                </c:pt>
                <c:pt idx="2775">
                  <c:v>-8988946</c:v>
                </c:pt>
                <c:pt idx="2776">
                  <c:v>-9099074</c:v>
                </c:pt>
                <c:pt idx="2777">
                  <c:v>-9133222</c:v>
                </c:pt>
                <c:pt idx="2778">
                  <c:v>-9401355</c:v>
                </c:pt>
                <c:pt idx="2779">
                  <c:v>-9421473</c:v>
                </c:pt>
                <c:pt idx="2780">
                  <c:v>-9511128</c:v>
                </c:pt>
                <c:pt idx="2781">
                  <c:v>-9634266</c:v>
                </c:pt>
                <c:pt idx="2782">
                  <c:v>-59768583</c:v>
                </c:pt>
                <c:pt idx="2783">
                  <c:v>-1906509</c:v>
                </c:pt>
                <c:pt idx="2784">
                  <c:v>-3771476</c:v>
                </c:pt>
                <c:pt idx="2785">
                  <c:v>-9773208</c:v>
                </c:pt>
                <c:pt idx="2786">
                  <c:v>-4863568</c:v>
                </c:pt>
                <c:pt idx="2787">
                  <c:v>-9868383</c:v>
                </c:pt>
                <c:pt idx="2788">
                  <c:v>-6073753</c:v>
                </c:pt>
                <c:pt idx="2789">
                  <c:v>-9830621</c:v>
                </c:pt>
                <c:pt idx="2790">
                  <c:v>-9984553</c:v>
                </c:pt>
                <c:pt idx="2791">
                  <c:v>-9980652</c:v>
                </c:pt>
                <c:pt idx="2792">
                  <c:v>-7899497</c:v>
                </c:pt>
                <c:pt idx="2793">
                  <c:v>-4907100</c:v>
                </c:pt>
                <c:pt idx="2794">
                  <c:v>-9994439</c:v>
                </c:pt>
                <c:pt idx="2795">
                  <c:v>-9996393</c:v>
                </c:pt>
                <c:pt idx="2796">
                  <c:v>-6429473</c:v>
                </c:pt>
                <c:pt idx="2797">
                  <c:v>-9988165</c:v>
                </c:pt>
                <c:pt idx="2798">
                  <c:v>-9871514</c:v>
                </c:pt>
                <c:pt idx="2799">
                  <c:v>-7116045</c:v>
                </c:pt>
                <c:pt idx="2800">
                  <c:v>47676582</c:v>
                </c:pt>
                <c:pt idx="2801">
                  <c:v>33600000</c:v>
                </c:pt>
                <c:pt idx="2802">
                  <c:v>-8674623</c:v>
                </c:pt>
                <c:pt idx="2803">
                  <c:v>3614488</c:v>
                </c:pt>
                <c:pt idx="2804">
                  <c:v>36900000</c:v>
                </c:pt>
                <c:pt idx="2805">
                  <c:v>-3400000</c:v>
                </c:pt>
                <c:pt idx="2806">
                  <c:v>-598397534</c:v>
                </c:pt>
                <c:pt idx="2807">
                  <c:v>-4370130</c:v>
                </c:pt>
                <c:pt idx="2808">
                  <c:v>-4170061</c:v>
                </c:pt>
                <c:pt idx="2809">
                  <c:v>67900000</c:v>
                </c:pt>
                <c:pt idx="2810">
                  <c:v>30775468</c:v>
                </c:pt>
                <c:pt idx="2811">
                  <c:v>-6428265</c:v>
                </c:pt>
                <c:pt idx="2812">
                  <c:v>41000000</c:v>
                </c:pt>
                <c:pt idx="2813">
                  <c:v>54600000</c:v>
                </c:pt>
                <c:pt idx="2814">
                  <c:v>27049108</c:v>
                </c:pt>
                <c:pt idx="2815">
                  <c:v>25074895</c:v>
                </c:pt>
                <c:pt idx="2816">
                  <c:v>24244684</c:v>
                </c:pt>
                <c:pt idx="2817">
                  <c:v>15530513</c:v>
                </c:pt>
                <c:pt idx="2818">
                  <c:v>62519230</c:v>
                </c:pt>
                <c:pt idx="2819">
                  <c:v>11035310</c:v>
                </c:pt>
                <c:pt idx="2820">
                  <c:v>9225165</c:v>
                </c:pt>
                <c:pt idx="2821">
                  <c:v>-2195727</c:v>
                </c:pt>
                <c:pt idx="2822">
                  <c:v>8938179</c:v>
                </c:pt>
                <c:pt idx="2823">
                  <c:v>7235293</c:v>
                </c:pt>
                <c:pt idx="2824">
                  <c:v>1161099</c:v>
                </c:pt>
                <c:pt idx="2825">
                  <c:v>-2452144</c:v>
                </c:pt>
                <c:pt idx="2826">
                  <c:v>-4318497</c:v>
                </c:pt>
                <c:pt idx="2827">
                  <c:v>-3649226</c:v>
                </c:pt>
                <c:pt idx="2828">
                  <c:v>-6044961</c:v>
                </c:pt>
                <c:pt idx="2829">
                  <c:v>-7469465</c:v>
                </c:pt>
                <c:pt idx="2830">
                  <c:v>-4118133</c:v>
                </c:pt>
                <c:pt idx="2831">
                  <c:v>2860839</c:v>
                </c:pt>
                <c:pt idx="2832">
                  <c:v>-399545745</c:v>
                </c:pt>
                <c:pt idx="2833">
                  <c:v>-8650382</c:v>
                </c:pt>
                <c:pt idx="2834">
                  <c:v>-8887065</c:v>
                </c:pt>
                <c:pt idx="2835">
                  <c:v>-8116113</c:v>
                </c:pt>
                <c:pt idx="2836">
                  <c:v>-11386249</c:v>
                </c:pt>
                <c:pt idx="2837">
                  <c:v>-44854891</c:v>
                </c:pt>
                <c:pt idx="2838">
                  <c:v>-7953834</c:v>
                </c:pt>
                <c:pt idx="2839">
                  <c:v>165835000</c:v>
                </c:pt>
                <c:pt idx="2840">
                  <c:v>5773825</c:v>
                </c:pt>
                <c:pt idx="2841">
                  <c:v>-8999838</c:v>
                </c:pt>
                <c:pt idx="2842">
                  <c:v>32462438</c:v>
                </c:pt>
                <c:pt idx="2843">
                  <c:v>20700000</c:v>
                </c:pt>
                <c:pt idx="2844">
                  <c:v>13064616</c:v>
                </c:pt>
                <c:pt idx="2845">
                  <c:v>6879556</c:v>
                </c:pt>
                <c:pt idx="2846">
                  <c:v>25517854</c:v>
                </c:pt>
                <c:pt idx="2847">
                  <c:v>-17726628</c:v>
                </c:pt>
                <c:pt idx="2848">
                  <c:v>-4059945</c:v>
                </c:pt>
                <c:pt idx="2849">
                  <c:v>-7981305</c:v>
                </c:pt>
                <c:pt idx="2850">
                  <c:v>-2737058</c:v>
                </c:pt>
                <c:pt idx="2851">
                  <c:v>-6002193</c:v>
                </c:pt>
                <c:pt idx="2852">
                  <c:v>-8359756</c:v>
                </c:pt>
                <c:pt idx="2853">
                  <c:v>99930000</c:v>
                </c:pt>
                <c:pt idx="2854">
                  <c:v>23779955</c:v>
                </c:pt>
                <c:pt idx="2855">
                  <c:v>-3557841</c:v>
                </c:pt>
                <c:pt idx="2856">
                  <c:v>155014286</c:v>
                </c:pt>
                <c:pt idx="2857">
                  <c:v>61800000</c:v>
                </c:pt>
                <c:pt idx="2858">
                  <c:v>51889948</c:v>
                </c:pt>
                <c:pt idx="2859">
                  <c:v>44287414</c:v>
                </c:pt>
                <c:pt idx="2860">
                  <c:v>37063889</c:v>
                </c:pt>
                <c:pt idx="2861">
                  <c:v>32066497</c:v>
                </c:pt>
                <c:pt idx="2862">
                  <c:v>28500000</c:v>
                </c:pt>
                <c:pt idx="2863">
                  <c:v>19362712</c:v>
                </c:pt>
                <c:pt idx="2864">
                  <c:v>26746109</c:v>
                </c:pt>
                <c:pt idx="2865">
                  <c:v>26963967</c:v>
                </c:pt>
                <c:pt idx="2866">
                  <c:v>17926543</c:v>
                </c:pt>
                <c:pt idx="2867">
                  <c:v>18049082</c:v>
                </c:pt>
                <c:pt idx="2868">
                  <c:v>14551000</c:v>
                </c:pt>
                <c:pt idx="2869">
                  <c:v>15800000</c:v>
                </c:pt>
                <c:pt idx="2870">
                  <c:v>10090181</c:v>
                </c:pt>
                <c:pt idx="2871">
                  <c:v>9843379</c:v>
                </c:pt>
                <c:pt idx="2872">
                  <c:v>9278980</c:v>
                </c:pt>
                <c:pt idx="2873">
                  <c:v>8699684</c:v>
                </c:pt>
                <c:pt idx="2874">
                  <c:v>8047419</c:v>
                </c:pt>
                <c:pt idx="2875">
                  <c:v>9015786</c:v>
                </c:pt>
                <c:pt idx="2876">
                  <c:v>2269307</c:v>
                </c:pt>
                <c:pt idx="2877">
                  <c:v>9536788</c:v>
                </c:pt>
                <c:pt idx="2878">
                  <c:v>50401464</c:v>
                </c:pt>
                <c:pt idx="2879">
                  <c:v>279017</c:v>
                </c:pt>
                <c:pt idx="2880">
                  <c:v>2106233</c:v>
                </c:pt>
                <c:pt idx="2881">
                  <c:v>-3307186</c:v>
                </c:pt>
                <c:pt idx="2882">
                  <c:v>-2981550</c:v>
                </c:pt>
                <c:pt idx="2883">
                  <c:v>-4557180</c:v>
                </c:pt>
                <c:pt idx="2884">
                  <c:v>-6794756</c:v>
                </c:pt>
                <c:pt idx="2885">
                  <c:v>-4923575</c:v>
                </c:pt>
                <c:pt idx="2886">
                  <c:v>-5724443</c:v>
                </c:pt>
                <c:pt idx="2887">
                  <c:v>-6210108</c:v>
                </c:pt>
                <c:pt idx="2888">
                  <c:v>-1649942</c:v>
                </c:pt>
                <c:pt idx="2889">
                  <c:v>-6105202</c:v>
                </c:pt>
                <c:pt idx="2890">
                  <c:v>-6928760</c:v>
                </c:pt>
                <c:pt idx="2891">
                  <c:v>-7467810</c:v>
                </c:pt>
                <c:pt idx="2892">
                  <c:v>-5813617</c:v>
                </c:pt>
                <c:pt idx="2893">
                  <c:v>8168741</c:v>
                </c:pt>
                <c:pt idx="2894">
                  <c:v>-7431305</c:v>
                </c:pt>
                <c:pt idx="2895">
                  <c:v>-7601580</c:v>
                </c:pt>
                <c:pt idx="2896">
                  <c:v>-7701890</c:v>
                </c:pt>
                <c:pt idx="2897">
                  <c:v>-7872856</c:v>
                </c:pt>
                <c:pt idx="2898">
                  <c:v>-7882810</c:v>
                </c:pt>
                <c:pt idx="2899">
                  <c:v>-7891338</c:v>
                </c:pt>
                <c:pt idx="2900">
                  <c:v>-7946519</c:v>
                </c:pt>
                <c:pt idx="2901">
                  <c:v>-49976894</c:v>
                </c:pt>
                <c:pt idx="2902">
                  <c:v>-7947039</c:v>
                </c:pt>
                <c:pt idx="2903">
                  <c:v>-1099560838</c:v>
                </c:pt>
                <c:pt idx="2904">
                  <c:v>-7228760</c:v>
                </c:pt>
                <c:pt idx="2905">
                  <c:v>-9117710</c:v>
                </c:pt>
                <c:pt idx="2906">
                  <c:v>99093296</c:v>
                </c:pt>
                <c:pt idx="2907">
                  <c:v>35990057</c:v>
                </c:pt>
                <c:pt idx="2908">
                  <c:v>24833860</c:v>
                </c:pt>
                <c:pt idx="2909">
                  <c:v>18292061</c:v>
                </c:pt>
                <c:pt idx="2910">
                  <c:v>7544812</c:v>
                </c:pt>
                <c:pt idx="2911">
                  <c:v>8074715</c:v>
                </c:pt>
                <c:pt idx="2912">
                  <c:v>-2400000</c:v>
                </c:pt>
                <c:pt idx="2913">
                  <c:v>2960089</c:v>
                </c:pt>
                <c:pt idx="2914">
                  <c:v>-3260233</c:v>
                </c:pt>
                <c:pt idx="2915">
                  <c:v>-3368360</c:v>
                </c:pt>
                <c:pt idx="2916">
                  <c:v>-4152561</c:v>
                </c:pt>
                <c:pt idx="2917">
                  <c:v>2814185</c:v>
                </c:pt>
                <c:pt idx="2918">
                  <c:v>-49793600</c:v>
                </c:pt>
                <c:pt idx="2919">
                  <c:v>-7302852</c:v>
                </c:pt>
                <c:pt idx="2920">
                  <c:v>-4985459</c:v>
                </c:pt>
                <c:pt idx="2921">
                  <c:v>-5127357</c:v>
                </c:pt>
                <c:pt idx="2922">
                  <c:v>-2856597</c:v>
                </c:pt>
                <c:pt idx="2923">
                  <c:v>-5669173</c:v>
                </c:pt>
                <c:pt idx="2924">
                  <c:v>-5481319</c:v>
                </c:pt>
                <c:pt idx="2925">
                  <c:v>5110552</c:v>
                </c:pt>
                <c:pt idx="2926">
                  <c:v>135992840</c:v>
                </c:pt>
                <c:pt idx="2927">
                  <c:v>36600000</c:v>
                </c:pt>
                <c:pt idx="2928">
                  <c:v>128821952</c:v>
                </c:pt>
                <c:pt idx="2929">
                  <c:v>90900000</c:v>
                </c:pt>
                <c:pt idx="2930">
                  <c:v>24891374</c:v>
                </c:pt>
                <c:pt idx="2931">
                  <c:v>33158000</c:v>
                </c:pt>
                <c:pt idx="2932">
                  <c:v>106709992</c:v>
                </c:pt>
                <c:pt idx="2933">
                  <c:v>21131483</c:v>
                </c:pt>
                <c:pt idx="2934">
                  <c:v>28400000</c:v>
                </c:pt>
                <c:pt idx="2935">
                  <c:v>29099640</c:v>
                </c:pt>
                <c:pt idx="2936">
                  <c:v>30695394</c:v>
                </c:pt>
                <c:pt idx="2937">
                  <c:v>24001218</c:v>
                </c:pt>
                <c:pt idx="2938">
                  <c:v>21747570</c:v>
                </c:pt>
                <c:pt idx="2939">
                  <c:v>18625110</c:v>
                </c:pt>
                <c:pt idx="2940">
                  <c:v>16000000</c:v>
                </c:pt>
                <c:pt idx="2941">
                  <c:v>8000000</c:v>
                </c:pt>
                <c:pt idx="2942">
                  <c:v>13257000</c:v>
                </c:pt>
                <c:pt idx="2943">
                  <c:v>22505908</c:v>
                </c:pt>
                <c:pt idx="2944">
                  <c:v>8818967</c:v>
                </c:pt>
                <c:pt idx="2945">
                  <c:v>7891000</c:v>
                </c:pt>
                <c:pt idx="2946">
                  <c:v>9901126</c:v>
                </c:pt>
                <c:pt idx="2947">
                  <c:v>10474107</c:v>
                </c:pt>
                <c:pt idx="2948">
                  <c:v>7003141</c:v>
                </c:pt>
                <c:pt idx="2949">
                  <c:v>5583510</c:v>
                </c:pt>
                <c:pt idx="2950">
                  <c:v>2190525</c:v>
                </c:pt>
                <c:pt idx="2951">
                  <c:v>1676553</c:v>
                </c:pt>
                <c:pt idx="2952">
                  <c:v>2094451</c:v>
                </c:pt>
                <c:pt idx="2953">
                  <c:v>7612840</c:v>
                </c:pt>
                <c:pt idx="2954">
                  <c:v>2166863</c:v>
                </c:pt>
                <c:pt idx="2955">
                  <c:v>1373585</c:v>
                </c:pt>
                <c:pt idx="2956">
                  <c:v>292175</c:v>
                </c:pt>
                <c:pt idx="2957">
                  <c:v>-398921</c:v>
                </c:pt>
                <c:pt idx="2958">
                  <c:v>165429</c:v>
                </c:pt>
                <c:pt idx="2959">
                  <c:v>-1305692</c:v>
                </c:pt>
                <c:pt idx="2960">
                  <c:v>-1569178</c:v>
                </c:pt>
                <c:pt idx="2961">
                  <c:v>-2279629</c:v>
                </c:pt>
                <c:pt idx="2962">
                  <c:v>-4078262</c:v>
                </c:pt>
                <c:pt idx="2963">
                  <c:v>-4655153</c:v>
                </c:pt>
                <c:pt idx="2964">
                  <c:v>455447</c:v>
                </c:pt>
                <c:pt idx="2965">
                  <c:v>-4851788</c:v>
                </c:pt>
                <c:pt idx="2966">
                  <c:v>-4937934</c:v>
                </c:pt>
                <c:pt idx="2967">
                  <c:v>-5345633</c:v>
                </c:pt>
                <c:pt idx="2968">
                  <c:v>-5261308</c:v>
                </c:pt>
                <c:pt idx="2969">
                  <c:v>-5110478</c:v>
                </c:pt>
                <c:pt idx="2970">
                  <c:v>-3714714</c:v>
                </c:pt>
                <c:pt idx="2971">
                  <c:v>-8000000</c:v>
                </c:pt>
                <c:pt idx="2972">
                  <c:v>-49300000</c:v>
                </c:pt>
                <c:pt idx="2973">
                  <c:v>-5231584</c:v>
                </c:pt>
                <c:pt idx="2974">
                  <c:v>-9693285</c:v>
                </c:pt>
                <c:pt idx="2975">
                  <c:v>-6617054</c:v>
                </c:pt>
                <c:pt idx="2976">
                  <c:v>-3263734</c:v>
                </c:pt>
                <c:pt idx="2977">
                  <c:v>-6803933</c:v>
                </c:pt>
                <c:pt idx="2978">
                  <c:v>-6467012</c:v>
                </c:pt>
                <c:pt idx="2979">
                  <c:v>-6546921</c:v>
                </c:pt>
                <c:pt idx="2980">
                  <c:v>-6953549</c:v>
                </c:pt>
                <c:pt idx="2981">
                  <c:v>-6766897</c:v>
                </c:pt>
                <c:pt idx="2982">
                  <c:v>34500000</c:v>
                </c:pt>
                <c:pt idx="2983">
                  <c:v>1093039</c:v>
                </c:pt>
                <c:pt idx="2984">
                  <c:v>-14072893</c:v>
                </c:pt>
                <c:pt idx="2985">
                  <c:v>-6750474</c:v>
                </c:pt>
                <c:pt idx="2986">
                  <c:v>-6789304</c:v>
                </c:pt>
                <c:pt idx="2987">
                  <c:v>24707598</c:v>
                </c:pt>
                <c:pt idx="2988">
                  <c:v>57096</c:v>
                </c:pt>
                <c:pt idx="2989">
                  <c:v>-4776122</c:v>
                </c:pt>
                <c:pt idx="2990">
                  <c:v>-3991940</c:v>
                </c:pt>
                <c:pt idx="2991">
                  <c:v>77763837</c:v>
                </c:pt>
                <c:pt idx="2992">
                  <c:v>-6389971</c:v>
                </c:pt>
                <c:pt idx="2993">
                  <c:v>51504069</c:v>
                </c:pt>
                <c:pt idx="2994">
                  <c:v>47715416</c:v>
                </c:pt>
                <c:pt idx="2995">
                  <c:v>25399000</c:v>
                </c:pt>
                <c:pt idx="2996">
                  <c:v>17603594</c:v>
                </c:pt>
                <c:pt idx="2997">
                  <c:v>10342303</c:v>
                </c:pt>
                <c:pt idx="2998">
                  <c:v>6867101</c:v>
                </c:pt>
                <c:pt idx="2999">
                  <c:v>3649779</c:v>
                </c:pt>
                <c:pt idx="3000">
                  <c:v>-826515</c:v>
                </c:pt>
                <c:pt idx="3001">
                  <c:v>-2499696</c:v>
                </c:pt>
                <c:pt idx="3002">
                  <c:v>-1661305</c:v>
                </c:pt>
                <c:pt idx="3003">
                  <c:v>-4475146</c:v>
                </c:pt>
                <c:pt idx="3004">
                  <c:v>-4231704</c:v>
                </c:pt>
                <c:pt idx="3005">
                  <c:v>-5470983</c:v>
                </c:pt>
                <c:pt idx="3006">
                  <c:v>-6435852</c:v>
                </c:pt>
                <c:pt idx="3007">
                  <c:v>-6433363</c:v>
                </c:pt>
                <c:pt idx="3008">
                  <c:v>-3628423</c:v>
                </c:pt>
                <c:pt idx="3009">
                  <c:v>31900000</c:v>
                </c:pt>
                <c:pt idx="3010">
                  <c:v>-736141</c:v>
                </c:pt>
                <c:pt idx="3011">
                  <c:v>-9550442</c:v>
                </c:pt>
                <c:pt idx="3012">
                  <c:v>-3877439</c:v>
                </c:pt>
                <c:pt idx="3013">
                  <c:v>175360000</c:v>
                </c:pt>
                <c:pt idx="3014">
                  <c:v>131963328</c:v>
                </c:pt>
                <c:pt idx="3015">
                  <c:v>113078393</c:v>
                </c:pt>
                <c:pt idx="3016">
                  <c:v>96308900</c:v>
                </c:pt>
                <c:pt idx="3017">
                  <c:v>96300000</c:v>
                </c:pt>
                <c:pt idx="3018">
                  <c:v>48800000</c:v>
                </c:pt>
                <c:pt idx="3019">
                  <c:v>37650000</c:v>
                </c:pt>
                <c:pt idx="3020">
                  <c:v>33800000</c:v>
                </c:pt>
                <c:pt idx="3021">
                  <c:v>21457409</c:v>
                </c:pt>
                <c:pt idx="3022">
                  <c:v>19047631</c:v>
                </c:pt>
                <c:pt idx="3023">
                  <c:v>17272306</c:v>
                </c:pt>
                <c:pt idx="3024">
                  <c:v>14168359</c:v>
                </c:pt>
                <c:pt idx="3025">
                  <c:v>15005329</c:v>
                </c:pt>
                <c:pt idx="3026">
                  <c:v>20236603</c:v>
                </c:pt>
                <c:pt idx="3027">
                  <c:v>12621249</c:v>
                </c:pt>
                <c:pt idx="3028">
                  <c:v>19244700</c:v>
                </c:pt>
                <c:pt idx="3029">
                  <c:v>8045844</c:v>
                </c:pt>
                <c:pt idx="3030">
                  <c:v>7235267</c:v>
                </c:pt>
                <c:pt idx="3031">
                  <c:v>6793213</c:v>
                </c:pt>
                <c:pt idx="3032">
                  <c:v>2883495</c:v>
                </c:pt>
                <c:pt idx="3033">
                  <c:v>5797927</c:v>
                </c:pt>
                <c:pt idx="3034">
                  <c:v>11605861</c:v>
                </c:pt>
                <c:pt idx="3035">
                  <c:v>8642254</c:v>
                </c:pt>
                <c:pt idx="3036">
                  <c:v>4203192</c:v>
                </c:pt>
                <c:pt idx="3037">
                  <c:v>1518876</c:v>
                </c:pt>
                <c:pt idx="3038">
                  <c:v>2596914</c:v>
                </c:pt>
                <c:pt idx="3039">
                  <c:v>851636</c:v>
                </c:pt>
                <c:pt idx="3040">
                  <c:v>5434867</c:v>
                </c:pt>
                <c:pt idx="3041">
                  <c:v>-104762</c:v>
                </c:pt>
                <c:pt idx="3042">
                  <c:v>670712</c:v>
                </c:pt>
                <c:pt idx="3043">
                  <c:v>-640226</c:v>
                </c:pt>
                <c:pt idx="3044">
                  <c:v>-1806081</c:v>
                </c:pt>
                <c:pt idx="3045">
                  <c:v>-1140525</c:v>
                </c:pt>
                <c:pt idx="3046">
                  <c:v>-1457225</c:v>
                </c:pt>
                <c:pt idx="3047">
                  <c:v>-2411568</c:v>
                </c:pt>
                <c:pt idx="3048">
                  <c:v>-1605064</c:v>
                </c:pt>
                <c:pt idx="3049">
                  <c:v>-2970919</c:v>
                </c:pt>
                <c:pt idx="3050">
                  <c:v>-2726412</c:v>
                </c:pt>
                <c:pt idx="3051">
                  <c:v>-3792025</c:v>
                </c:pt>
                <c:pt idx="3052">
                  <c:v>-3974762</c:v>
                </c:pt>
                <c:pt idx="3053">
                  <c:v>-3922954</c:v>
                </c:pt>
                <c:pt idx="3054">
                  <c:v>-5130675</c:v>
                </c:pt>
                <c:pt idx="3055">
                  <c:v>-5600389</c:v>
                </c:pt>
                <c:pt idx="3056">
                  <c:v>-5884138</c:v>
                </c:pt>
                <c:pt idx="3057">
                  <c:v>-4653497</c:v>
                </c:pt>
                <c:pt idx="3058">
                  <c:v>-5882440</c:v>
                </c:pt>
                <c:pt idx="3059">
                  <c:v>-5945394</c:v>
                </c:pt>
                <c:pt idx="3060">
                  <c:v>-5963503</c:v>
                </c:pt>
                <c:pt idx="3061">
                  <c:v>-11934196</c:v>
                </c:pt>
                <c:pt idx="3062">
                  <c:v>-1404336</c:v>
                </c:pt>
                <c:pt idx="3063">
                  <c:v>-5979800</c:v>
                </c:pt>
                <c:pt idx="3064">
                  <c:v>-3457140</c:v>
                </c:pt>
                <c:pt idx="3065">
                  <c:v>-188094481</c:v>
                </c:pt>
                <c:pt idx="3066">
                  <c:v>29041560</c:v>
                </c:pt>
                <c:pt idx="3067">
                  <c:v>-2535644</c:v>
                </c:pt>
                <c:pt idx="3068">
                  <c:v>1409668</c:v>
                </c:pt>
                <c:pt idx="3069">
                  <c:v>-5572976</c:v>
                </c:pt>
                <c:pt idx="3070">
                  <c:v>154100000</c:v>
                </c:pt>
                <c:pt idx="3071">
                  <c:v>53300000</c:v>
                </c:pt>
                <c:pt idx="3072">
                  <c:v>44882128</c:v>
                </c:pt>
                <c:pt idx="3073">
                  <c:v>30311509</c:v>
                </c:pt>
                <c:pt idx="3074">
                  <c:v>21475193</c:v>
                </c:pt>
                <c:pt idx="3075">
                  <c:v>-799244</c:v>
                </c:pt>
                <c:pt idx="3076">
                  <c:v>-4207881</c:v>
                </c:pt>
                <c:pt idx="3077">
                  <c:v>-1870242</c:v>
                </c:pt>
                <c:pt idx="3078">
                  <c:v>1239558</c:v>
                </c:pt>
                <c:pt idx="3079">
                  <c:v>-3943898</c:v>
                </c:pt>
                <c:pt idx="3080">
                  <c:v>21045445</c:v>
                </c:pt>
                <c:pt idx="3081">
                  <c:v>-5443993</c:v>
                </c:pt>
                <c:pt idx="3082">
                  <c:v>-3238291</c:v>
                </c:pt>
                <c:pt idx="3083">
                  <c:v>-5477230</c:v>
                </c:pt>
                <c:pt idx="3084">
                  <c:v>-8972555</c:v>
                </c:pt>
                <c:pt idx="3085">
                  <c:v>-4483513</c:v>
                </c:pt>
                <c:pt idx="3086">
                  <c:v>-29103248</c:v>
                </c:pt>
                <c:pt idx="3087">
                  <c:v>-5204874</c:v>
                </c:pt>
                <c:pt idx="3088">
                  <c:v>78574831</c:v>
                </c:pt>
                <c:pt idx="3089">
                  <c:v>83025093</c:v>
                </c:pt>
                <c:pt idx="3090">
                  <c:v>56897215</c:v>
                </c:pt>
                <c:pt idx="3091">
                  <c:v>59267897</c:v>
                </c:pt>
                <c:pt idx="3092">
                  <c:v>51636016</c:v>
                </c:pt>
                <c:pt idx="3093">
                  <c:v>99007828</c:v>
                </c:pt>
                <c:pt idx="3094">
                  <c:v>45820940</c:v>
                </c:pt>
                <c:pt idx="3095">
                  <c:v>40293200</c:v>
                </c:pt>
                <c:pt idx="3096">
                  <c:v>39456509</c:v>
                </c:pt>
                <c:pt idx="3097">
                  <c:v>48884821</c:v>
                </c:pt>
                <c:pt idx="3098">
                  <c:v>31000000</c:v>
                </c:pt>
                <c:pt idx="3099">
                  <c:v>26372293</c:v>
                </c:pt>
                <c:pt idx="3100">
                  <c:v>29968224</c:v>
                </c:pt>
                <c:pt idx="3101">
                  <c:v>27453345</c:v>
                </c:pt>
                <c:pt idx="3102">
                  <c:v>22296514</c:v>
                </c:pt>
                <c:pt idx="3103">
                  <c:v>22499043</c:v>
                </c:pt>
                <c:pt idx="3104">
                  <c:v>16530884</c:v>
                </c:pt>
                <c:pt idx="3105">
                  <c:v>22689474</c:v>
                </c:pt>
                <c:pt idx="3106">
                  <c:v>19138847</c:v>
                </c:pt>
                <c:pt idx="3107">
                  <c:v>16994911</c:v>
                </c:pt>
                <c:pt idx="3108">
                  <c:v>16501098</c:v>
                </c:pt>
                <c:pt idx="3109">
                  <c:v>14281235</c:v>
                </c:pt>
                <c:pt idx="3110">
                  <c:v>14421271</c:v>
                </c:pt>
                <c:pt idx="3111">
                  <c:v>15733485</c:v>
                </c:pt>
                <c:pt idx="3112">
                  <c:v>19809547</c:v>
                </c:pt>
                <c:pt idx="3113">
                  <c:v>18531390</c:v>
                </c:pt>
                <c:pt idx="3114">
                  <c:v>16197315</c:v>
                </c:pt>
                <c:pt idx="3115">
                  <c:v>12382982</c:v>
                </c:pt>
                <c:pt idx="3116">
                  <c:v>13656400</c:v>
                </c:pt>
                <c:pt idx="3117">
                  <c:v>9343976</c:v>
                </c:pt>
                <c:pt idx="3118">
                  <c:v>236437427</c:v>
                </c:pt>
                <c:pt idx="3119">
                  <c:v>9123773</c:v>
                </c:pt>
                <c:pt idx="3120">
                  <c:v>10126948</c:v>
                </c:pt>
                <c:pt idx="3121">
                  <c:v>11622333</c:v>
                </c:pt>
                <c:pt idx="3122">
                  <c:v>9464388</c:v>
                </c:pt>
                <c:pt idx="3123">
                  <c:v>8350177</c:v>
                </c:pt>
                <c:pt idx="3124">
                  <c:v>8269963</c:v>
                </c:pt>
                <c:pt idx="3125">
                  <c:v>12768000</c:v>
                </c:pt>
                <c:pt idx="3126">
                  <c:v>7947763</c:v>
                </c:pt>
                <c:pt idx="3127">
                  <c:v>9100000</c:v>
                </c:pt>
                <c:pt idx="3128">
                  <c:v>7200000</c:v>
                </c:pt>
                <c:pt idx="3129">
                  <c:v>12683670</c:v>
                </c:pt>
                <c:pt idx="3130">
                  <c:v>4055108</c:v>
                </c:pt>
                <c:pt idx="3131">
                  <c:v>22285953</c:v>
                </c:pt>
                <c:pt idx="3132">
                  <c:v>6675178</c:v>
                </c:pt>
                <c:pt idx="3133">
                  <c:v>2572742</c:v>
                </c:pt>
                <c:pt idx="3134">
                  <c:v>4658370</c:v>
                </c:pt>
                <c:pt idx="3135">
                  <c:v>4628751</c:v>
                </c:pt>
                <c:pt idx="3136">
                  <c:v>3786715</c:v>
                </c:pt>
                <c:pt idx="3137">
                  <c:v>-2567658</c:v>
                </c:pt>
                <c:pt idx="3138">
                  <c:v>1755271</c:v>
                </c:pt>
                <c:pt idx="3139">
                  <c:v>1157157</c:v>
                </c:pt>
                <c:pt idx="3140">
                  <c:v>480318</c:v>
                </c:pt>
                <c:pt idx="3141">
                  <c:v>308707</c:v>
                </c:pt>
                <c:pt idx="3142">
                  <c:v>9677</c:v>
                </c:pt>
                <c:pt idx="3143">
                  <c:v>-925977</c:v>
                </c:pt>
                <c:pt idx="3144">
                  <c:v>-693303</c:v>
                </c:pt>
                <c:pt idx="3145">
                  <c:v>-49971</c:v>
                </c:pt>
                <c:pt idx="3146">
                  <c:v>-959412</c:v>
                </c:pt>
                <c:pt idx="3147">
                  <c:v>-1950865</c:v>
                </c:pt>
                <c:pt idx="3148">
                  <c:v>-2288790</c:v>
                </c:pt>
                <c:pt idx="3149">
                  <c:v>-3019662</c:v>
                </c:pt>
                <c:pt idx="3150">
                  <c:v>-3917956</c:v>
                </c:pt>
                <c:pt idx="3151">
                  <c:v>-3900000</c:v>
                </c:pt>
                <c:pt idx="3152">
                  <c:v>-2554354</c:v>
                </c:pt>
                <c:pt idx="3153">
                  <c:v>-2778191</c:v>
                </c:pt>
                <c:pt idx="3154">
                  <c:v>-4703335</c:v>
                </c:pt>
                <c:pt idx="3155">
                  <c:v>-1780971</c:v>
                </c:pt>
                <c:pt idx="3156">
                  <c:v>-4169790</c:v>
                </c:pt>
                <c:pt idx="3157">
                  <c:v>-5959121</c:v>
                </c:pt>
                <c:pt idx="3158">
                  <c:v>-4673692</c:v>
                </c:pt>
                <c:pt idx="3159">
                  <c:v>-4875280</c:v>
                </c:pt>
                <c:pt idx="3160">
                  <c:v>-1900853</c:v>
                </c:pt>
                <c:pt idx="3161">
                  <c:v>60069140</c:v>
                </c:pt>
                <c:pt idx="3162">
                  <c:v>-4934913</c:v>
                </c:pt>
                <c:pt idx="3163">
                  <c:v>-4983934</c:v>
                </c:pt>
                <c:pt idx="3164">
                  <c:v>-4962560</c:v>
                </c:pt>
                <c:pt idx="3165">
                  <c:v>-83832772</c:v>
                </c:pt>
                <c:pt idx="3166">
                  <c:v>-3725615</c:v>
                </c:pt>
                <c:pt idx="3167">
                  <c:v>23585416</c:v>
                </c:pt>
                <c:pt idx="3168">
                  <c:v>42477326</c:v>
                </c:pt>
                <c:pt idx="3169">
                  <c:v>-1552547</c:v>
                </c:pt>
                <c:pt idx="3170">
                  <c:v>-3270031</c:v>
                </c:pt>
                <c:pt idx="3171">
                  <c:v>-2994861</c:v>
                </c:pt>
                <c:pt idx="3172">
                  <c:v>3325872</c:v>
                </c:pt>
                <c:pt idx="3173">
                  <c:v>-4021435</c:v>
                </c:pt>
                <c:pt idx="3174">
                  <c:v>-4086164</c:v>
                </c:pt>
                <c:pt idx="3175">
                  <c:v>-4165583</c:v>
                </c:pt>
                <c:pt idx="3176">
                  <c:v>76700000</c:v>
                </c:pt>
                <c:pt idx="3177">
                  <c:v>48200832</c:v>
                </c:pt>
                <c:pt idx="3178">
                  <c:v>-1939157</c:v>
                </c:pt>
                <c:pt idx="3179">
                  <c:v>-701468</c:v>
                </c:pt>
                <c:pt idx="3180">
                  <c:v>-890722</c:v>
                </c:pt>
                <c:pt idx="3181">
                  <c:v>-698312689</c:v>
                </c:pt>
                <c:pt idx="3182">
                  <c:v>5429707</c:v>
                </c:pt>
                <c:pt idx="3183">
                  <c:v>-3772117</c:v>
                </c:pt>
                <c:pt idx="3184">
                  <c:v>-3786587</c:v>
                </c:pt>
                <c:pt idx="3185">
                  <c:v>-1589759</c:v>
                </c:pt>
                <c:pt idx="3186">
                  <c:v>-4199788333</c:v>
                </c:pt>
                <c:pt idx="3187">
                  <c:v>-2407809</c:v>
                </c:pt>
                <c:pt idx="3188">
                  <c:v>-34950587</c:v>
                </c:pt>
                <c:pt idx="3189">
                  <c:v>-4391771</c:v>
                </c:pt>
                <c:pt idx="3190">
                  <c:v>107600000</c:v>
                </c:pt>
                <c:pt idx="3191">
                  <c:v>-4491309</c:v>
                </c:pt>
                <c:pt idx="3192">
                  <c:v>-2973655</c:v>
                </c:pt>
                <c:pt idx="3193">
                  <c:v>14772796</c:v>
                </c:pt>
                <c:pt idx="3194">
                  <c:v>-149800772</c:v>
                </c:pt>
                <c:pt idx="3195">
                  <c:v>-2712523</c:v>
                </c:pt>
                <c:pt idx="3196">
                  <c:v>60249000</c:v>
                </c:pt>
                <c:pt idx="3197">
                  <c:v>101500000</c:v>
                </c:pt>
                <c:pt idx="3198">
                  <c:v>-3898945</c:v>
                </c:pt>
                <c:pt idx="3199">
                  <c:v>40566004</c:v>
                </c:pt>
                <c:pt idx="3200">
                  <c:v>35200000</c:v>
                </c:pt>
                <c:pt idx="3201">
                  <c:v>32000000</c:v>
                </c:pt>
                <c:pt idx="3202">
                  <c:v>27252964</c:v>
                </c:pt>
                <c:pt idx="3203">
                  <c:v>-8368825</c:v>
                </c:pt>
                <c:pt idx="3204">
                  <c:v>28368347</c:v>
                </c:pt>
                <c:pt idx="3205">
                  <c:v>31385560</c:v>
                </c:pt>
                <c:pt idx="3206">
                  <c:v>17303237</c:v>
                </c:pt>
                <c:pt idx="3207">
                  <c:v>9008928</c:v>
                </c:pt>
                <c:pt idx="3208">
                  <c:v>10152879</c:v>
                </c:pt>
                <c:pt idx="3209">
                  <c:v>21359200</c:v>
                </c:pt>
                <c:pt idx="3210">
                  <c:v>6515579</c:v>
                </c:pt>
                <c:pt idx="3211">
                  <c:v>6097096</c:v>
                </c:pt>
                <c:pt idx="3212">
                  <c:v>3821335</c:v>
                </c:pt>
                <c:pt idx="3213">
                  <c:v>5043880</c:v>
                </c:pt>
                <c:pt idx="3214">
                  <c:v>3825820</c:v>
                </c:pt>
                <c:pt idx="3215">
                  <c:v>3759147</c:v>
                </c:pt>
                <c:pt idx="3216">
                  <c:v>13314483</c:v>
                </c:pt>
                <c:pt idx="3217">
                  <c:v>2525762</c:v>
                </c:pt>
                <c:pt idx="3218">
                  <c:v>301331</c:v>
                </c:pt>
                <c:pt idx="3219">
                  <c:v>46737</c:v>
                </c:pt>
                <c:pt idx="3220">
                  <c:v>-4286998</c:v>
                </c:pt>
                <c:pt idx="3221">
                  <c:v>-531428</c:v>
                </c:pt>
                <c:pt idx="3222">
                  <c:v>-1107418</c:v>
                </c:pt>
                <c:pt idx="3223">
                  <c:v>-1200000</c:v>
                </c:pt>
                <c:pt idx="3224">
                  <c:v>-1573149</c:v>
                </c:pt>
                <c:pt idx="3225">
                  <c:v>-2674927</c:v>
                </c:pt>
                <c:pt idx="3226">
                  <c:v>-3135041</c:v>
                </c:pt>
                <c:pt idx="3227">
                  <c:v>-1398153</c:v>
                </c:pt>
                <c:pt idx="3228">
                  <c:v>-3200000</c:v>
                </c:pt>
                <c:pt idx="3229">
                  <c:v>-3437941</c:v>
                </c:pt>
                <c:pt idx="3230">
                  <c:v>-3600207</c:v>
                </c:pt>
                <c:pt idx="3231">
                  <c:v>-3628103</c:v>
                </c:pt>
                <c:pt idx="3232">
                  <c:v>-2697796</c:v>
                </c:pt>
                <c:pt idx="3233">
                  <c:v>-945296</c:v>
                </c:pt>
                <c:pt idx="3234">
                  <c:v>-1234893</c:v>
                </c:pt>
                <c:pt idx="3235">
                  <c:v>-3814423</c:v>
                </c:pt>
                <c:pt idx="3236">
                  <c:v>-3899588</c:v>
                </c:pt>
                <c:pt idx="3237">
                  <c:v>-9441786</c:v>
                </c:pt>
                <c:pt idx="3238">
                  <c:v>-13924922</c:v>
                </c:pt>
                <c:pt idx="3239">
                  <c:v>-2435641</c:v>
                </c:pt>
                <c:pt idx="3240">
                  <c:v>-15682875</c:v>
                </c:pt>
                <c:pt idx="3241">
                  <c:v>-3853598</c:v>
                </c:pt>
                <c:pt idx="3242">
                  <c:v>-631531</c:v>
                </c:pt>
                <c:pt idx="3243">
                  <c:v>-3979738</c:v>
                </c:pt>
                <c:pt idx="3244">
                  <c:v>-3995937</c:v>
                </c:pt>
                <c:pt idx="3245">
                  <c:v>194678278</c:v>
                </c:pt>
                <c:pt idx="3246">
                  <c:v>-3856347</c:v>
                </c:pt>
                <c:pt idx="3247">
                  <c:v>-3785127</c:v>
                </c:pt>
                <c:pt idx="3248">
                  <c:v>4231215</c:v>
                </c:pt>
                <c:pt idx="3249">
                  <c:v>-3462394</c:v>
                </c:pt>
                <c:pt idx="3250">
                  <c:v>-744000</c:v>
                </c:pt>
                <c:pt idx="3251">
                  <c:v>-3780041</c:v>
                </c:pt>
                <c:pt idx="3252">
                  <c:v>706659</c:v>
                </c:pt>
                <c:pt idx="3253">
                  <c:v>42357453</c:v>
                </c:pt>
                <c:pt idx="3254">
                  <c:v>79900000</c:v>
                </c:pt>
                <c:pt idx="3255">
                  <c:v>24400000</c:v>
                </c:pt>
                <c:pt idx="3256">
                  <c:v>24400000</c:v>
                </c:pt>
                <c:pt idx="3257">
                  <c:v>10500000</c:v>
                </c:pt>
                <c:pt idx="3258">
                  <c:v>21638292</c:v>
                </c:pt>
                <c:pt idx="3259">
                  <c:v>6805534</c:v>
                </c:pt>
                <c:pt idx="3260">
                  <c:v>5949219</c:v>
                </c:pt>
                <c:pt idx="3261">
                  <c:v>2890032</c:v>
                </c:pt>
                <c:pt idx="3262">
                  <c:v>18167424</c:v>
                </c:pt>
                <c:pt idx="3263">
                  <c:v>2323044</c:v>
                </c:pt>
                <c:pt idx="3264">
                  <c:v>293258</c:v>
                </c:pt>
                <c:pt idx="3265">
                  <c:v>-2613590</c:v>
                </c:pt>
                <c:pt idx="3266">
                  <c:v>-19647348</c:v>
                </c:pt>
                <c:pt idx="3267">
                  <c:v>-3279766</c:v>
                </c:pt>
                <c:pt idx="3268">
                  <c:v>-3403207</c:v>
                </c:pt>
                <c:pt idx="3269">
                  <c:v>-3376223</c:v>
                </c:pt>
                <c:pt idx="3270">
                  <c:v>-3470767</c:v>
                </c:pt>
                <c:pt idx="3271">
                  <c:v>69413017</c:v>
                </c:pt>
                <c:pt idx="3272">
                  <c:v>1854039</c:v>
                </c:pt>
                <c:pt idx="3273">
                  <c:v>-73435</c:v>
                </c:pt>
                <c:pt idx="3274">
                  <c:v>9792000</c:v>
                </c:pt>
                <c:pt idx="3275">
                  <c:v>4263397</c:v>
                </c:pt>
                <c:pt idx="3276">
                  <c:v>-2095743</c:v>
                </c:pt>
                <c:pt idx="3277">
                  <c:v>-3189032</c:v>
                </c:pt>
                <c:pt idx="3278">
                  <c:v>4808247</c:v>
                </c:pt>
                <c:pt idx="3279">
                  <c:v>-1992320</c:v>
                </c:pt>
                <c:pt idx="3280">
                  <c:v>3517198</c:v>
                </c:pt>
                <c:pt idx="3281">
                  <c:v>2576314</c:v>
                </c:pt>
                <c:pt idx="3282">
                  <c:v>138600000</c:v>
                </c:pt>
                <c:pt idx="3283">
                  <c:v>48100000</c:v>
                </c:pt>
                <c:pt idx="3284">
                  <c:v>13001785</c:v>
                </c:pt>
                <c:pt idx="3285">
                  <c:v>35168022</c:v>
                </c:pt>
                <c:pt idx="3286">
                  <c:v>81749884</c:v>
                </c:pt>
                <c:pt idx="3287">
                  <c:v>21788807</c:v>
                </c:pt>
                <c:pt idx="3288">
                  <c:v>17244913</c:v>
                </c:pt>
                <c:pt idx="3289">
                  <c:v>27800000</c:v>
                </c:pt>
                <c:pt idx="3290">
                  <c:v>17966644</c:v>
                </c:pt>
                <c:pt idx="3291">
                  <c:v>61423650</c:v>
                </c:pt>
                <c:pt idx="3292">
                  <c:v>45056940</c:v>
                </c:pt>
                <c:pt idx="3293">
                  <c:v>16184015</c:v>
                </c:pt>
                <c:pt idx="3294">
                  <c:v>21629916</c:v>
                </c:pt>
                <c:pt idx="3295">
                  <c:v>16472057</c:v>
                </c:pt>
                <c:pt idx="3296">
                  <c:v>24200000</c:v>
                </c:pt>
                <c:pt idx="3297">
                  <c:v>12369573</c:v>
                </c:pt>
                <c:pt idx="3298">
                  <c:v>13435068</c:v>
                </c:pt>
                <c:pt idx="3299">
                  <c:v>8694528</c:v>
                </c:pt>
                <c:pt idx="3300">
                  <c:v>7017041</c:v>
                </c:pt>
                <c:pt idx="3301">
                  <c:v>4059537</c:v>
                </c:pt>
                <c:pt idx="3302">
                  <c:v>5114507</c:v>
                </c:pt>
                <c:pt idx="3303">
                  <c:v>4888703</c:v>
                </c:pt>
                <c:pt idx="3304">
                  <c:v>4282851</c:v>
                </c:pt>
                <c:pt idx="3305">
                  <c:v>2844929</c:v>
                </c:pt>
                <c:pt idx="3306">
                  <c:v>2270647</c:v>
                </c:pt>
                <c:pt idx="3307">
                  <c:v>1142507</c:v>
                </c:pt>
                <c:pt idx="3308">
                  <c:v>1109095</c:v>
                </c:pt>
                <c:pt idx="3309">
                  <c:v>902679</c:v>
                </c:pt>
                <c:pt idx="3310">
                  <c:v>559990</c:v>
                </c:pt>
                <c:pt idx="3311">
                  <c:v>-1212565</c:v>
                </c:pt>
                <c:pt idx="3312">
                  <c:v>-428053</c:v>
                </c:pt>
                <c:pt idx="3313">
                  <c:v>-338009</c:v>
                </c:pt>
                <c:pt idx="3314">
                  <c:v>0</c:v>
                </c:pt>
                <c:pt idx="3315">
                  <c:v>-776010</c:v>
                </c:pt>
                <c:pt idx="3316">
                  <c:v>-1178017</c:v>
                </c:pt>
                <c:pt idx="3317">
                  <c:v>-818710</c:v>
                </c:pt>
                <c:pt idx="3318">
                  <c:v>-651422</c:v>
                </c:pt>
                <c:pt idx="3319">
                  <c:v>-2296998</c:v>
                </c:pt>
                <c:pt idx="3320">
                  <c:v>105269</c:v>
                </c:pt>
                <c:pt idx="3321">
                  <c:v>-2581732</c:v>
                </c:pt>
                <c:pt idx="3322">
                  <c:v>-2799197</c:v>
                </c:pt>
                <c:pt idx="3323">
                  <c:v>-2604984</c:v>
                </c:pt>
                <c:pt idx="3324">
                  <c:v>-2926322</c:v>
                </c:pt>
                <c:pt idx="3325">
                  <c:v>-4857000</c:v>
                </c:pt>
                <c:pt idx="3326">
                  <c:v>-2960148</c:v>
                </c:pt>
                <c:pt idx="3327">
                  <c:v>-2978000</c:v>
                </c:pt>
                <c:pt idx="3328">
                  <c:v>-2994995</c:v>
                </c:pt>
                <c:pt idx="3329">
                  <c:v>2695428</c:v>
                </c:pt>
                <c:pt idx="3330">
                  <c:v>1623749</c:v>
                </c:pt>
                <c:pt idx="3331">
                  <c:v>-2899325</c:v>
                </c:pt>
                <c:pt idx="3332">
                  <c:v>1445438</c:v>
                </c:pt>
                <c:pt idx="3333">
                  <c:v>14201636</c:v>
                </c:pt>
                <c:pt idx="3334">
                  <c:v>16370001</c:v>
                </c:pt>
                <c:pt idx="3335">
                  <c:v>19402612</c:v>
                </c:pt>
                <c:pt idx="3336">
                  <c:v>83500000</c:v>
                </c:pt>
                <c:pt idx="3337">
                  <c:v>-1047380</c:v>
                </c:pt>
                <c:pt idx="3338">
                  <c:v>6354736</c:v>
                </c:pt>
                <c:pt idx="3339">
                  <c:v>116900000</c:v>
                </c:pt>
                <c:pt idx="3340">
                  <c:v>30800000</c:v>
                </c:pt>
                <c:pt idx="3341">
                  <c:v>530592</c:v>
                </c:pt>
                <c:pt idx="3342">
                  <c:v>-2325000</c:v>
                </c:pt>
                <c:pt idx="3343">
                  <c:v>-2561892</c:v>
                </c:pt>
                <c:pt idx="3344">
                  <c:v>37541683</c:v>
                </c:pt>
                <c:pt idx="3345">
                  <c:v>30849949</c:v>
                </c:pt>
                <c:pt idx="3346">
                  <c:v>-190187</c:v>
                </c:pt>
                <c:pt idx="3347">
                  <c:v>11900000</c:v>
                </c:pt>
                <c:pt idx="3348">
                  <c:v>29730907</c:v>
                </c:pt>
                <c:pt idx="3349">
                  <c:v>3901336</c:v>
                </c:pt>
                <c:pt idx="3350">
                  <c:v>24281723</c:v>
                </c:pt>
                <c:pt idx="3351">
                  <c:v>2900000</c:v>
                </c:pt>
                <c:pt idx="3352">
                  <c:v>-1217916</c:v>
                </c:pt>
                <c:pt idx="3353">
                  <c:v>825638</c:v>
                </c:pt>
                <c:pt idx="3354">
                  <c:v>-1604408</c:v>
                </c:pt>
                <c:pt idx="3355">
                  <c:v>299658</c:v>
                </c:pt>
                <c:pt idx="3356">
                  <c:v>10495673</c:v>
                </c:pt>
                <c:pt idx="3357">
                  <c:v>-2326217</c:v>
                </c:pt>
                <c:pt idx="3358">
                  <c:v>-2381334</c:v>
                </c:pt>
                <c:pt idx="3359">
                  <c:v>-2428096</c:v>
                </c:pt>
                <c:pt idx="3360">
                  <c:v>-2400149</c:v>
                </c:pt>
                <c:pt idx="3361">
                  <c:v>-13884496</c:v>
                </c:pt>
                <c:pt idx="3362">
                  <c:v>-8394275</c:v>
                </c:pt>
                <c:pt idx="3363">
                  <c:v>-2424273</c:v>
                </c:pt>
                <c:pt idx="3364">
                  <c:v>-2177843</c:v>
                </c:pt>
                <c:pt idx="3365">
                  <c:v>3331103</c:v>
                </c:pt>
                <c:pt idx="3366">
                  <c:v>-1421092</c:v>
                </c:pt>
                <c:pt idx="3367">
                  <c:v>-1172081</c:v>
                </c:pt>
                <c:pt idx="3368">
                  <c:v>-2271261</c:v>
                </c:pt>
                <c:pt idx="3369">
                  <c:v>74120000</c:v>
                </c:pt>
                <c:pt idx="3370">
                  <c:v>32200000</c:v>
                </c:pt>
                <c:pt idx="3371">
                  <c:v>19100000</c:v>
                </c:pt>
                <c:pt idx="3372">
                  <c:v>-1820357</c:v>
                </c:pt>
                <c:pt idx="3373">
                  <c:v>10685267</c:v>
                </c:pt>
                <c:pt idx="3374">
                  <c:v>21550000</c:v>
                </c:pt>
                <c:pt idx="3375">
                  <c:v>-15186564</c:v>
                </c:pt>
                <c:pt idx="3376">
                  <c:v>-2096670</c:v>
                </c:pt>
                <c:pt idx="3377">
                  <c:v>22800000</c:v>
                </c:pt>
                <c:pt idx="3378">
                  <c:v>-1507034</c:v>
                </c:pt>
                <c:pt idx="3379">
                  <c:v>12673301</c:v>
                </c:pt>
                <c:pt idx="3380">
                  <c:v>7003011</c:v>
                </c:pt>
                <c:pt idx="3381">
                  <c:v>9546543</c:v>
                </c:pt>
                <c:pt idx="3382">
                  <c:v>9533945</c:v>
                </c:pt>
                <c:pt idx="3383">
                  <c:v>10555230</c:v>
                </c:pt>
                <c:pt idx="3384">
                  <c:v>9284657</c:v>
                </c:pt>
                <c:pt idx="3385">
                  <c:v>32522221</c:v>
                </c:pt>
                <c:pt idx="3386">
                  <c:v>-2497745</c:v>
                </c:pt>
                <c:pt idx="3387">
                  <c:v>4719300</c:v>
                </c:pt>
                <c:pt idx="3388">
                  <c:v>3092822</c:v>
                </c:pt>
                <c:pt idx="3389">
                  <c:v>3383834</c:v>
                </c:pt>
                <c:pt idx="3390">
                  <c:v>3099680</c:v>
                </c:pt>
                <c:pt idx="3391">
                  <c:v>4531491</c:v>
                </c:pt>
                <c:pt idx="3392">
                  <c:v>1885134</c:v>
                </c:pt>
                <c:pt idx="3393">
                  <c:v>1590010</c:v>
                </c:pt>
                <c:pt idx="3394">
                  <c:v>1335839</c:v>
                </c:pt>
                <c:pt idx="3395">
                  <c:v>557668</c:v>
                </c:pt>
                <c:pt idx="3396">
                  <c:v>506446</c:v>
                </c:pt>
                <c:pt idx="3397">
                  <c:v>5369373</c:v>
                </c:pt>
                <c:pt idx="3398">
                  <c:v>-15622</c:v>
                </c:pt>
                <c:pt idx="3399">
                  <c:v>783276</c:v>
                </c:pt>
                <c:pt idx="3400">
                  <c:v>-901776</c:v>
                </c:pt>
                <c:pt idx="3401">
                  <c:v>-569815</c:v>
                </c:pt>
                <c:pt idx="3402">
                  <c:v>-522998</c:v>
                </c:pt>
                <c:pt idx="3403">
                  <c:v>-865951</c:v>
                </c:pt>
                <c:pt idx="3404">
                  <c:v>-1346379</c:v>
                </c:pt>
                <c:pt idx="3405">
                  <c:v>-2864751</c:v>
                </c:pt>
                <c:pt idx="3406">
                  <c:v>-5628919</c:v>
                </c:pt>
                <c:pt idx="3407">
                  <c:v>-1875506</c:v>
                </c:pt>
                <c:pt idx="3408">
                  <c:v>-3699331</c:v>
                </c:pt>
                <c:pt idx="3409">
                  <c:v>-13313646</c:v>
                </c:pt>
                <c:pt idx="3410">
                  <c:v>-1482420</c:v>
                </c:pt>
                <c:pt idx="3411">
                  <c:v>-1333</c:v>
                </c:pt>
                <c:pt idx="3412">
                  <c:v>-1801593</c:v>
                </c:pt>
                <c:pt idx="3413">
                  <c:v>-1995042</c:v>
                </c:pt>
                <c:pt idx="3414">
                  <c:v>-2292073</c:v>
                </c:pt>
                <c:pt idx="3415">
                  <c:v>-1997564</c:v>
                </c:pt>
                <c:pt idx="3416">
                  <c:v>-479422</c:v>
                </c:pt>
                <c:pt idx="3417">
                  <c:v>-1971342</c:v>
                </c:pt>
                <c:pt idx="3418">
                  <c:v>-1381565</c:v>
                </c:pt>
                <c:pt idx="3419">
                  <c:v>1957978</c:v>
                </c:pt>
                <c:pt idx="3420">
                  <c:v>-1455956</c:v>
                </c:pt>
                <c:pt idx="3421">
                  <c:v>39190055</c:v>
                </c:pt>
                <c:pt idx="3422">
                  <c:v>3909616</c:v>
                </c:pt>
                <c:pt idx="3423">
                  <c:v>10984397</c:v>
                </c:pt>
                <c:pt idx="3424">
                  <c:v>-861524</c:v>
                </c:pt>
                <c:pt idx="3425">
                  <c:v>-1294705</c:v>
                </c:pt>
                <c:pt idx="3426">
                  <c:v>3767324</c:v>
                </c:pt>
                <c:pt idx="3427">
                  <c:v>-354460</c:v>
                </c:pt>
                <c:pt idx="3428">
                  <c:v>34218429</c:v>
                </c:pt>
                <c:pt idx="3429">
                  <c:v>-1907599</c:v>
                </c:pt>
                <c:pt idx="3430">
                  <c:v>243649</c:v>
                </c:pt>
                <c:pt idx="3431">
                  <c:v>-707762</c:v>
                </c:pt>
                <c:pt idx="3432">
                  <c:v>3231500</c:v>
                </c:pt>
                <c:pt idx="3433">
                  <c:v>-603965</c:v>
                </c:pt>
                <c:pt idx="3434">
                  <c:v>4026908</c:v>
                </c:pt>
                <c:pt idx="3435">
                  <c:v>-239409</c:v>
                </c:pt>
                <c:pt idx="3436">
                  <c:v>-1344028</c:v>
                </c:pt>
                <c:pt idx="3437">
                  <c:v>-1573107</c:v>
                </c:pt>
                <c:pt idx="3438">
                  <c:v>-1647420</c:v>
                </c:pt>
                <c:pt idx="3439">
                  <c:v>17067631</c:v>
                </c:pt>
                <c:pt idx="3440">
                  <c:v>5917210</c:v>
                </c:pt>
                <c:pt idx="3441">
                  <c:v>6022940</c:v>
                </c:pt>
                <c:pt idx="3442">
                  <c:v>3132222</c:v>
                </c:pt>
                <c:pt idx="3443">
                  <c:v>865931</c:v>
                </c:pt>
                <c:pt idx="3444">
                  <c:v>52491137</c:v>
                </c:pt>
                <c:pt idx="3445">
                  <c:v>-278739</c:v>
                </c:pt>
                <c:pt idx="3446">
                  <c:v>-787706</c:v>
                </c:pt>
                <c:pt idx="3447">
                  <c:v>1947339</c:v>
                </c:pt>
                <c:pt idx="3448">
                  <c:v>-1081047</c:v>
                </c:pt>
                <c:pt idx="3449">
                  <c:v>-1093965</c:v>
                </c:pt>
                <c:pt idx="3450">
                  <c:v>-1126033</c:v>
                </c:pt>
                <c:pt idx="3451">
                  <c:v>-1305432</c:v>
                </c:pt>
                <c:pt idx="3452">
                  <c:v>-1336755</c:v>
                </c:pt>
                <c:pt idx="3453">
                  <c:v>-1380159</c:v>
                </c:pt>
                <c:pt idx="3454">
                  <c:v>-1326934</c:v>
                </c:pt>
                <c:pt idx="3455">
                  <c:v>-1407638</c:v>
                </c:pt>
                <c:pt idx="3456">
                  <c:v>-1394057</c:v>
                </c:pt>
                <c:pt idx="3457">
                  <c:v>-1516510</c:v>
                </c:pt>
                <c:pt idx="3458">
                  <c:v>-1496522</c:v>
                </c:pt>
                <c:pt idx="3459">
                  <c:v>-1947834</c:v>
                </c:pt>
                <c:pt idx="3460">
                  <c:v>-1336492</c:v>
                </c:pt>
                <c:pt idx="3461">
                  <c:v>182925485</c:v>
                </c:pt>
                <c:pt idx="3462">
                  <c:v>-1095876</c:v>
                </c:pt>
                <c:pt idx="3463">
                  <c:v>-1363170</c:v>
                </c:pt>
                <c:pt idx="3464">
                  <c:v>2690677</c:v>
                </c:pt>
                <c:pt idx="3465">
                  <c:v>347780</c:v>
                </c:pt>
                <c:pt idx="3466">
                  <c:v>-604771</c:v>
                </c:pt>
                <c:pt idx="3467">
                  <c:v>-953049</c:v>
                </c:pt>
                <c:pt idx="3468">
                  <c:v>-690958</c:v>
                </c:pt>
                <c:pt idx="3469">
                  <c:v>-1498479</c:v>
                </c:pt>
                <c:pt idx="3470">
                  <c:v>-980461</c:v>
                </c:pt>
                <c:pt idx="3471">
                  <c:v>-1399642</c:v>
                </c:pt>
                <c:pt idx="3472">
                  <c:v>17850000</c:v>
                </c:pt>
                <c:pt idx="3473">
                  <c:v>2406383</c:v>
                </c:pt>
                <c:pt idx="3474">
                  <c:v>23541700</c:v>
                </c:pt>
                <c:pt idx="3475">
                  <c:v>53953403</c:v>
                </c:pt>
                <c:pt idx="3476">
                  <c:v>17288314</c:v>
                </c:pt>
                <c:pt idx="3477">
                  <c:v>-1288722</c:v>
                </c:pt>
                <c:pt idx="3478">
                  <c:v>6876974</c:v>
                </c:pt>
                <c:pt idx="3479">
                  <c:v>7980275</c:v>
                </c:pt>
                <c:pt idx="3480">
                  <c:v>999853</c:v>
                </c:pt>
                <c:pt idx="3481">
                  <c:v>1659955</c:v>
                </c:pt>
                <c:pt idx="3482">
                  <c:v>1612029</c:v>
                </c:pt>
                <c:pt idx="3483">
                  <c:v>4900000</c:v>
                </c:pt>
                <c:pt idx="3484">
                  <c:v>-3624277</c:v>
                </c:pt>
                <c:pt idx="3485">
                  <c:v>-605096</c:v>
                </c:pt>
                <c:pt idx="3486">
                  <c:v>-1141064</c:v>
                </c:pt>
                <c:pt idx="3487">
                  <c:v>-1175216</c:v>
                </c:pt>
                <c:pt idx="3488">
                  <c:v>-1192174</c:v>
                </c:pt>
                <c:pt idx="3489">
                  <c:v>-1196170</c:v>
                </c:pt>
                <c:pt idx="3490">
                  <c:v>250263</c:v>
                </c:pt>
                <c:pt idx="3491">
                  <c:v>13101109</c:v>
                </c:pt>
                <c:pt idx="3492">
                  <c:v>-689380</c:v>
                </c:pt>
                <c:pt idx="3493">
                  <c:v>300000</c:v>
                </c:pt>
                <c:pt idx="3494">
                  <c:v>-1560341</c:v>
                </c:pt>
                <c:pt idx="3495">
                  <c:v>-1043871</c:v>
                </c:pt>
                <c:pt idx="3496">
                  <c:v>3005123</c:v>
                </c:pt>
                <c:pt idx="3497">
                  <c:v>116275247</c:v>
                </c:pt>
                <c:pt idx="3498">
                  <c:v>30537320</c:v>
                </c:pt>
                <c:pt idx="3499">
                  <c:v>16986000</c:v>
                </c:pt>
                <c:pt idx="3500">
                  <c:v>14967035</c:v>
                </c:pt>
                <c:pt idx="3501">
                  <c:v>17112929</c:v>
                </c:pt>
                <c:pt idx="3502">
                  <c:v>13564027</c:v>
                </c:pt>
                <c:pt idx="3503">
                  <c:v>15773070</c:v>
                </c:pt>
                <c:pt idx="3504">
                  <c:v>9042266</c:v>
                </c:pt>
                <c:pt idx="3505">
                  <c:v>-989962610</c:v>
                </c:pt>
                <c:pt idx="3506">
                  <c:v>6201559</c:v>
                </c:pt>
                <c:pt idx="3507">
                  <c:v>8013113</c:v>
                </c:pt>
                <c:pt idx="3508">
                  <c:v>52245055</c:v>
                </c:pt>
                <c:pt idx="3509">
                  <c:v>8100000</c:v>
                </c:pt>
                <c:pt idx="3510">
                  <c:v>4997134</c:v>
                </c:pt>
                <c:pt idx="3511">
                  <c:v>2386698</c:v>
                </c:pt>
                <c:pt idx="3512">
                  <c:v>1508841</c:v>
                </c:pt>
                <c:pt idx="3513">
                  <c:v>3946250</c:v>
                </c:pt>
                <c:pt idx="3514">
                  <c:v>950218</c:v>
                </c:pt>
                <c:pt idx="3515">
                  <c:v>277257</c:v>
                </c:pt>
                <c:pt idx="3516">
                  <c:v>677838</c:v>
                </c:pt>
                <c:pt idx="3517">
                  <c:v>744858</c:v>
                </c:pt>
                <c:pt idx="3518">
                  <c:v>-17786</c:v>
                </c:pt>
                <c:pt idx="3519">
                  <c:v>-201659</c:v>
                </c:pt>
                <c:pt idx="3520">
                  <c:v>-389009</c:v>
                </c:pt>
                <c:pt idx="3521">
                  <c:v>-417976</c:v>
                </c:pt>
                <c:pt idx="3522">
                  <c:v>-1951288</c:v>
                </c:pt>
                <c:pt idx="3523">
                  <c:v>-535345</c:v>
                </c:pt>
                <c:pt idx="3524">
                  <c:v>-535874</c:v>
                </c:pt>
                <c:pt idx="3525">
                  <c:v>-571465</c:v>
                </c:pt>
                <c:pt idx="3526">
                  <c:v>-895923</c:v>
                </c:pt>
                <c:pt idx="3527">
                  <c:v>-720718</c:v>
                </c:pt>
                <c:pt idx="3528">
                  <c:v>-515779</c:v>
                </c:pt>
                <c:pt idx="3529">
                  <c:v>-725339</c:v>
                </c:pt>
                <c:pt idx="3530">
                  <c:v>-855569</c:v>
                </c:pt>
                <c:pt idx="3531">
                  <c:v>-712239</c:v>
                </c:pt>
                <c:pt idx="3532">
                  <c:v>-899760</c:v>
                </c:pt>
                <c:pt idx="3533">
                  <c:v>-903266</c:v>
                </c:pt>
                <c:pt idx="3534">
                  <c:v>-799341</c:v>
                </c:pt>
                <c:pt idx="3535">
                  <c:v>-451570</c:v>
                </c:pt>
                <c:pt idx="3536">
                  <c:v>-978790</c:v>
                </c:pt>
                <c:pt idx="3537">
                  <c:v>-987004</c:v>
                </c:pt>
                <c:pt idx="3538">
                  <c:v>-989982</c:v>
                </c:pt>
                <c:pt idx="3539">
                  <c:v>-937520</c:v>
                </c:pt>
                <c:pt idx="3540">
                  <c:v>-993613</c:v>
                </c:pt>
                <c:pt idx="3541">
                  <c:v>-999279</c:v>
                </c:pt>
                <c:pt idx="3542">
                  <c:v>-1499297</c:v>
                </c:pt>
                <c:pt idx="3543">
                  <c:v>8690000</c:v>
                </c:pt>
                <c:pt idx="3544">
                  <c:v>-909814</c:v>
                </c:pt>
                <c:pt idx="3545">
                  <c:v>595783</c:v>
                </c:pt>
                <c:pt idx="3546">
                  <c:v>57962</c:v>
                </c:pt>
                <c:pt idx="3547">
                  <c:v>-518814</c:v>
                </c:pt>
                <c:pt idx="3548">
                  <c:v>15197842</c:v>
                </c:pt>
                <c:pt idx="3549">
                  <c:v>-893357</c:v>
                </c:pt>
                <c:pt idx="3550">
                  <c:v>-407362</c:v>
                </c:pt>
                <c:pt idx="3551">
                  <c:v>-30061</c:v>
                </c:pt>
                <c:pt idx="3552">
                  <c:v>-809722</c:v>
                </c:pt>
                <c:pt idx="3553">
                  <c:v>6598492</c:v>
                </c:pt>
                <c:pt idx="3554">
                  <c:v>3971000</c:v>
                </c:pt>
                <c:pt idx="3555">
                  <c:v>201437</c:v>
                </c:pt>
                <c:pt idx="3556">
                  <c:v>1273984</c:v>
                </c:pt>
                <c:pt idx="3557">
                  <c:v>-655417</c:v>
                </c:pt>
                <c:pt idx="3558">
                  <c:v>-564312</c:v>
                </c:pt>
                <c:pt idx="3559">
                  <c:v>-758291</c:v>
                </c:pt>
                <c:pt idx="3560">
                  <c:v>530270</c:v>
                </c:pt>
                <c:pt idx="3561">
                  <c:v>114223000</c:v>
                </c:pt>
                <c:pt idx="3562">
                  <c:v>4768918</c:v>
                </c:pt>
                <c:pt idx="3563">
                  <c:v>3257792</c:v>
                </c:pt>
                <c:pt idx="3564">
                  <c:v>-473703</c:v>
                </c:pt>
                <c:pt idx="3565">
                  <c:v>-672499</c:v>
                </c:pt>
                <c:pt idx="3566">
                  <c:v>-702671</c:v>
                </c:pt>
                <c:pt idx="3567">
                  <c:v>-881622</c:v>
                </c:pt>
                <c:pt idx="3568">
                  <c:v>7130611</c:v>
                </c:pt>
                <c:pt idx="3569">
                  <c:v>441829</c:v>
                </c:pt>
                <c:pt idx="3570">
                  <c:v>1994973</c:v>
                </c:pt>
                <c:pt idx="3571">
                  <c:v>-689492</c:v>
                </c:pt>
                <c:pt idx="3572">
                  <c:v>1651777</c:v>
                </c:pt>
                <c:pt idx="3573">
                  <c:v>2391000</c:v>
                </c:pt>
                <c:pt idx="3574">
                  <c:v>140470114</c:v>
                </c:pt>
                <c:pt idx="3575">
                  <c:v>12700000</c:v>
                </c:pt>
                <c:pt idx="3576">
                  <c:v>-428012</c:v>
                </c:pt>
                <c:pt idx="3577">
                  <c:v>-576384</c:v>
                </c:pt>
                <c:pt idx="3578">
                  <c:v>-44995</c:v>
                </c:pt>
                <c:pt idx="3579">
                  <c:v>-557755</c:v>
                </c:pt>
                <c:pt idx="3580">
                  <c:v>32951479</c:v>
                </c:pt>
                <c:pt idx="3581">
                  <c:v>39052600</c:v>
                </c:pt>
                <c:pt idx="3582">
                  <c:v>30000882</c:v>
                </c:pt>
                <c:pt idx="3583">
                  <c:v>16500000</c:v>
                </c:pt>
                <c:pt idx="3584">
                  <c:v>5239376</c:v>
                </c:pt>
                <c:pt idx="3585">
                  <c:v>2773863</c:v>
                </c:pt>
                <c:pt idx="3586">
                  <c:v>1547570</c:v>
                </c:pt>
                <c:pt idx="3587">
                  <c:v>750798</c:v>
                </c:pt>
                <c:pt idx="3588">
                  <c:v>406666</c:v>
                </c:pt>
                <c:pt idx="3589">
                  <c:v>614943</c:v>
                </c:pt>
                <c:pt idx="3590">
                  <c:v>611615</c:v>
                </c:pt>
                <c:pt idx="3591">
                  <c:v>485341</c:v>
                </c:pt>
                <c:pt idx="3592">
                  <c:v>103943</c:v>
                </c:pt>
                <c:pt idx="3593">
                  <c:v>-165959</c:v>
                </c:pt>
                <c:pt idx="3594">
                  <c:v>-204532</c:v>
                </c:pt>
                <c:pt idx="3595">
                  <c:v>-256653</c:v>
                </c:pt>
                <c:pt idx="3596">
                  <c:v>-345923</c:v>
                </c:pt>
                <c:pt idx="3597">
                  <c:v>-348611</c:v>
                </c:pt>
                <c:pt idx="3598">
                  <c:v>-1730939</c:v>
                </c:pt>
                <c:pt idx="3599">
                  <c:v>-366222</c:v>
                </c:pt>
                <c:pt idx="3600">
                  <c:v>-447150</c:v>
                </c:pt>
                <c:pt idx="3601">
                  <c:v>-401983</c:v>
                </c:pt>
                <c:pt idx="3602">
                  <c:v>-468063</c:v>
                </c:pt>
                <c:pt idx="3603">
                  <c:v>-486866</c:v>
                </c:pt>
                <c:pt idx="3604">
                  <c:v>-262699</c:v>
                </c:pt>
                <c:pt idx="3605">
                  <c:v>-487945</c:v>
                </c:pt>
                <c:pt idx="3606">
                  <c:v>-498668</c:v>
                </c:pt>
                <c:pt idx="3607">
                  <c:v>-478801</c:v>
                </c:pt>
                <c:pt idx="3608">
                  <c:v>2262293</c:v>
                </c:pt>
                <c:pt idx="3609">
                  <c:v>-1231955</c:v>
                </c:pt>
                <c:pt idx="3610">
                  <c:v>-70878</c:v>
                </c:pt>
                <c:pt idx="3611">
                  <c:v>-477000</c:v>
                </c:pt>
                <c:pt idx="3612">
                  <c:v>1861000</c:v>
                </c:pt>
                <c:pt idx="3613">
                  <c:v>2713208</c:v>
                </c:pt>
                <c:pt idx="3614">
                  <c:v>-24990090</c:v>
                </c:pt>
                <c:pt idx="3615">
                  <c:v>44140956</c:v>
                </c:pt>
                <c:pt idx="3616">
                  <c:v>-808054</c:v>
                </c:pt>
                <c:pt idx="3617">
                  <c:v>107902283</c:v>
                </c:pt>
                <c:pt idx="3618">
                  <c:v>999622</c:v>
                </c:pt>
                <c:pt idx="3619">
                  <c:v>1289999</c:v>
                </c:pt>
                <c:pt idx="3620">
                  <c:v>-88202</c:v>
                </c:pt>
                <c:pt idx="3621">
                  <c:v>591796</c:v>
                </c:pt>
                <c:pt idx="3622">
                  <c:v>25899</c:v>
                </c:pt>
                <c:pt idx="3623">
                  <c:v>-273613</c:v>
                </c:pt>
                <c:pt idx="3624">
                  <c:v>45276912</c:v>
                </c:pt>
                <c:pt idx="3625">
                  <c:v>242172</c:v>
                </c:pt>
                <c:pt idx="3626">
                  <c:v>2429000</c:v>
                </c:pt>
                <c:pt idx="3627">
                  <c:v>-5987157</c:v>
                </c:pt>
                <c:pt idx="3628">
                  <c:v>-415849</c:v>
                </c:pt>
                <c:pt idx="3629">
                  <c:v>-226328</c:v>
                </c:pt>
                <c:pt idx="3630">
                  <c:v>3650000</c:v>
                </c:pt>
                <c:pt idx="3631">
                  <c:v>969176</c:v>
                </c:pt>
                <c:pt idx="3632">
                  <c:v>8115878</c:v>
                </c:pt>
                <c:pt idx="3633">
                  <c:v>1352472</c:v>
                </c:pt>
                <c:pt idx="3634">
                  <c:v>2060184</c:v>
                </c:pt>
                <c:pt idx="3635">
                  <c:v>-44648</c:v>
                </c:pt>
                <c:pt idx="3636">
                  <c:v>656942</c:v>
                </c:pt>
                <c:pt idx="3637">
                  <c:v>-283108</c:v>
                </c:pt>
                <c:pt idx="3638">
                  <c:v>-147562</c:v>
                </c:pt>
                <c:pt idx="3639">
                  <c:v>-259458</c:v>
                </c:pt>
                <c:pt idx="3640">
                  <c:v>-194801</c:v>
                </c:pt>
                <c:pt idx="3641">
                  <c:v>-297532</c:v>
                </c:pt>
                <c:pt idx="3642">
                  <c:v>48622</c:v>
                </c:pt>
                <c:pt idx="3643">
                  <c:v>11756514</c:v>
                </c:pt>
                <c:pt idx="3644">
                  <c:v>3936931</c:v>
                </c:pt>
                <c:pt idx="3645">
                  <c:v>3549339</c:v>
                </c:pt>
                <c:pt idx="3646">
                  <c:v>1727544</c:v>
                </c:pt>
                <c:pt idx="3647">
                  <c:v>800600</c:v>
                </c:pt>
                <c:pt idx="3648">
                  <c:v>652835</c:v>
                </c:pt>
                <c:pt idx="3649">
                  <c:v>124220</c:v>
                </c:pt>
                <c:pt idx="3650">
                  <c:v>-37715</c:v>
                </c:pt>
                <c:pt idx="3651">
                  <c:v>-46866</c:v>
                </c:pt>
                <c:pt idx="3652">
                  <c:v>41309</c:v>
                </c:pt>
                <c:pt idx="3653">
                  <c:v>3138210</c:v>
                </c:pt>
                <c:pt idx="3654">
                  <c:v>-72160</c:v>
                </c:pt>
                <c:pt idx="3655">
                  <c:v>-200506</c:v>
                </c:pt>
                <c:pt idx="3656">
                  <c:v>-231805</c:v>
                </c:pt>
                <c:pt idx="3657">
                  <c:v>-113700</c:v>
                </c:pt>
                <c:pt idx="3658">
                  <c:v>802119</c:v>
                </c:pt>
                <c:pt idx="3659">
                  <c:v>4790000</c:v>
                </c:pt>
                <c:pt idx="3660">
                  <c:v>4305922</c:v>
                </c:pt>
                <c:pt idx="3661">
                  <c:v>3300000</c:v>
                </c:pt>
                <c:pt idx="3662">
                  <c:v>181225</c:v>
                </c:pt>
                <c:pt idx="3663">
                  <c:v>2228241</c:v>
                </c:pt>
                <c:pt idx="3664">
                  <c:v>-121970</c:v>
                </c:pt>
                <c:pt idx="3665">
                  <c:v>-25318</c:v>
                </c:pt>
                <c:pt idx="3666">
                  <c:v>15185</c:v>
                </c:pt>
                <c:pt idx="3667">
                  <c:v>-198889</c:v>
                </c:pt>
                <c:pt idx="3668">
                  <c:v>745402</c:v>
                </c:pt>
                <c:pt idx="3669">
                  <c:v>349947</c:v>
                </c:pt>
                <c:pt idx="3670">
                  <c:v>6962502</c:v>
                </c:pt>
                <c:pt idx="3671">
                  <c:v>1216074</c:v>
                </c:pt>
                <c:pt idx="3672">
                  <c:v>14680000</c:v>
                </c:pt>
                <c:pt idx="3673">
                  <c:v>2732062</c:v>
                </c:pt>
                <c:pt idx="3674">
                  <c:v>9257933</c:v>
                </c:pt>
                <c:pt idx="3675">
                  <c:v>-1089280</c:v>
                </c:pt>
                <c:pt idx="3676">
                  <c:v>-4016</c:v>
                </c:pt>
                <c:pt idx="3677">
                  <c:v>-145086</c:v>
                </c:pt>
                <c:pt idx="3678">
                  <c:v>-144142</c:v>
                </c:pt>
                <c:pt idx="3679">
                  <c:v>6546368</c:v>
                </c:pt>
                <c:pt idx="3680">
                  <c:v>1448712</c:v>
                </c:pt>
                <c:pt idx="3681">
                  <c:v>10074663</c:v>
                </c:pt>
                <c:pt idx="3682">
                  <c:v>22657819</c:v>
                </c:pt>
                <c:pt idx="3683">
                  <c:v>5128617</c:v>
                </c:pt>
                <c:pt idx="3684">
                  <c:v>70536</c:v>
                </c:pt>
                <c:pt idx="3685">
                  <c:v>-140621</c:v>
                </c:pt>
                <c:pt idx="3686">
                  <c:v>3156970</c:v>
                </c:pt>
                <c:pt idx="3687">
                  <c:v>476767</c:v>
                </c:pt>
                <c:pt idx="3688">
                  <c:v>11464368</c:v>
                </c:pt>
                <c:pt idx="3689">
                  <c:v>-19443</c:v>
                </c:pt>
                <c:pt idx="3690">
                  <c:v>-39916</c:v>
                </c:pt>
                <c:pt idx="3691">
                  <c:v>10221600</c:v>
                </c:pt>
                <c:pt idx="3692">
                  <c:v>324804</c:v>
                </c:pt>
                <c:pt idx="3693">
                  <c:v>199816</c:v>
                </c:pt>
                <c:pt idx="3694">
                  <c:v>237233</c:v>
                </c:pt>
                <c:pt idx="3695">
                  <c:v>213768</c:v>
                </c:pt>
                <c:pt idx="3696">
                  <c:v>2921130</c:v>
                </c:pt>
                <c:pt idx="3697">
                  <c:v>-18769</c:v>
                </c:pt>
                <c:pt idx="3698">
                  <c:v>2831622</c:v>
                </c:pt>
                <c:pt idx="3699">
                  <c:v>1204508</c:v>
                </c:pt>
                <c:pt idx="3700">
                  <c:v>177467</c:v>
                </c:pt>
                <c:pt idx="3701">
                  <c:v>61382</c:v>
                </c:pt>
                <c:pt idx="3702">
                  <c:v>170483</c:v>
                </c:pt>
                <c:pt idx="3703">
                  <c:v>131507</c:v>
                </c:pt>
                <c:pt idx="3704">
                  <c:v>663780</c:v>
                </c:pt>
                <c:pt idx="3705">
                  <c:v>-905404</c:v>
                </c:pt>
                <c:pt idx="3706">
                  <c:v>417760</c:v>
                </c:pt>
                <c:pt idx="3707">
                  <c:v>63071</c:v>
                </c:pt>
                <c:pt idx="3708">
                  <c:v>2033920</c:v>
                </c:pt>
                <c:pt idx="3709">
                  <c:v>-4416</c:v>
                </c:pt>
                <c:pt idx="3710">
                  <c:v>84122</c:v>
                </c:pt>
              </c:numCache>
            </c:numRef>
          </c:val>
          <c:smooth val="0"/>
          <c:extLst>
            <c:ext xmlns:c16="http://schemas.microsoft.com/office/drawing/2014/chart" uri="{C3380CC4-5D6E-409C-BE32-E72D297353CC}">
              <c16:uniqueId val="{00000001-9B41-4833-B834-F92E41C6C325}"/>
            </c:ext>
          </c:extLst>
        </c:ser>
        <c:dLbls>
          <c:showLegendKey val="0"/>
          <c:showVal val="0"/>
          <c:showCatName val="0"/>
          <c:showSerName val="0"/>
          <c:showPercent val="0"/>
          <c:showBubbleSize val="0"/>
        </c:dLbls>
        <c:smooth val="0"/>
        <c:axId val="245660272"/>
        <c:axId val="245677072"/>
      </c:lineChart>
      <c:catAx>
        <c:axId val="24566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677072"/>
        <c:crosses val="autoZero"/>
        <c:auto val="1"/>
        <c:lblAlgn val="ctr"/>
        <c:lblOffset val="100"/>
        <c:noMultiLvlLbl val="0"/>
      </c:catAx>
      <c:valAx>
        <c:axId val="24567707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6602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Count of genres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Count of genres</a:t>
          </a:r>
        </a:p>
      </cx:txPr>
    </cx:title>
    <cx:plotArea>
      <cx:plotAreaRegion>
        <cx:series layoutId="clusteredColumn" uniqueId="{626A16D1-A8EC-4020-99C2-DBC88BFE2A18}">
          <cx:tx>
            <cx:txData>
              <cx:f>_xlchart.v1.1</cx:f>
              <cx:v>Count of genre</cx:v>
            </cx:txData>
          </cx:tx>
          <cx:dataId val="0"/>
          <cx:layoutPr>
            <cx:aggregation/>
          </cx:layoutPr>
          <cx:axisId val="1"/>
        </cx:series>
        <cx:series layoutId="paretoLine" ownerIdx="0" uniqueId="{083E714D-CD7C-4A73-8526-E682D54F245C}">
          <cx:axisId val="2"/>
        </cx:series>
      </cx:plotAreaRegion>
      <cx:axis id="0">
        <cx:catScaling gapWidth="0"/>
        <cx:tickLabels/>
      </cx:axis>
      <cx:axis id="1">
        <cx:valScaling/>
        <cx:majorGridlines/>
        <cx:tickLabels/>
      </cx:axis>
      <cx:axis id="2" hidden="1">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16</xdr:col>
      <xdr:colOff>419100</xdr:colOff>
      <xdr:row>12</xdr:row>
      <xdr:rowOff>72390</xdr:rowOff>
    </xdr:from>
    <xdr:to>
      <xdr:col>27</xdr:col>
      <xdr:colOff>167640</xdr:colOff>
      <xdr:row>29</xdr:row>
      <xdr:rowOff>38100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45236C72-37A8-9ED6-B7E4-DE7DEBBA5F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607540" y="2266950"/>
              <a:ext cx="5052060" cy="30746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693420</xdr:colOff>
      <xdr:row>6</xdr:row>
      <xdr:rowOff>121920</xdr:rowOff>
    </xdr:from>
    <xdr:to>
      <xdr:col>18</xdr:col>
      <xdr:colOff>175260</xdr:colOff>
      <xdr:row>28</xdr:row>
      <xdr:rowOff>60960</xdr:rowOff>
    </xdr:to>
    <xdr:graphicFrame macro="">
      <xdr:nvGraphicFramePr>
        <xdr:cNvPr id="7" name="Chart 6">
          <a:extLst>
            <a:ext uri="{FF2B5EF4-FFF2-40B4-BE49-F238E27FC236}">
              <a16:creationId xmlns:a16="http://schemas.microsoft.com/office/drawing/2014/main" id="{BC7162A4-8D5D-F121-A2C8-D86EE2043A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1127760</xdr:colOff>
      <xdr:row>20</xdr:row>
      <xdr:rowOff>0</xdr:rowOff>
    </xdr:from>
    <xdr:to>
      <xdr:col>11</xdr:col>
      <xdr:colOff>746760</xdr:colOff>
      <xdr:row>38</xdr:row>
      <xdr:rowOff>167640</xdr:rowOff>
    </xdr:to>
    <xdr:graphicFrame macro="">
      <xdr:nvGraphicFramePr>
        <xdr:cNvPr id="8" name="Chart 7">
          <a:extLst>
            <a:ext uri="{FF2B5EF4-FFF2-40B4-BE49-F238E27FC236}">
              <a16:creationId xmlns:a16="http://schemas.microsoft.com/office/drawing/2014/main" id="{87DFB163-E489-9F23-626A-11F912210B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xdr:col>
      <xdr:colOff>190500</xdr:colOff>
      <xdr:row>20</xdr:row>
      <xdr:rowOff>175260</xdr:rowOff>
    </xdr:from>
    <xdr:to>
      <xdr:col>5</xdr:col>
      <xdr:colOff>518160</xdr:colOff>
      <xdr:row>38</xdr:row>
      <xdr:rowOff>83820</xdr:rowOff>
    </xdr:to>
    <mc:AlternateContent xmlns:mc="http://schemas.openxmlformats.org/markup-compatibility/2006" xmlns:sle15="http://schemas.microsoft.com/office/drawing/2012/slicer">
      <mc:Choice Requires="sle15">
        <xdr:graphicFrame macro="">
          <xdr:nvGraphicFramePr>
            <xdr:cNvPr id="9" name="Top 10 Director name">
              <a:extLst>
                <a:ext uri="{FF2B5EF4-FFF2-40B4-BE49-F238E27FC236}">
                  <a16:creationId xmlns:a16="http://schemas.microsoft.com/office/drawing/2014/main" id="{3BA6C191-2071-6756-B1D4-6EC021480106}"/>
                </a:ext>
              </a:extLst>
            </xdr:cNvPr>
            <xdr:cNvGraphicFramePr/>
          </xdr:nvGraphicFramePr>
          <xdr:xfrm>
            <a:off x="0" y="0"/>
            <a:ext cx="0" cy="0"/>
          </xdr:xfrm>
          <a:graphic>
            <a:graphicData uri="http://schemas.microsoft.com/office/drawing/2010/slicer">
              <sle:slicer xmlns:sle="http://schemas.microsoft.com/office/drawing/2010/slicer" name="Top 10 Director name"/>
            </a:graphicData>
          </a:graphic>
        </xdr:graphicFrame>
      </mc:Choice>
      <mc:Fallback xmlns="">
        <xdr:sp macro="" textlink="">
          <xdr:nvSpPr>
            <xdr:cNvPr id="0" name=""/>
            <xdr:cNvSpPr>
              <a:spLocks noTextEdit="1"/>
            </xdr:cNvSpPr>
          </xdr:nvSpPr>
          <xdr:spPr>
            <a:xfrm>
              <a:off x="7665720" y="3832860"/>
              <a:ext cx="1958340" cy="32004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350520</xdr:colOff>
      <xdr:row>5</xdr:row>
      <xdr:rowOff>45720</xdr:rowOff>
    </xdr:from>
    <xdr:to>
      <xdr:col>18</xdr:col>
      <xdr:colOff>83820</xdr:colOff>
      <xdr:row>24</xdr:row>
      <xdr:rowOff>68580</xdr:rowOff>
    </xdr:to>
    <xdr:graphicFrame macro="">
      <xdr:nvGraphicFramePr>
        <xdr:cNvPr id="5" name="Chart 4">
          <a:extLst>
            <a:ext uri="{FF2B5EF4-FFF2-40B4-BE49-F238E27FC236}">
              <a16:creationId xmlns:a16="http://schemas.microsoft.com/office/drawing/2014/main" id="{24527570-D40F-2F91-3E94-A06B391E7C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3BFF1BE-AC4D-47E8-BC41-1E3FB5CD0C23}" autoFormatId="16" applyNumberFormats="0" applyBorderFormats="0" applyFontFormats="0" applyPatternFormats="0" applyAlignmentFormats="0" applyWidthHeightFormats="0">
  <queryTableRefresh nextId="31" unboundColumnsRight="2">
    <queryTableFields count="10">
      <queryTableField id="4" name="duration" tableColumnId="4"/>
      <queryTableField id="9" name="gross" tableColumnId="9"/>
      <queryTableField id="10" name="genres" tableColumnId="10"/>
      <queryTableField id="12" name="movie_title" tableColumnId="12"/>
      <queryTableField id="18" name="movie_imdb_link" tableColumnId="18"/>
      <queryTableField id="20" name="language" tableColumnId="20"/>
      <queryTableField id="21" name="country" tableColumnId="21"/>
      <queryTableField id="23" name="budget" tableColumnId="23"/>
      <queryTableField id="29" dataBound="0" tableColumnId="1"/>
      <queryTableField id="30" dataBound="0" tableColumnId="2"/>
    </queryTableFields>
    <queryTableDeletedFields count="20">
      <deletedField name="color"/>
      <deletedField name="actor_1_name"/>
      <deletedField name="movie_facebook_likes"/>
      <deletedField name="aspect_ratio"/>
      <deletedField name="imdb_score"/>
      <deletedField name="actor_2_facebook_likes"/>
      <deletedField name="title_year"/>
      <deletedField name="content_rating"/>
      <deletedField name="num_user_for_reviews"/>
      <deletedField name="plot_keywords"/>
      <deletedField name="facenumber_in_poster"/>
      <deletedField name="actor_3_name"/>
      <deletedField name="cast_total_facebook_likes"/>
      <deletedField name="num_voted_users"/>
      <deletedField name="actor_1_facebook_likes"/>
      <deletedField name="actor_2_name"/>
      <deletedField name="actor_3_facebook_likes"/>
      <deletedField name="director_facebook_likes"/>
      <deletedField name="num_critic_for_reviews"/>
      <deletedField name="director_nam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_10_Director_name" xr10:uid="{DB7072F8-114A-405B-911C-42D60829F1E6}" sourceName="Top 10 Director name">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p 10 Director name" xr10:uid="{EDA62BB6-5DD1-444C-8018-5E846631D605}" cache="Slicer_Top_10_Director_name" caption="Top 10 Director nam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E80F7C-303A-44E5-8A98-21EC8ED3D2C4}" name="IMDB_Movies" displayName="IMDB_Movies" ref="A1:J3712" tableType="queryTable" totalsRowShown="0">
  <autoFilter ref="A1:J3712" xr:uid="{94E80F7C-303A-44E5-8A98-21EC8ED3D2C4}"/>
  <tableColumns count="10">
    <tableColumn id="4" xr3:uid="{1ED481D4-EADE-42D5-A2C2-93FE12A76704}" uniqueName="4" name="Duration" queryTableFieldId="4"/>
    <tableColumn id="9" xr3:uid="{533F2576-C840-40BC-88AB-47978F9345CA}" uniqueName="9" name="Gross" queryTableFieldId="9"/>
    <tableColumn id="10" xr3:uid="{F31F3FF2-7A2B-4C94-AFF3-9919BD232ABE}" uniqueName="10" name="Genres" queryTableFieldId="10" dataDxfId="9"/>
    <tableColumn id="12" xr3:uid="{AE858449-C662-495A-824E-9FD342D0A768}" uniqueName="12" name="Movie_title" queryTableFieldId="12" dataDxfId="8"/>
    <tableColumn id="18" xr3:uid="{6176EE79-8EF8-4B61-8503-4904541EC647}" uniqueName="18" name="movie_imdb_link" queryTableFieldId="18" dataDxfId="7"/>
    <tableColumn id="20" xr3:uid="{A7AC8079-C44A-45E8-A3F2-D140B28D7B65}" uniqueName="20" name="language" queryTableFieldId="20" dataDxfId="6"/>
    <tableColumn id="21" xr3:uid="{5B21158F-D78D-43B7-8CF6-505A32CFF7EF}" uniqueName="21" name="country" queryTableFieldId="21" dataDxfId="5"/>
    <tableColumn id="23" xr3:uid="{AAF227DF-2110-4B28-B015-556A7587287E}" uniqueName="23" name="budget" queryTableFieldId="23"/>
    <tableColumn id="1" xr3:uid="{3BA581CC-7A55-4C0B-92D5-C0C29A5127BD}" uniqueName="1" name="imdb_score" queryTableFieldId="29" dataDxfId="4"/>
    <tableColumn id="2" xr3:uid="{75FEB2F4-199A-4CE2-BE8C-167C1C7BDBED}" uniqueName="2" name="director_name" queryTableFieldId="30" dataDxf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AC43497-B524-45A0-9685-416DED30478C}" name="Table3" displayName="Table3" ref="F1:G11" totalsRowShown="0">
  <autoFilter ref="F1:G11" xr:uid="{7AC43497-B524-45A0-9685-416DED30478C}"/>
  <tableColumns count="2">
    <tableColumn id="1" xr3:uid="{8C23BEE2-5BAC-4399-89B4-E036D174D81D}" name="Top 10 Director name" dataDxfId="2"/>
    <tableColumn id="2" xr3:uid="{31F9E569-F53D-42CD-A40B-9BC781473132}" name="Average Imdb_score" dataDxfId="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67C248-8CF4-4847-9C48-E4C9C90C2587}" name="Table2" displayName="Table2" ref="D1:D3712" totalsRowShown="0">
  <autoFilter ref="D1:D3712" xr:uid="{3F67C248-8CF4-4847-9C48-E4C9C90C2587}">
    <filterColumn colId="0" hiddenButton="1"/>
  </autoFilter>
  <tableColumns count="1">
    <tableColumn id="1" xr3:uid="{ADD65C49-FA11-4254-98BB-B2EA13C7698E}" name="Profit" dataDxfId="0">
      <calculatedColumnFormula>A2-B2</calculatedColumnFormula>
    </tableColumn>
  </tableColumns>
  <tableStyleInfo name="TableStyleMedium2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6B6F6-D7E2-4C4A-86AF-D65939732FDD}">
  <dimension ref="A1:J3712"/>
  <sheetViews>
    <sheetView topLeftCell="D3686" workbookViewId="0">
      <selection activeCell="H1" sqref="H1:H3712"/>
    </sheetView>
  </sheetViews>
  <sheetFormatPr defaultRowHeight="14.4" x14ac:dyDescent="0.3"/>
  <cols>
    <col min="1" max="1" width="10.21875" bestFit="1" customWidth="1"/>
    <col min="2" max="2" width="10" bestFit="1" customWidth="1"/>
    <col min="3" max="3" width="61.6640625" bestFit="1" customWidth="1"/>
    <col min="4" max="4" width="68.88671875" bestFit="1" customWidth="1"/>
    <col min="5" max="5" width="44.6640625" bestFit="1" customWidth="1"/>
    <col min="6" max="6" width="10.5546875" bestFit="1" customWidth="1"/>
    <col min="7" max="7" width="18" bestFit="1" customWidth="1"/>
    <col min="8" max="8" width="12" bestFit="1" customWidth="1"/>
    <col min="9" max="9" width="15.109375" customWidth="1"/>
    <col min="10" max="10" width="29.33203125" bestFit="1" customWidth="1"/>
  </cols>
  <sheetData>
    <row r="1" spans="1:10" x14ac:dyDescent="0.3">
      <c r="A1" t="s">
        <v>9939</v>
      </c>
      <c r="B1" t="s">
        <v>9940</v>
      </c>
      <c r="C1" t="s">
        <v>8276</v>
      </c>
      <c r="D1" t="s">
        <v>9941</v>
      </c>
      <c r="E1" t="s">
        <v>0</v>
      </c>
      <c r="F1" t="s">
        <v>1</v>
      </c>
      <c r="G1" t="s">
        <v>2</v>
      </c>
      <c r="H1" t="s">
        <v>3</v>
      </c>
      <c r="I1" t="s">
        <v>8287</v>
      </c>
      <c r="J1" t="s">
        <v>8293</v>
      </c>
    </row>
    <row r="2" spans="1:10" x14ac:dyDescent="0.3">
      <c r="A2">
        <v>178</v>
      </c>
      <c r="B2">
        <v>760505847</v>
      </c>
      <c r="C2" t="s">
        <v>4</v>
      </c>
      <c r="D2" t="s">
        <v>5</v>
      </c>
      <c r="E2" t="s">
        <v>6</v>
      </c>
      <c r="F2" t="s">
        <v>7</v>
      </c>
      <c r="G2" t="s">
        <v>8</v>
      </c>
      <c r="H2">
        <v>237000000</v>
      </c>
      <c r="I2">
        <v>7.9</v>
      </c>
      <c r="J2" t="s">
        <v>8294</v>
      </c>
    </row>
    <row r="3" spans="1:10" x14ac:dyDescent="0.3">
      <c r="A3">
        <v>169</v>
      </c>
      <c r="B3">
        <v>309404152</v>
      </c>
      <c r="C3" t="s">
        <v>9</v>
      </c>
      <c r="D3" t="s">
        <v>10</v>
      </c>
      <c r="E3" t="s">
        <v>11</v>
      </c>
      <c r="F3" t="s">
        <v>7</v>
      </c>
      <c r="G3" t="s">
        <v>8</v>
      </c>
      <c r="H3">
        <v>300000000</v>
      </c>
      <c r="I3">
        <v>7.1</v>
      </c>
      <c r="J3" t="s">
        <v>8295</v>
      </c>
    </row>
    <row r="4" spans="1:10" x14ac:dyDescent="0.3">
      <c r="A4">
        <v>148</v>
      </c>
      <c r="B4">
        <v>200074175</v>
      </c>
      <c r="C4" t="s">
        <v>12</v>
      </c>
      <c r="D4" t="s">
        <v>13</v>
      </c>
      <c r="E4" t="s">
        <v>14</v>
      </c>
      <c r="F4" t="s">
        <v>7</v>
      </c>
      <c r="G4" t="s">
        <v>15</v>
      </c>
      <c r="H4">
        <v>245000000</v>
      </c>
      <c r="I4">
        <v>6.8</v>
      </c>
      <c r="J4" t="s">
        <v>8296</v>
      </c>
    </row>
    <row r="5" spans="1:10" x14ac:dyDescent="0.3">
      <c r="A5">
        <v>164</v>
      </c>
      <c r="B5">
        <v>448130642</v>
      </c>
      <c r="C5" t="s">
        <v>16</v>
      </c>
      <c r="D5" t="s">
        <v>17</v>
      </c>
      <c r="E5" t="s">
        <v>18</v>
      </c>
      <c r="F5" t="s">
        <v>7</v>
      </c>
      <c r="G5" t="s">
        <v>8</v>
      </c>
      <c r="H5">
        <v>250000000</v>
      </c>
      <c r="I5">
        <v>8.5</v>
      </c>
      <c r="J5" t="s">
        <v>8297</v>
      </c>
    </row>
    <row r="6" spans="1:10" x14ac:dyDescent="0.3">
      <c r="A6">
        <v>132</v>
      </c>
      <c r="B6">
        <v>73058679</v>
      </c>
      <c r="C6" t="s">
        <v>20</v>
      </c>
      <c r="D6" t="s">
        <v>21</v>
      </c>
      <c r="E6" t="s">
        <v>22</v>
      </c>
      <c r="F6" t="s">
        <v>7</v>
      </c>
      <c r="G6" t="s">
        <v>8</v>
      </c>
      <c r="H6">
        <v>263700000</v>
      </c>
      <c r="I6">
        <v>7.1</v>
      </c>
      <c r="J6" t="s">
        <v>8298</v>
      </c>
    </row>
    <row r="7" spans="1:10" x14ac:dyDescent="0.3">
      <c r="A7">
        <v>156</v>
      </c>
      <c r="B7">
        <v>336530303</v>
      </c>
      <c r="C7" t="s">
        <v>23</v>
      </c>
      <c r="D7" t="s">
        <v>24</v>
      </c>
      <c r="E7" t="s">
        <v>25</v>
      </c>
      <c r="F7" t="s">
        <v>7</v>
      </c>
      <c r="G7" t="s">
        <v>8</v>
      </c>
      <c r="H7">
        <v>258000000</v>
      </c>
      <c r="I7">
        <v>6.6</v>
      </c>
      <c r="J7" t="s">
        <v>8299</v>
      </c>
    </row>
    <row r="8" spans="1:10" x14ac:dyDescent="0.3">
      <c r="A8">
        <v>100</v>
      </c>
      <c r="B8">
        <v>200807262</v>
      </c>
      <c r="C8" t="s">
        <v>26</v>
      </c>
      <c r="D8" t="s">
        <v>27</v>
      </c>
      <c r="E8" t="s">
        <v>28</v>
      </c>
      <c r="F8" t="s">
        <v>7</v>
      </c>
      <c r="G8" t="s">
        <v>8</v>
      </c>
      <c r="H8">
        <v>260000000</v>
      </c>
      <c r="I8">
        <v>6.2</v>
      </c>
      <c r="J8" t="s">
        <v>8300</v>
      </c>
    </row>
    <row r="9" spans="1:10" x14ac:dyDescent="0.3">
      <c r="A9">
        <v>141</v>
      </c>
      <c r="B9">
        <v>458991599</v>
      </c>
      <c r="C9" t="s">
        <v>20</v>
      </c>
      <c r="D9" t="s">
        <v>29</v>
      </c>
      <c r="E9" t="s">
        <v>30</v>
      </c>
      <c r="F9" t="s">
        <v>7</v>
      </c>
      <c r="G9" t="s">
        <v>8</v>
      </c>
      <c r="H9">
        <v>250000000</v>
      </c>
      <c r="I9">
        <v>7.8</v>
      </c>
      <c r="J9" t="s">
        <v>8301</v>
      </c>
    </row>
    <row r="10" spans="1:10" x14ac:dyDescent="0.3">
      <c r="A10">
        <v>153</v>
      </c>
      <c r="B10">
        <v>301956980</v>
      </c>
      <c r="C10" t="s">
        <v>31</v>
      </c>
      <c r="D10" t="s">
        <v>32</v>
      </c>
      <c r="E10" t="s">
        <v>33</v>
      </c>
      <c r="F10" t="s">
        <v>7</v>
      </c>
      <c r="G10" t="s">
        <v>15</v>
      </c>
      <c r="H10">
        <v>250000000</v>
      </c>
      <c r="I10">
        <v>7.5</v>
      </c>
      <c r="J10" t="s">
        <v>8302</v>
      </c>
    </row>
    <row r="11" spans="1:10" x14ac:dyDescent="0.3">
      <c r="A11">
        <v>183</v>
      </c>
      <c r="B11">
        <v>330249062</v>
      </c>
      <c r="C11" t="s">
        <v>20</v>
      </c>
      <c r="D11" t="s">
        <v>34</v>
      </c>
      <c r="E11" t="s">
        <v>35</v>
      </c>
      <c r="F11" t="s">
        <v>7</v>
      </c>
      <c r="G11" t="s">
        <v>8</v>
      </c>
      <c r="H11">
        <v>250000000</v>
      </c>
      <c r="I11">
        <v>7.5</v>
      </c>
      <c r="J11" t="s">
        <v>8303</v>
      </c>
    </row>
    <row r="12" spans="1:10" x14ac:dyDescent="0.3">
      <c r="A12">
        <v>106</v>
      </c>
      <c r="B12">
        <v>168368427</v>
      </c>
      <c r="C12" t="s">
        <v>36</v>
      </c>
      <c r="D12" t="s">
        <v>37</v>
      </c>
      <c r="E12" t="s">
        <v>38</v>
      </c>
      <c r="F12" t="s">
        <v>7</v>
      </c>
      <c r="G12" t="s">
        <v>15</v>
      </c>
      <c r="H12">
        <v>200000000</v>
      </c>
      <c r="I12">
        <v>6.9</v>
      </c>
      <c r="J12" t="s">
        <v>8304</v>
      </c>
    </row>
    <row r="13" spans="1:10" x14ac:dyDescent="0.3">
      <c r="A13">
        <v>151</v>
      </c>
      <c r="B13">
        <v>423032628</v>
      </c>
      <c r="C13" t="s">
        <v>9</v>
      </c>
      <c r="D13" t="s">
        <v>39</v>
      </c>
      <c r="E13" t="s">
        <v>40</v>
      </c>
      <c r="F13" t="s">
        <v>7</v>
      </c>
      <c r="G13" t="s">
        <v>8</v>
      </c>
      <c r="H13">
        <v>225000000</v>
      </c>
      <c r="I13">
        <v>6.1</v>
      </c>
      <c r="J13" t="s">
        <v>8305</v>
      </c>
    </row>
    <row r="14" spans="1:10" x14ac:dyDescent="0.3">
      <c r="A14">
        <v>150</v>
      </c>
      <c r="B14">
        <v>89289910</v>
      </c>
      <c r="C14" t="s">
        <v>41</v>
      </c>
      <c r="D14" t="s">
        <v>42</v>
      </c>
      <c r="E14" t="s">
        <v>43</v>
      </c>
      <c r="F14" t="s">
        <v>7</v>
      </c>
      <c r="G14" t="s">
        <v>8</v>
      </c>
      <c r="H14">
        <v>215000000</v>
      </c>
      <c r="I14">
        <v>6.7</v>
      </c>
      <c r="J14" t="s">
        <v>8306</v>
      </c>
    </row>
    <row r="15" spans="1:10" x14ac:dyDescent="0.3">
      <c r="A15">
        <v>143</v>
      </c>
      <c r="B15">
        <v>291021565</v>
      </c>
      <c r="C15" t="s">
        <v>4</v>
      </c>
      <c r="D15" t="s">
        <v>44</v>
      </c>
      <c r="E15" t="s">
        <v>45</v>
      </c>
      <c r="F15" t="s">
        <v>7</v>
      </c>
      <c r="G15" t="s">
        <v>8</v>
      </c>
      <c r="H15">
        <v>225000000</v>
      </c>
      <c r="I15">
        <v>7.3</v>
      </c>
      <c r="J15" t="s">
        <v>8295</v>
      </c>
    </row>
    <row r="16" spans="1:10" x14ac:dyDescent="0.3">
      <c r="A16">
        <v>150</v>
      </c>
      <c r="B16">
        <v>141614023</v>
      </c>
      <c r="C16" t="s">
        <v>46</v>
      </c>
      <c r="D16" t="s">
        <v>47</v>
      </c>
      <c r="E16" t="s">
        <v>48</v>
      </c>
      <c r="F16" t="s">
        <v>7</v>
      </c>
      <c r="G16" t="s">
        <v>8</v>
      </c>
      <c r="H16">
        <v>225000000</v>
      </c>
      <c r="I16">
        <v>6.5</v>
      </c>
      <c r="J16" t="s">
        <v>8295</v>
      </c>
    </row>
    <row r="17" spans="1:10" x14ac:dyDescent="0.3">
      <c r="A17">
        <v>173</v>
      </c>
      <c r="B17">
        <v>623279547</v>
      </c>
      <c r="C17" t="s">
        <v>20</v>
      </c>
      <c r="D17" t="s">
        <v>49</v>
      </c>
      <c r="E17" t="s">
        <v>50</v>
      </c>
      <c r="F17" t="s">
        <v>7</v>
      </c>
      <c r="G17" t="s">
        <v>8</v>
      </c>
      <c r="H17">
        <v>220000000</v>
      </c>
      <c r="I17">
        <v>7.2</v>
      </c>
      <c r="J17" t="s">
        <v>8304</v>
      </c>
    </row>
    <row r="18" spans="1:10" x14ac:dyDescent="0.3">
      <c r="A18">
        <v>136</v>
      </c>
      <c r="B18">
        <v>241063875</v>
      </c>
      <c r="C18" t="s">
        <v>9</v>
      </c>
      <c r="D18" t="s">
        <v>51</v>
      </c>
      <c r="E18" t="s">
        <v>52</v>
      </c>
      <c r="F18" t="s">
        <v>7</v>
      </c>
      <c r="G18" t="s">
        <v>8</v>
      </c>
      <c r="H18">
        <v>250000000</v>
      </c>
      <c r="I18">
        <v>6.6</v>
      </c>
      <c r="J18" t="s">
        <v>8307</v>
      </c>
    </row>
    <row r="19" spans="1:10" x14ac:dyDescent="0.3">
      <c r="A19">
        <v>106</v>
      </c>
      <c r="B19">
        <v>179020854</v>
      </c>
      <c r="C19" t="s">
        <v>53</v>
      </c>
      <c r="D19" t="s">
        <v>54</v>
      </c>
      <c r="E19" t="s">
        <v>55</v>
      </c>
      <c r="F19" t="s">
        <v>7</v>
      </c>
      <c r="G19" t="s">
        <v>8</v>
      </c>
      <c r="H19">
        <v>225000000</v>
      </c>
      <c r="I19">
        <v>8.1</v>
      </c>
      <c r="J19" t="s">
        <v>8302</v>
      </c>
    </row>
    <row r="20" spans="1:10" x14ac:dyDescent="0.3">
      <c r="A20">
        <v>164</v>
      </c>
      <c r="B20">
        <v>255108370</v>
      </c>
      <c r="C20" t="s">
        <v>56</v>
      </c>
      <c r="D20" t="s">
        <v>57</v>
      </c>
      <c r="E20" t="s">
        <v>58</v>
      </c>
      <c r="F20" t="s">
        <v>7</v>
      </c>
      <c r="G20" t="s">
        <v>59</v>
      </c>
      <c r="H20">
        <v>250000000</v>
      </c>
      <c r="I20">
        <v>6.7</v>
      </c>
      <c r="J20" t="s">
        <v>8308</v>
      </c>
    </row>
    <row r="21" spans="1:10" x14ac:dyDescent="0.3">
      <c r="A21">
        <v>153</v>
      </c>
      <c r="B21">
        <v>262030663</v>
      </c>
      <c r="C21" t="s">
        <v>9</v>
      </c>
      <c r="D21" t="s">
        <v>60</v>
      </c>
      <c r="E21" t="s">
        <v>61</v>
      </c>
      <c r="F21" t="s">
        <v>7</v>
      </c>
      <c r="G21" t="s">
        <v>8</v>
      </c>
      <c r="H21">
        <v>230000000</v>
      </c>
      <c r="I21">
        <v>6.8</v>
      </c>
      <c r="J21" t="s">
        <v>8309</v>
      </c>
    </row>
    <row r="22" spans="1:10" x14ac:dyDescent="0.3">
      <c r="A22">
        <v>156</v>
      </c>
      <c r="B22">
        <v>105219735</v>
      </c>
      <c r="C22" t="s">
        <v>62</v>
      </c>
      <c r="D22" t="s">
        <v>63</v>
      </c>
      <c r="E22" t="s">
        <v>64</v>
      </c>
      <c r="F22" t="s">
        <v>7</v>
      </c>
      <c r="G22" t="s">
        <v>8</v>
      </c>
      <c r="H22">
        <v>200000000</v>
      </c>
      <c r="I22">
        <v>7.5</v>
      </c>
      <c r="J22" t="s">
        <v>8310</v>
      </c>
    </row>
    <row r="23" spans="1:10" x14ac:dyDescent="0.3">
      <c r="A23">
        <v>186</v>
      </c>
      <c r="B23">
        <v>258355354</v>
      </c>
      <c r="C23" t="s">
        <v>56</v>
      </c>
      <c r="D23" t="s">
        <v>65</v>
      </c>
      <c r="E23" t="s">
        <v>66</v>
      </c>
      <c r="F23" t="s">
        <v>7</v>
      </c>
      <c r="G23" t="s">
        <v>8</v>
      </c>
      <c r="H23">
        <v>225000000</v>
      </c>
      <c r="I23">
        <v>7</v>
      </c>
      <c r="J23" t="s">
        <v>8311</v>
      </c>
    </row>
    <row r="24" spans="1:10" x14ac:dyDescent="0.3">
      <c r="A24">
        <v>113</v>
      </c>
      <c r="B24">
        <v>70083519</v>
      </c>
      <c r="C24" t="s">
        <v>67</v>
      </c>
      <c r="D24" t="s">
        <v>68</v>
      </c>
      <c r="E24" t="s">
        <v>69</v>
      </c>
      <c r="F24" t="s">
        <v>7</v>
      </c>
      <c r="G24" t="s">
        <v>8</v>
      </c>
      <c r="H24">
        <v>180000000</v>
      </c>
      <c r="I24">
        <v>6.7</v>
      </c>
      <c r="J24" t="s">
        <v>8312</v>
      </c>
    </row>
    <row r="25" spans="1:10" x14ac:dyDescent="0.3">
      <c r="A25">
        <v>201</v>
      </c>
      <c r="B25">
        <v>218051260</v>
      </c>
      <c r="C25" t="s">
        <v>70</v>
      </c>
      <c r="D25" t="s">
        <v>71</v>
      </c>
      <c r="E25" t="s">
        <v>72</v>
      </c>
      <c r="F25" t="s">
        <v>7</v>
      </c>
      <c r="G25" t="s">
        <v>59</v>
      </c>
      <c r="H25">
        <v>207000000</v>
      </c>
      <c r="I25">
        <v>7.9</v>
      </c>
      <c r="J25" t="s">
        <v>8310</v>
      </c>
    </row>
    <row r="26" spans="1:10" x14ac:dyDescent="0.3">
      <c r="A26">
        <v>194</v>
      </c>
      <c r="B26">
        <v>658672302</v>
      </c>
      <c r="C26" t="s">
        <v>73</v>
      </c>
      <c r="D26" t="s">
        <v>74</v>
      </c>
      <c r="E26" t="s">
        <v>75</v>
      </c>
      <c r="F26" t="s">
        <v>7</v>
      </c>
      <c r="G26" t="s">
        <v>8</v>
      </c>
      <c r="H26">
        <v>200000000</v>
      </c>
      <c r="I26">
        <v>6.1</v>
      </c>
      <c r="J26" t="s">
        <v>8313</v>
      </c>
    </row>
    <row r="27" spans="1:10" x14ac:dyDescent="0.3">
      <c r="A27">
        <v>147</v>
      </c>
      <c r="B27">
        <v>407197282</v>
      </c>
      <c r="C27" t="s">
        <v>20</v>
      </c>
      <c r="D27" t="s">
        <v>76</v>
      </c>
      <c r="E27" t="s">
        <v>77</v>
      </c>
      <c r="F27" t="s">
        <v>7</v>
      </c>
      <c r="G27" t="s">
        <v>8</v>
      </c>
      <c r="H27">
        <v>250000000</v>
      </c>
      <c r="I27">
        <v>7.2</v>
      </c>
      <c r="J27" t="s">
        <v>8310</v>
      </c>
    </row>
    <row r="28" spans="1:10" x14ac:dyDescent="0.3">
      <c r="A28">
        <v>131</v>
      </c>
      <c r="B28">
        <v>65173160</v>
      </c>
      <c r="C28" t="s">
        <v>78</v>
      </c>
      <c r="D28" t="s">
        <v>79</v>
      </c>
      <c r="E28" t="s">
        <v>80</v>
      </c>
      <c r="F28" t="s">
        <v>7</v>
      </c>
      <c r="G28" t="s">
        <v>8</v>
      </c>
      <c r="H28">
        <v>209000000</v>
      </c>
      <c r="I28">
        <v>7.7</v>
      </c>
      <c r="J28" t="s">
        <v>8294</v>
      </c>
    </row>
    <row r="29" spans="1:10" x14ac:dyDescent="0.3">
      <c r="A29">
        <v>124</v>
      </c>
      <c r="B29">
        <v>652177271</v>
      </c>
      <c r="C29" t="s">
        <v>78</v>
      </c>
      <c r="D29" t="s">
        <v>81</v>
      </c>
      <c r="E29" t="s">
        <v>82</v>
      </c>
      <c r="F29" t="s">
        <v>7</v>
      </c>
      <c r="G29" t="s">
        <v>8</v>
      </c>
      <c r="H29">
        <v>150000000</v>
      </c>
      <c r="I29">
        <v>8.1999999999999993</v>
      </c>
      <c r="J29" t="s">
        <v>8314</v>
      </c>
    </row>
    <row r="30" spans="1:10" x14ac:dyDescent="0.3">
      <c r="A30">
        <v>143</v>
      </c>
      <c r="B30">
        <v>304360277</v>
      </c>
      <c r="C30" t="s">
        <v>12</v>
      </c>
      <c r="D30" t="s">
        <v>83</v>
      </c>
      <c r="E30" t="s">
        <v>84</v>
      </c>
      <c r="F30" t="s">
        <v>7</v>
      </c>
      <c r="G30" t="s">
        <v>15</v>
      </c>
      <c r="H30">
        <v>200000000</v>
      </c>
      <c r="I30">
        <v>5.9</v>
      </c>
      <c r="J30" t="s">
        <v>8315</v>
      </c>
    </row>
    <row r="31" spans="1:10" x14ac:dyDescent="0.3">
      <c r="A31">
        <v>135</v>
      </c>
      <c r="B31">
        <v>373377893</v>
      </c>
      <c r="C31" t="s">
        <v>85</v>
      </c>
      <c r="D31" t="s">
        <v>86</v>
      </c>
      <c r="E31" t="s">
        <v>87</v>
      </c>
      <c r="F31" t="s">
        <v>7</v>
      </c>
      <c r="G31" t="s">
        <v>8</v>
      </c>
      <c r="H31">
        <v>200000000</v>
      </c>
      <c r="I31">
        <v>7</v>
      </c>
      <c r="J31" t="s">
        <v>8316</v>
      </c>
    </row>
    <row r="32" spans="1:10" x14ac:dyDescent="0.3">
      <c r="A32">
        <v>195</v>
      </c>
      <c r="B32">
        <v>408992272</v>
      </c>
      <c r="C32" t="s">
        <v>20</v>
      </c>
      <c r="D32" t="s">
        <v>88</v>
      </c>
      <c r="E32" t="s">
        <v>89</v>
      </c>
      <c r="F32" t="s">
        <v>7</v>
      </c>
      <c r="G32" t="s">
        <v>8</v>
      </c>
      <c r="H32">
        <v>200000000</v>
      </c>
      <c r="I32">
        <v>7.8</v>
      </c>
      <c r="J32" t="s">
        <v>8296</v>
      </c>
    </row>
    <row r="33" spans="1:10" x14ac:dyDescent="0.3">
      <c r="A33">
        <v>108</v>
      </c>
      <c r="B33">
        <v>334185206</v>
      </c>
      <c r="C33" t="s">
        <v>67</v>
      </c>
      <c r="D33" t="s">
        <v>90</v>
      </c>
      <c r="E33" t="s">
        <v>91</v>
      </c>
      <c r="F33" t="s">
        <v>7</v>
      </c>
      <c r="G33" t="s">
        <v>8</v>
      </c>
      <c r="H33">
        <v>200000000</v>
      </c>
      <c r="I33">
        <v>7.3</v>
      </c>
      <c r="J33" t="s">
        <v>8300</v>
      </c>
    </row>
    <row r="34" spans="1:10" x14ac:dyDescent="0.3">
      <c r="A34">
        <v>104</v>
      </c>
      <c r="B34">
        <v>234360014</v>
      </c>
      <c r="C34" t="s">
        <v>92</v>
      </c>
      <c r="D34" t="s">
        <v>93</v>
      </c>
      <c r="E34" t="s">
        <v>94</v>
      </c>
      <c r="F34" t="s">
        <v>7</v>
      </c>
      <c r="G34" t="s">
        <v>95</v>
      </c>
      <c r="H34">
        <v>210000000</v>
      </c>
      <c r="I34">
        <v>7.2</v>
      </c>
      <c r="J34" t="s">
        <v>8317</v>
      </c>
    </row>
    <row r="35" spans="1:10" x14ac:dyDescent="0.3">
      <c r="A35">
        <v>104</v>
      </c>
      <c r="B35">
        <v>268488329</v>
      </c>
      <c r="C35" t="s">
        <v>96</v>
      </c>
      <c r="D35" t="s">
        <v>97</v>
      </c>
      <c r="E35" t="s">
        <v>98</v>
      </c>
      <c r="F35" t="s">
        <v>7</v>
      </c>
      <c r="G35" t="s">
        <v>8</v>
      </c>
      <c r="H35">
        <v>200000000</v>
      </c>
      <c r="I35">
        <v>6.5</v>
      </c>
      <c r="J35" t="s">
        <v>8318</v>
      </c>
    </row>
    <row r="36" spans="1:10" x14ac:dyDescent="0.3">
      <c r="A36">
        <v>150</v>
      </c>
      <c r="B36">
        <v>402076689</v>
      </c>
      <c r="C36" t="s">
        <v>20</v>
      </c>
      <c r="D36" t="s">
        <v>99</v>
      </c>
      <c r="E36" t="s">
        <v>100</v>
      </c>
      <c r="F36" t="s">
        <v>7</v>
      </c>
      <c r="G36" t="s">
        <v>8</v>
      </c>
      <c r="H36">
        <v>200000000</v>
      </c>
      <c r="I36">
        <v>6.8</v>
      </c>
      <c r="J36" t="s">
        <v>8319</v>
      </c>
    </row>
    <row r="37" spans="1:10" x14ac:dyDescent="0.3">
      <c r="A37">
        <v>165</v>
      </c>
      <c r="B37">
        <v>245428137</v>
      </c>
      <c r="C37" t="s">
        <v>20</v>
      </c>
      <c r="D37" t="s">
        <v>101</v>
      </c>
      <c r="E37" t="s">
        <v>102</v>
      </c>
      <c r="F37" t="s">
        <v>7</v>
      </c>
      <c r="G37" t="s">
        <v>8</v>
      </c>
      <c r="H37">
        <v>210000000</v>
      </c>
      <c r="I37">
        <v>7.3</v>
      </c>
      <c r="J37" t="s">
        <v>8320</v>
      </c>
    </row>
    <row r="38" spans="1:10" x14ac:dyDescent="0.3">
      <c r="A38">
        <v>130</v>
      </c>
      <c r="B38">
        <v>234903076</v>
      </c>
      <c r="C38" t="s">
        <v>67</v>
      </c>
      <c r="D38" t="s">
        <v>103</v>
      </c>
      <c r="E38" t="s">
        <v>104</v>
      </c>
      <c r="F38" t="s">
        <v>7</v>
      </c>
      <c r="G38" t="s">
        <v>8</v>
      </c>
      <c r="H38">
        <v>215000000</v>
      </c>
      <c r="I38">
        <v>6</v>
      </c>
      <c r="J38" t="s">
        <v>8321</v>
      </c>
    </row>
    <row r="39" spans="1:10" x14ac:dyDescent="0.3">
      <c r="A39">
        <v>142</v>
      </c>
      <c r="B39">
        <v>202853933</v>
      </c>
      <c r="C39" t="s">
        <v>4</v>
      </c>
      <c r="D39" t="s">
        <v>105</v>
      </c>
      <c r="E39" t="s">
        <v>106</v>
      </c>
      <c r="F39" t="s">
        <v>7</v>
      </c>
      <c r="G39" t="s">
        <v>8</v>
      </c>
      <c r="H39">
        <v>200000000</v>
      </c>
      <c r="I39">
        <v>5.7</v>
      </c>
      <c r="J39" t="s">
        <v>8321</v>
      </c>
    </row>
    <row r="40" spans="1:10" x14ac:dyDescent="0.3">
      <c r="A40">
        <v>125</v>
      </c>
      <c r="B40">
        <v>172051787</v>
      </c>
      <c r="C40" t="s">
        <v>20</v>
      </c>
      <c r="D40" t="s">
        <v>107</v>
      </c>
      <c r="E40" t="s">
        <v>108</v>
      </c>
      <c r="F40" t="s">
        <v>7</v>
      </c>
      <c r="G40" t="s">
        <v>8</v>
      </c>
      <c r="H40">
        <v>170000000</v>
      </c>
      <c r="I40">
        <v>6.4</v>
      </c>
      <c r="J40" t="s">
        <v>8300</v>
      </c>
    </row>
    <row r="41" spans="1:10" x14ac:dyDescent="0.3">
      <c r="A41">
        <v>106</v>
      </c>
      <c r="B41">
        <v>191450875</v>
      </c>
      <c r="C41" t="s">
        <v>109</v>
      </c>
      <c r="D41" t="s">
        <v>110</v>
      </c>
      <c r="E41" t="s">
        <v>111</v>
      </c>
      <c r="F41" t="s">
        <v>7</v>
      </c>
      <c r="G41" t="s">
        <v>8</v>
      </c>
      <c r="H41">
        <v>200000000</v>
      </c>
      <c r="I41">
        <v>6.7</v>
      </c>
      <c r="J41" t="s">
        <v>8311</v>
      </c>
    </row>
    <row r="42" spans="1:10" x14ac:dyDescent="0.3">
      <c r="A42">
        <v>123</v>
      </c>
      <c r="B42">
        <v>116593191</v>
      </c>
      <c r="C42" t="s">
        <v>20</v>
      </c>
      <c r="D42" t="s">
        <v>112</v>
      </c>
      <c r="E42" t="s">
        <v>113</v>
      </c>
      <c r="F42" t="s">
        <v>7</v>
      </c>
      <c r="G42" t="s">
        <v>8</v>
      </c>
      <c r="H42">
        <v>200000000</v>
      </c>
      <c r="I42">
        <v>6.8</v>
      </c>
      <c r="J42" t="s">
        <v>8322</v>
      </c>
    </row>
    <row r="43" spans="1:10" x14ac:dyDescent="0.3">
      <c r="A43">
        <v>103</v>
      </c>
      <c r="B43">
        <v>414984497</v>
      </c>
      <c r="C43" t="s">
        <v>96</v>
      </c>
      <c r="D43" t="s">
        <v>114</v>
      </c>
      <c r="E43" t="s">
        <v>115</v>
      </c>
      <c r="F43" t="s">
        <v>7</v>
      </c>
      <c r="G43" t="s">
        <v>8</v>
      </c>
      <c r="H43">
        <v>200000000</v>
      </c>
      <c r="I43">
        <v>6.3</v>
      </c>
      <c r="J43" t="s">
        <v>8323</v>
      </c>
    </row>
    <row r="44" spans="1:10" x14ac:dyDescent="0.3">
      <c r="A44">
        <v>118</v>
      </c>
      <c r="B44">
        <v>125320003</v>
      </c>
      <c r="C44" t="s">
        <v>20</v>
      </c>
      <c r="D44" t="s">
        <v>116</v>
      </c>
      <c r="E44" t="s">
        <v>117</v>
      </c>
      <c r="F44" t="s">
        <v>7</v>
      </c>
      <c r="G44" t="s">
        <v>8</v>
      </c>
      <c r="H44">
        <v>200000000</v>
      </c>
      <c r="I44">
        <v>5.6</v>
      </c>
      <c r="J44" t="s">
        <v>8324</v>
      </c>
    </row>
    <row r="45" spans="1:10" x14ac:dyDescent="0.3">
      <c r="A45">
        <v>140</v>
      </c>
      <c r="B45">
        <v>350034110</v>
      </c>
      <c r="C45" t="s">
        <v>118</v>
      </c>
      <c r="D45" t="s">
        <v>119</v>
      </c>
      <c r="E45" t="s">
        <v>120</v>
      </c>
      <c r="F45" t="s">
        <v>7</v>
      </c>
      <c r="G45" t="s">
        <v>8</v>
      </c>
      <c r="H45">
        <v>190000000</v>
      </c>
      <c r="I45">
        <v>8.3000000000000007</v>
      </c>
      <c r="J45" t="s">
        <v>8325</v>
      </c>
    </row>
    <row r="46" spans="1:10" x14ac:dyDescent="0.3">
      <c r="A46">
        <v>123</v>
      </c>
      <c r="B46">
        <v>202351611</v>
      </c>
      <c r="C46" t="s">
        <v>121</v>
      </c>
      <c r="D46" t="s">
        <v>122</v>
      </c>
      <c r="E46" t="s">
        <v>123</v>
      </c>
      <c r="F46" t="s">
        <v>7</v>
      </c>
      <c r="G46" t="s">
        <v>8</v>
      </c>
      <c r="H46">
        <v>190000000</v>
      </c>
      <c r="I46">
        <v>6.6</v>
      </c>
      <c r="J46" t="s">
        <v>8326</v>
      </c>
    </row>
    <row r="47" spans="1:10" x14ac:dyDescent="0.3">
      <c r="A47">
        <v>149</v>
      </c>
      <c r="B47">
        <v>233914986</v>
      </c>
      <c r="C47" t="s">
        <v>92</v>
      </c>
      <c r="D47" t="s">
        <v>124</v>
      </c>
      <c r="E47" t="s">
        <v>125</v>
      </c>
      <c r="F47" t="s">
        <v>7</v>
      </c>
      <c r="G47" t="s">
        <v>8</v>
      </c>
      <c r="H47">
        <v>200000000</v>
      </c>
      <c r="I47">
        <v>7.2</v>
      </c>
      <c r="J47" t="s">
        <v>8327</v>
      </c>
    </row>
    <row r="48" spans="1:10" x14ac:dyDescent="0.3">
      <c r="A48">
        <v>132</v>
      </c>
      <c r="B48">
        <v>228756232</v>
      </c>
      <c r="C48" t="s">
        <v>20</v>
      </c>
      <c r="D48" t="s">
        <v>126</v>
      </c>
      <c r="E48" t="s">
        <v>127</v>
      </c>
      <c r="F48" t="s">
        <v>7</v>
      </c>
      <c r="G48" t="s">
        <v>8</v>
      </c>
      <c r="H48">
        <v>190000000</v>
      </c>
      <c r="I48">
        <v>7</v>
      </c>
      <c r="J48" t="s">
        <v>8306</v>
      </c>
    </row>
    <row r="49" spans="1:10" x14ac:dyDescent="0.3">
      <c r="A49">
        <v>114</v>
      </c>
      <c r="B49">
        <v>65171860</v>
      </c>
      <c r="C49" t="s">
        <v>56</v>
      </c>
      <c r="D49" t="s">
        <v>128</v>
      </c>
      <c r="E49" t="s">
        <v>129</v>
      </c>
      <c r="F49" t="s">
        <v>7</v>
      </c>
      <c r="G49" t="s">
        <v>8</v>
      </c>
      <c r="H49">
        <v>195000000</v>
      </c>
      <c r="I49">
        <v>8</v>
      </c>
      <c r="J49" t="s">
        <v>8305</v>
      </c>
    </row>
    <row r="50" spans="1:10" x14ac:dyDescent="0.3">
      <c r="A50">
        <v>143</v>
      </c>
      <c r="B50">
        <v>144812796</v>
      </c>
      <c r="C50" t="s">
        <v>73</v>
      </c>
      <c r="D50" t="s">
        <v>130</v>
      </c>
      <c r="E50" t="s">
        <v>131</v>
      </c>
      <c r="F50" t="s">
        <v>7</v>
      </c>
      <c r="G50" t="s">
        <v>132</v>
      </c>
      <c r="H50">
        <v>105000000</v>
      </c>
      <c r="I50">
        <v>7.8</v>
      </c>
      <c r="J50" t="s">
        <v>8328</v>
      </c>
    </row>
    <row r="51" spans="1:10" x14ac:dyDescent="0.3">
      <c r="A51">
        <v>116</v>
      </c>
      <c r="B51">
        <v>90755643</v>
      </c>
      <c r="C51" t="s">
        <v>85</v>
      </c>
      <c r="D51" t="s">
        <v>133</v>
      </c>
      <c r="E51" t="s">
        <v>134</v>
      </c>
      <c r="F51" t="s">
        <v>7</v>
      </c>
      <c r="G51" t="s">
        <v>8</v>
      </c>
      <c r="H51">
        <v>200000000</v>
      </c>
      <c r="I51">
        <v>6.3</v>
      </c>
      <c r="J51" t="s">
        <v>8305</v>
      </c>
    </row>
    <row r="52" spans="1:10" x14ac:dyDescent="0.3">
      <c r="A52">
        <v>131</v>
      </c>
      <c r="B52">
        <v>101785482</v>
      </c>
      <c r="C52" t="s">
        <v>20</v>
      </c>
      <c r="D52" t="s">
        <v>135</v>
      </c>
      <c r="E52" t="s">
        <v>136</v>
      </c>
      <c r="F52" t="s">
        <v>7</v>
      </c>
      <c r="G52" t="s">
        <v>8</v>
      </c>
      <c r="H52">
        <v>190000000</v>
      </c>
      <c r="I52">
        <v>7.3</v>
      </c>
      <c r="J52" t="s">
        <v>8329</v>
      </c>
    </row>
    <row r="53" spans="1:10" x14ac:dyDescent="0.3">
      <c r="A53">
        <v>154</v>
      </c>
      <c r="B53">
        <v>352358779</v>
      </c>
      <c r="C53" t="s">
        <v>20</v>
      </c>
      <c r="D53" t="s">
        <v>137</v>
      </c>
      <c r="E53" t="s">
        <v>138</v>
      </c>
      <c r="F53" t="s">
        <v>7</v>
      </c>
      <c r="G53" t="s">
        <v>8</v>
      </c>
      <c r="H53">
        <v>195000000</v>
      </c>
      <c r="I53">
        <v>6.6</v>
      </c>
      <c r="J53" t="s">
        <v>8330</v>
      </c>
    </row>
    <row r="54" spans="1:10" x14ac:dyDescent="0.3">
      <c r="A54">
        <v>122</v>
      </c>
      <c r="B54">
        <v>317011114</v>
      </c>
      <c r="C54" t="s">
        <v>9</v>
      </c>
      <c r="D54" t="s">
        <v>139</v>
      </c>
      <c r="E54" t="s">
        <v>140</v>
      </c>
      <c r="F54" t="s">
        <v>7</v>
      </c>
      <c r="G54" t="s">
        <v>8</v>
      </c>
      <c r="H54">
        <v>185000000</v>
      </c>
      <c r="I54">
        <v>7</v>
      </c>
      <c r="J54" t="s">
        <v>8331</v>
      </c>
    </row>
    <row r="55" spans="1:10" x14ac:dyDescent="0.3">
      <c r="A55">
        <v>93</v>
      </c>
      <c r="B55">
        <v>237282182</v>
      </c>
      <c r="C55" t="s">
        <v>96</v>
      </c>
      <c r="D55" t="s">
        <v>141</v>
      </c>
      <c r="E55" t="s">
        <v>142</v>
      </c>
      <c r="F55" t="s">
        <v>7</v>
      </c>
      <c r="G55" t="s">
        <v>8</v>
      </c>
      <c r="H55">
        <v>185000000</v>
      </c>
      <c r="I55">
        <v>6.3</v>
      </c>
      <c r="J55" t="s">
        <v>8321</v>
      </c>
    </row>
    <row r="56" spans="1:10" x14ac:dyDescent="0.3">
      <c r="A56">
        <v>122</v>
      </c>
      <c r="B56">
        <v>130468626</v>
      </c>
      <c r="C56" t="s">
        <v>78</v>
      </c>
      <c r="D56" t="s">
        <v>143</v>
      </c>
      <c r="E56" t="s">
        <v>144</v>
      </c>
      <c r="F56" t="s">
        <v>7</v>
      </c>
      <c r="G56" t="s">
        <v>8</v>
      </c>
      <c r="H56">
        <v>185000000</v>
      </c>
      <c r="I56">
        <v>6.2</v>
      </c>
      <c r="J56" t="s">
        <v>8332</v>
      </c>
    </row>
    <row r="57" spans="1:10" x14ac:dyDescent="0.3">
      <c r="A57">
        <v>98</v>
      </c>
      <c r="B57">
        <v>223806889</v>
      </c>
      <c r="C57" t="s">
        <v>145</v>
      </c>
      <c r="D57" t="s">
        <v>146</v>
      </c>
      <c r="E57" t="s">
        <v>147</v>
      </c>
      <c r="F57" t="s">
        <v>7</v>
      </c>
      <c r="G57" t="s">
        <v>8</v>
      </c>
      <c r="H57">
        <v>180000000</v>
      </c>
      <c r="I57">
        <v>6.8</v>
      </c>
      <c r="J57" t="s">
        <v>8333</v>
      </c>
    </row>
    <row r="58" spans="1:10" x14ac:dyDescent="0.3">
      <c r="A58">
        <v>91</v>
      </c>
      <c r="B58">
        <v>140080850</v>
      </c>
      <c r="C58" t="s">
        <v>148</v>
      </c>
      <c r="D58" t="s">
        <v>149</v>
      </c>
      <c r="E58" t="s">
        <v>150</v>
      </c>
      <c r="F58" t="s">
        <v>7</v>
      </c>
      <c r="G58" t="s">
        <v>8</v>
      </c>
      <c r="H58">
        <v>140000000</v>
      </c>
      <c r="I58">
        <v>7.2</v>
      </c>
      <c r="J58" t="s">
        <v>8334</v>
      </c>
    </row>
    <row r="59" spans="1:10" x14ac:dyDescent="0.3">
      <c r="A59">
        <v>158</v>
      </c>
      <c r="B59">
        <v>166112167</v>
      </c>
      <c r="C59" t="s">
        <v>20</v>
      </c>
      <c r="D59" t="s">
        <v>151</v>
      </c>
      <c r="E59" t="s">
        <v>152</v>
      </c>
      <c r="F59" t="s">
        <v>7</v>
      </c>
      <c r="G59" t="s">
        <v>8</v>
      </c>
      <c r="H59">
        <v>200000000</v>
      </c>
      <c r="I59">
        <v>7.5</v>
      </c>
      <c r="J59" t="s">
        <v>8335</v>
      </c>
    </row>
    <row r="60" spans="1:10" x14ac:dyDescent="0.3">
      <c r="A60">
        <v>96</v>
      </c>
      <c r="B60">
        <v>137850096</v>
      </c>
      <c r="C60" t="s">
        <v>153</v>
      </c>
      <c r="D60" t="s">
        <v>154</v>
      </c>
      <c r="E60" t="s">
        <v>155</v>
      </c>
      <c r="F60" t="s">
        <v>7</v>
      </c>
      <c r="G60" t="s">
        <v>8</v>
      </c>
      <c r="H60">
        <v>200000000</v>
      </c>
      <c r="I60">
        <v>8.4</v>
      </c>
      <c r="J60" t="s">
        <v>8299</v>
      </c>
    </row>
    <row r="61" spans="1:10" x14ac:dyDescent="0.3">
      <c r="A61">
        <v>127</v>
      </c>
      <c r="B61">
        <v>47375327</v>
      </c>
      <c r="C61" t="s">
        <v>20</v>
      </c>
      <c r="D61" t="s">
        <v>156</v>
      </c>
      <c r="E61" t="s">
        <v>157</v>
      </c>
      <c r="F61" t="s">
        <v>7</v>
      </c>
      <c r="G61" t="s">
        <v>8</v>
      </c>
      <c r="H61">
        <v>176000000</v>
      </c>
      <c r="I61">
        <v>6.2</v>
      </c>
      <c r="J61" t="s">
        <v>8319</v>
      </c>
    </row>
    <row r="62" spans="1:10" x14ac:dyDescent="0.3">
      <c r="A62">
        <v>110</v>
      </c>
      <c r="B62">
        <v>124051759</v>
      </c>
      <c r="C62" t="s">
        <v>70</v>
      </c>
      <c r="D62" t="s">
        <v>158</v>
      </c>
      <c r="E62" t="s">
        <v>159</v>
      </c>
      <c r="F62" t="s">
        <v>7</v>
      </c>
      <c r="G62" t="s">
        <v>8</v>
      </c>
      <c r="H62">
        <v>180000000</v>
      </c>
      <c r="I62">
        <v>5.8</v>
      </c>
      <c r="J62" t="s">
        <v>8336</v>
      </c>
    </row>
    <row r="63" spans="1:10" x14ac:dyDescent="0.3">
      <c r="A63">
        <v>150</v>
      </c>
      <c r="B63">
        <v>291709845</v>
      </c>
      <c r="C63" t="s">
        <v>67</v>
      </c>
      <c r="D63" t="s">
        <v>160</v>
      </c>
      <c r="E63" t="s">
        <v>161</v>
      </c>
      <c r="F63" t="s">
        <v>7</v>
      </c>
      <c r="G63" t="s">
        <v>8</v>
      </c>
      <c r="H63">
        <v>180000000</v>
      </c>
      <c r="I63">
        <v>6.8</v>
      </c>
      <c r="J63" t="s">
        <v>8337</v>
      </c>
    </row>
    <row r="64" spans="1:10" x14ac:dyDescent="0.3">
      <c r="A64">
        <v>144</v>
      </c>
      <c r="B64">
        <v>154985087</v>
      </c>
      <c r="C64" t="s">
        <v>20</v>
      </c>
      <c r="D64" t="s">
        <v>162</v>
      </c>
      <c r="E64" t="s">
        <v>163</v>
      </c>
      <c r="F64" t="s">
        <v>7</v>
      </c>
      <c r="G64" t="s">
        <v>8</v>
      </c>
      <c r="H64">
        <v>178000000</v>
      </c>
      <c r="I64">
        <v>5.4</v>
      </c>
      <c r="J64" t="s">
        <v>8338</v>
      </c>
    </row>
    <row r="65" spans="1:10" x14ac:dyDescent="0.3">
      <c r="A65">
        <v>152</v>
      </c>
      <c r="B65">
        <v>533316061</v>
      </c>
      <c r="C65" t="s">
        <v>164</v>
      </c>
      <c r="D65" t="s">
        <v>165</v>
      </c>
      <c r="E65" t="s">
        <v>166</v>
      </c>
      <c r="F65" t="s">
        <v>7</v>
      </c>
      <c r="G65" t="s">
        <v>8</v>
      </c>
      <c r="H65">
        <v>185000000</v>
      </c>
      <c r="I65">
        <v>6.6</v>
      </c>
      <c r="J65" t="s">
        <v>8303</v>
      </c>
    </row>
    <row r="66" spans="1:10" x14ac:dyDescent="0.3">
      <c r="A66">
        <v>96</v>
      </c>
      <c r="B66">
        <v>292979556</v>
      </c>
      <c r="C66" t="s">
        <v>167</v>
      </c>
      <c r="D66" t="s">
        <v>168</v>
      </c>
      <c r="E66" t="s">
        <v>169</v>
      </c>
      <c r="F66" t="s">
        <v>7</v>
      </c>
      <c r="G66" t="s">
        <v>8</v>
      </c>
      <c r="H66">
        <v>175000000</v>
      </c>
      <c r="I66">
        <v>6.9</v>
      </c>
      <c r="J66" t="s">
        <v>8307</v>
      </c>
    </row>
    <row r="67" spans="1:10" x14ac:dyDescent="0.3">
      <c r="A67">
        <v>94</v>
      </c>
      <c r="B67">
        <v>198332128</v>
      </c>
      <c r="C67" t="s">
        <v>170</v>
      </c>
      <c r="D67" t="s">
        <v>171</v>
      </c>
      <c r="E67" t="s">
        <v>172</v>
      </c>
      <c r="F67" t="s">
        <v>7</v>
      </c>
      <c r="G67" t="s">
        <v>8</v>
      </c>
      <c r="H67">
        <v>175000000</v>
      </c>
      <c r="I67">
        <v>7.3</v>
      </c>
      <c r="J67" t="s">
        <v>8305</v>
      </c>
    </row>
    <row r="68" spans="1:10" x14ac:dyDescent="0.3">
      <c r="A68">
        <v>126</v>
      </c>
      <c r="B68">
        <v>318298180</v>
      </c>
      <c r="C68" t="s">
        <v>20</v>
      </c>
      <c r="D68" t="s">
        <v>173</v>
      </c>
      <c r="E68" t="s">
        <v>174</v>
      </c>
      <c r="F68" t="s">
        <v>7</v>
      </c>
      <c r="G68" t="s">
        <v>8</v>
      </c>
      <c r="H68">
        <v>140000000</v>
      </c>
      <c r="I68">
        <v>9</v>
      </c>
      <c r="J68" t="s">
        <v>8297</v>
      </c>
    </row>
    <row r="69" spans="1:10" x14ac:dyDescent="0.3">
      <c r="A69">
        <v>126</v>
      </c>
      <c r="B69">
        <v>73820094</v>
      </c>
      <c r="C69" t="s">
        <v>175</v>
      </c>
      <c r="D69" t="s">
        <v>176</v>
      </c>
      <c r="E69" t="s">
        <v>177</v>
      </c>
      <c r="F69" t="s">
        <v>7</v>
      </c>
      <c r="G69" t="s">
        <v>8</v>
      </c>
      <c r="H69">
        <v>170000000</v>
      </c>
      <c r="I69">
        <v>8.3000000000000007</v>
      </c>
      <c r="J69" t="s">
        <v>8339</v>
      </c>
    </row>
    <row r="70" spans="1:10" x14ac:dyDescent="0.3">
      <c r="A70">
        <v>106</v>
      </c>
      <c r="B70">
        <v>113745408</v>
      </c>
      <c r="C70" t="s">
        <v>178</v>
      </c>
      <c r="D70" t="s">
        <v>179</v>
      </c>
      <c r="E70" t="s">
        <v>180</v>
      </c>
      <c r="F70" t="s">
        <v>7</v>
      </c>
      <c r="G70" t="s">
        <v>8</v>
      </c>
      <c r="H70">
        <v>170000000</v>
      </c>
      <c r="I70">
        <v>6.5</v>
      </c>
      <c r="J70" t="s">
        <v>8340</v>
      </c>
    </row>
    <row r="71" spans="1:10" x14ac:dyDescent="0.3">
      <c r="A71">
        <v>112</v>
      </c>
      <c r="B71">
        <v>102176165</v>
      </c>
      <c r="C71" t="s">
        <v>181</v>
      </c>
      <c r="D71" t="s">
        <v>182</v>
      </c>
      <c r="E71" t="s">
        <v>183</v>
      </c>
      <c r="F71" t="s">
        <v>7</v>
      </c>
      <c r="G71" t="s">
        <v>8</v>
      </c>
      <c r="H71">
        <v>145000000</v>
      </c>
      <c r="I71">
        <v>7.9</v>
      </c>
      <c r="J71" t="s">
        <v>8341</v>
      </c>
    </row>
    <row r="72" spans="1:10" x14ac:dyDescent="0.3">
      <c r="A72">
        <v>123</v>
      </c>
      <c r="B72">
        <v>161087183</v>
      </c>
      <c r="C72" t="s">
        <v>184</v>
      </c>
      <c r="D72" t="s">
        <v>185</v>
      </c>
      <c r="E72" t="s">
        <v>186</v>
      </c>
      <c r="F72" t="s">
        <v>7</v>
      </c>
      <c r="G72" t="s">
        <v>8</v>
      </c>
      <c r="H72">
        <v>175000000</v>
      </c>
      <c r="I72">
        <v>7.5</v>
      </c>
      <c r="J72" t="s">
        <v>8342</v>
      </c>
    </row>
    <row r="73" spans="1:10" x14ac:dyDescent="0.3">
      <c r="A73">
        <v>96</v>
      </c>
      <c r="B73">
        <v>100289690</v>
      </c>
      <c r="C73" t="s">
        <v>187</v>
      </c>
      <c r="D73" t="s">
        <v>188</v>
      </c>
      <c r="E73" t="s">
        <v>189</v>
      </c>
      <c r="F73" t="s">
        <v>7</v>
      </c>
      <c r="G73" t="s">
        <v>8</v>
      </c>
      <c r="H73">
        <v>175000000</v>
      </c>
      <c r="I73">
        <v>4.8</v>
      </c>
      <c r="J73" t="s">
        <v>8309</v>
      </c>
    </row>
    <row r="74" spans="1:10" x14ac:dyDescent="0.3">
      <c r="A74">
        <v>113</v>
      </c>
      <c r="B74">
        <v>100189501</v>
      </c>
      <c r="C74" t="s">
        <v>20</v>
      </c>
      <c r="D74" t="s">
        <v>190</v>
      </c>
      <c r="E74" t="s">
        <v>191</v>
      </c>
      <c r="F74" t="s">
        <v>7</v>
      </c>
      <c r="G74" t="s">
        <v>8</v>
      </c>
      <c r="H74">
        <v>178000000</v>
      </c>
      <c r="I74">
        <v>5.2</v>
      </c>
      <c r="J74" t="s">
        <v>8343</v>
      </c>
    </row>
    <row r="75" spans="1:10" x14ac:dyDescent="0.3">
      <c r="A75">
        <v>176</v>
      </c>
      <c r="B75">
        <v>88246220</v>
      </c>
      <c r="C75" t="s">
        <v>78</v>
      </c>
      <c r="D75" t="s">
        <v>192</v>
      </c>
      <c r="E75" t="s">
        <v>193</v>
      </c>
      <c r="F75" t="s">
        <v>7</v>
      </c>
      <c r="G75" t="s">
        <v>8</v>
      </c>
      <c r="H75">
        <v>175000000</v>
      </c>
      <c r="I75">
        <v>6.9</v>
      </c>
      <c r="J75" t="s">
        <v>8344</v>
      </c>
    </row>
    <row r="76" spans="1:10" x14ac:dyDescent="0.3">
      <c r="A76">
        <v>118</v>
      </c>
      <c r="B76">
        <v>150167630</v>
      </c>
      <c r="C76" t="s">
        <v>78</v>
      </c>
      <c r="D76" t="s">
        <v>194</v>
      </c>
      <c r="E76" t="s">
        <v>195</v>
      </c>
      <c r="F76" t="s">
        <v>7</v>
      </c>
      <c r="G76" t="s">
        <v>8</v>
      </c>
      <c r="H76">
        <v>175000000</v>
      </c>
      <c r="I76">
        <v>5.4</v>
      </c>
      <c r="J76" t="s">
        <v>8345</v>
      </c>
    </row>
    <row r="77" spans="1:10" x14ac:dyDescent="0.3">
      <c r="A77">
        <v>95</v>
      </c>
      <c r="B77">
        <v>356454367</v>
      </c>
      <c r="C77" t="s">
        <v>196</v>
      </c>
      <c r="D77" t="s">
        <v>197</v>
      </c>
      <c r="E77" t="s">
        <v>198</v>
      </c>
      <c r="F77" t="s">
        <v>7</v>
      </c>
      <c r="G77" t="s">
        <v>8</v>
      </c>
      <c r="H77">
        <v>175000000</v>
      </c>
      <c r="I77">
        <v>7.9</v>
      </c>
      <c r="J77" t="s">
        <v>8346</v>
      </c>
    </row>
    <row r="78" spans="1:10" x14ac:dyDescent="0.3">
      <c r="A78">
        <v>106</v>
      </c>
      <c r="B78">
        <v>362645141</v>
      </c>
      <c r="C78" t="s">
        <v>199</v>
      </c>
      <c r="D78" t="s">
        <v>200</v>
      </c>
      <c r="E78" t="s">
        <v>201</v>
      </c>
      <c r="F78" t="s">
        <v>7</v>
      </c>
      <c r="G78" t="s">
        <v>15</v>
      </c>
      <c r="H78">
        <v>175000000</v>
      </c>
      <c r="I78">
        <v>6.1</v>
      </c>
      <c r="J78" t="s">
        <v>8347</v>
      </c>
    </row>
    <row r="79" spans="1:10" x14ac:dyDescent="0.3">
      <c r="A79">
        <v>124</v>
      </c>
      <c r="B79">
        <v>312057433</v>
      </c>
      <c r="C79" t="s">
        <v>20</v>
      </c>
      <c r="D79" t="s">
        <v>202</v>
      </c>
      <c r="E79" t="s">
        <v>203</v>
      </c>
      <c r="F79" t="s">
        <v>7</v>
      </c>
      <c r="G79" t="s">
        <v>8</v>
      </c>
      <c r="H79">
        <v>200000000</v>
      </c>
      <c r="I79">
        <v>5.8</v>
      </c>
      <c r="J79" t="s">
        <v>8348</v>
      </c>
    </row>
    <row r="80" spans="1:10" x14ac:dyDescent="0.3">
      <c r="A80">
        <v>132</v>
      </c>
      <c r="B80">
        <v>155111815</v>
      </c>
      <c r="C80" t="s">
        <v>204</v>
      </c>
      <c r="D80" t="s">
        <v>205</v>
      </c>
      <c r="E80" t="s">
        <v>206</v>
      </c>
      <c r="F80" t="s">
        <v>7</v>
      </c>
      <c r="G80" t="s">
        <v>8</v>
      </c>
      <c r="H80">
        <v>170000000</v>
      </c>
      <c r="I80">
        <v>8.3000000000000007</v>
      </c>
      <c r="J80" t="s">
        <v>8339</v>
      </c>
    </row>
    <row r="81" spans="1:10" x14ac:dyDescent="0.3">
      <c r="A81">
        <v>97</v>
      </c>
      <c r="B81">
        <v>241407328</v>
      </c>
      <c r="C81" t="s">
        <v>207</v>
      </c>
      <c r="D81" t="s">
        <v>208</v>
      </c>
      <c r="E81" t="s">
        <v>209</v>
      </c>
      <c r="F81" t="s">
        <v>7</v>
      </c>
      <c r="G81" t="s">
        <v>8</v>
      </c>
      <c r="H81">
        <v>180000000</v>
      </c>
      <c r="I81">
        <v>7.8</v>
      </c>
      <c r="J81" t="s">
        <v>8341</v>
      </c>
    </row>
    <row r="82" spans="1:10" x14ac:dyDescent="0.3">
      <c r="A82">
        <v>130</v>
      </c>
      <c r="B82">
        <v>208543795</v>
      </c>
      <c r="C82" t="s">
        <v>210</v>
      </c>
      <c r="D82" t="s">
        <v>211</v>
      </c>
      <c r="E82" t="s">
        <v>212</v>
      </c>
      <c r="F82" t="s">
        <v>7</v>
      </c>
      <c r="G82" t="s">
        <v>8</v>
      </c>
      <c r="H82">
        <v>170000000</v>
      </c>
      <c r="I82">
        <v>7</v>
      </c>
      <c r="J82" t="s">
        <v>8341</v>
      </c>
    </row>
    <row r="83" spans="1:10" x14ac:dyDescent="0.3">
      <c r="A83">
        <v>128</v>
      </c>
      <c r="B83">
        <v>38297305</v>
      </c>
      <c r="C83" t="s">
        <v>204</v>
      </c>
      <c r="D83" t="s">
        <v>215</v>
      </c>
      <c r="E83" t="s">
        <v>216</v>
      </c>
      <c r="F83" t="s">
        <v>7</v>
      </c>
      <c r="G83" t="s">
        <v>8</v>
      </c>
      <c r="H83">
        <v>175000000</v>
      </c>
      <c r="I83">
        <v>6.1</v>
      </c>
      <c r="J83" t="s">
        <v>8349</v>
      </c>
    </row>
    <row r="84" spans="1:10" x14ac:dyDescent="0.3">
      <c r="A84">
        <v>136</v>
      </c>
      <c r="B84">
        <v>259746958</v>
      </c>
      <c r="C84" t="s">
        <v>20</v>
      </c>
      <c r="D84" t="s">
        <v>217</v>
      </c>
      <c r="E84" t="s">
        <v>218</v>
      </c>
      <c r="F84" t="s">
        <v>7</v>
      </c>
      <c r="G84" t="s">
        <v>8</v>
      </c>
      <c r="H84">
        <v>170000000</v>
      </c>
      <c r="I84">
        <v>7</v>
      </c>
      <c r="J84" t="s">
        <v>8350</v>
      </c>
    </row>
    <row r="85" spans="1:10" x14ac:dyDescent="0.3">
      <c r="A85">
        <v>93</v>
      </c>
      <c r="B85">
        <v>238371987</v>
      </c>
      <c r="C85" t="s">
        <v>96</v>
      </c>
      <c r="D85" t="s">
        <v>219</v>
      </c>
      <c r="E85" t="s">
        <v>220</v>
      </c>
      <c r="F85" t="s">
        <v>7</v>
      </c>
      <c r="G85" t="s">
        <v>8</v>
      </c>
      <c r="H85">
        <v>165000000</v>
      </c>
      <c r="I85">
        <v>7.6</v>
      </c>
      <c r="J85" t="s">
        <v>8351</v>
      </c>
    </row>
    <row r="86" spans="1:10" x14ac:dyDescent="0.3">
      <c r="A86">
        <v>130</v>
      </c>
      <c r="B86">
        <v>93417865</v>
      </c>
      <c r="C86" t="s">
        <v>221</v>
      </c>
      <c r="D86" t="s">
        <v>222</v>
      </c>
      <c r="E86" t="s">
        <v>223</v>
      </c>
      <c r="F86" t="s">
        <v>7</v>
      </c>
      <c r="G86" t="s">
        <v>8</v>
      </c>
      <c r="H86">
        <v>190000000</v>
      </c>
      <c r="I86">
        <v>4.5</v>
      </c>
      <c r="J86" t="s">
        <v>8352</v>
      </c>
    </row>
    <row r="87" spans="1:10" x14ac:dyDescent="0.3">
      <c r="A87">
        <v>102</v>
      </c>
      <c r="B87">
        <v>222487711</v>
      </c>
      <c r="C87" t="s">
        <v>224</v>
      </c>
      <c r="D87" t="s">
        <v>225</v>
      </c>
      <c r="E87" t="s">
        <v>226</v>
      </c>
      <c r="F87" t="s">
        <v>7</v>
      </c>
      <c r="G87" t="s">
        <v>8</v>
      </c>
      <c r="H87">
        <v>165000000</v>
      </c>
      <c r="I87">
        <v>6.3</v>
      </c>
      <c r="J87" t="s">
        <v>8353</v>
      </c>
    </row>
    <row r="88" spans="1:10" x14ac:dyDescent="0.3">
      <c r="A88">
        <v>101</v>
      </c>
      <c r="B88">
        <v>189412677</v>
      </c>
      <c r="C88" t="s">
        <v>227</v>
      </c>
      <c r="D88" t="s">
        <v>228</v>
      </c>
      <c r="E88" t="s">
        <v>229</v>
      </c>
      <c r="F88" t="s">
        <v>7</v>
      </c>
      <c r="G88" t="s">
        <v>8</v>
      </c>
      <c r="H88">
        <v>165000000</v>
      </c>
      <c r="I88">
        <v>7.8</v>
      </c>
      <c r="J88" t="s">
        <v>8314</v>
      </c>
    </row>
    <row r="89" spans="1:10" x14ac:dyDescent="0.3">
      <c r="A89">
        <v>100</v>
      </c>
      <c r="B89">
        <v>665426</v>
      </c>
      <c r="C89" t="s">
        <v>230</v>
      </c>
      <c r="D89" t="s">
        <v>231</v>
      </c>
      <c r="E89" t="s">
        <v>232</v>
      </c>
      <c r="F89" t="s">
        <v>7</v>
      </c>
      <c r="G89" t="s">
        <v>8</v>
      </c>
      <c r="H89">
        <v>165000000</v>
      </c>
      <c r="I89">
        <v>6.4</v>
      </c>
      <c r="J89" t="s">
        <v>8354</v>
      </c>
    </row>
    <row r="90" spans="1:10" x14ac:dyDescent="0.3">
      <c r="A90">
        <v>120</v>
      </c>
      <c r="B90">
        <v>102315545</v>
      </c>
      <c r="C90" t="s">
        <v>20</v>
      </c>
      <c r="D90" t="s">
        <v>233</v>
      </c>
      <c r="E90" t="s">
        <v>234</v>
      </c>
      <c r="F90" t="s">
        <v>7</v>
      </c>
      <c r="G90" t="s">
        <v>8</v>
      </c>
      <c r="H90">
        <v>165000000</v>
      </c>
      <c r="I90">
        <v>6.5</v>
      </c>
      <c r="J90" t="s">
        <v>8355</v>
      </c>
    </row>
    <row r="91" spans="1:10" x14ac:dyDescent="0.3">
      <c r="A91">
        <v>98</v>
      </c>
      <c r="B91">
        <v>217387997</v>
      </c>
      <c r="C91" t="s">
        <v>230</v>
      </c>
      <c r="D91" t="s">
        <v>235</v>
      </c>
      <c r="E91" t="s">
        <v>236</v>
      </c>
      <c r="F91" t="s">
        <v>7</v>
      </c>
      <c r="G91" t="s">
        <v>8</v>
      </c>
      <c r="H91">
        <v>165000000</v>
      </c>
      <c r="I91">
        <v>7.9</v>
      </c>
      <c r="J91" t="s">
        <v>8356</v>
      </c>
    </row>
    <row r="92" spans="1:10" x14ac:dyDescent="0.3">
      <c r="A92">
        <v>109</v>
      </c>
      <c r="B92">
        <v>150350192</v>
      </c>
      <c r="C92" t="s">
        <v>237</v>
      </c>
      <c r="D92" t="s">
        <v>238</v>
      </c>
      <c r="E92" t="s">
        <v>239</v>
      </c>
      <c r="F92" t="s">
        <v>7</v>
      </c>
      <c r="G92" t="s">
        <v>8</v>
      </c>
      <c r="H92">
        <v>200000000</v>
      </c>
      <c r="I92">
        <v>7.8</v>
      </c>
      <c r="J92" t="s">
        <v>8357</v>
      </c>
    </row>
    <row r="93" spans="1:10" x14ac:dyDescent="0.3">
      <c r="A93">
        <v>121</v>
      </c>
      <c r="B93">
        <v>333130696</v>
      </c>
      <c r="C93" t="s">
        <v>20</v>
      </c>
      <c r="D93" t="s">
        <v>240</v>
      </c>
      <c r="E93" t="s">
        <v>241</v>
      </c>
      <c r="F93" t="s">
        <v>7</v>
      </c>
      <c r="G93" t="s">
        <v>8</v>
      </c>
      <c r="H93">
        <v>170000000</v>
      </c>
      <c r="I93">
        <v>6.6</v>
      </c>
      <c r="J93" t="s">
        <v>8337</v>
      </c>
    </row>
    <row r="94" spans="1:10" x14ac:dyDescent="0.3">
      <c r="A94">
        <v>169</v>
      </c>
      <c r="B94">
        <v>187991439</v>
      </c>
      <c r="C94" t="s">
        <v>242</v>
      </c>
      <c r="D94" t="s">
        <v>243</v>
      </c>
      <c r="E94" t="s">
        <v>244</v>
      </c>
      <c r="F94" t="s">
        <v>7</v>
      </c>
      <c r="G94" t="s">
        <v>8</v>
      </c>
      <c r="H94">
        <v>165000000</v>
      </c>
      <c r="I94">
        <v>5.5</v>
      </c>
      <c r="J94" t="s">
        <v>8336</v>
      </c>
    </row>
    <row r="95" spans="1:10" x14ac:dyDescent="0.3">
      <c r="A95">
        <v>148</v>
      </c>
      <c r="B95">
        <v>292568851</v>
      </c>
      <c r="C95" t="s">
        <v>78</v>
      </c>
      <c r="D95" t="s">
        <v>245</v>
      </c>
      <c r="E95" t="s">
        <v>246</v>
      </c>
      <c r="F95" t="s">
        <v>7</v>
      </c>
      <c r="G95" t="s">
        <v>8</v>
      </c>
      <c r="H95">
        <v>160000000</v>
      </c>
      <c r="I95">
        <v>8.1999999999999993</v>
      </c>
      <c r="J95" t="s">
        <v>8358</v>
      </c>
    </row>
    <row r="96" spans="1:10" x14ac:dyDescent="0.3">
      <c r="A96">
        <v>182</v>
      </c>
      <c r="B96">
        <v>303001229</v>
      </c>
      <c r="C96" t="s">
        <v>56</v>
      </c>
      <c r="D96" t="s">
        <v>249</v>
      </c>
      <c r="E96" t="s">
        <v>250</v>
      </c>
      <c r="F96" t="s">
        <v>7</v>
      </c>
      <c r="G96" t="s">
        <v>8</v>
      </c>
      <c r="H96">
        <v>180000000</v>
      </c>
      <c r="I96">
        <v>6.4</v>
      </c>
      <c r="J96" t="s">
        <v>8359</v>
      </c>
    </row>
    <row r="97" spans="1:10" x14ac:dyDescent="0.3">
      <c r="A97">
        <v>106</v>
      </c>
      <c r="B97">
        <v>144512310</v>
      </c>
      <c r="C97" t="s">
        <v>118</v>
      </c>
      <c r="D97" t="s">
        <v>251</v>
      </c>
      <c r="E97" t="s">
        <v>252</v>
      </c>
      <c r="F97" t="s">
        <v>7</v>
      </c>
      <c r="G97" t="s">
        <v>8</v>
      </c>
      <c r="H97">
        <v>38000000</v>
      </c>
      <c r="I97">
        <v>8.1</v>
      </c>
      <c r="J97" t="s">
        <v>8360</v>
      </c>
    </row>
    <row r="98" spans="1:10" x14ac:dyDescent="0.3">
      <c r="A98">
        <v>166</v>
      </c>
      <c r="B98">
        <v>127490802</v>
      </c>
      <c r="C98" t="s">
        <v>253</v>
      </c>
      <c r="D98" t="s">
        <v>254</v>
      </c>
      <c r="E98" t="s">
        <v>255</v>
      </c>
      <c r="F98" t="s">
        <v>7</v>
      </c>
      <c r="G98" t="s">
        <v>8</v>
      </c>
      <c r="H98">
        <v>150000000</v>
      </c>
      <c r="I98">
        <v>8.6</v>
      </c>
      <c r="J98" t="s">
        <v>8297</v>
      </c>
    </row>
    <row r="99" spans="1:10" x14ac:dyDescent="0.3">
      <c r="A99">
        <v>132</v>
      </c>
      <c r="B99">
        <v>146405371</v>
      </c>
      <c r="C99" t="s">
        <v>20</v>
      </c>
      <c r="D99" t="s">
        <v>256</v>
      </c>
      <c r="E99" t="s">
        <v>257</v>
      </c>
      <c r="F99" t="s">
        <v>7</v>
      </c>
      <c r="G99" t="s">
        <v>8</v>
      </c>
      <c r="H99">
        <v>160000000</v>
      </c>
      <c r="I99">
        <v>8.8000000000000007</v>
      </c>
      <c r="J99" t="s">
        <v>8297</v>
      </c>
    </row>
    <row r="100" spans="1:10" x14ac:dyDescent="0.3">
      <c r="A100">
        <v>137</v>
      </c>
      <c r="B100">
        <v>281666058</v>
      </c>
      <c r="C100" t="s">
        <v>258</v>
      </c>
      <c r="D100" t="s">
        <v>259</v>
      </c>
      <c r="E100" t="s">
        <v>260</v>
      </c>
      <c r="F100" t="s">
        <v>7</v>
      </c>
      <c r="G100" t="s">
        <v>8</v>
      </c>
      <c r="H100">
        <v>160000000</v>
      </c>
      <c r="I100">
        <v>8.1999999999999993</v>
      </c>
      <c r="J100" t="s">
        <v>8361</v>
      </c>
    </row>
    <row r="101" spans="1:10" x14ac:dyDescent="0.3">
      <c r="A101">
        <v>109</v>
      </c>
      <c r="B101">
        <v>63143812</v>
      </c>
      <c r="C101" t="s">
        <v>46</v>
      </c>
      <c r="D101" t="s">
        <v>261</v>
      </c>
      <c r="E101" t="s">
        <v>262</v>
      </c>
      <c r="F101" t="s">
        <v>7</v>
      </c>
      <c r="G101" t="s">
        <v>8</v>
      </c>
      <c r="H101">
        <v>150000000</v>
      </c>
      <c r="I101">
        <v>7.9</v>
      </c>
      <c r="J101" t="s">
        <v>8310</v>
      </c>
    </row>
    <row r="102" spans="1:10" x14ac:dyDescent="0.3">
      <c r="A102">
        <v>98</v>
      </c>
      <c r="B102">
        <v>60655503</v>
      </c>
      <c r="C102" t="s">
        <v>263</v>
      </c>
      <c r="D102" t="s">
        <v>264</v>
      </c>
      <c r="E102" t="s">
        <v>265</v>
      </c>
      <c r="F102" t="s">
        <v>7</v>
      </c>
      <c r="G102" t="s">
        <v>8</v>
      </c>
      <c r="H102">
        <v>160000000</v>
      </c>
      <c r="I102">
        <v>6.7</v>
      </c>
      <c r="J102" t="s">
        <v>8343</v>
      </c>
    </row>
    <row r="103" spans="1:10" x14ac:dyDescent="0.3">
      <c r="A103">
        <v>113</v>
      </c>
      <c r="B103">
        <v>76846624</v>
      </c>
      <c r="C103" t="s">
        <v>67</v>
      </c>
      <c r="D103" t="s">
        <v>266</v>
      </c>
      <c r="E103" t="s">
        <v>267</v>
      </c>
      <c r="F103" t="s">
        <v>7</v>
      </c>
      <c r="G103" t="s">
        <v>8</v>
      </c>
      <c r="H103">
        <v>170000000</v>
      </c>
      <c r="I103">
        <v>7.8</v>
      </c>
      <c r="J103" t="s">
        <v>8362</v>
      </c>
    </row>
    <row r="104" spans="1:10" x14ac:dyDescent="0.3">
      <c r="A104">
        <v>93</v>
      </c>
      <c r="B104">
        <v>320706665</v>
      </c>
      <c r="C104" t="s">
        <v>96</v>
      </c>
      <c r="D104" t="s">
        <v>268</v>
      </c>
      <c r="E104" t="s">
        <v>269</v>
      </c>
      <c r="F104" t="s">
        <v>7</v>
      </c>
      <c r="G104" t="s">
        <v>8</v>
      </c>
      <c r="H104">
        <v>160000000</v>
      </c>
      <c r="I104">
        <v>7.8</v>
      </c>
      <c r="J104" t="s">
        <v>8363</v>
      </c>
    </row>
    <row r="105" spans="1:10" x14ac:dyDescent="0.3">
      <c r="A105">
        <v>123</v>
      </c>
      <c r="B105">
        <v>46978995</v>
      </c>
      <c r="C105" t="s">
        <v>9</v>
      </c>
      <c r="D105" t="s">
        <v>270</v>
      </c>
      <c r="E105" t="s">
        <v>271</v>
      </c>
      <c r="F105" t="s">
        <v>7</v>
      </c>
      <c r="G105" t="s">
        <v>8</v>
      </c>
      <c r="H105">
        <v>160000000</v>
      </c>
      <c r="I105">
        <v>6.6</v>
      </c>
      <c r="J105" t="s">
        <v>8364</v>
      </c>
    </row>
    <row r="106" spans="1:10" x14ac:dyDescent="0.3">
      <c r="A106">
        <v>126</v>
      </c>
      <c r="B106">
        <v>89732035</v>
      </c>
      <c r="C106" t="s">
        <v>20</v>
      </c>
      <c r="D106" t="s">
        <v>272</v>
      </c>
      <c r="E106" t="s">
        <v>273</v>
      </c>
      <c r="F106" t="s">
        <v>7</v>
      </c>
      <c r="G106" t="s">
        <v>8</v>
      </c>
      <c r="H106">
        <v>155000000</v>
      </c>
      <c r="I106">
        <v>6.1</v>
      </c>
      <c r="J106" t="s">
        <v>8365</v>
      </c>
    </row>
    <row r="107" spans="1:10" x14ac:dyDescent="0.3">
      <c r="A107">
        <v>113</v>
      </c>
      <c r="B107">
        <v>104383624</v>
      </c>
      <c r="C107" t="s">
        <v>67</v>
      </c>
      <c r="D107" t="s">
        <v>274</v>
      </c>
      <c r="E107" t="s">
        <v>275</v>
      </c>
      <c r="F107" t="s">
        <v>7</v>
      </c>
      <c r="G107" t="s">
        <v>8</v>
      </c>
      <c r="H107">
        <v>155000000</v>
      </c>
      <c r="I107">
        <v>5.6</v>
      </c>
      <c r="J107" t="s">
        <v>8366</v>
      </c>
    </row>
    <row r="108" spans="1:10" x14ac:dyDescent="0.3">
      <c r="A108">
        <v>184</v>
      </c>
      <c r="B108">
        <v>198539855</v>
      </c>
      <c r="C108" t="s">
        <v>276</v>
      </c>
      <c r="D108" t="s">
        <v>277</v>
      </c>
      <c r="E108" t="s">
        <v>278</v>
      </c>
      <c r="F108" t="s">
        <v>7</v>
      </c>
      <c r="G108" t="s">
        <v>8</v>
      </c>
      <c r="H108">
        <v>140000000</v>
      </c>
      <c r="I108">
        <v>6.4</v>
      </c>
      <c r="J108" t="s">
        <v>8367</v>
      </c>
    </row>
    <row r="109" spans="1:10" x14ac:dyDescent="0.3">
      <c r="A109">
        <v>144</v>
      </c>
      <c r="B109">
        <v>318759914</v>
      </c>
      <c r="C109" t="s">
        <v>20</v>
      </c>
      <c r="D109" t="s">
        <v>279</v>
      </c>
      <c r="E109" t="s">
        <v>280</v>
      </c>
      <c r="F109" t="s">
        <v>7</v>
      </c>
      <c r="G109" t="s">
        <v>8</v>
      </c>
      <c r="H109">
        <v>150000000</v>
      </c>
      <c r="I109">
        <v>6.1</v>
      </c>
      <c r="J109" t="s">
        <v>8368</v>
      </c>
    </row>
    <row r="110" spans="1:10" x14ac:dyDescent="0.3">
      <c r="A110">
        <v>206</v>
      </c>
      <c r="B110">
        <v>34293771</v>
      </c>
      <c r="C110" t="s">
        <v>281</v>
      </c>
      <c r="D110" t="s">
        <v>282</v>
      </c>
      <c r="E110" t="s">
        <v>283</v>
      </c>
      <c r="F110" t="s">
        <v>7</v>
      </c>
      <c r="G110" t="s">
        <v>284</v>
      </c>
      <c r="H110">
        <v>155000000</v>
      </c>
      <c r="I110">
        <v>7.3</v>
      </c>
      <c r="J110" t="s">
        <v>8369</v>
      </c>
    </row>
    <row r="111" spans="1:10" x14ac:dyDescent="0.3">
      <c r="A111">
        <v>138</v>
      </c>
      <c r="B111">
        <v>292000866</v>
      </c>
      <c r="C111" t="s">
        <v>31</v>
      </c>
      <c r="D111" t="s">
        <v>285</v>
      </c>
      <c r="E111" t="s">
        <v>286</v>
      </c>
      <c r="F111" t="s">
        <v>7</v>
      </c>
      <c r="G111" t="s">
        <v>15</v>
      </c>
      <c r="H111">
        <v>150000000</v>
      </c>
      <c r="I111">
        <v>6.6</v>
      </c>
      <c r="J111" t="s">
        <v>8370</v>
      </c>
    </row>
    <row r="112" spans="1:10" x14ac:dyDescent="0.3">
      <c r="A112">
        <v>157</v>
      </c>
      <c r="B112">
        <v>289994397</v>
      </c>
      <c r="C112" t="s">
        <v>31</v>
      </c>
      <c r="D112" t="s">
        <v>287</v>
      </c>
      <c r="E112" t="s">
        <v>288</v>
      </c>
      <c r="F112" t="s">
        <v>7</v>
      </c>
      <c r="G112" t="s">
        <v>15</v>
      </c>
      <c r="H112">
        <v>150000000</v>
      </c>
      <c r="I112">
        <v>6.3</v>
      </c>
      <c r="J112" t="s">
        <v>8371</v>
      </c>
    </row>
    <row r="113" spans="1:10" x14ac:dyDescent="0.3">
      <c r="A113">
        <v>102</v>
      </c>
      <c r="B113">
        <v>227946274</v>
      </c>
      <c r="C113" t="s">
        <v>289</v>
      </c>
      <c r="D113" t="s">
        <v>290</v>
      </c>
      <c r="E113" t="s">
        <v>291</v>
      </c>
      <c r="F113" t="s">
        <v>7</v>
      </c>
      <c r="G113" t="s">
        <v>8</v>
      </c>
      <c r="H113">
        <v>150000000</v>
      </c>
      <c r="I113">
        <v>6.1</v>
      </c>
      <c r="J113" t="s">
        <v>8321</v>
      </c>
    </row>
    <row r="114" spans="1:10" x14ac:dyDescent="0.3">
      <c r="A114">
        <v>104</v>
      </c>
      <c r="B114">
        <v>256386216</v>
      </c>
      <c r="C114" t="s">
        <v>292</v>
      </c>
      <c r="D114" t="s">
        <v>293</v>
      </c>
      <c r="E114" t="s">
        <v>294</v>
      </c>
      <c r="F114" t="s">
        <v>7</v>
      </c>
      <c r="G114" t="s">
        <v>8</v>
      </c>
      <c r="H114">
        <v>150000000</v>
      </c>
      <c r="I114">
        <v>7.1</v>
      </c>
      <c r="J114" t="s">
        <v>8321</v>
      </c>
    </row>
    <row r="115" spans="1:10" x14ac:dyDescent="0.3">
      <c r="A115">
        <v>115</v>
      </c>
      <c r="B115">
        <v>206456431</v>
      </c>
      <c r="C115" t="s">
        <v>295</v>
      </c>
      <c r="D115" t="s">
        <v>296</v>
      </c>
      <c r="E115" t="s">
        <v>297</v>
      </c>
      <c r="F115" t="s">
        <v>7</v>
      </c>
      <c r="G115" t="s">
        <v>8</v>
      </c>
      <c r="H115">
        <v>150000000</v>
      </c>
      <c r="I115">
        <v>5.5</v>
      </c>
      <c r="J115" t="s">
        <v>8372</v>
      </c>
    </row>
    <row r="116" spans="1:10" x14ac:dyDescent="0.3">
      <c r="A116">
        <v>111</v>
      </c>
      <c r="B116">
        <v>206435493</v>
      </c>
      <c r="C116" t="s">
        <v>298</v>
      </c>
      <c r="D116" t="s">
        <v>299</v>
      </c>
      <c r="E116" t="s">
        <v>300</v>
      </c>
      <c r="F116" t="s">
        <v>7</v>
      </c>
      <c r="G116" t="s">
        <v>8</v>
      </c>
      <c r="H116">
        <v>150000000</v>
      </c>
      <c r="I116">
        <v>7.5</v>
      </c>
      <c r="J116" t="s">
        <v>8303</v>
      </c>
    </row>
    <row r="117" spans="1:10" x14ac:dyDescent="0.3">
      <c r="A117">
        <v>128</v>
      </c>
      <c r="B117">
        <v>205343774</v>
      </c>
      <c r="C117" t="s">
        <v>36</v>
      </c>
      <c r="D117" t="s">
        <v>301</v>
      </c>
      <c r="E117" t="s">
        <v>302</v>
      </c>
      <c r="F117" t="s">
        <v>7</v>
      </c>
      <c r="G117" t="s">
        <v>8</v>
      </c>
      <c r="H117">
        <v>150000000</v>
      </c>
      <c r="I117">
        <v>7.6</v>
      </c>
      <c r="J117" t="s">
        <v>8330</v>
      </c>
    </row>
    <row r="118" spans="1:10" x14ac:dyDescent="0.3">
      <c r="A118">
        <v>89</v>
      </c>
      <c r="B118">
        <v>179982968</v>
      </c>
      <c r="C118" t="s">
        <v>303</v>
      </c>
      <c r="D118" t="s">
        <v>304</v>
      </c>
      <c r="E118" t="s">
        <v>305</v>
      </c>
      <c r="F118" t="s">
        <v>7</v>
      </c>
      <c r="G118" t="s">
        <v>8</v>
      </c>
      <c r="H118">
        <v>150000000</v>
      </c>
      <c r="I118">
        <v>6.4</v>
      </c>
      <c r="J118" t="s">
        <v>8315</v>
      </c>
    </row>
    <row r="119" spans="1:10" x14ac:dyDescent="0.3">
      <c r="A119">
        <v>105</v>
      </c>
      <c r="B119">
        <v>177243721</v>
      </c>
      <c r="C119" t="s">
        <v>295</v>
      </c>
      <c r="D119" t="s">
        <v>306</v>
      </c>
      <c r="E119" t="s">
        <v>307</v>
      </c>
      <c r="F119" t="s">
        <v>7</v>
      </c>
      <c r="G119" t="s">
        <v>8</v>
      </c>
      <c r="H119">
        <v>150000000</v>
      </c>
      <c r="I119">
        <v>7.2</v>
      </c>
      <c r="J119" t="s">
        <v>8364</v>
      </c>
    </row>
    <row r="120" spans="1:10" x14ac:dyDescent="0.3">
      <c r="A120">
        <v>119</v>
      </c>
      <c r="B120">
        <v>179883016</v>
      </c>
      <c r="C120" t="s">
        <v>92</v>
      </c>
      <c r="D120" t="s">
        <v>308</v>
      </c>
      <c r="E120" t="s">
        <v>309</v>
      </c>
      <c r="F120" t="s">
        <v>7</v>
      </c>
      <c r="G120" t="s">
        <v>8</v>
      </c>
      <c r="H120">
        <v>150000000</v>
      </c>
      <c r="I120">
        <v>6.7</v>
      </c>
      <c r="J120" t="s">
        <v>8318</v>
      </c>
    </row>
    <row r="121" spans="1:10" x14ac:dyDescent="0.3">
      <c r="A121">
        <v>129</v>
      </c>
      <c r="B121">
        <v>139259759</v>
      </c>
      <c r="C121" t="s">
        <v>237</v>
      </c>
      <c r="D121" t="s">
        <v>310</v>
      </c>
      <c r="E121" t="s">
        <v>311</v>
      </c>
      <c r="F121" t="s">
        <v>7</v>
      </c>
      <c r="G121" t="s">
        <v>132</v>
      </c>
      <c r="H121">
        <v>150000000</v>
      </c>
      <c r="I121">
        <v>8</v>
      </c>
      <c r="J121" t="s">
        <v>8355</v>
      </c>
    </row>
    <row r="122" spans="1:10" x14ac:dyDescent="0.3">
      <c r="A122">
        <v>102</v>
      </c>
      <c r="B122">
        <v>400736600</v>
      </c>
      <c r="C122" t="s">
        <v>312</v>
      </c>
      <c r="D122" t="s">
        <v>313</v>
      </c>
      <c r="E122" t="s">
        <v>314</v>
      </c>
      <c r="F122" t="s">
        <v>7</v>
      </c>
      <c r="G122" t="s">
        <v>8</v>
      </c>
      <c r="H122">
        <v>150000000</v>
      </c>
      <c r="I122">
        <v>8.3000000000000007</v>
      </c>
      <c r="J122" t="s">
        <v>8297</v>
      </c>
    </row>
    <row r="123" spans="1:10" x14ac:dyDescent="0.3">
      <c r="A123">
        <v>138</v>
      </c>
      <c r="B123">
        <v>281492479</v>
      </c>
      <c r="C123" t="s">
        <v>237</v>
      </c>
      <c r="D123" t="s">
        <v>315</v>
      </c>
      <c r="E123" t="s">
        <v>316</v>
      </c>
      <c r="F123" t="s">
        <v>7</v>
      </c>
      <c r="G123" t="s">
        <v>8</v>
      </c>
      <c r="H123">
        <v>150000000</v>
      </c>
      <c r="I123">
        <v>6.7</v>
      </c>
      <c r="J123" t="s">
        <v>8373</v>
      </c>
    </row>
    <row r="124" spans="1:10" x14ac:dyDescent="0.3">
      <c r="A124">
        <v>112</v>
      </c>
      <c r="B124">
        <v>206360018</v>
      </c>
      <c r="C124" t="s">
        <v>9</v>
      </c>
      <c r="D124" t="s">
        <v>317</v>
      </c>
      <c r="E124" t="s">
        <v>318</v>
      </c>
      <c r="F124" t="s">
        <v>7</v>
      </c>
      <c r="G124" t="s">
        <v>8</v>
      </c>
      <c r="H124">
        <v>170000000</v>
      </c>
      <c r="I124">
        <v>5.9</v>
      </c>
      <c r="J124" t="s">
        <v>8374</v>
      </c>
    </row>
    <row r="125" spans="1:10" x14ac:dyDescent="0.3">
      <c r="A125">
        <v>120</v>
      </c>
      <c r="B125">
        <v>153629485</v>
      </c>
      <c r="C125" t="s">
        <v>78</v>
      </c>
      <c r="D125" t="s">
        <v>319</v>
      </c>
      <c r="E125" t="s">
        <v>320</v>
      </c>
      <c r="F125" t="s">
        <v>7</v>
      </c>
      <c r="G125" t="s">
        <v>132</v>
      </c>
      <c r="H125">
        <v>150000000</v>
      </c>
      <c r="I125">
        <v>6.7</v>
      </c>
      <c r="J125" t="s">
        <v>8375</v>
      </c>
    </row>
    <row r="126" spans="1:10" x14ac:dyDescent="0.3">
      <c r="A126">
        <v>146</v>
      </c>
      <c r="B126">
        <v>133375846</v>
      </c>
      <c r="C126" t="s">
        <v>321</v>
      </c>
      <c r="D126" t="s">
        <v>322</v>
      </c>
      <c r="E126" t="s">
        <v>323</v>
      </c>
      <c r="F126" t="s">
        <v>7</v>
      </c>
      <c r="G126" t="s">
        <v>8</v>
      </c>
      <c r="H126">
        <v>150000000</v>
      </c>
      <c r="I126">
        <v>6.7</v>
      </c>
      <c r="J126" t="s">
        <v>8338</v>
      </c>
    </row>
    <row r="127" spans="1:10" x14ac:dyDescent="0.3">
      <c r="A127">
        <v>115</v>
      </c>
      <c r="B127">
        <v>181015141</v>
      </c>
      <c r="C127" t="s">
        <v>9</v>
      </c>
      <c r="D127" t="s">
        <v>324</v>
      </c>
      <c r="E127" t="s">
        <v>325</v>
      </c>
      <c r="F127" t="s">
        <v>7</v>
      </c>
      <c r="G127" t="s">
        <v>8</v>
      </c>
      <c r="H127">
        <v>150000000</v>
      </c>
      <c r="I127">
        <v>7.6</v>
      </c>
      <c r="J127" t="s">
        <v>8376</v>
      </c>
    </row>
    <row r="128" spans="1:10" x14ac:dyDescent="0.3">
      <c r="A128">
        <v>96</v>
      </c>
      <c r="B128">
        <v>114053579</v>
      </c>
      <c r="C128" t="s">
        <v>326</v>
      </c>
      <c r="D128" t="s">
        <v>327</v>
      </c>
      <c r="E128" t="s">
        <v>328</v>
      </c>
      <c r="F128" t="s">
        <v>7</v>
      </c>
      <c r="G128" t="s">
        <v>8</v>
      </c>
      <c r="H128">
        <v>150000000</v>
      </c>
      <c r="I128">
        <v>7.2</v>
      </c>
      <c r="J128" t="s">
        <v>8338</v>
      </c>
    </row>
    <row r="129" spans="1:10" x14ac:dyDescent="0.3">
      <c r="A129">
        <v>88</v>
      </c>
      <c r="B129">
        <v>119420252</v>
      </c>
      <c r="C129" t="s">
        <v>329</v>
      </c>
      <c r="D129" t="s">
        <v>330</v>
      </c>
      <c r="E129" t="s">
        <v>331</v>
      </c>
      <c r="F129" t="s">
        <v>7</v>
      </c>
      <c r="G129" t="s">
        <v>8</v>
      </c>
      <c r="H129">
        <v>150000000</v>
      </c>
      <c r="I129">
        <v>7.1</v>
      </c>
      <c r="J129" t="s">
        <v>8370</v>
      </c>
    </row>
    <row r="130" spans="1:10" x14ac:dyDescent="0.3">
      <c r="A130">
        <v>99</v>
      </c>
      <c r="B130">
        <v>83640426</v>
      </c>
      <c r="C130" t="s">
        <v>9</v>
      </c>
      <c r="D130" t="s">
        <v>332</v>
      </c>
      <c r="E130" t="s">
        <v>333</v>
      </c>
      <c r="F130" t="s">
        <v>7</v>
      </c>
      <c r="G130" t="s">
        <v>8</v>
      </c>
      <c r="H130">
        <v>150000000</v>
      </c>
      <c r="I130">
        <v>8.1</v>
      </c>
      <c r="J130" t="s">
        <v>8377</v>
      </c>
    </row>
    <row r="131" spans="1:10" x14ac:dyDescent="0.3">
      <c r="A131">
        <v>113</v>
      </c>
      <c r="B131">
        <v>79711678</v>
      </c>
      <c r="C131" t="s">
        <v>334</v>
      </c>
      <c r="D131" t="s">
        <v>335</v>
      </c>
      <c r="E131" t="s">
        <v>336</v>
      </c>
      <c r="F131" t="s">
        <v>7</v>
      </c>
      <c r="G131" t="s">
        <v>8</v>
      </c>
      <c r="H131">
        <v>100000000</v>
      </c>
      <c r="I131">
        <v>6.7</v>
      </c>
      <c r="J131" t="s">
        <v>8378</v>
      </c>
    </row>
    <row r="132" spans="1:10" x14ac:dyDescent="0.3">
      <c r="A132">
        <v>131</v>
      </c>
      <c r="B132">
        <v>195000874</v>
      </c>
      <c r="C132" t="s">
        <v>12</v>
      </c>
      <c r="D132" t="s">
        <v>337</v>
      </c>
      <c r="E132" t="s">
        <v>338</v>
      </c>
      <c r="F132" t="s">
        <v>7</v>
      </c>
      <c r="G132" t="s">
        <v>339</v>
      </c>
      <c r="H132">
        <v>150000000</v>
      </c>
      <c r="I132">
        <v>7</v>
      </c>
      <c r="J132" t="s">
        <v>8379</v>
      </c>
    </row>
    <row r="133" spans="1:10" x14ac:dyDescent="0.3">
      <c r="A133">
        <v>119</v>
      </c>
      <c r="B133">
        <v>61937495</v>
      </c>
      <c r="C133" t="s">
        <v>340</v>
      </c>
      <c r="D133" t="s">
        <v>341</v>
      </c>
      <c r="E133" t="s">
        <v>342</v>
      </c>
      <c r="F133" t="s">
        <v>7</v>
      </c>
      <c r="G133" t="s">
        <v>8</v>
      </c>
      <c r="H133">
        <v>150000000</v>
      </c>
      <c r="I133">
        <v>6.9</v>
      </c>
      <c r="J133" t="s">
        <v>8380</v>
      </c>
    </row>
    <row r="134" spans="1:10" x14ac:dyDescent="0.3">
      <c r="A134">
        <v>91</v>
      </c>
      <c r="B134">
        <v>126597121</v>
      </c>
      <c r="C134" t="s">
        <v>167</v>
      </c>
      <c r="D134" t="s">
        <v>343</v>
      </c>
      <c r="E134" t="s">
        <v>344</v>
      </c>
      <c r="F134" t="s">
        <v>7</v>
      </c>
      <c r="G134" t="s">
        <v>8</v>
      </c>
      <c r="H134">
        <v>150000000</v>
      </c>
      <c r="I134">
        <v>5.0999999999999996</v>
      </c>
      <c r="J134" t="s">
        <v>8381</v>
      </c>
    </row>
    <row r="135" spans="1:10" x14ac:dyDescent="0.3">
      <c r="A135">
        <v>90</v>
      </c>
      <c r="B135">
        <v>165230261</v>
      </c>
      <c r="C135" t="s">
        <v>303</v>
      </c>
      <c r="D135" t="s">
        <v>345</v>
      </c>
      <c r="E135" t="s">
        <v>346</v>
      </c>
      <c r="F135" t="s">
        <v>7</v>
      </c>
      <c r="G135" t="s">
        <v>8</v>
      </c>
      <c r="H135">
        <v>150000000</v>
      </c>
      <c r="I135">
        <v>5.8</v>
      </c>
      <c r="J135" t="s">
        <v>8382</v>
      </c>
    </row>
    <row r="136" spans="1:10" x14ac:dyDescent="0.3">
      <c r="A136">
        <v>103</v>
      </c>
      <c r="B136">
        <v>131564731</v>
      </c>
      <c r="C136" t="s">
        <v>46</v>
      </c>
      <c r="D136" t="s">
        <v>347</v>
      </c>
      <c r="E136" t="s">
        <v>348</v>
      </c>
      <c r="F136" t="s">
        <v>7</v>
      </c>
      <c r="G136" t="s">
        <v>8</v>
      </c>
      <c r="H136">
        <v>150000000</v>
      </c>
      <c r="I136">
        <v>6.2</v>
      </c>
      <c r="J136" t="s">
        <v>8318</v>
      </c>
    </row>
    <row r="137" spans="1:10" x14ac:dyDescent="0.3">
      <c r="A137">
        <v>124</v>
      </c>
      <c r="B137">
        <v>133382309</v>
      </c>
      <c r="C137" t="s">
        <v>12</v>
      </c>
      <c r="D137" t="s">
        <v>349</v>
      </c>
      <c r="E137" t="s">
        <v>350</v>
      </c>
      <c r="F137" t="s">
        <v>7</v>
      </c>
      <c r="G137" t="s">
        <v>8</v>
      </c>
      <c r="H137">
        <v>150000000</v>
      </c>
      <c r="I137">
        <v>7.4</v>
      </c>
      <c r="J137" t="s">
        <v>8383</v>
      </c>
    </row>
    <row r="138" spans="1:10" x14ac:dyDescent="0.3">
      <c r="A138">
        <v>131</v>
      </c>
      <c r="B138">
        <v>73103784</v>
      </c>
      <c r="C138" t="s">
        <v>351</v>
      </c>
      <c r="D138" t="s">
        <v>352</v>
      </c>
      <c r="E138" t="s">
        <v>353</v>
      </c>
      <c r="F138" t="s">
        <v>7</v>
      </c>
      <c r="G138" t="s">
        <v>8</v>
      </c>
      <c r="H138">
        <v>150000000</v>
      </c>
      <c r="I138">
        <v>5.8</v>
      </c>
      <c r="J138" t="s">
        <v>8384</v>
      </c>
    </row>
    <row r="139" spans="1:10" x14ac:dyDescent="0.3">
      <c r="A139">
        <v>88</v>
      </c>
      <c r="B139">
        <v>21379315</v>
      </c>
      <c r="C139" t="s">
        <v>170</v>
      </c>
      <c r="D139" t="s">
        <v>354</v>
      </c>
      <c r="E139" t="s">
        <v>355</v>
      </c>
      <c r="F139" t="s">
        <v>7</v>
      </c>
      <c r="G139" t="s">
        <v>8</v>
      </c>
      <c r="H139">
        <v>150000000</v>
      </c>
      <c r="I139">
        <v>6.6</v>
      </c>
      <c r="J139" t="s">
        <v>8303</v>
      </c>
    </row>
    <row r="140" spans="1:10" x14ac:dyDescent="0.3">
      <c r="A140">
        <v>85</v>
      </c>
      <c r="B140">
        <v>64459316</v>
      </c>
      <c r="C140" t="s">
        <v>167</v>
      </c>
      <c r="D140" t="s">
        <v>356</v>
      </c>
      <c r="E140" t="s">
        <v>357</v>
      </c>
      <c r="F140" t="s">
        <v>7</v>
      </c>
      <c r="G140" t="s">
        <v>15</v>
      </c>
      <c r="H140">
        <v>149000000</v>
      </c>
      <c r="I140">
        <v>6.2</v>
      </c>
      <c r="J140" t="s">
        <v>8385</v>
      </c>
    </row>
    <row r="141" spans="1:10" x14ac:dyDescent="0.3">
      <c r="A141">
        <v>111</v>
      </c>
      <c r="B141">
        <v>34964818</v>
      </c>
      <c r="C141" t="s">
        <v>67</v>
      </c>
      <c r="D141" t="s">
        <v>358</v>
      </c>
      <c r="E141" t="s">
        <v>359</v>
      </c>
      <c r="F141" t="s">
        <v>7</v>
      </c>
      <c r="G141" t="s">
        <v>8</v>
      </c>
      <c r="H141">
        <v>150000000</v>
      </c>
      <c r="I141">
        <v>7.3</v>
      </c>
      <c r="J141" t="s">
        <v>8386</v>
      </c>
    </row>
    <row r="142" spans="1:10" x14ac:dyDescent="0.3">
      <c r="A142">
        <v>92</v>
      </c>
      <c r="B142">
        <v>111505642</v>
      </c>
      <c r="C142" t="s">
        <v>227</v>
      </c>
      <c r="D142" t="s">
        <v>360</v>
      </c>
      <c r="E142" t="s">
        <v>361</v>
      </c>
      <c r="F142" t="s">
        <v>7</v>
      </c>
      <c r="G142" t="s">
        <v>8</v>
      </c>
      <c r="H142">
        <v>145000000</v>
      </c>
      <c r="I142">
        <v>4.2</v>
      </c>
      <c r="J142" t="s">
        <v>8387</v>
      </c>
    </row>
    <row r="143" spans="1:10" x14ac:dyDescent="0.3">
      <c r="A143">
        <v>196</v>
      </c>
      <c r="B143">
        <v>133228348</v>
      </c>
      <c r="C143" t="s">
        <v>362</v>
      </c>
      <c r="D143" t="s">
        <v>363</v>
      </c>
      <c r="E143" t="s">
        <v>364</v>
      </c>
      <c r="F143" t="s">
        <v>7</v>
      </c>
      <c r="G143" t="s">
        <v>8</v>
      </c>
      <c r="H143">
        <v>175000000</v>
      </c>
      <c r="I143">
        <v>6.9</v>
      </c>
      <c r="J143" t="s">
        <v>8328</v>
      </c>
    </row>
    <row r="144" spans="1:10" x14ac:dyDescent="0.3">
      <c r="A144">
        <v>93</v>
      </c>
      <c r="B144">
        <v>216366733</v>
      </c>
      <c r="C144" t="s">
        <v>167</v>
      </c>
      <c r="D144" t="s">
        <v>365</v>
      </c>
      <c r="E144" t="s">
        <v>366</v>
      </c>
      <c r="F144" t="s">
        <v>7</v>
      </c>
      <c r="G144" t="s">
        <v>8</v>
      </c>
      <c r="H144">
        <v>145000000</v>
      </c>
      <c r="I144">
        <v>6.4</v>
      </c>
      <c r="J144" t="s">
        <v>8336</v>
      </c>
    </row>
    <row r="145" spans="1:10" x14ac:dyDescent="0.3">
      <c r="A145">
        <v>133</v>
      </c>
      <c r="B145">
        <v>160201106</v>
      </c>
      <c r="C145" t="s">
        <v>12</v>
      </c>
      <c r="D145" t="s">
        <v>367</v>
      </c>
      <c r="E145" t="s">
        <v>368</v>
      </c>
      <c r="F145" t="s">
        <v>7</v>
      </c>
      <c r="G145" t="s">
        <v>15</v>
      </c>
      <c r="H145">
        <v>142000000</v>
      </c>
      <c r="I145">
        <v>5.4</v>
      </c>
      <c r="J145" t="s">
        <v>8388</v>
      </c>
    </row>
    <row r="146" spans="1:10" x14ac:dyDescent="0.3">
      <c r="A146">
        <v>116</v>
      </c>
      <c r="B146">
        <v>118099659</v>
      </c>
      <c r="C146" t="s">
        <v>369</v>
      </c>
      <c r="D146" t="s">
        <v>370</v>
      </c>
      <c r="E146" t="s">
        <v>371</v>
      </c>
      <c r="F146" t="s">
        <v>7</v>
      </c>
      <c r="G146" t="s">
        <v>8</v>
      </c>
      <c r="H146">
        <v>144000000</v>
      </c>
      <c r="I146">
        <v>6.7</v>
      </c>
      <c r="J146" t="s">
        <v>8389</v>
      </c>
    </row>
    <row r="147" spans="1:10" x14ac:dyDescent="0.3">
      <c r="A147">
        <v>153</v>
      </c>
      <c r="B147">
        <v>201573391</v>
      </c>
      <c r="C147" t="s">
        <v>78</v>
      </c>
      <c r="D147" t="s">
        <v>372</v>
      </c>
      <c r="E147" t="s">
        <v>373</v>
      </c>
      <c r="F147" t="s">
        <v>7</v>
      </c>
      <c r="G147" t="s">
        <v>8</v>
      </c>
      <c r="H147">
        <v>140000000</v>
      </c>
      <c r="I147">
        <v>5.8</v>
      </c>
      <c r="J147" t="s">
        <v>8390</v>
      </c>
    </row>
    <row r="148" spans="1:10" x14ac:dyDescent="0.3">
      <c r="A148">
        <v>88</v>
      </c>
      <c r="B148">
        <v>190418803</v>
      </c>
      <c r="C148" t="s">
        <v>374</v>
      </c>
      <c r="D148" t="s">
        <v>375</v>
      </c>
      <c r="E148" t="s">
        <v>376</v>
      </c>
      <c r="F148" t="s">
        <v>7</v>
      </c>
      <c r="G148" t="s">
        <v>8</v>
      </c>
      <c r="H148">
        <v>140000000</v>
      </c>
      <c r="I148">
        <v>6.9</v>
      </c>
      <c r="J148" t="s">
        <v>8391</v>
      </c>
    </row>
    <row r="149" spans="1:10" x14ac:dyDescent="0.3">
      <c r="A149">
        <v>115</v>
      </c>
      <c r="B149">
        <v>82161969</v>
      </c>
      <c r="C149" t="s">
        <v>377</v>
      </c>
      <c r="D149" t="s">
        <v>378</v>
      </c>
      <c r="E149" t="s">
        <v>379</v>
      </c>
      <c r="F149" t="s">
        <v>7</v>
      </c>
      <c r="G149" t="s">
        <v>8</v>
      </c>
      <c r="H149">
        <v>150000000</v>
      </c>
      <c r="I149">
        <v>7.2</v>
      </c>
      <c r="J149" t="s">
        <v>8366</v>
      </c>
    </row>
    <row r="150" spans="1:10" x14ac:dyDescent="0.3">
      <c r="A150">
        <v>95</v>
      </c>
      <c r="B150">
        <v>143523463</v>
      </c>
      <c r="C150" t="s">
        <v>303</v>
      </c>
      <c r="D150" t="s">
        <v>380</v>
      </c>
      <c r="E150" t="s">
        <v>381</v>
      </c>
      <c r="F150" t="s">
        <v>7</v>
      </c>
      <c r="G150" t="s">
        <v>8</v>
      </c>
      <c r="H150">
        <v>145000000</v>
      </c>
      <c r="I150">
        <v>6.9</v>
      </c>
      <c r="J150" t="s">
        <v>8373</v>
      </c>
    </row>
    <row r="151" spans="1:10" x14ac:dyDescent="0.3">
      <c r="A151">
        <v>133</v>
      </c>
      <c r="B151">
        <v>209364921</v>
      </c>
      <c r="C151" t="s">
        <v>12</v>
      </c>
      <c r="D151" t="s">
        <v>382</v>
      </c>
      <c r="E151" t="s">
        <v>383</v>
      </c>
      <c r="F151" t="s">
        <v>7</v>
      </c>
      <c r="G151" t="s">
        <v>8</v>
      </c>
      <c r="H151">
        <v>145000000</v>
      </c>
      <c r="I151">
        <v>6.1</v>
      </c>
      <c r="J151" t="s">
        <v>8392</v>
      </c>
    </row>
    <row r="152" spans="1:10" x14ac:dyDescent="0.3">
      <c r="A152">
        <v>97</v>
      </c>
      <c r="B152">
        <v>103400692</v>
      </c>
      <c r="C152" t="s">
        <v>230</v>
      </c>
      <c r="D152" t="s">
        <v>384</v>
      </c>
      <c r="E152" t="s">
        <v>385</v>
      </c>
      <c r="F152" t="s">
        <v>7</v>
      </c>
      <c r="G152" t="s">
        <v>8</v>
      </c>
      <c r="H152">
        <v>145000000</v>
      </c>
      <c r="I152">
        <v>5.5</v>
      </c>
      <c r="J152" t="s">
        <v>8393</v>
      </c>
    </row>
    <row r="153" spans="1:10" x14ac:dyDescent="0.3">
      <c r="A153">
        <v>90</v>
      </c>
      <c r="B153">
        <v>110332737</v>
      </c>
      <c r="C153" t="s">
        <v>386</v>
      </c>
      <c r="D153" t="s">
        <v>387</v>
      </c>
      <c r="E153" t="s">
        <v>388</v>
      </c>
      <c r="F153" t="s">
        <v>7</v>
      </c>
      <c r="G153" t="s">
        <v>8</v>
      </c>
      <c r="H153">
        <v>100000000</v>
      </c>
      <c r="I153">
        <v>6.6</v>
      </c>
      <c r="J153" t="s">
        <v>8321</v>
      </c>
    </row>
    <row r="154" spans="1:10" x14ac:dyDescent="0.3">
      <c r="A154">
        <v>154</v>
      </c>
      <c r="B154">
        <v>111110575</v>
      </c>
      <c r="C154" t="s">
        <v>389</v>
      </c>
      <c r="D154" t="s">
        <v>390</v>
      </c>
      <c r="E154" t="s">
        <v>391</v>
      </c>
      <c r="F154" t="s">
        <v>7</v>
      </c>
      <c r="G154" t="s">
        <v>8</v>
      </c>
      <c r="H154">
        <v>140000000</v>
      </c>
      <c r="I154">
        <v>6.1</v>
      </c>
      <c r="J154" t="s">
        <v>8309</v>
      </c>
    </row>
    <row r="155" spans="1:10" x14ac:dyDescent="0.3">
      <c r="A155">
        <v>150</v>
      </c>
      <c r="B155">
        <v>65007045</v>
      </c>
      <c r="C155" t="s">
        <v>392</v>
      </c>
      <c r="D155" t="s">
        <v>393</v>
      </c>
      <c r="E155" t="s">
        <v>394</v>
      </c>
      <c r="F155" t="s">
        <v>7</v>
      </c>
      <c r="G155" t="s">
        <v>15</v>
      </c>
      <c r="H155">
        <v>140000000</v>
      </c>
      <c r="I155">
        <v>6.3</v>
      </c>
      <c r="J155" t="s">
        <v>8337</v>
      </c>
    </row>
    <row r="156" spans="1:10" x14ac:dyDescent="0.3">
      <c r="A156">
        <v>127</v>
      </c>
      <c r="B156">
        <v>257704099</v>
      </c>
      <c r="C156" t="s">
        <v>20</v>
      </c>
      <c r="D156" t="s">
        <v>395</v>
      </c>
      <c r="E156" t="s">
        <v>396</v>
      </c>
      <c r="F156" t="s">
        <v>7</v>
      </c>
      <c r="G156" t="s">
        <v>8</v>
      </c>
      <c r="H156">
        <v>150000000</v>
      </c>
      <c r="I156">
        <v>7.2</v>
      </c>
      <c r="J156" t="s">
        <v>8394</v>
      </c>
    </row>
    <row r="157" spans="1:10" x14ac:dyDescent="0.3">
      <c r="A157">
        <v>121</v>
      </c>
      <c r="B157">
        <v>403706375</v>
      </c>
      <c r="C157" t="s">
        <v>85</v>
      </c>
      <c r="D157" t="s">
        <v>397</v>
      </c>
      <c r="E157" t="s">
        <v>398</v>
      </c>
      <c r="F157" t="s">
        <v>7</v>
      </c>
      <c r="G157" t="s">
        <v>8</v>
      </c>
      <c r="H157">
        <v>139000000</v>
      </c>
      <c r="I157">
        <v>7.4</v>
      </c>
      <c r="J157" t="s">
        <v>8355</v>
      </c>
    </row>
    <row r="158" spans="1:10" x14ac:dyDescent="0.3">
      <c r="A158">
        <v>102</v>
      </c>
      <c r="B158">
        <v>176997107</v>
      </c>
      <c r="C158" t="s">
        <v>399</v>
      </c>
      <c r="D158" t="s">
        <v>400</v>
      </c>
      <c r="E158" t="s">
        <v>401</v>
      </c>
      <c r="F158" t="s">
        <v>7</v>
      </c>
      <c r="G158" t="s">
        <v>8</v>
      </c>
      <c r="H158">
        <v>145000000</v>
      </c>
      <c r="I158">
        <v>7.3</v>
      </c>
      <c r="J158" t="s">
        <v>8395</v>
      </c>
    </row>
    <row r="159" spans="1:10" x14ac:dyDescent="0.3">
      <c r="A159">
        <v>126</v>
      </c>
      <c r="B159">
        <v>31141074</v>
      </c>
      <c r="C159" t="s">
        <v>9</v>
      </c>
      <c r="D159" t="s">
        <v>402</v>
      </c>
      <c r="E159" t="s">
        <v>403</v>
      </c>
      <c r="F159" t="s">
        <v>7</v>
      </c>
      <c r="G159" t="s">
        <v>8</v>
      </c>
      <c r="H159">
        <v>140000000</v>
      </c>
      <c r="I159">
        <v>6.1</v>
      </c>
      <c r="J159" t="s">
        <v>8396</v>
      </c>
    </row>
    <row r="160" spans="1:10" x14ac:dyDescent="0.3">
      <c r="A160">
        <v>121</v>
      </c>
      <c r="B160">
        <v>31704416</v>
      </c>
      <c r="C160" t="s">
        <v>78</v>
      </c>
      <c r="D160" t="s">
        <v>404</v>
      </c>
      <c r="E160" t="s">
        <v>405</v>
      </c>
      <c r="F160" t="s">
        <v>7</v>
      </c>
      <c r="G160" t="s">
        <v>8</v>
      </c>
      <c r="H160">
        <v>135000000</v>
      </c>
      <c r="I160">
        <v>7.7</v>
      </c>
      <c r="J160" t="s">
        <v>8397</v>
      </c>
    </row>
    <row r="161" spans="1:10" x14ac:dyDescent="0.3">
      <c r="A161">
        <v>215</v>
      </c>
      <c r="B161">
        <v>107503316</v>
      </c>
      <c r="C161" t="s">
        <v>406</v>
      </c>
      <c r="D161" t="s">
        <v>407</v>
      </c>
      <c r="E161" t="s">
        <v>408</v>
      </c>
      <c r="F161" t="s">
        <v>7</v>
      </c>
      <c r="G161" t="s">
        <v>8</v>
      </c>
      <c r="H161">
        <v>130000000</v>
      </c>
      <c r="I161">
        <v>6.1</v>
      </c>
      <c r="J161" t="s">
        <v>8312</v>
      </c>
    </row>
    <row r="162" spans="1:10" x14ac:dyDescent="0.3">
      <c r="A162">
        <v>127</v>
      </c>
      <c r="B162">
        <v>129734803</v>
      </c>
      <c r="C162" t="s">
        <v>118</v>
      </c>
      <c r="D162" t="s">
        <v>409</v>
      </c>
      <c r="E162" t="s">
        <v>410</v>
      </c>
      <c r="F162" t="s">
        <v>7</v>
      </c>
      <c r="G162" t="s">
        <v>8</v>
      </c>
      <c r="H162">
        <v>140000000</v>
      </c>
      <c r="I162">
        <v>8</v>
      </c>
      <c r="J162" t="s">
        <v>8328</v>
      </c>
    </row>
    <row r="163" spans="1:10" x14ac:dyDescent="0.3">
      <c r="A163">
        <v>138</v>
      </c>
      <c r="B163">
        <v>132122995</v>
      </c>
      <c r="C163" t="s">
        <v>237</v>
      </c>
      <c r="D163" t="s">
        <v>411</v>
      </c>
      <c r="E163" t="s">
        <v>412</v>
      </c>
      <c r="F163" t="s">
        <v>7</v>
      </c>
      <c r="G163" t="s">
        <v>8</v>
      </c>
      <c r="H163">
        <v>137000000</v>
      </c>
      <c r="I163">
        <v>7.3</v>
      </c>
      <c r="J163" t="s">
        <v>8300</v>
      </c>
    </row>
    <row r="164" spans="1:10" x14ac:dyDescent="0.3">
      <c r="A164">
        <v>122</v>
      </c>
      <c r="B164">
        <v>122512052</v>
      </c>
      <c r="C164" t="s">
        <v>78</v>
      </c>
      <c r="D164" t="s">
        <v>413</v>
      </c>
      <c r="E164" t="s">
        <v>414</v>
      </c>
      <c r="F164" t="s">
        <v>7</v>
      </c>
      <c r="G164" t="s">
        <v>8</v>
      </c>
      <c r="H164">
        <v>130000000</v>
      </c>
      <c r="I164">
        <v>7.9</v>
      </c>
      <c r="J164" t="s">
        <v>8358</v>
      </c>
    </row>
    <row r="165" spans="1:10" x14ac:dyDescent="0.3">
      <c r="A165">
        <v>124</v>
      </c>
      <c r="B165">
        <v>68642452</v>
      </c>
      <c r="C165" t="s">
        <v>415</v>
      </c>
      <c r="D165" t="s">
        <v>416</v>
      </c>
      <c r="E165" t="s">
        <v>417</v>
      </c>
      <c r="F165" t="s">
        <v>7</v>
      </c>
      <c r="G165" t="s">
        <v>15</v>
      </c>
      <c r="H165">
        <v>130000000</v>
      </c>
      <c r="I165">
        <v>5.5</v>
      </c>
      <c r="J165" t="s">
        <v>8398</v>
      </c>
    </row>
    <row r="166" spans="1:10" x14ac:dyDescent="0.3">
      <c r="A166">
        <v>106</v>
      </c>
      <c r="B166">
        <v>32131830</v>
      </c>
      <c r="C166" t="s">
        <v>418</v>
      </c>
      <c r="D166" t="s">
        <v>419</v>
      </c>
      <c r="E166" t="s">
        <v>420</v>
      </c>
      <c r="F166" t="s">
        <v>7</v>
      </c>
      <c r="G166" t="s">
        <v>8</v>
      </c>
      <c r="H166">
        <v>137000000</v>
      </c>
      <c r="I166">
        <v>5</v>
      </c>
      <c r="J166" t="s">
        <v>8343</v>
      </c>
    </row>
    <row r="167" spans="1:10" x14ac:dyDescent="0.3">
      <c r="A167">
        <v>124</v>
      </c>
      <c r="B167">
        <v>176636816</v>
      </c>
      <c r="C167" t="s">
        <v>20</v>
      </c>
      <c r="D167" t="s">
        <v>421</v>
      </c>
      <c r="E167" t="s">
        <v>422</v>
      </c>
      <c r="F167" t="s">
        <v>7</v>
      </c>
      <c r="G167" t="s">
        <v>8</v>
      </c>
      <c r="H167">
        <v>140000000</v>
      </c>
      <c r="I167">
        <v>7.7</v>
      </c>
      <c r="J167" t="s">
        <v>8304</v>
      </c>
    </row>
    <row r="168" spans="1:10" x14ac:dyDescent="0.3">
      <c r="A168">
        <v>128</v>
      </c>
      <c r="B168">
        <v>126930660</v>
      </c>
      <c r="C168" t="s">
        <v>12</v>
      </c>
      <c r="D168" t="s">
        <v>423</v>
      </c>
      <c r="E168" t="s">
        <v>424</v>
      </c>
      <c r="F168" t="s">
        <v>7</v>
      </c>
      <c r="G168" t="s">
        <v>15</v>
      </c>
      <c r="H168">
        <v>135000000</v>
      </c>
      <c r="I168">
        <v>6.6</v>
      </c>
      <c r="J168" t="s">
        <v>8399</v>
      </c>
    </row>
    <row r="169" spans="1:10" x14ac:dyDescent="0.3">
      <c r="A169">
        <v>138</v>
      </c>
      <c r="B169">
        <v>93926386</v>
      </c>
      <c r="C169" t="s">
        <v>425</v>
      </c>
      <c r="D169" t="s">
        <v>426</v>
      </c>
      <c r="E169" t="s">
        <v>427</v>
      </c>
      <c r="F169" t="s">
        <v>7</v>
      </c>
      <c r="G169" t="s">
        <v>8</v>
      </c>
      <c r="H169">
        <v>150000000</v>
      </c>
      <c r="I169">
        <v>5.7</v>
      </c>
      <c r="J169" t="s">
        <v>8400</v>
      </c>
    </row>
    <row r="170" spans="1:10" x14ac:dyDescent="0.3">
      <c r="A170">
        <v>115</v>
      </c>
      <c r="B170">
        <v>292298923</v>
      </c>
      <c r="C170" t="s">
        <v>428</v>
      </c>
      <c r="D170" t="s">
        <v>429</v>
      </c>
      <c r="E170" t="s">
        <v>430</v>
      </c>
      <c r="F170" t="s">
        <v>7</v>
      </c>
      <c r="G170" t="s">
        <v>8</v>
      </c>
      <c r="H170">
        <v>120000000</v>
      </c>
      <c r="I170">
        <v>5.8</v>
      </c>
      <c r="J170" t="s">
        <v>8401</v>
      </c>
    </row>
    <row r="171" spans="1:10" x14ac:dyDescent="0.3">
      <c r="A171">
        <v>100</v>
      </c>
      <c r="B171">
        <v>63992328</v>
      </c>
      <c r="C171" t="s">
        <v>431</v>
      </c>
      <c r="D171" t="s">
        <v>432</v>
      </c>
      <c r="E171" t="s">
        <v>433</v>
      </c>
      <c r="F171" t="s">
        <v>7</v>
      </c>
      <c r="G171" t="s">
        <v>132</v>
      </c>
      <c r="H171">
        <v>135000000</v>
      </c>
      <c r="I171">
        <v>6</v>
      </c>
      <c r="J171" t="s">
        <v>8402</v>
      </c>
    </row>
    <row r="172" spans="1:10" x14ac:dyDescent="0.3">
      <c r="A172">
        <v>135</v>
      </c>
      <c r="B172">
        <v>134518390</v>
      </c>
      <c r="C172" t="s">
        <v>20</v>
      </c>
      <c r="D172" t="s">
        <v>434</v>
      </c>
      <c r="E172" t="s">
        <v>435</v>
      </c>
      <c r="F172" t="s">
        <v>7</v>
      </c>
      <c r="G172" t="s">
        <v>8</v>
      </c>
      <c r="H172">
        <v>150000000</v>
      </c>
      <c r="I172">
        <v>6.4</v>
      </c>
      <c r="J172" t="s">
        <v>8403</v>
      </c>
    </row>
    <row r="173" spans="1:10" x14ac:dyDescent="0.3">
      <c r="A173">
        <v>117</v>
      </c>
      <c r="B173">
        <v>52792307</v>
      </c>
      <c r="C173" t="s">
        <v>67</v>
      </c>
      <c r="D173" t="s">
        <v>437</v>
      </c>
      <c r="E173" t="s">
        <v>438</v>
      </c>
      <c r="F173" t="s">
        <v>7</v>
      </c>
      <c r="G173" t="s">
        <v>15</v>
      </c>
      <c r="H173">
        <v>140000000</v>
      </c>
      <c r="I173">
        <v>6.9</v>
      </c>
      <c r="J173" t="s">
        <v>8384</v>
      </c>
    </row>
    <row r="174" spans="1:10" x14ac:dyDescent="0.3">
      <c r="A174">
        <v>156</v>
      </c>
      <c r="B174">
        <v>183635922</v>
      </c>
      <c r="C174" t="s">
        <v>439</v>
      </c>
      <c r="D174" t="s">
        <v>440</v>
      </c>
      <c r="E174" t="s">
        <v>441</v>
      </c>
      <c r="F174" t="s">
        <v>7</v>
      </c>
      <c r="G174" t="s">
        <v>8</v>
      </c>
      <c r="H174">
        <v>135000000</v>
      </c>
      <c r="I174">
        <v>6.4</v>
      </c>
      <c r="J174" t="s">
        <v>8371</v>
      </c>
    </row>
    <row r="175" spans="1:10" x14ac:dyDescent="0.3">
      <c r="A175">
        <v>96</v>
      </c>
      <c r="B175">
        <v>83024900</v>
      </c>
      <c r="C175" t="s">
        <v>109</v>
      </c>
      <c r="D175" t="s">
        <v>442</v>
      </c>
      <c r="E175" t="s">
        <v>443</v>
      </c>
      <c r="F175" t="s">
        <v>7</v>
      </c>
      <c r="G175" t="s">
        <v>8</v>
      </c>
      <c r="H175">
        <v>135000000</v>
      </c>
      <c r="I175">
        <v>7.4</v>
      </c>
      <c r="J175" t="s">
        <v>8404</v>
      </c>
    </row>
    <row r="176" spans="1:10" x14ac:dyDescent="0.3">
      <c r="A176">
        <v>107</v>
      </c>
      <c r="B176">
        <v>123207194</v>
      </c>
      <c r="C176" t="s">
        <v>444</v>
      </c>
      <c r="D176" t="s">
        <v>445</v>
      </c>
      <c r="E176" t="s">
        <v>446</v>
      </c>
      <c r="F176" t="s">
        <v>7</v>
      </c>
      <c r="G176" t="s">
        <v>8</v>
      </c>
      <c r="H176">
        <v>135000000</v>
      </c>
      <c r="I176">
        <v>5.5</v>
      </c>
      <c r="J176" t="s">
        <v>8405</v>
      </c>
    </row>
    <row r="177" spans="1:10" x14ac:dyDescent="0.3">
      <c r="A177">
        <v>92</v>
      </c>
      <c r="B177">
        <v>83348920</v>
      </c>
      <c r="C177" t="s">
        <v>167</v>
      </c>
      <c r="D177" t="s">
        <v>447</v>
      </c>
      <c r="E177" t="s">
        <v>448</v>
      </c>
      <c r="F177" t="s">
        <v>7</v>
      </c>
      <c r="G177" t="s">
        <v>8</v>
      </c>
      <c r="H177">
        <v>132000000</v>
      </c>
      <c r="I177">
        <v>5.9</v>
      </c>
      <c r="J177" t="s">
        <v>8377</v>
      </c>
    </row>
    <row r="178" spans="1:10" x14ac:dyDescent="0.3">
      <c r="A178">
        <v>115</v>
      </c>
      <c r="B178">
        <v>227137090</v>
      </c>
      <c r="C178" t="s">
        <v>449</v>
      </c>
      <c r="D178" t="s">
        <v>450</v>
      </c>
      <c r="E178" t="s">
        <v>451</v>
      </c>
      <c r="F178" t="s">
        <v>7</v>
      </c>
      <c r="G178" t="s">
        <v>8</v>
      </c>
      <c r="H178">
        <v>110000000</v>
      </c>
      <c r="I178">
        <v>6.8</v>
      </c>
      <c r="J178" t="s">
        <v>8406</v>
      </c>
    </row>
    <row r="179" spans="1:10" x14ac:dyDescent="0.3">
      <c r="A179">
        <v>117</v>
      </c>
      <c r="B179">
        <v>180191634</v>
      </c>
      <c r="C179" t="s">
        <v>184</v>
      </c>
      <c r="D179" t="s">
        <v>452</v>
      </c>
      <c r="E179" t="s">
        <v>453</v>
      </c>
      <c r="F179" t="s">
        <v>7</v>
      </c>
      <c r="G179" t="s">
        <v>8</v>
      </c>
      <c r="H179">
        <v>130000000</v>
      </c>
      <c r="I179">
        <v>6.8</v>
      </c>
      <c r="J179" t="s">
        <v>8332</v>
      </c>
    </row>
    <row r="180" spans="1:10" x14ac:dyDescent="0.3">
      <c r="A180">
        <v>146</v>
      </c>
      <c r="B180">
        <v>424645577</v>
      </c>
      <c r="C180" t="s">
        <v>454</v>
      </c>
      <c r="D180" t="s">
        <v>455</v>
      </c>
      <c r="E180" t="s">
        <v>456</v>
      </c>
      <c r="F180" t="s">
        <v>7</v>
      </c>
      <c r="G180" t="s">
        <v>8</v>
      </c>
      <c r="H180">
        <v>130000000</v>
      </c>
      <c r="I180">
        <v>8.1</v>
      </c>
      <c r="J180" t="s">
        <v>8407</v>
      </c>
    </row>
    <row r="181" spans="1:10" x14ac:dyDescent="0.3">
      <c r="A181">
        <v>94</v>
      </c>
      <c r="B181">
        <v>177343675</v>
      </c>
      <c r="C181" t="s">
        <v>457</v>
      </c>
      <c r="D181" t="s">
        <v>458</v>
      </c>
      <c r="E181" t="s">
        <v>459</v>
      </c>
      <c r="F181" t="s">
        <v>7</v>
      </c>
      <c r="G181" t="s">
        <v>8</v>
      </c>
      <c r="H181">
        <v>135000000</v>
      </c>
      <c r="I181">
        <v>6.5</v>
      </c>
      <c r="J181" t="s">
        <v>8408</v>
      </c>
    </row>
    <row r="182" spans="1:10" x14ac:dyDescent="0.3">
      <c r="A182">
        <v>116</v>
      </c>
      <c r="B182">
        <v>234277056</v>
      </c>
      <c r="C182" t="s">
        <v>454</v>
      </c>
      <c r="D182" t="s">
        <v>460</v>
      </c>
      <c r="E182" t="s">
        <v>461</v>
      </c>
      <c r="F182" t="s">
        <v>7</v>
      </c>
      <c r="G182" t="s">
        <v>8</v>
      </c>
      <c r="H182">
        <v>132000000</v>
      </c>
      <c r="I182">
        <v>7.2</v>
      </c>
      <c r="J182" t="s">
        <v>8295</v>
      </c>
    </row>
    <row r="183" spans="1:10" x14ac:dyDescent="0.3">
      <c r="A183">
        <v>147</v>
      </c>
      <c r="B183">
        <v>138396624</v>
      </c>
      <c r="C183" t="s">
        <v>148</v>
      </c>
      <c r="D183" t="s">
        <v>462</v>
      </c>
      <c r="E183" t="s">
        <v>463</v>
      </c>
      <c r="F183" t="s">
        <v>7</v>
      </c>
      <c r="G183" t="s">
        <v>8</v>
      </c>
      <c r="H183">
        <v>130000000</v>
      </c>
      <c r="I183">
        <v>6.7</v>
      </c>
      <c r="J183" t="s">
        <v>8373</v>
      </c>
    </row>
    <row r="184" spans="1:10" x14ac:dyDescent="0.3">
      <c r="A184">
        <v>90</v>
      </c>
      <c r="B184">
        <v>149234747</v>
      </c>
      <c r="C184" t="s">
        <v>399</v>
      </c>
      <c r="D184" t="s">
        <v>464</v>
      </c>
      <c r="E184" t="s">
        <v>465</v>
      </c>
      <c r="F184" t="s">
        <v>7</v>
      </c>
      <c r="G184" t="s">
        <v>8</v>
      </c>
      <c r="H184">
        <v>130000000</v>
      </c>
      <c r="I184">
        <v>8.1</v>
      </c>
      <c r="J184" t="s">
        <v>8409</v>
      </c>
    </row>
    <row r="185" spans="1:10" x14ac:dyDescent="0.3">
      <c r="A185">
        <v>101</v>
      </c>
      <c r="B185">
        <v>118311368</v>
      </c>
      <c r="C185" t="s">
        <v>466</v>
      </c>
      <c r="D185" t="s">
        <v>467</v>
      </c>
      <c r="E185" t="s">
        <v>468</v>
      </c>
      <c r="F185" t="s">
        <v>7</v>
      </c>
      <c r="G185" t="s">
        <v>8</v>
      </c>
      <c r="H185">
        <v>110000000</v>
      </c>
      <c r="I185">
        <v>7.6</v>
      </c>
      <c r="J185" t="s">
        <v>8410</v>
      </c>
    </row>
    <row r="186" spans="1:10" x14ac:dyDescent="0.3">
      <c r="A186">
        <v>138</v>
      </c>
      <c r="B186">
        <v>101160529</v>
      </c>
      <c r="C186" t="s">
        <v>392</v>
      </c>
      <c r="D186" t="s">
        <v>469</v>
      </c>
      <c r="E186" t="s">
        <v>470</v>
      </c>
      <c r="F186" t="s">
        <v>7</v>
      </c>
      <c r="G186" t="s">
        <v>8</v>
      </c>
      <c r="H186">
        <v>125000000</v>
      </c>
      <c r="I186">
        <v>7.4</v>
      </c>
      <c r="J186" t="s">
        <v>8411</v>
      </c>
    </row>
    <row r="187" spans="1:10" x14ac:dyDescent="0.3">
      <c r="A187">
        <v>107</v>
      </c>
      <c r="B187">
        <v>77564037</v>
      </c>
      <c r="C187" t="s">
        <v>471</v>
      </c>
      <c r="D187" t="s">
        <v>472</v>
      </c>
      <c r="E187" t="s">
        <v>473</v>
      </c>
      <c r="F187" t="s">
        <v>7</v>
      </c>
      <c r="G187" t="s">
        <v>8</v>
      </c>
      <c r="H187">
        <v>135000000</v>
      </c>
      <c r="I187">
        <v>7.6</v>
      </c>
      <c r="J187" t="s">
        <v>8364</v>
      </c>
    </row>
    <row r="188" spans="1:10" x14ac:dyDescent="0.3">
      <c r="A188">
        <v>142</v>
      </c>
      <c r="B188">
        <v>249358727</v>
      </c>
      <c r="C188" t="s">
        <v>31</v>
      </c>
      <c r="D188" t="s">
        <v>474</v>
      </c>
      <c r="E188" t="s">
        <v>475</v>
      </c>
      <c r="F188" t="s">
        <v>7</v>
      </c>
      <c r="G188" t="s">
        <v>15</v>
      </c>
      <c r="H188">
        <v>130000000</v>
      </c>
      <c r="I188">
        <v>5.5</v>
      </c>
      <c r="J188" t="s">
        <v>8405</v>
      </c>
    </row>
    <row r="189" spans="1:10" x14ac:dyDescent="0.3">
      <c r="A189">
        <v>165</v>
      </c>
      <c r="B189">
        <v>49551662</v>
      </c>
      <c r="C189" t="s">
        <v>476</v>
      </c>
      <c r="D189" t="s">
        <v>477</v>
      </c>
      <c r="E189" t="s">
        <v>478</v>
      </c>
      <c r="F189" t="s">
        <v>7</v>
      </c>
      <c r="G189" t="s">
        <v>132</v>
      </c>
      <c r="H189">
        <v>130000000</v>
      </c>
      <c r="I189">
        <v>6.7</v>
      </c>
      <c r="J189" t="s">
        <v>8412</v>
      </c>
    </row>
    <row r="190" spans="1:10" x14ac:dyDescent="0.3">
      <c r="A190">
        <v>100</v>
      </c>
      <c r="B190">
        <v>60522097</v>
      </c>
      <c r="C190" t="s">
        <v>20</v>
      </c>
      <c r="D190" t="s">
        <v>479</v>
      </c>
      <c r="E190" t="s">
        <v>480</v>
      </c>
      <c r="F190" t="s">
        <v>7</v>
      </c>
      <c r="G190" t="s">
        <v>8</v>
      </c>
      <c r="H190">
        <v>130000000</v>
      </c>
      <c r="I190">
        <v>6.5</v>
      </c>
      <c r="J190" t="s">
        <v>8332</v>
      </c>
    </row>
    <row r="191" spans="1:10" x14ac:dyDescent="0.3">
      <c r="A191">
        <v>82</v>
      </c>
      <c r="B191">
        <v>137748063</v>
      </c>
      <c r="C191" t="s">
        <v>481</v>
      </c>
      <c r="D191" t="s">
        <v>482</v>
      </c>
      <c r="E191" t="s">
        <v>483</v>
      </c>
      <c r="F191" t="s">
        <v>7</v>
      </c>
      <c r="G191" t="s">
        <v>8</v>
      </c>
      <c r="H191">
        <v>127500000</v>
      </c>
      <c r="I191">
        <v>6.6</v>
      </c>
      <c r="J191" t="s">
        <v>8321</v>
      </c>
    </row>
    <row r="192" spans="1:10" x14ac:dyDescent="0.3">
      <c r="A192">
        <v>98</v>
      </c>
      <c r="B192">
        <v>113733726</v>
      </c>
      <c r="C192" t="s">
        <v>295</v>
      </c>
      <c r="D192" t="s">
        <v>485</v>
      </c>
      <c r="E192" t="s">
        <v>486</v>
      </c>
      <c r="F192" t="s">
        <v>7</v>
      </c>
      <c r="G192" t="s">
        <v>8</v>
      </c>
      <c r="H192">
        <v>127000000</v>
      </c>
      <c r="I192">
        <v>6.7</v>
      </c>
      <c r="J192" t="s">
        <v>8368</v>
      </c>
    </row>
    <row r="193" spans="1:10" x14ac:dyDescent="0.3">
      <c r="A193">
        <v>95</v>
      </c>
      <c r="B193">
        <v>148337537</v>
      </c>
      <c r="C193" t="s">
        <v>487</v>
      </c>
      <c r="D193" t="s">
        <v>488</v>
      </c>
      <c r="E193" t="s">
        <v>489</v>
      </c>
      <c r="F193" t="s">
        <v>7</v>
      </c>
      <c r="G193" t="s">
        <v>8</v>
      </c>
      <c r="H193">
        <v>130000000</v>
      </c>
      <c r="I193">
        <v>6.4</v>
      </c>
      <c r="J193" t="s">
        <v>8413</v>
      </c>
    </row>
    <row r="194" spans="1:10" x14ac:dyDescent="0.3">
      <c r="A194">
        <v>159</v>
      </c>
      <c r="B194">
        <v>317557891</v>
      </c>
      <c r="C194" t="s">
        <v>67</v>
      </c>
      <c r="D194" t="s">
        <v>490</v>
      </c>
      <c r="E194" t="s">
        <v>491</v>
      </c>
      <c r="F194" t="s">
        <v>7</v>
      </c>
      <c r="G194" t="s">
        <v>15</v>
      </c>
      <c r="H194">
        <v>125000000</v>
      </c>
      <c r="I194">
        <v>5.8</v>
      </c>
      <c r="J194" t="s">
        <v>8414</v>
      </c>
    </row>
    <row r="195" spans="1:10" x14ac:dyDescent="0.3">
      <c r="A195">
        <v>96</v>
      </c>
      <c r="B195">
        <v>33592415</v>
      </c>
      <c r="C195" t="s">
        <v>492</v>
      </c>
      <c r="D195" t="s">
        <v>493</v>
      </c>
      <c r="E195" t="s">
        <v>494</v>
      </c>
      <c r="F195" t="s">
        <v>7</v>
      </c>
      <c r="G195" t="s">
        <v>8</v>
      </c>
      <c r="H195">
        <v>130000000</v>
      </c>
      <c r="I195">
        <v>7.4</v>
      </c>
      <c r="J195" t="s">
        <v>8332</v>
      </c>
    </row>
    <row r="196" spans="1:10" x14ac:dyDescent="0.3">
      <c r="A196">
        <v>143</v>
      </c>
      <c r="B196">
        <v>305388685</v>
      </c>
      <c r="C196" t="s">
        <v>9</v>
      </c>
      <c r="D196" t="s">
        <v>495</v>
      </c>
      <c r="E196" t="s">
        <v>496</v>
      </c>
      <c r="F196" t="s">
        <v>7</v>
      </c>
      <c r="G196" t="s">
        <v>8</v>
      </c>
      <c r="H196">
        <v>140000000</v>
      </c>
      <c r="I196">
        <v>7.8</v>
      </c>
      <c r="J196" t="s">
        <v>8415</v>
      </c>
    </row>
    <row r="197" spans="1:10" x14ac:dyDescent="0.3">
      <c r="A197">
        <v>123</v>
      </c>
      <c r="B197">
        <v>337103873</v>
      </c>
      <c r="C197" t="s">
        <v>454</v>
      </c>
      <c r="D197" t="s">
        <v>498</v>
      </c>
      <c r="E197" t="s">
        <v>499</v>
      </c>
      <c r="F197" t="s">
        <v>7</v>
      </c>
      <c r="G197" t="s">
        <v>8</v>
      </c>
      <c r="H197">
        <v>125000000</v>
      </c>
      <c r="I197">
        <v>6.6</v>
      </c>
      <c r="J197" t="s">
        <v>8329</v>
      </c>
    </row>
    <row r="198" spans="1:10" x14ac:dyDescent="0.3">
      <c r="A198">
        <v>174</v>
      </c>
      <c r="B198">
        <v>217536138</v>
      </c>
      <c r="C198" t="s">
        <v>321</v>
      </c>
      <c r="D198" t="s">
        <v>500</v>
      </c>
      <c r="E198" t="s">
        <v>501</v>
      </c>
      <c r="F198" t="s">
        <v>7</v>
      </c>
      <c r="G198" t="s">
        <v>8</v>
      </c>
      <c r="H198">
        <v>125000000</v>
      </c>
      <c r="I198">
        <v>4.9000000000000004</v>
      </c>
      <c r="J198" t="s">
        <v>8387</v>
      </c>
    </row>
    <row r="199" spans="1:10" x14ac:dyDescent="0.3">
      <c r="A199">
        <v>101</v>
      </c>
      <c r="B199">
        <v>131536019</v>
      </c>
      <c r="C199" t="s">
        <v>502</v>
      </c>
      <c r="D199" t="s">
        <v>503</v>
      </c>
      <c r="E199" t="s">
        <v>504</v>
      </c>
      <c r="F199" t="s">
        <v>7</v>
      </c>
      <c r="G199" t="s">
        <v>8</v>
      </c>
      <c r="H199">
        <v>103000000</v>
      </c>
      <c r="I199">
        <v>6.5</v>
      </c>
      <c r="J199" t="s">
        <v>8416</v>
      </c>
    </row>
    <row r="200" spans="1:10" x14ac:dyDescent="0.3">
      <c r="A200">
        <v>134</v>
      </c>
      <c r="B200">
        <v>214948780</v>
      </c>
      <c r="C200" t="s">
        <v>92</v>
      </c>
      <c r="D200" t="s">
        <v>505</v>
      </c>
      <c r="E200" t="s">
        <v>506</v>
      </c>
      <c r="F200" t="s">
        <v>7</v>
      </c>
      <c r="G200" t="s">
        <v>95</v>
      </c>
      <c r="H200">
        <v>110000000</v>
      </c>
      <c r="I200">
        <v>7.5</v>
      </c>
      <c r="J200" t="s">
        <v>8417</v>
      </c>
    </row>
    <row r="201" spans="1:10" x14ac:dyDescent="0.3">
      <c r="A201">
        <v>132</v>
      </c>
      <c r="B201">
        <v>209805005</v>
      </c>
      <c r="C201" t="s">
        <v>118</v>
      </c>
      <c r="D201" t="s">
        <v>507</v>
      </c>
      <c r="E201" t="s">
        <v>508</v>
      </c>
      <c r="F201" t="s">
        <v>7</v>
      </c>
      <c r="G201" t="s">
        <v>8</v>
      </c>
      <c r="H201">
        <v>125000000</v>
      </c>
      <c r="I201">
        <v>6.2</v>
      </c>
      <c r="J201" t="s">
        <v>8374</v>
      </c>
    </row>
    <row r="202" spans="1:10" x14ac:dyDescent="0.3">
      <c r="A202">
        <v>129</v>
      </c>
      <c r="B202">
        <v>186830669</v>
      </c>
      <c r="C202" t="s">
        <v>509</v>
      </c>
      <c r="D202" t="s">
        <v>510</v>
      </c>
      <c r="E202" t="s">
        <v>511</v>
      </c>
      <c r="F202" t="s">
        <v>7</v>
      </c>
      <c r="G202" t="s">
        <v>8</v>
      </c>
      <c r="H202">
        <v>125000000</v>
      </c>
      <c r="I202">
        <v>7.3</v>
      </c>
      <c r="J202" t="s">
        <v>8418</v>
      </c>
    </row>
    <row r="203" spans="1:10" x14ac:dyDescent="0.3">
      <c r="A203">
        <v>106</v>
      </c>
      <c r="B203">
        <v>163192114</v>
      </c>
      <c r="C203" t="s">
        <v>9</v>
      </c>
      <c r="D203" t="s">
        <v>512</v>
      </c>
      <c r="E203" t="s">
        <v>513</v>
      </c>
      <c r="F203" t="s">
        <v>7</v>
      </c>
      <c r="G203" t="s">
        <v>8</v>
      </c>
      <c r="H203">
        <v>125000000</v>
      </c>
      <c r="I203">
        <v>7.5</v>
      </c>
      <c r="J203" t="s">
        <v>8419</v>
      </c>
    </row>
    <row r="204" spans="1:10" x14ac:dyDescent="0.3">
      <c r="A204">
        <v>113</v>
      </c>
      <c r="B204">
        <v>119412921</v>
      </c>
      <c r="C204" t="s">
        <v>237</v>
      </c>
      <c r="D204" t="s">
        <v>514</v>
      </c>
      <c r="E204" t="s">
        <v>515</v>
      </c>
      <c r="F204" t="s">
        <v>7</v>
      </c>
      <c r="G204" t="s">
        <v>8</v>
      </c>
      <c r="H204">
        <v>65000000</v>
      </c>
      <c r="I204">
        <v>5.6</v>
      </c>
      <c r="J204" t="s">
        <v>8420</v>
      </c>
    </row>
    <row r="205" spans="1:10" x14ac:dyDescent="0.3">
      <c r="A205">
        <v>102</v>
      </c>
      <c r="B205">
        <v>32694788</v>
      </c>
      <c r="C205" t="s">
        <v>516</v>
      </c>
      <c r="D205" t="s">
        <v>517</v>
      </c>
      <c r="E205" t="s">
        <v>518</v>
      </c>
      <c r="F205" t="s">
        <v>7</v>
      </c>
      <c r="G205" t="s">
        <v>8</v>
      </c>
      <c r="H205">
        <v>85000000</v>
      </c>
      <c r="I205">
        <v>8.1999999999999993</v>
      </c>
      <c r="J205" t="s">
        <v>8361</v>
      </c>
    </row>
    <row r="206" spans="1:10" x14ac:dyDescent="0.3">
      <c r="A206">
        <v>135</v>
      </c>
      <c r="B206">
        <v>113165635</v>
      </c>
      <c r="C206" t="s">
        <v>12</v>
      </c>
      <c r="D206" t="s">
        <v>519</v>
      </c>
      <c r="E206" t="s">
        <v>520</v>
      </c>
      <c r="F206" t="s">
        <v>7</v>
      </c>
      <c r="G206" t="s">
        <v>8</v>
      </c>
      <c r="H206">
        <v>125000000</v>
      </c>
      <c r="I206">
        <v>8.1</v>
      </c>
      <c r="J206" t="s">
        <v>8295</v>
      </c>
    </row>
    <row r="207" spans="1:10" x14ac:dyDescent="0.3">
      <c r="A207">
        <v>125</v>
      </c>
      <c r="B207">
        <v>107285004</v>
      </c>
      <c r="C207" t="s">
        <v>521</v>
      </c>
      <c r="D207" t="s">
        <v>522</v>
      </c>
      <c r="E207" t="s">
        <v>523</v>
      </c>
      <c r="F207" t="s">
        <v>7</v>
      </c>
      <c r="G207" t="s">
        <v>8</v>
      </c>
      <c r="H207">
        <v>125000000</v>
      </c>
      <c r="I207">
        <v>6.4</v>
      </c>
      <c r="J207" t="s">
        <v>8417</v>
      </c>
    </row>
    <row r="208" spans="1:10" x14ac:dyDescent="0.3">
      <c r="A208">
        <v>110</v>
      </c>
      <c r="B208">
        <v>260031035</v>
      </c>
      <c r="C208" t="s">
        <v>187</v>
      </c>
      <c r="D208" t="s">
        <v>524</v>
      </c>
      <c r="E208" t="s">
        <v>525</v>
      </c>
      <c r="F208" t="s">
        <v>7</v>
      </c>
      <c r="G208" t="s">
        <v>8</v>
      </c>
      <c r="H208">
        <v>123000000</v>
      </c>
      <c r="I208">
        <v>6.7</v>
      </c>
      <c r="J208" t="s">
        <v>8364</v>
      </c>
    </row>
    <row r="209" spans="1:10" x14ac:dyDescent="0.3">
      <c r="A209">
        <v>124</v>
      </c>
      <c r="B209">
        <v>186739919</v>
      </c>
      <c r="C209" t="s">
        <v>78</v>
      </c>
      <c r="D209" t="s">
        <v>526</v>
      </c>
      <c r="E209" t="s">
        <v>527</v>
      </c>
      <c r="F209" t="s">
        <v>7</v>
      </c>
      <c r="G209" t="s">
        <v>8</v>
      </c>
      <c r="H209">
        <v>125000000</v>
      </c>
      <c r="I209">
        <v>6.6</v>
      </c>
      <c r="J209" t="s">
        <v>8378</v>
      </c>
    </row>
    <row r="210" spans="1:10" x14ac:dyDescent="0.3">
      <c r="A210">
        <v>123</v>
      </c>
      <c r="B210">
        <v>215397307</v>
      </c>
      <c r="C210" t="s">
        <v>12</v>
      </c>
      <c r="D210" t="s">
        <v>528</v>
      </c>
      <c r="E210" t="s">
        <v>529</v>
      </c>
      <c r="F210" t="s">
        <v>7</v>
      </c>
      <c r="G210" t="s">
        <v>8</v>
      </c>
      <c r="H210">
        <v>125000000</v>
      </c>
      <c r="I210">
        <v>6.4</v>
      </c>
      <c r="J210" t="s">
        <v>8421</v>
      </c>
    </row>
    <row r="211" spans="1:10" x14ac:dyDescent="0.3">
      <c r="A211">
        <v>130</v>
      </c>
      <c r="B211">
        <v>182618434</v>
      </c>
      <c r="C211" t="s">
        <v>263</v>
      </c>
      <c r="D211" t="s">
        <v>530</v>
      </c>
      <c r="E211" t="s">
        <v>531</v>
      </c>
      <c r="F211" t="s">
        <v>7</v>
      </c>
      <c r="G211" t="s">
        <v>8</v>
      </c>
      <c r="H211">
        <v>140000000</v>
      </c>
      <c r="I211">
        <v>7.5</v>
      </c>
      <c r="J211" t="s">
        <v>8305</v>
      </c>
    </row>
    <row r="212" spans="1:10" x14ac:dyDescent="0.3">
      <c r="A212">
        <v>92</v>
      </c>
      <c r="B212">
        <v>131920333</v>
      </c>
      <c r="C212" t="s">
        <v>78</v>
      </c>
      <c r="D212" t="s">
        <v>532</v>
      </c>
      <c r="E212" t="s">
        <v>533</v>
      </c>
      <c r="F212" t="s">
        <v>7</v>
      </c>
      <c r="G212" t="s">
        <v>8</v>
      </c>
      <c r="H212">
        <v>130000000</v>
      </c>
      <c r="I212">
        <v>7.3</v>
      </c>
      <c r="J212" t="s">
        <v>8335</v>
      </c>
    </row>
    <row r="213" spans="1:10" x14ac:dyDescent="0.3">
      <c r="A213">
        <v>127</v>
      </c>
      <c r="B213">
        <v>124976634</v>
      </c>
      <c r="C213" t="s">
        <v>534</v>
      </c>
      <c r="D213" t="s">
        <v>535</v>
      </c>
      <c r="E213" t="s">
        <v>536</v>
      </c>
      <c r="F213" t="s">
        <v>7</v>
      </c>
      <c r="G213" t="s">
        <v>8</v>
      </c>
      <c r="H213">
        <v>120000000</v>
      </c>
      <c r="I213">
        <v>7.5</v>
      </c>
      <c r="J213" t="s">
        <v>8422</v>
      </c>
    </row>
    <row r="214" spans="1:10" x14ac:dyDescent="0.3">
      <c r="A214">
        <v>123</v>
      </c>
      <c r="B214">
        <v>115802596</v>
      </c>
      <c r="C214" t="s">
        <v>537</v>
      </c>
      <c r="D214" t="s">
        <v>538</v>
      </c>
      <c r="E214" t="s">
        <v>539</v>
      </c>
      <c r="F214" t="s">
        <v>7</v>
      </c>
      <c r="G214" t="s">
        <v>8</v>
      </c>
      <c r="H214">
        <v>110000000</v>
      </c>
      <c r="I214">
        <v>5.8</v>
      </c>
      <c r="J214" t="s">
        <v>8406</v>
      </c>
    </row>
    <row r="215" spans="1:10" x14ac:dyDescent="0.3">
      <c r="A215">
        <v>123</v>
      </c>
      <c r="B215">
        <v>108521835</v>
      </c>
      <c r="C215" t="s">
        <v>16</v>
      </c>
      <c r="D215" t="s">
        <v>540</v>
      </c>
      <c r="E215" t="s">
        <v>541</v>
      </c>
      <c r="F215" t="s">
        <v>7</v>
      </c>
      <c r="G215" t="s">
        <v>15</v>
      </c>
      <c r="H215">
        <v>120000000</v>
      </c>
      <c r="I215">
        <v>7.5</v>
      </c>
      <c r="J215" t="s">
        <v>8423</v>
      </c>
    </row>
    <row r="216" spans="1:10" x14ac:dyDescent="0.3">
      <c r="A216">
        <v>107</v>
      </c>
      <c r="B216">
        <v>100685880</v>
      </c>
      <c r="C216" t="s">
        <v>542</v>
      </c>
      <c r="D216" t="s">
        <v>543</v>
      </c>
      <c r="E216" t="s">
        <v>544</v>
      </c>
      <c r="F216" t="s">
        <v>7</v>
      </c>
      <c r="G216" t="s">
        <v>8</v>
      </c>
      <c r="H216">
        <v>120000000</v>
      </c>
      <c r="I216">
        <v>6.6</v>
      </c>
      <c r="J216" t="s">
        <v>8424</v>
      </c>
    </row>
    <row r="217" spans="1:10" x14ac:dyDescent="0.3">
      <c r="A217">
        <v>124</v>
      </c>
      <c r="B217">
        <v>126464904</v>
      </c>
      <c r="C217" t="s">
        <v>545</v>
      </c>
      <c r="D217" t="s">
        <v>546</v>
      </c>
      <c r="E217" t="s">
        <v>547</v>
      </c>
      <c r="F217" t="s">
        <v>7</v>
      </c>
      <c r="G217" t="s">
        <v>8</v>
      </c>
      <c r="H217">
        <v>130000000</v>
      </c>
      <c r="I217">
        <v>6.7</v>
      </c>
      <c r="J217" t="s">
        <v>8425</v>
      </c>
    </row>
    <row r="218" spans="1:10" x14ac:dyDescent="0.3">
      <c r="A218">
        <v>77</v>
      </c>
      <c r="B218">
        <v>64736114</v>
      </c>
      <c r="C218" t="s">
        <v>96</v>
      </c>
      <c r="D218" t="s">
        <v>548</v>
      </c>
      <c r="E218" t="s">
        <v>549</v>
      </c>
      <c r="F218" t="s">
        <v>7</v>
      </c>
      <c r="G218" t="s">
        <v>8</v>
      </c>
      <c r="H218">
        <v>120000000</v>
      </c>
      <c r="I218">
        <v>3.7</v>
      </c>
      <c r="J218" t="s">
        <v>8426</v>
      </c>
    </row>
    <row r="219" spans="1:10" x14ac:dyDescent="0.3">
      <c r="A219">
        <v>109</v>
      </c>
      <c r="B219">
        <v>93050117</v>
      </c>
      <c r="C219" t="s">
        <v>550</v>
      </c>
      <c r="D219" t="s">
        <v>551</v>
      </c>
      <c r="E219" t="s">
        <v>552</v>
      </c>
      <c r="F219" t="s">
        <v>7</v>
      </c>
      <c r="G219" t="s">
        <v>8</v>
      </c>
      <c r="H219">
        <v>115000000</v>
      </c>
      <c r="I219">
        <v>6</v>
      </c>
      <c r="J219" t="s">
        <v>8378</v>
      </c>
    </row>
    <row r="220" spans="1:10" x14ac:dyDescent="0.3">
      <c r="A220">
        <v>134</v>
      </c>
      <c r="B220">
        <v>57637485</v>
      </c>
      <c r="C220" t="s">
        <v>78</v>
      </c>
      <c r="D220" t="s">
        <v>553</v>
      </c>
      <c r="E220" t="s">
        <v>554</v>
      </c>
      <c r="F220" t="s">
        <v>7</v>
      </c>
      <c r="G220" t="s">
        <v>8</v>
      </c>
      <c r="H220">
        <v>105000000</v>
      </c>
      <c r="I220">
        <v>6.4</v>
      </c>
      <c r="J220" t="s">
        <v>8336</v>
      </c>
    </row>
    <row r="221" spans="1:10" x14ac:dyDescent="0.3">
      <c r="A221">
        <v>117</v>
      </c>
      <c r="B221">
        <v>58607007</v>
      </c>
      <c r="C221" t="s">
        <v>555</v>
      </c>
      <c r="D221" t="s">
        <v>556</v>
      </c>
      <c r="E221" t="s">
        <v>557</v>
      </c>
      <c r="F221" t="s">
        <v>7</v>
      </c>
      <c r="G221" t="s">
        <v>8</v>
      </c>
      <c r="H221">
        <v>100000000</v>
      </c>
      <c r="I221">
        <v>6.1</v>
      </c>
      <c r="J221" t="s">
        <v>8427</v>
      </c>
    </row>
    <row r="222" spans="1:10" x14ac:dyDescent="0.3">
      <c r="A222">
        <v>135</v>
      </c>
      <c r="B222">
        <v>43929341</v>
      </c>
      <c r="C222" t="s">
        <v>558</v>
      </c>
      <c r="D222" t="s">
        <v>559</v>
      </c>
      <c r="E222" t="s">
        <v>560</v>
      </c>
      <c r="F222" t="s">
        <v>7</v>
      </c>
      <c r="G222" t="s">
        <v>8</v>
      </c>
      <c r="H222">
        <v>120000000</v>
      </c>
      <c r="I222">
        <v>6.4</v>
      </c>
      <c r="J222" t="s">
        <v>8366</v>
      </c>
    </row>
    <row r="223" spans="1:10" x14ac:dyDescent="0.3">
      <c r="A223">
        <v>121</v>
      </c>
      <c r="B223">
        <v>30212620</v>
      </c>
      <c r="C223" t="s">
        <v>561</v>
      </c>
      <c r="D223" t="s">
        <v>562</v>
      </c>
      <c r="E223" t="s">
        <v>563</v>
      </c>
      <c r="F223" t="s">
        <v>7</v>
      </c>
      <c r="G223" t="s">
        <v>8</v>
      </c>
      <c r="H223">
        <v>120000000</v>
      </c>
      <c r="I223">
        <v>5.6</v>
      </c>
      <c r="J223" t="s">
        <v>8428</v>
      </c>
    </row>
    <row r="224" spans="1:10" x14ac:dyDescent="0.3">
      <c r="A224">
        <v>117</v>
      </c>
      <c r="B224">
        <v>76418654</v>
      </c>
      <c r="C224" t="s">
        <v>564</v>
      </c>
      <c r="D224" t="s">
        <v>565</v>
      </c>
      <c r="E224" t="s">
        <v>566</v>
      </c>
      <c r="F224" t="s">
        <v>7</v>
      </c>
      <c r="G224" t="s">
        <v>8</v>
      </c>
      <c r="H224">
        <v>117000000</v>
      </c>
      <c r="I224">
        <v>8</v>
      </c>
      <c r="J224" t="s">
        <v>8400</v>
      </c>
    </row>
    <row r="225" spans="1:10" x14ac:dyDescent="0.3">
      <c r="A225">
        <v>124</v>
      </c>
      <c r="B225">
        <v>89021735</v>
      </c>
      <c r="C225" t="s">
        <v>567</v>
      </c>
      <c r="D225" t="s">
        <v>568</v>
      </c>
      <c r="E225" t="s">
        <v>569</v>
      </c>
      <c r="F225" t="s">
        <v>7</v>
      </c>
      <c r="G225" t="s">
        <v>8</v>
      </c>
      <c r="H225">
        <v>120000000</v>
      </c>
      <c r="I225">
        <v>5.2</v>
      </c>
      <c r="J225" t="s">
        <v>8429</v>
      </c>
    </row>
    <row r="226" spans="1:10" x14ac:dyDescent="0.3">
      <c r="A226">
        <v>140</v>
      </c>
      <c r="B226">
        <v>380262555</v>
      </c>
      <c r="C226" t="s">
        <v>4</v>
      </c>
      <c r="D226" t="s">
        <v>570</v>
      </c>
      <c r="E226" t="s">
        <v>571</v>
      </c>
      <c r="F226" t="s">
        <v>7</v>
      </c>
      <c r="G226" t="s">
        <v>8</v>
      </c>
      <c r="H226">
        <v>113000000</v>
      </c>
      <c r="I226">
        <v>7.1</v>
      </c>
      <c r="J226" t="s">
        <v>8409</v>
      </c>
    </row>
    <row r="227" spans="1:10" x14ac:dyDescent="0.3">
      <c r="A227">
        <v>142</v>
      </c>
      <c r="B227">
        <v>310675583</v>
      </c>
      <c r="C227" t="s">
        <v>4</v>
      </c>
      <c r="D227" t="s">
        <v>572</v>
      </c>
      <c r="E227" t="s">
        <v>573</v>
      </c>
      <c r="F227" t="s">
        <v>7</v>
      </c>
      <c r="G227" t="s">
        <v>8</v>
      </c>
      <c r="H227">
        <v>115000000</v>
      </c>
      <c r="I227">
        <v>4.8</v>
      </c>
      <c r="J227" t="s">
        <v>8326</v>
      </c>
    </row>
    <row r="228" spans="1:10" x14ac:dyDescent="0.3">
      <c r="A228">
        <v>92</v>
      </c>
      <c r="B228">
        <v>289907418</v>
      </c>
      <c r="C228" t="s">
        <v>96</v>
      </c>
      <c r="D228" t="s">
        <v>574</v>
      </c>
      <c r="E228" t="s">
        <v>575</v>
      </c>
      <c r="F228" t="s">
        <v>7</v>
      </c>
      <c r="G228" t="s">
        <v>8</v>
      </c>
      <c r="H228">
        <v>115000000</v>
      </c>
      <c r="I228">
        <v>7</v>
      </c>
      <c r="J228" t="s">
        <v>8312</v>
      </c>
    </row>
    <row r="229" spans="1:10" x14ac:dyDescent="0.3">
      <c r="A229">
        <v>138</v>
      </c>
      <c r="B229">
        <v>132550960</v>
      </c>
      <c r="C229" t="s">
        <v>78</v>
      </c>
      <c r="D229" t="s">
        <v>576</v>
      </c>
      <c r="E229" t="s">
        <v>577</v>
      </c>
      <c r="F229" t="s">
        <v>7</v>
      </c>
      <c r="G229" t="s">
        <v>8</v>
      </c>
      <c r="H229">
        <v>120000000</v>
      </c>
      <c r="I229">
        <v>5.4</v>
      </c>
      <c r="J229" t="s">
        <v>8391</v>
      </c>
    </row>
    <row r="230" spans="1:10" x14ac:dyDescent="0.3">
      <c r="A230">
        <v>136</v>
      </c>
      <c r="B230">
        <v>474544677</v>
      </c>
      <c r="C230" t="s">
        <v>4</v>
      </c>
      <c r="D230" t="s">
        <v>578</v>
      </c>
      <c r="E230" t="s">
        <v>579</v>
      </c>
      <c r="F230" t="s">
        <v>7</v>
      </c>
      <c r="G230" t="s">
        <v>8</v>
      </c>
      <c r="H230">
        <v>115000000</v>
      </c>
      <c r="I230">
        <v>6.6</v>
      </c>
      <c r="J230" t="s">
        <v>8430</v>
      </c>
    </row>
    <row r="231" spans="1:10" x14ac:dyDescent="0.3">
      <c r="A231">
        <v>98</v>
      </c>
      <c r="B231">
        <v>187165546</v>
      </c>
      <c r="C231" t="s">
        <v>96</v>
      </c>
      <c r="D231" t="s">
        <v>580</v>
      </c>
      <c r="E231" t="s">
        <v>581</v>
      </c>
      <c r="F231" t="s">
        <v>7</v>
      </c>
      <c r="G231" t="s">
        <v>8</v>
      </c>
      <c r="H231">
        <v>135000000</v>
      </c>
      <c r="I231">
        <v>6.7</v>
      </c>
      <c r="J231" t="s">
        <v>8431</v>
      </c>
    </row>
    <row r="232" spans="1:10" x14ac:dyDescent="0.3">
      <c r="A232">
        <v>153</v>
      </c>
      <c r="B232">
        <v>40911830</v>
      </c>
      <c r="C232" t="s">
        <v>584</v>
      </c>
      <c r="D232" t="s">
        <v>585</v>
      </c>
      <c r="E232" t="s">
        <v>586</v>
      </c>
      <c r="F232" t="s">
        <v>7</v>
      </c>
      <c r="G232" t="s">
        <v>8</v>
      </c>
      <c r="H232">
        <v>115000000</v>
      </c>
      <c r="I232">
        <v>6.2</v>
      </c>
      <c r="J232" t="s">
        <v>8432</v>
      </c>
    </row>
    <row r="233" spans="1:10" x14ac:dyDescent="0.3">
      <c r="A233">
        <v>120</v>
      </c>
      <c r="B233">
        <v>47952020</v>
      </c>
      <c r="C233" t="s">
        <v>204</v>
      </c>
      <c r="D233" t="s">
        <v>587</v>
      </c>
      <c r="E233" t="s">
        <v>588</v>
      </c>
      <c r="F233" t="s">
        <v>7</v>
      </c>
      <c r="G233" t="s">
        <v>8</v>
      </c>
      <c r="H233">
        <v>115000000</v>
      </c>
      <c r="I233">
        <v>6.1</v>
      </c>
      <c r="J233" t="s">
        <v>8338</v>
      </c>
    </row>
    <row r="234" spans="1:10" x14ac:dyDescent="0.3">
      <c r="A234">
        <v>101</v>
      </c>
      <c r="B234">
        <v>190871240</v>
      </c>
      <c r="C234" t="s">
        <v>184</v>
      </c>
      <c r="D234" t="s">
        <v>589</v>
      </c>
      <c r="E234" t="s">
        <v>590</v>
      </c>
      <c r="F234" t="s">
        <v>7</v>
      </c>
      <c r="G234" t="s">
        <v>8</v>
      </c>
      <c r="H234">
        <v>125000000</v>
      </c>
      <c r="I234">
        <v>5.3</v>
      </c>
      <c r="J234" t="s">
        <v>8433</v>
      </c>
    </row>
    <row r="235" spans="1:10" x14ac:dyDescent="0.3">
      <c r="A235">
        <v>91</v>
      </c>
      <c r="B235">
        <v>274084951</v>
      </c>
      <c r="C235" t="s">
        <v>591</v>
      </c>
      <c r="D235" t="s">
        <v>592</v>
      </c>
      <c r="E235" t="s">
        <v>593</v>
      </c>
      <c r="F235" t="s">
        <v>7</v>
      </c>
      <c r="G235" t="s">
        <v>15</v>
      </c>
      <c r="H235">
        <v>100000000</v>
      </c>
      <c r="I235">
        <v>6.3</v>
      </c>
      <c r="J235" t="s">
        <v>8434</v>
      </c>
    </row>
    <row r="236" spans="1:10" x14ac:dyDescent="0.3">
      <c r="A236">
        <v>108</v>
      </c>
      <c r="B236">
        <v>67155742</v>
      </c>
      <c r="C236" t="s">
        <v>12</v>
      </c>
      <c r="D236" t="s">
        <v>594</v>
      </c>
      <c r="E236" t="s">
        <v>595</v>
      </c>
      <c r="F236" t="s">
        <v>7</v>
      </c>
      <c r="G236" t="s">
        <v>8</v>
      </c>
      <c r="H236">
        <v>116000000</v>
      </c>
      <c r="I236">
        <v>7</v>
      </c>
      <c r="J236" t="s">
        <v>8322</v>
      </c>
    </row>
    <row r="237" spans="1:10" x14ac:dyDescent="0.3">
      <c r="A237">
        <v>112</v>
      </c>
      <c r="B237">
        <v>81638674</v>
      </c>
      <c r="C237" t="s">
        <v>184</v>
      </c>
      <c r="D237" t="s">
        <v>596</v>
      </c>
      <c r="E237" t="s">
        <v>597</v>
      </c>
      <c r="F237" t="s">
        <v>7</v>
      </c>
      <c r="G237" t="s">
        <v>8</v>
      </c>
      <c r="H237">
        <v>135000000</v>
      </c>
      <c r="I237">
        <v>7.6</v>
      </c>
      <c r="J237" t="s">
        <v>8435</v>
      </c>
    </row>
    <row r="238" spans="1:10" x14ac:dyDescent="0.3">
      <c r="A238">
        <v>100</v>
      </c>
      <c r="B238">
        <v>56114221</v>
      </c>
      <c r="C238" t="s">
        <v>20</v>
      </c>
      <c r="D238" t="s">
        <v>598</v>
      </c>
      <c r="E238" t="s">
        <v>599</v>
      </c>
      <c r="F238" t="s">
        <v>7</v>
      </c>
      <c r="G238" t="s">
        <v>8</v>
      </c>
      <c r="H238">
        <v>120000000</v>
      </c>
      <c r="I238">
        <v>6.7</v>
      </c>
      <c r="J238" t="s">
        <v>8435</v>
      </c>
    </row>
    <row r="239" spans="1:10" x14ac:dyDescent="0.3">
      <c r="A239">
        <v>108</v>
      </c>
      <c r="B239">
        <v>250863268</v>
      </c>
      <c r="C239" t="s">
        <v>600</v>
      </c>
      <c r="D239" t="s">
        <v>601</v>
      </c>
      <c r="E239" t="s">
        <v>602</v>
      </c>
      <c r="F239" t="s">
        <v>7</v>
      </c>
      <c r="G239" t="s">
        <v>8</v>
      </c>
      <c r="H239">
        <v>110000000</v>
      </c>
      <c r="I239">
        <v>8.1</v>
      </c>
      <c r="J239" t="s">
        <v>8339</v>
      </c>
    </row>
    <row r="240" spans="1:10" x14ac:dyDescent="0.3">
      <c r="A240">
        <v>114</v>
      </c>
      <c r="B240">
        <v>155181732</v>
      </c>
      <c r="C240" t="s">
        <v>263</v>
      </c>
      <c r="D240" t="s">
        <v>603</v>
      </c>
      <c r="E240" t="s">
        <v>604</v>
      </c>
      <c r="F240" t="s">
        <v>7</v>
      </c>
      <c r="G240" t="s">
        <v>8</v>
      </c>
      <c r="H240">
        <v>110000000</v>
      </c>
      <c r="I240">
        <v>6.7</v>
      </c>
      <c r="J240" t="s">
        <v>8434</v>
      </c>
    </row>
    <row r="241" spans="1:10" x14ac:dyDescent="0.3">
      <c r="A241">
        <v>119</v>
      </c>
      <c r="B241">
        <v>125332007</v>
      </c>
      <c r="C241" t="s">
        <v>12</v>
      </c>
      <c r="D241" t="s">
        <v>605</v>
      </c>
      <c r="E241" t="s">
        <v>606</v>
      </c>
      <c r="F241" t="s">
        <v>7</v>
      </c>
      <c r="G241" t="s">
        <v>15</v>
      </c>
      <c r="H241">
        <v>110000000</v>
      </c>
      <c r="I241">
        <v>6.5</v>
      </c>
      <c r="J241" t="s">
        <v>8435</v>
      </c>
    </row>
    <row r="242" spans="1:10" x14ac:dyDescent="0.3">
      <c r="A242">
        <v>142</v>
      </c>
      <c r="B242">
        <v>113330342</v>
      </c>
      <c r="C242" t="s">
        <v>389</v>
      </c>
      <c r="D242" t="s">
        <v>607</v>
      </c>
      <c r="E242" t="s">
        <v>608</v>
      </c>
      <c r="F242" t="s">
        <v>7</v>
      </c>
      <c r="G242" t="s">
        <v>8</v>
      </c>
      <c r="H242">
        <v>110000000</v>
      </c>
      <c r="I242">
        <v>7.3</v>
      </c>
      <c r="J242" t="s">
        <v>8436</v>
      </c>
    </row>
    <row r="243" spans="1:10" x14ac:dyDescent="0.3">
      <c r="A243">
        <v>125</v>
      </c>
      <c r="B243">
        <v>125531634</v>
      </c>
      <c r="C243" t="s">
        <v>609</v>
      </c>
      <c r="D243" t="s">
        <v>610</v>
      </c>
      <c r="E243" t="s">
        <v>611</v>
      </c>
      <c r="F243" t="s">
        <v>7</v>
      </c>
      <c r="G243" t="s">
        <v>8</v>
      </c>
      <c r="H243">
        <v>110000000</v>
      </c>
      <c r="I243">
        <v>5.0999999999999996</v>
      </c>
      <c r="J243" t="s">
        <v>8437</v>
      </c>
    </row>
    <row r="244" spans="1:10" x14ac:dyDescent="0.3">
      <c r="A244">
        <v>126</v>
      </c>
      <c r="B244">
        <v>186336103</v>
      </c>
      <c r="C244" t="s">
        <v>612</v>
      </c>
      <c r="D244" t="s">
        <v>613</v>
      </c>
      <c r="E244" t="s">
        <v>614</v>
      </c>
      <c r="F244" t="s">
        <v>7</v>
      </c>
      <c r="G244" t="s">
        <v>8</v>
      </c>
      <c r="H244">
        <v>120000000</v>
      </c>
      <c r="I244">
        <v>6</v>
      </c>
      <c r="J244" t="s">
        <v>8427</v>
      </c>
    </row>
    <row r="245" spans="1:10" x14ac:dyDescent="0.3">
      <c r="A245">
        <v>119</v>
      </c>
      <c r="B245">
        <v>129995817</v>
      </c>
      <c r="C245" t="s">
        <v>454</v>
      </c>
      <c r="D245" t="s">
        <v>615</v>
      </c>
      <c r="E245" t="s">
        <v>616</v>
      </c>
      <c r="F245" t="s">
        <v>7</v>
      </c>
      <c r="G245" t="s">
        <v>8</v>
      </c>
      <c r="H245">
        <v>110000000</v>
      </c>
      <c r="I245">
        <v>6.1</v>
      </c>
      <c r="J245" t="s">
        <v>8438</v>
      </c>
    </row>
    <row r="246" spans="1:10" x14ac:dyDescent="0.3">
      <c r="A246">
        <v>170</v>
      </c>
      <c r="B246">
        <v>102608827</v>
      </c>
      <c r="C246" t="s">
        <v>617</v>
      </c>
      <c r="D246" t="s">
        <v>618</v>
      </c>
      <c r="E246" t="s">
        <v>619</v>
      </c>
      <c r="F246" t="s">
        <v>7</v>
      </c>
      <c r="G246" t="s">
        <v>8</v>
      </c>
      <c r="H246">
        <v>110000000</v>
      </c>
      <c r="I246">
        <v>5.9</v>
      </c>
      <c r="J246" t="s">
        <v>8382</v>
      </c>
    </row>
    <row r="247" spans="1:10" x14ac:dyDescent="0.3">
      <c r="A247">
        <v>85</v>
      </c>
      <c r="B247">
        <v>42776259</v>
      </c>
      <c r="C247" t="s">
        <v>295</v>
      </c>
      <c r="D247" t="s">
        <v>620</v>
      </c>
      <c r="E247" t="s">
        <v>621</v>
      </c>
      <c r="F247" t="s">
        <v>7</v>
      </c>
      <c r="G247" t="s">
        <v>8</v>
      </c>
      <c r="H247">
        <v>112000000</v>
      </c>
      <c r="I247">
        <v>7.8</v>
      </c>
      <c r="J247" t="s">
        <v>8415</v>
      </c>
    </row>
    <row r="248" spans="1:10" x14ac:dyDescent="0.3">
      <c r="A248">
        <v>119</v>
      </c>
      <c r="B248">
        <v>98780042</v>
      </c>
      <c r="C248" t="s">
        <v>622</v>
      </c>
      <c r="D248" t="s">
        <v>623</v>
      </c>
      <c r="E248" t="s">
        <v>624</v>
      </c>
      <c r="F248" t="s">
        <v>7</v>
      </c>
      <c r="G248" t="s">
        <v>8</v>
      </c>
      <c r="H248">
        <v>120000000</v>
      </c>
      <c r="I248">
        <v>5.8</v>
      </c>
      <c r="J248" t="s">
        <v>8439</v>
      </c>
    </row>
    <row r="249" spans="1:10" x14ac:dyDescent="0.3">
      <c r="A249">
        <v>102</v>
      </c>
      <c r="B249">
        <v>106369117</v>
      </c>
      <c r="C249" t="s">
        <v>625</v>
      </c>
      <c r="D249" t="s">
        <v>626</v>
      </c>
      <c r="E249" t="s">
        <v>627</v>
      </c>
      <c r="F249" t="s">
        <v>7</v>
      </c>
      <c r="G249" t="s">
        <v>8</v>
      </c>
      <c r="H249">
        <v>110000000</v>
      </c>
      <c r="I249">
        <v>6.3</v>
      </c>
      <c r="J249" t="s">
        <v>8440</v>
      </c>
    </row>
    <row r="250" spans="1:10" x14ac:dyDescent="0.3">
      <c r="A250">
        <v>103</v>
      </c>
      <c r="B250">
        <v>142614158</v>
      </c>
      <c r="C250" t="s">
        <v>96</v>
      </c>
      <c r="D250" t="s">
        <v>628</v>
      </c>
      <c r="E250" t="s">
        <v>629</v>
      </c>
      <c r="F250" t="s">
        <v>7</v>
      </c>
      <c r="G250" t="s">
        <v>8</v>
      </c>
      <c r="H250">
        <v>110000000</v>
      </c>
      <c r="I250">
        <v>4.3</v>
      </c>
      <c r="J250" t="s">
        <v>8441</v>
      </c>
    </row>
    <row r="251" spans="1:10" x14ac:dyDescent="0.3">
      <c r="A251">
        <v>76</v>
      </c>
      <c r="B251">
        <v>50026353</v>
      </c>
      <c r="C251" t="s">
        <v>630</v>
      </c>
      <c r="D251" t="s">
        <v>631</v>
      </c>
      <c r="E251" t="s">
        <v>632</v>
      </c>
      <c r="F251" t="s">
        <v>7</v>
      </c>
      <c r="G251" t="s">
        <v>8</v>
      </c>
      <c r="H251">
        <v>110000000</v>
      </c>
      <c r="I251">
        <v>6.4</v>
      </c>
      <c r="J251" t="s">
        <v>8374</v>
      </c>
    </row>
    <row r="252" spans="1:10" x14ac:dyDescent="0.3">
      <c r="A252">
        <v>120</v>
      </c>
      <c r="B252">
        <v>66002193</v>
      </c>
      <c r="C252" t="s">
        <v>633</v>
      </c>
      <c r="D252" t="s">
        <v>634</v>
      </c>
      <c r="E252" t="s">
        <v>635</v>
      </c>
      <c r="F252" t="s">
        <v>7</v>
      </c>
      <c r="G252" t="s">
        <v>8</v>
      </c>
      <c r="H252">
        <v>110000000</v>
      </c>
      <c r="I252">
        <v>6.1</v>
      </c>
      <c r="J252" t="s">
        <v>8442</v>
      </c>
    </row>
    <row r="253" spans="1:10" x14ac:dyDescent="0.3">
      <c r="A253">
        <v>127</v>
      </c>
      <c r="B253">
        <v>85463309</v>
      </c>
      <c r="C253" t="s">
        <v>636</v>
      </c>
      <c r="D253" t="s">
        <v>637</v>
      </c>
      <c r="E253" t="s">
        <v>638</v>
      </c>
      <c r="F253" t="s">
        <v>7</v>
      </c>
      <c r="G253" t="s">
        <v>8</v>
      </c>
      <c r="H253">
        <v>110000000</v>
      </c>
      <c r="I253">
        <v>6.5</v>
      </c>
      <c r="J253" t="s">
        <v>8443</v>
      </c>
    </row>
    <row r="254" spans="1:10" x14ac:dyDescent="0.3">
      <c r="A254">
        <v>105</v>
      </c>
      <c r="B254">
        <v>71017784</v>
      </c>
      <c r="C254" t="s">
        <v>96</v>
      </c>
      <c r="D254" t="s">
        <v>639</v>
      </c>
      <c r="E254" t="s">
        <v>640</v>
      </c>
      <c r="F254" t="s">
        <v>7</v>
      </c>
      <c r="G254" t="s">
        <v>8</v>
      </c>
      <c r="H254">
        <v>105000000</v>
      </c>
      <c r="I254">
        <v>7.1</v>
      </c>
      <c r="J254" t="s">
        <v>8336</v>
      </c>
    </row>
    <row r="255" spans="1:10" x14ac:dyDescent="0.3">
      <c r="A255">
        <v>121</v>
      </c>
      <c r="B255">
        <v>48068396</v>
      </c>
      <c r="C255" t="s">
        <v>641</v>
      </c>
      <c r="D255" t="s">
        <v>642</v>
      </c>
      <c r="E255" t="s">
        <v>643</v>
      </c>
      <c r="F255" t="s">
        <v>7</v>
      </c>
      <c r="G255" t="s">
        <v>8</v>
      </c>
      <c r="H255">
        <v>160000000</v>
      </c>
      <c r="I255">
        <v>6.4</v>
      </c>
      <c r="J255" t="s">
        <v>8444</v>
      </c>
    </row>
    <row r="256" spans="1:10" x14ac:dyDescent="0.3">
      <c r="A256">
        <v>114</v>
      </c>
      <c r="B256">
        <v>61656849</v>
      </c>
      <c r="C256" t="s">
        <v>237</v>
      </c>
      <c r="D256" t="s">
        <v>644</v>
      </c>
      <c r="E256" t="s">
        <v>645</v>
      </c>
      <c r="F256" t="s">
        <v>7</v>
      </c>
      <c r="G256" t="s">
        <v>8</v>
      </c>
      <c r="H256">
        <v>110000000</v>
      </c>
      <c r="I256">
        <v>6.5</v>
      </c>
      <c r="J256" t="s">
        <v>8346</v>
      </c>
    </row>
    <row r="257" spans="1:10" x14ac:dyDescent="0.3">
      <c r="A257">
        <v>129</v>
      </c>
      <c r="B257">
        <v>134520804</v>
      </c>
      <c r="C257" t="s">
        <v>12</v>
      </c>
      <c r="D257" t="s">
        <v>646</v>
      </c>
      <c r="E257" t="s">
        <v>647</v>
      </c>
      <c r="F257" t="s">
        <v>7</v>
      </c>
      <c r="G257" t="s">
        <v>8</v>
      </c>
      <c r="H257">
        <v>110000000</v>
      </c>
      <c r="I257">
        <v>6.3</v>
      </c>
      <c r="J257" t="s">
        <v>8420</v>
      </c>
    </row>
    <row r="258" spans="1:10" x14ac:dyDescent="0.3">
      <c r="A258">
        <v>171</v>
      </c>
      <c r="B258">
        <v>313837577</v>
      </c>
      <c r="C258" t="s">
        <v>204</v>
      </c>
      <c r="D258" t="s">
        <v>648</v>
      </c>
      <c r="E258" t="s">
        <v>649</v>
      </c>
      <c r="F258" t="s">
        <v>7</v>
      </c>
      <c r="G258" t="s">
        <v>59</v>
      </c>
      <c r="H258">
        <v>93000000</v>
      </c>
      <c r="I258">
        <v>7.5</v>
      </c>
      <c r="J258" t="s">
        <v>8342</v>
      </c>
    </row>
    <row r="259" spans="1:10" x14ac:dyDescent="0.3">
      <c r="A259">
        <v>120</v>
      </c>
      <c r="B259">
        <v>24004159</v>
      </c>
      <c r="C259" t="s">
        <v>650</v>
      </c>
      <c r="D259" t="s">
        <v>651</v>
      </c>
      <c r="E259" t="s">
        <v>652</v>
      </c>
      <c r="F259" t="s">
        <v>7</v>
      </c>
      <c r="G259" t="s">
        <v>8</v>
      </c>
      <c r="H259">
        <v>110000000</v>
      </c>
      <c r="I259">
        <v>4.9000000000000004</v>
      </c>
      <c r="J259" t="s">
        <v>8340</v>
      </c>
    </row>
    <row r="260" spans="1:10" x14ac:dyDescent="0.3">
      <c r="A260">
        <v>165</v>
      </c>
      <c r="B260">
        <v>58183966</v>
      </c>
      <c r="C260" t="s">
        <v>653</v>
      </c>
      <c r="D260" t="s">
        <v>654</v>
      </c>
      <c r="E260" t="s">
        <v>655</v>
      </c>
      <c r="F260" t="s">
        <v>7</v>
      </c>
      <c r="G260" t="s">
        <v>8</v>
      </c>
      <c r="H260">
        <v>107000000</v>
      </c>
      <c r="I260">
        <v>5.8</v>
      </c>
      <c r="J260" t="s">
        <v>8445</v>
      </c>
    </row>
    <row r="261" spans="1:10" x14ac:dyDescent="0.3">
      <c r="A261">
        <v>115</v>
      </c>
      <c r="B261">
        <v>144795350</v>
      </c>
      <c r="C261" t="s">
        <v>656</v>
      </c>
      <c r="D261" t="s">
        <v>657</v>
      </c>
      <c r="E261" t="s">
        <v>658</v>
      </c>
      <c r="F261" t="s">
        <v>7</v>
      </c>
      <c r="G261" t="s">
        <v>8</v>
      </c>
      <c r="H261">
        <v>120000000</v>
      </c>
      <c r="I261">
        <v>6.2</v>
      </c>
      <c r="J261" t="s">
        <v>8446</v>
      </c>
    </row>
    <row r="262" spans="1:10" x14ac:dyDescent="0.3">
      <c r="A262">
        <v>194</v>
      </c>
      <c r="B262">
        <v>47396698</v>
      </c>
      <c r="C262" t="s">
        <v>425</v>
      </c>
      <c r="D262" t="s">
        <v>659</v>
      </c>
      <c r="E262" t="s">
        <v>660</v>
      </c>
      <c r="F262" t="s">
        <v>7</v>
      </c>
      <c r="G262" t="s">
        <v>8</v>
      </c>
      <c r="H262">
        <v>130000000</v>
      </c>
      <c r="I262">
        <v>5.5</v>
      </c>
      <c r="J262" t="s">
        <v>8447</v>
      </c>
    </row>
    <row r="263" spans="1:10" x14ac:dyDescent="0.3">
      <c r="A263">
        <v>84</v>
      </c>
      <c r="B263">
        <v>140015224</v>
      </c>
      <c r="C263" t="s">
        <v>295</v>
      </c>
      <c r="D263" t="s">
        <v>661</v>
      </c>
      <c r="E263" t="s">
        <v>662</v>
      </c>
      <c r="F263" t="s">
        <v>7</v>
      </c>
      <c r="G263" t="s">
        <v>284</v>
      </c>
      <c r="H263">
        <v>133000000</v>
      </c>
      <c r="I263">
        <v>5.4</v>
      </c>
      <c r="J263" t="s">
        <v>8448</v>
      </c>
    </row>
    <row r="264" spans="1:10" x14ac:dyDescent="0.3">
      <c r="A264">
        <v>97</v>
      </c>
      <c r="B264">
        <v>104374107</v>
      </c>
      <c r="C264" t="s">
        <v>663</v>
      </c>
      <c r="D264" t="s">
        <v>664</v>
      </c>
      <c r="E264" t="s">
        <v>665</v>
      </c>
      <c r="F264" t="s">
        <v>7</v>
      </c>
      <c r="G264" t="s">
        <v>8</v>
      </c>
      <c r="H264">
        <v>105000000</v>
      </c>
      <c r="I264">
        <v>5.8</v>
      </c>
      <c r="J264" t="s">
        <v>8420</v>
      </c>
    </row>
    <row r="265" spans="1:10" x14ac:dyDescent="0.3">
      <c r="A265">
        <v>151</v>
      </c>
      <c r="B265">
        <v>228430993</v>
      </c>
      <c r="C265" t="s">
        <v>242</v>
      </c>
      <c r="D265" t="s">
        <v>666</v>
      </c>
      <c r="E265" t="s">
        <v>667</v>
      </c>
      <c r="F265" t="s">
        <v>7</v>
      </c>
      <c r="G265" t="s">
        <v>8</v>
      </c>
      <c r="H265">
        <v>108000000</v>
      </c>
      <c r="I265">
        <v>7.1</v>
      </c>
      <c r="J265" t="s">
        <v>8374</v>
      </c>
    </row>
    <row r="266" spans="1:10" x14ac:dyDescent="0.3">
      <c r="A266">
        <v>136</v>
      </c>
      <c r="B266">
        <v>35799026</v>
      </c>
      <c r="C266" t="s">
        <v>669</v>
      </c>
      <c r="D266" t="s">
        <v>670</v>
      </c>
      <c r="E266" t="s">
        <v>671</v>
      </c>
      <c r="F266" t="s">
        <v>7</v>
      </c>
      <c r="G266" t="s">
        <v>8</v>
      </c>
      <c r="H266">
        <v>126000000</v>
      </c>
      <c r="I266">
        <v>5.4</v>
      </c>
      <c r="J266" t="s">
        <v>8447</v>
      </c>
    </row>
    <row r="267" spans="1:10" x14ac:dyDescent="0.3">
      <c r="A267">
        <v>104</v>
      </c>
      <c r="B267">
        <v>6712451</v>
      </c>
      <c r="C267" t="s">
        <v>672</v>
      </c>
      <c r="D267" t="s">
        <v>673</v>
      </c>
      <c r="E267" t="s">
        <v>674</v>
      </c>
      <c r="F267" t="s">
        <v>7</v>
      </c>
      <c r="G267" t="s">
        <v>675</v>
      </c>
      <c r="H267">
        <v>90000000</v>
      </c>
      <c r="I267">
        <v>3.7</v>
      </c>
      <c r="J267" t="s">
        <v>8449</v>
      </c>
    </row>
    <row r="268" spans="1:10" x14ac:dyDescent="0.3">
      <c r="A268">
        <v>127</v>
      </c>
      <c r="B268">
        <v>101643008</v>
      </c>
      <c r="C268" t="s">
        <v>118</v>
      </c>
      <c r="D268" t="s">
        <v>676</v>
      </c>
      <c r="E268" t="s">
        <v>677</v>
      </c>
      <c r="F268" t="s">
        <v>7</v>
      </c>
      <c r="G268" t="s">
        <v>8</v>
      </c>
      <c r="H268">
        <v>90000000</v>
      </c>
      <c r="I268">
        <v>6.7</v>
      </c>
      <c r="J268" t="s">
        <v>8375</v>
      </c>
    </row>
    <row r="269" spans="1:10" x14ac:dyDescent="0.3">
      <c r="A269">
        <v>171</v>
      </c>
      <c r="B269">
        <v>187670866</v>
      </c>
      <c r="C269" t="s">
        <v>678</v>
      </c>
      <c r="D269" t="s">
        <v>679</v>
      </c>
      <c r="E269" t="s">
        <v>680</v>
      </c>
      <c r="F269" t="s">
        <v>7</v>
      </c>
      <c r="G269" t="s">
        <v>8</v>
      </c>
      <c r="H269">
        <v>103000000</v>
      </c>
      <c r="I269">
        <v>7.2</v>
      </c>
      <c r="J269" t="s">
        <v>8450</v>
      </c>
    </row>
    <row r="270" spans="1:10" x14ac:dyDescent="0.3">
      <c r="A270">
        <v>145</v>
      </c>
      <c r="B270">
        <v>132014112</v>
      </c>
      <c r="C270" t="s">
        <v>656</v>
      </c>
      <c r="D270" t="s">
        <v>681</v>
      </c>
      <c r="E270" t="s">
        <v>682</v>
      </c>
      <c r="F270" t="s">
        <v>7</v>
      </c>
      <c r="G270" t="s">
        <v>8</v>
      </c>
      <c r="H270">
        <v>102000000</v>
      </c>
      <c r="I270">
        <v>8.8000000000000007</v>
      </c>
      <c r="J270" t="s">
        <v>8310</v>
      </c>
    </row>
    <row r="271" spans="1:10" x14ac:dyDescent="0.3">
      <c r="A271">
        <v>174</v>
      </c>
      <c r="B271">
        <v>261970615</v>
      </c>
      <c r="C271" t="s">
        <v>31</v>
      </c>
      <c r="D271" t="s">
        <v>683</v>
      </c>
      <c r="E271" t="s">
        <v>684</v>
      </c>
      <c r="F271" t="s">
        <v>7</v>
      </c>
      <c r="G271" t="s">
        <v>15</v>
      </c>
      <c r="H271">
        <v>100000000</v>
      </c>
      <c r="I271">
        <v>5.8</v>
      </c>
      <c r="J271" t="s">
        <v>8451</v>
      </c>
    </row>
    <row r="272" spans="1:10" x14ac:dyDescent="0.3">
      <c r="A272">
        <v>144</v>
      </c>
      <c r="B272">
        <v>167007184</v>
      </c>
      <c r="C272" t="s">
        <v>12</v>
      </c>
      <c r="D272" t="s">
        <v>685</v>
      </c>
      <c r="E272" t="s">
        <v>686</v>
      </c>
      <c r="F272" t="s">
        <v>7</v>
      </c>
      <c r="G272" t="s">
        <v>15</v>
      </c>
      <c r="H272">
        <v>150000000</v>
      </c>
      <c r="I272">
        <v>6.8</v>
      </c>
      <c r="J272" t="s">
        <v>8452</v>
      </c>
    </row>
    <row r="273" spans="1:10" x14ac:dyDescent="0.3">
      <c r="A273">
        <v>119</v>
      </c>
      <c r="B273">
        <v>180011740</v>
      </c>
      <c r="C273" t="s">
        <v>78</v>
      </c>
      <c r="D273" t="s">
        <v>687</v>
      </c>
      <c r="E273" t="s">
        <v>688</v>
      </c>
      <c r="F273" t="s">
        <v>7</v>
      </c>
      <c r="G273" t="s">
        <v>8</v>
      </c>
      <c r="H273">
        <v>100000000</v>
      </c>
      <c r="I273">
        <v>3.8</v>
      </c>
      <c r="J273" t="s">
        <v>8453</v>
      </c>
    </row>
    <row r="274" spans="1:10" x14ac:dyDescent="0.3">
      <c r="A274">
        <v>153</v>
      </c>
      <c r="B274">
        <v>204843350</v>
      </c>
      <c r="C274" t="s">
        <v>237</v>
      </c>
      <c r="D274" t="s">
        <v>689</v>
      </c>
      <c r="E274" t="s">
        <v>690</v>
      </c>
      <c r="F274" t="s">
        <v>7</v>
      </c>
      <c r="G274" t="s">
        <v>8</v>
      </c>
      <c r="H274">
        <v>102000000</v>
      </c>
      <c r="I274">
        <v>7.1</v>
      </c>
      <c r="J274" t="s">
        <v>8398</v>
      </c>
    </row>
    <row r="275" spans="1:10" x14ac:dyDescent="0.3">
      <c r="A275">
        <v>140</v>
      </c>
      <c r="B275">
        <v>97030725</v>
      </c>
      <c r="C275" t="s">
        <v>691</v>
      </c>
      <c r="D275" t="s">
        <v>692</v>
      </c>
      <c r="E275" t="s">
        <v>693</v>
      </c>
      <c r="F275" t="s">
        <v>7</v>
      </c>
      <c r="G275" t="s">
        <v>8</v>
      </c>
      <c r="H275">
        <v>100000000</v>
      </c>
      <c r="I275">
        <v>7.2</v>
      </c>
      <c r="J275" t="s">
        <v>8312</v>
      </c>
    </row>
    <row r="276" spans="1:10" x14ac:dyDescent="0.3">
      <c r="A276">
        <v>176</v>
      </c>
      <c r="B276">
        <v>130127620</v>
      </c>
      <c r="C276" t="s">
        <v>694</v>
      </c>
      <c r="D276" t="s">
        <v>695</v>
      </c>
      <c r="E276" t="s">
        <v>696</v>
      </c>
      <c r="F276" t="s">
        <v>7</v>
      </c>
      <c r="G276" t="s">
        <v>8</v>
      </c>
      <c r="H276">
        <v>100000000</v>
      </c>
      <c r="I276">
        <v>5.9</v>
      </c>
      <c r="J276" t="s">
        <v>8391</v>
      </c>
    </row>
    <row r="277" spans="1:10" x14ac:dyDescent="0.3">
      <c r="A277">
        <v>141</v>
      </c>
      <c r="B277">
        <v>146282411</v>
      </c>
      <c r="C277" t="s">
        <v>697</v>
      </c>
      <c r="D277" t="s">
        <v>698</v>
      </c>
      <c r="E277" t="s">
        <v>699</v>
      </c>
      <c r="F277" t="s">
        <v>7</v>
      </c>
      <c r="G277" t="s">
        <v>8</v>
      </c>
      <c r="H277">
        <v>115000000</v>
      </c>
      <c r="I277">
        <v>7.1</v>
      </c>
      <c r="J277" t="s">
        <v>8454</v>
      </c>
    </row>
    <row r="278" spans="1:10" x14ac:dyDescent="0.3">
      <c r="A278">
        <v>106</v>
      </c>
      <c r="B278">
        <v>65452312</v>
      </c>
      <c r="C278" t="s">
        <v>118</v>
      </c>
      <c r="D278" t="s">
        <v>700</v>
      </c>
      <c r="E278" t="s">
        <v>701</v>
      </c>
      <c r="F278" t="s">
        <v>7</v>
      </c>
      <c r="G278" t="s">
        <v>8</v>
      </c>
      <c r="H278">
        <v>100000000</v>
      </c>
      <c r="I278">
        <v>8.1</v>
      </c>
      <c r="J278" t="s">
        <v>8312</v>
      </c>
    </row>
    <row r="279" spans="1:10" x14ac:dyDescent="0.3">
      <c r="A279">
        <v>98</v>
      </c>
      <c r="B279">
        <v>148383780</v>
      </c>
      <c r="C279" t="s">
        <v>672</v>
      </c>
      <c r="D279" t="s">
        <v>702</v>
      </c>
      <c r="E279" t="s">
        <v>703</v>
      </c>
      <c r="F279" t="s">
        <v>7</v>
      </c>
      <c r="G279" t="s">
        <v>8</v>
      </c>
      <c r="H279">
        <v>100000000</v>
      </c>
      <c r="I279">
        <v>7.2</v>
      </c>
      <c r="J279" t="s">
        <v>8455</v>
      </c>
    </row>
    <row r="280" spans="1:10" x14ac:dyDescent="0.3">
      <c r="A280">
        <v>116</v>
      </c>
      <c r="B280">
        <v>119219978</v>
      </c>
      <c r="C280" t="s">
        <v>704</v>
      </c>
      <c r="D280" t="s">
        <v>705</v>
      </c>
      <c r="E280" t="s">
        <v>706</v>
      </c>
      <c r="F280" t="s">
        <v>7</v>
      </c>
      <c r="G280" t="s">
        <v>8</v>
      </c>
      <c r="H280">
        <v>100000000</v>
      </c>
      <c r="I280">
        <v>6.9</v>
      </c>
      <c r="J280" t="s">
        <v>8321</v>
      </c>
    </row>
    <row r="281" spans="1:10" x14ac:dyDescent="0.3">
      <c r="A281">
        <v>115</v>
      </c>
      <c r="B281">
        <v>101228120</v>
      </c>
      <c r="C281" t="s">
        <v>707</v>
      </c>
      <c r="D281" t="s">
        <v>708</v>
      </c>
      <c r="E281" t="s">
        <v>709</v>
      </c>
      <c r="F281" t="s">
        <v>7</v>
      </c>
      <c r="G281" t="s">
        <v>8</v>
      </c>
      <c r="H281">
        <v>100000000</v>
      </c>
      <c r="I281">
        <v>4.4000000000000004</v>
      </c>
      <c r="J281" t="s">
        <v>8456</v>
      </c>
    </row>
    <row r="282" spans="1:10" x14ac:dyDescent="0.3">
      <c r="A282">
        <v>165</v>
      </c>
      <c r="B282">
        <v>162804648</v>
      </c>
      <c r="C282" t="s">
        <v>710</v>
      </c>
      <c r="D282" t="s">
        <v>711</v>
      </c>
      <c r="E282" t="s">
        <v>712</v>
      </c>
      <c r="F282" t="s">
        <v>7</v>
      </c>
      <c r="G282" t="s">
        <v>8</v>
      </c>
      <c r="H282">
        <v>100000000</v>
      </c>
      <c r="I282">
        <v>6.5</v>
      </c>
      <c r="J282" t="s">
        <v>8457</v>
      </c>
    </row>
    <row r="283" spans="1:10" x14ac:dyDescent="0.3">
      <c r="A283">
        <v>91</v>
      </c>
      <c r="B283">
        <v>100117603</v>
      </c>
      <c r="C283" t="s">
        <v>713</v>
      </c>
      <c r="D283" t="s">
        <v>714</v>
      </c>
      <c r="E283" t="s">
        <v>715</v>
      </c>
      <c r="F283" t="s">
        <v>7</v>
      </c>
      <c r="G283" t="s">
        <v>8</v>
      </c>
      <c r="H283">
        <v>100000000</v>
      </c>
      <c r="I283">
        <v>8.5</v>
      </c>
      <c r="J283" t="s">
        <v>8312</v>
      </c>
    </row>
    <row r="284" spans="1:10" x14ac:dyDescent="0.3">
      <c r="A284">
        <v>78</v>
      </c>
      <c r="B284">
        <v>89296573</v>
      </c>
      <c r="C284" t="s">
        <v>96</v>
      </c>
      <c r="D284" t="s">
        <v>716</v>
      </c>
      <c r="E284" t="s">
        <v>717</v>
      </c>
      <c r="F284" t="s">
        <v>7</v>
      </c>
      <c r="G284" t="s">
        <v>8</v>
      </c>
      <c r="H284">
        <v>100000000</v>
      </c>
      <c r="I284">
        <v>7.7</v>
      </c>
      <c r="J284" t="s">
        <v>8332</v>
      </c>
    </row>
    <row r="285" spans="1:10" x14ac:dyDescent="0.3">
      <c r="A285">
        <v>103</v>
      </c>
      <c r="B285">
        <v>85017401</v>
      </c>
      <c r="C285" t="s">
        <v>12</v>
      </c>
      <c r="D285" t="s">
        <v>718</v>
      </c>
      <c r="E285" t="s">
        <v>719</v>
      </c>
      <c r="F285" t="s">
        <v>7</v>
      </c>
      <c r="G285" t="s">
        <v>8</v>
      </c>
      <c r="H285">
        <v>92000000</v>
      </c>
      <c r="I285">
        <v>7.4</v>
      </c>
      <c r="J285" t="s">
        <v>8419</v>
      </c>
    </row>
    <row r="286" spans="1:10" x14ac:dyDescent="0.3">
      <c r="A286">
        <v>131</v>
      </c>
      <c r="B286">
        <v>173005002</v>
      </c>
      <c r="C286" t="s">
        <v>720</v>
      </c>
      <c r="D286" t="s">
        <v>721</v>
      </c>
      <c r="E286" t="s">
        <v>722</v>
      </c>
      <c r="F286" t="s">
        <v>7</v>
      </c>
      <c r="G286" t="s">
        <v>8</v>
      </c>
      <c r="H286">
        <v>100000000</v>
      </c>
      <c r="I286">
        <v>8</v>
      </c>
      <c r="J286" t="s">
        <v>8324</v>
      </c>
    </row>
    <row r="287" spans="1:10" x14ac:dyDescent="0.3">
      <c r="A287">
        <v>104</v>
      </c>
      <c r="B287">
        <v>75030163</v>
      </c>
      <c r="C287" t="s">
        <v>46</v>
      </c>
      <c r="D287" t="s">
        <v>723</v>
      </c>
      <c r="E287" t="s">
        <v>724</v>
      </c>
      <c r="F287" t="s">
        <v>7</v>
      </c>
      <c r="G287" t="s">
        <v>8</v>
      </c>
      <c r="H287">
        <v>100000000</v>
      </c>
      <c r="I287">
        <v>5.7</v>
      </c>
      <c r="J287" t="s">
        <v>8318</v>
      </c>
    </row>
    <row r="288" spans="1:10" x14ac:dyDescent="0.3">
      <c r="A288">
        <v>101</v>
      </c>
      <c r="B288">
        <v>77222184</v>
      </c>
      <c r="C288" t="s">
        <v>199</v>
      </c>
      <c r="D288" t="s">
        <v>725</v>
      </c>
      <c r="E288" t="s">
        <v>726</v>
      </c>
      <c r="F288" t="s">
        <v>7</v>
      </c>
      <c r="G288" t="s">
        <v>284</v>
      </c>
      <c r="H288">
        <v>100000000</v>
      </c>
      <c r="I288">
        <v>8.5</v>
      </c>
      <c r="J288" t="s">
        <v>8294</v>
      </c>
    </row>
    <row r="289" spans="1:10" x14ac:dyDescent="0.3">
      <c r="A289">
        <v>102</v>
      </c>
      <c r="B289">
        <v>107515297</v>
      </c>
      <c r="C289" t="s">
        <v>230</v>
      </c>
      <c r="D289" t="s">
        <v>727</v>
      </c>
      <c r="E289" t="s">
        <v>728</v>
      </c>
      <c r="F289" t="s">
        <v>7</v>
      </c>
      <c r="G289" t="s">
        <v>8</v>
      </c>
      <c r="H289">
        <v>100000000</v>
      </c>
      <c r="I289">
        <v>7</v>
      </c>
      <c r="J289" t="s">
        <v>8452</v>
      </c>
    </row>
    <row r="290" spans="1:10" x14ac:dyDescent="0.3">
      <c r="A290">
        <v>103</v>
      </c>
      <c r="B290">
        <v>67631157</v>
      </c>
      <c r="C290" t="s">
        <v>729</v>
      </c>
      <c r="D290" t="s">
        <v>730</v>
      </c>
      <c r="E290" t="s">
        <v>731</v>
      </c>
      <c r="F290" t="s">
        <v>7</v>
      </c>
      <c r="G290" t="s">
        <v>8</v>
      </c>
      <c r="H290">
        <v>100000000</v>
      </c>
      <c r="I290">
        <v>7.8</v>
      </c>
      <c r="J290" t="s">
        <v>8312</v>
      </c>
    </row>
    <row r="291" spans="1:10" x14ac:dyDescent="0.3">
      <c r="A291">
        <v>121</v>
      </c>
      <c r="B291">
        <v>66862068</v>
      </c>
      <c r="C291" t="s">
        <v>732</v>
      </c>
      <c r="D291" t="s">
        <v>733</v>
      </c>
      <c r="E291" t="s">
        <v>734</v>
      </c>
      <c r="F291" t="s">
        <v>7</v>
      </c>
      <c r="G291" t="s">
        <v>8</v>
      </c>
      <c r="H291">
        <v>83000000</v>
      </c>
      <c r="I291">
        <v>7.2</v>
      </c>
      <c r="J291" t="s">
        <v>8294</v>
      </c>
    </row>
    <row r="292" spans="1:10" x14ac:dyDescent="0.3">
      <c r="A292">
        <v>143</v>
      </c>
      <c r="B292">
        <v>57366262</v>
      </c>
      <c r="C292" t="s">
        <v>735</v>
      </c>
      <c r="D292" t="s">
        <v>736</v>
      </c>
      <c r="E292" t="s">
        <v>737</v>
      </c>
      <c r="F292" t="s">
        <v>7</v>
      </c>
      <c r="G292" t="s">
        <v>284</v>
      </c>
      <c r="H292">
        <v>100000000</v>
      </c>
      <c r="I292">
        <v>6.4</v>
      </c>
      <c r="J292" t="s">
        <v>8458</v>
      </c>
    </row>
    <row r="293" spans="1:10" x14ac:dyDescent="0.3">
      <c r="A293">
        <v>240</v>
      </c>
      <c r="B293">
        <v>116866727</v>
      </c>
      <c r="C293" t="s">
        <v>738</v>
      </c>
      <c r="D293" t="s">
        <v>739</v>
      </c>
      <c r="E293" t="s">
        <v>740</v>
      </c>
      <c r="F293" t="s">
        <v>7</v>
      </c>
      <c r="G293" t="s">
        <v>8</v>
      </c>
      <c r="H293">
        <v>100000000</v>
      </c>
      <c r="I293">
        <v>5.5</v>
      </c>
      <c r="J293" t="s">
        <v>8459</v>
      </c>
    </row>
    <row r="294" spans="1:10" x14ac:dyDescent="0.3">
      <c r="A294">
        <v>121</v>
      </c>
      <c r="B294">
        <v>184031112</v>
      </c>
      <c r="C294" t="s">
        <v>9</v>
      </c>
      <c r="D294" t="s">
        <v>741</v>
      </c>
      <c r="E294" t="s">
        <v>742</v>
      </c>
      <c r="F294" t="s">
        <v>7</v>
      </c>
      <c r="G294" t="s">
        <v>8</v>
      </c>
      <c r="H294">
        <v>100000000</v>
      </c>
      <c r="I294">
        <v>6.7</v>
      </c>
      <c r="J294" t="s">
        <v>8460</v>
      </c>
    </row>
    <row r="295" spans="1:10" x14ac:dyDescent="0.3">
      <c r="A295">
        <v>129</v>
      </c>
      <c r="B295">
        <v>54700065</v>
      </c>
      <c r="C295" t="s">
        <v>743</v>
      </c>
      <c r="D295" t="s">
        <v>744</v>
      </c>
      <c r="E295" t="s">
        <v>745</v>
      </c>
      <c r="F295" t="s">
        <v>7</v>
      </c>
      <c r="G295" t="s">
        <v>8</v>
      </c>
      <c r="H295">
        <v>105000000</v>
      </c>
      <c r="I295">
        <v>6.1</v>
      </c>
      <c r="J295" t="s">
        <v>8461</v>
      </c>
    </row>
    <row r="296" spans="1:10" x14ac:dyDescent="0.3">
      <c r="A296">
        <v>172</v>
      </c>
      <c r="B296">
        <v>27098580</v>
      </c>
      <c r="C296" t="s">
        <v>746</v>
      </c>
      <c r="D296" t="s">
        <v>747</v>
      </c>
      <c r="E296" t="s">
        <v>748</v>
      </c>
      <c r="F296" t="s">
        <v>7</v>
      </c>
      <c r="G296" t="s">
        <v>284</v>
      </c>
      <c r="H296">
        <v>102000000</v>
      </c>
      <c r="I296">
        <v>8.5</v>
      </c>
      <c r="J296" t="s">
        <v>8462</v>
      </c>
    </row>
    <row r="297" spans="1:10" x14ac:dyDescent="0.3">
      <c r="A297">
        <v>101</v>
      </c>
      <c r="B297">
        <v>55673333</v>
      </c>
      <c r="C297" t="s">
        <v>749</v>
      </c>
      <c r="D297" t="s">
        <v>750</v>
      </c>
      <c r="E297" t="s">
        <v>751</v>
      </c>
      <c r="F297" t="s">
        <v>7</v>
      </c>
      <c r="G297" t="s">
        <v>8</v>
      </c>
      <c r="H297">
        <v>80000000</v>
      </c>
      <c r="I297">
        <v>6.9</v>
      </c>
      <c r="J297" t="s">
        <v>8463</v>
      </c>
    </row>
    <row r="298" spans="1:10" x14ac:dyDescent="0.3">
      <c r="A298">
        <v>87</v>
      </c>
      <c r="B298">
        <v>40198710</v>
      </c>
      <c r="C298" t="s">
        <v>752</v>
      </c>
      <c r="D298" t="s">
        <v>753</v>
      </c>
      <c r="E298" t="s">
        <v>754</v>
      </c>
      <c r="F298" t="s">
        <v>7</v>
      </c>
      <c r="G298" t="s">
        <v>8</v>
      </c>
      <c r="H298">
        <v>100000000</v>
      </c>
      <c r="I298">
        <v>7.3</v>
      </c>
      <c r="J298" t="s">
        <v>8464</v>
      </c>
    </row>
    <row r="299" spans="1:10" x14ac:dyDescent="0.3">
      <c r="A299">
        <v>101</v>
      </c>
      <c r="B299">
        <v>72660029</v>
      </c>
      <c r="C299" t="s">
        <v>36</v>
      </c>
      <c r="D299" t="s">
        <v>755</v>
      </c>
      <c r="E299" t="s">
        <v>756</v>
      </c>
      <c r="F299" t="s">
        <v>7</v>
      </c>
      <c r="G299" t="s">
        <v>8</v>
      </c>
      <c r="H299">
        <v>100000000</v>
      </c>
      <c r="I299">
        <v>6.7</v>
      </c>
      <c r="J299" t="s">
        <v>8465</v>
      </c>
    </row>
    <row r="300" spans="1:10" x14ac:dyDescent="0.3">
      <c r="A300">
        <v>95</v>
      </c>
      <c r="B300">
        <v>38120554</v>
      </c>
      <c r="C300" t="s">
        <v>145</v>
      </c>
      <c r="D300" t="s">
        <v>757</v>
      </c>
      <c r="E300" t="s">
        <v>758</v>
      </c>
      <c r="F300" t="s">
        <v>7</v>
      </c>
      <c r="G300" t="s">
        <v>8</v>
      </c>
      <c r="H300">
        <v>140000000</v>
      </c>
      <c r="I300">
        <v>6.9</v>
      </c>
      <c r="J300" t="s">
        <v>8365</v>
      </c>
    </row>
    <row r="301" spans="1:10" x14ac:dyDescent="0.3">
      <c r="A301">
        <v>102</v>
      </c>
      <c r="B301">
        <v>49392095</v>
      </c>
      <c r="C301" t="s">
        <v>759</v>
      </c>
      <c r="D301" t="s">
        <v>760</v>
      </c>
      <c r="E301" t="s">
        <v>761</v>
      </c>
      <c r="F301" t="s">
        <v>7</v>
      </c>
      <c r="G301" t="s">
        <v>8</v>
      </c>
      <c r="H301">
        <v>100000000</v>
      </c>
      <c r="I301">
        <v>5.0999999999999996</v>
      </c>
      <c r="J301" t="s">
        <v>8466</v>
      </c>
    </row>
    <row r="302" spans="1:10" x14ac:dyDescent="0.3">
      <c r="A302">
        <v>131</v>
      </c>
      <c r="B302">
        <v>39292022</v>
      </c>
      <c r="C302" t="s">
        <v>12</v>
      </c>
      <c r="D302" t="s">
        <v>762</v>
      </c>
      <c r="E302" t="s">
        <v>763</v>
      </c>
      <c r="F302" t="s">
        <v>7</v>
      </c>
      <c r="G302" t="s">
        <v>8</v>
      </c>
      <c r="H302">
        <v>90000000</v>
      </c>
      <c r="I302">
        <v>6.8</v>
      </c>
      <c r="J302" t="s">
        <v>8467</v>
      </c>
    </row>
    <row r="303" spans="1:10" x14ac:dyDescent="0.3">
      <c r="A303">
        <v>114</v>
      </c>
      <c r="B303">
        <v>28772222</v>
      </c>
      <c r="C303" t="s">
        <v>764</v>
      </c>
      <c r="D303" t="s">
        <v>765</v>
      </c>
      <c r="E303" t="s">
        <v>766</v>
      </c>
      <c r="F303" t="s">
        <v>7</v>
      </c>
      <c r="G303" t="s">
        <v>8</v>
      </c>
      <c r="H303">
        <v>105000000</v>
      </c>
      <c r="I303">
        <v>5.8</v>
      </c>
      <c r="J303" t="s">
        <v>8390</v>
      </c>
    </row>
    <row r="304" spans="1:10" x14ac:dyDescent="0.3">
      <c r="A304">
        <v>94</v>
      </c>
      <c r="B304">
        <v>17010646</v>
      </c>
      <c r="C304" t="s">
        <v>187</v>
      </c>
      <c r="D304" t="s">
        <v>767</v>
      </c>
      <c r="E304" t="s">
        <v>768</v>
      </c>
      <c r="F304" t="s">
        <v>7</v>
      </c>
      <c r="G304" t="s">
        <v>8</v>
      </c>
      <c r="H304">
        <v>84000000</v>
      </c>
      <c r="I304">
        <v>6.7</v>
      </c>
      <c r="J304" t="s">
        <v>8468</v>
      </c>
    </row>
    <row r="305" spans="1:10" x14ac:dyDescent="0.3">
      <c r="A305">
        <v>122</v>
      </c>
      <c r="B305">
        <v>24985612</v>
      </c>
      <c r="C305" t="s">
        <v>769</v>
      </c>
      <c r="D305" t="s">
        <v>770</v>
      </c>
      <c r="E305" t="s">
        <v>771</v>
      </c>
      <c r="F305" t="s">
        <v>7</v>
      </c>
      <c r="G305" t="s">
        <v>8</v>
      </c>
      <c r="H305">
        <v>100000000</v>
      </c>
      <c r="I305">
        <v>6</v>
      </c>
      <c r="J305" t="s">
        <v>8469</v>
      </c>
    </row>
    <row r="306" spans="1:10" x14ac:dyDescent="0.3">
      <c r="A306">
        <v>95</v>
      </c>
      <c r="B306">
        <v>4411102</v>
      </c>
      <c r="C306" t="s">
        <v>772</v>
      </c>
      <c r="D306" t="s">
        <v>773</v>
      </c>
      <c r="E306" t="s">
        <v>774</v>
      </c>
      <c r="F306" t="s">
        <v>7</v>
      </c>
      <c r="G306" t="s">
        <v>8</v>
      </c>
      <c r="H306">
        <v>100000000</v>
      </c>
      <c r="I306">
        <v>5.7</v>
      </c>
      <c r="J306" t="s">
        <v>8470</v>
      </c>
    </row>
    <row r="307" spans="1:10" x14ac:dyDescent="0.3">
      <c r="A307">
        <v>115</v>
      </c>
      <c r="B307">
        <v>35024475</v>
      </c>
      <c r="C307" t="s">
        <v>775</v>
      </c>
      <c r="D307" t="s">
        <v>776</v>
      </c>
      <c r="E307" t="s">
        <v>777</v>
      </c>
      <c r="F307" t="s">
        <v>7</v>
      </c>
      <c r="G307" t="s">
        <v>583</v>
      </c>
      <c r="H307">
        <v>100000000</v>
      </c>
      <c r="I307">
        <v>8</v>
      </c>
      <c r="J307" t="s">
        <v>8397</v>
      </c>
    </row>
    <row r="308" spans="1:10" x14ac:dyDescent="0.3">
      <c r="A308">
        <v>88</v>
      </c>
      <c r="B308">
        <v>130174897</v>
      </c>
      <c r="C308" t="s">
        <v>167</v>
      </c>
      <c r="D308" t="s">
        <v>778</v>
      </c>
      <c r="E308" t="s">
        <v>779</v>
      </c>
      <c r="F308" t="s">
        <v>7</v>
      </c>
      <c r="G308" t="s">
        <v>8</v>
      </c>
      <c r="H308">
        <v>99000000</v>
      </c>
      <c r="I308">
        <v>8.1999999999999993</v>
      </c>
      <c r="J308" t="s">
        <v>8342</v>
      </c>
    </row>
    <row r="309" spans="1:10" x14ac:dyDescent="0.3">
      <c r="A309">
        <v>110</v>
      </c>
      <c r="B309">
        <v>10200000</v>
      </c>
      <c r="C309" t="s">
        <v>780</v>
      </c>
      <c r="D309" t="s">
        <v>781</v>
      </c>
      <c r="E309" t="s">
        <v>782</v>
      </c>
      <c r="F309" t="s">
        <v>7</v>
      </c>
      <c r="G309" t="s">
        <v>8</v>
      </c>
      <c r="H309">
        <v>10000000</v>
      </c>
      <c r="I309">
        <v>5.4</v>
      </c>
      <c r="J309" t="s">
        <v>8426</v>
      </c>
    </row>
    <row r="310" spans="1:10" x14ac:dyDescent="0.3">
      <c r="A310">
        <v>130</v>
      </c>
      <c r="B310">
        <v>202007640</v>
      </c>
      <c r="C310" t="s">
        <v>783</v>
      </c>
      <c r="D310" t="s">
        <v>784</v>
      </c>
      <c r="E310" t="s">
        <v>785</v>
      </c>
      <c r="F310" t="s">
        <v>7</v>
      </c>
      <c r="G310" t="s">
        <v>8</v>
      </c>
      <c r="H310">
        <v>98000000</v>
      </c>
      <c r="I310">
        <v>7.2</v>
      </c>
      <c r="J310" t="s">
        <v>8423</v>
      </c>
    </row>
    <row r="311" spans="1:10" x14ac:dyDescent="0.3">
      <c r="A311">
        <v>216</v>
      </c>
      <c r="B311">
        <v>77679638</v>
      </c>
      <c r="C311" t="s">
        <v>786</v>
      </c>
      <c r="D311" t="s">
        <v>787</v>
      </c>
      <c r="E311" t="s">
        <v>788</v>
      </c>
      <c r="F311" t="s">
        <v>7</v>
      </c>
      <c r="G311" t="s">
        <v>8</v>
      </c>
      <c r="H311">
        <v>100000000</v>
      </c>
      <c r="I311">
        <v>7.5</v>
      </c>
      <c r="J311" t="s">
        <v>8471</v>
      </c>
    </row>
    <row r="312" spans="1:10" x14ac:dyDescent="0.3">
      <c r="A312">
        <v>146</v>
      </c>
      <c r="B312">
        <v>9213</v>
      </c>
      <c r="C312" t="s">
        <v>789</v>
      </c>
      <c r="D312" t="s">
        <v>790</v>
      </c>
      <c r="E312" t="s">
        <v>791</v>
      </c>
      <c r="F312" t="s">
        <v>792</v>
      </c>
      <c r="G312" t="s">
        <v>339</v>
      </c>
      <c r="H312">
        <v>94000000</v>
      </c>
      <c r="I312">
        <v>7</v>
      </c>
      <c r="J312" t="s">
        <v>8304</v>
      </c>
    </row>
    <row r="313" spans="1:10" x14ac:dyDescent="0.3">
      <c r="A313">
        <v>85</v>
      </c>
      <c r="B313">
        <v>58867694</v>
      </c>
      <c r="C313" t="s">
        <v>793</v>
      </c>
      <c r="D313" t="s">
        <v>794</v>
      </c>
      <c r="E313" t="s">
        <v>795</v>
      </c>
      <c r="F313" t="s">
        <v>7</v>
      </c>
      <c r="G313" t="s">
        <v>8</v>
      </c>
      <c r="H313">
        <v>100000000</v>
      </c>
      <c r="I313">
        <v>3.3</v>
      </c>
      <c r="J313" t="s">
        <v>8472</v>
      </c>
    </row>
    <row r="314" spans="1:10" x14ac:dyDescent="0.3">
      <c r="A314">
        <v>93</v>
      </c>
      <c r="B314">
        <v>59475623</v>
      </c>
      <c r="C314" t="s">
        <v>796</v>
      </c>
      <c r="D314" t="s">
        <v>797</v>
      </c>
      <c r="E314" t="s">
        <v>798</v>
      </c>
      <c r="F314" t="s">
        <v>7</v>
      </c>
      <c r="G314" t="s">
        <v>8</v>
      </c>
      <c r="H314">
        <v>90000000</v>
      </c>
      <c r="I314">
        <v>6</v>
      </c>
      <c r="J314" t="s">
        <v>8319</v>
      </c>
    </row>
    <row r="315" spans="1:10" x14ac:dyDescent="0.3">
      <c r="A315">
        <v>152</v>
      </c>
      <c r="B315">
        <v>108638745</v>
      </c>
      <c r="C315" t="s">
        <v>799</v>
      </c>
      <c r="D315" t="s">
        <v>800</v>
      </c>
      <c r="E315" t="s">
        <v>801</v>
      </c>
      <c r="F315" t="s">
        <v>7</v>
      </c>
      <c r="G315" t="s">
        <v>8</v>
      </c>
      <c r="H315">
        <v>92000000</v>
      </c>
      <c r="I315">
        <v>7.1</v>
      </c>
      <c r="J315" t="s">
        <v>8454</v>
      </c>
    </row>
    <row r="316" spans="1:10" x14ac:dyDescent="0.3">
      <c r="A316">
        <v>85</v>
      </c>
      <c r="B316">
        <v>86897182</v>
      </c>
      <c r="C316" t="s">
        <v>668</v>
      </c>
      <c r="D316" t="s">
        <v>802</v>
      </c>
      <c r="E316" t="s">
        <v>803</v>
      </c>
      <c r="F316" t="s">
        <v>7</v>
      </c>
      <c r="G316" t="s">
        <v>8</v>
      </c>
      <c r="H316">
        <v>95000000</v>
      </c>
      <c r="I316">
        <v>5.4</v>
      </c>
      <c r="J316" t="s">
        <v>8473</v>
      </c>
    </row>
    <row r="317" spans="1:10" x14ac:dyDescent="0.3">
      <c r="A317">
        <v>126</v>
      </c>
      <c r="B317">
        <v>63540020</v>
      </c>
      <c r="C317" t="s">
        <v>20</v>
      </c>
      <c r="D317" t="s">
        <v>804</v>
      </c>
      <c r="E317" t="s">
        <v>805</v>
      </c>
      <c r="F317" t="s">
        <v>7</v>
      </c>
      <c r="G317" t="s">
        <v>583</v>
      </c>
      <c r="H317">
        <v>93000000</v>
      </c>
      <c r="I317">
        <v>6.1</v>
      </c>
      <c r="J317" t="s">
        <v>8474</v>
      </c>
    </row>
    <row r="318" spans="1:10" x14ac:dyDescent="0.3">
      <c r="A318">
        <v>146</v>
      </c>
      <c r="B318">
        <v>95328937</v>
      </c>
      <c r="C318" t="s">
        <v>561</v>
      </c>
      <c r="D318" t="s">
        <v>806</v>
      </c>
      <c r="E318" t="s">
        <v>807</v>
      </c>
      <c r="F318" t="s">
        <v>7</v>
      </c>
      <c r="G318" t="s">
        <v>8</v>
      </c>
      <c r="H318">
        <v>100000000</v>
      </c>
      <c r="I318">
        <v>5.3</v>
      </c>
      <c r="J318" t="s">
        <v>8475</v>
      </c>
    </row>
    <row r="319" spans="1:10" x14ac:dyDescent="0.3">
      <c r="A319">
        <v>89</v>
      </c>
      <c r="B319">
        <v>50802661</v>
      </c>
      <c r="C319" t="s">
        <v>808</v>
      </c>
      <c r="D319" t="s">
        <v>809</v>
      </c>
      <c r="E319" t="s">
        <v>810</v>
      </c>
      <c r="F319" t="s">
        <v>7</v>
      </c>
      <c r="G319" t="s">
        <v>8</v>
      </c>
      <c r="H319">
        <v>95000000</v>
      </c>
      <c r="I319">
        <v>2.2000000000000002</v>
      </c>
      <c r="J319" t="s">
        <v>8476</v>
      </c>
    </row>
    <row r="320" spans="1:10" x14ac:dyDescent="0.3">
      <c r="A320">
        <v>88</v>
      </c>
      <c r="B320">
        <v>161317423</v>
      </c>
      <c r="C320" t="s">
        <v>167</v>
      </c>
      <c r="D320" t="s">
        <v>811</v>
      </c>
      <c r="E320" t="s">
        <v>812</v>
      </c>
      <c r="F320" t="s">
        <v>7</v>
      </c>
      <c r="G320" t="s">
        <v>8</v>
      </c>
      <c r="H320">
        <v>95000000</v>
      </c>
      <c r="I320">
        <v>7</v>
      </c>
      <c r="J320" t="s">
        <v>8378</v>
      </c>
    </row>
    <row r="321" spans="1:10" x14ac:dyDescent="0.3">
      <c r="A321">
        <v>105</v>
      </c>
      <c r="B321">
        <v>201148159</v>
      </c>
      <c r="C321" t="s">
        <v>813</v>
      </c>
      <c r="D321" t="s">
        <v>814</v>
      </c>
      <c r="E321" t="s">
        <v>815</v>
      </c>
      <c r="F321" t="s">
        <v>7</v>
      </c>
      <c r="G321" t="s">
        <v>8</v>
      </c>
      <c r="H321">
        <v>95000000</v>
      </c>
      <c r="I321">
        <v>3.8</v>
      </c>
      <c r="J321" t="s">
        <v>8477</v>
      </c>
    </row>
    <row r="322" spans="1:10" x14ac:dyDescent="0.3">
      <c r="A322">
        <v>135</v>
      </c>
      <c r="B322">
        <v>43982842</v>
      </c>
      <c r="C322" t="s">
        <v>816</v>
      </c>
      <c r="D322" t="s">
        <v>817</v>
      </c>
      <c r="E322" t="s">
        <v>818</v>
      </c>
      <c r="F322" t="s">
        <v>7</v>
      </c>
      <c r="G322" t="s">
        <v>8</v>
      </c>
      <c r="H322">
        <v>65000000</v>
      </c>
      <c r="I322">
        <v>6.9</v>
      </c>
      <c r="J322" t="s">
        <v>8409</v>
      </c>
    </row>
    <row r="323" spans="1:10" x14ac:dyDescent="0.3">
      <c r="A323">
        <v>100</v>
      </c>
      <c r="B323">
        <v>380838870</v>
      </c>
      <c r="C323" t="s">
        <v>167</v>
      </c>
      <c r="D323" t="s">
        <v>819</v>
      </c>
      <c r="E323" t="s">
        <v>820</v>
      </c>
      <c r="F323" t="s">
        <v>7</v>
      </c>
      <c r="G323" t="s">
        <v>8</v>
      </c>
      <c r="H323">
        <v>94000000</v>
      </c>
      <c r="I323">
        <v>7.2</v>
      </c>
      <c r="J323" t="s">
        <v>8478</v>
      </c>
    </row>
    <row r="324" spans="1:10" x14ac:dyDescent="0.3">
      <c r="A324">
        <v>192</v>
      </c>
      <c r="B324">
        <v>377019252</v>
      </c>
      <c r="C324" t="s">
        <v>204</v>
      </c>
      <c r="D324" t="s">
        <v>821</v>
      </c>
      <c r="E324" t="s">
        <v>822</v>
      </c>
      <c r="F324" t="s">
        <v>7</v>
      </c>
      <c r="G324" t="s">
        <v>8</v>
      </c>
      <c r="H324">
        <v>94000000</v>
      </c>
      <c r="I324">
        <v>7.3</v>
      </c>
      <c r="J324" t="s">
        <v>8479</v>
      </c>
    </row>
    <row r="325" spans="1:10" x14ac:dyDescent="0.3">
      <c r="A325">
        <v>172</v>
      </c>
      <c r="B325">
        <v>340478898</v>
      </c>
      <c r="C325" t="s">
        <v>204</v>
      </c>
      <c r="D325" t="s">
        <v>823</v>
      </c>
      <c r="E325" t="s">
        <v>824</v>
      </c>
      <c r="F325" t="s">
        <v>7</v>
      </c>
      <c r="G325" t="s">
        <v>8</v>
      </c>
      <c r="H325">
        <v>94000000</v>
      </c>
      <c r="I325">
        <v>6.3</v>
      </c>
      <c r="J325" t="s">
        <v>8348</v>
      </c>
    </row>
    <row r="326" spans="1:10" x14ac:dyDescent="0.3">
      <c r="A326">
        <v>102</v>
      </c>
      <c r="B326">
        <v>17176900</v>
      </c>
      <c r="C326" t="s">
        <v>9</v>
      </c>
      <c r="D326" t="s">
        <v>825</v>
      </c>
      <c r="E326" t="s">
        <v>826</v>
      </c>
      <c r="F326" t="s">
        <v>7</v>
      </c>
      <c r="G326" t="s">
        <v>8</v>
      </c>
      <c r="H326">
        <v>95000000</v>
      </c>
      <c r="I326">
        <v>7.5</v>
      </c>
      <c r="J326" t="s">
        <v>8342</v>
      </c>
    </row>
    <row r="327" spans="1:10" x14ac:dyDescent="0.3">
      <c r="A327">
        <v>100</v>
      </c>
      <c r="B327">
        <v>131144183</v>
      </c>
      <c r="C327" t="s">
        <v>783</v>
      </c>
      <c r="D327" t="s">
        <v>827</v>
      </c>
      <c r="E327" t="s">
        <v>828</v>
      </c>
      <c r="F327" t="s">
        <v>7</v>
      </c>
      <c r="G327" t="s">
        <v>8</v>
      </c>
      <c r="H327">
        <v>115000000</v>
      </c>
      <c r="I327">
        <v>7.6</v>
      </c>
      <c r="J327" t="s">
        <v>8480</v>
      </c>
    </row>
    <row r="328" spans="1:10" x14ac:dyDescent="0.3">
      <c r="A328">
        <v>119</v>
      </c>
      <c r="B328">
        <v>23014504</v>
      </c>
      <c r="C328" t="s">
        <v>829</v>
      </c>
      <c r="D328" t="s">
        <v>830</v>
      </c>
      <c r="E328" t="s">
        <v>831</v>
      </c>
      <c r="F328" t="s">
        <v>7</v>
      </c>
      <c r="G328" t="s">
        <v>15</v>
      </c>
      <c r="H328">
        <v>100000000</v>
      </c>
      <c r="I328">
        <v>6.8</v>
      </c>
      <c r="J328" t="s">
        <v>8481</v>
      </c>
    </row>
    <row r="329" spans="1:10" x14ac:dyDescent="0.3">
      <c r="A329">
        <v>92</v>
      </c>
      <c r="B329">
        <v>181166115</v>
      </c>
      <c r="C329" t="s">
        <v>78</v>
      </c>
      <c r="D329" t="s">
        <v>832</v>
      </c>
      <c r="E329" t="s">
        <v>833</v>
      </c>
      <c r="F329" t="s">
        <v>7</v>
      </c>
      <c r="G329" t="s">
        <v>8</v>
      </c>
      <c r="H329">
        <v>93000000</v>
      </c>
      <c r="I329">
        <v>5.2</v>
      </c>
      <c r="J329" t="s">
        <v>8482</v>
      </c>
    </row>
    <row r="330" spans="1:10" x14ac:dyDescent="0.3">
      <c r="A330">
        <v>105</v>
      </c>
      <c r="B330">
        <v>176740650</v>
      </c>
      <c r="C330" t="s">
        <v>550</v>
      </c>
      <c r="D330" t="s">
        <v>834</v>
      </c>
      <c r="E330" t="s">
        <v>835</v>
      </c>
      <c r="F330" t="s">
        <v>7</v>
      </c>
      <c r="G330" t="s">
        <v>8</v>
      </c>
      <c r="H330">
        <v>93000000</v>
      </c>
      <c r="I330">
        <v>7.7</v>
      </c>
      <c r="J330" t="s">
        <v>8312</v>
      </c>
    </row>
    <row r="331" spans="1:10" x14ac:dyDescent="0.3">
      <c r="A331">
        <v>107</v>
      </c>
      <c r="B331">
        <v>71148699</v>
      </c>
      <c r="C331" t="s">
        <v>67</v>
      </c>
      <c r="D331" t="s">
        <v>836</v>
      </c>
      <c r="E331" t="s">
        <v>837</v>
      </c>
      <c r="F331" t="s">
        <v>7</v>
      </c>
      <c r="G331" t="s">
        <v>8</v>
      </c>
      <c r="H331">
        <v>90000000</v>
      </c>
      <c r="I331">
        <v>6.2</v>
      </c>
      <c r="J331" t="s">
        <v>8483</v>
      </c>
    </row>
    <row r="332" spans="1:10" x14ac:dyDescent="0.3">
      <c r="A332">
        <v>101</v>
      </c>
      <c r="B332">
        <v>67344392</v>
      </c>
      <c r="C332" t="s">
        <v>16</v>
      </c>
      <c r="D332" t="s">
        <v>838</v>
      </c>
      <c r="E332" t="s">
        <v>839</v>
      </c>
      <c r="F332" t="s">
        <v>7</v>
      </c>
      <c r="G332" t="s">
        <v>8</v>
      </c>
      <c r="H332">
        <v>92000000</v>
      </c>
      <c r="I332">
        <v>7.7</v>
      </c>
      <c r="J332" t="s">
        <v>8484</v>
      </c>
    </row>
    <row r="333" spans="1:10" x14ac:dyDescent="0.3">
      <c r="A333">
        <v>137</v>
      </c>
      <c r="B333">
        <v>22406362</v>
      </c>
      <c r="C333" t="s">
        <v>840</v>
      </c>
      <c r="D333" t="s">
        <v>841</v>
      </c>
      <c r="E333" t="s">
        <v>842</v>
      </c>
      <c r="F333" t="s">
        <v>7</v>
      </c>
      <c r="G333" t="s">
        <v>8</v>
      </c>
      <c r="H333">
        <v>107000000</v>
      </c>
      <c r="I333">
        <v>4.3</v>
      </c>
      <c r="J333" t="s">
        <v>8485</v>
      </c>
    </row>
    <row r="334" spans="1:10" x14ac:dyDescent="0.3">
      <c r="A334">
        <v>115</v>
      </c>
      <c r="B334">
        <v>261437578</v>
      </c>
      <c r="C334" t="s">
        <v>843</v>
      </c>
      <c r="D334" t="s">
        <v>844</v>
      </c>
      <c r="E334" t="s">
        <v>845</v>
      </c>
      <c r="F334" t="s">
        <v>7</v>
      </c>
      <c r="G334" t="s">
        <v>8</v>
      </c>
      <c r="H334">
        <v>92000000</v>
      </c>
      <c r="I334">
        <v>6.9</v>
      </c>
      <c r="J334" t="s">
        <v>8486</v>
      </c>
    </row>
    <row r="335" spans="1:10" x14ac:dyDescent="0.3">
      <c r="A335">
        <v>124</v>
      </c>
      <c r="B335">
        <v>11000000</v>
      </c>
      <c r="C335" t="s">
        <v>650</v>
      </c>
      <c r="D335" t="s">
        <v>846</v>
      </c>
      <c r="E335" t="s">
        <v>847</v>
      </c>
      <c r="F335" t="s">
        <v>7</v>
      </c>
      <c r="G335" t="s">
        <v>8</v>
      </c>
      <c r="H335">
        <v>98000000</v>
      </c>
      <c r="I335">
        <v>6.6</v>
      </c>
      <c r="J335" t="s">
        <v>8478</v>
      </c>
    </row>
    <row r="336" spans="1:10" x14ac:dyDescent="0.3">
      <c r="A336">
        <v>118</v>
      </c>
      <c r="B336">
        <v>88761720</v>
      </c>
      <c r="C336" t="s">
        <v>67</v>
      </c>
      <c r="D336" t="s">
        <v>848</v>
      </c>
      <c r="E336" t="s">
        <v>849</v>
      </c>
      <c r="F336" t="s">
        <v>7</v>
      </c>
      <c r="G336" t="s">
        <v>15</v>
      </c>
      <c r="H336">
        <v>95000000</v>
      </c>
      <c r="I336">
        <v>7</v>
      </c>
      <c r="J336" t="s">
        <v>8379</v>
      </c>
    </row>
    <row r="337" spans="1:10" x14ac:dyDescent="0.3">
      <c r="A337">
        <v>98</v>
      </c>
      <c r="B337">
        <v>250147615</v>
      </c>
      <c r="C337" t="s">
        <v>850</v>
      </c>
      <c r="D337" t="s">
        <v>851</v>
      </c>
      <c r="E337" t="s">
        <v>852</v>
      </c>
      <c r="F337" t="s">
        <v>7</v>
      </c>
      <c r="G337" t="s">
        <v>8</v>
      </c>
      <c r="H337">
        <v>90000000</v>
      </c>
      <c r="I337">
        <v>6.7</v>
      </c>
      <c r="J337" t="s">
        <v>8310</v>
      </c>
    </row>
    <row r="338" spans="1:10" x14ac:dyDescent="0.3">
      <c r="A338">
        <v>82</v>
      </c>
      <c r="B338">
        <v>245823397</v>
      </c>
      <c r="C338" t="s">
        <v>96</v>
      </c>
      <c r="D338" t="s">
        <v>853</v>
      </c>
      <c r="E338" t="s">
        <v>854</v>
      </c>
      <c r="F338" t="s">
        <v>7</v>
      </c>
      <c r="G338" t="s">
        <v>8</v>
      </c>
      <c r="H338">
        <v>90000000</v>
      </c>
      <c r="I338">
        <v>8.1999999999999993</v>
      </c>
      <c r="J338" t="s">
        <v>8299</v>
      </c>
    </row>
    <row r="339" spans="1:10" x14ac:dyDescent="0.3">
      <c r="A339">
        <v>98</v>
      </c>
      <c r="B339">
        <v>81557479</v>
      </c>
      <c r="C339" t="s">
        <v>16</v>
      </c>
      <c r="D339" t="s">
        <v>855</v>
      </c>
      <c r="E339" t="s">
        <v>856</v>
      </c>
      <c r="F339" t="s">
        <v>7</v>
      </c>
      <c r="G339" t="s">
        <v>8</v>
      </c>
      <c r="H339">
        <v>100000000</v>
      </c>
      <c r="I339">
        <v>8.9</v>
      </c>
      <c r="J339" t="s">
        <v>8310</v>
      </c>
    </row>
    <row r="340" spans="1:10" x14ac:dyDescent="0.3">
      <c r="A340">
        <v>90</v>
      </c>
      <c r="B340">
        <v>226138454</v>
      </c>
      <c r="C340" t="s">
        <v>148</v>
      </c>
      <c r="D340" t="s">
        <v>857</v>
      </c>
      <c r="E340" t="s">
        <v>858</v>
      </c>
      <c r="F340" t="s">
        <v>7</v>
      </c>
      <c r="G340" t="s">
        <v>8</v>
      </c>
      <c r="H340">
        <v>90000000</v>
      </c>
      <c r="I340">
        <v>8.6999999999999993</v>
      </c>
      <c r="J340" t="s">
        <v>8310</v>
      </c>
    </row>
    <row r="341" spans="1:10" x14ac:dyDescent="0.3">
      <c r="A341">
        <v>130</v>
      </c>
      <c r="B341">
        <v>155370362</v>
      </c>
      <c r="C341" t="s">
        <v>859</v>
      </c>
      <c r="D341" t="s">
        <v>860</v>
      </c>
      <c r="E341" t="s">
        <v>861</v>
      </c>
      <c r="F341" t="s">
        <v>7</v>
      </c>
      <c r="G341" t="s">
        <v>8</v>
      </c>
      <c r="H341">
        <v>100000000</v>
      </c>
      <c r="I341">
        <v>5.5</v>
      </c>
      <c r="J341" t="s">
        <v>8487</v>
      </c>
    </row>
    <row r="342" spans="1:10" x14ac:dyDescent="0.3">
      <c r="A342">
        <v>90</v>
      </c>
      <c r="B342">
        <v>124870275</v>
      </c>
      <c r="C342" t="s">
        <v>862</v>
      </c>
      <c r="D342" t="s">
        <v>863</v>
      </c>
      <c r="E342" t="s">
        <v>864</v>
      </c>
      <c r="F342" t="s">
        <v>7</v>
      </c>
      <c r="G342" t="s">
        <v>8</v>
      </c>
      <c r="H342">
        <v>100000000</v>
      </c>
      <c r="I342">
        <v>5.7</v>
      </c>
      <c r="J342" t="s">
        <v>8465</v>
      </c>
    </row>
    <row r="343" spans="1:10" x14ac:dyDescent="0.3">
      <c r="A343">
        <v>94</v>
      </c>
      <c r="B343">
        <v>196573705</v>
      </c>
      <c r="C343" t="s">
        <v>303</v>
      </c>
      <c r="D343" t="s">
        <v>865</v>
      </c>
      <c r="E343" t="s">
        <v>866</v>
      </c>
      <c r="F343" t="s">
        <v>7</v>
      </c>
      <c r="G343" t="s">
        <v>8</v>
      </c>
      <c r="H343">
        <v>90000000</v>
      </c>
      <c r="I343">
        <v>6.3</v>
      </c>
      <c r="J343" t="s">
        <v>8488</v>
      </c>
    </row>
    <row r="344" spans="1:10" x14ac:dyDescent="0.3">
      <c r="A344">
        <v>114</v>
      </c>
      <c r="B344">
        <v>58229120</v>
      </c>
      <c r="C344" t="s">
        <v>867</v>
      </c>
      <c r="D344" t="s">
        <v>868</v>
      </c>
      <c r="E344" t="s">
        <v>869</v>
      </c>
      <c r="F344" t="s">
        <v>7</v>
      </c>
      <c r="G344" t="s">
        <v>8</v>
      </c>
      <c r="H344">
        <v>90000000</v>
      </c>
      <c r="I344">
        <v>5.9</v>
      </c>
      <c r="J344" t="s">
        <v>8384</v>
      </c>
    </row>
    <row r="345" spans="1:10" x14ac:dyDescent="0.3">
      <c r="A345">
        <v>94</v>
      </c>
      <c r="B345">
        <v>125305545</v>
      </c>
      <c r="C345" t="s">
        <v>870</v>
      </c>
      <c r="D345" t="s">
        <v>871</v>
      </c>
      <c r="E345" t="s">
        <v>872</v>
      </c>
      <c r="F345" t="s">
        <v>7</v>
      </c>
      <c r="G345" t="s">
        <v>8</v>
      </c>
      <c r="H345">
        <v>92000000</v>
      </c>
      <c r="I345">
        <v>7.6</v>
      </c>
      <c r="J345" t="s">
        <v>8489</v>
      </c>
    </row>
    <row r="346" spans="1:10" x14ac:dyDescent="0.3">
      <c r="A346">
        <v>151</v>
      </c>
      <c r="B346">
        <v>132373442</v>
      </c>
      <c r="C346" t="s">
        <v>873</v>
      </c>
      <c r="D346" t="s">
        <v>874</v>
      </c>
      <c r="E346" t="s">
        <v>875</v>
      </c>
      <c r="F346" t="s">
        <v>7</v>
      </c>
      <c r="G346" t="s">
        <v>8</v>
      </c>
      <c r="H346">
        <v>90000000</v>
      </c>
      <c r="I346">
        <v>6.6</v>
      </c>
      <c r="J346" t="s">
        <v>8490</v>
      </c>
    </row>
    <row r="347" spans="1:10" x14ac:dyDescent="0.3">
      <c r="A347">
        <v>88</v>
      </c>
      <c r="B347">
        <v>120618403</v>
      </c>
      <c r="C347" t="s">
        <v>876</v>
      </c>
      <c r="D347" t="s">
        <v>877</v>
      </c>
      <c r="E347" t="s">
        <v>878</v>
      </c>
      <c r="F347" t="s">
        <v>7</v>
      </c>
      <c r="G347" t="s">
        <v>8</v>
      </c>
      <c r="H347">
        <v>90000000</v>
      </c>
      <c r="I347">
        <v>5.3</v>
      </c>
      <c r="J347" t="s">
        <v>8491</v>
      </c>
    </row>
    <row r="348" spans="1:10" x14ac:dyDescent="0.3">
      <c r="A348">
        <v>121</v>
      </c>
      <c r="B348">
        <v>110416702</v>
      </c>
      <c r="C348" t="s">
        <v>879</v>
      </c>
      <c r="D348" t="s">
        <v>880</v>
      </c>
      <c r="E348" t="s">
        <v>881</v>
      </c>
      <c r="F348" t="s">
        <v>7</v>
      </c>
      <c r="G348" t="s">
        <v>8</v>
      </c>
      <c r="H348">
        <v>92000000</v>
      </c>
      <c r="I348">
        <v>6</v>
      </c>
      <c r="J348" t="s">
        <v>8492</v>
      </c>
    </row>
    <row r="349" spans="1:10" x14ac:dyDescent="0.3">
      <c r="A349">
        <v>158</v>
      </c>
      <c r="B349">
        <v>102515793</v>
      </c>
      <c r="C349" t="s">
        <v>882</v>
      </c>
      <c r="D349" t="s">
        <v>883</v>
      </c>
      <c r="E349" t="s">
        <v>884</v>
      </c>
      <c r="F349" t="s">
        <v>7</v>
      </c>
      <c r="G349" t="s">
        <v>8</v>
      </c>
      <c r="H349">
        <v>90000000</v>
      </c>
      <c r="I349">
        <v>8</v>
      </c>
      <c r="J349" t="s">
        <v>8355</v>
      </c>
    </row>
    <row r="350" spans="1:10" x14ac:dyDescent="0.3">
      <c r="A350">
        <v>128</v>
      </c>
      <c r="B350">
        <v>100012500</v>
      </c>
      <c r="C350" t="s">
        <v>12</v>
      </c>
      <c r="D350" t="s">
        <v>885</v>
      </c>
      <c r="E350" t="s">
        <v>886</v>
      </c>
      <c r="F350" t="s">
        <v>7</v>
      </c>
      <c r="G350" t="s">
        <v>8</v>
      </c>
      <c r="H350">
        <v>90000000</v>
      </c>
      <c r="I350">
        <v>5.6</v>
      </c>
      <c r="J350" t="s">
        <v>8493</v>
      </c>
    </row>
    <row r="351" spans="1:10" x14ac:dyDescent="0.3">
      <c r="A351">
        <v>128</v>
      </c>
      <c r="B351">
        <v>209019489</v>
      </c>
      <c r="C351" t="s">
        <v>509</v>
      </c>
      <c r="D351" t="s">
        <v>887</v>
      </c>
      <c r="E351" t="s">
        <v>888</v>
      </c>
      <c r="F351" t="s">
        <v>7</v>
      </c>
      <c r="G351" t="s">
        <v>8</v>
      </c>
      <c r="H351">
        <v>90000000</v>
      </c>
      <c r="I351">
        <v>5.9</v>
      </c>
      <c r="J351" t="s">
        <v>8419</v>
      </c>
    </row>
    <row r="352" spans="1:10" x14ac:dyDescent="0.3">
      <c r="A352">
        <v>95</v>
      </c>
      <c r="B352">
        <v>84037039</v>
      </c>
      <c r="C352" t="s">
        <v>890</v>
      </c>
      <c r="D352" t="s">
        <v>891</v>
      </c>
      <c r="E352" t="s">
        <v>892</v>
      </c>
      <c r="F352" t="s">
        <v>7</v>
      </c>
      <c r="G352" t="s">
        <v>8</v>
      </c>
      <c r="H352">
        <v>120000000</v>
      </c>
      <c r="I352">
        <v>7.3</v>
      </c>
      <c r="J352" t="s">
        <v>8309</v>
      </c>
    </row>
    <row r="353" spans="1:10" x14ac:dyDescent="0.3">
      <c r="A353">
        <v>92</v>
      </c>
      <c r="B353">
        <v>85884815</v>
      </c>
      <c r="C353" t="s">
        <v>893</v>
      </c>
      <c r="D353" t="s">
        <v>894</v>
      </c>
      <c r="E353" t="s">
        <v>895</v>
      </c>
      <c r="F353" t="s">
        <v>7</v>
      </c>
      <c r="G353" t="s">
        <v>8</v>
      </c>
      <c r="H353">
        <v>90000000</v>
      </c>
      <c r="I353">
        <v>7.9</v>
      </c>
      <c r="J353" t="s">
        <v>8323</v>
      </c>
    </row>
    <row r="354" spans="1:10" x14ac:dyDescent="0.3">
      <c r="A354">
        <v>121</v>
      </c>
      <c r="B354">
        <v>83077470</v>
      </c>
      <c r="C354" t="s">
        <v>896</v>
      </c>
      <c r="D354" t="s">
        <v>897</v>
      </c>
      <c r="E354" t="s">
        <v>898</v>
      </c>
      <c r="F354" t="s">
        <v>7</v>
      </c>
      <c r="G354" t="s">
        <v>8</v>
      </c>
      <c r="H354">
        <v>75000000</v>
      </c>
      <c r="I354">
        <v>6.8</v>
      </c>
      <c r="J354" t="s">
        <v>8458</v>
      </c>
    </row>
    <row r="355" spans="1:10" x14ac:dyDescent="0.3">
      <c r="A355">
        <v>113</v>
      </c>
      <c r="B355">
        <v>100018837</v>
      </c>
      <c r="C355" t="s">
        <v>879</v>
      </c>
      <c r="D355" t="s">
        <v>899</v>
      </c>
      <c r="E355" t="s">
        <v>900</v>
      </c>
      <c r="F355" t="s">
        <v>7</v>
      </c>
      <c r="G355" t="s">
        <v>8</v>
      </c>
      <c r="H355">
        <v>90000000</v>
      </c>
      <c r="I355">
        <v>6.6</v>
      </c>
      <c r="J355" t="s">
        <v>8319</v>
      </c>
    </row>
    <row r="356" spans="1:10" x14ac:dyDescent="0.3">
      <c r="A356">
        <v>106</v>
      </c>
      <c r="B356">
        <v>78747585</v>
      </c>
      <c r="C356" t="s">
        <v>901</v>
      </c>
      <c r="D356" t="s">
        <v>902</v>
      </c>
      <c r="E356" t="s">
        <v>903</v>
      </c>
      <c r="F356" t="s">
        <v>7</v>
      </c>
      <c r="G356" t="s">
        <v>8</v>
      </c>
      <c r="H356">
        <v>88000000</v>
      </c>
      <c r="I356">
        <v>6.6</v>
      </c>
      <c r="J356" t="s">
        <v>8337</v>
      </c>
    </row>
    <row r="357" spans="1:10" x14ac:dyDescent="0.3">
      <c r="A357">
        <v>146</v>
      </c>
      <c r="B357">
        <v>78616689</v>
      </c>
      <c r="C357" t="s">
        <v>242</v>
      </c>
      <c r="D357" t="s">
        <v>904</v>
      </c>
      <c r="E357" t="s">
        <v>905</v>
      </c>
      <c r="F357" t="s">
        <v>7</v>
      </c>
      <c r="G357" t="s">
        <v>8</v>
      </c>
      <c r="H357">
        <v>100000000</v>
      </c>
      <c r="I357">
        <v>7</v>
      </c>
      <c r="J357" t="s">
        <v>8494</v>
      </c>
    </row>
    <row r="358" spans="1:10" x14ac:dyDescent="0.3">
      <c r="A358">
        <v>88</v>
      </c>
      <c r="B358">
        <v>75817994</v>
      </c>
      <c r="C358" t="s">
        <v>906</v>
      </c>
      <c r="D358" t="s">
        <v>907</v>
      </c>
      <c r="E358" t="s">
        <v>908</v>
      </c>
      <c r="F358" t="s">
        <v>7</v>
      </c>
      <c r="G358" t="s">
        <v>8</v>
      </c>
      <c r="H358">
        <v>90000000</v>
      </c>
      <c r="I358">
        <v>7</v>
      </c>
      <c r="J358" t="s">
        <v>8421</v>
      </c>
    </row>
    <row r="359" spans="1:10" x14ac:dyDescent="0.3">
      <c r="A359">
        <v>150</v>
      </c>
      <c r="B359">
        <v>100853835</v>
      </c>
      <c r="C359" t="s">
        <v>909</v>
      </c>
      <c r="D359" t="s">
        <v>910</v>
      </c>
      <c r="E359" t="s">
        <v>911</v>
      </c>
      <c r="F359" t="s">
        <v>7</v>
      </c>
      <c r="G359" t="s">
        <v>8</v>
      </c>
      <c r="H359">
        <v>90000000</v>
      </c>
      <c r="I359">
        <v>7.3</v>
      </c>
      <c r="J359" t="s">
        <v>8495</v>
      </c>
    </row>
    <row r="360" spans="1:10" x14ac:dyDescent="0.3">
      <c r="A360">
        <v>119</v>
      </c>
      <c r="B360">
        <v>73209340</v>
      </c>
      <c r="C360" t="s">
        <v>912</v>
      </c>
      <c r="D360" t="s">
        <v>913</v>
      </c>
      <c r="E360" t="s">
        <v>914</v>
      </c>
      <c r="F360" t="s">
        <v>7</v>
      </c>
      <c r="G360" t="s">
        <v>8</v>
      </c>
      <c r="H360">
        <v>95000000</v>
      </c>
      <c r="I360">
        <v>5.5</v>
      </c>
      <c r="J360" t="s">
        <v>8326</v>
      </c>
    </row>
    <row r="361" spans="1:10" x14ac:dyDescent="0.3">
      <c r="A361">
        <v>128</v>
      </c>
      <c r="B361">
        <v>72515360</v>
      </c>
      <c r="C361" t="s">
        <v>915</v>
      </c>
      <c r="D361" t="s">
        <v>916</v>
      </c>
      <c r="E361" t="s">
        <v>917</v>
      </c>
      <c r="F361" t="s">
        <v>918</v>
      </c>
      <c r="G361" t="s">
        <v>15</v>
      </c>
      <c r="H361">
        <v>80000000</v>
      </c>
      <c r="I361">
        <v>8.5</v>
      </c>
      <c r="J361" t="s">
        <v>8342</v>
      </c>
    </row>
    <row r="362" spans="1:10" x14ac:dyDescent="0.3">
      <c r="A362">
        <v>106</v>
      </c>
      <c r="B362">
        <v>68558662</v>
      </c>
      <c r="C362" t="s">
        <v>67</v>
      </c>
      <c r="D362" t="s">
        <v>919</v>
      </c>
      <c r="E362" t="s">
        <v>920</v>
      </c>
      <c r="F362" t="s">
        <v>7</v>
      </c>
      <c r="G362" t="s">
        <v>8</v>
      </c>
      <c r="H362">
        <v>90000000</v>
      </c>
      <c r="I362">
        <v>7.5</v>
      </c>
      <c r="J362" t="s">
        <v>8496</v>
      </c>
    </row>
    <row r="363" spans="1:10" x14ac:dyDescent="0.3">
      <c r="A363">
        <v>117</v>
      </c>
      <c r="B363">
        <v>65653758</v>
      </c>
      <c r="C363" t="s">
        <v>9</v>
      </c>
      <c r="D363" t="s">
        <v>921</v>
      </c>
      <c r="E363" t="s">
        <v>922</v>
      </c>
      <c r="F363" t="s">
        <v>7</v>
      </c>
      <c r="G363" t="s">
        <v>8</v>
      </c>
      <c r="H363">
        <v>95000000</v>
      </c>
      <c r="I363">
        <v>7</v>
      </c>
      <c r="J363" t="s">
        <v>8495</v>
      </c>
    </row>
    <row r="364" spans="1:10" x14ac:dyDescent="0.3">
      <c r="A364">
        <v>129</v>
      </c>
      <c r="B364">
        <v>64685359</v>
      </c>
      <c r="C364" t="s">
        <v>923</v>
      </c>
      <c r="D364" t="s">
        <v>924</v>
      </c>
      <c r="E364" t="s">
        <v>925</v>
      </c>
      <c r="F364" t="s">
        <v>7</v>
      </c>
      <c r="G364" t="s">
        <v>8</v>
      </c>
      <c r="H364">
        <v>90000000</v>
      </c>
      <c r="I364">
        <v>7.8</v>
      </c>
      <c r="J364" t="s">
        <v>8362</v>
      </c>
    </row>
    <row r="365" spans="1:10" x14ac:dyDescent="0.3">
      <c r="A365">
        <v>116</v>
      </c>
      <c r="B365">
        <v>61355436</v>
      </c>
      <c r="C365" t="s">
        <v>669</v>
      </c>
      <c r="D365" t="s">
        <v>926</v>
      </c>
      <c r="E365" t="s">
        <v>927</v>
      </c>
      <c r="F365" t="s">
        <v>7</v>
      </c>
      <c r="G365" t="s">
        <v>8</v>
      </c>
      <c r="H365">
        <v>68000000</v>
      </c>
      <c r="I365">
        <v>7.6</v>
      </c>
      <c r="J365" t="s">
        <v>8424</v>
      </c>
    </row>
    <row r="366" spans="1:10" x14ac:dyDescent="0.3">
      <c r="A366">
        <v>114</v>
      </c>
      <c r="B366">
        <v>26871</v>
      </c>
      <c r="C366" t="s">
        <v>118</v>
      </c>
      <c r="D366" t="s">
        <v>928</v>
      </c>
      <c r="E366" t="s">
        <v>929</v>
      </c>
      <c r="F366" t="s">
        <v>7</v>
      </c>
      <c r="G366" t="s">
        <v>284</v>
      </c>
      <c r="H366">
        <v>92000000</v>
      </c>
      <c r="I366">
        <v>7.6</v>
      </c>
      <c r="J366" t="s">
        <v>8422</v>
      </c>
    </row>
    <row r="367" spans="1:10" x14ac:dyDescent="0.3">
      <c r="A367">
        <v>114</v>
      </c>
      <c r="B367">
        <v>60874615</v>
      </c>
      <c r="C367" t="s">
        <v>454</v>
      </c>
      <c r="D367" t="s">
        <v>930</v>
      </c>
      <c r="E367" t="s">
        <v>931</v>
      </c>
      <c r="F367" t="s">
        <v>7</v>
      </c>
      <c r="G367" t="s">
        <v>8</v>
      </c>
      <c r="H367">
        <v>90000000</v>
      </c>
      <c r="I367">
        <v>6.1</v>
      </c>
      <c r="J367" t="s">
        <v>8497</v>
      </c>
    </row>
    <row r="368" spans="1:10" x14ac:dyDescent="0.3">
      <c r="A368">
        <v>96</v>
      </c>
      <c r="B368">
        <v>143618384</v>
      </c>
      <c r="C368" t="s">
        <v>502</v>
      </c>
      <c r="D368" t="s">
        <v>932</v>
      </c>
      <c r="E368" t="s">
        <v>933</v>
      </c>
      <c r="F368" t="s">
        <v>7</v>
      </c>
      <c r="G368" t="s">
        <v>8</v>
      </c>
      <c r="H368">
        <v>90000000</v>
      </c>
      <c r="I368">
        <v>6.8</v>
      </c>
      <c r="J368" t="s">
        <v>8463</v>
      </c>
    </row>
    <row r="369" spans="1:10" x14ac:dyDescent="0.3">
      <c r="A369">
        <v>132</v>
      </c>
      <c r="B369">
        <v>58220776</v>
      </c>
      <c r="C369" t="s">
        <v>934</v>
      </c>
      <c r="D369" t="s">
        <v>935</v>
      </c>
      <c r="E369" t="s">
        <v>936</v>
      </c>
      <c r="F369" t="s">
        <v>7</v>
      </c>
      <c r="G369" t="s">
        <v>8</v>
      </c>
      <c r="H369">
        <v>100000000</v>
      </c>
      <c r="I369">
        <v>5</v>
      </c>
      <c r="J369" t="s">
        <v>8498</v>
      </c>
    </row>
    <row r="370" spans="1:10" x14ac:dyDescent="0.3">
      <c r="A370">
        <v>104</v>
      </c>
      <c r="B370">
        <v>47474112</v>
      </c>
      <c r="C370" t="s">
        <v>550</v>
      </c>
      <c r="D370" t="s">
        <v>937</v>
      </c>
      <c r="E370" t="s">
        <v>938</v>
      </c>
      <c r="F370" t="s">
        <v>7</v>
      </c>
      <c r="G370" t="s">
        <v>8</v>
      </c>
      <c r="H370">
        <v>90000000</v>
      </c>
      <c r="I370">
        <v>7.1</v>
      </c>
      <c r="J370" t="s">
        <v>8305</v>
      </c>
    </row>
    <row r="371" spans="1:10" x14ac:dyDescent="0.3">
      <c r="A371">
        <v>111</v>
      </c>
      <c r="B371">
        <v>42877165</v>
      </c>
      <c r="C371" t="s">
        <v>164</v>
      </c>
      <c r="D371" t="s">
        <v>939</v>
      </c>
      <c r="E371" t="s">
        <v>940</v>
      </c>
      <c r="F371" t="s">
        <v>7</v>
      </c>
      <c r="G371" t="s">
        <v>8</v>
      </c>
      <c r="H371">
        <v>86000000</v>
      </c>
      <c r="I371">
        <v>5.5</v>
      </c>
      <c r="J371" t="s">
        <v>8499</v>
      </c>
    </row>
    <row r="372" spans="1:10" x14ac:dyDescent="0.3">
      <c r="A372">
        <v>138</v>
      </c>
      <c r="B372">
        <v>35168677</v>
      </c>
      <c r="C372" t="s">
        <v>896</v>
      </c>
      <c r="D372" t="s">
        <v>941</v>
      </c>
      <c r="E372" t="s">
        <v>942</v>
      </c>
      <c r="F372" t="s">
        <v>7</v>
      </c>
      <c r="G372" t="s">
        <v>15</v>
      </c>
      <c r="H372">
        <v>100000000</v>
      </c>
      <c r="I372">
        <v>5.6</v>
      </c>
      <c r="J372" t="s">
        <v>8419</v>
      </c>
    </row>
    <row r="373" spans="1:10" x14ac:dyDescent="0.3">
      <c r="A373">
        <v>129</v>
      </c>
      <c r="B373">
        <v>37567440</v>
      </c>
      <c r="C373" t="s">
        <v>56</v>
      </c>
      <c r="D373" t="s">
        <v>943</v>
      </c>
      <c r="E373" t="s">
        <v>944</v>
      </c>
      <c r="F373" t="s">
        <v>7</v>
      </c>
      <c r="G373" t="s">
        <v>8</v>
      </c>
      <c r="H373">
        <v>20000000</v>
      </c>
      <c r="I373">
        <v>7.1</v>
      </c>
      <c r="J373" t="s">
        <v>8332</v>
      </c>
    </row>
    <row r="374" spans="1:10" x14ac:dyDescent="0.3">
      <c r="A374">
        <v>144</v>
      </c>
      <c r="B374">
        <v>61644321</v>
      </c>
      <c r="C374" t="s">
        <v>653</v>
      </c>
      <c r="D374" t="s">
        <v>945</v>
      </c>
      <c r="E374" t="s">
        <v>946</v>
      </c>
      <c r="F374" t="s">
        <v>7</v>
      </c>
      <c r="G374" t="s">
        <v>8</v>
      </c>
      <c r="H374">
        <v>88000000</v>
      </c>
      <c r="I374">
        <v>4.9000000000000004</v>
      </c>
      <c r="J374" t="s">
        <v>8391</v>
      </c>
    </row>
    <row r="375" spans="1:10" x14ac:dyDescent="0.3">
      <c r="A375">
        <v>110</v>
      </c>
      <c r="B375">
        <v>190562</v>
      </c>
      <c r="C375" t="s">
        <v>947</v>
      </c>
      <c r="D375" t="s">
        <v>948</v>
      </c>
      <c r="E375" t="s">
        <v>949</v>
      </c>
      <c r="F375" t="s">
        <v>7</v>
      </c>
      <c r="G375" t="s">
        <v>15</v>
      </c>
      <c r="H375">
        <v>90000000</v>
      </c>
      <c r="I375">
        <v>7.4</v>
      </c>
      <c r="J375" t="s">
        <v>8337</v>
      </c>
    </row>
    <row r="376" spans="1:10" x14ac:dyDescent="0.3">
      <c r="A376">
        <v>140</v>
      </c>
      <c r="B376">
        <v>120147445</v>
      </c>
      <c r="C376" t="s">
        <v>950</v>
      </c>
      <c r="D376" t="s">
        <v>951</v>
      </c>
      <c r="E376" t="s">
        <v>952</v>
      </c>
      <c r="F376" t="s">
        <v>7</v>
      </c>
      <c r="G376" t="s">
        <v>8</v>
      </c>
      <c r="H376">
        <v>87000000</v>
      </c>
      <c r="I376">
        <v>5.7</v>
      </c>
      <c r="J376" t="s">
        <v>8423</v>
      </c>
    </row>
    <row r="377" spans="1:10" x14ac:dyDescent="0.3">
      <c r="A377">
        <v>113</v>
      </c>
      <c r="B377">
        <v>241688385</v>
      </c>
      <c r="C377" t="s">
        <v>263</v>
      </c>
      <c r="D377" t="s">
        <v>953</v>
      </c>
      <c r="E377" t="s">
        <v>954</v>
      </c>
      <c r="F377" t="s">
        <v>7</v>
      </c>
      <c r="G377" t="s">
        <v>8</v>
      </c>
      <c r="H377">
        <v>92000000</v>
      </c>
      <c r="I377">
        <v>6.4</v>
      </c>
      <c r="J377" t="s">
        <v>8500</v>
      </c>
    </row>
    <row r="378" spans="1:10" x14ac:dyDescent="0.3">
      <c r="A378">
        <v>143</v>
      </c>
      <c r="B378">
        <v>233630478</v>
      </c>
      <c r="C378" t="s">
        <v>955</v>
      </c>
      <c r="D378" t="s">
        <v>956</v>
      </c>
      <c r="E378" t="s">
        <v>957</v>
      </c>
      <c r="F378" t="s">
        <v>7</v>
      </c>
      <c r="G378" t="s">
        <v>8</v>
      </c>
      <c r="H378">
        <v>90000000</v>
      </c>
      <c r="I378">
        <v>5.9</v>
      </c>
      <c r="J378" t="s">
        <v>8501</v>
      </c>
    </row>
    <row r="379" spans="1:10" x14ac:dyDescent="0.3">
      <c r="A379">
        <v>108</v>
      </c>
      <c r="B379">
        <v>197992827</v>
      </c>
      <c r="C379" t="s">
        <v>958</v>
      </c>
      <c r="D379" t="s">
        <v>959</v>
      </c>
      <c r="E379" t="s">
        <v>960</v>
      </c>
      <c r="F379" t="s">
        <v>7</v>
      </c>
      <c r="G379" t="s">
        <v>8</v>
      </c>
      <c r="H379">
        <v>100000000</v>
      </c>
      <c r="I379">
        <v>5.5</v>
      </c>
      <c r="J379" t="s">
        <v>8449</v>
      </c>
    </row>
    <row r="380" spans="1:10" x14ac:dyDescent="0.3">
      <c r="A380">
        <v>108</v>
      </c>
      <c r="B380">
        <v>176049130</v>
      </c>
      <c r="C380" t="s">
        <v>449</v>
      </c>
      <c r="D380" t="s">
        <v>961</v>
      </c>
      <c r="E380" t="s">
        <v>962</v>
      </c>
      <c r="F380" t="s">
        <v>7</v>
      </c>
      <c r="G380" t="s">
        <v>8</v>
      </c>
      <c r="H380">
        <v>75000000</v>
      </c>
      <c r="I380">
        <v>6.9</v>
      </c>
      <c r="J380" t="s">
        <v>8401</v>
      </c>
    </row>
    <row r="381" spans="1:10" x14ac:dyDescent="0.3">
      <c r="A381">
        <v>124</v>
      </c>
      <c r="B381">
        <v>172620724</v>
      </c>
      <c r="C381" t="s">
        <v>263</v>
      </c>
      <c r="D381" t="s">
        <v>963</v>
      </c>
      <c r="E381" t="s">
        <v>964</v>
      </c>
      <c r="F381" t="s">
        <v>7</v>
      </c>
      <c r="G381" t="s">
        <v>8</v>
      </c>
      <c r="H381">
        <v>85000000</v>
      </c>
      <c r="I381">
        <v>6.2</v>
      </c>
      <c r="J381" t="s">
        <v>8413</v>
      </c>
    </row>
    <row r="382" spans="1:10" x14ac:dyDescent="0.3">
      <c r="A382">
        <v>116</v>
      </c>
      <c r="B382">
        <v>183405771</v>
      </c>
      <c r="C382" t="s">
        <v>609</v>
      </c>
      <c r="D382" t="s">
        <v>965</v>
      </c>
      <c r="E382" t="s">
        <v>966</v>
      </c>
      <c r="F382" t="s">
        <v>7</v>
      </c>
      <c r="G382" t="s">
        <v>8</v>
      </c>
      <c r="H382">
        <v>85000000</v>
      </c>
      <c r="I382">
        <v>7</v>
      </c>
      <c r="J382" t="s">
        <v>8458</v>
      </c>
    </row>
    <row r="383" spans="1:10" x14ac:dyDescent="0.3">
      <c r="A383">
        <v>110</v>
      </c>
      <c r="B383">
        <v>20315324</v>
      </c>
      <c r="C383" t="s">
        <v>23</v>
      </c>
      <c r="D383" t="s">
        <v>967</v>
      </c>
      <c r="E383" t="s">
        <v>968</v>
      </c>
      <c r="F383" t="s">
        <v>7</v>
      </c>
      <c r="G383" t="s">
        <v>284</v>
      </c>
      <c r="H383">
        <v>75000000</v>
      </c>
      <c r="I383">
        <v>5.6</v>
      </c>
      <c r="J383" t="s">
        <v>8502</v>
      </c>
    </row>
    <row r="384" spans="1:10" x14ac:dyDescent="0.3">
      <c r="A384">
        <v>91</v>
      </c>
      <c r="B384">
        <v>148313048</v>
      </c>
      <c r="C384" t="s">
        <v>298</v>
      </c>
      <c r="D384" t="s">
        <v>969</v>
      </c>
      <c r="E384" t="s">
        <v>970</v>
      </c>
      <c r="F384" t="s">
        <v>7</v>
      </c>
      <c r="G384" t="s">
        <v>8</v>
      </c>
      <c r="H384">
        <v>85000000</v>
      </c>
      <c r="I384">
        <v>7</v>
      </c>
      <c r="J384" t="s">
        <v>8421</v>
      </c>
    </row>
    <row r="385" spans="1:10" x14ac:dyDescent="0.3">
      <c r="A385">
        <v>107</v>
      </c>
      <c r="B385">
        <v>127706877</v>
      </c>
      <c r="C385" t="s">
        <v>971</v>
      </c>
      <c r="D385" t="s">
        <v>972</v>
      </c>
      <c r="E385" t="s">
        <v>973</v>
      </c>
      <c r="F385" t="s">
        <v>7</v>
      </c>
      <c r="G385" t="s">
        <v>8</v>
      </c>
      <c r="H385">
        <v>85000000</v>
      </c>
      <c r="I385">
        <v>6.8</v>
      </c>
      <c r="J385" t="s">
        <v>8419</v>
      </c>
    </row>
    <row r="386" spans="1:10" x14ac:dyDescent="0.3">
      <c r="A386">
        <v>115</v>
      </c>
      <c r="B386">
        <v>126149655</v>
      </c>
      <c r="C386" t="s">
        <v>466</v>
      </c>
      <c r="D386" t="s">
        <v>974</v>
      </c>
      <c r="E386" t="s">
        <v>975</v>
      </c>
      <c r="F386" t="s">
        <v>7</v>
      </c>
      <c r="G386" t="s">
        <v>8</v>
      </c>
      <c r="H386">
        <v>85000000</v>
      </c>
      <c r="I386">
        <v>5.4</v>
      </c>
      <c r="J386" t="s">
        <v>8503</v>
      </c>
    </row>
    <row r="387" spans="1:10" x14ac:dyDescent="0.3">
      <c r="A387">
        <v>100</v>
      </c>
      <c r="B387">
        <v>66941559</v>
      </c>
      <c r="C387" t="s">
        <v>976</v>
      </c>
      <c r="D387" t="s">
        <v>977</v>
      </c>
      <c r="E387" t="s">
        <v>978</v>
      </c>
      <c r="F387" t="s">
        <v>7</v>
      </c>
      <c r="G387" t="s">
        <v>8</v>
      </c>
      <c r="H387">
        <v>85000000</v>
      </c>
      <c r="I387">
        <v>6.1</v>
      </c>
      <c r="J387" t="s">
        <v>8504</v>
      </c>
    </row>
    <row r="388" spans="1:10" x14ac:dyDescent="0.3">
      <c r="A388">
        <v>104</v>
      </c>
      <c r="B388">
        <v>78009155</v>
      </c>
      <c r="C388" t="s">
        <v>704</v>
      </c>
      <c r="D388" t="s">
        <v>979</v>
      </c>
      <c r="E388" t="s">
        <v>980</v>
      </c>
      <c r="F388" t="s">
        <v>7</v>
      </c>
      <c r="G388" t="s">
        <v>8</v>
      </c>
      <c r="H388">
        <v>75000000</v>
      </c>
      <c r="I388">
        <v>6.7</v>
      </c>
      <c r="J388" t="s">
        <v>8505</v>
      </c>
    </row>
    <row r="389" spans="1:10" x14ac:dyDescent="0.3">
      <c r="A389">
        <v>138</v>
      </c>
      <c r="B389">
        <v>63224849</v>
      </c>
      <c r="C389" t="s">
        <v>672</v>
      </c>
      <c r="D389" t="s">
        <v>981</v>
      </c>
      <c r="E389" t="s">
        <v>982</v>
      </c>
      <c r="F389" t="s">
        <v>7</v>
      </c>
      <c r="G389" t="s">
        <v>8</v>
      </c>
      <c r="H389">
        <v>85000000</v>
      </c>
      <c r="I389">
        <v>4.3</v>
      </c>
      <c r="J389" t="s">
        <v>8441</v>
      </c>
    </row>
    <row r="390" spans="1:10" x14ac:dyDescent="0.3">
      <c r="A390">
        <v>140</v>
      </c>
      <c r="B390">
        <v>111544445</v>
      </c>
      <c r="C390" t="s">
        <v>436</v>
      </c>
      <c r="D390" t="s">
        <v>983</v>
      </c>
      <c r="E390" t="s">
        <v>984</v>
      </c>
      <c r="F390" t="s">
        <v>7</v>
      </c>
      <c r="G390" t="s">
        <v>8</v>
      </c>
      <c r="H390">
        <v>90000000</v>
      </c>
      <c r="I390">
        <v>6.9</v>
      </c>
      <c r="J390" t="s">
        <v>8506</v>
      </c>
    </row>
    <row r="391" spans="1:10" x14ac:dyDescent="0.3">
      <c r="A391">
        <v>120</v>
      </c>
      <c r="B391">
        <v>112703470</v>
      </c>
      <c r="C391" t="s">
        <v>561</v>
      </c>
      <c r="D391" t="s">
        <v>985</v>
      </c>
      <c r="E391" t="s">
        <v>986</v>
      </c>
      <c r="F391" t="s">
        <v>7</v>
      </c>
      <c r="G391" t="s">
        <v>8</v>
      </c>
      <c r="H391">
        <v>85000000</v>
      </c>
      <c r="I391">
        <v>8</v>
      </c>
      <c r="J391" t="s">
        <v>8378</v>
      </c>
    </row>
    <row r="392" spans="1:10" x14ac:dyDescent="0.3">
      <c r="A392">
        <v>122</v>
      </c>
      <c r="B392">
        <v>117144465</v>
      </c>
      <c r="C392" t="s">
        <v>609</v>
      </c>
      <c r="D392" t="s">
        <v>987</v>
      </c>
      <c r="E392" t="s">
        <v>988</v>
      </c>
      <c r="F392" t="s">
        <v>7</v>
      </c>
      <c r="G392" t="s">
        <v>8</v>
      </c>
      <c r="H392">
        <v>85000000</v>
      </c>
      <c r="I392">
        <v>4.4000000000000004</v>
      </c>
      <c r="J392" t="s">
        <v>8507</v>
      </c>
    </row>
    <row r="393" spans="1:10" x14ac:dyDescent="0.3">
      <c r="A393">
        <v>83</v>
      </c>
      <c r="B393">
        <v>84303558</v>
      </c>
      <c r="C393" t="s">
        <v>167</v>
      </c>
      <c r="D393" t="s">
        <v>989</v>
      </c>
      <c r="E393" t="s">
        <v>990</v>
      </c>
      <c r="F393" t="s">
        <v>7</v>
      </c>
      <c r="G393" t="s">
        <v>8</v>
      </c>
      <c r="H393">
        <v>85000000</v>
      </c>
      <c r="I393">
        <v>7.3</v>
      </c>
      <c r="J393" t="s">
        <v>8508</v>
      </c>
    </row>
    <row r="394" spans="1:10" x14ac:dyDescent="0.3">
      <c r="A394">
        <v>139</v>
      </c>
      <c r="B394">
        <v>150832203</v>
      </c>
      <c r="C394" t="s">
        <v>545</v>
      </c>
      <c r="D394" t="s">
        <v>991</v>
      </c>
      <c r="E394" t="s">
        <v>992</v>
      </c>
      <c r="F394" t="s">
        <v>7</v>
      </c>
      <c r="G394" t="s">
        <v>8</v>
      </c>
      <c r="H394">
        <v>85000000</v>
      </c>
      <c r="I394">
        <v>6.3</v>
      </c>
      <c r="J394" t="s">
        <v>8449</v>
      </c>
    </row>
    <row r="395" spans="1:10" x14ac:dyDescent="0.3">
      <c r="A395">
        <v>131</v>
      </c>
      <c r="B395">
        <v>51396781</v>
      </c>
      <c r="C395" t="s">
        <v>799</v>
      </c>
      <c r="D395" t="s">
        <v>993</v>
      </c>
      <c r="E395" t="s">
        <v>994</v>
      </c>
      <c r="F395" t="s">
        <v>7</v>
      </c>
      <c r="G395" t="s">
        <v>8</v>
      </c>
      <c r="H395">
        <v>68000000</v>
      </c>
      <c r="I395">
        <v>6.7</v>
      </c>
      <c r="J395" t="s">
        <v>8343</v>
      </c>
    </row>
    <row r="396" spans="1:10" x14ac:dyDescent="0.3">
      <c r="A396">
        <v>104</v>
      </c>
      <c r="B396">
        <v>47592825</v>
      </c>
      <c r="C396" t="s">
        <v>415</v>
      </c>
      <c r="D396" t="s">
        <v>995</v>
      </c>
      <c r="E396" t="s">
        <v>996</v>
      </c>
      <c r="F396" t="s">
        <v>7</v>
      </c>
      <c r="G396" t="s">
        <v>8</v>
      </c>
      <c r="H396">
        <v>85000000</v>
      </c>
      <c r="I396">
        <v>7.7</v>
      </c>
      <c r="J396" t="s">
        <v>8337</v>
      </c>
    </row>
    <row r="397" spans="1:10" x14ac:dyDescent="0.3">
      <c r="A397">
        <v>130</v>
      </c>
      <c r="B397">
        <v>50016394</v>
      </c>
      <c r="C397" t="s">
        <v>997</v>
      </c>
      <c r="D397" t="s">
        <v>998</v>
      </c>
      <c r="E397" t="s">
        <v>999</v>
      </c>
      <c r="F397" t="s">
        <v>7</v>
      </c>
      <c r="G397" t="s">
        <v>8</v>
      </c>
      <c r="H397">
        <v>70000000</v>
      </c>
      <c r="I397">
        <v>6.5</v>
      </c>
      <c r="J397" t="s">
        <v>8377</v>
      </c>
    </row>
    <row r="398" spans="1:10" x14ac:dyDescent="0.3">
      <c r="A398">
        <v>145</v>
      </c>
      <c r="B398">
        <v>57010853</v>
      </c>
      <c r="C398" t="s">
        <v>73</v>
      </c>
      <c r="D398" t="s">
        <v>1000</v>
      </c>
      <c r="E398" t="s">
        <v>1001</v>
      </c>
      <c r="F398" t="s">
        <v>7</v>
      </c>
      <c r="G398" t="s">
        <v>8</v>
      </c>
      <c r="H398">
        <v>85000000</v>
      </c>
      <c r="I398">
        <v>7.8</v>
      </c>
      <c r="J398" t="s">
        <v>8409</v>
      </c>
    </row>
    <row r="399" spans="1:10" x14ac:dyDescent="0.3">
      <c r="A399">
        <v>104</v>
      </c>
      <c r="B399">
        <v>62494975</v>
      </c>
      <c r="C399" t="s">
        <v>118</v>
      </c>
      <c r="D399" t="s">
        <v>1002</v>
      </c>
      <c r="E399" t="s">
        <v>1003</v>
      </c>
      <c r="F399" t="s">
        <v>7</v>
      </c>
      <c r="G399" t="s">
        <v>8</v>
      </c>
      <c r="H399">
        <v>85000000</v>
      </c>
      <c r="I399">
        <v>6.4</v>
      </c>
      <c r="J399" t="s">
        <v>8366</v>
      </c>
    </row>
    <row r="400" spans="1:10" x14ac:dyDescent="0.3">
      <c r="A400">
        <v>97</v>
      </c>
      <c r="B400">
        <v>46440491</v>
      </c>
      <c r="C400" t="s">
        <v>96</v>
      </c>
      <c r="D400" t="s">
        <v>1004</v>
      </c>
      <c r="E400" t="s">
        <v>1005</v>
      </c>
      <c r="F400" t="s">
        <v>7</v>
      </c>
      <c r="G400" t="s">
        <v>15</v>
      </c>
      <c r="H400">
        <v>100000000</v>
      </c>
      <c r="I400">
        <v>7.8</v>
      </c>
      <c r="J400" t="s">
        <v>8444</v>
      </c>
    </row>
    <row r="401" spans="1:10" x14ac:dyDescent="0.3">
      <c r="A401">
        <v>178</v>
      </c>
      <c r="B401">
        <v>44606335</v>
      </c>
      <c r="C401" t="s">
        <v>253</v>
      </c>
      <c r="D401" t="s">
        <v>1006</v>
      </c>
      <c r="E401" t="s">
        <v>1007</v>
      </c>
      <c r="F401" t="s">
        <v>7</v>
      </c>
      <c r="G401" t="s">
        <v>8</v>
      </c>
      <c r="H401">
        <v>90000000</v>
      </c>
      <c r="I401">
        <v>5.8</v>
      </c>
      <c r="J401" t="s">
        <v>8509</v>
      </c>
    </row>
    <row r="402" spans="1:10" x14ac:dyDescent="0.3">
      <c r="A402">
        <v>108</v>
      </c>
      <c r="B402">
        <v>40048332</v>
      </c>
      <c r="C402" t="s">
        <v>351</v>
      </c>
      <c r="D402" t="s">
        <v>1008</v>
      </c>
      <c r="E402" t="s">
        <v>1009</v>
      </c>
      <c r="F402" t="s">
        <v>7</v>
      </c>
      <c r="G402" t="s">
        <v>8</v>
      </c>
      <c r="H402">
        <v>85000000</v>
      </c>
      <c r="I402">
        <v>7.1</v>
      </c>
      <c r="J402" t="s">
        <v>8510</v>
      </c>
    </row>
    <row r="403" spans="1:10" x14ac:dyDescent="0.3">
      <c r="A403">
        <v>106</v>
      </c>
      <c r="B403">
        <v>64933670</v>
      </c>
      <c r="C403" t="s">
        <v>1011</v>
      </c>
      <c r="D403" t="s">
        <v>1012</v>
      </c>
      <c r="E403" t="s">
        <v>1013</v>
      </c>
      <c r="F403" t="s">
        <v>7</v>
      </c>
      <c r="G403" t="s">
        <v>8</v>
      </c>
      <c r="H403">
        <v>85000000</v>
      </c>
      <c r="I403">
        <v>7.1</v>
      </c>
      <c r="J403" t="s">
        <v>8511</v>
      </c>
    </row>
    <row r="404" spans="1:10" x14ac:dyDescent="0.3">
      <c r="A404">
        <v>135</v>
      </c>
      <c r="B404">
        <v>31111260</v>
      </c>
      <c r="C404" t="s">
        <v>78</v>
      </c>
      <c r="D404" t="s">
        <v>1014</v>
      </c>
      <c r="E404" t="s">
        <v>1015</v>
      </c>
      <c r="F404" t="s">
        <v>7</v>
      </c>
      <c r="G404" t="s">
        <v>8</v>
      </c>
      <c r="H404">
        <v>60000000</v>
      </c>
      <c r="I404">
        <v>6.8</v>
      </c>
      <c r="J404" t="s">
        <v>8512</v>
      </c>
    </row>
    <row r="405" spans="1:10" x14ac:dyDescent="0.3">
      <c r="A405">
        <v>109</v>
      </c>
      <c r="B405">
        <v>123307945</v>
      </c>
      <c r="C405" t="s">
        <v>1016</v>
      </c>
      <c r="D405" t="s">
        <v>1017</v>
      </c>
      <c r="E405" t="s">
        <v>1018</v>
      </c>
      <c r="F405" t="s">
        <v>7</v>
      </c>
      <c r="G405" t="s">
        <v>8</v>
      </c>
      <c r="H405">
        <v>65000000</v>
      </c>
      <c r="I405">
        <v>4.8</v>
      </c>
      <c r="J405" t="s">
        <v>8511</v>
      </c>
    </row>
    <row r="406" spans="1:10" x14ac:dyDescent="0.3">
      <c r="A406">
        <v>86</v>
      </c>
      <c r="B406">
        <v>153288182</v>
      </c>
      <c r="C406" t="s">
        <v>1019</v>
      </c>
      <c r="D406" t="s">
        <v>1020</v>
      </c>
      <c r="E406" t="s">
        <v>1021</v>
      </c>
      <c r="F406" t="s">
        <v>7</v>
      </c>
      <c r="G406" t="s">
        <v>8</v>
      </c>
      <c r="H406">
        <v>84000000</v>
      </c>
      <c r="I406">
        <v>6.2</v>
      </c>
      <c r="J406" t="s">
        <v>8319</v>
      </c>
    </row>
    <row r="407" spans="1:10" x14ac:dyDescent="0.3">
      <c r="A407">
        <v>95</v>
      </c>
      <c r="B407">
        <v>13401683</v>
      </c>
      <c r="C407" t="s">
        <v>237</v>
      </c>
      <c r="D407" t="s">
        <v>1022</v>
      </c>
      <c r="E407" t="s">
        <v>1023</v>
      </c>
      <c r="F407" t="s">
        <v>7</v>
      </c>
      <c r="G407" t="s">
        <v>15</v>
      </c>
      <c r="H407">
        <v>35000000</v>
      </c>
      <c r="I407">
        <v>6.9</v>
      </c>
      <c r="J407" t="s">
        <v>8513</v>
      </c>
    </row>
    <row r="408" spans="1:10" x14ac:dyDescent="0.3">
      <c r="A408">
        <v>107</v>
      </c>
      <c r="B408">
        <v>137340146</v>
      </c>
      <c r="C408" t="s">
        <v>1024</v>
      </c>
      <c r="D408" t="s">
        <v>1025</v>
      </c>
      <c r="E408" t="s">
        <v>1026</v>
      </c>
      <c r="F408" t="s">
        <v>7</v>
      </c>
      <c r="G408" t="s">
        <v>8</v>
      </c>
      <c r="H408">
        <v>70000000</v>
      </c>
      <c r="I408">
        <v>7.3</v>
      </c>
      <c r="J408" t="s">
        <v>8458</v>
      </c>
    </row>
    <row r="409" spans="1:10" x14ac:dyDescent="0.3">
      <c r="A409">
        <v>82</v>
      </c>
      <c r="B409">
        <v>43575716</v>
      </c>
      <c r="C409" t="s">
        <v>1027</v>
      </c>
      <c r="D409" t="s">
        <v>1028</v>
      </c>
      <c r="E409" t="s">
        <v>1029</v>
      </c>
      <c r="F409" t="s">
        <v>7</v>
      </c>
      <c r="G409" t="s">
        <v>8</v>
      </c>
      <c r="H409">
        <v>85000000</v>
      </c>
      <c r="I409">
        <v>6.6</v>
      </c>
      <c r="J409" t="s">
        <v>8513</v>
      </c>
    </row>
    <row r="410" spans="1:10" x14ac:dyDescent="0.3">
      <c r="A410">
        <v>88</v>
      </c>
      <c r="B410">
        <v>80170146</v>
      </c>
      <c r="C410" t="s">
        <v>78</v>
      </c>
      <c r="D410" t="s">
        <v>1030</v>
      </c>
      <c r="E410" t="s">
        <v>1031</v>
      </c>
      <c r="F410" t="s">
        <v>7</v>
      </c>
      <c r="G410" t="s">
        <v>8</v>
      </c>
      <c r="H410">
        <v>85000000</v>
      </c>
      <c r="I410">
        <v>6.9</v>
      </c>
      <c r="J410" t="s">
        <v>8444</v>
      </c>
    </row>
    <row r="411" spans="1:10" x14ac:dyDescent="0.3">
      <c r="A411">
        <v>120</v>
      </c>
      <c r="B411">
        <v>75754670</v>
      </c>
      <c r="C411" t="s">
        <v>1032</v>
      </c>
      <c r="D411" t="s">
        <v>1033</v>
      </c>
      <c r="E411" t="s">
        <v>1034</v>
      </c>
      <c r="F411" t="s">
        <v>7</v>
      </c>
      <c r="G411" t="s">
        <v>8</v>
      </c>
      <c r="H411">
        <v>85000000</v>
      </c>
      <c r="I411">
        <v>6.2</v>
      </c>
      <c r="J411" t="s">
        <v>8514</v>
      </c>
    </row>
    <row r="412" spans="1:10" x14ac:dyDescent="0.3">
      <c r="A412">
        <v>162</v>
      </c>
      <c r="B412">
        <v>33048353</v>
      </c>
      <c r="C412" t="s">
        <v>1035</v>
      </c>
      <c r="D412" t="s">
        <v>1036</v>
      </c>
      <c r="E412" t="s">
        <v>1037</v>
      </c>
      <c r="F412" t="s">
        <v>7</v>
      </c>
      <c r="G412" t="s">
        <v>8</v>
      </c>
      <c r="H412">
        <v>65000000</v>
      </c>
      <c r="I412">
        <v>6.7</v>
      </c>
      <c r="J412" t="s">
        <v>8515</v>
      </c>
    </row>
    <row r="413" spans="1:10" x14ac:dyDescent="0.3">
      <c r="A413">
        <v>123</v>
      </c>
      <c r="B413">
        <v>34543701</v>
      </c>
      <c r="C413" t="s">
        <v>656</v>
      </c>
      <c r="D413" t="s">
        <v>1038</v>
      </c>
      <c r="E413" t="s">
        <v>1039</v>
      </c>
      <c r="F413" t="s">
        <v>7</v>
      </c>
      <c r="G413" t="s">
        <v>8</v>
      </c>
      <c r="H413">
        <v>82000000</v>
      </c>
      <c r="I413">
        <v>7.6</v>
      </c>
      <c r="J413" t="s">
        <v>8516</v>
      </c>
    </row>
    <row r="414" spans="1:10" x14ac:dyDescent="0.3">
      <c r="A414">
        <v>101</v>
      </c>
      <c r="B414">
        <v>242589580</v>
      </c>
      <c r="C414" t="s">
        <v>1040</v>
      </c>
      <c r="D414" t="s">
        <v>1041</v>
      </c>
      <c r="E414" t="s">
        <v>1042</v>
      </c>
      <c r="F414" t="s">
        <v>7</v>
      </c>
      <c r="G414" t="s">
        <v>8</v>
      </c>
      <c r="H414">
        <v>81000000</v>
      </c>
      <c r="I414">
        <v>6.7</v>
      </c>
      <c r="J414" t="s">
        <v>8315</v>
      </c>
    </row>
    <row r="415" spans="1:10" x14ac:dyDescent="0.3">
      <c r="A415">
        <v>113</v>
      </c>
      <c r="B415">
        <v>102981571</v>
      </c>
      <c r="C415" t="s">
        <v>12</v>
      </c>
      <c r="D415" t="s">
        <v>1043</v>
      </c>
      <c r="E415" t="s">
        <v>1044</v>
      </c>
      <c r="F415" t="s">
        <v>7</v>
      </c>
      <c r="G415" t="s">
        <v>8</v>
      </c>
      <c r="H415">
        <v>80000000</v>
      </c>
      <c r="I415">
        <v>6.2</v>
      </c>
      <c r="J415" t="s">
        <v>8424</v>
      </c>
    </row>
    <row r="416" spans="1:10" x14ac:dyDescent="0.3">
      <c r="A416">
        <v>110</v>
      </c>
      <c r="B416">
        <v>180965237</v>
      </c>
      <c r="C416" t="s">
        <v>12</v>
      </c>
      <c r="D416" t="s">
        <v>1045</v>
      </c>
      <c r="E416" t="s">
        <v>1046</v>
      </c>
      <c r="F416" t="s">
        <v>7</v>
      </c>
      <c r="G416" t="s">
        <v>8</v>
      </c>
      <c r="H416">
        <v>80000000</v>
      </c>
      <c r="I416">
        <v>7.3</v>
      </c>
      <c r="J416" t="s">
        <v>8308</v>
      </c>
    </row>
    <row r="417" spans="1:10" x14ac:dyDescent="0.3">
      <c r="A417">
        <v>142</v>
      </c>
      <c r="B417">
        <v>407999255</v>
      </c>
      <c r="C417" t="s">
        <v>591</v>
      </c>
      <c r="D417" t="s">
        <v>1047</v>
      </c>
      <c r="E417" t="s">
        <v>1048</v>
      </c>
      <c r="F417" t="s">
        <v>7</v>
      </c>
      <c r="G417" t="s">
        <v>8</v>
      </c>
      <c r="H417">
        <v>78000000</v>
      </c>
      <c r="I417">
        <v>6</v>
      </c>
      <c r="J417" t="s">
        <v>8335</v>
      </c>
    </row>
    <row r="418" spans="1:10" x14ac:dyDescent="0.3">
      <c r="A418">
        <v>102</v>
      </c>
      <c r="B418">
        <v>254455986</v>
      </c>
      <c r="C418" t="s">
        <v>668</v>
      </c>
      <c r="D418" t="s">
        <v>1049</v>
      </c>
      <c r="E418" t="s">
        <v>1050</v>
      </c>
      <c r="F418" t="s">
        <v>7</v>
      </c>
      <c r="G418" t="s">
        <v>8</v>
      </c>
      <c r="H418">
        <v>80000000</v>
      </c>
      <c r="I418">
        <v>7.1</v>
      </c>
      <c r="J418" t="s">
        <v>8517</v>
      </c>
    </row>
    <row r="419" spans="1:10" x14ac:dyDescent="0.3">
      <c r="A419">
        <v>126</v>
      </c>
      <c r="B419">
        <v>162831698</v>
      </c>
      <c r="C419" t="s">
        <v>521</v>
      </c>
      <c r="D419" t="s">
        <v>1051</v>
      </c>
      <c r="E419" t="s">
        <v>1052</v>
      </c>
      <c r="F419" t="s">
        <v>7</v>
      </c>
      <c r="G419" t="s">
        <v>8</v>
      </c>
      <c r="H419">
        <v>80000000</v>
      </c>
      <c r="I419">
        <v>7.1</v>
      </c>
      <c r="J419" t="s">
        <v>8518</v>
      </c>
    </row>
    <row r="420" spans="1:10" x14ac:dyDescent="0.3">
      <c r="A420">
        <v>83</v>
      </c>
      <c r="B420">
        <v>155019340</v>
      </c>
      <c r="C420" t="s">
        <v>167</v>
      </c>
      <c r="D420" t="s">
        <v>1053</v>
      </c>
      <c r="E420" t="s">
        <v>1054</v>
      </c>
      <c r="F420" t="s">
        <v>7</v>
      </c>
      <c r="G420" t="s">
        <v>8</v>
      </c>
      <c r="H420">
        <v>80000000</v>
      </c>
      <c r="I420">
        <v>5.5</v>
      </c>
      <c r="J420" t="s">
        <v>8519</v>
      </c>
    </row>
    <row r="421" spans="1:10" x14ac:dyDescent="0.3">
      <c r="A421">
        <v>85</v>
      </c>
      <c r="B421">
        <v>145771527</v>
      </c>
      <c r="C421" t="s">
        <v>1055</v>
      </c>
      <c r="D421" t="s">
        <v>1056</v>
      </c>
      <c r="E421" t="s">
        <v>1057</v>
      </c>
      <c r="F421" t="s">
        <v>7</v>
      </c>
      <c r="G421" t="s">
        <v>8</v>
      </c>
      <c r="H421">
        <v>80000000</v>
      </c>
      <c r="I421">
        <v>7.8</v>
      </c>
      <c r="J421" t="s">
        <v>8520</v>
      </c>
    </row>
    <row r="422" spans="1:10" x14ac:dyDescent="0.3">
      <c r="A422">
        <v>120</v>
      </c>
      <c r="B422">
        <v>140459099</v>
      </c>
      <c r="C422" t="s">
        <v>1058</v>
      </c>
      <c r="D422" t="s">
        <v>1059</v>
      </c>
      <c r="E422" t="s">
        <v>1060</v>
      </c>
      <c r="F422" t="s">
        <v>7</v>
      </c>
      <c r="G422" t="s">
        <v>8</v>
      </c>
      <c r="H422">
        <v>75000000</v>
      </c>
      <c r="I422">
        <v>5.6</v>
      </c>
      <c r="J422" t="s">
        <v>8521</v>
      </c>
    </row>
    <row r="423" spans="1:10" x14ac:dyDescent="0.3">
      <c r="A423">
        <v>116</v>
      </c>
      <c r="B423">
        <v>53215979</v>
      </c>
      <c r="C423" t="s">
        <v>148</v>
      </c>
      <c r="D423" t="s">
        <v>1061</v>
      </c>
      <c r="E423" t="s">
        <v>1062</v>
      </c>
      <c r="F423" t="s">
        <v>7</v>
      </c>
      <c r="G423" t="s">
        <v>8</v>
      </c>
      <c r="H423">
        <v>84000000</v>
      </c>
      <c r="I423">
        <v>7.5</v>
      </c>
      <c r="J423" t="s">
        <v>8522</v>
      </c>
    </row>
    <row r="424" spans="1:10" x14ac:dyDescent="0.3">
      <c r="A424">
        <v>113</v>
      </c>
      <c r="B424">
        <v>158115031</v>
      </c>
      <c r="C424" t="s">
        <v>1063</v>
      </c>
      <c r="D424" t="s">
        <v>1064</v>
      </c>
      <c r="E424" t="s">
        <v>1065</v>
      </c>
      <c r="F424" t="s">
        <v>7</v>
      </c>
      <c r="G424" t="s">
        <v>8</v>
      </c>
      <c r="H424">
        <v>82000000</v>
      </c>
      <c r="I424">
        <v>5.4</v>
      </c>
      <c r="J424" t="s">
        <v>8523</v>
      </c>
    </row>
    <row r="425" spans="1:10" x14ac:dyDescent="0.3">
      <c r="A425">
        <v>87</v>
      </c>
      <c r="B425">
        <v>133103929</v>
      </c>
      <c r="C425" t="s">
        <v>893</v>
      </c>
      <c r="D425" t="s">
        <v>1066</v>
      </c>
      <c r="E425" t="s">
        <v>1067</v>
      </c>
      <c r="F425" t="s">
        <v>7</v>
      </c>
      <c r="G425" t="s">
        <v>8</v>
      </c>
      <c r="H425">
        <v>75000000</v>
      </c>
      <c r="I425">
        <v>4.3</v>
      </c>
      <c r="J425" t="s">
        <v>8524</v>
      </c>
    </row>
    <row r="426" spans="1:10" x14ac:dyDescent="0.3">
      <c r="A426">
        <v>101</v>
      </c>
      <c r="B426">
        <v>133668525</v>
      </c>
      <c r="C426" t="s">
        <v>668</v>
      </c>
      <c r="D426" t="s">
        <v>1068</v>
      </c>
      <c r="E426" t="s">
        <v>1069</v>
      </c>
      <c r="F426" t="s">
        <v>7</v>
      </c>
      <c r="G426" t="s">
        <v>8</v>
      </c>
      <c r="H426">
        <v>80000000</v>
      </c>
      <c r="I426">
        <v>4.9000000000000004</v>
      </c>
      <c r="J426" t="s">
        <v>8447</v>
      </c>
    </row>
    <row r="427" spans="1:10" x14ac:dyDescent="0.3">
      <c r="A427">
        <v>110</v>
      </c>
      <c r="B427">
        <v>130313314</v>
      </c>
      <c r="C427" t="s">
        <v>650</v>
      </c>
      <c r="D427" t="s">
        <v>1070</v>
      </c>
      <c r="E427" t="s">
        <v>1071</v>
      </c>
      <c r="F427" t="s">
        <v>7</v>
      </c>
      <c r="G427" t="s">
        <v>8</v>
      </c>
      <c r="H427">
        <v>80000000</v>
      </c>
      <c r="I427">
        <v>7.1</v>
      </c>
      <c r="J427" t="s">
        <v>8525</v>
      </c>
    </row>
    <row r="428" spans="1:10" x14ac:dyDescent="0.3">
      <c r="A428">
        <v>128</v>
      </c>
      <c r="B428">
        <v>124590960</v>
      </c>
      <c r="C428" t="s">
        <v>561</v>
      </c>
      <c r="D428" t="s">
        <v>1072</v>
      </c>
      <c r="E428" t="s">
        <v>1073</v>
      </c>
      <c r="F428" t="s">
        <v>7</v>
      </c>
      <c r="G428" t="s">
        <v>8</v>
      </c>
      <c r="H428">
        <v>80000000</v>
      </c>
      <c r="I428">
        <v>6.4</v>
      </c>
      <c r="J428" t="s">
        <v>8451</v>
      </c>
    </row>
    <row r="429" spans="1:10" x14ac:dyDescent="0.3">
      <c r="A429">
        <v>138</v>
      </c>
      <c r="B429">
        <v>127968405</v>
      </c>
      <c r="C429" t="s">
        <v>321</v>
      </c>
      <c r="D429" t="s">
        <v>1074</v>
      </c>
      <c r="E429" t="s">
        <v>1075</v>
      </c>
      <c r="F429" t="s">
        <v>7</v>
      </c>
      <c r="G429" t="s">
        <v>8</v>
      </c>
      <c r="H429">
        <v>80000000</v>
      </c>
      <c r="I429">
        <v>6.9</v>
      </c>
      <c r="J429" t="s">
        <v>8526</v>
      </c>
    </row>
    <row r="430" spans="1:10" x14ac:dyDescent="0.3">
      <c r="A430">
        <v>88</v>
      </c>
      <c r="B430">
        <v>120136047</v>
      </c>
      <c r="C430" t="s">
        <v>561</v>
      </c>
      <c r="D430" t="s">
        <v>1076</v>
      </c>
      <c r="E430" t="s">
        <v>1077</v>
      </c>
      <c r="F430" t="s">
        <v>7</v>
      </c>
      <c r="G430" t="s">
        <v>284</v>
      </c>
      <c r="H430">
        <v>80000000</v>
      </c>
      <c r="I430">
        <v>4.3</v>
      </c>
      <c r="J430" t="s">
        <v>8442</v>
      </c>
    </row>
    <row r="431" spans="1:10" x14ac:dyDescent="0.3">
      <c r="A431">
        <v>91</v>
      </c>
      <c r="B431">
        <v>128200012</v>
      </c>
      <c r="C431" t="s">
        <v>227</v>
      </c>
      <c r="D431" t="s">
        <v>1078</v>
      </c>
      <c r="E431" t="s">
        <v>1079</v>
      </c>
      <c r="F431" t="s">
        <v>7</v>
      </c>
      <c r="G431" t="s">
        <v>8</v>
      </c>
      <c r="H431">
        <v>75000000</v>
      </c>
      <c r="I431">
        <v>6.1</v>
      </c>
      <c r="J431" t="s">
        <v>8346</v>
      </c>
    </row>
    <row r="432" spans="1:10" x14ac:dyDescent="0.3">
      <c r="A432">
        <v>138</v>
      </c>
      <c r="B432">
        <v>112225777</v>
      </c>
      <c r="C432" t="s">
        <v>555</v>
      </c>
      <c r="D432" t="s">
        <v>1080</v>
      </c>
      <c r="E432" t="s">
        <v>1081</v>
      </c>
      <c r="F432" t="s">
        <v>7</v>
      </c>
      <c r="G432" t="s">
        <v>8</v>
      </c>
      <c r="H432">
        <v>80000000</v>
      </c>
      <c r="I432">
        <v>7</v>
      </c>
      <c r="J432" t="s">
        <v>8331</v>
      </c>
    </row>
    <row r="433" spans="1:10" x14ac:dyDescent="0.3">
      <c r="A433">
        <v>99</v>
      </c>
      <c r="B433">
        <v>109993847</v>
      </c>
      <c r="C433" t="s">
        <v>1082</v>
      </c>
      <c r="D433" t="s">
        <v>1083</v>
      </c>
      <c r="E433" t="s">
        <v>1084</v>
      </c>
      <c r="F433" t="s">
        <v>7</v>
      </c>
      <c r="G433" t="s">
        <v>8</v>
      </c>
      <c r="H433">
        <v>80000000</v>
      </c>
      <c r="I433">
        <v>7.7</v>
      </c>
      <c r="J433" t="s">
        <v>8362</v>
      </c>
    </row>
    <row r="434" spans="1:10" x14ac:dyDescent="0.3">
      <c r="A434">
        <v>117</v>
      </c>
      <c r="B434">
        <v>104054514</v>
      </c>
      <c r="C434" t="s">
        <v>873</v>
      </c>
      <c r="D434" t="s">
        <v>1085</v>
      </c>
      <c r="E434" t="s">
        <v>1086</v>
      </c>
      <c r="F434" t="s">
        <v>7</v>
      </c>
      <c r="G434" t="s">
        <v>8</v>
      </c>
      <c r="H434">
        <v>80000000</v>
      </c>
      <c r="I434">
        <v>5.9</v>
      </c>
      <c r="J434" t="s">
        <v>8443</v>
      </c>
    </row>
    <row r="435" spans="1:10" x14ac:dyDescent="0.3">
      <c r="A435">
        <v>117</v>
      </c>
      <c r="B435">
        <v>103028109</v>
      </c>
      <c r="C435" t="s">
        <v>672</v>
      </c>
      <c r="D435" t="s">
        <v>1087</v>
      </c>
      <c r="E435" t="s">
        <v>1088</v>
      </c>
      <c r="F435" t="s">
        <v>7</v>
      </c>
      <c r="G435" t="s">
        <v>8</v>
      </c>
      <c r="H435">
        <v>80000000</v>
      </c>
      <c r="I435">
        <v>6.7</v>
      </c>
      <c r="J435" t="s">
        <v>8345</v>
      </c>
    </row>
    <row r="436" spans="1:10" x14ac:dyDescent="0.3">
      <c r="A436">
        <v>123</v>
      </c>
      <c r="B436">
        <v>101087161</v>
      </c>
      <c r="C436" t="s">
        <v>118</v>
      </c>
      <c r="D436" t="s">
        <v>1089</v>
      </c>
      <c r="E436" t="s">
        <v>1090</v>
      </c>
      <c r="F436" t="s">
        <v>7</v>
      </c>
      <c r="G436" t="s">
        <v>8</v>
      </c>
      <c r="H436">
        <v>75000000</v>
      </c>
      <c r="I436">
        <v>6.5</v>
      </c>
      <c r="J436" t="s">
        <v>8527</v>
      </c>
    </row>
    <row r="437" spans="1:10" x14ac:dyDescent="0.3">
      <c r="A437">
        <v>118</v>
      </c>
      <c r="B437">
        <v>101111837</v>
      </c>
      <c r="C437" t="s">
        <v>449</v>
      </c>
      <c r="D437" t="s">
        <v>1091</v>
      </c>
      <c r="E437" t="s">
        <v>1092</v>
      </c>
      <c r="F437" t="s">
        <v>7</v>
      </c>
      <c r="G437" t="s">
        <v>8</v>
      </c>
      <c r="H437">
        <v>80000000</v>
      </c>
      <c r="I437">
        <v>7.1</v>
      </c>
      <c r="J437" t="s">
        <v>8502</v>
      </c>
    </row>
    <row r="438" spans="1:10" x14ac:dyDescent="0.3">
      <c r="A438">
        <v>154</v>
      </c>
      <c r="B438">
        <v>95632614</v>
      </c>
      <c r="C438" t="s">
        <v>1093</v>
      </c>
      <c r="D438" t="s">
        <v>1094</v>
      </c>
      <c r="E438" t="s">
        <v>1095</v>
      </c>
      <c r="F438" t="s">
        <v>7</v>
      </c>
      <c r="G438" t="s">
        <v>8</v>
      </c>
      <c r="H438">
        <v>79000000</v>
      </c>
      <c r="I438">
        <v>7.3</v>
      </c>
      <c r="J438" t="s">
        <v>8508</v>
      </c>
    </row>
    <row r="439" spans="1:10" x14ac:dyDescent="0.3">
      <c r="A439">
        <v>118</v>
      </c>
      <c r="B439">
        <v>94822707</v>
      </c>
      <c r="C439" t="s">
        <v>263</v>
      </c>
      <c r="D439" t="s">
        <v>1096</v>
      </c>
      <c r="E439" t="s">
        <v>1097</v>
      </c>
      <c r="F439" t="s">
        <v>7</v>
      </c>
      <c r="G439" t="s">
        <v>8</v>
      </c>
      <c r="H439">
        <v>80000000</v>
      </c>
      <c r="I439">
        <v>6.5</v>
      </c>
      <c r="J439" t="s">
        <v>8528</v>
      </c>
    </row>
    <row r="440" spans="1:10" x14ac:dyDescent="0.3">
      <c r="A440">
        <v>90</v>
      </c>
      <c r="B440">
        <v>92969824</v>
      </c>
      <c r="C440" t="s">
        <v>1098</v>
      </c>
      <c r="D440" t="s">
        <v>1099</v>
      </c>
      <c r="E440" t="s">
        <v>1100</v>
      </c>
      <c r="F440" t="s">
        <v>7</v>
      </c>
      <c r="G440" t="s">
        <v>8</v>
      </c>
      <c r="H440">
        <v>80000000</v>
      </c>
      <c r="I440">
        <v>7</v>
      </c>
      <c r="J440" t="s">
        <v>8318</v>
      </c>
    </row>
    <row r="441" spans="1:10" x14ac:dyDescent="0.3">
      <c r="A441">
        <v>113</v>
      </c>
      <c r="B441">
        <v>91188905</v>
      </c>
      <c r="C441" t="s">
        <v>1101</v>
      </c>
      <c r="D441" t="s">
        <v>1102</v>
      </c>
      <c r="E441" t="s">
        <v>1103</v>
      </c>
      <c r="F441" t="s">
        <v>7</v>
      </c>
      <c r="G441" t="s">
        <v>8</v>
      </c>
      <c r="H441">
        <v>80000000</v>
      </c>
      <c r="I441">
        <v>6.8</v>
      </c>
      <c r="J441" t="s">
        <v>8412</v>
      </c>
    </row>
    <row r="442" spans="1:10" x14ac:dyDescent="0.3">
      <c r="A442">
        <v>88</v>
      </c>
      <c r="B442">
        <v>90443603</v>
      </c>
      <c r="C442" t="s">
        <v>1104</v>
      </c>
      <c r="D442" t="s">
        <v>1105</v>
      </c>
      <c r="E442" t="s">
        <v>1106</v>
      </c>
      <c r="F442" t="s">
        <v>7</v>
      </c>
      <c r="G442" t="s">
        <v>8</v>
      </c>
      <c r="H442">
        <v>80000000</v>
      </c>
      <c r="I442">
        <v>7.2</v>
      </c>
      <c r="J442" t="s">
        <v>8358</v>
      </c>
    </row>
    <row r="443" spans="1:10" x14ac:dyDescent="0.3">
      <c r="A443">
        <v>93</v>
      </c>
      <c r="B443">
        <v>82226474</v>
      </c>
      <c r="C443" t="s">
        <v>1107</v>
      </c>
      <c r="D443" t="s">
        <v>1108</v>
      </c>
      <c r="E443" t="s">
        <v>1109</v>
      </c>
      <c r="F443" t="s">
        <v>7</v>
      </c>
      <c r="G443" t="s">
        <v>8</v>
      </c>
      <c r="H443">
        <v>65000000</v>
      </c>
      <c r="I443">
        <v>6.4</v>
      </c>
      <c r="J443" t="s">
        <v>8529</v>
      </c>
    </row>
    <row r="444" spans="1:10" x14ac:dyDescent="0.3">
      <c r="A444">
        <v>104</v>
      </c>
      <c r="B444">
        <v>79363785</v>
      </c>
      <c r="C444" t="s">
        <v>1110</v>
      </c>
      <c r="D444" t="s">
        <v>1111</v>
      </c>
      <c r="E444" t="s">
        <v>1112</v>
      </c>
      <c r="F444" t="s">
        <v>7</v>
      </c>
      <c r="G444" t="s">
        <v>8</v>
      </c>
      <c r="H444">
        <v>80000000</v>
      </c>
      <c r="I444">
        <v>6.1</v>
      </c>
      <c r="J444" t="s">
        <v>8530</v>
      </c>
    </row>
    <row r="445" spans="1:10" x14ac:dyDescent="0.3">
      <c r="A445">
        <v>135</v>
      </c>
      <c r="B445">
        <v>76081498</v>
      </c>
      <c r="C445" t="s">
        <v>1113</v>
      </c>
      <c r="D445" t="s">
        <v>1114</v>
      </c>
      <c r="E445" t="s">
        <v>1115</v>
      </c>
      <c r="F445" t="s">
        <v>7</v>
      </c>
      <c r="G445" t="s">
        <v>8</v>
      </c>
      <c r="H445">
        <v>75000000</v>
      </c>
      <c r="I445">
        <v>6.7</v>
      </c>
      <c r="J445" t="s">
        <v>8396</v>
      </c>
    </row>
    <row r="446" spans="1:10" x14ac:dyDescent="0.3">
      <c r="A446">
        <v>134</v>
      </c>
      <c r="B446">
        <v>85707116</v>
      </c>
      <c r="C446" t="s">
        <v>584</v>
      </c>
      <c r="D446" t="s">
        <v>1116</v>
      </c>
      <c r="E446" t="s">
        <v>1117</v>
      </c>
      <c r="F446" t="s">
        <v>7</v>
      </c>
      <c r="G446" t="s">
        <v>8</v>
      </c>
      <c r="H446">
        <v>68000000</v>
      </c>
      <c r="I446">
        <v>6.4</v>
      </c>
      <c r="J446" t="s">
        <v>8524</v>
      </c>
    </row>
    <row r="447" spans="1:10" x14ac:dyDescent="0.3">
      <c r="A447">
        <v>98</v>
      </c>
      <c r="B447">
        <v>74329966</v>
      </c>
      <c r="C447" t="s">
        <v>1118</v>
      </c>
      <c r="D447" t="s">
        <v>1119</v>
      </c>
      <c r="E447" t="s">
        <v>1120</v>
      </c>
      <c r="F447" t="s">
        <v>7</v>
      </c>
      <c r="G447" t="s">
        <v>8</v>
      </c>
      <c r="H447">
        <v>70000000</v>
      </c>
      <c r="I447">
        <v>4.4000000000000004</v>
      </c>
      <c r="J447" t="s">
        <v>8354</v>
      </c>
    </row>
    <row r="448" spans="1:10" x14ac:dyDescent="0.3">
      <c r="A448">
        <v>80</v>
      </c>
      <c r="B448">
        <v>100169068</v>
      </c>
      <c r="C448" t="s">
        <v>167</v>
      </c>
      <c r="D448" t="s">
        <v>1121</v>
      </c>
      <c r="E448" t="s">
        <v>1122</v>
      </c>
      <c r="F448" t="s">
        <v>7</v>
      </c>
      <c r="G448" t="s">
        <v>8</v>
      </c>
      <c r="H448">
        <v>80000000</v>
      </c>
      <c r="I448">
        <v>5.4</v>
      </c>
      <c r="J448" t="s">
        <v>8499</v>
      </c>
    </row>
    <row r="449" spans="1:10" x14ac:dyDescent="0.3">
      <c r="A449">
        <v>83</v>
      </c>
      <c r="B449">
        <v>73215310</v>
      </c>
      <c r="C449" t="s">
        <v>1123</v>
      </c>
      <c r="D449" t="s">
        <v>1124</v>
      </c>
      <c r="E449" t="s">
        <v>1125</v>
      </c>
      <c r="F449" t="s">
        <v>7</v>
      </c>
      <c r="G449" t="s">
        <v>8</v>
      </c>
      <c r="H449">
        <v>80000000</v>
      </c>
      <c r="I449">
        <v>6.5</v>
      </c>
      <c r="J449" t="s">
        <v>8524</v>
      </c>
    </row>
    <row r="450" spans="1:10" x14ac:dyDescent="0.3">
      <c r="A450">
        <v>102</v>
      </c>
      <c r="B450">
        <v>80360866</v>
      </c>
      <c r="C450" t="s">
        <v>1126</v>
      </c>
      <c r="D450" t="s">
        <v>1127</v>
      </c>
      <c r="E450" t="s">
        <v>1128</v>
      </c>
      <c r="F450" t="s">
        <v>7</v>
      </c>
      <c r="G450" t="s">
        <v>8</v>
      </c>
      <c r="H450">
        <v>80000000</v>
      </c>
      <c r="I450">
        <v>6.7</v>
      </c>
      <c r="J450" t="s">
        <v>8513</v>
      </c>
    </row>
    <row r="451" spans="1:10" x14ac:dyDescent="0.3">
      <c r="A451">
        <v>130</v>
      </c>
      <c r="B451">
        <v>69102910</v>
      </c>
      <c r="C451" t="s">
        <v>1129</v>
      </c>
      <c r="D451" t="s">
        <v>1130</v>
      </c>
      <c r="E451" t="s">
        <v>1131</v>
      </c>
      <c r="F451" t="s">
        <v>7</v>
      </c>
      <c r="G451" t="s">
        <v>8</v>
      </c>
      <c r="H451">
        <v>80000000</v>
      </c>
      <c r="I451">
        <v>8.1</v>
      </c>
      <c r="J451" t="s">
        <v>8342</v>
      </c>
    </row>
    <row r="452" spans="1:10" x14ac:dyDescent="0.3">
      <c r="A452">
        <v>129</v>
      </c>
      <c r="B452">
        <v>65948711</v>
      </c>
      <c r="C452" t="s">
        <v>909</v>
      </c>
      <c r="D452" t="s">
        <v>1132</v>
      </c>
      <c r="E452" t="s">
        <v>1133</v>
      </c>
      <c r="F452" t="s">
        <v>7</v>
      </c>
      <c r="G452" t="s">
        <v>8</v>
      </c>
      <c r="H452">
        <v>80000000</v>
      </c>
      <c r="I452">
        <v>5.6</v>
      </c>
      <c r="J452" t="s">
        <v>8531</v>
      </c>
    </row>
    <row r="453" spans="1:10" x14ac:dyDescent="0.3">
      <c r="A453">
        <v>89</v>
      </c>
      <c r="B453">
        <v>169692572</v>
      </c>
      <c r="C453" t="s">
        <v>298</v>
      </c>
      <c r="D453" t="s">
        <v>1134</v>
      </c>
      <c r="E453" t="s">
        <v>1135</v>
      </c>
      <c r="F453" t="s">
        <v>7</v>
      </c>
      <c r="G453" t="s">
        <v>8</v>
      </c>
      <c r="H453">
        <v>80000000</v>
      </c>
      <c r="I453">
        <v>6.3</v>
      </c>
      <c r="J453" t="s">
        <v>8468</v>
      </c>
    </row>
    <row r="454" spans="1:10" x14ac:dyDescent="0.3">
      <c r="A454">
        <v>74</v>
      </c>
      <c r="B454">
        <v>60507228</v>
      </c>
      <c r="C454" t="s">
        <v>1136</v>
      </c>
      <c r="D454" t="s">
        <v>1137</v>
      </c>
      <c r="E454" t="s">
        <v>1138</v>
      </c>
      <c r="F454" t="s">
        <v>7</v>
      </c>
      <c r="G454" t="s">
        <v>8</v>
      </c>
      <c r="H454">
        <v>80000000</v>
      </c>
      <c r="I454">
        <v>7.3</v>
      </c>
      <c r="J454" t="s">
        <v>8427</v>
      </c>
    </row>
    <row r="455" spans="1:10" x14ac:dyDescent="0.3">
      <c r="A455">
        <v>96</v>
      </c>
      <c r="B455">
        <v>56684819</v>
      </c>
      <c r="C455" t="s">
        <v>20</v>
      </c>
      <c r="D455" t="s">
        <v>1139</v>
      </c>
      <c r="E455" t="s">
        <v>1140</v>
      </c>
      <c r="F455" t="s">
        <v>7</v>
      </c>
      <c r="G455" t="s">
        <v>8</v>
      </c>
      <c r="H455">
        <v>80000000</v>
      </c>
      <c r="I455">
        <v>6.1</v>
      </c>
      <c r="J455" t="s">
        <v>8532</v>
      </c>
    </row>
    <row r="456" spans="1:10" x14ac:dyDescent="0.3">
      <c r="A456">
        <v>114</v>
      </c>
      <c r="B456">
        <v>50628009</v>
      </c>
      <c r="C456" t="s">
        <v>1141</v>
      </c>
      <c r="D456" t="s">
        <v>1142</v>
      </c>
      <c r="E456" t="s">
        <v>1143</v>
      </c>
      <c r="F456" t="s">
        <v>7</v>
      </c>
      <c r="G456" t="s">
        <v>8</v>
      </c>
      <c r="H456">
        <v>90000000</v>
      </c>
      <c r="I456">
        <v>7.7</v>
      </c>
      <c r="J456" t="s">
        <v>8296</v>
      </c>
    </row>
    <row r="457" spans="1:10" x14ac:dyDescent="0.3">
      <c r="A457">
        <v>99</v>
      </c>
      <c r="B457">
        <v>69772969</v>
      </c>
      <c r="C457" t="s">
        <v>118</v>
      </c>
      <c r="D457" t="s">
        <v>1144</v>
      </c>
      <c r="E457" t="s">
        <v>1145</v>
      </c>
      <c r="F457" t="s">
        <v>7</v>
      </c>
      <c r="G457" t="s">
        <v>8</v>
      </c>
      <c r="H457">
        <v>80000000</v>
      </c>
      <c r="I457">
        <v>6.4</v>
      </c>
      <c r="J457" t="s">
        <v>8499</v>
      </c>
    </row>
    <row r="458" spans="1:10" x14ac:dyDescent="0.3">
      <c r="A458">
        <v>113</v>
      </c>
      <c r="B458">
        <v>55350897</v>
      </c>
      <c r="C458" t="s">
        <v>253</v>
      </c>
      <c r="D458" t="s">
        <v>1147</v>
      </c>
      <c r="E458" t="s">
        <v>1148</v>
      </c>
      <c r="F458" t="s">
        <v>7</v>
      </c>
      <c r="G458" t="s">
        <v>8</v>
      </c>
      <c r="H458">
        <v>85000000</v>
      </c>
      <c r="I458">
        <v>6.8</v>
      </c>
      <c r="J458" t="s">
        <v>8465</v>
      </c>
    </row>
    <row r="459" spans="1:10" x14ac:dyDescent="0.3">
      <c r="A459">
        <v>90</v>
      </c>
      <c r="B459">
        <v>39442871</v>
      </c>
      <c r="C459" t="s">
        <v>1149</v>
      </c>
      <c r="D459" t="s">
        <v>1150</v>
      </c>
      <c r="E459" t="s">
        <v>1151</v>
      </c>
      <c r="F459" t="s">
        <v>7</v>
      </c>
      <c r="G459" t="s">
        <v>8</v>
      </c>
      <c r="H459">
        <v>80000000</v>
      </c>
      <c r="I459">
        <v>6.6</v>
      </c>
      <c r="J459" t="s">
        <v>8533</v>
      </c>
    </row>
    <row r="460" spans="1:10" x14ac:dyDescent="0.3">
      <c r="A460">
        <v>118</v>
      </c>
      <c r="B460">
        <v>37899638</v>
      </c>
      <c r="C460" t="s">
        <v>1152</v>
      </c>
      <c r="D460" t="s">
        <v>1153</v>
      </c>
      <c r="E460" t="s">
        <v>1154</v>
      </c>
      <c r="F460" t="s">
        <v>7</v>
      </c>
      <c r="G460" t="s">
        <v>8</v>
      </c>
      <c r="H460">
        <v>88000000</v>
      </c>
      <c r="I460">
        <v>7.2</v>
      </c>
      <c r="J460" t="s">
        <v>8534</v>
      </c>
    </row>
    <row r="461" spans="1:10" x14ac:dyDescent="0.3">
      <c r="A461">
        <v>106</v>
      </c>
      <c r="B461">
        <v>37754208</v>
      </c>
      <c r="C461" t="s">
        <v>772</v>
      </c>
      <c r="D461" t="s">
        <v>1155</v>
      </c>
      <c r="E461" t="s">
        <v>1156</v>
      </c>
      <c r="F461" t="s">
        <v>7</v>
      </c>
      <c r="G461" t="s">
        <v>8</v>
      </c>
      <c r="H461">
        <v>70000000</v>
      </c>
      <c r="I461">
        <v>6.9</v>
      </c>
      <c r="J461" t="s">
        <v>8535</v>
      </c>
    </row>
    <row r="462" spans="1:10" x14ac:dyDescent="0.3">
      <c r="A462">
        <v>89</v>
      </c>
      <c r="B462">
        <v>38542418</v>
      </c>
      <c r="C462" t="s">
        <v>1157</v>
      </c>
      <c r="D462" t="s">
        <v>1158</v>
      </c>
      <c r="E462" t="s">
        <v>1159</v>
      </c>
      <c r="F462" t="s">
        <v>7</v>
      </c>
      <c r="G462" t="s">
        <v>8</v>
      </c>
      <c r="H462">
        <v>80000000</v>
      </c>
      <c r="I462">
        <v>5.2</v>
      </c>
      <c r="J462" t="s">
        <v>8536</v>
      </c>
    </row>
    <row r="463" spans="1:10" x14ac:dyDescent="0.3">
      <c r="A463">
        <v>145</v>
      </c>
      <c r="B463">
        <v>34566746</v>
      </c>
      <c r="C463" t="s">
        <v>1160</v>
      </c>
      <c r="D463" t="s">
        <v>1161</v>
      </c>
      <c r="E463" t="s">
        <v>1162</v>
      </c>
      <c r="F463" t="s">
        <v>7</v>
      </c>
      <c r="G463" t="s">
        <v>8</v>
      </c>
      <c r="H463">
        <v>80000000</v>
      </c>
      <c r="I463">
        <v>4.9000000000000004</v>
      </c>
      <c r="J463" t="s">
        <v>8449</v>
      </c>
    </row>
    <row r="464" spans="1:10" x14ac:dyDescent="0.3">
      <c r="A464">
        <v>114</v>
      </c>
      <c r="B464">
        <v>32885565</v>
      </c>
      <c r="C464" t="s">
        <v>263</v>
      </c>
      <c r="D464" t="s">
        <v>1163</v>
      </c>
      <c r="E464" t="s">
        <v>1164</v>
      </c>
      <c r="F464" t="s">
        <v>7</v>
      </c>
      <c r="G464" t="s">
        <v>8</v>
      </c>
      <c r="H464">
        <v>80000000</v>
      </c>
      <c r="I464">
        <v>6.3</v>
      </c>
      <c r="J464" t="s">
        <v>8537</v>
      </c>
    </row>
    <row r="465" spans="1:10" x14ac:dyDescent="0.3">
      <c r="A465">
        <v>87</v>
      </c>
      <c r="B465">
        <v>36073232</v>
      </c>
      <c r="C465" t="s">
        <v>1165</v>
      </c>
      <c r="D465" t="s">
        <v>1166</v>
      </c>
      <c r="E465" t="s">
        <v>1167</v>
      </c>
      <c r="F465" t="s">
        <v>7</v>
      </c>
      <c r="G465" t="s">
        <v>8</v>
      </c>
      <c r="H465">
        <v>80000000</v>
      </c>
      <c r="I465">
        <v>5.6</v>
      </c>
      <c r="J465" t="s">
        <v>8374</v>
      </c>
    </row>
    <row r="466" spans="1:10" x14ac:dyDescent="0.3">
      <c r="A466">
        <v>119</v>
      </c>
      <c r="B466">
        <v>21471685</v>
      </c>
      <c r="C466" t="s">
        <v>20</v>
      </c>
      <c r="D466" t="s">
        <v>1168</v>
      </c>
      <c r="E466" t="s">
        <v>1169</v>
      </c>
      <c r="F466" t="s">
        <v>7</v>
      </c>
      <c r="G466" t="s">
        <v>8</v>
      </c>
      <c r="H466">
        <v>44000000</v>
      </c>
      <c r="I466">
        <v>5.5</v>
      </c>
      <c r="J466" t="s">
        <v>8538</v>
      </c>
    </row>
    <row r="467" spans="1:10" x14ac:dyDescent="0.3">
      <c r="A467">
        <v>91</v>
      </c>
      <c r="B467">
        <v>20950820</v>
      </c>
      <c r="C467" t="s">
        <v>457</v>
      </c>
      <c r="D467" t="s">
        <v>1170</v>
      </c>
      <c r="E467" t="s">
        <v>1171</v>
      </c>
      <c r="F467" t="s">
        <v>7</v>
      </c>
      <c r="G467" t="s">
        <v>284</v>
      </c>
      <c r="H467">
        <v>80000000</v>
      </c>
      <c r="I467">
        <v>6.7</v>
      </c>
      <c r="J467" t="s">
        <v>8399</v>
      </c>
    </row>
    <row r="468" spans="1:10" x14ac:dyDescent="0.3">
      <c r="A468">
        <v>118</v>
      </c>
      <c r="B468">
        <v>19673424</v>
      </c>
      <c r="C468" t="s">
        <v>1172</v>
      </c>
      <c r="D468" t="s">
        <v>1173</v>
      </c>
      <c r="E468" t="s">
        <v>1174</v>
      </c>
      <c r="F468" t="s">
        <v>7</v>
      </c>
      <c r="G468" t="s">
        <v>8</v>
      </c>
      <c r="H468">
        <v>80000000</v>
      </c>
      <c r="I468">
        <v>7.6</v>
      </c>
      <c r="J468" t="s">
        <v>8344</v>
      </c>
    </row>
    <row r="469" spans="1:10" x14ac:dyDescent="0.3">
      <c r="A469">
        <v>116</v>
      </c>
      <c r="B469">
        <v>19480739</v>
      </c>
      <c r="C469" t="s">
        <v>20</v>
      </c>
      <c r="D469" t="s">
        <v>1175</v>
      </c>
      <c r="E469" t="s">
        <v>1176</v>
      </c>
      <c r="F469" t="s">
        <v>7</v>
      </c>
      <c r="G469" t="s">
        <v>8</v>
      </c>
      <c r="H469">
        <v>80000000</v>
      </c>
      <c r="I469">
        <v>5.7</v>
      </c>
      <c r="J469" t="s">
        <v>8539</v>
      </c>
    </row>
    <row r="470" spans="1:10" x14ac:dyDescent="0.3">
      <c r="A470">
        <v>177</v>
      </c>
      <c r="B470">
        <v>17593391</v>
      </c>
      <c r="C470" t="s">
        <v>210</v>
      </c>
      <c r="D470" t="s">
        <v>1177</v>
      </c>
      <c r="E470" t="s">
        <v>1178</v>
      </c>
      <c r="F470" t="s">
        <v>7</v>
      </c>
      <c r="G470" t="s">
        <v>8</v>
      </c>
      <c r="H470">
        <v>80000000</v>
      </c>
      <c r="I470">
        <v>4.5999999999999996</v>
      </c>
      <c r="J470" t="s">
        <v>8540</v>
      </c>
    </row>
    <row r="471" spans="1:10" x14ac:dyDescent="0.3">
      <c r="A471">
        <v>97</v>
      </c>
      <c r="B471">
        <v>18318000</v>
      </c>
      <c r="C471" t="s">
        <v>1011</v>
      </c>
      <c r="D471" t="s">
        <v>1179</v>
      </c>
      <c r="E471" t="s">
        <v>1180</v>
      </c>
      <c r="F471" t="s">
        <v>7</v>
      </c>
      <c r="G471" t="s">
        <v>132</v>
      </c>
      <c r="H471">
        <v>80000000</v>
      </c>
      <c r="I471">
        <v>7</v>
      </c>
      <c r="J471" t="s">
        <v>8541</v>
      </c>
    </row>
    <row r="472" spans="1:10" x14ac:dyDescent="0.3">
      <c r="A472">
        <v>106</v>
      </c>
      <c r="B472">
        <v>27356090</v>
      </c>
      <c r="C472" t="s">
        <v>9</v>
      </c>
      <c r="D472" t="s">
        <v>1181</v>
      </c>
      <c r="E472" t="s">
        <v>1182</v>
      </c>
      <c r="F472" t="s">
        <v>7</v>
      </c>
      <c r="G472" t="s">
        <v>8</v>
      </c>
      <c r="H472">
        <v>90000000</v>
      </c>
      <c r="I472">
        <v>5.2</v>
      </c>
      <c r="J472" t="s">
        <v>8451</v>
      </c>
    </row>
    <row r="473" spans="1:10" x14ac:dyDescent="0.3">
      <c r="A473">
        <v>106</v>
      </c>
      <c r="B473">
        <v>17473245</v>
      </c>
      <c r="C473" t="s">
        <v>1157</v>
      </c>
      <c r="D473" t="s">
        <v>1183</v>
      </c>
      <c r="E473" t="s">
        <v>1184</v>
      </c>
      <c r="F473" t="s">
        <v>7</v>
      </c>
      <c r="G473" t="s">
        <v>8</v>
      </c>
      <c r="H473">
        <v>70000000</v>
      </c>
      <c r="I473">
        <v>5.0999999999999996</v>
      </c>
      <c r="J473" t="s">
        <v>8542</v>
      </c>
    </row>
    <row r="474" spans="1:10" x14ac:dyDescent="0.3">
      <c r="A474">
        <v>94</v>
      </c>
      <c r="B474">
        <v>15131330</v>
      </c>
      <c r="C474" t="s">
        <v>230</v>
      </c>
      <c r="D474" t="s">
        <v>1185</v>
      </c>
      <c r="E474" t="s">
        <v>1186</v>
      </c>
      <c r="F474" t="s">
        <v>7</v>
      </c>
      <c r="G474" t="s">
        <v>583</v>
      </c>
      <c r="H474">
        <v>86000000</v>
      </c>
      <c r="I474">
        <v>6.6</v>
      </c>
      <c r="J474" t="s">
        <v>8543</v>
      </c>
    </row>
    <row r="475" spans="1:10" x14ac:dyDescent="0.3">
      <c r="A475">
        <v>104</v>
      </c>
      <c r="B475">
        <v>19406406</v>
      </c>
      <c r="C475" t="s">
        <v>1187</v>
      </c>
      <c r="D475" t="s">
        <v>1188</v>
      </c>
      <c r="E475" t="s">
        <v>1189</v>
      </c>
      <c r="F475" t="s">
        <v>582</v>
      </c>
      <c r="G475" t="s">
        <v>583</v>
      </c>
      <c r="H475">
        <v>40000000</v>
      </c>
      <c r="I475">
        <v>7</v>
      </c>
      <c r="J475" t="s">
        <v>8544</v>
      </c>
    </row>
    <row r="476" spans="1:10" x14ac:dyDescent="0.3">
      <c r="A476">
        <v>102</v>
      </c>
      <c r="B476">
        <v>1891821</v>
      </c>
      <c r="C476" t="s">
        <v>121</v>
      </c>
      <c r="D476" t="s">
        <v>1190</v>
      </c>
      <c r="E476" t="s">
        <v>1191</v>
      </c>
      <c r="F476" t="s">
        <v>7</v>
      </c>
      <c r="G476" t="s">
        <v>15</v>
      </c>
      <c r="H476">
        <v>52000000</v>
      </c>
      <c r="I476">
        <v>6.7</v>
      </c>
      <c r="J476" t="s">
        <v>8510</v>
      </c>
    </row>
    <row r="477" spans="1:10" x14ac:dyDescent="0.3">
      <c r="A477">
        <v>135</v>
      </c>
      <c r="B477">
        <v>170708996</v>
      </c>
      <c r="C477" t="s">
        <v>617</v>
      </c>
      <c r="D477" t="s">
        <v>1194</v>
      </c>
      <c r="E477" t="s">
        <v>1195</v>
      </c>
      <c r="F477" t="s">
        <v>7</v>
      </c>
      <c r="G477" t="s">
        <v>8</v>
      </c>
      <c r="H477">
        <v>58000000</v>
      </c>
      <c r="I477">
        <v>7.3</v>
      </c>
      <c r="J477" t="s">
        <v>8545</v>
      </c>
    </row>
    <row r="478" spans="1:10" x14ac:dyDescent="0.3">
      <c r="A478">
        <v>73</v>
      </c>
      <c r="B478">
        <v>422783777</v>
      </c>
      <c r="C478" t="s">
        <v>1196</v>
      </c>
      <c r="D478" t="s">
        <v>1197</v>
      </c>
      <c r="E478" t="s">
        <v>1198</v>
      </c>
      <c r="F478" t="s">
        <v>7</v>
      </c>
      <c r="G478" t="s">
        <v>8</v>
      </c>
      <c r="H478">
        <v>45000000</v>
      </c>
      <c r="I478">
        <v>5.9</v>
      </c>
      <c r="J478" t="s">
        <v>8388</v>
      </c>
    </row>
    <row r="479" spans="1:10" x14ac:dyDescent="0.3">
      <c r="A479">
        <v>94</v>
      </c>
      <c r="B479">
        <v>103812241</v>
      </c>
      <c r="C479" t="s">
        <v>53</v>
      </c>
      <c r="D479" t="s">
        <v>1199</v>
      </c>
      <c r="E479" t="s">
        <v>1200</v>
      </c>
      <c r="F479" t="s">
        <v>7</v>
      </c>
      <c r="G479" t="s">
        <v>8</v>
      </c>
      <c r="H479">
        <v>79000000</v>
      </c>
      <c r="I479">
        <v>5.6</v>
      </c>
      <c r="J479" t="s">
        <v>8477</v>
      </c>
    </row>
    <row r="480" spans="1:10" x14ac:dyDescent="0.3">
      <c r="A480">
        <v>95</v>
      </c>
      <c r="B480">
        <v>119793567</v>
      </c>
      <c r="C480" t="s">
        <v>1201</v>
      </c>
      <c r="D480" t="s">
        <v>1202</v>
      </c>
      <c r="E480" t="s">
        <v>1203</v>
      </c>
      <c r="F480" t="s">
        <v>7</v>
      </c>
      <c r="G480" t="s">
        <v>8</v>
      </c>
      <c r="H480">
        <v>78000000</v>
      </c>
      <c r="I480">
        <v>6.5</v>
      </c>
      <c r="J480" t="s">
        <v>8457</v>
      </c>
    </row>
    <row r="481" spans="1:10" x14ac:dyDescent="0.3">
      <c r="A481">
        <v>124</v>
      </c>
      <c r="B481">
        <v>92930005</v>
      </c>
      <c r="C481" t="s">
        <v>873</v>
      </c>
      <c r="D481" t="s">
        <v>1204</v>
      </c>
      <c r="E481" t="s">
        <v>1205</v>
      </c>
      <c r="F481" t="s">
        <v>7</v>
      </c>
      <c r="G481" t="s">
        <v>284</v>
      </c>
      <c r="H481">
        <v>78000000</v>
      </c>
      <c r="I481">
        <v>5.9</v>
      </c>
      <c r="J481" t="s">
        <v>8324</v>
      </c>
    </row>
    <row r="482" spans="1:10" x14ac:dyDescent="0.3">
      <c r="A482">
        <v>136</v>
      </c>
      <c r="B482">
        <v>67286731</v>
      </c>
      <c r="C482" t="s">
        <v>41</v>
      </c>
      <c r="D482" t="s">
        <v>1206</v>
      </c>
      <c r="E482" t="s">
        <v>1207</v>
      </c>
      <c r="F482" t="s">
        <v>7</v>
      </c>
      <c r="G482" t="s">
        <v>8</v>
      </c>
      <c r="H482">
        <v>100000000</v>
      </c>
      <c r="I482">
        <v>7</v>
      </c>
      <c r="J482" t="s">
        <v>8546</v>
      </c>
    </row>
    <row r="483" spans="1:10" x14ac:dyDescent="0.3">
      <c r="A483">
        <v>91</v>
      </c>
      <c r="B483">
        <v>74158157</v>
      </c>
      <c r="C483" t="s">
        <v>668</v>
      </c>
      <c r="D483" t="s">
        <v>1208</v>
      </c>
      <c r="E483" t="s">
        <v>1209</v>
      </c>
      <c r="F483" t="s">
        <v>7</v>
      </c>
      <c r="G483" t="s">
        <v>8</v>
      </c>
      <c r="H483">
        <v>79000000</v>
      </c>
      <c r="I483">
        <v>5.3</v>
      </c>
      <c r="J483" t="s">
        <v>8547</v>
      </c>
    </row>
    <row r="484" spans="1:10" x14ac:dyDescent="0.3">
      <c r="A484">
        <v>107</v>
      </c>
      <c r="B484">
        <v>127083765</v>
      </c>
      <c r="C484" t="s">
        <v>118</v>
      </c>
      <c r="D484" t="s">
        <v>1210</v>
      </c>
      <c r="E484" t="s">
        <v>1211</v>
      </c>
      <c r="F484" t="s">
        <v>7</v>
      </c>
      <c r="G484" t="s">
        <v>8</v>
      </c>
      <c r="H484">
        <v>76000000</v>
      </c>
      <c r="I484">
        <v>5.9</v>
      </c>
      <c r="J484" t="s">
        <v>8548</v>
      </c>
    </row>
    <row r="485" spans="1:10" x14ac:dyDescent="0.3">
      <c r="A485">
        <v>108</v>
      </c>
      <c r="B485">
        <v>1339152</v>
      </c>
      <c r="C485" t="s">
        <v>1212</v>
      </c>
      <c r="D485" t="s">
        <v>1213</v>
      </c>
      <c r="E485" t="s">
        <v>1214</v>
      </c>
      <c r="F485" t="s">
        <v>7</v>
      </c>
      <c r="G485" t="s">
        <v>583</v>
      </c>
      <c r="H485">
        <v>81200000</v>
      </c>
      <c r="I485">
        <v>6.3</v>
      </c>
      <c r="J485" t="s">
        <v>8318</v>
      </c>
    </row>
    <row r="486" spans="1:10" x14ac:dyDescent="0.3">
      <c r="A486">
        <v>99</v>
      </c>
      <c r="B486">
        <v>15071514</v>
      </c>
      <c r="C486" t="s">
        <v>1215</v>
      </c>
      <c r="D486" t="s">
        <v>1216</v>
      </c>
      <c r="E486" t="s">
        <v>1217</v>
      </c>
      <c r="F486" t="s">
        <v>7</v>
      </c>
      <c r="G486" t="s">
        <v>8</v>
      </c>
      <c r="H486">
        <v>80000000</v>
      </c>
      <c r="I486">
        <v>6.4</v>
      </c>
      <c r="J486" t="s">
        <v>8549</v>
      </c>
    </row>
    <row r="487" spans="1:10" x14ac:dyDescent="0.3">
      <c r="A487">
        <v>92</v>
      </c>
      <c r="B487">
        <v>26000610</v>
      </c>
      <c r="C487" t="s">
        <v>96</v>
      </c>
      <c r="D487" t="s">
        <v>1218</v>
      </c>
      <c r="E487" t="s">
        <v>1219</v>
      </c>
      <c r="F487" t="s">
        <v>7</v>
      </c>
      <c r="G487" t="s">
        <v>8</v>
      </c>
      <c r="H487">
        <v>76000000</v>
      </c>
      <c r="I487">
        <v>6.9</v>
      </c>
      <c r="J487" t="s">
        <v>8392</v>
      </c>
    </row>
    <row r="488" spans="1:10" x14ac:dyDescent="0.3">
      <c r="A488">
        <v>87</v>
      </c>
      <c r="B488">
        <v>323505540</v>
      </c>
      <c r="C488" t="s">
        <v>1220</v>
      </c>
      <c r="D488" t="s">
        <v>1221</v>
      </c>
      <c r="E488" t="s">
        <v>1222</v>
      </c>
      <c r="F488" t="s">
        <v>7</v>
      </c>
      <c r="G488" t="s">
        <v>248</v>
      </c>
      <c r="H488">
        <v>75000000</v>
      </c>
      <c r="I488">
        <v>6.3</v>
      </c>
      <c r="J488" t="s">
        <v>8359</v>
      </c>
    </row>
    <row r="489" spans="1:10" x14ac:dyDescent="0.3">
      <c r="A489">
        <v>110</v>
      </c>
      <c r="B489">
        <v>66462600</v>
      </c>
      <c r="C489" t="s">
        <v>4</v>
      </c>
      <c r="D489" t="s">
        <v>1223</v>
      </c>
      <c r="E489" t="s">
        <v>1224</v>
      </c>
      <c r="F489" t="s">
        <v>7</v>
      </c>
      <c r="G489" t="s">
        <v>8</v>
      </c>
      <c r="H489">
        <v>78000000</v>
      </c>
      <c r="I489">
        <v>7.3</v>
      </c>
      <c r="J489" t="s">
        <v>8439</v>
      </c>
    </row>
    <row r="490" spans="1:10" x14ac:dyDescent="0.3">
      <c r="A490">
        <v>98</v>
      </c>
      <c r="B490">
        <v>368049635</v>
      </c>
      <c r="C490" t="s">
        <v>862</v>
      </c>
      <c r="D490" t="s">
        <v>1225</v>
      </c>
      <c r="E490" t="s">
        <v>1226</v>
      </c>
      <c r="F490" t="s">
        <v>7</v>
      </c>
      <c r="G490" t="s">
        <v>8</v>
      </c>
      <c r="H490">
        <v>76000000</v>
      </c>
      <c r="I490">
        <v>5.8</v>
      </c>
      <c r="J490" t="s">
        <v>8343</v>
      </c>
    </row>
    <row r="491" spans="1:10" x14ac:dyDescent="0.3">
      <c r="A491">
        <v>154</v>
      </c>
      <c r="B491">
        <v>306124059</v>
      </c>
      <c r="C491" t="s">
        <v>20</v>
      </c>
      <c r="D491" t="s">
        <v>1227</v>
      </c>
      <c r="E491" t="s">
        <v>1228</v>
      </c>
      <c r="F491" t="s">
        <v>7</v>
      </c>
      <c r="G491" t="s">
        <v>8</v>
      </c>
      <c r="H491">
        <v>75000000</v>
      </c>
      <c r="I491">
        <v>5.2</v>
      </c>
      <c r="J491" t="s">
        <v>8550</v>
      </c>
    </row>
    <row r="492" spans="1:10" x14ac:dyDescent="0.3">
      <c r="A492">
        <v>129</v>
      </c>
      <c r="B492">
        <v>229074524</v>
      </c>
      <c r="C492" t="s">
        <v>20</v>
      </c>
      <c r="D492" t="s">
        <v>1229</v>
      </c>
      <c r="E492" t="s">
        <v>1230</v>
      </c>
      <c r="F492" t="s">
        <v>7</v>
      </c>
      <c r="G492" t="s">
        <v>8</v>
      </c>
      <c r="H492">
        <v>73000000</v>
      </c>
      <c r="I492">
        <v>2.4</v>
      </c>
      <c r="J492" t="s">
        <v>8551</v>
      </c>
    </row>
    <row r="493" spans="1:10" x14ac:dyDescent="0.3">
      <c r="A493">
        <v>86</v>
      </c>
      <c r="B493">
        <v>193136719</v>
      </c>
      <c r="C493" t="s">
        <v>167</v>
      </c>
      <c r="D493" t="s">
        <v>1231</v>
      </c>
      <c r="E493" t="s">
        <v>1232</v>
      </c>
      <c r="F493" t="s">
        <v>7</v>
      </c>
      <c r="G493" t="s">
        <v>8</v>
      </c>
      <c r="H493">
        <v>75000000</v>
      </c>
      <c r="I493">
        <v>5.7</v>
      </c>
      <c r="J493" t="s">
        <v>8552</v>
      </c>
    </row>
    <row r="494" spans="1:10" x14ac:dyDescent="0.3">
      <c r="A494">
        <v>109</v>
      </c>
      <c r="B494">
        <v>35286428</v>
      </c>
      <c r="C494" t="s">
        <v>1110</v>
      </c>
      <c r="D494" t="s">
        <v>1233</v>
      </c>
      <c r="E494" t="s">
        <v>1234</v>
      </c>
      <c r="F494" t="s">
        <v>7</v>
      </c>
      <c r="G494" t="s">
        <v>8</v>
      </c>
      <c r="H494">
        <v>76000000</v>
      </c>
      <c r="I494">
        <v>5.8</v>
      </c>
      <c r="J494" t="s">
        <v>8308</v>
      </c>
    </row>
    <row r="495" spans="1:10" x14ac:dyDescent="0.3">
      <c r="A495">
        <v>104</v>
      </c>
      <c r="B495">
        <v>157299717</v>
      </c>
      <c r="C495" t="s">
        <v>20</v>
      </c>
      <c r="D495" t="s">
        <v>1235</v>
      </c>
      <c r="E495" t="s">
        <v>1236</v>
      </c>
      <c r="F495" t="s">
        <v>7</v>
      </c>
      <c r="G495" t="s">
        <v>8</v>
      </c>
      <c r="H495">
        <v>75000000</v>
      </c>
      <c r="I495">
        <v>5.6</v>
      </c>
      <c r="J495" t="s">
        <v>8399</v>
      </c>
    </row>
    <row r="496" spans="1:10" x14ac:dyDescent="0.3">
      <c r="A496">
        <v>110</v>
      </c>
      <c r="B496">
        <v>134568845</v>
      </c>
      <c r="C496" t="s">
        <v>1237</v>
      </c>
      <c r="D496" t="s">
        <v>1238</v>
      </c>
      <c r="E496" t="s">
        <v>1239</v>
      </c>
      <c r="F496" t="s">
        <v>7</v>
      </c>
      <c r="G496" t="s">
        <v>8</v>
      </c>
      <c r="H496">
        <v>75000000</v>
      </c>
      <c r="I496">
        <v>6</v>
      </c>
      <c r="J496" t="s">
        <v>8553</v>
      </c>
    </row>
    <row r="497" spans="1:10" x14ac:dyDescent="0.3">
      <c r="A497">
        <v>136</v>
      </c>
      <c r="B497">
        <v>134006721</v>
      </c>
      <c r="C497" t="s">
        <v>12</v>
      </c>
      <c r="D497" t="s">
        <v>1240</v>
      </c>
      <c r="E497" t="s">
        <v>1241</v>
      </c>
      <c r="F497" t="s">
        <v>7</v>
      </c>
      <c r="G497" t="s">
        <v>8</v>
      </c>
      <c r="H497">
        <v>75000000</v>
      </c>
      <c r="I497">
        <v>5.8</v>
      </c>
      <c r="J497" t="s">
        <v>8377</v>
      </c>
    </row>
    <row r="498" spans="1:10" x14ac:dyDescent="0.3">
      <c r="A498">
        <v>115</v>
      </c>
      <c r="B498">
        <v>195329763</v>
      </c>
      <c r="C498" t="s">
        <v>399</v>
      </c>
      <c r="D498" t="s">
        <v>1242</v>
      </c>
      <c r="E498" t="s">
        <v>1243</v>
      </c>
      <c r="F498" t="s">
        <v>7</v>
      </c>
      <c r="G498" t="s">
        <v>8</v>
      </c>
      <c r="H498">
        <v>80000000</v>
      </c>
      <c r="I498">
        <v>6</v>
      </c>
      <c r="J498" t="s">
        <v>8402</v>
      </c>
    </row>
    <row r="499" spans="1:10" x14ac:dyDescent="0.3">
      <c r="A499">
        <v>99</v>
      </c>
      <c r="B499">
        <v>120776832</v>
      </c>
      <c r="C499" t="s">
        <v>672</v>
      </c>
      <c r="D499" t="s">
        <v>1244</v>
      </c>
      <c r="E499" t="s">
        <v>1245</v>
      </c>
      <c r="F499" t="s">
        <v>7</v>
      </c>
      <c r="G499" t="s">
        <v>8</v>
      </c>
      <c r="H499">
        <v>75000000</v>
      </c>
      <c r="I499">
        <v>5.7</v>
      </c>
      <c r="J499" t="s">
        <v>8554</v>
      </c>
    </row>
    <row r="500" spans="1:10" x14ac:dyDescent="0.3">
      <c r="A500">
        <v>117</v>
      </c>
      <c r="B500">
        <v>118823091</v>
      </c>
      <c r="C500" t="s">
        <v>1246</v>
      </c>
      <c r="D500" t="s">
        <v>1247</v>
      </c>
      <c r="E500" t="s">
        <v>1248</v>
      </c>
      <c r="F500" t="s">
        <v>7</v>
      </c>
      <c r="G500" t="s">
        <v>8</v>
      </c>
      <c r="H500">
        <v>75000000</v>
      </c>
      <c r="I500">
        <v>6</v>
      </c>
      <c r="J500" t="s">
        <v>8484</v>
      </c>
    </row>
    <row r="501" spans="1:10" x14ac:dyDescent="0.3">
      <c r="A501">
        <v>125</v>
      </c>
      <c r="B501">
        <v>41814863</v>
      </c>
      <c r="C501" t="s">
        <v>1249</v>
      </c>
      <c r="D501" t="s">
        <v>1250</v>
      </c>
      <c r="E501" t="s">
        <v>1251</v>
      </c>
      <c r="F501" t="s">
        <v>7</v>
      </c>
      <c r="G501" t="s">
        <v>8</v>
      </c>
      <c r="H501">
        <v>50000000</v>
      </c>
      <c r="I501">
        <v>7.8</v>
      </c>
      <c r="J501" t="s">
        <v>8555</v>
      </c>
    </row>
    <row r="502" spans="1:10" x14ac:dyDescent="0.3">
      <c r="A502">
        <v>110</v>
      </c>
      <c r="B502">
        <v>97360069</v>
      </c>
      <c r="C502" t="s">
        <v>1252</v>
      </c>
      <c r="D502" t="s">
        <v>1253</v>
      </c>
      <c r="E502" t="s">
        <v>1254</v>
      </c>
      <c r="F502" t="s">
        <v>7</v>
      </c>
      <c r="G502" t="s">
        <v>8</v>
      </c>
      <c r="H502">
        <v>75000000</v>
      </c>
      <c r="I502">
        <v>4.2</v>
      </c>
      <c r="J502" t="s">
        <v>8470</v>
      </c>
    </row>
    <row r="503" spans="1:10" x14ac:dyDescent="0.3">
      <c r="A503">
        <v>125</v>
      </c>
      <c r="B503">
        <v>117698894</v>
      </c>
      <c r="C503" t="s">
        <v>915</v>
      </c>
      <c r="D503" t="s">
        <v>1255</v>
      </c>
      <c r="E503" t="s">
        <v>1256</v>
      </c>
      <c r="F503" t="s">
        <v>7</v>
      </c>
      <c r="G503" t="s">
        <v>8</v>
      </c>
      <c r="H503">
        <v>75000000</v>
      </c>
      <c r="I503">
        <v>5.6</v>
      </c>
      <c r="J503" t="s">
        <v>8509</v>
      </c>
    </row>
    <row r="504" spans="1:10" x14ac:dyDescent="0.3">
      <c r="A504">
        <v>102</v>
      </c>
      <c r="B504">
        <v>162001186</v>
      </c>
      <c r="C504" t="s">
        <v>668</v>
      </c>
      <c r="D504" t="s">
        <v>1257</v>
      </c>
      <c r="E504" t="s">
        <v>1258</v>
      </c>
      <c r="F504" t="s">
        <v>7</v>
      </c>
      <c r="G504" t="s">
        <v>8</v>
      </c>
      <c r="H504">
        <v>80000000</v>
      </c>
      <c r="I504">
        <v>4.4000000000000004</v>
      </c>
      <c r="J504" t="s">
        <v>8556</v>
      </c>
    </row>
    <row r="505" spans="1:10" x14ac:dyDescent="0.3">
      <c r="A505">
        <v>128</v>
      </c>
      <c r="B505">
        <v>77032279</v>
      </c>
      <c r="C505" t="s">
        <v>1040</v>
      </c>
      <c r="D505" t="s">
        <v>1259</v>
      </c>
      <c r="E505" t="s">
        <v>1260</v>
      </c>
      <c r="F505" t="s">
        <v>7</v>
      </c>
      <c r="G505" t="s">
        <v>8</v>
      </c>
      <c r="H505">
        <v>60000000</v>
      </c>
      <c r="I505">
        <v>8.1999999999999993</v>
      </c>
      <c r="J505" t="s">
        <v>8378</v>
      </c>
    </row>
    <row r="506" spans="1:10" x14ac:dyDescent="0.3">
      <c r="A506">
        <v>100</v>
      </c>
      <c r="B506">
        <v>73023275</v>
      </c>
      <c r="C506" t="s">
        <v>1261</v>
      </c>
      <c r="D506" t="s">
        <v>1262</v>
      </c>
      <c r="E506" t="s">
        <v>1263</v>
      </c>
      <c r="F506" t="s">
        <v>7</v>
      </c>
      <c r="G506" t="s">
        <v>8</v>
      </c>
      <c r="H506">
        <v>35000000</v>
      </c>
      <c r="I506">
        <v>8.5</v>
      </c>
      <c r="J506" t="s">
        <v>8514</v>
      </c>
    </row>
    <row r="507" spans="1:10" x14ac:dyDescent="0.3">
      <c r="A507">
        <v>124</v>
      </c>
      <c r="B507">
        <v>68473360</v>
      </c>
      <c r="C507" t="s">
        <v>263</v>
      </c>
      <c r="D507" t="s">
        <v>1264</v>
      </c>
      <c r="E507" t="s">
        <v>1265</v>
      </c>
      <c r="F507" t="s">
        <v>7</v>
      </c>
      <c r="G507" t="s">
        <v>8</v>
      </c>
      <c r="H507">
        <v>75000000</v>
      </c>
      <c r="I507">
        <v>5.8</v>
      </c>
      <c r="J507" t="s">
        <v>8442</v>
      </c>
    </row>
    <row r="508" spans="1:10" x14ac:dyDescent="0.3">
      <c r="A508">
        <v>102</v>
      </c>
      <c r="B508">
        <v>66636385</v>
      </c>
      <c r="C508" t="s">
        <v>1266</v>
      </c>
      <c r="D508" t="s">
        <v>1267</v>
      </c>
      <c r="E508" t="s">
        <v>1268</v>
      </c>
      <c r="F508" t="s">
        <v>7</v>
      </c>
      <c r="G508" t="s">
        <v>8</v>
      </c>
      <c r="H508">
        <v>75000000</v>
      </c>
      <c r="I508">
        <v>6.5</v>
      </c>
      <c r="J508" t="s">
        <v>8557</v>
      </c>
    </row>
    <row r="509" spans="1:10" x14ac:dyDescent="0.3">
      <c r="A509">
        <v>90</v>
      </c>
      <c r="B509">
        <v>160762022</v>
      </c>
      <c r="C509" t="s">
        <v>167</v>
      </c>
      <c r="D509" t="s">
        <v>1269</v>
      </c>
      <c r="E509" t="s">
        <v>1270</v>
      </c>
      <c r="F509" t="s">
        <v>7</v>
      </c>
      <c r="G509" t="s">
        <v>8</v>
      </c>
      <c r="H509">
        <v>75000000</v>
      </c>
      <c r="I509">
        <v>7.2</v>
      </c>
      <c r="J509" t="s">
        <v>8319</v>
      </c>
    </row>
    <row r="510" spans="1:10" x14ac:dyDescent="0.3">
      <c r="A510">
        <v>130</v>
      </c>
      <c r="B510">
        <v>103338338</v>
      </c>
      <c r="C510" t="s">
        <v>1271</v>
      </c>
      <c r="D510" t="s">
        <v>1272</v>
      </c>
      <c r="E510" t="s">
        <v>1273</v>
      </c>
      <c r="F510" t="s">
        <v>7</v>
      </c>
      <c r="G510" t="s">
        <v>8</v>
      </c>
      <c r="H510">
        <v>70000000</v>
      </c>
      <c r="I510">
        <v>6.7</v>
      </c>
      <c r="J510" t="s">
        <v>8384</v>
      </c>
    </row>
    <row r="511" spans="1:10" x14ac:dyDescent="0.3">
      <c r="A511">
        <v>118</v>
      </c>
      <c r="B511">
        <v>55808744</v>
      </c>
      <c r="C511" t="s">
        <v>1275</v>
      </c>
      <c r="D511" t="s">
        <v>1276</v>
      </c>
      <c r="E511" t="s">
        <v>1277</v>
      </c>
      <c r="F511" t="s">
        <v>7</v>
      </c>
      <c r="G511" t="s">
        <v>8</v>
      </c>
      <c r="H511">
        <v>53000000</v>
      </c>
      <c r="I511">
        <v>3.4</v>
      </c>
      <c r="J511" t="s">
        <v>8499</v>
      </c>
    </row>
    <row r="512" spans="1:10" x14ac:dyDescent="0.3">
      <c r="A512">
        <v>163</v>
      </c>
      <c r="B512">
        <v>47379090</v>
      </c>
      <c r="C512" t="s">
        <v>1160</v>
      </c>
      <c r="D512" t="s">
        <v>1278</v>
      </c>
      <c r="E512" t="s">
        <v>1279</v>
      </c>
      <c r="F512" t="s">
        <v>7</v>
      </c>
      <c r="G512" t="s">
        <v>583</v>
      </c>
      <c r="H512">
        <v>70000000</v>
      </c>
      <c r="I512">
        <v>5.9</v>
      </c>
      <c r="J512" t="s">
        <v>8558</v>
      </c>
    </row>
    <row r="513" spans="1:10" x14ac:dyDescent="0.3">
      <c r="A513">
        <v>142</v>
      </c>
      <c r="B513">
        <v>43426961</v>
      </c>
      <c r="C513" t="s">
        <v>775</v>
      </c>
      <c r="D513" t="s">
        <v>1280</v>
      </c>
      <c r="E513" t="s">
        <v>1281</v>
      </c>
      <c r="F513" t="s">
        <v>7</v>
      </c>
      <c r="G513" t="s">
        <v>8</v>
      </c>
      <c r="H513">
        <v>70000000</v>
      </c>
      <c r="I513">
        <v>7.8</v>
      </c>
      <c r="J513" t="s">
        <v>8410</v>
      </c>
    </row>
    <row r="514" spans="1:10" x14ac:dyDescent="0.3">
      <c r="A514">
        <v>100</v>
      </c>
      <c r="B514">
        <v>47000485</v>
      </c>
      <c r="C514" t="s">
        <v>1282</v>
      </c>
      <c r="D514" t="s">
        <v>1283</v>
      </c>
      <c r="E514" t="s">
        <v>1284</v>
      </c>
      <c r="F514" t="s">
        <v>7</v>
      </c>
      <c r="G514" t="s">
        <v>8</v>
      </c>
      <c r="H514">
        <v>75000000</v>
      </c>
      <c r="I514">
        <v>5.9</v>
      </c>
      <c r="J514" t="s">
        <v>8559</v>
      </c>
    </row>
    <row r="515" spans="1:10" x14ac:dyDescent="0.3">
      <c r="A515">
        <v>116</v>
      </c>
      <c r="B515">
        <v>45434443</v>
      </c>
      <c r="C515" t="s">
        <v>650</v>
      </c>
      <c r="D515" t="s">
        <v>1285</v>
      </c>
      <c r="E515" t="s">
        <v>1286</v>
      </c>
      <c r="F515" t="s">
        <v>7</v>
      </c>
      <c r="G515" t="s">
        <v>8</v>
      </c>
      <c r="H515">
        <v>75000000</v>
      </c>
      <c r="I515">
        <v>4.0999999999999996</v>
      </c>
      <c r="J515" t="s">
        <v>8560</v>
      </c>
    </row>
    <row r="516" spans="1:10" x14ac:dyDescent="0.3">
      <c r="A516">
        <v>131</v>
      </c>
      <c r="B516">
        <v>42044321</v>
      </c>
      <c r="C516" t="s">
        <v>561</v>
      </c>
      <c r="D516" t="s">
        <v>1287</v>
      </c>
      <c r="E516" t="s">
        <v>1288</v>
      </c>
      <c r="F516" t="s">
        <v>7</v>
      </c>
      <c r="G516" t="s">
        <v>8</v>
      </c>
      <c r="H516">
        <v>80000000</v>
      </c>
      <c r="I516">
        <v>6.8</v>
      </c>
      <c r="J516" t="s">
        <v>8561</v>
      </c>
    </row>
    <row r="517" spans="1:10" x14ac:dyDescent="0.3">
      <c r="A517">
        <v>91</v>
      </c>
      <c r="B517">
        <v>73661010</v>
      </c>
      <c r="C517" t="s">
        <v>1289</v>
      </c>
      <c r="D517" t="s">
        <v>1290</v>
      </c>
      <c r="E517" t="s">
        <v>1291</v>
      </c>
      <c r="F517" t="s">
        <v>7</v>
      </c>
      <c r="G517" t="s">
        <v>8</v>
      </c>
      <c r="H517">
        <v>75000000</v>
      </c>
      <c r="I517">
        <v>5.8</v>
      </c>
      <c r="J517" t="s">
        <v>8562</v>
      </c>
    </row>
    <row r="518" spans="1:10" x14ac:dyDescent="0.3">
      <c r="A518">
        <v>123</v>
      </c>
      <c r="B518">
        <v>41523271</v>
      </c>
      <c r="C518" t="s">
        <v>1292</v>
      </c>
      <c r="D518" t="s">
        <v>1293</v>
      </c>
      <c r="E518" t="s">
        <v>1294</v>
      </c>
      <c r="F518" t="s">
        <v>7</v>
      </c>
      <c r="G518" t="s">
        <v>8</v>
      </c>
      <c r="H518">
        <v>80000000</v>
      </c>
      <c r="I518">
        <v>7.5</v>
      </c>
      <c r="J518" t="s">
        <v>8563</v>
      </c>
    </row>
    <row r="519" spans="1:10" x14ac:dyDescent="0.3">
      <c r="A519">
        <v>134</v>
      </c>
      <c r="B519">
        <v>37600435</v>
      </c>
      <c r="C519" t="s">
        <v>1295</v>
      </c>
      <c r="D519" t="s">
        <v>1296</v>
      </c>
      <c r="E519" t="s">
        <v>1297</v>
      </c>
      <c r="F519" t="s">
        <v>7</v>
      </c>
      <c r="G519" t="s">
        <v>8</v>
      </c>
      <c r="H519">
        <v>55000000</v>
      </c>
      <c r="I519">
        <v>6.9</v>
      </c>
      <c r="J519" t="s">
        <v>8336</v>
      </c>
    </row>
    <row r="520" spans="1:10" x14ac:dyDescent="0.3">
      <c r="A520">
        <v>148</v>
      </c>
      <c r="B520">
        <v>39251128</v>
      </c>
      <c r="C520" t="s">
        <v>1298</v>
      </c>
      <c r="D520" t="s">
        <v>1299</v>
      </c>
      <c r="E520" t="s">
        <v>1300</v>
      </c>
      <c r="F520" t="s">
        <v>7</v>
      </c>
      <c r="G520" t="s">
        <v>8</v>
      </c>
      <c r="H520">
        <v>75000000</v>
      </c>
      <c r="I520">
        <v>6.5</v>
      </c>
      <c r="J520" t="s">
        <v>8332</v>
      </c>
    </row>
    <row r="521" spans="1:10" x14ac:dyDescent="0.3">
      <c r="A521">
        <v>110</v>
      </c>
      <c r="B521">
        <v>83503161</v>
      </c>
      <c r="C521" t="s">
        <v>1301</v>
      </c>
      <c r="D521" t="s">
        <v>1302</v>
      </c>
      <c r="E521" t="s">
        <v>1303</v>
      </c>
      <c r="F521" t="s">
        <v>7</v>
      </c>
      <c r="G521" t="s">
        <v>8</v>
      </c>
      <c r="H521">
        <v>75000000</v>
      </c>
      <c r="I521">
        <v>6.9</v>
      </c>
      <c r="J521" t="s">
        <v>8373</v>
      </c>
    </row>
    <row r="522" spans="1:10" x14ac:dyDescent="0.3">
      <c r="A522">
        <v>113</v>
      </c>
      <c r="B522">
        <v>34636443</v>
      </c>
      <c r="C522" t="s">
        <v>436</v>
      </c>
      <c r="D522" t="s">
        <v>1304</v>
      </c>
      <c r="E522" t="s">
        <v>1305</v>
      </c>
      <c r="F522" t="s">
        <v>7</v>
      </c>
      <c r="G522" t="s">
        <v>8</v>
      </c>
      <c r="H522">
        <v>52000000</v>
      </c>
      <c r="I522">
        <v>7.9</v>
      </c>
      <c r="J522" t="s">
        <v>8415</v>
      </c>
    </row>
    <row r="523" spans="1:10" x14ac:dyDescent="0.3">
      <c r="A523">
        <v>94</v>
      </c>
      <c r="B523">
        <v>22751979</v>
      </c>
      <c r="C523" t="s">
        <v>1306</v>
      </c>
      <c r="D523" t="s">
        <v>1307</v>
      </c>
      <c r="E523" t="s">
        <v>1308</v>
      </c>
      <c r="F523" t="s">
        <v>7</v>
      </c>
      <c r="G523" t="s">
        <v>8</v>
      </c>
      <c r="H523">
        <v>75000000</v>
      </c>
      <c r="I523">
        <v>7.4</v>
      </c>
      <c r="J523" t="s">
        <v>8305</v>
      </c>
    </row>
    <row r="524" spans="1:10" x14ac:dyDescent="0.3">
      <c r="A524">
        <v>116</v>
      </c>
      <c r="B524">
        <v>30013346</v>
      </c>
      <c r="C524" t="s">
        <v>148</v>
      </c>
      <c r="D524" t="s">
        <v>1309</v>
      </c>
      <c r="E524" t="s">
        <v>1310</v>
      </c>
      <c r="F524" t="s">
        <v>7</v>
      </c>
      <c r="G524" t="s">
        <v>8</v>
      </c>
      <c r="H524">
        <v>75000000</v>
      </c>
      <c r="I524">
        <v>6.7</v>
      </c>
      <c r="J524" t="s">
        <v>8497</v>
      </c>
    </row>
    <row r="525" spans="1:10" x14ac:dyDescent="0.3">
      <c r="A525">
        <v>99</v>
      </c>
      <c r="B525">
        <v>14567883</v>
      </c>
      <c r="C525" t="s">
        <v>1311</v>
      </c>
      <c r="D525" t="s">
        <v>1312</v>
      </c>
      <c r="E525" t="s">
        <v>1313</v>
      </c>
      <c r="F525" t="s">
        <v>7</v>
      </c>
      <c r="G525" t="s">
        <v>15</v>
      </c>
      <c r="H525">
        <v>75000000</v>
      </c>
      <c r="I525">
        <v>7.4</v>
      </c>
      <c r="J525" t="s">
        <v>8321</v>
      </c>
    </row>
    <row r="526" spans="1:10" x14ac:dyDescent="0.3">
      <c r="A526">
        <v>93</v>
      </c>
      <c r="B526">
        <v>5409517</v>
      </c>
      <c r="C526" t="s">
        <v>1315</v>
      </c>
      <c r="D526" t="s">
        <v>1316</v>
      </c>
      <c r="E526" t="s">
        <v>1317</v>
      </c>
      <c r="F526" t="s">
        <v>7</v>
      </c>
      <c r="G526" t="s">
        <v>8</v>
      </c>
      <c r="H526">
        <v>75000000</v>
      </c>
      <c r="I526">
        <v>6.9</v>
      </c>
      <c r="J526" t="s">
        <v>8421</v>
      </c>
    </row>
    <row r="527" spans="1:10" x14ac:dyDescent="0.3">
      <c r="A527">
        <v>113</v>
      </c>
      <c r="B527">
        <v>21009180</v>
      </c>
      <c r="C527" t="s">
        <v>263</v>
      </c>
      <c r="D527" t="s">
        <v>1318</v>
      </c>
      <c r="E527" t="s">
        <v>1319</v>
      </c>
      <c r="F527" t="s">
        <v>7</v>
      </c>
      <c r="G527" t="s">
        <v>8</v>
      </c>
      <c r="H527">
        <v>45000000</v>
      </c>
      <c r="I527">
        <v>6.8</v>
      </c>
      <c r="J527" t="s">
        <v>8524</v>
      </c>
    </row>
    <row r="528" spans="1:10" x14ac:dyDescent="0.3">
      <c r="A528">
        <v>106</v>
      </c>
      <c r="B528">
        <v>94999143</v>
      </c>
      <c r="C528" t="s">
        <v>909</v>
      </c>
      <c r="D528" t="s">
        <v>1320</v>
      </c>
      <c r="E528" t="s">
        <v>1321</v>
      </c>
      <c r="F528" t="s">
        <v>7</v>
      </c>
      <c r="G528" t="s">
        <v>8</v>
      </c>
      <c r="H528">
        <v>75000000</v>
      </c>
      <c r="I528">
        <v>6.7</v>
      </c>
      <c r="J528" t="s">
        <v>8532</v>
      </c>
    </row>
    <row r="529" spans="1:10" x14ac:dyDescent="0.3">
      <c r="A529">
        <v>91</v>
      </c>
      <c r="B529">
        <v>336029560</v>
      </c>
      <c r="C529" t="s">
        <v>487</v>
      </c>
      <c r="D529" t="s">
        <v>1322</v>
      </c>
      <c r="E529" t="s">
        <v>1323</v>
      </c>
      <c r="F529" t="s">
        <v>7</v>
      </c>
      <c r="G529" t="s">
        <v>8</v>
      </c>
      <c r="H529">
        <v>74000000</v>
      </c>
      <c r="I529">
        <v>5.0999999999999996</v>
      </c>
      <c r="J529" t="s">
        <v>8493</v>
      </c>
    </row>
    <row r="530" spans="1:10" x14ac:dyDescent="0.3">
      <c r="A530">
        <v>128</v>
      </c>
      <c r="B530">
        <v>36381716</v>
      </c>
      <c r="C530" t="s">
        <v>484</v>
      </c>
      <c r="D530" t="s">
        <v>1324</v>
      </c>
      <c r="E530" t="s">
        <v>1325</v>
      </c>
      <c r="F530" t="s">
        <v>7</v>
      </c>
      <c r="G530" t="s">
        <v>8</v>
      </c>
      <c r="H530">
        <v>82000000</v>
      </c>
      <c r="I530">
        <v>4.0999999999999996</v>
      </c>
      <c r="J530" t="s">
        <v>8564</v>
      </c>
    </row>
    <row r="531" spans="1:10" x14ac:dyDescent="0.3">
      <c r="A531">
        <v>98</v>
      </c>
      <c r="B531">
        <v>55585389</v>
      </c>
      <c r="C531" t="s">
        <v>915</v>
      </c>
      <c r="D531" t="s">
        <v>1326</v>
      </c>
      <c r="E531" t="s">
        <v>1327</v>
      </c>
      <c r="F531" t="s">
        <v>7</v>
      </c>
      <c r="G531" t="s">
        <v>8</v>
      </c>
      <c r="H531">
        <v>69000000</v>
      </c>
      <c r="I531">
        <v>7.3</v>
      </c>
      <c r="J531" t="s">
        <v>8406</v>
      </c>
    </row>
    <row r="532" spans="1:10" x14ac:dyDescent="0.3">
      <c r="A532">
        <v>134</v>
      </c>
      <c r="B532">
        <v>36976367</v>
      </c>
      <c r="C532" t="s">
        <v>909</v>
      </c>
      <c r="D532" t="s">
        <v>1328</v>
      </c>
      <c r="E532" t="s">
        <v>1329</v>
      </c>
      <c r="F532" t="s">
        <v>7</v>
      </c>
      <c r="G532" t="s">
        <v>8</v>
      </c>
      <c r="H532">
        <v>75000000</v>
      </c>
      <c r="I532">
        <v>6</v>
      </c>
      <c r="J532" t="s">
        <v>8499</v>
      </c>
    </row>
    <row r="533" spans="1:10" x14ac:dyDescent="0.3">
      <c r="A533">
        <v>97</v>
      </c>
      <c r="B533">
        <v>107225164</v>
      </c>
      <c r="C533" t="s">
        <v>1330</v>
      </c>
      <c r="D533" t="s">
        <v>1331</v>
      </c>
      <c r="E533" t="s">
        <v>1332</v>
      </c>
      <c r="F533" t="s">
        <v>7</v>
      </c>
      <c r="G533" t="s">
        <v>8</v>
      </c>
      <c r="H533">
        <v>73000000</v>
      </c>
      <c r="I533">
        <v>7.3</v>
      </c>
      <c r="J533" t="s">
        <v>8332</v>
      </c>
    </row>
    <row r="534" spans="1:10" x14ac:dyDescent="0.3">
      <c r="A534">
        <v>153</v>
      </c>
      <c r="B534">
        <v>51814190</v>
      </c>
      <c r="C534" t="s">
        <v>1040</v>
      </c>
      <c r="D534" t="s">
        <v>1333</v>
      </c>
      <c r="E534" t="s">
        <v>1334</v>
      </c>
      <c r="F534" t="s">
        <v>7</v>
      </c>
      <c r="G534" t="s">
        <v>8</v>
      </c>
      <c r="H534">
        <v>75000000</v>
      </c>
      <c r="I534">
        <v>5.4</v>
      </c>
      <c r="J534" t="s">
        <v>8501</v>
      </c>
    </row>
    <row r="535" spans="1:10" x14ac:dyDescent="0.3">
      <c r="A535">
        <v>110</v>
      </c>
      <c r="B535">
        <v>47456450</v>
      </c>
      <c r="C535" t="s">
        <v>351</v>
      </c>
      <c r="D535" t="s">
        <v>1335</v>
      </c>
      <c r="E535" t="s">
        <v>1336</v>
      </c>
      <c r="F535" t="s">
        <v>7</v>
      </c>
      <c r="G535" t="s">
        <v>8</v>
      </c>
      <c r="H535">
        <v>70000000</v>
      </c>
      <c r="I535">
        <v>5.9</v>
      </c>
      <c r="J535" t="s">
        <v>8324</v>
      </c>
    </row>
    <row r="536" spans="1:10" x14ac:dyDescent="0.3">
      <c r="A536">
        <v>122</v>
      </c>
      <c r="B536">
        <v>148213377</v>
      </c>
      <c r="C536" t="s">
        <v>1337</v>
      </c>
      <c r="D536" t="s">
        <v>1338</v>
      </c>
      <c r="E536" t="s">
        <v>1339</v>
      </c>
      <c r="F536" t="s">
        <v>7</v>
      </c>
      <c r="G536" t="s">
        <v>8</v>
      </c>
      <c r="H536">
        <v>73000000</v>
      </c>
      <c r="I536">
        <v>7.1</v>
      </c>
      <c r="J536" t="s">
        <v>8565</v>
      </c>
    </row>
    <row r="537" spans="1:10" x14ac:dyDescent="0.3">
      <c r="A537">
        <v>87</v>
      </c>
      <c r="B537">
        <v>112950721</v>
      </c>
      <c r="C537" t="s">
        <v>187</v>
      </c>
      <c r="D537" t="s">
        <v>1340</v>
      </c>
      <c r="E537" t="s">
        <v>1341</v>
      </c>
      <c r="F537" t="s">
        <v>7</v>
      </c>
      <c r="G537" t="s">
        <v>8</v>
      </c>
      <c r="H537">
        <v>72000000</v>
      </c>
      <c r="I537">
        <v>6</v>
      </c>
      <c r="J537" t="s">
        <v>8486</v>
      </c>
    </row>
    <row r="538" spans="1:10" x14ac:dyDescent="0.3">
      <c r="A538">
        <v>178</v>
      </c>
      <c r="B538">
        <v>75600000</v>
      </c>
      <c r="C538" t="s">
        <v>1342</v>
      </c>
      <c r="D538" t="s">
        <v>1343</v>
      </c>
      <c r="E538" t="s">
        <v>1344</v>
      </c>
      <c r="F538" t="s">
        <v>7</v>
      </c>
      <c r="G538" t="s">
        <v>8</v>
      </c>
      <c r="H538">
        <v>72000000</v>
      </c>
      <c r="I538">
        <v>6.5</v>
      </c>
      <c r="J538" t="s">
        <v>8405</v>
      </c>
    </row>
    <row r="539" spans="1:10" x14ac:dyDescent="0.3">
      <c r="A539">
        <v>87</v>
      </c>
      <c r="B539">
        <v>183132370</v>
      </c>
      <c r="C539" t="s">
        <v>1345</v>
      </c>
      <c r="D539" t="s">
        <v>1346</v>
      </c>
      <c r="E539" t="s">
        <v>1347</v>
      </c>
      <c r="F539" t="s">
        <v>7</v>
      </c>
      <c r="G539" t="s">
        <v>8</v>
      </c>
      <c r="H539">
        <v>75000000</v>
      </c>
      <c r="I539">
        <v>5.7</v>
      </c>
      <c r="J539" t="s">
        <v>8566</v>
      </c>
    </row>
    <row r="540" spans="1:10" x14ac:dyDescent="0.3">
      <c r="A540">
        <v>152</v>
      </c>
      <c r="B540">
        <v>27796042</v>
      </c>
      <c r="C540" t="s">
        <v>73</v>
      </c>
      <c r="D540" t="s">
        <v>1348</v>
      </c>
      <c r="E540" t="s">
        <v>1349</v>
      </c>
      <c r="F540" t="s">
        <v>7</v>
      </c>
      <c r="G540" t="s">
        <v>8</v>
      </c>
      <c r="H540">
        <v>72000000</v>
      </c>
      <c r="I540">
        <v>7.6</v>
      </c>
      <c r="J540" t="s">
        <v>8332</v>
      </c>
    </row>
    <row r="541" spans="1:10" x14ac:dyDescent="0.3">
      <c r="A541">
        <v>116</v>
      </c>
      <c r="B541">
        <v>32616869</v>
      </c>
      <c r="C541" t="s">
        <v>1350</v>
      </c>
      <c r="D541" t="s">
        <v>1351</v>
      </c>
      <c r="E541" t="s">
        <v>1352</v>
      </c>
      <c r="F541" t="s">
        <v>7</v>
      </c>
      <c r="G541" t="s">
        <v>8</v>
      </c>
      <c r="H541">
        <v>72000000</v>
      </c>
      <c r="I541">
        <v>6.6</v>
      </c>
      <c r="J541" t="s">
        <v>8567</v>
      </c>
    </row>
    <row r="542" spans="1:10" x14ac:dyDescent="0.3">
      <c r="A542">
        <v>109</v>
      </c>
      <c r="B542">
        <v>18947630</v>
      </c>
      <c r="C542" t="s">
        <v>1353</v>
      </c>
      <c r="D542" t="s">
        <v>1354</v>
      </c>
      <c r="E542" t="s">
        <v>1355</v>
      </c>
      <c r="F542" t="s">
        <v>7</v>
      </c>
      <c r="G542" t="s">
        <v>583</v>
      </c>
      <c r="H542">
        <v>59660000</v>
      </c>
      <c r="I542">
        <v>5.4</v>
      </c>
      <c r="J542" t="s">
        <v>8568</v>
      </c>
    </row>
    <row r="543" spans="1:10" x14ac:dyDescent="0.3">
      <c r="A543">
        <v>108</v>
      </c>
      <c r="B543">
        <v>114195633</v>
      </c>
      <c r="C543" t="s">
        <v>1356</v>
      </c>
      <c r="D543" t="s">
        <v>1357</v>
      </c>
      <c r="E543" t="s">
        <v>1358</v>
      </c>
      <c r="F543" t="s">
        <v>7</v>
      </c>
      <c r="G543" t="s">
        <v>8</v>
      </c>
      <c r="H543">
        <v>60000000</v>
      </c>
      <c r="I543">
        <v>7.3</v>
      </c>
      <c r="J543" t="s">
        <v>8422</v>
      </c>
    </row>
    <row r="544" spans="1:10" x14ac:dyDescent="0.3">
      <c r="A544">
        <v>85</v>
      </c>
      <c r="B544">
        <v>144156464</v>
      </c>
      <c r="C544" t="s">
        <v>187</v>
      </c>
      <c r="D544" t="s">
        <v>1359</v>
      </c>
      <c r="E544" t="s">
        <v>1360</v>
      </c>
      <c r="F544" t="s">
        <v>7</v>
      </c>
      <c r="G544" t="s">
        <v>8</v>
      </c>
      <c r="H544">
        <v>71500000</v>
      </c>
      <c r="I544">
        <v>6.5</v>
      </c>
      <c r="J544" t="s">
        <v>8433</v>
      </c>
    </row>
    <row r="545" spans="1:10" x14ac:dyDescent="0.3">
      <c r="A545">
        <v>106</v>
      </c>
      <c r="B545">
        <v>227965690</v>
      </c>
      <c r="C545" t="s">
        <v>1110</v>
      </c>
      <c r="D545" t="s">
        <v>1361</v>
      </c>
      <c r="E545" t="s">
        <v>1362</v>
      </c>
      <c r="F545" t="s">
        <v>7</v>
      </c>
      <c r="G545" t="s">
        <v>8</v>
      </c>
      <c r="H545">
        <v>72000000</v>
      </c>
      <c r="I545">
        <v>6.6</v>
      </c>
      <c r="J545" t="s">
        <v>8569</v>
      </c>
    </row>
    <row r="546" spans="1:10" x14ac:dyDescent="0.3">
      <c r="A546">
        <v>93</v>
      </c>
      <c r="B546">
        <v>436471036</v>
      </c>
      <c r="C546" t="s">
        <v>1363</v>
      </c>
      <c r="D546" t="s">
        <v>1364</v>
      </c>
      <c r="E546" t="s">
        <v>1365</v>
      </c>
      <c r="F546" t="s">
        <v>7</v>
      </c>
      <c r="G546" t="s">
        <v>8</v>
      </c>
      <c r="H546">
        <v>150000000</v>
      </c>
      <c r="I546">
        <v>6.6</v>
      </c>
      <c r="J546" t="s">
        <v>8570</v>
      </c>
    </row>
    <row r="547" spans="1:10" x14ac:dyDescent="0.3">
      <c r="A547">
        <v>117</v>
      </c>
      <c r="B547">
        <v>244052771</v>
      </c>
      <c r="C547" t="s">
        <v>109</v>
      </c>
      <c r="D547" t="s">
        <v>1366</v>
      </c>
      <c r="E547" t="s">
        <v>1367</v>
      </c>
      <c r="F547" t="s">
        <v>7</v>
      </c>
      <c r="G547" t="s">
        <v>8</v>
      </c>
      <c r="H547">
        <v>120000000</v>
      </c>
      <c r="I547">
        <v>5.9</v>
      </c>
      <c r="J547" t="s">
        <v>8571</v>
      </c>
    </row>
    <row r="548" spans="1:10" x14ac:dyDescent="0.3">
      <c r="A548">
        <v>116</v>
      </c>
      <c r="B548">
        <v>152149590</v>
      </c>
      <c r="C548" t="s">
        <v>672</v>
      </c>
      <c r="D548" t="s">
        <v>1368</v>
      </c>
      <c r="E548" t="s">
        <v>1369</v>
      </c>
      <c r="F548" t="s">
        <v>7</v>
      </c>
      <c r="G548" t="s">
        <v>8</v>
      </c>
      <c r="H548">
        <v>70000000</v>
      </c>
      <c r="I548">
        <v>6.7</v>
      </c>
      <c r="J548" t="s">
        <v>8572</v>
      </c>
    </row>
    <row r="549" spans="1:10" x14ac:dyDescent="0.3">
      <c r="A549">
        <v>132</v>
      </c>
      <c r="B549">
        <v>141204016</v>
      </c>
      <c r="C549" t="s">
        <v>12</v>
      </c>
      <c r="D549" t="s">
        <v>1370</v>
      </c>
      <c r="E549" t="s">
        <v>1371</v>
      </c>
      <c r="F549" t="s">
        <v>7</v>
      </c>
      <c r="G549" t="s">
        <v>8</v>
      </c>
      <c r="H549">
        <v>70000000</v>
      </c>
      <c r="I549">
        <v>6.1</v>
      </c>
      <c r="J549" t="s">
        <v>8521</v>
      </c>
    </row>
    <row r="550" spans="1:10" x14ac:dyDescent="0.3">
      <c r="A550">
        <v>92</v>
      </c>
      <c r="B550">
        <v>162495848</v>
      </c>
      <c r="C550" t="s">
        <v>96</v>
      </c>
      <c r="D550" t="s">
        <v>1372</v>
      </c>
      <c r="E550" t="s">
        <v>1373</v>
      </c>
      <c r="F550" t="s">
        <v>7</v>
      </c>
      <c r="G550" t="s">
        <v>8</v>
      </c>
      <c r="H550">
        <v>74000000</v>
      </c>
      <c r="I550">
        <v>6.6</v>
      </c>
      <c r="J550" t="s">
        <v>8573</v>
      </c>
    </row>
    <row r="551" spans="1:10" x14ac:dyDescent="0.3">
      <c r="A551">
        <v>139</v>
      </c>
      <c r="B551">
        <v>136448821</v>
      </c>
      <c r="C551" t="s">
        <v>609</v>
      </c>
      <c r="D551" t="s">
        <v>1374</v>
      </c>
      <c r="E551" t="s">
        <v>1375</v>
      </c>
      <c r="F551" t="s">
        <v>7</v>
      </c>
      <c r="G551" t="s">
        <v>8</v>
      </c>
      <c r="H551">
        <v>80000000</v>
      </c>
      <c r="I551">
        <v>6.6</v>
      </c>
      <c r="J551" t="s">
        <v>8574</v>
      </c>
    </row>
    <row r="552" spans="1:10" x14ac:dyDescent="0.3">
      <c r="A552">
        <v>153</v>
      </c>
      <c r="B552">
        <v>120523073</v>
      </c>
      <c r="C552" t="s">
        <v>1376</v>
      </c>
      <c r="D552" t="s">
        <v>1377</v>
      </c>
      <c r="E552" t="s">
        <v>1378</v>
      </c>
      <c r="F552" t="s">
        <v>7</v>
      </c>
      <c r="G552" t="s">
        <v>8</v>
      </c>
      <c r="H552">
        <v>75000000</v>
      </c>
      <c r="I552">
        <v>5.3</v>
      </c>
      <c r="J552" t="s">
        <v>8575</v>
      </c>
    </row>
    <row r="553" spans="1:10" x14ac:dyDescent="0.3">
      <c r="A553">
        <v>142</v>
      </c>
      <c r="B553">
        <v>119654900</v>
      </c>
      <c r="C553" t="s">
        <v>295</v>
      </c>
      <c r="D553" t="s">
        <v>1379</v>
      </c>
      <c r="E553" t="s">
        <v>1380</v>
      </c>
      <c r="F553" t="s">
        <v>7</v>
      </c>
      <c r="G553" t="s">
        <v>8</v>
      </c>
      <c r="H553">
        <v>70000000</v>
      </c>
      <c r="I553">
        <v>6</v>
      </c>
      <c r="J553" t="s">
        <v>8509</v>
      </c>
    </row>
    <row r="554" spans="1:10" x14ac:dyDescent="0.3">
      <c r="A554">
        <v>124</v>
      </c>
      <c r="B554">
        <v>117541000</v>
      </c>
      <c r="C554" t="s">
        <v>16</v>
      </c>
      <c r="D554" t="s">
        <v>1381</v>
      </c>
      <c r="E554" t="s">
        <v>1382</v>
      </c>
      <c r="F554" t="s">
        <v>7</v>
      </c>
      <c r="G554" t="s">
        <v>8</v>
      </c>
      <c r="H554">
        <v>70000000</v>
      </c>
      <c r="I554">
        <v>6</v>
      </c>
      <c r="J554" t="s">
        <v>8576</v>
      </c>
    </row>
    <row r="555" spans="1:10" x14ac:dyDescent="0.3">
      <c r="A555">
        <v>117</v>
      </c>
      <c r="B555">
        <v>116643346</v>
      </c>
      <c r="C555" t="s">
        <v>1383</v>
      </c>
      <c r="D555" t="s">
        <v>1384</v>
      </c>
      <c r="E555" t="s">
        <v>1385</v>
      </c>
      <c r="F555" t="s">
        <v>7</v>
      </c>
      <c r="G555" t="s">
        <v>8</v>
      </c>
      <c r="H555">
        <v>80000000</v>
      </c>
      <c r="I555">
        <v>4.7</v>
      </c>
      <c r="J555" t="s">
        <v>8577</v>
      </c>
    </row>
    <row r="556" spans="1:10" x14ac:dyDescent="0.3">
      <c r="A556">
        <v>141</v>
      </c>
      <c r="B556">
        <v>100614858</v>
      </c>
      <c r="C556" t="s">
        <v>1386</v>
      </c>
      <c r="D556" t="s">
        <v>1387</v>
      </c>
      <c r="E556" t="s">
        <v>1388</v>
      </c>
      <c r="F556" t="s">
        <v>7</v>
      </c>
      <c r="G556" t="s">
        <v>8</v>
      </c>
      <c r="H556">
        <v>68000000</v>
      </c>
      <c r="I556">
        <v>6.1</v>
      </c>
      <c r="J556" t="s">
        <v>8491</v>
      </c>
    </row>
    <row r="557" spans="1:10" x14ac:dyDescent="0.3">
      <c r="A557">
        <v>110</v>
      </c>
      <c r="B557">
        <v>42272747</v>
      </c>
      <c r="C557" t="s">
        <v>1389</v>
      </c>
      <c r="D557" t="s">
        <v>1390</v>
      </c>
      <c r="E557" t="s">
        <v>1391</v>
      </c>
      <c r="F557" t="s">
        <v>7</v>
      </c>
      <c r="G557" t="s">
        <v>8</v>
      </c>
      <c r="H557">
        <v>70000000</v>
      </c>
      <c r="I557">
        <v>7.2</v>
      </c>
      <c r="J557" t="s">
        <v>8387</v>
      </c>
    </row>
    <row r="558" spans="1:10" x14ac:dyDescent="0.3">
      <c r="A558">
        <v>109</v>
      </c>
      <c r="B558">
        <v>80281096</v>
      </c>
      <c r="C558" t="s">
        <v>912</v>
      </c>
      <c r="D558" t="s">
        <v>1392</v>
      </c>
      <c r="E558" t="s">
        <v>1393</v>
      </c>
      <c r="F558" t="s">
        <v>7</v>
      </c>
      <c r="G558" t="s">
        <v>8</v>
      </c>
      <c r="H558">
        <v>60000000</v>
      </c>
      <c r="I558">
        <v>6.4</v>
      </c>
      <c r="J558" t="s">
        <v>8578</v>
      </c>
    </row>
    <row r="559" spans="1:10" x14ac:dyDescent="0.3">
      <c r="A559">
        <v>88</v>
      </c>
      <c r="B559">
        <v>219613391</v>
      </c>
      <c r="C559" t="s">
        <v>1394</v>
      </c>
      <c r="D559" t="s">
        <v>1395</v>
      </c>
      <c r="E559" t="s">
        <v>1396</v>
      </c>
      <c r="F559" t="s">
        <v>7</v>
      </c>
      <c r="G559" t="s">
        <v>8</v>
      </c>
      <c r="H559">
        <v>75000000</v>
      </c>
      <c r="I559">
        <v>6.1</v>
      </c>
      <c r="J559" t="s">
        <v>8304</v>
      </c>
    </row>
    <row r="560" spans="1:10" x14ac:dyDescent="0.3">
      <c r="A560">
        <v>124</v>
      </c>
      <c r="B560">
        <v>78120196</v>
      </c>
      <c r="C560" t="s">
        <v>389</v>
      </c>
      <c r="D560" t="s">
        <v>1397</v>
      </c>
      <c r="E560" t="s">
        <v>1398</v>
      </c>
      <c r="F560" t="s">
        <v>7</v>
      </c>
      <c r="G560" t="s">
        <v>8</v>
      </c>
      <c r="H560">
        <v>75000000</v>
      </c>
      <c r="I560">
        <v>5.9</v>
      </c>
      <c r="J560" t="s">
        <v>8502</v>
      </c>
    </row>
    <row r="561" spans="1:10" x14ac:dyDescent="0.3">
      <c r="A561">
        <v>119</v>
      </c>
      <c r="B561">
        <v>98895417</v>
      </c>
      <c r="C561" t="s">
        <v>16</v>
      </c>
      <c r="D561" t="s">
        <v>1399</v>
      </c>
      <c r="E561" t="s">
        <v>1400</v>
      </c>
      <c r="F561" t="s">
        <v>7</v>
      </c>
      <c r="G561" t="s">
        <v>8</v>
      </c>
      <c r="H561">
        <v>70000000</v>
      </c>
      <c r="I561">
        <v>6</v>
      </c>
      <c r="J561" t="s">
        <v>8570</v>
      </c>
    </row>
    <row r="562" spans="1:10" x14ac:dyDescent="0.3">
      <c r="A562">
        <v>103</v>
      </c>
      <c r="B562">
        <v>70117571</v>
      </c>
      <c r="C562" t="s">
        <v>78</v>
      </c>
      <c r="D562" t="s">
        <v>1401</v>
      </c>
      <c r="E562" t="s">
        <v>1402</v>
      </c>
      <c r="F562" t="s">
        <v>7</v>
      </c>
      <c r="G562" t="s">
        <v>8</v>
      </c>
      <c r="H562">
        <v>58000000</v>
      </c>
      <c r="I562">
        <v>6.3</v>
      </c>
      <c r="J562" t="s">
        <v>8579</v>
      </c>
    </row>
    <row r="563" spans="1:10" x14ac:dyDescent="0.3">
      <c r="A563">
        <v>116</v>
      </c>
      <c r="B563">
        <v>83552429</v>
      </c>
      <c r="C563" t="s">
        <v>237</v>
      </c>
      <c r="D563" t="s">
        <v>1403</v>
      </c>
      <c r="E563" t="s">
        <v>1404</v>
      </c>
      <c r="F563" t="s">
        <v>7</v>
      </c>
      <c r="G563" t="s">
        <v>8</v>
      </c>
      <c r="H563">
        <v>70000000</v>
      </c>
      <c r="I563">
        <v>5.6</v>
      </c>
      <c r="J563" t="s">
        <v>8572</v>
      </c>
    </row>
    <row r="564" spans="1:10" x14ac:dyDescent="0.3">
      <c r="A564">
        <v>125</v>
      </c>
      <c r="B564">
        <v>66257002</v>
      </c>
      <c r="C564" t="s">
        <v>534</v>
      </c>
      <c r="D564" t="s">
        <v>1405</v>
      </c>
      <c r="E564" t="s">
        <v>1406</v>
      </c>
      <c r="F564" t="s">
        <v>7</v>
      </c>
      <c r="G564" t="s">
        <v>8</v>
      </c>
      <c r="H564">
        <v>70000000</v>
      </c>
      <c r="I564">
        <v>6.4</v>
      </c>
      <c r="J564" t="s">
        <v>8580</v>
      </c>
    </row>
    <row r="565" spans="1:10" x14ac:dyDescent="0.3">
      <c r="A565">
        <v>125</v>
      </c>
      <c r="B565">
        <v>65012000</v>
      </c>
      <c r="C565" t="s">
        <v>1407</v>
      </c>
      <c r="D565" t="s">
        <v>1408</v>
      </c>
      <c r="E565" t="s">
        <v>1409</v>
      </c>
      <c r="F565" t="s">
        <v>7</v>
      </c>
      <c r="G565" t="s">
        <v>8</v>
      </c>
      <c r="H565">
        <v>70000000</v>
      </c>
      <c r="I565">
        <v>7.1</v>
      </c>
      <c r="J565" t="s">
        <v>8315</v>
      </c>
    </row>
    <row r="566" spans="1:10" x14ac:dyDescent="0.3">
      <c r="A566">
        <v>146</v>
      </c>
      <c r="B566">
        <v>79883359</v>
      </c>
      <c r="C566" t="s">
        <v>1410</v>
      </c>
      <c r="D566" t="s">
        <v>1411</v>
      </c>
      <c r="E566" t="s">
        <v>1412</v>
      </c>
      <c r="F566" t="s">
        <v>7</v>
      </c>
      <c r="G566" t="s">
        <v>8</v>
      </c>
      <c r="H566">
        <v>66000000</v>
      </c>
      <c r="I566">
        <v>6.6</v>
      </c>
      <c r="J566" t="s">
        <v>8460</v>
      </c>
    </row>
    <row r="567" spans="1:10" x14ac:dyDescent="0.3">
      <c r="A567">
        <v>118</v>
      </c>
      <c r="B567">
        <v>78031620</v>
      </c>
      <c r="C567" t="s">
        <v>1410</v>
      </c>
      <c r="D567" t="s">
        <v>1413</v>
      </c>
      <c r="E567" t="s">
        <v>1414</v>
      </c>
      <c r="F567" t="s">
        <v>7</v>
      </c>
      <c r="G567" t="s">
        <v>8</v>
      </c>
      <c r="H567">
        <v>70000000</v>
      </c>
      <c r="I567">
        <v>4.5999999999999996</v>
      </c>
      <c r="J567" t="s">
        <v>8581</v>
      </c>
    </row>
    <row r="568" spans="1:10" x14ac:dyDescent="0.3">
      <c r="A568">
        <v>171</v>
      </c>
      <c r="B568">
        <v>54222000</v>
      </c>
      <c r="C568" t="s">
        <v>591</v>
      </c>
      <c r="D568" t="s">
        <v>1415</v>
      </c>
      <c r="E568" t="s">
        <v>1416</v>
      </c>
      <c r="F568" t="s">
        <v>7</v>
      </c>
      <c r="G568" t="s">
        <v>8</v>
      </c>
      <c r="H568">
        <v>69500000</v>
      </c>
      <c r="I568">
        <v>8.4</v>
      </c>
      <c r="J568" t="s">
        <v>8582</v>
      </c>
    </row>
    <row r="569" spans="1:10" x14ac:dyDescent="0.3">
      <c r="A569">
        <v>136</v>
      </c>
      <c r="B569">
        <v>52474616</v>
      </c>
      <c r="C569" t="s">
        <v>1417</v>
      </c>
      <c r="D569" t="s">
        <v>1418</v>
      </c>
      <c r="E569" t="s">
        <v>1419</v>
      </c>
      <c r="F569" t="s">
        <v>7</v>
      </c>
      <c r="G569" t="s">
        <v>8</v>
      </c>
      <c r="H569">
        <v>70000000</v>
      </c>
      <c r="I569">
        <v>7.1</v>
      </c>
      <c r="J569" t="s">
        <v>8296</v>
      </c>
    </row>
    <row r="570" spans="1:10" x14ac:dyDescent="0.3">
      <c r="A570">
        <v>92</v>
      </c>
      <c r="B570">
        <v>55942830</v>
      </c>
      <c r="C570" t="s">
        <v>1420</v>
      </c>
      <c r="D570" t="s">
        <v>1421</v>
      </c>
      <c r="E570" t="s">
        <v>1422</v>
      </c>
      <c r="F570" t="s">
        <v>7</v>
      </c>
      <c r="G570" t="s">
        <v>8</v>
      </c>
      <c r="H570">
        <v>70000000</v>
      </c>
      <c r="I570">
        <v>7.4</v>
      </c>
      <c r="J570" t="s">
        <v>8583</v>
      </c>
    </row>
    <row r="571" spans="1:10" x14ac:dyDescent="0.3">
      <c r="A571">
        <v>116</v>
      </c>
      <c r="B571">
        <v>40932372</v>
      </c>
      <c r="C571" t="s">
        <v>16</v>
      </c>
      <c r="D571" t="s">
        <v>1423</v>
      </c>
      <c r="E571" t="s">
        <v>1424</v>
      </c>
      <c r="F571" t="s">
        <v>7</v>
      </c>
      <c r="G571" t="s">
        <v>8</v>
      </c>
      <c r="H571">
        <v>70000000</v>
      </c>
      <c r="I571">
        <v>6.9</v>
      </c>
      <c r="J571" t="s">
        <v>8584</v>
      </c>
    </row>
    <row r="572" spans="1:10" x14ac:dyDescent="0.3">
      <c r="A572">
        <v>127</v>
      </c>
      <c r="B572">
        <v>38345403</v>
      </c>
      <c r="C572" t="s">
        <v>1425</v>
      </c>
      <c r="D572" t="s">
        <v>1426</v>
      </c>
      <c r="E572" t="s">
        <v>1427</v>
      </c>
      <c r="F572" t="s">
        <v>7</v>
      </c>
      <c r="G572" t="s">
        <v>15</v>
      </c>
      <c r="H572">
        <v>70000000</v>
      </c>
      <c r="I572">
        <v>4.5</v>
      </c>
      <c r="J572" t="s">
        <v>8493</v>
      </c>
    </row>
    <row r="573" spans="1:10" x14ac:dyDescent="0.3">
      <c r="A573">
        <v>136</v>
      </c>
      <c r="B573">
        <v>37901509</v>
      </c>
      <c r="C573" t="s">
        <v>1428</v>
      </c>
      <c r="D573" t="s">
        <v>1429</v>
      </c>
      <c r="E573" t="s">
        <v>1430</v>
      </c>
      <c r="F573" t="s">
        <v>7</v>
      </c>
      <c r="G573" t="s">
        <v>8</v>
      </c>
      <c r="H573">
        <v>70000000</v>
      </c>
      <c r="I573">
        <v>7.1</v>
      </c>
      <c r="J573" t="s">
        <v>8516</v>
      </c>
    </row>
    <row r="574" spans="1:10" x14ac:dyDescent="0.3">
      <c r="A574">
        <v>111</v>
      </c>
      <c r="B574">
        <v>48430355</v>
      </c>
      <c r="C574" t="s">
        <v>1040</v>
      </c>
      <c r="D574" t="s">
        <v>1431</v>
      </c>
      <c r="E574" t="s">
        <v>1432</v>
      </c>
      <c r="F574" t="s">
        <v>7</v>
      </c>
      <c r="G574" t="s">
        <v>8</v>
      </c>
      <c r="H574">
        <v>70000000</v>
      </c>
      <c r="I574">
        <v>6.5</v>
      </c>
      <c r="J574" t="s">
        <v>8387</v>
      </c>
    </row>
    <row r="575" spans="1:10" x14ac:dyDescent="0.3">
      <c r="A575">
        <v>116</v>
      </c>
      <c r="B575">
        <v>30157016</v>
      </c>
      <c r="C575" t="s">
        <v>415</v>
      </c>
      <c r="D575" t="s">
        <v>1433</v>
      </c>
      <c r="E575" t="s">
        <v>1434</v>
      </c>
      <c r="F575" t="s">
        <v>7</v>
      </c>
      <c r="G575" t="s">
        <v>8</v>
      </c>
      <c r="H575">
        <v>70000000</v>
      </c>
      <c r="I575">
        <v>5.3</v>
      </c>
      <c r="J575" t="s">
        <v>8585</v>
      </c>
    </row>
    <row r="576" spans="1:10" x14ac:dyDescent="0.3">
      <c r="A576">
        <v>113</v>
      </c>
      <c r="B576">
        <v>28031250</v>
      </c>
      <c r="C576" t="s">
        <v>1435</v>
      </c>
      <c r="D576" t="s">
        <v>1436</v>
      </c>
      <c r="E576" t="s">
        <v>1437</v>
      </c>
      <c r="F576" t="s">
        <v>7</v>
      </c>
      <c r="G576" t="s">
        <v>15</v>
      </c>
      <c r="H576">
        <v>60000000</v>
      </c>
      <c r="I576">
        <v>6.7</v>
      </c>
      <c r="J576" t="s">
        <v>8387</v>
      </c>
    </row>
    <row r="577" spans="1:10" x14ac:dyDescent="0.3">
      <c r="A577">
        <v>97</v>
      </c>
      <c r="B577">
        <v>33105600</v>
      </c>
      <c r="C577" t="s">
        <v>415</v>
      </c>
      <c r="D577" t="s">
        <v>1438</v>
      </c>
      <c r="E577" t="s">
        <v>1439</v>
      </c>
      <c r="F577" t="s">
        <v>7</v>
      </c>
      <c r="G577" t="s">
        <v>8</v>
      </c>
      <c r="H577">
        <v>70000000</v>
      </c>
      <c r="I577">
        <v>7.2</v>
      </c>
      <c r="J577" t="s">
        <v>8307</v>
      </c>
    </row>
    <row r="578" spans="1:10" x14ac:dyDescent="0.3">
      <c r="A578">
        <v>88</v>
      </c>
      <c r="B578">
        <v>62321039</v>
      </c>
      <c r="C578" t="s">
        <v>1440</v>
      </c>
      <c r="D578" t="s">
        <v>1441</v>
      </c>
      <c r="E578" t="s">
        <v>1442</v>
      </c>
      <c r="F578" t="s">
        <v>7</v>
      </c>
      <c r="G578" t="s">
        <v>8</v>
      </c>
      <c r="H578">
        <v>70000000</v>
      </c>
      <c r="I578">
        <v>7.2</v>
      </c>
      <c r="J578" t="s">
        <v>8323</v>
      </c>
    </row>
    <row r="579" spans="1:10" x14ac:dyDescent="0.3">
      <c r="A579">
        <v>136</v>
      </c>
      <c r="B579">
        <v>38509342</v>
      </c>
      <c r="C579" t="s">
        <v>1443</v>
      </c>
      <c r="D579" t="s">
        <v>1444</v>
      </c>
      <c r="E579" t="s">
        <v>1445</v>
      </c>
      <c r="F579" t="s">
        <v>7</v>
      </c>
      <c r="G579" t="s">
        <v>8</v>
      </c>
      <c r="H579">
        <v>75000000</v>
      </c>
      <c r="I579">
        <v>5.5</v>
      </c>
      <c r="J579" t="s">
        <v>8586</v>
      </c>
    </row>
    <row r="580" spans="1:10" x14ac:dyDescent="0.3">
      <c r="A580">
        <v>125</v>
      </c>
      <c r="B580">
        <v>19076815</v>
      </c>
      <c r="C580" t="s">
        <v>1410</v>
      </c>
      <c r="D580" t="s">
        <v>1446</v>
      </c>
      <c r="E580" t="s">
        <v>1447</v>
      </c>
      <c r="F580" t="s">
        <v>7</v>
      </c>
      <c r="G580" t="s">
        <v>8</v>
      </c>
      <c r="H580">
        <v>60000000</v>
      </c>
      <c r="I580">
        <v>5.8</v>
      </c>
      <c r="J580" t="s">
        <v>8343</v>
      </c>
    </row>
    <row r="581" spans="1:10" x14ac:dyDescent="0.3">
      <c r="A581">
        <v>116</v>
      </c>
      <c r="B581">
        <v>25093607</v>
      </c>
      <c r="C581" t="s">
        <v>118</v>
      </c>
      <c r="D581" t="s">
        <v>1448</v>
      </c>
      <c r="E581" t="s">
        <v>1449</v>
      </c>
      <c r="F581" t="s">
        <v>7</v>
      </c>
      <c r="G581" t="s">
        <v>15</v>
      </c>
      <c r="H581">
        <v>35000000</v>
      </c>
      <c r="I581">
        <v>6</v>
      </c>
      <c r="J581" t="s">
        <v>8587</v>
      </c>
    </row>
    <row r="582" spans="1:10" x14ac:dyDescent="0.3">
      <c r="A582">
        <v>98</v>
      </c>
      <c r="B582">
        <v>18990542</v>
      </c>
      <c r="C582" t="s">
        <v>1450</v>
      </c>
      <c r="D582" t="s">
        <v>1451</v>
      </c>
      <c r="E582" t="s">
        <v>1452</v>
      </c>
      <c r="F582" t="s">
        <v>7</v>
      </c>
      <c r="G582" t="s">
        <v>8</v>
      </c>
      <c r="H582">
        <v>70000000</v>
      </c>
      <c r="I582">
        <v>6.6</v>
      </c>
      <c r="J582" t="s">
        <v>8378</v>
      </c>
    </row>
    <row r="583" spans="1:10" x14ac:dyDescent="0.3">
      <c r="A583">
        <v>91</v>
      </c>
      <c r="B583">
        <v>14294842</v>
      </c>
      <c r="C583" t="s">
        <v>555</v>
      </c>
      <c r="D583" t="s">
        <v>1453</v>
      </c>
      <c r="E583" t="s">
        <v>1454</v>
      </c>
      <c r="F583" t="s">
        <v>7</v>
      </c>
      <c r="G583" t="s">
        <v>8</v>
      </c>
      <c r="H583">
        <v>70000000</v>
      </c>
      <c r="I583">
        <v>8.3000000000000007</v>
      </c>
      <c r="J583" t="s">
        <v>8462</v>
      </c>
    </row>
    <row r="584" spans="1:10" x14ac:dyDescent="0.3">
      <c r="A584">
        <v>97</v>
      </c>
      <c r="B584">
        <v>19819494</v>
      </c>
      <c r="C584" t="s">
        <v>164</v>
      </c>
      <c r="D584" t="s">
        <v>1455</v>
      </c>
      <c r="E584" t="s">
        <v>1456</v>
      </c>
      <c r="F584" t="s">
        <v>7</v>
      </c>
      <c r="G584" t="s">
        <v>8</v>
      </c>
      <c r="H584">
        <v>70000000</v>
      </c>
      <c r="I584">
        <v>6.7</v>
      </c>
      <c r="J584" t="s">
        <v>8332</v>
      </c>
    </row>
    <row r="585" spans="1:10" x14ac:dyDescent="0.3">
      <c r="A585">
        <v>95</v>
      </c>
      <c r="B585">
        <v>13596911</v>
      </c>
      <c r="C585" t="s">
        <v>1457</v>
      </c>
      <c r="D585" t="s">
        <v>1458</v>
      </c>
      <c r="E585" t="s">
        <v>1459</v>
      </c>
      <c r="F585" t="s">
        <v>7</v>
      </c>
      <c r="G585" t="s">
        <v>8</v>
      </c>
      <c r="H585">
        <v>70000000</v>
      </c>
      <c r="I585">
        <v>6</v>
      </c>
      <c r="J585" t="s">
        <v>8319</v>
      </c>
    </row>
    <row r="586" spans="1:10" x14ac:dyDescent="0.3">
      <c r="A586">
        <v>88</v>
      </c>
      <c r="B586">
        <v>8460990</v>
      </c>
      <c r="C586" t="s">
        <v>1460</v>
      </c>
      <c r="D586" t="s">
        <v>1461</v>
      </c>
      <c r="E586" t="s">
        <v>1462</v>
      </c>
      <c r="F586" t="s">
        <v>7</v>
      </c>
      <c r="G586" t="s">
        <v>8</v>
      </c>
      <c r="H586">
        <v>70000000</v>
      </c>
      <c r="I586">
        <v>7.1</v>
      </c>
      <c r="J586" t="s">
        <v>8493</v>
      </c>
    </row>
    <row r="587" spans="1:10" x14ac:dyDescent="0.3">
      <c r="A587">
        <v>133</v>
      </c>
      <c r="B587">
        <v>7097125</v>
      </c>
      <c r="C587" t="s">
        <v>436</v>
      </c>
      <c r="D587" t="s">
        <v>1463</v>
      </c>
      <c r="E587" t="s">
        <v>1464</v>
      </c>
      <c r="F587" t="s">
        <v>7</v>
      </c>
      <c r="G587" t="s">
        <v>8</v>
      </c>
      <c r="H587">
        <v>70000000</v>
      </c>
      <c r="I587">
        <v>6</v>
      </c>
      <c r="J587" t="s">
        <v>8588</v>
      </c>
    </row>
    <row r="588" spans="1:10" x14ac:dyDescent="0.3">
      <c r="A588">
        <v>116</v>
      </c>
      <c r="B588">
        <v>5851188</v>
      </c>
      <c r="C588" t="s">
        <v>915</v>
      </c>
      <c r="D588" t="s">
        <v>1465</v>
      </c>
      <c r="E588" t="s">
        <v>1466</v>
      </c>
      <c r="F588" t="s">
        <v>7</v>
      </c>
      <c r="G588" t="s">
        <v>15</v>
      </c>
      <c r="H588">
        <v>70000000</v>
      </c>
      <c r="I588">
        <v>6.9</v>
      </c>
      <c r="J588" t="s">
        <v>8589</v>
      </c>
    </row>
    <row r="589" spans="1:10" x14ac:dyDescent="0.3">
      <c r="A589">
        <v>115</v>
      </c>
      <c r="B589">
        <v>25121291</v>
      </c>
      <c r="C589" t="s">
        <v>1467</v>
      </c>
      <c r="D589" t="s">
        <v>1468</v>
      </c>
      <c r="E589" t="s">
        <v>1469</v>
      </c>
      <c r="F589" t="s">
        <v>7</v>
      </c>
      <c r="G589" t="s">
        <v>8</v>
      </c>
      <c r="H589">
        <v>50000000</v>
      </c>
      <c r="I589">
        <v>5.6</v>
      </c>
      <c r="J589" t="s">
        <v>8387</v>
      </c>
    </row>
    <row r="590" spans="1:10" x14ac:dyDescent="0.3">
      <c r="A590">
        <v>99</v>
      </c>
      <c r="B590">
        <v>18821279</v>
      </c>
      <c r="C590" t="s">
        <v>9</v>
      </c>
      <c r="D590" t="s">
        <v>1470</v>
      </c>
      <c r="E590" t="s">
        <v>1471</v>
      </c>
      <c r="F590" t="s">
        <v>7</v>
      </c>
      <c r="G590" t="s">
        <v>8</v>
      </c>
      <c r="H590">
        <v>70000000</v>
      </c>
      <c r="I590">
        <v>5.6</v>
      </c>
      <c r="J590" t="s">
        <v>8509</v>
      </c>
    </row>
    <row r="591" spans="1:10" x14ac:dyDescent="0.3">
      <c r="A591">
        <v>124</v>
      </c>
      <c r="B591">
        <v>118471320</v>
      </c>
      <c r="C591" t="s">
        <v>351</v>
      </c>
      <c r="D591" t="s">
        <v>1472</v>
      </c>
      <c r="E591" t="s">
        <v>1473</v>
      </c>
      <c r="F591" t="s">
        <v>7</v>
      </c>
      <c r="G591" t="s">
        <v>8</v>
      </c>
      <c r="H591">
        <v>68000000</v>
      </c>
      <c r="I591">
        <v>4.5</v>
      </c>
      <c r="J591" t="s">
        <v>8585</v>
      </c>
    </row>
    <row r="592" spans="1:10" x14ac:dyDescent="0.3">
      <c r="A592">
        <v>124</v>
      </c>
      <c r="B592">
        <v>300523113</v>
      </c>
      <c r="C592" t="s">
        <v>428</v>
      </c>
      <c r="D592" t="s">
        <v>1474</v>
      </c>
      <c r="E592" t="s">
        <v>1475</v>
      </c>
      <c r="F592" t="s">
        <v>7</v>
      </c>
      <c r="G592" t="s">
        <v>8</v>
      </c>
      <c r="H592">
        <v>68000000</v>
      </c>
      <c r="I592">
        <v>7.1</v>
      </c>
      <c r="J592" t="s">
        <v>8590</v>
      </c>
    </row>
    <row r="593" spans="1:10" x14ac:dyDescent="0.3">
      <c r="A593">
        <v>124</v>
      </c>
      <c r="B593">
        <v>71069884</v>
      </c>
      <c r="C593" t="s">
        <v>873</v>
      </c>
      <c r="D593" t="s">
        <v>1476</v>
      </c>
      <c r="E593" t="s">
        <v>1477</v>
      </c>
      <c r="F593" t="s">
        <v>7</v>
      </c>
      <c r="G593" t="s">
        <v>8</v>
      </c>
      <c r="H593">
        <v>68000000</v>
      </c>
      <c r="I593">
        <v>6.5</v>
      </c>
      <c r="J593" t="s">
        <v>8567</v>
      </c>
    </row>
    <row r="594" spans="1:10" x14ac:dyDescent="0.3">
      <c r="A594">
        <v>87</v>
      </c>
      <c r="B594">
        <v>251501645</v>
      </c>
      <c r="C594" t="s">
        <v>1220</v>
      </c>
      <c r="D594" t="s">
        <v>1478</v>
      </c>
      <c r="E594" t="s">
        <v>1479</v>
      </c>
      <c r="F594" t="s">
        <v>7</v>
      </c>
      <c r="G594" t="s">
        <v>8</v>
      </c>
      <c r="H594">
        <v>69000000</v>
      </c>
      <c r="I594">
        <v>6.4</v>
      </c>
      <c r="J594" t="s">
        <v>8591</v>
      </c>
    </row>
    <row r="595" spans="1:10" x14ac:dyDescent="0.3">
      <c r="A595">
        <v>105</v>
      </c>
      <c r="B595">
        <v>35324232</v>
      </c>
      <c r="C595" t="s">
        <v>1480</v>
      </c>
      <c r="D595" t="s">
        <v>1481</v>
      </c>
      <c r="E595" t="s">
        <v>1482</v>
      </c>
      <c r="F595" t="s">
        <v>7</v>
      </c>
      <c r="G595" t="s">
        <v>8</v>
      </c>
      <c r="H595">
        <v>68000000</v>
      </c>
      <c r="I595">
        <v>5.8</v>
      </c>
      <c r="J595" t="s">
        <v>8382</v>
      </c>
    </row>
    <row r="596" spans="1:10" x14ac:dyDescent="0.3">
      <c r="A596">
        <v>125</v>
      </c>
      <c r="B596">
        <v>81257500</v>
      </c>
      <c r="C596" t="s">
        <v>668</v>
      </c>
      <c r="D596" t="s">
        <v>1483</v>
      </c>
      <c r="E596" t="s">
        <v>1484</v>
      </c>
      <c r="F596" t="s">
        <v>7</v>
      </c>
      <c r="G596" t="s">
        <v>8</v>
      </c>
      <c r="H596">
        <v>68000000</v>
      </c>
      <c r="I596">
        <v>8</v>
      </c>
      <c r="J596" t="s">
        <v>8318</v>
      </c>
    </row>
    <row r="597" spans="1:10" x14ac:dyDescent="0.3">
      <c r="A597">
        <v>141</v>
      </c>
      <c r="B597">
        <v>617840</v>
      </c>
      <c r="C597" t="s">
        <v>1485</v>
      </c>
      <c r="D597" t="s">
        <v>1486</v>
      </c>
      <c r="E597" t="s">
        <v>1487</v>
      </c>
      <c r="F597" t="s">
        <v>7</v>
      </c>
      <c r="G597" t="s">
        <v>1488</v>
      </c>
      <c r="H597">
        <v>70000000</v>
      </c>
      <c r="I597">
        <v>6.2</v>
      </c>
      <c r="J597" t="s">
        <v>8565</v>
      </c>
    </row>
    <row r="598" spans="1:10" x14ac:dyDescent="0.3">
      <c r="A598">
        <v>121</v>
      </c>
      <c r="B598">
        <v>29655590</v>
      </c>
      <c r="C598" t="s">
        <v>369</v>
      </c>
      <c r="D598" t="s">
        <v>1489</v>
      </c>
      <c r="E598" t="s">
        <v>1490</v>
      </c>
      <c r="F598" t="s">
        <v>7</v>
      </c>
      <c r="G598" t="s">
        <v>8</v>
      </c>
      <c r="H598">
        <v>65000000</v>
      </c>
      <c r="I598">
        <v>7.2</v>
      </c>
      <c r="J598" t="s">
        <v>8332</v>
      </c>
    </row>
    <row r="599" spans="1:10" x14ac:dyDescent="0.3">
      <c r="A599">
        <v>111</v>
      </c>
      <c r="B599">
        <v>45045037</v>
      </c>
      <c r="C599" t="s">
        <v>672</v>
      </c>
      <c r="D599" t="s">
        <v>1491</v>
      </c>
      <c r="E599" t="s">
        <v>1492</v>
      </c>
      <c r="F599" t="s">
        <v>7</v>
      </c>
      <c r="G599" t="s">
        <v>8</v>
      </c>
      <c r="H599">
        <v>36000000</v>
      </c>
      <c r="I599">
        <v>6.1</v>
      </c>
      <c r="J599" t="s">
        <v>8592</v>
      </c>
    </row>
    <row r="600" spans="1:10" x14ac:dyDescent="0.3">
      <c r="A600">
        <v>157</v>
      </c>
      <c r="B600">
        <v>28965197</v>
      </c>
      <c r="C600" t="s">
        <v>1493</v>
      </c>
      <c r="D600" t="s">
        <v>1494</v>
      </c>
      <c r="E600" t="s">
        <v>1495</v>
      </c>
      <c r="F600" t="s">
        <v>7</v>
      </c>
      <c r="G600" t="s">
        <v>8</v>
      </c>
      <c r="H600">
        <v>68000000</v>
      </c>
      <c r="I600">
        <v>7.6</v>
      </c>
      <c r="J600" t="s">
        <v>8294</v>
      </c>
    </row>
    <row r="601" spans="1:10" x14ac:dyDescent="0.3">
      <c r="A601">
        <v>128</v>
      </c>
      <c r="B601">
        <v>39380442</v>
      </c>
      <c r="C601" t="s">
        <v>351</v>
      </c>
      <c r="D601" t="s">
        <v>1496</v>
      </c>
      <c r="E601" t="s">
        <v>1497</v>
      </c>
      <c r="F601" t="s">
        <v>7</v>
      </c>
      <c r="G601" t="s">
        <v>8</v>
      </c>
      <c r="H601">
        <v>70000000</v>
      </c>
      <c r="I601">
        <v>6.3</v>
      </c>
      <c r="J601" t="s">
        <v>8372</v>
      </c>
    </row>
    <row r="602" spans="1:10" x14ac:dyDescent="0.3">
      <c r="A602">
        <v>105</v>
      </c>
      <c r="B602">
        <v>37516013</v>
      </c>
      <c r="C602" t="s">
        <v>1440</v>
      </c>
      <c r="D602" t="s">
        <v>1498</v>
      </c>
      <c r="E602" t="s">
        <v>1499</v>
      </c>
      <c r="F602" t="s">
        <v>7</v>
      </c>
      <c r="G602" t="s">
        <v>8</v>
      </c>
      <c r="H602">
        <v>69000000</v>
      </c>
      <c r="I602">
        <v>6.3</v>
      </c>
      <c r="J602" t="s">
        <v>8593</v>
      </c>
    </row>
    <row r="603" spans="1:10" x14ac:dyDescent="0.3">
      <c r="A603">
        <v>113</v>
      </c>
      <c r="B603">
        <v>87704396</v>
      </c>
      <c r="C603" t="s">
        <v>641</v>
      </c>
      <c r="D603" t="s">
        <v>1500</v>
      </c>
      <c r="E603" t="s">
        <v>1501</v>
      </c>
      <c r="F603" t="s">
        <v>7</v>
      </c>
      <c r="G603" t="s">
        <v>8</v>
      </c>
      <c r="H603">
        <v>66000000</v>
      </c>
      <c r="I603">
        <v>6.3</v>
      </c>
      <c r="J603" t="s">
        <v>8397</v>
      </c>
    </row>
    <row r="604" spans="1:10" x14ac:dyDescent="0.3">
      <c r="A604">
        <v>121</v>
      </c>
      <c r="B604">
        <v>83892374</v>
      </c>
      <c r="C604" t="s">
        <v>909</v>
      </c>
      <c r="D604" t="s">
        <v>1502</v>
      </c>
      <c r="E604" t="s">
        <v>1503</v>
      </c>
      <c r="F604" t="s">
        <v>7</v>
      </c>
      <c r="G604" t="s">
        <v>8</v>
      </c>
      <c r="H604">
        <v>66000000</v>
      </c>
      <c r="I604">
        <v>7.7</v>
      </c>
      <c r="J604" t="s">
        <v>8363</v>
      </c>
    </row>
    <row r="605" spans="1:10" x14ac:dyDescent="0.3">
      <c r="A605">
        <v>102</v>
      </c>
      <c r="B605">
        <v>5932060</v>
      </c>
      <c r="C605" t="s">
        <v>1504</v>
      </c>
      <c r="D605" t="s">
        <v>1505</v>
      </c>
      <c r="E605" t="s">
        <v>1506</v>
      </c>
      <c r="F605" t="s">
        <v>7</v>
      </c>
      <c r="G605" t="s">
        <v>15</v>
      </c>
      <c r="H605">
        <v>35000000</v>
      </c>
      <c r="I605">
        <v>7</v>
      </c>
      <c r="J605" t="s">
        <v>8516</v>
      </c>
    </row>
    <row r="606" spans="1:10" x14ac:dyDescent="0.3">
      <c r="A606">
        <v>169</v>
      </c>
      <c r="B606">
        <v>216119491</v>
      </c>
      <c r="C606" t="s">
        <v>584</v>
      </c>
      <c r="D606" t="s">
        <v>1507</v>
      </c>
      <c r="E606" t="s">
        <v>1508</v>
      </c>
      <c r="F606" t="s">
        <v>7</v>
      </c>
      <c r="G606" t="s">
        <v>8</v>
      </c>
      <c r="H606">
        <v>70000000</v>
      </c>
      <c r="I606">
        <v>5.3</v>
      </c>
      <c r="J606" t="s">
        <v>8378</v>
      </c>
    </row>
    <row r="607" spans="1:10" x14ac:dyDescent="0.3">
      <c r="A607">
        <v>132</v>
      </c>
      <c r="B607">
        <v>43568507</v>
      </c>
      <c r="C607" t="s">
        <v>164</v>
      </c>
      <c r="D607" t="s">
        <v>1509</v>
      </c>
      <c r="E607" t="s">
        <v>1510</v>
      </c>
      <c r="F607" t="s">
        <v>7</v>
      </c>
      <c r="G607" t="s">
        <v>8</v>
      </c>
      <c r="H607">
        <v>66000000</v>
      </c>
      <c r="I607">
        <v>5.6</v>
      </c>
      <c r="J607" t="s">
        <v>8426</v>
      </c>
    </row>
    <row r="608" spans="1:10" x14ac:dyDescent="0.3">
      <c r="A608">
        <v>127</v>
      </c>
      <c r="B608">
        <v>182805123</v>
      </c>
      <c r="C608" t="s">
        <v>1511</v>
      </c>
      <c r="D608" t="s">
        <v>1512</v>
      </c>
      <c r="E608" t="s">
        <v>1513</v>
      </c>
      <c r="F608" t="s">
        <v>7</v>
      </c>
      <c r="G608" t="s">
        <v>8</v>
      </c>
      <c r="H608">
        <v>70000000</v>
      </c>
      <c r="I608">
        <v>5.2</v>
      </c>
      <c r="J608" t="s">
        <v>8594</v>
      </c>
    </row>
    <row r="609" spans="1:10" x14ac:dyDescent="0.3">
      <c r="A609">
        <v>103</v>
      </c>
      <c r="B609">
        <v>176387405</v>
      </c>
      <c r="C609" t="s">
        <v>167</v>
      </c>
      <c r="D609" t="s">
        <v>1514</v>
      </c>
      <c r="E609" t="s">
        <v>1515</v>
      </c>
      <c r="F609" t="s">
        <v>7</v>
      </c>
      <c r="G609" t="s">
        <v>8</v>
      </c>
      <c r="H609">
        <v>59000000</v>
      </c>
      <c r="I609">
        <v>5.4</v>
      </c>
      <c r="J609" t="s">
        <v>8585</v>
      </c>
    </row>
    <row r="610" spans="1:10" x14ac:dyDescent="0.3">
      <c r="A610">
        <v>136</v>
      </c>
      <c r="B610">
        <v>33685268</v>
      </c>
      <c r="C610" t="s">
        <v>1314</v>
      </c>
      <c r="D610" t="s">
        <v>1516</v>
      </c>
      <c r="E610" t="s">
        <v>1517</v>
      </c>
      <c r="F610" t="s">
        <v>7</v>
      </c>
      <c r="G610" t="s">
        <v>8</v>
      </c>
      <c r="H610">
        <v>68000000</v>
      </c>
      <c r="I610">
        <v>6.4</v>
      </c>
      <c r="J610" t="s">
        <v>8595</v>
      </c>
    </row>
    <row r="611" spans="1:10" x14ac:dyDescent="0.3">
      <c r="A611">
        <v>150</v>
      </c>
      <c r="B611">
        <v>182204440</v>
      </c>
      <c r="C611" t="s">
        <v>1342</v>
      </c>
      <c r="D611" t="s">
        <v>1518</v>
      </c>
      <c r="E611" t="s">
        <v>1519</v>
      </c>
      <c r="F611" t="s">
        <v>7</v>
      </c>
      <c r="G611" t="s">
        <v>8</v>
      </c>
      <c r="H611">
        <v>65000000</v>
      </c>
      <c r="I611">
        <v>5.9</v>
      </c>
      <c r="J611" t="s">
        <v>8532</v>
      </c>
    </row>
    <row r="612" spans="1:10" x14ac:dyDescent="0.3">
      <c r="A612">
        <v>136</v>
      </c>
      <c r="B612">
        <v>171383253</v>
      </c>
      <c r="C612" t="s">
        <v>237</v>
      </c>
      <c r="D612" t="s">
        <v>1520</v>
      </c>
      <c r="E612" t="s">
        <v>1521</v>
      </c>
      <c r="F612" t="s">
        <v>7</v>
      </c>
      <c r="G612" t="s">
        <v>8</v>
      </c>
      <c r="H612">
        <v>63000000</v>
      </c>
      <c r="I612">
        <v>6.3</v>
      </c>
      <c r="J612" t="s">
        <v>8596</v>
      </c>
    </row>
    <row r="613" spans="1:10" x14ac:dyDescent="0.3">
      <c r="A613">
        <v>140</v>
      </c>
      <c r="B613">
        <v>172071312</v>
      </c>
      <c r="C613" t="s">
        <v>889</v>
      </c>
      <c r="D613" t="s">
        <v>1522</v>
      </c>
      <c r="E613" t="s">
        <v>1523</v>
      </c>
      <c r="F613" t="s">
        <v>7</v>
      </c>
      <c r="G613" t="s">
        <v>8</v>
      </c>
      <c r="H613">
        <v>62000000</v>
      </c>
      <c r="I613">
        <v>6.5</v>
      </c>
      <c r="J613" t="s">
        <v>8597</v>
      </c>
    </row>
    <row r="614" spans="1:10" x14ac:dyDescent="0.3">
      <c r="A614">
        <v>104</v>
      </c>
      <c r="B614">
        <v>139225854</v>
      </c>
      <c r="C614" t="s">
        <v>187</v>
      </c>
      <c r="D614" t="s">
        <v>1524</v>
      </c>
      <c r="E614" t="s">
        <v>1525</v>
      </c>
      <c r="F614" t="s">
        <v>7</v>
      </c>
      <c r="G614" t="s">
        <v>8</v>
      </c>
      <c r="H614">
        <v>60000000</v>
      </c>
      <c r="I614">
        <v>3</v>
      </c>
      <c r="J614" t="s">
        <v>8424</v>
      </c>
    </row>
    <row r="615" spans="1:10" x14ac:dyDescent="0.3">
      <c r="A615">
        <v>158</v>
      </c>
      <c r="B615">
        <v>148775460</v>
      </c>
      <c r="C615" t="s">
        <v>1172</v>
      </c>
      <c r="D615" t="s">
        <v>1526</v>
      </c>
      <c r="E615" t="s">
        <v>1527</v>
      </c>
      <c r="F615" t="s">
        <v>7</v>
      </c>
      <c r="G615" t="s">
        <v>8</v>
      </c>
      <c r="H615">
        <v>61000000</v>
      </c>
      <c r="I615">
        <v>3.6</v>
      </c>
      <c r="J615" t="s">
        <v>8598</v>
      </c>
    </row>
    <row r="616" spans="1:10" x14ac:dyDescent="0.3">
      <c r="A616">
        <v>119</v>
      </c>
      <c r="B616">
        <v>115731542</v>
      </c>
      <c r="C616" t="s">
        <v>561</v>
      </c>
      <c r="D616" t="s">
        <v>1528</v>
      </c>
      <c r="E616" t="s">
        <v>1529</v>
      </c>
      <c r="F616" t="s">
        <v>7</v>
      </c>
      <c r="G616" t="s">
        <v>8</v>
      </c>
      <c r="H616">
        <v>65000000</v>
      </c>
      <c r="I616">
        <v>5.8</v>
      </c>
      <c r="J616" t="s">
        <v>8599</v>
      </c>
    </row>
    <row r="617" spans="1:10" x14ac:dyDescent="0.3">
      <c r="A617">
        <v>106</v>
      </c>
      <c r="B617">
        <v>100468793</v>
      </c>
      <c r="C617" t="s">
        <v>668</v>
      </c>
      <c r="D617" t="s">
        <v>1530</v>
      </c>
      <c r="E617" t="s">
        <v>1531</v>
      </c>
      <c r="F617" t="s">
        <v>7</v>
      </c>
      <c r="G617" t="s">
        <v>8</v>
      </c>
      <c r="H617">
        <v>65000000</v>
      </c>
      <c r="I617">
        <v>6.2</v>
      </c>
      <c r="J617" t="s">
        <v>8600</v>
      </c>
    </row>
    <row r="618" spans="1:10" x14ac:dyDescent="0.3">
      <c r="A618">
        <v>136</v>
      </c>
      <c r="B618">
        <v>93771072</v>
      </c>
      <c r="C618" t="s">
        <v>1532</v>
      </c>
      <c r="D618" t="s">
        <v>1533</v>
      </c>
      <c r="E618" t="s">
        <v>1534</v>
      </c>
      <c r="F618" t="s">
        <v>7</v>
      </c>
      <c r="G618" t="s">
        <v>8</v>
      </c>
      <c r="H618">
        <v>65000000</v>
      </c>
      <c r="I618">
        <v>5.6</v>
      </c>
      <c r="J618" t="s">
        <v>8448</v>
      </c>
    </row>
    <row r="619" spans="1:10" x14ac:dyDescent="0.3">
      <c r="A619">
        <v>95</v>
      </c>
      <c r="B619">
        <v>100448498</v>
      </c>
      <c r="C619" t="s">
        <v>1040</v>
      </c>
      <c r="D619" t="s">
        <v>1535</v>
      </c>
      <c r="E619" t="s">
        <v>1536</v>
      </c>
      <c r="F619" t="s">
        <v>7</v>
      </c>
      <c r="G619" t="s">
        <v>8</v>
      </c>
      <c r="H619">
        <v>65000000</v>
      </c>
      <c r="I619">
        <v>5.4</v>
      </c>
      <c r="J619" t="s">
        <v>8452</v>
      </c>
    </row>
    <row r="620" spans="1:10" x14ac:dyDescent="0.3">
      <c r="A620">
        <v>137</v>
      </c>
      <c r="B620">
        <v>115603980</v>
      </c>
      <c r="C620" t="s">
        <v>1537</v>
      </c>
      <c r="D620" t="s">
        <v>1538</v>
      </c>
      <c r="E620" t="s">
        <v>1539</v>
      </c>
      <c r="F620" t="s">
        <v>7</v>
      </c>
      <c r="G620" t="s">
        <v>8</v>
      </c>
      <c r="H620">
        <v>65000000</v>
      </c>
      <c r="I620">
        <v>6.1</v>
      </c>
      <c r="J620" t="s">
        <v>8601</v>
      </c>
    </row>
    <row r="621" spans="1:10" x14ac:dyDescent="0.3">
      <c r="A621">
        <v>130</v>
      </c>
      <c r="B621">
        <v>90454043</v>
      </c>
      <c r="C621" t="s">
        <v>12</v>
      </c>
      <c r="D621" t="s">
        <v>1540</v>
      </c>
      <c r="E621" t="s">
        <v>1541</v>
      </c>
      <c r="F621" t="s">
        <v>7</v>
      </c>
      <c r="G621" t="s">
        <v>8</v>
      </c>
      <c r="H621">
        <v>65000000</v>
      </c>
      <c r="I621">
        <v>4.2</v>
      </c>
      <c r="J621" t="s">
        <v>8602</v>
      </c>
    </row>
    <row r="622" spans="1:10" x14ac:dyDescent="0.3">
      <c r="A622">
        <v>124</v>
      </c>
      <c r="B622">
        <v>84049211</v>
      </c>
      <c r="C622" t="s">
        <v>12</v>
      </c>
      <c r="D622" t="s">
        <v>1542</v>
      </c>
      <c r="E622" t="s">
        <v>1543</v>
      </c>
      <c r="F622" t="s">
        <v>7</v>
      </c>
      <c r="G622" t="s">
        <v>8</v>
      </c>
      <c r="H622">
        <v>70000000</v>
      </c>
      <c r="I622">
        <v>6.7</v>
      </c>
      <c r="J622" t="s">
        <v>8603</v>
      </c>
    </row>
    <row r="623" spans="1:10" x14ac:dyDescent="0.3">
      <c r="A623">
        <v>108</v>
      </c>
      <c r="B623">
        <v>70450000</v>
      </c>
      <c r="C623" t="s">
        <v>118</v>
      </c>
      <c r="D623" t="s">
        <v>1544</v>
      </c>
      <c r="E623" t="s">
        <v>1545</v>
      </c>
      <c r="F623" t="s">
        <v>7</v>
      </c>
      <c r="G623" t="s">
        <v>8</v>
      </c>
      <c r="H623">
        <v>50000000</v>
      </c>
      <c r="I623">
        <v>4.2</v>
      </c>
      <c r="J623" t="s">
        <v>8493</v>
      </c>
    </row>
    <row r="624" spans="1:10" x14ac:dyDescent="0.3">
      <c r="A624">
        <v>104</v>
      </c>
      <c r="B624">
        <v>69688384</v>
      </c>
      <c r="C624" t="s">
        <v>187</v>
      </c>
      <c r="D624" t="s">
        <v>1546</v>
      </c>
      <c r="E624" t="s">
        <v>1547</v>
      </c>
      <c r="F624" t="s">
        <v>7</v>
      </c>
      <c r="G624" t="s">
        <v>8</v>
      </c>
      <c r="H624">
        <v>60000000</v>
      </c>
      <c r="I624">
        <v>6.4</v>
      </c>
      <c r="J624" t="s">
        <v>8604</v>
      </c>
    </row>
    <row r="625" spans="1:10" x14ac:dyDescent="0.3">
      <c r="A625">
        <v>129</v>
      </c>
      <c r="B625">
        <v>70236496</v>
      </c>
      <c r="C625" t="s">
        <v>1160</v>
      </c>
      <c r="D625" t="s">
        <v>1548</v>
      </c>
      <c r="E625" t="s">
        <v>1549</v>
      </c>
      <c r="F625" t="s">
        <v>7</v>
      </c>
      <c r="G625" t="s">
        <v>8</v>
      </c>
      <c r="H625">
        <v>63000000</v>
      </c>
      <c r="I625">
        <v>4.9000000000000004</v>
      </c>
      <c r="J625" t="s">
        <v>8605</v>
      </c>
    </row>
    <row r="626" spans="1:10" x14ac:dyDescent="0.3">
      <c r="A626">
        <v>117</v>
      </c>
      <c r="B626">
        <v>63695760</v>
      </c>
      <c r="C626" t="s">
        <v>1417</v>
      </c>
      <c r="D626" t="s">
        <v>1550</v>
      </c>
      <c r="E626" t="s">
        <v>1551</v>
      </c>
      <c r="F626" t="s">
        <v>7</v>
      </c>
      <c r="G626" t="s">
        <v>8</v>
      </c>
      <c r="H626">
        <v>65000000</v>
      </c>
      <c r="I626">
        <v>6.8</v>
      </c>
      <c r="J626" t="s">
        <v>8482</v>
      </c>
    </row>
    <row r="627" spans="1:10" x14ac:dyDescent="0.3">
      <c r="A627">
        <v>99</v>
      </c>
      <c r="B627">
        <v>59617068</v>
      </c>
      <c r="C627" t="s">
        <v>672</v>
      </c>
      <c r="D627" t="s">
        <v>1552</v>
      </c>
      <c r="E627" t="s">
        <v>1553</v>
      </c>
      <c r="F627" t="s">
        <v>7</v>
      </c>
      <c r="G627" t="s">
        <v>8</v>
      </c>
      <c r="H627">
        <v>65000000</v>
      </c>
      <c r="I627">
        <v>7.7</v>
      </c>
      <c r="J627" t="s">
        <v>8563</v>
      </c>
    </row>
    <row r="628" spans="1:10" x14ac:dyDescent="0.3">
      <c r="A628">
        <v>159</v>
      </c>
      <c r="B628">
        <v>55637680</v>
      </c>
      <c r="C628" t="s">
        <v>780</v>
      </c>
      <c r="D628" t="s">
        <v>1554</v>
      </c>
      <c r="E628" t="s">
        <v>1555</v>
      </c>
      <c r="F628" t="s">
        <v>7</v>
      </c>
      <c r="G628" t="s">
        <v>15</v>
      </c>
      <c r="H628">
        <v>65000000</v>
      </c>
      <c r="I628">
        <v>5.6</v>
      </c>
      <c r="J628" t="s">
        <v>8606</v>
      </c>
    </row>
    <row r="629" spans="1:10" x14ac:dyDescent="0.3">
      <c r="A629">
        <v>118</v>
      </c>
      <c r="B629">
        <v>85911262</v>
      </c>
      <c r="C629" t="s">
        <v>1556</v>
      </c>
      <c r="D629" t="s">
        <v>1557</v>
      </c>
      <c r="E629" t="s">
        <v>1558</v>
      </c>
      <c r="F629" t="s">
        <v>7</v>
      </c>
      <c r="G629" t="s">
        <v>8</v>
      </c>
      <c r="H629">
        <v>65000000</v>
      </c>
      <c r="I629">
        <v>6.4</v>
      </c>
      <c r="J629" t="s">
        <v>8607</v>
      </c>
    </row>
    <row r="630" spans="1:10" x14ac:dyDescent="0.3">
      <c r="A630">
        <v>105</v>
      </c>
      <c r="B630">
        <v>53846915</v>
      </c>
      <c r="C630" t="s">
        <v>1292</v>
      </c>
      <c r="D630" t="s">
        <v>1559</v>
      </c>
      <c r="E630" t="s">
        <v>1560</v>
      </c>
      <c r="F630" t="s">
        <v>7</v>
      </c>
      <c r="G630" t="s">
        <v>8</v>
      </c>
      <c r="H630">
        <v>50100000</v>
      </c>
      <c r="I630">
        <v>7.2</v>
      </c>
      <c r="J630" t="s">
        <v>8608</v>
      </c>
    </row>
    <row r="631" spans="1:10" x14ac:dyDescent="0.3">
      <c r="A631">
        <v>103</v>
      </c>
      <c r="B631">
        <v>54758461</v>
      </c>
      <c r="C631" t="s">
        <v>564</v>
      </c>
      <c r="D631" t="s">
        <v>1561</v>
      </c>
      <c r="E631" t="s">
        <v>1562</v>
      </c>
      <c r="F631" t="s">
        <v>7</v>
      </c>
      <c r="G631" t="s">
        <v>8</v>
      </c>
      <c r="H631">
        <v>65000000</v>
      </c>
      <c r="I631">
        <v>6</v>
      </c>
      <c r="J631" t="s">
        <v>8609</v>
      </c>
    </row>
    <row r="632" spans="1:10" x14ac:dyDescent="0.3">
      <c r="A632">
        <v>122</v>
      </c>
      <c r="B632">
        <v>52397389</v>
      </c>
      <c r="C632" t="s">
        <v>1563</v>
      </c>
      <c r="D632" t="s">
        <v>1564</v>
      </c>
      <c r="E632" t="s">
        <v>1565</v>
      </c>
      <c r="F632" t="s">
        <v>7</v>
      </c>
      <c r="G632" t="s">
        <v>8</v>
      </c>
      <c r="H632">
        <v>65000000</v>
      </c>
      <c r="I632">
        <v>5.9</v>
      </c>
      <c r="J632" t="s">
        <v>8600</v>
      </c>
    </row>
    <row r="633" spans="1:10" x14ac:dyDescent="0.3">
      <c r="A633">
        <v>143</v>
      </c>
      <c r="B633">
        <v>38966057</v>
      </c>
      <c r="C633" t="s">
        <v>1040</v>
      </c>
      <c r="D633" t="s">
        <v>1566</v>
      </c>
      <c r="E633" t="s">
        <v>1567</v>
      </c>
      <c r="F633" t="s">
        <v>7</v>
      </c>
      <c r="G633" t="s">
        <v>583</v>
      </c>
      <c r="H633">
        <v>65000000</v>
      </c>
      <c r="I633">
        <v>7.9</v>
      </c>
      <c r="J633" t="s">
        <v>8452</v>
      </c>
    </row>
    <row r="634" spans="1:10" x14ac:dyDescent="0.3">
      <c r="A634">
        <v>96</v>
      </c>
      <c r="B634">
        <v>42345531</v>
      </c>
      <c r="C634" t="s">
        <v>912</v>
      </c>
      <c r="D634" t="s">
        <v>1568</v>
      </c>
      <c r="E634" t="s">
        <v>1569</v>
      </c>
      <c r="F634" t="s">
        <v>7</v>
      </c>
      <c r="G634" t="s">
        <v>284</v>
      </c>
      <c r="H634">
        <v>65000000</v>
      </c>
      <c r="I634">
        <v>6.8</v>
      </c>
      <c r="J634" t="s">
        <v>8610</v>
      </c>
    </row>
    <row r="635" spans="1:10" x14ac:dyDescent="0.3">
      <c r="A635">
        <v>111</v>
      </c>
      <c r="B635">
        <v>36064910</v>
      </c>
      <c r="C635" t="s">
        <v>1157</v>
      </c>
      <c r="D635" t="s">
        <v>1570</v>
      </c>
      <c r="E635" t="s">
        <v>1571</v>
      </c>
      <c r="F635" t="s">
        <v>7</v>
      </c>
      <c r="G635" t="s">
        <v>8</v>
      </c>
      <c r="H635">
        <v>45000000</v>
      </c>
      <c r="I635">
        <v>7.1</v>
      </c>
      <c r="J635" t="s">
        <v>8312</v>
      </c>
    </row>
    <row r="636" spans="1:10" x14ac:dyDescent="0.3">
      <c r="A636">
        <v>121</v>
      </c>
      <c r="B636">
        <v>33328051</v>
      </c>
      <c r="C636" t="s">
        <v>436</v>
      </c>
      <c r="D636" t="s">
        <v>1572</v>
      </c>
      <c r="E636" t="s">
        <v>1573</v>
      </c>
      <c r="F636" t="s">
        <v>7</v>
      </c>
      <c r="G636" t="s">
        <v>8</v>
      </c>
      <c r="H636">
        <v>65000000</v>
      </c>
      <c r="I636">
        <v>5.9</v>
      </c>
      <c r="J636" t="s">
        <v>8483</v>
      </c>
    </row>
    <row r="637" spans="1:10" x14ac:dyDescent="0.3">
      <c r="A637">
        <v>135</v>
      </c>
      <c r="B637">
        <v>32598931</v>
      </c>
      <c r="C637" t="s">
        <v>351</v>
      </c>
      <c r="D637" t="s">
        <v>1574</v>
      </c>
      <c r="E637" t="s">
        <v>1575</v>
      </c>
      <c r="F637" t="s">
        <v>7</v>
      </c>
      <c r="G637" t="s">
        <v>8</v>
      </c>
      <c r="H637">
        <v>65000000</v>
      </c>
      <c r="I637">
        <v>5.9</v>
      </c>
      <c r="J637" t="s">
        <v>8497</v>
      </c>
    </row>
    <row r="638" spans="1:10" x14ac:dyDescent="0.3">
      <c r="A638">
        <v>101</v>
      </c>
      <c r="B638">
        <v>28045540</v>
      </c>
      <c r="C638" t="s">
        <v>53</v>
      </c>
      <c r="D638" t="s">
        <v>1576</v>
      </c>
      <c r="E638" t="s">
        <v>1577</v>
      </c>
      <c r="F638" t="s">
        <v>7</v>
      </c>
      <c r="G638" t="s">
        <v>8</v>
      </c>
      <c r="H638">
        <v>65000000</v>
      </c>
      <c r="I638">
        <v>6.2</v>
      </c>
      <c r="J638" t="s">
        <v>8523</v>
      </c>
    </row>
    <row r="639" spans="1:10" x14ac:dyDescent="0.3">
      <c r="A639">
        <v>131</v>
      </c>
      <c r="B639">
        <v>43532294</v>
      </c>
      <c r="C639" t="s">
        <v>1578</v>
      </c>
      <c r="D639" t="s">
        <v>1579</v>
      </c>
      <c r="E639" t="s">
        <v>1580</v>
      </c>
      <c r="F639" t="s">
        <v>7</v>
      </c>
      <c r="G639" t="s">
        <v>8</v>
      </c>
      <c r="H639">
        <v>65000000</v>
      </c>
      <c r="I639">
        <v>7</v>
      </c>
      <c r="J639" t="s">
        <v>8611</v>
      </c>
    </row>
    <row r="640" spans="1:10" x14ac:dyDescent="0.3">
      <c r="A640">
        <v>100</v>
      </c>
      <c r="B640">
        <v>17218080</v>
      </c>
      <c r="C640" t="s">
        <v>650</v>
      </c>
      <c r="D640" t="s">
        <v>1581</v>
      </c>
      <c r="E640" t="s">
        <v>1582</v>
      </c>
      <c r="F640" t="s">
        <v>7</v>
      </c>
      <c r="G640" t="s">
        <v>8</v>
      </c>
      <c r="H640">
        <v>70000000</v>
      </c>
      <c r="I640">
        <v>5.4</v>
      </c>
      <c r="J640" t="s">
        <v>8612</v>
      </c>
    </row>
    <row r="641" spans="1:10" x14ac:dyDescent="0.3">
      <c r="A641">
        <v>105</v>
      </c>
      <c r="B641">
        <v>10014234</v>
      </c>
      <c r="C641" t="s">
        <v>386</v>
      </c>
      <c r="D641" t="s">
        <v>1583</v>
      </c>
      <c r="E641" t="s">
        <v>1584</v>
      </c>
      <c r="F641" t="s">
        <v>7</v>
      </c>
      <c r="G641" t="s">
        <v>583</v>
      </c>
      <c r="H641">
        <v>65000000</v>
      </c>
      <c r="I641">
        <v>8.6</v>
      </c>
      <c r="J641" t="s">
        <v>8332</v>
      </c>
    </row>
    <row r="642" spans="1:10" x14ac:dyDescent="0.3">
      <c r="A642">
        <v>92</v>
      </c>
      <c r="B642">
        <v>19059018</v>
      </c>
      <c r="C642" t="s">
        <v>1585</v>
      </c>
      <c r="D642" t="s">
        <v>1586</v>
      </c>
      <c r="E642" t="s">
        <v>1587</v>
      </c>
      <c r="F642" t="s">
        <v>7</v>
      </c>
      <c r="G642" t="s">
        <v>132</v>
      </c>
      <c r="H642">
        <v>65000000</v>
      </c>
      <c r="I642">
        <v>6.5</v>
      </c>
      <c r="J642" t="s">
        <v>8613</v>
      </c>
    </row>
    <row r="643" spans="1:10" x14ac:dyDescent="0.3">
      <c r="A643">
        <v>130</v>
      </c>
      <c r="B643">
        <v>1987287</v>
      </c>
      <c r="C643" t="s">
        <v>786</v>
      </c>
      <c r="D643" t="s">
        <v>1588</v>
      </c>
      <c r="E643" t="s">
        <v>1589</v>
      </c>
      <c r="F643" t="s">
        <v>7</v>
      </c>
      <c r="G643" t="s">
        <v>15</v>
      </c>
      <c r="H643">
        <v>50000000</v>
      </c>
      <c r="I643">
        <v>6.4</v>
      </c>
      <c r="J643" t="s">
        <v>8513</v>
      </c>
    </row>
    <row r="644" spans="1:10" x14ac:dyDescent="0.3">
      <c r="A644">
        <v>100</v>
      </c>
      <c r="B644">
        <v>24407944</v>
      </c>
      <c r="C644" t="s">
        <v>1237</v>
      </c>
      <c r="D644" t="s">
        <v>1590</v>
      </c>
      <c r="E644" t="s">
        <v>1591</v>
      </c>
      <c r="F644" t="s">
        <v>7</v>
      </c>
      <c r="G644" t="s">
        <v>95</v>
      </c>
      <c r="H644">
        <v>43000000</v>
      </c>
      <c r="I644">
        <v>7.6</v>
      </c>
      <c r="J644" t="s">
        <v>8468</v>
      </c>
    </row>
    <row r="645" spans="1:10" x14ac:dyDescent="0.3">
      <c r="A645">
        <v>102</v>
      </c>
      <c r="B645">
        <v>13750556</v>
      </c>
      <c r="C645" t="s">
        <v>118</v>
      </c>
      <c r="D645" t="s">
        <v>1592</v>
      </c>
      <c r="E645" t="s">
        <v>1593</v>
      </c>
      <c r="F645" t="s">
        <v>7</v>
      </c>
      <c r="G645" t="s">
        <v>8</v>
      </c>
      <c r="H645">
        <v>65000000</v>
      </c>
      <c r="I645">
        <v>5.5</v>
      </c>
      <c r="J645" t="s">
        <v>8614</v>
      </c>
    </row>
    <row r="646" spans="1:10" x14ac:dyDescent="0.3">
      <c r="A646">
        <v>133</v>
      </c>
      <c r="B646">
        <v>31054924</v>
      </c>
      <c r="C646" t="s">
        <v>1594</v>
      </c>
      <c r="D646" t="s">
        <v>1595</v>
      </c>
      <c r="E646" t="s">
        <v>1596</v>
      </c>
      <c r="F646" t="s">
        <v>7</v>
      </c>
      <c r="G646" t="s">
        <v>8</v>
      </c>
      <c r="H646">
        <v>64000000</v>
      </c>
      <c r="I646">
        <v>7.4</v>
      </c>
      <c r="J646" t="s">
        <v>8332</v>
      </c>
    </row>
    <row r="647" spans="1:10" x14ac:dyDescent="0.3">
      <c r="A647">
        <v>121</v>
      </c>
      <c r="B647">
        <v>43247140</v>
      </c>
      <c r="C647" t="s">
        <v>1597</v>
      </c>
      <c r="D647" t="s">
        <v>1598</v>
      </c>
      <c r="E647" t="s">
        <v>1599</v>
      </c>
      <c r="F647" t="s">
        <v>7</v>
      </c>
      <c r="G647" t="s">
        <v>15</v>
      </c>
      <c r="H647">
        <v>55000000</v>
      </c>
      <c r="I647">
        <v>8.6999999999999993</v>
      </c>
      <c r="J647" t="s">
        <v>8338</v>
      </c>
    </row>
    <row r="648" spans="1:10" x14ac:dyDescent="0.3">
      <c r="A648">
        <v>147</v>
      </c>
      <c r="B648">
        <v>2208939</v>
      </c>
      <c r="C648" t="s">
        <v>1600</v>
      </c>
      <c r="D648" t="s">
        <v>1601</v>
      </c>
      <c r="E648" t="s">
        <v>1602</v>
      </c>
      <c r="F648" t="s">
        <v>7</v>
      </c>
      <c r="G648" t="s">
        <v>284</v>
      </c>
      <c r="H648">
        <v>50000000</v>
      </c>
      <c r="I648">
        <v>7.6</v>
      </c>
      <c r="J648" t="s">
        <v>8378</v>
      </c>
    </row>
    <row r="649" spans="1:10" x14ac:dyDescent="0.3">
      <c r="A649">
        <v>94</v>
      </c>
      <c r="B649">
        <v>213079163</v>
      </c>
      <c r="C649" t="s">
        <v>704</v>
      </c>
      <c r="D649" t="s">
        <v>1603</v>
      </c>
      <c r="E649" t="s">
        <v>1604</v>
      </c>
      <c r="F649" t="s">
        <v>7</v>
      </c>
      <c r="G649" t="s">
        <v>8</v>
      </c>
      <c r="H649">
        <v>63000000</v>
      </c>
      <c r="I649">
        <v>7.5</v>
      </c>
      <c r="J649" t="s">
        <v>8423</v>
      </c>
    </row>
    <row r="650" spans="1:10" x14ac:dyDescent="0.3">
      <c r="A650">
        <v>94</v>
      </c>
      <c r="B650">
        <v>19548064</v>
      </c>
      <c r="C650" t="s">
        <v>487</v>
      </c>
      <c r="D650" t="s">
        <v>1605</v>
      </c>
      <c r="E650" t="s">
        <v>1606</v>
      </c>
      <c r="F650" t="s">
        <v>7</v>
      </c>
      <c r="G650" t="s">
        <v>1607</v>
      </c>
      <c r="H650">
        <v>65000000</v>
      </c>
      <c r="I650">
        <v>5.5</v>
      </c>
      <c r="J650" t="s">
        <v>8615</v>
      </c>
    </row>
    <row r="651" spans="1:10" x14ac:dyDescent="0.3">
      <c r="A651">
        <v>127</v>
      </c>
      <c r="B651">
        <v>356784000</v>
      </c>
      <c r="C651" t="s">
        <v>454</v>
      </c>
      <c r="D651" t="s">
        <v>1608</v>
      </c>
      <c r="E651" t="s">
        <v>1609</v>
      </c>
      <c r="F651" t="s">
        <v>7</v>
      </c>
      <c r="G651" t="s">
        <v>8</v>
      </c>
      <c r="H651">
        <v>63000000</v>
      </c>
      <c r="I651">
        <v>7.6</v>
      </c>
      <c r="J651" t="s">
        <v>8616</v>
      </c>
    </row>
    <row r="652" spans="1:10" x14ac:dyDescent="0.3">
      <c r="A652">
        <v>212</v>
      </c>
      <c r="B652">
        <v>25052000</v>
      </c>
      <c r="C652" t="s">
        <v>1610</v>
      </c>
      <c r="D652" t="s">
        <v>1611</v>
      </c>
      <c r="E652" t="s">
        <v>1612</v>
      </c>
      <c r="F652" t="s">
        <v>7</v>
      </c>
      <c r="G652" t="s">
        <v>8</v>
      </c>
      <c r="H652">
        <v>63000000</v>
      </c>
      <c r="I652">
        <v>6.5</v>
      </c>
      <c r="J652" t="s">
        <v>8617</v>
      </c>
    </row>
    <row r="653" spans="1:10" x14ac:dyDescent="0.3">
      <c r="A653">
        <v>141</v>
      </c>
      <c r="B653">
        <v>122012710</v>
      </c>
      <c r="C653" t="s">
        <v>164</v>
      </c>
      <c r="D653" t="s">
        <v>1613</v>
      </c>
      <c r="E653" t="s">
        <v>1614</v>
      </c>
      <c r="F653" t="s">
        <v>7</v>
      </c>
      <c r="G653" t="s">
        <v>8</v>
      </c>
      <c r="H653">
        <v>62000000</v>
      </c>
      <c r="I653">
        <v>6.9</v>
      </c>
      <c r="J653" t="s">
        <v>8460</v>
      </c>
    </row>
    <row r="654" spans="1:10" x14ac:dyDescent="0.3">
      <c r="A654">
        <v>103</v>
      </c>
      <c r="B654">
        <v>72413</v>
      </c>
      <c r="C654" t="s">
        <v>62</v>
      </c>
      <c r="D654" t="s">
        <v>1615</v>
      </c>
      <c r="E654" t="s">
        <v>1616</v>
      </c>
      <c r="F654" t="s">
        <v>792</v>
      </c>
      <c r="G654" t="s">
        <v>339</v>
      </c>
      <c r="H654">
        <v>65000000</v>
      </c>
      <c r="I654">
        <v>6.7</v>
      </c>
      <c r="J654" t="s">
        <v>8324</v>
      </c>
    </row>
    <row r="655" spans="1:10" x14ac:dyDescent="0.3">
      <c r="A655">
        <v>98</v>
      </c>
      <c r="B655">
        <v>58255287</v>
      </c>
      <c r="C655" t="s">
        <v>386</v>
      </c>
      <c r="D655" t="s">
        <v>1617</v>
      </c>
      <c r="E655" t="s">
        <v>1618</v>
      </c>
      <c r="F655" t="s">
        <v>7</v>
      </c>
      <c r="G655" t="s">
        <v>8</v>
      </c>
      <c r="H655">
        <v>64000000</v>
      </c>
      <c r="I655">
        <v>6.6</v>
      </c>
      <c r="J655" t="s">
        <v>8528</v>
      </c>
    </row>
    <row r="656" spans="1:10" x14ac:dyDescent="0.3">
      <c r="A656">
        <v>116</v>
      </c>
      <c r="B656">
        <v>77086030</v>
      </c>
      <c r="C656" t="s">
        <v>1619</v>
      </c>
      <c r="D656" t="s">
        <v>1620</v>
      </c>
      <c r="E656" t="s">
        <v>1621</v>
      </c>
      <c r="F656" t="s">
        <v>7</v>
      </c>
      <c r="G656" t="s">
        <v>583</v>
      </c>
      <c r="H656">
        <v>62000000</v>
      </c>
      <c r="I656">
        <v>7.2</v>
      </c>
      <c r="J656" t="s">
        <v>8618</v>
      </c>
    </row>
    <row r="657" spans="1:10" x14ac:dyDescent="0.3">
      <c r="A657">
        <v>114</v>
      </c>
      <c r="B657">
        <v>65000000</v>
      </c>
      <c r="C657" t="s">
        <v>561</v>
      </c>
      <c r="D657" t="s">
        <v>1622</v>
      </c>
      <c r="E657" t="s">
        <v>1623</v>
      </c>
      <c r="F657" t="s">
        <v>7</v>
      </c>
      <c r="G657" t="s">
        <v>8</v>
      </c>
      <c r="H657">
        <v>62000000</v>
      </c>
      <c r="I657">
        <v>6.4</v>
      </c>
      <c r="J657" t="s">
        <v>8619</v>
      </c>
    </row>
    <row r="658" spans="1:10" x14ac:dyDescent="0.3">
      <c r="A658">
        <v>87</v>
      </c>
      <c r="B658">
        <v>32178777</v>
      </c>
      <c r="C658" t="s">
        <v>1624</v>
      </c>
      <c r="D658" t="s">
        <v>1625</v>
      </c>
      <c r="E658" t="s">
        <v>1626</v>
      </c>
      <c r="F658" t="s">
        <v>7</v>
      </c>
      <c r="G658" t="s">
        <v>8</v>
      </c>
      <c r="H658">
        <v>62000000</v>
      </c>
      <c r="I658">
        <v>6.4</v>
      </c>
      <c r="J658" t="s">
        <v>8493</v>
      </c>
    </row>
    <row r="659" spans="1:10" x14ac:dyDescent="0.3">
      <c r="A659">
        <v>125</v>
      </c>
      <c r="B659">
        <v>15738632</v>
      </c>
      <c r="C659" t="s">
        <v>148</v>
      </c>
      <c r="D659" t="s">
        <v>1627</v>
      </c>
      <c r="E659" t="s">
        <v>1628</v>
      </c>
      <c r="F659" t="s">
        <v>7</v>
      </c>
      <c r="G659" t="s">
        <v>8</v>
      </c>
      <c r="H659">
        <v>42000000</v>
      </c>
      <c r="I659">
        <v>6</v>
      </c>
      <c r="J659" t="s">
        <v>8427</v>
      </c>
    </row>
    <row r="660" spans="1:10" x14ac:dyDescent="0.3">
      <c r="A660">
        <v>187</v>
      </c>
      <c r="B660">
        <v>54116191</v>
      </c>
      <c r="C660" t="s">
        <v>1629</v>
      </c>
      <c r="D660" t="s">
        <v>1630</v>
      </c>
      <c r="E660" t="s">
        <v>1631</v>
      </c>
      <c r="F660" t="s">
        <v>7</v>
      </c>
      <c r="G660" t="s">
        <v>8</v>
      </c>
      <c r="H660">
        <v>44000000</v>
      </c>
      <c r="I660">
        <v>6.1</v>
      </c>
      <c r="J660" t="s">
        <v>8365</v>
      </c>
    </row>
    <row r="661" spans="1:10" x14ac:dyDescent="0.3">
      <c r="A661">
        <v>93</v>
      </c>
      <c r="B661">
        <v>118153533</v>
      </c>
      <c r="C661" t="s">
        <v>1632</v>
      </c>
      <c r="D661" t="s">
        <v>1633</v>
      </c>
      <c r="E661" t="s">
        <v>1634</v>
      </c>
      <c r="F661" t="s">
        <v>7</v>
      </c>
      <c r="G661" t="s">
        <v>8</v>
      </c>
      <c r="H661">
        <v>61000000</v>
      </c>
      <c r="I661">
        <v>6</v>
      </c>
      <c r="J661" t="s">
        <v>8372</v>
      </c>
    </row>
    <row r="662" spans="1:10" x14ac:dyDescent="0.3">
      <c r="A662">
        <v>95</v>
      </c>
      <c r="B662">
        <v>108012170</v>
      </c>
      <c r="C662" t="s">
        <v>96</v>
      </c>
      <c r="D662" t="s">
        <v>1635</v>
      </c>
      <c r="E662" t="s">
        <v>1636</v>
      </c>
      <c r="F662" t="s">
        <v>7</v>
      </c>
      <c r="G662" t="s">
        <v>8</v>
      </c>
      <c r="H662">
        <v>63000000</v>
      </c>
      <c r="I662">
        <v>6.4</v>
      </c>
      <c r="J662" t="s">
        <v>8330</v>
      </c>
    </row>
    <row r="663" spans="1:10" x14ac:dyDescent="0.3">
      <c r="A663">
        <v>117</v>
      </c>
      <c r="B663">
        <v>210592590</v>
      </c>
      <c r="C663" t="s">
        <v>625</v>
      </c>
      <c r="D663" t="s">
        <v>1637</v>
      </c>
      <c r="E663" t="s">
        <v>1638</v>
      </c>
      <c r="F663" t="s">
        <v>7</v>
      </c>
      <c r="G663" t="s">
        <v>8</v>
      </c>
      <c r="H663">
        <v>65000000</v>
      </c>
      <c r="I663">
        <v>6.4</v>
      </c>
      <c r="J663" t="s">
        <v>8620</v>
      </c>
    </row>
    <row r="664" spans="1:10" x14ac:dyDescent="0.3">
      <c r="A664">
        <v>106</v>
      </c>
      <c r="B664">
        <v>279167575</v>
      </c>
      <c r="C664" t="s">
        <v>672</v>
      </c>
      <c r="D664" t="s">
        <v>1639</v>
      </c>
      <c r="E664" t="s">
        <v>1640</v>
      </c>
      <c r="F664" t="s">
        <v>7</v>
      </c>
      <c r="G664" t="s">
        <v>8</v>
      </c>
      <c r="H664">
        <v>80000000</v>
      </c>
      <c r="I664">
        <v>7.3</v>
      </c>
      <c r="J664" t="s">
        <v>8621</v>
      </c>
    </row>
    <row r="665" spans="1:10" x14ac:dyDescent="0.3">
      <c r="A665">
        <v>115</v>
      </c>
      <c r="B665">
        <v>143151473</v>
      </c>
      <c r="C665" t="s">
        <v>1641</v>
      </c>
      <c r="D665" t="s">
        <v>1642</v>
      </c>
      <c r="E665" t="s">
        <v>1643</v>
      </c>
      <c r="F665" t="s">
        <v>7</v>
      </c>
      <c r="G665" t="s">
        <v>8</v>
      </c>
      <c r="H665">
        <v>60000000</v>
      </c>
      <c r="I665">
        <v>5.2</v>
      </c>
      <c r="J665" t="s">
        <v>8622</v>
      </c>
    </row>
    <row r="666" spans="1:10" x14ac:dyDescent="0.3">
      <c r="A666">
        <v>189</v>
      </c>
      <c r="B666">
        <v>136801374</v>
      </c>
      <c r="C666" t="s">
        <v>1644</v>
      </c>
      <c r="D666" t="s">
        <v>1645</v>
      </c>
      <c r="E666" t="s">
        <v>1646</v>
      </c>
      <c r="F666" t="s">
        <v>7</v>
      </c>
      <c r="G666" t="s">
        <v>8</v>
      </c>
      <c r="H666">
        <v>60000000</v>
      </c>
      <c r="I666">
        <v>6.6</v>
      </c>
      <c r="J666" t="s">
        <v>8623</v>
      </c>
    </row>
    <row r="667" spans="1:10" x14ac:dyDescent="0.3">
      <c r="A667">
        <v>81</v>
      </c>
      <c r="B667">
        <v>135381507</v>
      </c>
      <c r="C667" t="s">
        <v>227</v>
      </c>
      <c r="D667" t="s">
        <v>1647</v>
      </c>
      <c r="E667" t="s">
        <v>1648</v>
      </c>
      <c r="F667" t="s">
        <v>7</v>
      </c>
      <c r="G667" t="s">
        <v>8</v>
      </c>
      <c r="H667">
        <v>150000000</v>
      </c>
      <c r="I667">
        <v>6.3</v>
      </c>
      <c r="J667" t="s">
        <v>8326</v>
      </c>
    </row>
    <row r="668" spans="1:10" x14ac:dyDescent="0.3">
      <c r="A668">
        <v>149</v>
      </c>
      <c r="B668">
        <v>167735396</v>
      </c>
      <c r="C668" t="s">
        <v>882</v>
      </c>
      <c r="D668" t="s">
        <v>1649</v>
      </c>
      <c r="E668" t="s">
        <v>1650</v>
      </c>
      <c r="F668" t="s">
        <v>7</v>
      </c>
      <c r="G668" t="s">
        <v>8</v>
      </c>
      <c r="H668">
        <v>61000000</v>
      </c>
      <c r="I668">
        <v>5.9</v>
      </c>
      <c r="J668" t="s">
        <v>8624</v>
      </c>
    </row>
    <row r="669" spans="1:10" x14ac:dyDescent="0.3">
      <c r="A669">
        <v>119</v>
      </c>
      <c r="B669">
        <v>121468960</v>
      </c>
      <c r="C669" t="s">
        <v>449</v>
      </c>
      <c r="D669" t="s">
        <v>1651</v>
      </c>
      <c r="E669" t="s">
        <v>1652</v>
      </c>
      <c r="F669" t="s">
        <v>7</v>
      </c>
      <c r="G669" t="s">
        <v>8</v>
      </c>
      <c r="H669">
        <v>60000000</v>
      </c>
      <c r="I669">
        <v>6.4</v>
      </c>
      <c r="J669" t="s">
        <v>8506</v>
      </c>
    </row>
    <row r="670" spans="1:10" x14ac:dyDescent="0.3">
      <c r="A670">
        <v>130</v>
      </c>
      <c r="B670">
        <v>106635996</v>
      </c>
      <c r="C670" t="s">
        <v>12</v>
      </c>
      <c r="D670" t="s">
        <v>1653</v>
      </c>
      <c r="E670" t="s">
        <v>1654</v>
      </c>
      <c r="F670" t="s">
        <v>7</v>
      </c>
      <c r="G670" t="s">
        <v>15</v>
      </c>
      <c r="H670">
        <v>58000000</v>
      </c>
      <c r="I670">
        <v>6.7</v>
      </c>
      <c r="J670" t="s">
        <v>8565</v>
      </c>
    </row>
    <row r="671" spans="1:10" x14ac:dyDescent="0.3">
      <c r="A671">
        <v>116</v>
      </c>
      <c r="B671">
        <v>102678089</v>
      </c>
      <c r="C671" t="s">
        <v>780</v>
      </c>
      <c r="D671" t="s">
        <v>1655</v>
      </c>
      <c r="E671" t="s">
        <v>1656</v>
      </c>
      <c r="F671" t="s">
        <v>7</v>
      </c>
      <c r="G671" t="s">
        <v>8</v>
      </c>
      <c r="H671">
        <v>95000000</v>
      </c>
      <c r="I671">
        <v>5.4</v>
      </c>
      <c r="J671" t="s">
        <v>8509</v>
      </c>
    </row>
    <row r="672" spans="1:10" x14ac:dyDescent="0.3">
      <c r="A672">
        <v>103</v>
      </c>
      <c r="B672">
        <v>125603360</v>
      </c>
      <c r="C672" t="s">
        <v>934</v>
      </c>
      <c r="D672" t="s">
        <v>1657</v>
      </c>
      <c r="E672" t="s">
        <v>1658</v>
      </c>
      <c r="F672" t="s">
        <v>7</v>
      </c>
      <c r="G672" t="s">
        <v>8</v>
      </c>
      <c r="H672">
        <v>60000000</v>
      </c>
      <c r="I672">
        <v>6.4</v>
      </c>
      <c r="J672" t="s">
        <v>8509</v>
      </c>
    </row>
    <row r="673" spans="1:10" x14ac:dyDescent="0.3">
      <c r="A673">
        <v>99</v>
      </c>
      <c r="B673">
        <v>101217900</v>
      </c>
      <c r="C673" t="s">
        <v>1659</v>
      </c>
      <c r="D673" t="s">
        <v>1660</v>
      </c>
      <c r="E673" t="s">
        <v>1661</v>
      </c>
      <c r="F673" t="s">
        <v>7</v>
      </c>
      <c r="G673" t="s">
        <v>8</v>
      </c>
      <c r="H673">
        <v>70000000</v>
      </c>
      <c r="I673">
        <v>6.7</v>
      </c>
      <c r="J673" t="s">
        <v>8493</v>
      </c>
    </row>
    <row r="674" spans="1:10" x14ac:dyDescent="0.3">
      <c r="A674">
        <v>92</v>
      </c>
      <c r="B674">
        <v>104148781</v>
      </c>
      <c r="C674" t="s">
        <v>1261</v>
      </c>
      <c r="D674" t="s">
        <v>1662</v>
      </c>
      <c r="E674" t="s">
        <v>1663</v>
      </c>
      <c r="F674" t="s">
        <v>7</v>
      </c>
      <c r="G674" t="s">
        <v>8</v>
      </c>
      <c r="H674">
        <v>60000000</v>
      </c>
      <c r="I674">
        <v>6.2</v>
      </c>
      <c r="J674" t="s">
        <v>8625</v>
      </c>
    </row>
    <row r="675" spans="1:10" x14ac:dyDescent="0.3">
      <c r="A675">
        <v>109</v>
      </c>
      <c r="B675">
        <v>75573300</v>
      </c>
      <c r="C675" t="s">
        <v>1480</v>
      </c>
      <c r="D675" t="s">
        <v>1664</v>
      </c>
      <c r="E675" t="s">
        <v>1665</v>
      </c>
      <c r="F675" t="s">
        <v>7</v>
      </c>
      <c r="G675" t="s">
        <v>8</v>
      </c>
      <c r="H675">
        <v>61000000</v>
      </c>
      <c r="I675">
        <v>6.1</v>
      </c>
      <c r="J675" t="s">
        <v>8341</v>
      </c>
    </row>
    <row r="676" spans="1:10" x14ac:dyDescent="0.3">
      <c r="A676">
        <v>87</v>
      </c>
      <c r="B676">
        <v>93375151</v>
      </c>
      <c r="C676" t="s">
        <v>1027</v>
      </c>
      <c r="D676" t="s">
        <v>1666</v>
      </c>
      <c r="E676" t="s">
        <v>1667</v>
      </c>
      <c r="F676" t="s">
        <v>7</v>
      </c>
      <c r="G676" t="s">
        <v>8</v>
      </c>
      <c r="H676">
        <v>60000000</v>
      </c>
      <c r="I676">
        <v>8.8000000000000007</v>
      </c>
      <c r="J676" t="s">
        <v>8362</v>
      </c>
    </row>
    <row r="677" spans="1:10" x14ac:dyDescent="0.3">
      <c r="A677">
        <v>111</v>
      </c>
      <c r="B677">
        <v>106126012</v>
      </c>
      <c r="C677" t="s">
        <v>118</v>
      </c>
      <c r="D677" t="s">
        <v>1668</v>
      </c>
      <c r="E677" t="s">
        <v>1669</v>
      </c>
      <c r="F677" t="s">
        <v>7</v>
      </c>
      <c r="G677" t="s">
        <v>8</v>
      </c>
      <c r="H677">
        <v>60000000</v>
      </c>
      <c r="I677">
        <v>7.1</v>
      </c>
      <c r="J677" t="s">
        <v>8326</v>
      </c>
    </row>
    <row r="678" spans="1:10" x14ac:dyDescent="0.3">
      <c r="A678">
        <v>83</v>
      </c>
      <c r="B678">
        <v>90646554</v>
      </c>
      <c r="C678" t="s">
        <v>167</v>
      </c>
      <c r="D678" t="s">
        <v>1670</v>
      </c>
      <c r="E678" t="s">
        <v>1671</v>
      </c>
      <c r="F678" t="s">
        <v>7</v>
      </c>
      <c r="G678" t="s">
        <v>8</v>
      </c>
      <c r="H678">
        <v>105000000</v>
      </c>
      <c r="I678">
        <v>5.7</v>
      </c>
      <c r="J678" t="s">
        <v>8626</v>
      </c>
    </row>
    <row r="679" spans="1:10" x14ac:dyDescent="0.3">
      <c r="A679">
        <v>113</v>
      </c>
      <c r="B679">
        <v>109176215</v>
      </c>
      <c r="C679" t="s">
        <v>668</v>
      </c>
      <c r="D679" t="s">
        <v>1672</v>
      </c>
      <c r="E679" t="s">
        <v>1673</v>
      </c>
      <c r="F679" t="s">
        <v>7</v>
      </c>
      <c r="G679" t="s">
        <v>8</v>
      </c>
      <c r="H679">
        <v>60000000</v>
      </c>
      <c r="I679">
        <v>5</v>
      </c>
      <c r="J679" t="s">
        <v>8617</v>
      </c>
    </row>
    <row r="680" spans="1:10" x14ac:dyDescent="0.3">
      <c r="A680">
        <v>107</v>
      </c>
      <c r="B680">
        <v>82670733</v>
      </c>
      <c r="C680" t="s">
        <v>1350</v>
      </c>
      <c r="D680" t="s">
        <v>1674</v>
      </c>
      <c r="E680" t="s">
        <v>1675</v>
      </c>
      <c r="F680" t="s">
        <v>7</v>
      </c>
      <c r="G680" t="s">
        <v>8</v>
      </c>
      <c r="H680">
        <v>60000000</v>
      </c>
      <c r="I680">
        <v>5.0999999999999996</v>
      </c>
      <c r="J680" t="s">
        <v>8627</v>
      </c>
    </row>
    <row r="681" spans="1:10" x14ac:dyDescent="0.3">
      <c r="A681">
        <v>94</v>
      </c>
      <c r="B681">
        <v>82569532</v>
      </c>
      <c r="C681" t="s">
        <v>976</v>
      </c>
      <c r="D681" t="s">
        <v>1676</v>
      </c>
      <c r="E681" t="s">
        <v>1677</v>
      </c>
      <c r="F681" t="s">
        <v>7</v>
      </c>
      <c r="G681" t="s">
        <v>8</v>
      </c>
      <c r="H681">
        <v>60000000</v>
      </c>
      <c r="I681">
        <v>6.9</v>
      </c>
      <c r="J681" t="s">
        <v>8628</v>
      </c>
    </row>
    <row r="682" spans="1:10" x14ac:dyDescent="0.3">
      <c r="A682">
        <v>132</v>
      </c>
      <c r="B682">
        <v>81687587</v>
      </c>
      <c r="C682" t="s">
        <v>1157</v>
      </c>
      <c r="D682" t="s">
        <v>1678</v>
      </c>
      <c r="E682" t="s">
        <v>1679</v>
      </c>
      <c r="F682" t="s">
        <v>7</v>
      </c>
      <c r="G682" t="s">
        <v>8</v>
      </c>
      <c r="H682">
        <v>61000000</v>
      </c>
      <c r="I682">
        <v>4.8</v>
      </c>
      <c r="J682" t="s">
        <v>8611</v>
      </c>
    </row>
    <row r="683" spans="1:10" x14ac:dyDescent="0.3">
      <c r="A683">
        <v>140</v>
      </c>
      <c r="B683">
        <v>80574010</v>
      </c>
      <c r="C683" t="s">
        <v>73</v>
      </c>
      <c r="D683" t="s">
        <v>1680</v>
      </c>
      <c r="E683" t="s">
        <v>1681</v>
      </c>
      <c r="F683" t="s">
        <v>7</v>
      </c>
      <c r="G683" t="s">
        <v>8</v>
      </c>
      <c r="H683">
        <v>60000000</v>
      </c>
      <c r="I683">
        <v>6.5</v>
      </c>
      <c r="J683" t="s">
        <v>8629</v>
      </c>
    </row>
    <row r="684" spans="1:10" x14ac:dyDescent="0.3">
      <c r="A684">
        <v>125</v>
      </c>
      <c r="B684">
        <v>75764085</v>
      </c>
      <c r="C684" t="s">
        <v>1024</v>
      </c>
      <c r="D684" t="s">
        <v>1682</v>
      </c>
      <c r="E684" t="s">
        <v>1683</v>
      </c>
      <c r="F684" t="s">
        <v>7</v>
      </c>
      <c r="G684" t="s">
        <v>8</v>
      </c>
      <c r="H684">
        <v>60000000</v>
      </c>
      <c r="I684">
        <v>5.0999999999999996</v>
      </c>
      <c r="J684" t="s">
        <v>8500</v>
      </c>
    </row>
    <row r="685" spans="1:10" x14ac:dyDescent="0.3">
      <c r="A685">
        <v>111</v>
      </c>
      <c r="B685">
        <v>90356857</v>
      </c>
      <c r="C685" t="s">
        <v>148</v>
      </c>
      <c r="D685" t="s">
        <v>1684</v>
      </c>
      <c r="E685" t="s">
        <v>1685</v>
      </c>
      <c r="F685" t="s">
        <v>7</v>
      </c>
      <c r="G685" t="s">
        <v>8</v>
      </c>
      <c r="H685">
        <v>58000000</v>
      </c>
      <c r="I685">
        <v>7.1</v>
      </c>
      <c r="J685" t="s">
        <v>8630</v>
      </c>
    </row>
    <row r="686" spans="1:10" x14ac:dyDescent="0.3">
      <c r="A686">
        <v>156</v>
      </c>
      <c r="B686">
        <v>75530832</v>
      </c>
      <c r="C686" t="s">
        <v>1578</v>
      </c>
      <c r="D686" t="s">
        <v>1686</v>
      </c>
      <c r="E686" t="s">
        <v>1687</v>
      </c>
      <c r="F686" t="s">
        <v>7</v>
      </c>
      <c r="G686" t="s">
        <v>8</v>
      </c>
      <c r="H686">
        <v>55000000</v>
      </c>
      <c r="I686">
        <v>7.5</v>
      </c>
      <c r="J686" t="s">
        <v>8471</v>
      </c>
    </row>
    <row r="687" spans="1:10" x14ac:dyDescent="0.3">
      <c r="A687">
        <v>170</v>
      </c>
      <c r="B687">
        <v>75370763</v>
      </c>
      <c r="C687" t="s">
        <v>1688</v>
      </c>
      <c r="D687" t="s">
        <v>1689</v>
      </c>
      <c r="E687" t="s">
        <v>1690</v>
      </c>
      <c r="F687" t="s">
        <v>7</v>
      </c>
      <c r="G687" t="s">
        <v>8</v>
      </c>
      <c r="H687">
        <v>60000000</v>
      </c>
      <c r="I687">
        <v>6.2</v>
      </c>
      <c r="J687" t="s">
        <v>8483</v>
      </c>
    </row>
    <row r="688" spans="1:10" x14ac:dyDescent="0.3">
      <c r="A688">
        <v>120</v>
      </c>
      <c r="B688">
        <v>100003492</v>
      </c>
      <c r="C688" t="s">
        <v>873</v>
      </c>
      <c r="D688" t="s">
        <v>1691</v>
      </c>
      <c r="E688" t="s">
        <v>1692</v>
      </c>
      <c r="F688" t="s">
        <v>7</v>
      </c>
      <c r="G688" t="s">
        <v>8</v>
      </c>
      <c r="H688">
        <v>65000000</v>
      </c>
      <c r="I688">
        <v>6.3</v>
      </c>
      <c r="J688" t="s">
        <v>8389</v>
      </c>
    </row>
    <row r="689" spans="1:10" x14ac:dyDescent="0.3">
      <c r="A689">
        <v>100</v>
      </c>
      <c r="B689">
        <v>90341670</v>
      </c>
      <c r="C689" t="s">
        <v>783</v>
      </c>
      <c r="D689" t="s">
        <v>1693</v>
      </c>
      <c r="E689" t="s">
        <v>1694</v>
      </c>
      <c r="F689" t="s">
        <v>7</v>
      </c>
      <c r="G689" t="s">
        <v>8</v>
      </c>
      <c r="H689">
        <v>60000000</v>
      </c>
      <c r="I689">
        <v>8.1</v>
      </c>
      <c r="J689" t="s">
        <v>8332</v>
      </c>
    </row>
    <row r="690" spans="1:10" x14ac:dyDescent="0.3">
      <c r="A690">
        <v>115</v>
      </c>
      <c r="B690">
        <v>74540762</v>
      </c>
      <c r="C690" t="s">
        <v>351</v>
      </c>
      <c r="D690" t="s">
        <v>1695</v>
      </c>
      <c r="E690" t="s">
        <v>1696</v>
      </c>
      <c r="F690" t="s">
        <v>7</v>
      </c>
      <c r="G690" t="s">
        <v>8</v>
      </c>
      <c r="H690">
        <v>55000000</v>
      </c>
      <c r="I690">
        <v>6.6</v>
      </c>
      <c r="J690" t="s">
        <v>8614</v>
      </c>
    </row>
    <row r="691" spans="1:10" x14ac:dyDescent="0.3">
      <c r="A691">
        <v>130</v>
      </c>
      <c r="B691">
        <v>80033643</v>
      </c>
      <c r="C691" t="s">
        <v>466</v>
      </c>
      <c r="D691" t="s">
        <v>1697</v>
      </c>
      <c r="E691" t="s">
        <v>1698</v>
      </c>
      <c r="F691" t="s">
        <v>7</v>
      </c>
      <c r="G691" t="s">
        <v>8</v>
      </c>
      <c r="H691">
        <v>60000000</v>
      </c>
      <c r="I691">
        <v>6.9</v>
      </c>
      <c r="J691" t="s">
        <v>8413</v>
      </c>
    </row>
    <row r="692" spans="1:10" x14ac:dyDescent="0.3">
      <c r="A692">
        <v>105</v>
      </c>
      <c r="B692">
        <v>73648142</v>
      </c>
      <c r="C692" t="s">
        <v>1157</v>
      </c>
      <c r="D692" t="s">
        <v>1699</v>
      </c>
      <c r="E692" t="s">
        <v>1700</v>
      </c>
      <c r="F692" t="s">
        <v>7</v>
      </c>
      <c r="G692" t="s">
        <v>8</v>
      </c>
      <c r="H692">
        <v>60000000</v>
      </c>
      <c r="I692">
        <v>6.1</v>
      </c>
      <c r="J692" t="s">
        <v>8631</v>
      </c>
    </row>
    <row r="693" spans="1:10" x14ac:dyDescent="0.3">
      <c r="A693">
        <v>111</v>
      </c>
      <c r="B693">
        <v>71844424</v>
      </c>
      <c r="C693" t="s">
        <v>1701</v>
      </c>
      <c r="D693" t="s">
        <v>1702</v>
      </c>
      <c r="E693" t="s">
        <v>1703</v>
      </c>
      <c r="F693" t="s">
        <v>7</v>
      </c>
      <c r="G693" t="s">
        <v>8</v>
      </c>
      <c r="H693">
        <v>60000000</v>
      </c>
      <c r="I693">
        <v>4.3</v>
      </c>
      <c r="J693" t="s">
        <v>8632</v>
      </c>
    </row>
    <row r="694" spans="1:10" x14ac:dyDescent="0.3">
      <c r="A694">
        <v>106</v>
      </c>
      <c r="B694">
        <v>75638743</v>
      </c>
      <c r="C694" t="s">
        <v>1704</v>
      </c>
      <c r="D694" t="s">
        <v>1705</v>
      </c>
      <c r="E694" t="s">
        <v>1706</v>
      </c>
      <c r="F694" t="s">
        <v>7</v>
      </c>
      <c r="G694" t="s">
        <v>8</v>
      </c>
      <c r="H694">
        <v>60000000</v>
      </c>
      <c r="I694">
        <v>6.6</v>
      </c>
      <c r="J694" t="s">
        <v>8359</v>
      </c>
    </row>
    <row r="695" spans="1:10" x14ac:dyDescent="0.3">
      <c r="A695">
        <v>89</v>
      </c>
      <c r="B695">
        <v>66734992</v>
      </c>
      <c r="C695" t="s">
        <v>542</v>
      </c>
      <c r="D695" t="s">
        <v>1707</v>
      </c>
      <c r="E695" t="s">
        <v>1708</v>
      </c>
      <c r="F695" t="s">
        <v>7</v>
      </c>
      <c r="G695" t="s">
        <v>8</v>
      </c>
      <c r="H695">
        <v>60000000</v>
      </c>
      <c r="I695">
        <v>6.8</v>
      </c>
      <c r="J695" t="s">
        <v>8633</v>
      </c>
    </row>
    <row r="696" spans="1:10" x14ac:dyDescent="0.3">
      <c r="A696">
        <v>100</v>
      </c>
      <c r="B696">
        <v>75280058</v>
      </c>
      <c r="C696" t="s">
        <v>1709</v>
      </c>
      <c r="D696" t="s">
        <v>1710</v>
      </c>
      <c r="E696" t="s">
        <v>1711</v>
      </c>
      <c r="F696" t="s">
        <v>7</v>
      </c>
      <c r="G696" t="s">
        <v>8</v>
      </c>
      <c r="H696">
        <v>60000000</v>
      </c>
      <c r="I696">
        <v>3.8</v>
      </c>
      <c r="J696" t="s">
        <v>8634</v>
      </c>
    </row>
    <row r="697" spans="1:10" x14ac:dyDescent="0.3">
      <c r="A697">
        <v>91</v>
      </c>
      <c r="B697">
        <v>64505912</v>
      </c>
      <c r="C697" t="s">
        <v>1215</v>
      </c>
      <c r="D697" t="s">
        <v>1712</v>
      </c>
      <c r="E697" t="s">
        <v>1713</v>
      </c>
      <c r="F697" t="s">
        <v>7</v>
      </c>
      <c r="G697" t="s">
        <v>8</v>
      </c>
      <c r="H697">
        <v>48000000</v>
      </c>
      <c r="I697">
        <v>5.9</v>
      </c>
      <c r="J697" t="s">
        <v>8635</v>
      </c>
    </row>
    <row r="698" spans="1:10" x14ac:dyDescent="0.3">
      <c r="A698">
        <v>146</v>
      </c>
      <c r="B698">
        <v>77862546</v>
      </c>
      <c r="C698" t="s">
        <v>164</v>
      </c>
      <c r="D698" t="s">
        <v>1714</v>
      </c>
      <c r="E698" t="s">
        <v>1715</v>
      </c>
      <c r="F698" t="s">
        <v>7</v>
      </c>
      <c r="G698" t="s">
        <v>8</v>
      </c>
      <c r="H698">
        <v>70000000</v>
      </c>
      <c r="I698">
        <v>7.9</v>
      </c>
      <c r="J698" t="s">
        <v>8462</v>
      </c>
    </row>
    <row r="699" spans="1:10" x14ac:dyDescent="0.3">
      <c r="A699">
        <v>98</v>
      </c>
      <c r="B699">
        <v>61112916</v>
      </c>
      <c r="C699" t="s">
        <v>187</v>
      </c>
      <c r="D699" t="s">
        <v>1716</v>
      </c>
      <c r="E699" t="s">
        <v>1717</v>
      </c>
      <c r="F699" t="s">
        <v>7</v>
      </c>
      <c r="G699" t="s">
        <v>8</v>
      </c>
      <c r="H699">
        <v>50000000</v>
      </c>
      <c r="I699">
        <v>6.3</v>
      </c>
      <c r="J699" t="s">
        <v>8636</v>
      </c>
    </row>
    <row r="700" spans="1:10" x14ac:dyDescent="0.3">
      <c r="A700">
        <v>101</v>
      </c>
      <c r="B700">
        <v>88200225</v>
      </c>
      <c r="C700" t="s">
        <v>386</v>
      </c>
      <c r="D700" t="s">
        <v>1718</v>
      </c>
      <c r="E700" t="s">
        <v>1719</v>
      </c>
      <c r="F700" t="s">
        <v>7</v>
      </c>
      <c r="G700" t="s">
        <v>8</v>
      </c>
      <c r="H700">
        <v>60000000</v>
      </c>
      <c r="I700">
        <v>5.5</v>
      </c>
      <c r="J700" t="s">
        <v>8637</v>
      </c>
    </row>
    <row r="701" spans="1:10" x14ac:dyDescent="0.3">
      <c r="A701">
        <v>94</v>
      </c>
      <c r="B701">
        <v>60573641</v>
      </c>
      <c r="C701" t="s">
        <v>1261</v>
      </c>
      <c r="D701" t="s">
        <v>1720</v>
      </c>
      <c r="E701" t="s">
        <v>1721</v>
      </c>
      <c r="F701" t="s">
        <v>7</v>
      </c>
      <c r="G701" t="s">
        <v>8</v>
      </c>
      <c r="H701">
        <v>60000000</v>
      </c>
      <c r="I701">
        <v>7.7</v>
      </c>
      <c r="J701" t="s">
        <v>8304</v>
      </c>
    </row>
    <row r="702" spans="1:10" x14ac:dyDescent="0.3">
      <c r="A702">
        <v>132</v>
      </c>
      <c r="B702">
        <v>59035104</v>
      </c>
      <c r="C702" t="s">
        <v>1722</v>
      </c>
      <c r="D702" t="s">
        <v>1723</v>
      </c>
      <c r="E702" t="s">
        <v>1724</v>
      </c>
      <c r="F702" t="s">
        <v>7</v>
      </c>
      <c r="G702" t="s">
        <v>8</v>
      </c>
      <c r="H702">
        <v>66000000</v>
      </c>
      <c r="I702">
        <v>6.3</v>
      </c>
      <c r="J702" t="s">
        <v>8483</v>
      </c>
    </row>
    <row r="703" spans="1:10" x14ac:dyDescent="0.3">
      <c r="A703">
        <v>115</v>
      </c>
      <c r="B703">
        <v>56702901</v>
      </c>
      <c r="C703" t="s">
        <v>1417</v>
      </c>
      <c r="D703" t="s">
        <v>1725</v>
      </c>
      <c r="E703" t="s">
        <v>1726</v>
      </c>
      <c r="F703" t="s">
        <v>7</v>
      </c>
      <c r="G703" t="s">
        <v>8</v>
      </c>
      <c r="H703">
        <v>60000000</v>
      </c>
      <c r="I703">
        <v>7.1</v>
      </c>
      <c r="J703" t="s">
        <v>8638</v>
      </c>
    </row>
    <row r="704" spans="1:10" x14ac:dyDescent="0.3">
      <c r="A704">
        <v>92</v>
      </c>
      <c r="B704">
        <v>55994557</v>
      </c>
      <c r="C704" t="s">
        <v>96</v>
      </c>
      <c r="D704" t="s">
        <v>1727</v>
      </c>
      <c r="E704" t="s">
        <v>1728</v>
      </c>
      <c r="F704" t="s">
        <v>7</v>
      </c>
      <c r="G704" t="s">
        <v>8</v>
      </c>
      <c r="H704">
        <v>60000000</v>
      </c>
      <c r="I704">
        <v>8.5</v>
      </c>
      <c r="J704" t="s">
        <v>8584</v>
      </c>
    </row>
    <row r="705" spans="1:10" x14ac:dyDescent="0.3">
      <c r="A705">
        <v>124</v>
      </c>
      <c r="B705">
        <v>54910560</v>
      </c>
      <c r="C705" t="s">
        <v>1383</v>
      </c>
      <c r="D705" t="s">
        <v>1729</v>
      </c>
      <c r="E705" t="s">
        <v>1730</v>
      </c>
      <c r="F705" t="s">
        <v>7</v>
      </c>
      <c r="G705" t="s">
        <v>8</v>
      </c>
      <c r="H705">
        <v>60000000</v>
      </c>
      <c r="I705">
        <v>5.9</v>
      </c>
      <c r="J705" t="s">
        <v>8498</v>
      </c>
    </row>
    <row r="706" spans="1:10" x14ac:dyDescent="0.3">
      <c r="A706">
        <v>119</v>
      </c>
      <c r="B706">
        <v>53789313</v>
      </c>
      <c r="C706" t="s">
        <v>656</v>
      </c>
      <c r="D706" t="s">
        <v>1731</v>
      </c>
      <c r="E706" t="s">
        <v>1732</v>
      </c>
      <c r="F706" t="s">
        <v>7</v>
      </c>
      <c r="G706" t="s">
        <v>8</v>
      </c>
      <c r="H706">
        <v>60000000</v>
      </c>
      <c r="I706">
        <v>5.8</v>
      </c>
      <c r="J706" t="s">
        <v>8464</v>
      </c>
    </row>
    <row r="707" spans="1:10" x14ac:dyDescent="0.3">
      <c r="A707">
        <v>124</v>
      </c>
      <c r="B707">
        <v>51045801</v>
      </c>
      <c r="C707" t="s">
        <v>73</v>
      </c>
      <c r="D707" t="s">
        <v>1733</v>
      </c>
      <c r="E707" t="s">
        <v>1734</v>
      </c>
      <c r="F707" t="s">
        <v>7</v>
      </c>
      <c r="G707" t="s">
        <v>8</v>
      </c>
      <c r="H707">
        <v>60000000</v>
      </c>
      <c r="I707">
        <v>8.1</v>
      </c>
      <c r="J707" t="s">
        <v>8362</v>
      </c>
    </row>
    <row r="708" spans="1:10" x14ac:dyDescent="0.3">
      <c r="A708">
        <v>93</v>
      </c>
      <c r="B708">
        <v>50818750</v>
      </c>
      <c r="C708" t="s">
        <v>96</v>
      </c>
      <c r="D708" t="s">
        <v>1735</v>
      </c>
      <c r="E708" t="s">
        <v>1736</v>
      </c>
      <c r="F708" t="s">
        <v>7</v>
      </c>
      <c r="G708" t="s">
        <v>15</v>
      </c>
      <c r="H708">
        <v>60000000</v>
      </c>
      <c r="I708">
        <v>7.9</v>
      </c>
      <c r="J708" t="s">
        <v>8346</v>
      </c>
    </row>
    <row r="709" spans="1:10" x14ac:dyDescent="0.3">
      <c r="A709">
        <v>98</v>
      </c>
      <c r="B709">
        <v>50189179</v>
      </c>
      <c r="C709" t="s">
        <v>772</v>
      </c>
      <c r="D709" t="s">
        <v>1737</v>
      </c>
      <c r="E709" t="s">
        <v>1738</v>
      </c>
      <c r="F709" t="s">
        <v>7</v>
      </c>
      <c r="G709" t="s">
        <v>8</v>
      </c>
      <c r="H709">
        <v>60000000</v>
      </c>
      <c r="I709">
        <v>7.2</v>
      </c>
      <c r="J709" t="s">
        <v>8324</v>
      </c>
    </row>
    <row r="710" spans="1:10" x14ac:dyDescent="0.3">
      <c r="A710">
        <v>92</v>
      </c>
      <c r="B710">
        <v>50024083</v>
      </c>
      <c r="C710" t="s">
        <v>16</v>
      </c>
      <c r="D710" t="s">
        <v>1739</v>
      </c>
      <c r="E710" t="s">
        <v>1740</v>
      </c>
      <c r="F710" t="s">
        <v>7</v>
      </c>
      <c r="G710" t="s">
        <v>8</v>
      </c>
      <c r="H710">
        <v>60000000</v>
      </c>
      <c r="I710">
        <v>6.3</v>
      </c>
      <c r="J710" t="s">
        <v>8465</v>
      </c>
    </row>
    <row r="711" spans="1:10" x14ac:dyDescent="0.3">
      <c r="A711">
        <v>105</v>
      </c>
      <c r="B711">
        <v>50549107</v>
      </c>
      <c r="C711" t="s">
        <v>351</v>
      </c>
      <c r="D711" t="s">
        <v>1741</v>
      </c>
      <c r="E711" t="s">
        <v>1742</v>
      </c>
      <c r="F711" t="s">
        <v>7</v>
      </c>
      <c r="G711" t="s">
        <v>8</v>
      </c>
      <c r="H711">
        <v>60000000</v>
      </c>
      <c r="I711">
        <v>8.1</v>
      </c>
      <c r="J711" t="s">
        <v>8404</v>
      </c>
    </row>
    <row r="712" spans="1:10" x14ac:dyDescent="0.3">
      <c r="A712">
        <v>124</v>
      </c>
      <c r="B712">
        <v>56443482</v>
      </c>
      <c r="C712" t="s">
        <v>1743</v>
      </c>
      <c r="D712" t="s">
        <v>1744</v>
      </c>
      <c r="E712" t="s">
        <v>1745</v>
      </c>
      <c r="F712" t="s">
        <v>7</v>
      </c>
      <c r="G712" t="s">
        <v>8</v>
      </c>
      <c r="H712">
        <v>60000000</v>
      </c>
      <c r="I712">
        <v>7</v>
      </c>
      <c r="J712" t="s">
        <v>8639</v>
      </c>
    </row>
    <row r="713" spans="1:10" x14ac:dyDescent="0.3">
      <c r="A713">
        <v>99</v>
      </c>
      <c r="B713">
        <v>62401264</v>
      </c>
      <c r="C713" t="s">
        <v>164</v>
      </c>
      <c r="D713" t="s">
        <v>1746</v>
      </c>
      <c r="E713" t="s">
        <v>1747</v>
      </c>
      <c r="F713" t="s">
        <v>7</v>
      </c>
      <c r="G713" t="s">
        <v>15</v>
      </c>
      <c r="H713">
        <v>60000000</v>
      </c>
      <c r="I713">
        <v>5.5</v>
      </c>
      <c r="J713" t="s">
        <v>8581</v>
      </c>
    </row>
    <row r="714" spans="1:10" x14ac:dyDescent="0.3">
      <c r="A714">
        <v>116</v>
      </c>
      <c r="B714">
        <v>47748610</v>
      </c>
      <c r="C714" t="s">
        <v>1748</v>
      </c>
      <c r="D714" t="s">
        <v>1749</v>
      </c>
      <c r="E714" t="s">
        <v>1750</v>
      </c>
      <c r="F714" t="s">
        <v>7</v>
      </c>
      <c r="G714" t="s">
        <v>8</v>
      </c>
      <c r="H714">
        <v>75000000</v>
      </c>
      <c r="I714">
        <v>6.7</v>
      </c>
      <c r="J714" t="s">
        <v>8630</v>
      </c>
    </row>
    <row r="715" spans="1:10" x14ac:dyDescent="0.3">
      <c r="A715">
        <v>124</v>
      </c>
      <c r="B715">
        <v>46975183</v>
      </c>
      <c r="C715" t="s">
        <v>436</v>
      </c>
      <c r="D715" t="s">
        <v>1751</v>
      </c>
      <c r="E715" t="s">
        <v>1752</v>
      </c>
      <c r="F715" t="s">
        <v>7</v>
      </c>
      <c r="G715" t="s">
        <v>8</v>
      </c>
      <c r="H715">
        <v>61000000</v>
      </c>
      <c r="I715">
        <v>5.2</v>
      </c>
      <c r="J715" t="s">
        <v>8476</v>
      </c>
    </row>
    <row r="716" spans="1:10" x14ac:dyDescent="0.3">
      <c r="A716">
        <v>96</v>
      </c>
      <c r="B716">
        <v>50807639</v>
      </c>
      <c r="C716" t="s">
        <v>96</v>
      </c>
      <c r="D716" t="s">
        <v>1753</v>
      </c>
      <c r="E716" t="s">
        <v>1754</v>
      </c>
      <c r="F716" t="s">
        <v>7</v>
      </c>
      <c r="G716" t="s">
        <v>8</v>
      </c>
      <c r="H716">
        <v>60000000</v>
      </c>
      <c r="I716">
        <v>7</v>
      </c>
      <c r="J716" t="s">
        <v>8566</v>
      </c>
    </row>
    <row r="717" spans="1:10" x14ac:dyDescent="0.3">
      <c r="A717">
        <v>104</v>
      </c>
      <c r="B717">
        <v>46611204</v>
      </c>
      <c r="C717" t="s">
        <v>1024</v>
      </c>
      <c r="D717" t="s">
        <v>1755</v>
      </c>
      <c r="E717" t="s">
        <v>1756</v>
      </c>
      <c r="F717" t="s">
        <v>7</v>
      </c>
      <c r="G717" t="s">
        <v>8</v>
      </c>
      <c r="H717">
        <v>48000000</v>
      </c>
      <c r="I717">
        <v>6.1</v>
      </c>
      <c r="J717" t="s">
        <v>8640</v>
      </c>
    </row>
    <row r="718" spans="1:10" x14ac:dyDescent="0.3">
      <c r="A718">
        <v>100</v>
      </c>
      <c r="B718">
        <v>257756197</v>
      </c>
      <c r="C718" t="s">
        <v>399</v>
      </c>
      <c r="D718" t="s">
        <v>1757</v>
      </c>
      <c r="E718" t="s">
        <v>1758</v>
      </c>
      <c r="F718" t="s">
        <v>7</v>
      </c>
      <c r="G718" t="s">
        <v>132</v>
      </c>
      <c r="H718">
        <v>60000000</v>
      </c>
      <c r="I718">
        <v>6.6</v>
      </c>
      <c r="J718" t="s">
        <v>8373</v>
      </c>
    </row>
    <row r="719" spans="1:10" x14ac:dyDescent="0.3">
      <c r="A719">
        <v>115</v>
      </c>
      <c r="B719">
        <v>48472213</v>
      </c>
      <c r="C719" t="s">
        <v>704</v>
      </c>
      <c r="D719" t="s">
        <v>1759</v>
      </c>
      <c r="E719" t="s">
        <v>1760</v>
      </c>
      <c r="F719" t="s">
        <v>7</v>
      </c>
      <c r="G719" t="s">
        <v>8</v>
      </c>
      <c r="H719">
        <v>45000000</v>
      </c>
      <c r="I719">
        <v>5.5</v>
      </c>
      <c r="J719" t="s">
        <v>8641</v>
      </c>
    </row>
    <row r="720" spans="1:10" x14ac:dyDescent="0.3">
      <c r="A720">
        <v>101</v>
      </c>
      <c r="B720">
        <v>43060566</v>
      </c>
      <c r="C720" t="s">
        <v>92</v>
      </c>
      <c r="D720" t="s">
        <v>1761</v>
      </c>
      <c r="E720" t="s">
        <v>1762</v>
      </c>
      <c r="F720" t="s">
        <v>7</v>
      </c>
      <c r="G720" t="s">
        <v>8</v>
      </c>
      <c r="H720">
        <v>60000000</v>
      </c>
      <c r="I720">
        <v>5.9</v>
      </c>
      <c r="J720" t="s">
        <v>8458</v>
      </c>
    </row>
    <row r="721" spans="1:10" x14ac:dyDescent="0.3">
      <c r="A721">
        <v>113</v>
      </c>
      <c r="B721">
        <v>45996718</v>
      </c>
      <c r="C721" t="s">
        <v>164</v>
      </c>
      <c r="D721" t="s">
        <v>1763</v>
      </c>
      <c r="E721" t="s">
        <v>1764</v>
      </c>
      <c r="F721" t="s">
        <v>7</v>
      </c>
      <c r="G721" t="s">
        <v>8</v>
      </c>
      <c r="H721">
        <v>60000000</v>
      </c>
      <c r="I721">
        <v>5.4</v>
      </c>
      <c r="J721" t="s">
        <v>8532</v>
      </c>
    </row>
    <row r="722" spans="1:10" x14ac:dyDescent="0.3">
      <c r="A722">
        <v>100</v>
      </c>
      <c r="B722">
        <v>43337279</v>
      </c>
      <c r="C722" t="s">
        <v>1765</v>
      </c>
      <c r="D722" t="s">
        <v>1766</v>
      </c>
      <c r="E722" t="s">
        <v>1767</v>
      </c>
      <c r="F722" t="s">
        <v>7</v>
      </c>
      <c r="G722" t="s">
        <v>8</v>
      </c>
      <c r="H722">
        <v>60000000</v>
      </c>
      <c r="I722">
        <v>6.4</v>
      </c>
      <c r="J722" t="s">
        <v>8642</v>
      </c>
    </row>
    <row r="723" spans="1:10" x14ac:dyDescent="0.3">
      <c r="A723">
        <v>134</v>
      </c>
      <c r="B723">
        <v>37479778</v>
      </c>
      <c r="C723" t="s">
        <v>1768</v>
      </c>
      <c r="D723" t="s">
        <v>1769</v>
      </c>
      <c r="E723" t="s">
        <v>1770</v>
      </c>
      <c r="F723" t="s">
        <v>7</v>
      </c>
      <c r="G723" t="s">
        <v>8</v>
      </c>
      <c r="H723">
        <v>60000000</v>
      </c>
      <c r="I723">
        <v>5.7</v>
      </c>
      <c r="J723" t="s">
        <v>8643</v>
      </c>
    </row>
    <row r="724" spans="1:10" x14ac:dyDescent="0.3">
      <c r="A724">
        <v>125</v>
      </c>
      <c r="B724">
        <v>40559930</v>
      </c>
      <c r="C724" t="s">
        <v>1771</v>
      </c>
      <c r="D724" t="s">
        <v>1772</v>
      </c>
      <c r="E724" t="s">
        <v>1773</v>
      </c>
      <c r="F724" t="s">
        <v>7</v>
      </c>
      <c r="G724" t="s">
        <v>8</v>
      </c>
      <c r="H724">
        <v>60000000</v>
      </c>
      <c r="I724">
        <v>6.7</v>
      </c>
      <c r="J724" t="s">
        <v>8319</v>
      </c>
    </row>
    <row r="725" spans="1:10" x14ac:dyDescent="0.3">
      <c r="A725">
        <v>94</v>
      </c>
      <c r="B725">
        <v>36830057</v>
      </c>
      <c r="C725" t="s">
        <v>1098</v>
      </c>
      <c r="D725" t="s">
        <v>1774</v>
      </c>
      <c r="E725" t="s">
        <v>1775</v>
      </c>
      <c r="F725" t="s">
        <v>7</v>
      </c>
      <c r="G725" t="s">
        <v>8</v>
      </c>
      <c r="H725">
        <v>65000000</v>
      </c>
      <c r="I725">
        <v>7.1</v>
      </c>
      <c r="J725" t="s">
        <v>8420</v>
      </c>
    </row>
    <row r="726" spans="1:10" x14ac:dyDescent="0.3">
      <c r="A726">
        <v>107</v>
      </c>
      <c r="B726">
        <v>36279230</v>
      </c>
      <c r="C726" t="s">
        <v>118</v>
      </c>
      <c r="D726" t="s">
        <v>1776</v>
      </c>
      <c r="E726" t="s">
        <v>1777</v>
      </c>
      <c r="F726" t="s">
        <v>7</v>
      </c>
      <c r="G726" t="s">
        <v>8</v>
      </c>
      <c r="H726">
        <v>60000000</v>
      </c>
      <c r="I726">
        <v>6.8</v>
      </c>
      <c r="J726" t="s">
        <v>8372</v>
      </c>
    </row>
    <row r="727" spans="1:10" x14ac:dyDescent="0.3">
      <c r="A727">
        <v>91</v>
      </c>
      <c r="B727">
        <v>42194060</v>
      </c>
      <c r="C727" t="s">
        <v>227</v>
      </c>
      <c r="D727" t="s">
        <v>1778</v>
      </c>
      <c r="E727" t="s">
        <v>1779</v>
      </c>
      <c r="F727" t="s">
        <v>7</v>
      </c>
      <c r="G727" t="s">
        <v>1488</v>
      </c>
      <c r="H727">
        <v>70000000</v>
      </c>
      <c r="I727">
        <v>6.5</v>
      </c>
      <c r="J727" t="s">
        <v>8644</v>
      </c>
    </row>
    <row r="728" spans="1:10" x14ac:dyDescent="0.3">
      <c r="A728">
        <v>116</v>
      </c>
      <c r="B728">
        <v>43119879</v>
      </c>
      <c r="C728" t="s">
        <v>78</v>
      </c>
      <c r="D728" t="s">
        <v>1780</v>
      </c>
      <c r="E728" t="s">
        <v>1781</v>
      </c>
      <c r="F728" t="s">
        <v>7</v>
      </c>
      <c r="G728" t="s">
        <v>8</v>
      </c>
      <c r="H728">
        <v>60000000</v>
      </c>
      <c r="I728">
        <v>7.6</v>
      </c>
      <c r="J728" t="s">
        <v>8452</v>
      </c>
    </row>
    <row r="729" spans="1:10" x14ac:dyDescent="0.3">
      <c r="A729">
        <v>100</v>
      </c>
      <c r="B729">
        <v>35096190</v>
      </c>
      <c r="C729" t="s">
        <v>1782</v>
      </c>
      <c r="D729" t="s">
        <v>1783</v>
      </c>
      <c r="E729" t="s">
        <v>1784</v>
      </c>
      <c r="F729" t="s">
        <v>7</v>
      </c>
      <c r="G729" t="s">
        <v>8</v>
      </c>
      <c r="H729">
        <v>60000000</v>
      </c>
      <c r="I729">
        <v>5.5</v>
      </c>
      <c r="J729" t="s">
        <v>8461</v>
      </c>
    </row>
    <row r="730" spans="1:10" x14ac:dyDescent="0.3">
      <c r="A730">
        <v>117</v>
      </c>
      <c r="B730">
        <v>43290977</v>
      </c>
      <c r="C730" t="s">
        <v>882</v>
      </c>
      <c r="D730" t="s">
        <v>1785</v>
      </c>
      <c r="E730" t="s">
        <v>1786</v>
      </c>
      <c r="F730" t="s">
        <v>7</v>
      </c>
      <c r="G730" t="s">
        <v>15</v>
      </c>
      <c r="H730">
        <v>80000000</v>
      </c>
      <c r="I730">
        <v>6.5</v>
      </c>
      <c r="J730" t="s">
        <v>8645</v>
      </c>
    </row>
    <row r="731" spans="1:10" x14ac:dyDescent="0.3">
      <c r="A731">
        <v>110</v>
      </c>
      <c r="B731">
        <v>33927476</v>
      </c>
      <c r="C731" t="s">
        <v>1787</v>
      </c>
      <c r="D731" t="s">
        <v>1788</v>
      </c>
      <c r="E731" t="s">
        <v>1789</v>
      </c>
      <c r="F731" t="s">
        <v>7</v>
      </c>
      <c r="G731" t="s">
        <v>15</v>
      </c>
      <c r="H731">
        <v>40000000</v>
      </c>
      <c r="I731">
        <v>7</v>
      </c>
      <c r="J731" t="s">
        <v>8383</v>
      </c>
    </row>
    <row r="732" spans="1:10" x14ac:dyDescent="0.3">
      <c r="A732">
        <v>96</v>
      </c>
      <c r="B732">
        <v>32122249</v>
      </c>
      <c r="C732" t="s">
        <v>386</v>
      </c>
      <c r="D732" t="s">
        <v>1790</v>
      </c>
      <c r="E732" t="s">
        <v>1791</v>
      </c>
      <c r="F732" t="s">
        <v>7</v>
      </c>
      <c r="G732" t="s">
        <v>8</v>
      </c>
      <c r="H732">
        <v>60000000</v>
      </c>
      <c r="I732">
        <v>5.8</v>
      </c>
      <c r="J732" t="s">
        <v>8493</v>
      </c>
    </row>
    <row r="733" spans="1:10" x14ac:dyDescent="0.3">
      <c r="A733">
        <v>101</v>
      </c>
      <c r="B733">
        <v>40076438</v>
      </c>
      <c r="C733" t="s">
        <v>436</v>
      </c>
      <c r="D733" t="s">
        <v>1792</v>
      </c>
      <c r="E733" t="s">
        <v>1793</v>
      </c>
      <c r="F733" t="s">
        <v>7</v>
      </c>
      <c r="G733" t="s">
        <v>8</v>
      </c>
      <c r="H733">
        <v>60000000</v>
      </c>
      <c r="I733">
        <v>7.3</v>
      </c>
      <c r="J733" t="s">
        <v>8646</v>
      </c>
    </row>
    <row r="734" spans="1:10" x14ac:dyDescent="0.3">
      <c r="A734">
        <v>111</v>
      </c>
      <c r="B734">
        <v>32940507</v>
      </c>
      <c r="C734" t="s">
        <v>164</v>
      </c>
      <c r="D734" t="s">
        <v>1794</v>
      </c>
      <c r="E734" t="s">
        <v>1795</v>
      </c>
      <c r="F734" t="s">
        <v>7</v>
      </c>
      <c r="G734" t="s">
        <v>8</v>
      </c>
      <c r="H734">
        <v>60000000</v>
      </c>
      <c r="I734">
        <v>6.6</v>
      </c>
      <c r="J734" t="s">
        <v>8444</v>
      </c>
    </row>
    <row r="735" spans="1:10" x14ac:dyDescent="0.3">
      <c r="A735">
        <v>117</v>
      </c>
      <c r="B735">
        <v>31670931</v>
      </c>
      <c r="C735" t="s">
        <v>1796</v>
      </c>
      <c r="D735" t="s">
        <v>1797</v>
      </c>
      <c r="E735" t="s">
        <v>1798</v>
      </c>
      <c r="F735" t="s">
        <v>7</v>
      </c>
      <c r="G735" t="s">
        <v>15</v>
      </c>
      <c r="H735">
        <v>60000000</v>
      </c>
      <c r="I735">
        <v>4.4000000000000004</v>
      </c>
      <c r="J735" t="s">
        <v>8647</v>
      </c>
    </row>
    <row r="736" spans="1:10" x14ac:dyDescent="0.3">
      <c r="A736">
        <v>126</v>
      </c>
      <c r="B736">
        <v>30695227</v>
      </c>
      <c r="C736" t="s">
        <v>1799</v>
      </c>
      <c r="D736" t="s">
        <v>1800</v>
      </c>
      <c r="E736" t="s">
        <v>1801</v>
      </c>
      <c r="F736" t="s">
        <v>7</v>
      </c>
      <c r="G736" t="s">
        <v>8</v>
      </c>
      <c r="H736">
        <v>60000000</v>
      </c>
      <c r="I736">
        <v>7.7</v>
      </c>
      <c r="J736" t="s">
        <v>8577</v>
      </c>
    </row>
    <row r="737" spans="1:10" x14ac:dyDescent="0.3">
      <c r="A737">
        <v>152</v>
      </c>
      <c r="B737">
        <v>32522352</v>
      </c>
      <c r="C737" t="s">
        <v>1802</v>
      </c>
      <c r="D737" t="s">
        <v>1803</v>
      </c>
      <c r="E737" t="s">
        <v>1804</v>
      </c>
      <c r="F737" t="s">
        <v>7</v>
      </c>
      <c r="G737" t="s">
        <v>8</v>
      </c>
      <c r="H737">
        <v>60000000</v>
      </c>
      <c r="I737">
        <v>5</v>
      </c>
      <c r="J737" t="s">
        <v>8387</v>
      </c>
    </row>
    <row r="738" spans="1:10" x14ac:dyDescent="0.3">
      <c r="A738">
        <v>101</v>
      </c>
      <c r="B738">
        <v>26082914</v>
      </c>
      <c r="C738" t="s">
        <v>1383</v>
      </c>
      <c r="D738" t="s">
        <v>1805</v>
      </c>
      <c r="E738" t="s">
        <v>1806</v>
      </c>
      <c r="F738" t="s">
        <v>7</v>
      </c>
      <c r="G738" t="s">
        <v>8</v>
      </c>
      <c r="H738">
        <v>87000000</v>
      </c>
      <c r="I738">
        <v>7.7</v>
      </c>
      <c r="J738" t="s">
        <v>8458</v>
      </c>
    </row>
    <row r="739" spans="1:10" x14ac:dyDescent="0.3">
      <c r="A739">
        <v>87</v>
      </c>
      <c r="B739">
        <v>29136626</v>
      </c>
      <c r="C739" t="s">
        <v>1807</v>
      </c>
      <c r="D739" t="s">
        <v>1808</v>
      </c>
      <c r="E739" t="s">
        <v>1809</v>
      </c>
      <c r="F739" t="s">
        <v>7</v>
      </c>
      <c r="G739" t="s">
        <v>8</v>
      </c>
      <c r="H739">
        <v>60000000</v>
      </c>
      <c r="I739">
        <v>4.4000000000000004</v>
      </c>
      <c r="J739" t="s">
        <v>8648</v>
      </c>
    </row>
    <row r="740" spans="1:10" x14ac:dyDescent="0.3">
      <c r="A740">
        <v>85</v>
      </c>
      <c r="B740">
        <v>26288320</v>
      </c>
      <c r="C740" t="s">
        <v>1810</v>
      </c>
      <c r="D740" t="s">
        <v>1811</v>
      </c>
      <c r="E740" t="s">
        <v>1812</v>
      </c>
      <c r="F740" t="s">
        <v>7</v>
      </c>
      <c r="G740" t="s">
        <v>8</v>
      </c>
      <c r="H740">
        <v>60000000</v>
      </c>
      <c r="I740">
        <v>6.1</v>
      </c>
      <c r="J740" t="s">
        <v>8528</v>
      </c>
    </row>
    <row r="741" spans="1:10" x14ac:dyDescent="0.3">
      <c r="A741">
        <v>130</v>
      </c>
      <c r="B741">
        <v>26616590</v>
      </c>
      <c r="C741" t="s">
        <v>1813</v>
      </c>
      <c r="D741" t="s">
        <v>1814</v>
      </c>
      <c r="E741" t="s">
        <v>1815</v>
      </c>
      <c r="F741" t="s">
        <v>7</v>
      </c>
      <c r="G741" t="s">
        <v>15</v>
      </c>
      <c r="H741">
        <v>60000000</v>
      </c>
      <c r="I741">
        <v>5.4</v>
      </c>
      <c r="J741" t="s">
        <v>8649</v>
      </c>
    </row>
    <row r="742" spans="1:10" x14ac:dyDescent="0.3">
      <c r="A742">
        <v>104</v>
      </c>
      <c r="B742">
        <v>30063805</v>
      </c>
      <c r="C742" t="s">
        <v>1816</v>
      </c>
      <c r="D742" t="s">
        <v>1817</v>
      </c>
      <c r="E742" t="s">
        <v>1818</v>
      </c>
      <c r="F742" t="s">
        <v>7</v>
      </c>
      <c r="G742" t="s">
        <v>8</v>
      </c>
      <c r="H742">
        <v>60000000</v>
      </c>
      <c r="I742">
        <v>6.8</v>
      </c>
      <c r="J742" t="s">
        <v>8331</v>
      </c>
    </row>
    <row r="743" spans="1:10" x14ac:dyDescent="0.3">
      <c r="A743">
        <v>121</v>
      </c>
      <c r="B743">
        <v>22518325</v>
      </c>
      <c r="C743" t="s">
        <v>882</v>
      </c>
      <c r="D743" t="s">
        <v>1819</v>
      </c>
      <c r="E743" t="s">
        <v>1820</v>
      </c>
      <c r="F743" t="s">
        <v>7</v>
      </c>
      <c r="G743" t="s">
        <v>284</v>
      </c>
      <c r="H743">
        <v>50000000</v>
      </c>
      <c r="I743">
        <v>6.5</v>
      </c>
      <c r="J743" t="s">
        <v>8650</v>
      </c>
    </row>
    <row r="744" spans="1:10" x14ac:dyDescent="0.3">
      <c r="A744">
        <v>140</v>
      </c>
      <c r="B744">
        <v>13082288</v>
      </c>
      <c r="C744" t="s">
        <v>1821</v>
      </c>
      <c r="D744" t="s">
        <v>1822</v>
      </c>
      <c r="E744" t="s">
        <v>1823</v>
      </c>
      <c r="F744" t="s">
        <v>7</v>
      </c>
      <c r="G744" t="s">
        <v>15</v>
      </c>
      <c r="H744">
        <v>60000000</v>
      </c>
      <c r="I744">
        <v>7</v>
      </c>
      <c r="J744" t="s">
        <v>8651</v>
      </c>
    </row>
    <row r="745" spans="1:10" x14ac:dyDescent="0.3">
      <c r="A745">
        <v>131</v>
      </c>
      <c r="B745">
        <v>18208078</v>
      </c>
      <c r="C745" t="s">
        <v>351</v>
      </c>
      <c r="D745" t="s">
        <v>1824</v>
      </c>
      <c r="E745" t="s">
        <v>1825</v>
      </c>
      <c r="F745" t="s">
        <v>7</v>
      </c>
      <c r="G745" t="s">
        <v>8</v>
      </c>
      <c r="H745">
        <v>60000000</v>
      </c>
      <c r="I745">
        <v>6.3</v>
      </c>
      <c r="J745" t="s">
        <v>8602</v>
      </c>
    </row>
    <row r="746" spans="1:10" x14ac:dyDescent="0.3">
      <c r="A746">
        <v>91</v>
      </c>
      <c r="B746">
        <v>14218868</v>
      </c>
      <c r="C746" t="s">
        <v>1813</v>
      </c>
      <c r="D746" t="s">
        <v>1826</v>
      </c>
      <c r="E746" t="s">
        <v>1827</v>
      </c>
      <c r="F746" t="s">
        <v>7</v>
      </c>
      <c r="G746" t="s">
        <v>8</v>
      </c>
      <c r="H746">
        <v>65000000</v>
      </c>
      <c r="I746">
        <v>6.3</v>
      </c>
      <c r="J746" t="s">
        <v>8427</v>
      </c>
    </row>
    <row r="747" spans="1:10" x14ac:dyDescent="0.3">
      <c r="A747">
        <v>118</v>
      </c>
      <c r="B747">
        <v>22451</v>
      </c>
      <c r="C747" t="s">
        <v>1828</v>
      </c>
      <c r="D747" t="s">
        <v>1829</v>
      </c>
      <c r="E747" t="s">
        <v>1830</v>
      </c>
      <c r="F747" t="s">
        <v>7</v>
      </c>
      <c r="G747" t="s">
        <v>8</v>
      </c>
      <c r="H747">
        <v>60000000</v>
      </c>
      <c r="I747">
        <v>6.1</v>
      </c>
      <c r="J747" t="s">
        <v>8652</v>
      </c>
    </row>
    <row r="748" spans="1:10" x14ac:dyDescent="0.3">
      <c r="A748">
        <v>130</v>
      </c>
      <c r="B748">
        <v>31165421</v>
      </c>
      <c r="C748" t="s">
        <v>1831</v>
      </c>
      <c r="D748" t="s">
        <v>1832</v>
      </c>
      <c r="E748" t="s">
        <v>1833</v>
      </c>
      <c r="F748" t="s">
        <v>7</v>
      </c>
      <c r="G748" t="s">
        <v>8</v>
      </c>
      <c r="H748">
        <v>60000000</v>
      </c>
      <c r="I748">
        <v>6.1</v>
      </c>
      <c r="J748" t="s">
        <v>8653</v>
      </c>
    </row>
    <row r="749" spans="1:10" x14ac:dyDescent="0.3">
      <c r="A749">
        <v>103</v>
      </c>
      <c r="B749">
        <v>25472967</v>
      </c>
      <c r="C749" t="s">
        <v>1834</v>
      </c>
      <c r="D749" t="s">
        <v>1835</v>
      </c>
      <c r="E749" t="s">
        <v>1836</v>
      </c>
      <c r="F749" t="s">
        <v>7</v>
      </c>
      <c r="G749" t="s">
        <v>8</v>
      </c>
      <c r="H749">
        <v>30000000</v>
      </c>
      <c r="I749">
        <v>5.3</v>
      </c>
      <c r="J749" t="s">
        <v>8654</v>
      </c>
    </row>
    <row r="750" spans="1:10" x14ac:dyDescent="0.3">
      <c r="A750">
        <v>122</v>
      </c>
      <c r="B750">
        <v>22362500</v>
      </c>
      <c r="C750" t="s">
        <v>1040</v>
      </c>
      <c r="D750" t="s">
        <v>1837</v>
      </c>
      <c r="E750" t="s">
        <v>1838</v>
      </c>
      <c r="F750" t="s">
        <v>7</v>
      </c>
      <c r="G750" t="s">
        <v>8</v>
      </c>
      <c r="H750">
        <v>55000000</v>
      </c>
      <c r="I750">
        <v>5.4</v>
      </c>
      <c r="J750" t="s">
        <v>8655</v>
      </c>
    </row>
    <row r="751" spans="1:10" x14ac:dyDescent="0.3">
      <c r="A751">
        <v>106</v>
      </c>
      <c r="B751">
        <v>17281832</v>
      </c>
      <c r="C751" t="s">
        <v>67</v>
      </c>
      <c r="D751" t="s">
        <v>1839</v>
      </c>
      <c r="E751" t="s">
        <v>1840</v>
      </c>
      <c r="F751" t="s">
        <v>7</v>
      </c>
      <c r="G751" t="s">
        <v>284</v>
      </c>
      <c r="H751">
        <v>60000000</v>
      </c>
      <c r="I751">
        <v>6.2</v>
      </c>
      <c r="J751" t="s">
        <v>8379</v>
      </c>
    </row>
    <row r="752" spans="1:10" x14ac:dyDescent="0.3">
      <c r="A752">
        <v>103</v>
      </c>
      <c r="B752">
        <v>19781879</v>
      </c>
      <c r="C752" t="s">
        <v>1237</v>
      </c>
      <c r="D752" t="s">
        <v>1841</v>
      </c>
      <c r="E752" t="s">
        <v>1842</v>
      </c>
      <c r="F752" t="s">
        <v>7</v>
      </c>
      <c r="G752" t="s">
        <v>8</v>
      </c>
      <c r="H752">
        <v>60000000</v>
      </c>
      <c r="I752">
        <v>6.6</v>
      </c>
      <c r="J752" t="s">
        <v>8656</v>
      </c>
    </row>
    <row r="753" spans="1:10" x14ac:dyDescent="0.3">
      <c r="A753">
        <v>107</v>
      </c>
      <c r="B753">
        <v>7605668</v>
      </c>
      <c r="C753" t="s">
        <v>1843</v>
      </c>
      <c r="D753" t="s">
        <v>1844</v>
      </c>
      <c r="E753" t="s">
        <v>1845</v>
      </c>
      <c r="F753" t="s">
        <v>7</v>
      </c>
      <c r="G753" t="s">
        <v>15</v>
      </c>
      <c r="H753">
        <v>60000000</v>
      </c>
      <c r="I753">
        <v>5.9</v>
      </c>
      <c r="J753" t="s">
        <v>8657</v>
      </c>
    </row>
    <row r="754" spans="1:10" x14ac:dyDescent="0.3">
      <c r="A754">
        <v>156</v>
      </c>
      <c r="B754">
        <v>4535117</v>
      </c>
      <c r="C754" t="s">
        <v>783</v>
      </c>
      <c r="D754" t="s">
        <v>1846</v>
      </c>
      <c r="E754" t="s">
        <v>1847</v>
      </c>
      <c r="F754" t="s">
        <v>7</v>
      </c>
      <c r="G754" t="s">
        <v>284</v>
      </c>
      <c r="H754">
        <v>60000000</v>
      </c>
      <c r="I754">
        <v>6.3</v>
      </c>
      <c r="J754" t="s">
        <v>8658</v>
      </c>
    </row>
    <row r="755" spans="1:10" x14ac:dyDescent="0.3">
      <c r="A755">
        <v>127</v>
      </c>
      <c r="B755">
        <v>4426297</v>
      </c>
      <c r="C755" t="s">
        <v>476</v>
      </c>
      <c r="D755" t="s">
        <v>1848</v>
      </c>
      <c r="E755" t="s">
        <v>1849</v>
      </c>
      <c r="F755" t="s">
        <v>7</v>
      </c>
      <c r="G755" t="s">
        <v>8</v>
      </c>
      <c r="H755">
        <v>35000000</v>
      </c>
      <c r="I755">
        <v>7.2</v>
      </c>
      <c r="J755" t="s">
        <v>8567</v>
      </c>
    </row>
    <row r="756" spans="1:10" x14ac:dyDescent="0.3">
      <c r="A756">
        <v>132</v>
      </c>
      <c r="B756">
        <v>10166502</v>
      </c>
      <c r="C756" t="s">
        <v>584</v>
      </c>
      <c r="D756" t="s">
        <v>1850</v>
      </c>
      <c r="E756" t="s">
        <v>1851</v>
      </c>
      <c r="F756" t="s">
        <v>1852</v>
      </c>
      <c r="G756" t="s">
        <v>8</v>
      </c>
      <c r="H756">
        <v>80000000</v>
      </c>
      <c r="I756">
        <v>6.8</v>
      </c>
      <c r="J756" t="s">
        <v>8659</v>
      </c>
    </row>
    <row r="757" spans="1:10" x14ac:dyDescent="0.3">
      <c r="A757">
        <v>108</v>
      </c>
      <c r="B757">
        <v>363024263</v>
      </c>
      <c r="C757" t="s">
        <v>1853</v>
      </c>
      <c r="D757" t="s">
        <v>1854</v>
      </c>
      <c r="E757" t="s">
        <v>1855</v>
      </c>
      <c r="F757" t="s">
        <v>7</v>
      </c>
      <c r="G757" t="s">
        <v>8</v>
      </c>
      <c r="H757">
        <v>58000000</v>
      </c>
      <c r="I757">
        <v>6.1</v>
      </c>
      <c r="J757" t="s">
        <v>8660</v>
      </c>
    </row>
    <row r="758" spans="1:10" x14ac:dyDescent="0.3">
      <c r="A758">
        <v>114</v>
      </c>
      <c r="B758">
        <v>12065985</v>
      </c>
      <c r="C758" t="s">
        <v>1040</v>
      </c>
      <c r="D758" t="s">
        <v>1856</v>
      </c>
      <c r="E758" t="s">
        <v>1857</v>
      </c>
      <c r="F758" t="s">
        <v>7</v>
      </c>
      <c r="G758" t="s">
        <v>8</v>
      </c>
      <c r="H758">
        <v>60000000</v>
      </c>
      <c r="I758">
        <v>7.8</v>
      </c>
      <c r="J758" t="s">
        <v>8494</v>
      </c>
    </row>
    <row r="759" spans="1:10" x14ac:dyDescent="0.3">
      <c r="A759">
        <v>133</v>
      </c>
      <c r="B759">
        <v>350123553</v>
      </c>
      <c r="C759" t="s">
        <v>1858</v>
      </c>
      <c r="D759" t="s">
        <v>1859</v>
      </c>
      <c r="E759" t="s">
        <v>1860</v>
      </c>
      <c r="F759" t="s">
        <v>7</v>
      </c>
      <c r="G759" t="s">
        <v>8</v>
      </c>
      <c r="H759">
        <v>58800000</v>
      </c>
      <c r="I759">
        <v>5</v>
      </c>
      <c r="J759" t="s">
        <v>8661</v>
      </c>
    </row>
    <row r="760" spans="1:10" x14ac:dyDescent="0.3">
      <c r="A760">
        <v>103</v>
      </c>
      <c r="B760">
        <v>80021740</v>
      </c>
      <c r="C760" t="s">
        <v>1861</v>
      </c>
      <c r="D760" t="s">
        <v>1862</v>
      </c>
      <c r="E760" t="s">
        <v>1863</v>
      </c>
      <c r="F760" t="s">
        <v>7</v>
      </c>
      <c r="G760" t="s">
        <v>8</v>
      </c>
      <c r="H760">
        <v>58000000</v>
      </c>
      <c r="I760">
        <v>6.2</v>
      </c>
      <c r="J760" t="s">
        <v>8611</v>
      </c>
    </row>
    <row r="761" spans="1:10" x14ac:dyDescent="0.3">
      <c r="A761">
        <v>95</v>
      </c>
      <c r="B761">
        <v>48291624</v>
      </c>
      <c r="C761" t="s">
        <v>1511</v>
      </c>
      <c r="D761" t="s">
        <v>1864</v>
      </c>
      <c r="E761" t="s">
        <v>1865</v>
      </c>
      <c r="F761" t="s">
        <v>7</v>
      </c>
      <c r="G761" t="s">
        <v>8</v>
      </c>
      <c r="H761">
        <v>58000000</v>
      </c>
      <c r="I761">
        <v>6.7</v>
      </c>
      <c r="J761" t="s">
        <v>8662</v>
      </c>
    </row>
    <row r="762" spans="1:10" x14ac:dyDescent="0.3">
      <c r="A762">
        <v>90</v>
      </c>
      <c r="B762">
        <v>35231365</v>
      </c>
      <c r="C762" t="s">
        <v>1866</v>
      </c>
      <c r="D762" t="s">
        <v>1867</v>
      </c>
      <c r="E762" t="s">
        <v>1868</v>
      </c>
      <c r="F762" t="s">
        <v>7</v>
      </c>
      <c r="G762" t="s">
        <v>8</v>
      </c>
      <c r="H762">
        <v>60000000</v>
      </c>
      <c r="I762">
        <v>4.9000000000000004</v>
      </c>
      <c r="J762" t="s">
        <v>8663</v>
      </c>
    </row>
    <row r="763" spans="1:10" x14ac:dyDescent="0.3">
      <c r="A763">
        <v>87</v>
      </c>
      <c r="B763">
        <v>53715611</v>
      </c>
      <c r="C763" t="s">
        <v>1869</v>
      </c>
      <c r="D763" t="s">
        <v>1870</v>
      </c>
      <c r="E763" t="s">
        <v>1871</v>
      </c>
      <c r="F763" t="s">
        <v>7</v>
      </c>
      <c r="G763" t="s">
        <v>8</v>
      </c>
      <c r="H763">
        <v>63000000</v>
      </c>
      <c r="I763">
        <v>7.4</v>
      </c>
      <c r="J763" t="s">
        <v>8619</v>
      </c>
    </row>
    <row r="764" spans="1:10" x14ac:dyDescent="0.3">
      <c r="A764">
        <v>114</v>
      </c>
      <c r="B764">
        <v>31199215</v>
      </c>
      <c r="C764" t="s">
        <v>1872</v>
      </c>
      <c r="D764" t="s">
        <v>1873</v>
      </c>
      <c r="E764" t="s">
        <v>1874</v>
      </c>
      <c r="F764" t="s">
        <v>7</v>
      </c>
      <c r="G764" t="s">
        <v>8</v>
      </c>
      <c r="H764">
        <v>58000000</v>
      </c>
      <c r="I764">
        <v>7.1</v>
      </c>
      <c r="J764" t="s">
        <v>8664</v>
      </c>
    </row>
    <row r="765" spans="1:10" x14ac:dyDescent="0.3">
      <c r="A765">
        <v>103</v>
      </c>
      <c r="B765">
        <v>29580087</v>
      </c>
      <c r="C765" t="s">
        <v>561</v>
      </c>
      <c r="D765" t="s">
        <v>1876</v>
      </c>
      <c r="E765" t="s">
        <v>1877</v>
      </c>
      <c r="F765" t="s">
        <v>7</v>
      </c>
      <c r="G765" t="s">
        <v>8</v>
      </c>
      <c r="H765">
        <v>58000000</v>
      </c>
      <c r="I765">
        <v>6.2</v>
      </c>
      <c r="J765" t="s">
        <v>8425</v>
      </c>
    </row>
    <row r="766" spans="1:10" x14ac:dyDescent="0.3">
      <c r="A766">
        <v>125</v>
      </c>
      <c r="B766">
        <v>44665963</v>
      </c>
      <c r="C766" t="s">
        <v>668</v>
      </c>
      <c r="D766" t="s">
        <v>1878</v>
      </c>
      <c r="E766" t="s">
        <v>1879</v>
      </c>
      <c r="F766" t="s">
        <v>7</v>
      </c>
      <c r="G766" t="s">
        <v>8</v>
      </c>
      <c r="H766">
        <v>58000000</v>
      </c>
      <c r="I766">
        <v>4.9000000000000004</v>
      </c>
      <c r="J766" t="s">
        <v>8665</v>
      </c>
    </row>
    <row r="767" spans="1:10" x14ac:dyDescent="0.3">
      <c r="A767">
        <v>97</v>
      </c>
      <c r="B767">
        <v>60128566</v>
      </c>
      <c r="C767" t="s">
        <v>1435</v>
      </c>
      <c r="D767" t="s">
        <v>1880</v>
      </c>
      <c r="E767" t="s">
        <v>1881</v>
      </c>
      <c r="F767" t="s">
        <v>7</v>
      </c>
      <c r="G767" t="s">
        <v>284</v>
      </c>
      <c r="H767">
        <v>60000000</v>
      </c>
      <c r="I767">
        <v>6.1</v>
      </c>
      <c r="J767" t="s">
        <v>8588</v>
      </c>
    </row>
    <row r="768" spans="1:10" x14ac:dyDescent="0.3">
      <c r="A768">
        <v>125</v>
      </c>
      <c r="B768">
        <v>49875589</v>
      </c>
      <c r="C768" t="s">
        <v>425</v>
      </c>
      <c r="D768" t="s">
        <v>1882</v>
      </c>
      <c r="E768" t="s">
        <v>1883</v>
      </c>
      <c r="F768" t="s">
        <v>7</v>
      </c>
      <c r="G768" t="s">
        <v>8</v>
      </c>
      <c r="H768">
        <v>58000000</v>
      </c>
      <c r="I768">
        <v>6.1</v>
      </c>
      <c r="J768" t="s">
        <v>8666</v>
      </c>
    </row>
    <row r="769" spans="1:10" x14ac:dyDescent="0.3">
      <c r="A769">
        <v>136</v>
      </c>
      <c r="B769">
        <v>60984028</v>
      </c>
      <c r="C769" t="s">
        <v>780</v>
      </c>
      <c r="D769" t="s">
        <v>1884</v>
      </c>
      <c r="E769" t="s">
        <v>1885</v>
      </c>
      <c r="F769" t="s">
        <v>7</v>
      </c>
      <c r="G769" t="s">
        <v>8</v>
      </c>
      <c r="H769">
        <v>57000000</v>
      </c>
      <c r="I769">
        <v>6.4</v>
      </c>
      <c r="J769" t="s">
        <v>8667</v>
      </c>
    </row>
    <row r="770" spans="1:10" x14ac:dyDescent="0.3">
      <c r="A770">
        <v>116</v>
      </c>
      <c r="B770">
        <v>36931089</v>
      </c>
      <c r="C770" t="s">
        <v>668</v>
      </c>
      <c r="D770" t="s">
        <v>1886</v>
      </c>
      <c r="E770" t="s">
        <v>1887</v>
      </c>
      <c r="F770" t="s">
        <v>7</v>
      </c>
      <c r="G770" t="s">
        <v>8</v>
      </c>
      <c r="H770">
        <v>70000000</v>
      </c>
      <c r="I770">
        <v>6.3</v>
      </c>
      <c r="J770" t="s">
        <v>8668</v>
      </c>
    </row>
    <row r="771" spans="1:10" x14ac:dyDescent="0.3">
      <c r="A771">
        <v>103</v>
      </c>
      <c r="B771">
        <v>51317350</v>
      </c>
      <c r="C771" t="s">
        <v>9</v>
      </c>
      <c r="D771" t="s">
        <v>1888</v>
      </c>
      <c r="E771" t="s">
        <v>1889</v>
      </c>
      <c r="F771" t="s">
        <v>7</v>
      </c>
      <c r="G771" t="s">
        <v>8</v>
      </c>
      <c r="H771">
        <v>57000000</v>
      </c>
      <c r="I771">
        <v>6.8</v>
      </c>
      <c r="J771" t="s">
        <v>8669</v>
      </c>
    </row>
    <row r="772" spans="1:10" x14ac:dyDescent="0.3">
      <c r="A772">
        <v>97</v>
      </c>
      <c r="B772">
        <v>28328132</v>
      </c>
      <c r="C772" t="s">
        <v>1890</v>
      </c>
      <c r="D772" t="s">
        <v>1891</v>
      </c>
      <c r="E772" t="s">
        <v>1892</v>
      </c>
      <c r="F772" t="s">
        <v>7</v>
      </c>
      <c r="G772" t="s">
        <v>8</v>
      </c>
      <c r="H772">
        <v>58000000</v>
      </c>
      <c r="I772">
        <v>6.6</v>
      </c>
      <c r="J772" t="s">
        <v>8324</v>
      </c>
    </row>
    <row r="773" spans="1:10" x14ac:dyDescent="0.3">
      <c r="A773">
        <v>96</v>
      </c>
      <c r="B773">
        <v>51774002</v>
      </c>
      <c r="C773" t="s">
        <v>537</v>
      </c>
      <c r="D773" t="s">
        <v>1893</v>
      </c>
      <c r="E773" t="s">
        <v>1894</v>
      </c>
      <c r="F773" t="s">
        <v>7</v>
      </c>
      <c r="G773" t="s">
        <v>8</v>
      </c>
      <c r="H773">
        <v>57000000</v>
      </c>
      <c r="I773">
        <v>5.7</v>
      </c>
      <c r="J773" t="s">
        <v>8470</v>
      </c>
    </row>
    <row r="774" spans="1:10" x14ac:dyDescent="0.3">
      <c r="A774">
        <v>131</v>
      </c>
      <c r="B774">
        <v>25528495</v>
      </c>
      <c r="C774" t="s">
        <v>1895</v>
      </c>
      <c r="D774" t="s">
        <v>1896</v>
      </c>
      <c r="E774" t="s">
        <v>1897</v>
      </c>
      <c r="F774" t="s">
        <v>7</v>
      </c>
      <c r="G774" t="s">
        <v>15</v>
      </c>
      <c r="H774">
        <v>57000000</v>
      </c>
      <c r="I774">
        <v>5.9</v>
      </c>
      <c r="J774" t="s">
        <v>8663</v>
      </c>
    </row>
    <row r="775" spans="1:10" x14ac:dyDescent="0.3">
      <c r="A775">
        <v>95</v>
      </c>
      <c r="B775">
        <v>113006880</v>
      </c>
      <c r="C775" t="s">
        <v>1898</v>
      </c>
      <c r="D775" t="s">
        <v>1899</v>
      </c>
      <c r="E775" t="s">
        <v>1900</v>
      </c>
      <c r="F775" t="s">
        <v>7</v>
      </c>
      <c r="G775" t="s">
        <v>95</v>
      </c>
      <c r="H775">
        <v>56000000</v>
      </c>
      <c r="I775">
        <v>6</v>
      </c>
      <c r="J775" t="s">
        <v>8652</v>
      </c>
    </row>
    <row r="776" spans="1:10" x14ac:dyDescent="0.3">
      <c r="A776">
        <v>86</v>
      </c>
      <c r="B776">
        <v>45860039</v>
      </c>
      <c r="C776" t="s">
        <v>1901</v>
      </c>
      <c r="D776" t="s">
        <v>1902</v>
      </c>
      <c r="E776" t="s">
        <v>1903</v>
      </c>
      <c r="F776" t="s">
        <v>7</v>
      </c>
      <c r="G776" t="s">
        <v>8</v>
      </c>
      <c r="H776">
        <v>56000000</v>
      </c>
      <c r="I776">
        <v>6.1</v>
      </c>
      <c r="J776" t="s">
        <v>8670</v>
      </c>
    </row>
    <row r="777" spans="1:10" x14ac:dyDescent="0.3">
      <c r="A777">
        <v>142</v>
      </c>
      <c r="B777">
        <v>329691196</v>
      </c>
      <c r="C777" t="s">
        <v>1040</v>
      </c>
      <c r="D777" t="s">
        <v>1904</v>
      </c>
      <c r="E777" t="s">
        <v>1905</v>
      </c>
      <c r="F777" t="s">
        <v>7</v>
      </c>
      <c r="G777" t="s">
        <v>8</v>
      </c>
      <c r="H777">
        <v>55000000</v>
      </c>
      <c r="I777">
        <v>6.7</v>
      </c>
      <c r="J777" t="s">
        <v>8390</v>
      </c>
    </row>
    <row r="778" spans="1:10" x14ac:dyDescent="0.3">
      <c r="A778">
        <v>92</v>
      </c>
      <c r="B778">
        <v>217326336</v>
      </c>
      <c r="C778" t="s">
        <v>1394</v>
      </c>
      <c r="D778" t="s">
        <v>1906</v>
      </c>
      <c r="E778" t="s">
        <v>1907</v>
      </c>
      <c r="F778" t="s">
        <v>7</v>
      </c>
      <c r="G778" t="s">
        <v>8</v>
      </c>
      <c r="H778">
        <v>60000000</v>
      </c>
      <c r="I778">
        <v>6.7</v>
      </c>
      <c r="J778" t="s">
        <v>8644</v>
      </c>
    </row>
    <row r="779" spans="1:10" x14ac:dyDescent="0.3">
      <c r="A779">
        <v>108</v>
      </c>
      <c r="B779">
        <v>166225040</v>
      </c>
      <c r="C779" t="s">
        <v>668</v>
      </c>
      <c r="D779" t="s">
        <v>1908</v>
      </c>
      <c r="E779" t="s">
        <v>1909</v>
      </c>
      <c r="F779" t="s">
        <v>7</v>
      </c>
      <c r="G779" t="s">
        <v>8</v>
      </c>
      <c r="H779">
        <v>55000000</v>
      </c>
      <c r="I779">
        <v>7.9</v>
      </c>
      <c r="J779" t="s">
        <v>8589</v>
      </c>
    </row>
    <row r="780" spans="1:10" x14ac:dyDescent="0.3">
      <c r="A780">
        <v>84</v>
      </c>
      <c r="B780">
        <v>141600000</v>
      </c>
      <c r="C780" t="s">
        <v>1910</v>
      </c>
      <c r="D780" t="s">
        <v>1911</v>
      </c>
      <c r="E780" t="s">
        <v>1912</v>
      </c>
      <c r="F780" t="s">
        <v>7</v>
      </c>
      <c r="G780" t="s">
        <v>8</v>
      </c>
      <c r="H780">
        <v>55000000</v>
      </c>
      <c r="I780">
        <v>5</v>
      </c>
      <c r="J780" t="s">
        <v>8637</v>
      </c>
    </row>
    <row r="781" spans="1:10" x14ac:dyDescent="0.3">
      <c r="A781">
        <v>188</v>
      </c>
      <c r="B781">
        <v>134218018</v>
      </c>
      <c r="C781" t="s">
        <v>1913</v>
      </c>
      <c r="D781" t="s">
        <v>1914</v>
      </c>
      <c r="E781" t="s">
        <v>1915</v>
      </c>
      <c r="F781" t="s">
        <v>7</v>
      </c>
      <c r="G781" t="s">
        <v>8</v>
      </c>
      <c r="H781">
        <v>55000000</v>
      </c>
      <c r="I781">
        <v>4.3</v>
      </c>
      <c r="J781" t="s">
        <v>8392</v>
      </c>
    </row>
    <row r="782" spans="1:10" x14ac:dyDescent="0.3">
      <c r="A782">
        <v>95</v>
      </c>
      <c r="B782">
        <v>128769345</v>
      </c>
      <c r="C782" t="s">
        <v>1016</v>
      </c>
      <c r="D782" t="s">
        <v>1916</v>
      </c>
      <c r="E782" t="s">
        <v>1917</v>
      </c>
      <c r="F782" t="s">
        <v>7</v>
      </c>
      <c r="G782" t="s">
        <v>8</v>
      </c>
      <c r="H782">
        <v>54000000</v>
      </c>
      <c r="I782">
        <v>5.7</v>
      </c>
      <c r="J782" t="s">
        <v>8671</v>
      </c>
    </row>
    <row r="783" spans="1:10" x14ac:dyDescent="0.3">
      <c r="A783">
        <v>118</v>
      </c>
      <c r="B783">
        <v>177575142</v>
      </c>
      <c r="C783" t="s">
        <v>672</v>
      </c>
      <c r="D783" t="s">
        <v>1918</v>
      </c>
      <c r="E783" t="s">
        <v>1919</v>
      </c>
      <c r="F783" t="s">
        <v>7</v>
      </c>
      <c r="G783" t="s">
        <v>8</v>
      </c>
      <c r="H783">
        <v>70000000</v>
      </c>
      <c r="I783">
        <v>6.7</v>
      </c>
      <c r="J783" t="s">
        <v>8672</v>
      </c>
    </row>
    <row r="784" spans="1:10" x14ac:dyDescent="0.3">
      <c r="A784">
        <v>92</v>
      </c>
      <c r="B784">
        <v>105263257</v>
      </c>
      <c r="C784" t="s">
        <v>1920</v>
      </c>
      <c r="D784" t="s">
        <v>1921</v>
      </c>
      <c r="E784" t="s">
        <v>1922</v>
      </c>
      <c r="F784" t="s">
        <v>7</v>
      </c>
      <c r="G784" t="s">
        <v>8</v>
      </c>
      <c r="H784">
        <v>55000000</v>
      </c>
      <c r="I784">
        <v>6.7</v>
      </c>
      <c r="J784" t="s">
        <v>8509</v>
      </c>
    </row>
    <row r="785" spans="1:10" x14ac:dyDescent="0.3">
      <c r="A785">
        <v>74</v>
      </c>
      <c r="B785">
        <v>104354205</v>
      </c>
      <c r="C785" t="s">
        <v>672</v>
      </c>
      <c r="D785" t="s">
        <v>1923</v>
      </c>
      <c r="E785" t="s">
        <v>1924</v>
      </c>
      <c r="F785" t="s">
        <v>7</v>
      </c>
      <c r="G785" t="s">
        <v>8</v>
      </c>
      <c r="H785">
        <v>55000000</v>
      </c>
      <c r="I785">
        <v>8.1</v>
      </c>
      <c r="J785" t="s">
        <v>8302</v>
      </c>
    </row>
    <row r="786" spans="1:10" x14ac:dyDescent="0.3">
      <c r="A786">
        <v>134</v>
      </c>
      <c r="B786">
        <v>107100855</v>
      </c>
      <c r="C786" t="s">
        <v>1493</v>
      </c>
      <c r="D786" t="s">
        <v>1925</v>
      </c>
      <c r="E786" t="s">
        <v>1926</v>
      </c>
      <c r="F786" t="s">
        <v>7</v>
      </c>
      <c r="G786" t="s">
        <v>8</v>
      </c>
      <c r="H786">
        <v>55000000</v>
      </c>
      <c r="I786">
        <v>6.1</v>
      </c>
      <c r="J786" t="s">
        <v>8345</v>
      </c>
    </row>
    <row r="787" spans="1:10" x14ac:dyDescent="0.3">
      <c r="A787">
        <v>101</v>
      </c>
      <c r="B787">
        <v>98711404</v>
      </c>
      <c r="C787" t="s">
        <v>1771</v>
      </c>
      <c r="D787" t="s">
        <v>1927</v>
      </c>
      <c r="E787" t="s">
        <v>1928</v>
      </c>
      <c r="F787" t="s">
        <v>7</v>
      </c>
      <c r="G787" t="s">
        <v>8</v>
      </c>
      <c r="H787">
        <v>55000000</v>
      </c>
      <c r="I787">
        <v>5.6</v>
      </c>
      <c r="J787" t="s">
        <v>8502</v>
      </c>
    </row>
    <row r="788" spans="1:10" x14ac:dyDescent="0.3">
      <c r="A788">
        <v>100</v>
      </c>
      <c r="B788">
        <v>100328194</v>
      </c>
      <c r="C788" t="s">
        <v>187</v>
      </c>
      <c r="D788" t="s">
        <v>1929</v>
      </c>
      <c r="E788" t="s">
        <v>1930</v>
      </c>
      <c r="F788" t="s">
        <v>7</v>
      </c>
      <c r="G788" t="s">
        <v>8</v>
      </c>
      <c r="H788">
        <v>50000000</v>
      </c>
      <c r="I788">
        <v>6.6</v>
      </c>
      <c r="J788" t="s">
        <v>8673</v>
      </c>
    </row>
    <row r="789" spans="1:10" x14ac:dyDescent="0.3">
      <c r="A789">
        <v>132</v>
      </c>
      <c r="B789">
        <v>101530738</v>
      </c>
      <c r="C789" t="s">
        <v>118</v>
      </c>
      <c r="D789" t="s">
        <v>1931</v>
      </c>
      <c r="E789" t="s">
        <v>1932</v>
      </c>
      <c r="F789" t="s">
        <v>7</v>
      </c>
      <c r="G789" t="s">
        <v>8</v>
      </c>
      <c r="H789">
        <v>55000000</v>
      </c>
      <c r="I789">
        <v>6.9</v>
      </c>
      <c r="J789" t="s">
        <v>8674</v>
      </c>
    </row>
    <row r="790" spans="1:10" x14ac:dyDescent="0.3">
      <c r="A790">
        <v>105</v>
      </c>
      <c r="B790">
        <v>93815117</v>
      </c>
      <c r="C790" t="s">
        <v>561</v>
      </c>
      <c r="D790" t="s">
        <v>1933</v>
      </c>
      <c r="E790" t="s">
        <v>1934</v>
      </c>
      <c r="F790" t="s">
        <v>7</v>
      </c>
      <c r="G790" t="s">
        <v>8</v>
      </c>
      <c r="H790">
        <v>55000000</v>
      </c>
      <c r="I790">
        <v>4.8</v>
      </c>
      <c r="J790" t="s">
        <v>8675</v>
      </c>
    </row>
    <row r="791" spans="1:10" x14ac:dyDescent="0.3">
      <c r="A791">
        <v>123</v>
      </c>
      <c r="B791">
        <v>91400000</v>
      </c>
      <c r="C791" t="s">
        <v>775</v>
      </c>
      <c r="D791" t="s">
        <v>1935</v>
      </c>
      <c r="E791" t="s">
        <v>1936</v>
      </c>
      <c r="F791" t="s">
        <v>7</v>
      </c>
      <c r="G791" t="s">
        <v>8</v>
      </c>
      <c r="H791">
        <v>53000000</v>
      </c>
      <c r="I791">
        <v>6.2</v>
      </c>
      <c r="J791" t="s">
        <v>8676</v>
      </c>
    </row>
    <row r="792" spans="1:10" x14ac:dyDescent="0.3">
      <c r="A792">
        <v>117</v>
      </c>
      <c r="B792">
        <v>162586036</v>
      </c>
      <c r="C792" t="s">
        <v>617</v>
      </c>
      <c r="D792" t="s">
        <v>1937</v>
      </c>
      <c r="E792" t="s">
        <v>1938</v>
      </c>
      <c r="F792" t="s">
        <v>7</v>
      </c>
      <c r="G792" t="s">
        <v>8</v>
      </c>
      <c r="H792">
        <v>55000000</v>
      </c>
      <c r="I792">
        <v>6</v>
      </c>
      <c r="J792" t="s">
        <v>8677</v>
      </c>
    </row>
    <row r="793" spans="1:10" x14ac:dyDescent="0.3">
      <c r="A793">
        <v>98</v>
      </c>
      <c r="B793">
        <v>89706988</v>
      </c>
      <c r="C793" t="s">
        <v>780</v>
      </c>
      <c r="D793" t="s">
        <v>1939</v>
      </c>
      <c r="E793" t="s">
        <v>1940</v>
      </c>
      <c r="F793" t="s">
        <v>7</v>
      </c>
      <c r="G793" t="s">
        <v>8</v>
      </c>
      <c r="H793">
        <v>55000000</v>
      </c>
      <c r="I793">
        <v>4.9000000000000004</v>
      </c>
      <c r="J793" t="s">
        <v>8648</v>
      </c>
    </row>
    <row r="794" spans="1:10" x14ac:dyDescent="0.3">
      <c r="A794">
        <v>128</v>
      </c>
      <c r="B794">
        <v>83000000</v>
      </c>
      <c r="C794" t="s">
        <v>1704</v>
      </c>
      <c r="D794" t="s">
        <v>1941</v>
      </c>
      <c r="E794" t="s">
        <v>1942</v>
      </c>
      <c r="F794" t="s">
        <v>7</v>
      </c>
      <c r="G794" t="s">
        <v>8</v>
      </c>
      <c r="H794">
        <v>55000000</v>
      </c>
      <c r="I794">
        <v>5.6</v>
      </c>
      <c r="J794" t="s">
        <v>8678</v>
      </c>
    </row>
    <row r="795" spans="1:10" x14ac:dyDescent="0.3">
      <c r="A795">
        <v>114</v>
      </c>
      <c r="B795">
        <v>78745923</v>
      </c>
      <c r="C795" t="s">
        <v>253</v>
      </c>
      <c r="D795" t="s">
        <v>1943</v>
      </c>
      <c r="E795" t="s">
        <v>1944</v>
      </c>
      <c r="F795" t="s">
        <v>7</v>
      </c>
      <c r="G795" t="s">
        <v>284</v>
      </c>
      <c r="H795">
        <v>55000000</v>
      </c>
      <c r="I795">
        <v>6.1</v>
      </c>
      <c r="J795" t="s">
        <v>8378</v>
      </c>
    </row>
    <row r="796" spans="1:10" x14ac:dyDescent="0.3">
      <c r="A796">
        <v>111</v>
      </c>
      <c r="B796">
        <v>70098138</v>
      </c>
      <c r="C796" t="s">
        <v>521</v>
      </c>
      <c r="D796" t="s">
        <v>1945</v>
      </c>
      <c r="E796" t="s">
        <v>1946</v>
      </c>
      <c r="F796" t="s">
        <v>7</v>
      </c>
      <c r="G796" t="s">
        <v>8</v>
      </c>
      <c r="H796">
        <v>30000000</v>
      </c>
      <c r="I796">
        <v>6.1</v>
      </c>
      <c r="J796" t="s">
        <v>8679</v>
      </c>
    </row>
    <row r="797" spans="1:10" x14ac:dyDescent="0.3">
      <c r="A797">
        <v>85</v>
      </c>
      <c r="B797">
        <v>66365290</v>
      </c>
      <c r="C797" t="s">
        <v>668</v>
      </c>
      <c r="D797" t="s">
        <v>1947</v>
      </c>
      <c r="E797" t="s">
        <v>1948</v>
      </c>
      <c r="F797" t="s">
        <v>7</v>
      </c>
      <c r="G797" t="s">
        <v>8</v>
      </c>
      <c r="H797">
        <v>55000000</v>
      </c>
      <c r="I797">
        <v>4.8</v>
      </c>
      <c r="J797" t="s">
        <v>8629</v>
      </c>
    </row>
    <row r="798" spans="1:10" x14ac:dyDescent="0.3">
      <c r="A798">
        <v>137</v>
      </c>
      <c r="B798">
        <v>66207920</v>
      </c>
      <c r="C798" t="s">
        <v>164</v>
      </c>
      <c r="D798" t="s">
        <v>1949</v>
      </c>
      <c r="E798" t="s">
        <v>1950</v>
      </c>
      <c r="F798" t="s">
        <v>7</v>
      </c>
      <c r="G798" t="s">
        <v>8</v>
      </c>
      <c r="H798">
        <v>30000000</v>
      </c>
      <c r="I798">
        <v>5.5</v>
      </c>
      <c r="J798" t="s">
        <v>8680</v>
      </c>
    </row>
    <row r="799" spans="1:10" x14ac:dyDescent="0.3">
      <c r="A799">
        <v>97</v>
      </c>
      <c r="B799">
        <v>63408614</v>
      </c>
      <c r="C799" t="s">
        <v>148</v>
      </c>
      <c r="D799" t="s">
        <v>1951</v>
      </c>
      <c r="E799" t="s">
        <v>1952</v>
      </c>
      <c r="F799" t="s">
        <v>7</v>
      </c>
      <c r="G799" t="s">
        <v>8</v>
      </c>
      <c r="H799">
        <v>55000000</v>
      </c>
      <c r="I799">
        <v>3.8</v>
      </c>
      <c r="J799" t="s">
        <v>8681</v>
      </c>
    </row>
    <row r="800" spans="1:10" x14ac:dyDescent="0.3">
      <c r="A800">
        <v>104</v>
      </c>
      <c r="B800">
        <v>58422650</v>
      </c>
      <c r="C800" t="s">
        <v>334</v>
      </c>
      <c r="D800" t="s">
        <v>1953</v>
      </c>
      <c r="E800" t="s">
        <v>1954</v>
      </c>
      <c r="F800" t="s">
        <v>7</v>
      </c>
      <c r="G800" t="s">
        <v>8</v>
      </c>
      <c r="H800">
        <v>55000000</v>
      </c>
      <c r="I800">
        <v>6.5</v>
      </c>
      <c r="J800" t="s">
        <v>8324</v>
      </c>
    </row>
    <row r="801" spans="1:10" x14ac:dyDescent="0.3">
      <c r="A801">
        <v>110</v>
      </c>
      <c r="B801">
        <v>56932305</v>
      </c>
      <c r="C801" t="s">
        <v>1955</v>
      </c>
      <c r="D801" t="s">
        <v>1956</v>
      </c>
      <c r="E801" t="s">
        <v>1957</v>
      </c>
      <c r="F801" t="s">
        <v>7</v>
      </c>
      <c r="G801" t="s">
        <v>8</v>
      </c>
      <c r="H801">
        <v>55000000</v>
      </c>
      <c r="I801">
        <v>6</v>
      </c>
      <c r="J801" t="s">
        <v>8682</v>
      </c>
    </row>
    <row r="802" spans="1:10" x14ac:dyDescent="0.3">
      <c r="A802">
        <v>133</v>
      </c>
      <c r="B802">
        <v>68750000</v>
      </c>
      <c r="C802" t="s">
        <v>12</v>
      </c>
      <c r="D802" t="s">
        <v>1958</v>
      </c>
      <c r="E802" t="s">
        <v>1959</v>
      </c>
      <c r="F802" t="s">
        <v>7</v>
      </c>
      <c r="G802" t="s">
        <v>8</v>
      </c>
      <c r="H802">
        <v>55000000</v>
      </c>
      <c r="I802">
        <v>6.7</v>
      </c>
      <c r="J802" t="s">
        <v>8683</v>
      </c>
    </row>
    <row r="803" spans="1:10" x14ac:dyDescent="0.3">
      <c r="A803">
        <v>94</v>
      </c>
      <c r="B803">
        <v>68218041</v>
      </c>
      <c r="C803" t="s">
        <v>187</v>
      </c>
      <c r="D803" t="s">
        <v>1960</v>
      </c>
      <c r="E803" t="s">
        <v>1961</v>
      </c>
      <c r="F803" t="s">
        <v>7</v>
      </c>
      <c r="G803" t="s">
        <v>8</v>
      </c>
      <c r="H803">
        <v>55000000</v>
      </c>
      <c r="I803">
        <v>8.1</v>
      </c>
      <c r="J803" t="s">
        <v>8684</v>
      </c>
    </row>
    <row r="804" spans="1:10" x14ac:dyDescent="0.3">
      <c r="A804">
        <v>104</v>
      </c>
      <c r="B804">
        <v>25040293</v>
      </c>
      <c r="C804" t="s">
        <v>9</v>
      </c>
      <c r="D804" t="s">
        <v>1962</v>
      </c>
      <c r="E804" t="s">
        <v>1963</v>
      </c>
      <c r="F804" t="s">
        <v>7</v>
      </c>
      <c r="G804" t="s">
        <v>8</v>
      </c>
      <c r="H804">
        <v>55000000</v>
      </c>
      <c r="I804">
        <v>4.9000000000000004</v>
      </c>
      <c r="J804" t="s">
        <v>8685</v>
      </c>
    </row>
    <row r="805" spans="1:10" x14ac:dyDescent="0.3">
      <c r="A805">
        <v>91</v>
      </c>
      <c r="B805">
        <v>55747724</v>
      </c>
      <c r="C805" t="s">
        <v>167</v>
      </c>
      <c r="D805" t="s">
        <v>1964</v>
      </c>
      <c r="E805" t="s">
        <v>1965</v>
      </c>
      <c r="F805" t="s">
        <v>7</v>
      </c>
      <c r="G805" t="s">
        <v>8</v>
      </c>
      <c r="H805">
        <v>55000000</v>
      </c>
      <c r="I805">
        <v>7.3</v>
      </c>
      <c r="J805" t="s">
        <v>8619</v>
      </c>
    </row>
    <row r="806" spans="1:10" x14ac:dyDescent="0.3">
      <c r="A806">
        <v>145</v>
      </c>
      <c r="B806">
        <v>55473600</v>
      </c>
      <c r="C806" t="s">
        <v>1748</v>
      </c>
      <c r="D806" t="s">
        <v>1966</v>
      </c>
      <c r="E806" t="s">
        <v>1967</v>
      </c>
      <c r="F806" t="s">
        <v>7</v>
      </c>
      <c r="G806" t="s">
        <v>8</v>
      </c>
      <c r="H806">
        <v>50000000</v>
      </c>
      <c r="I806">
        <v>6.4</v>
      </c>
      <c r="J806" t="s">
        <v>8340</v>
      </c>
    </row>
    <row r="807" spans="1:10" x14ac:dyDescent="0.3">
      <c r="A807">
        <v>122</v>
      </c>
      <c r="B807">
        <v>41609593</v>
      </c>
      <c r="C807" t="s">
        <v>1383</v>
      </c>
      <c r="D807" t="s">
        <v>1968</v>
      </c>
      <c r="E807" t="s">
        <v>1969</v>
      </c>
      <c r="F807" t="s">
        <v>7</v>
      </c>
      <c r="G807" t="s">
        <v>15</v>
      </c>
      <c r="H807">
        <v>55000000</v>
      </c>
      <c r="I807">
        <v>6.7</v>
      </c>
      <c r="J807" t="s">
        <v>8490</v>
      </c>
    </row>
    <row r="808" spans="1:10" x14ac:dyDescent="0.3">
      <c r="A808">
        <v>110</v>
      </c>
      <c r="B808">
        <v>38553833</v>
      </c>
      <c r="C808" t="s">
        <v>1970</v>
      </c>
      <c r="D808" t="s">
        <v>1971</v>
      </c>
      <c r="E808" t="s">
        <v>1972</v>
      </c>
      <c r="F808" t="s">
        <v>7</v>
      </c>
      <c r="G808" t="s">
        <v>8</v>
      </c>
      <c r="H808">
        <v>55000000</v>
      </c>
      <c r="I808">
        <v>3.6</v>
      </c>
      <c r="J808" t="s">
        <v>8649</v>
      </c>
    </row>
    <row r="809" spans="1:10" x14ac:dyDescent="0.3">
      <c r="A809">
        <v>95</v>
      </c>
      <c r="B809">
        <v>76137505</v>
      </c>
      <c r="C809" t="s">
        <v>298</v>
      </c>
      <c r="D809" t="s">
        <v>1973</v>
      </c>
      <c r="E809" t="s">
        <v>1974</v>
      </c>
      <c r="F809" t="s">
        <v>7</v>
      </c>
      <c r="G809" t="s">
        <v>15</v>
      </c>
      <c r="H809">
        <v>55000000</v>
      </c>
      <c r="I809">
        <v>5.7</v>
      </c>
      <c r="J809" t="s">
        <v>8686</v>
      </c>
    </row>
    <row r="810" spans="1:10" x14ac:dyDescent="0.3">
      <c r="A810">
        <v>102</v>
      </c>
      <c r="B810">
        <v>34350553</v>
      </c>
      <c r="C810" t="s">
        <v>772</v>
      </c>
      <c r="D810" t="s">
        <v>1975</v>
      </c>
      <c r="E810" t="s">
        <v>1976</v>
      </c>
      <c r="F810" t="s">
        <v>7</v>
      </c>
      <c r="G810" t="s">
        <v>8</v>
      </c>
      <c r="H810">
        <v>68000000</v>
      </c>
      <c r="I810">
        <v>6</v>
      </c>
      <c r="J810" t="s">
        <v>8592</v>
      </c>
    </row>
    <row r="811" spans="1:10" x14ac:dyDescent="0.3">
      <c r="A811">
        <v>94</v>
      </c>
      <c r="B811">
        <v>34238611</v>
      </c>
      <c r="C811" t="s">
        <v>164</v>
      </c>
      <c r="D811" t="s">
        <v>1977</v>
      </c>
      <c r="E811" t="s">
        <v>1978</v>
      </c>
      <c r="F811" t="s">
        <v>7</v>
      </c>
      <c r="G811" t="s">
        <v>8</v>
      </c>
      <c r="H811">
        <v>55000000</v>
      </c>
      <c r="I811">
        <v>4.9000000000000004</v>
      </c>
      <c r="J811" t="s">
        <v>8451</v>
      </c>
    </row>
    <row r="812" spans="1:10" x14ac:dyDescent="0.3">
      <c r="A812">
        <v>126</v>
      </c>
      <c r="B812">
        <v>34098563</v>
      </c>
      <c r="C812" t="s">
        <v>1704</v>
      </c>
      <c r="D812" t="s">
        <v>1979</v>
      </c>
      <c r="E812" t="s">
        <v>1980</v>
      </c>
      <c r="F812" t="s">
        <v>7</v>
      </c>
      <c r="G812" t="s">
        <v>8</v>
      </c>
      <c r="H812">
        <v>55000000</v>
      </c>
      <c r="I812">
        <v>4.7</v>
      </c>
      <c r="J812" t="s">
        <v>8640</v>
      </c>
    </row>
    <row r="813" spans="1:10" x14ac:dyDescent="0.3">
      <c r="A813">
        <v>118</v>
      </c>
      <c r="B813">
        <v>33828318</v>
      </c>
      <c r="C813" t="s">
        <v>668</v>
      </c>
      <c r="D813" t="s">
        <v>1981</v>
      </c>
      <c r="E813" t="s">
        <v>1982</v>
      </c>
      <c r="F813" t="s">
        <v>7</v>
      </c>
      <c r="G813" t="s">
        <v>8</v>
      </c>
      <c r="H813">
        <v>55000000</v>
      </c>
      <c r="I813">
        <v>6.3</v>
      </c>
      <c r="J813" t="s">
        <v>8374</v>
      </c>
    </row>
    <row r="814" spans="1:10" x14ac:dyDescent="0.3">
      <c r="A814">
        <v>99</v>
      </c>
      <c r="B814">
        <v>33472850</v>
      </c>
      <c r="C814" t="s">
        <v>1632</v>
      </c>
      <c r="D814" t="s">
        <v>1983</v>
      </c>
      <c r="E814" t="s">
        <v>1984</v>
      </c>
      <c r="F814" t="s">
        <v>7</v>
      </c>
      <c r="G814" t="s">
        <v>8</v>
      </c>
      <c r="H814">
        <v>55000000</v>
      </c>
      <c r="I814">
        <v>5.9</v>
      </c>
      <c r="J814" t="s">
        <v>8509</v>
      </c>
    </row>
    <row r="815" spans="1:10" x14ac:dyDescent="0.3">
      <c r="A815">
        <v>88</v>
      </c>
      <c r="B815">
        <v>31051126</v>
      </c>
      <c r="C815" t="s">
        <v>167</v>
      </c>
      <c r="D815" t="s">
        <v>1985</v>
      </c>
      <c r="E815" t="s">
        <v>1986</v>
      </c>
      <c r="F815" t="s">
        <v>7</v>
      </c>
      <c r="G815" t="s">
        <v>15</v>
      </c>
      <c r="H815">
        <v>55000000</v>
      </c>
      <c r="I815">
        <v>5.9</v>
      </c>
      <c r="J815" t="s">
        <v>8687</v>
      </c>
    </row>
    <row r="816" spans="1:10" x14ac:dyDescent="0.3">
      <c r="A816">
        <v>107</v>
      </c>
      <c r="B816">
        <v>20550712</v>
      </c>
      <c r="C816" t="s">
        <v>550</v>
      </c>
      <c r="D816" t="s">
        <v>1987</v>
      </c>
      <c r="E816" t="s">
        <v>1988</v>
      </c>
      <c r="F816" t="s">
        <v>7</v>
      </c>
      <c r="G816" t="s">
        <v>8</v>
      </c>
      <c r="H816">
        <v>50000000</v>
      </c>
      <c r="I816">
        <v>7.5</v>
      </c>
      <c r="J816" t="s">
        <v>8625</v>
      </c>
    </row>
    <row r="817" spans="1:10" x14ac:dyDescent="0.3">
      <c r="A817">
        <v>116</v>
      </c>
      <c r="B817">
        <v>18573791</v>
      </c>
      <c r="C817" t="s">
        <v>1989</v>
      </c>
      <c r="D817" t="s">
        <v>1990</v>
      </c>
      <c r="E817" t="s">
        <v>1991</v>
      </c>
      <c r="F817" t="s">
        <v>7</v>
      </c>
      <c r="G817" t="s">
        <v>8</v>
      </c>
      <c r="H817">
        <v>55000000</v>
      </c>
      <c r="I817">
        <v>5.6</v>
      </c>
      <c r="J817" t="s">
        <v>8688</v>
      </c>
    </row>
    <row r="818" spans="1:10" x14ac:dyDescent="0.3">
      <c r="A818">
        <v>143</v>
      </c>
      <c r="B818">
        <v>51225796</v>
      </c>
      <c r="C818" t="s">
        <v>1992</v>
      </c>
      <c r="D818" t="s">
        <v>1993</v>
      </c>
      <c r="E818" t="s">
        <v>1994</v>
      </c>
      <c r="F818" t="s">
        <v>7</v>
      </c>
      <c r="G818" t="s">
        <v>15</v>
      </c>
      <c r="H818">
        <v>70000000</v>
      </c>
      <c r="I818">
        <v>6.4</v>
      </c>
      <c r="J818" t="s">
        <v>8343</v>
      </c>
    </row>
    <row r="819" spans="1:10" x14ac:dyDescent="0.3">
      <c r="A819">
        <v>114</v>
      </c>
      <c r="B819">
        <v>16264475</v>
      </c>
      <c r="C819" t="s">
        <v>1342</v>
      </c>
      <c r="D819" t="s">
        <v>1995</v>
      </c>
      <c r="E819" t="s">
        <v>1996</v>
      </c>
      <c r="F819" t="s">
        <v>7</v>
      </c>
      <c r="G819" t="s">
        <v>15</v>
      </c>
      <c r="H819">
        <v>55000000</v>
      </c>
      <c r="I819">
        <v>6.3</v>
      </c>
      <c r="J819" t="s">
        <v>8319</v>
      </c>
    </row>
    <row r="820" spans="1:10" x14ac:dyDescent="0.3">
      <c r="A820">
        <v>93</v>
      </c>
      <c r="B820">
        <v>25857987</v>
      </c>
      <c r="C820" t="s">
        <v>237</v>
      </c>
      <c r="D820" t="s">
        <v>1997</v>
      </c>
      <c r="E820" t="s">
        <v>1998</v>
      </c>
      <c r="F820" t="s">
        <v>7</v>
      </c>
      <c r="G820" t="s">
        <v>8</v>
      </c>
      <c r="H820">
        <v>62000000</v>
      </c>
      <c r="I820">
        <v>4.3</v>
      </c>
      <c r="J820" t="s">
        <v>8689</v>
      </c>
    </row>
    <row r="821" spans="1:10" x14ac:dyDescent="0.3">
      <c r="A821">
        <v>280</v>
      </c>
      <c r="B821">
        <v>12870569</v>
      </c>
      <c r="C821" t="s">
        <v>799</v>
      </c>
      <c r="D821" t="s">
        <v>1999</v>
      </c>
      <c r="E821" t="s">
        <v>2000</v>
      </c>
      <c r="F821" t="s">
        <v>7</v>
      </c>
      <c r="G821" t="s">
        <v>8</v>
      </c>
      <c r="H821">
        <v>56000000</v>
      </c>
      <c r="I821">
        <v>5.9</v>
      </c>
      <c r="J821" t="s">
        <v>8690</v>
      </c>
    </row>
    <row r="822" spans="1:10" x14ac:dyDescent="0.3">
      <c r="A822">
        <v>107</v>
      </c>
      <c r="B822">
        <v>16088610</v>
      </c>
      <c r="C822" t="s">
        <v>2001</v>
      </c>
      <c r="D822" t="s">
        <v>2002</v>
      </c>
      <c r="E822" t="s">
        <v>2003</v>
      </c>
      <c r="F822" t="s">
        <v>7</v>
      </c>
      <c r="G822" t="s">
        <v>8</v>
      </c>
      <c r="H822">
        <v>55000000</v>
      </c>
      <c r="I822">
        <v>5.5</v>
      </c>
      <c r="J822" t="s">
        <v>8532</v>
      </c>
    </row>
    <row r="823" spans="1:10" x14ac:dyDescent="0.3">
      <c r="A823">
        <v>119</v>
      </c>
      <c r="B823">
        <v>51178893</v>
      </c>
      <c r="C823" t="s">
        <v>2004</v>
      </c>
      <c r="D823" t="s">
        <v>2005</v>
      </c>
      <c r="E823" t="s">
        <v>2006</v>
      </c>
      <c r="F823" t="s">
        <v>7</v>
      </c>
      <c r="G823" t="s">
        <v>8</v>
      </c>
      <c r="H823">
        <v>50000000</v>
      </c>
      <c r="I823">
        <v>6.2</v>
      </c>
      <c r="J823" t="s">
        <v>8691</v>
      </c>
    </row>
    <row r="824" spans="1:10" x14ac:dyDescent="0.3">
      <c r="A824">
        <v>95</v>
      </c>
      <c r="B824">
        <v>6768055</v>
      </c>
      <c r="C824" t="s">
        <v>1252</v>
      </c>
      <c r="D824" t="s">
        <v>2007</v>
      </c>
      <c r="E824" t="s">
        <v>2008</v>
      </c>
      <c r="F824" t="s">
        <v>7</v>
      </c>
      <c r="G824" t="s">
        <v>15</v>
      </c>
      <c r="H824">
        <v>57000000</v>
      </c>
      <c r="I824">
        <v>8.8000000000000007</v>
      </c>
      <c r="J824" t="s">
        <v>8337</v>
      </c>
    </row>
    <row r="825" spans="1:10" x14ac:dyDescent="0.3">
      <c r="A825">
        <v>119</v>
      </c>
      <c r="B825">
        <v>39440655</v>
      </c>
      <c r="C825" t="s">
        <v>2009</v>
      </c>
      <c r="D825" t="s">
        <v>2010</v>
      </c>
      <c r="E825" t="s">
        <v>2011</v>
      </c>
      <c r="F825" t="s">
        <v>7</v>
      </c>
      <c r="G825" t="s">
        <v>8</v>
      </c>
      <c r="H825">
        <v>55000000</v>
      </c>
      <c r="I825">
        <v>5.2</v>
      </c>
      <c r="J825" t="s">
        <v>8637</v>
      </c>
    </row>
    <row r="826" spans="1:10" x14ac:dyDescent="0.3">
      <c r="A826">
        <v>133</v>
      </c>
      <c r="B826">
        <v>6167817</v>
      </c>
      <c r="C826" t="s">
        <v>2012</v>
      </c>
      <c r="D826" t="s">
        <v>2013</v>
      </c>
      <c r="E826" t="s">
        <v>2014</v>
      </c>
      <c r="F826" t="s">
        <v>582</v>
      </c>
      <c r="G826" t="s">
        <v>583</v>
      </c>
      <c r="H826">
        <v>47000000</v>
      </c>
      <c r="I826">
        <v>7</v>
      </c>
      <c r="J826" t="s">
        <v>8483</v>
      </c>
    </row>
    <row r="827" spans="1:10" x14ac:dyDescent="0.3">
      <c r="A827">
        <v>117</v>
      </c>
      <c r="B827">
        <v>81645152</v>
      </c>
      <c r="C827" t="s">
        <v>912</v>
      </c>
      <c r="D827" t="s">
        <v>2017</v>
      </c>
      <c r="E827" t="s">
        <v>2018</v>
      </c>
      <c r="F827" t="s">
        <v>7</v>
      </c>
      <c r="G827" t="s">
        <v>8</v>
      </c>
      <c r="H827">
        <v>54000000</v>
      </c>
      <c r="I827">
        <v>6.6</v>
      </c>
      <c r="J827" t="s">
        <v>8692</v>
      </c>
    </row>
    <row r="828" spans="1:10" x14ac:dyDescent="0.3">
      <c r="A828">
        <v>123</v>
      </c>
      <c r="B828">
        <v>69951824</v>
      </c>
      <c r="C828" t="s">
        <v>73</v>
      </c>
      <c r="D828" t="s">
        <v>2019</v>
      </c>
      <c r="E828" t="s">
        <v>2020</v>
      </c>
      <c r="F828" t="s">
        <v>7</v>
      </c>
      <c r="G828" t="s">
        <v>8</v>
      </c>
      <c r="H828">
        <v>55000000</v>
      </c>
      <c r="I828">
        <v>7.3</v>
      </c>
      <c r="J828" t="s">
        <v>8399</v>
      </c>
    </row>
    <row r="829" spans="1:10" x14ac:dyDescent="0.3">
      <c r="A829">
        <v>92</v>
      </c>
      <c r="B829">
        <v>9483821</v>
      </c>
      <c r="C829" t="s">
        <v>16</v>
      </c>
      <c r="D829" t="s">
        <v>2021</v>
      </c>
      <c r="E829" t="s">
        <v>2022</v>
      </c>
      <c r="F829" t="s">
        <v>7</v>
      </c>
      <c r="G829" t="s">
        <v>8</v>
      </c>
      <c r="H829">
        <v>55000000</v>
      </c>
      <c r="I829">
        <v>5.6</v>
      </c>
      <c r="J829" t="s">
        <v>8345</v>
      </c>
    </row>
    <row r="830" spans="1:10" x14ac:dyDescent="0.3">
      <c r="A830">
        <v>170</v>
      </c>
      <c r="B830">
        <v>66676062</v>
      </c>
      <c r="C830" t="s">
        <v>786</v>
      </c>
      <c r="D830" t="s">
        <v>2023</v>
      </c>
      <c r="E830" t="s">
        <v>2024</v>
      </c>
      <c r="F830" t="s">
        <v>7</v>
      </c>
      <c r="G830" t="s">
        <v>8</v>
      </c>
      <c r="H830">
        <v>54000000</v>
      </c>
      <c r="I830">
        <v>6.6</v>
      </c>
      <c r="J830" t="s">
        <v>8572</v>
      </c>
    </row>
    <row r="831" spans="1:10" x14ac:dyDescent="0.3">
      <c r="A831">
        <v>123</v>
      </c>
      <c r="B831">
        <v>26838389</v>
      </c>
      <c r="C831" t="s">
        <v>561</v>
      </c>
      <c r="D831" t="s">
        <v>2025</v>
      </c>
      <c r="E831" t="s">
        <v>2026</v>
      </c>
      <c r="F831" t="s">
        <v>7</v>
      </c>
      <c r="G831" t="s">
        <v>8</v>
      </c>
      <c r="H831">
        <v>57000000</v>
      </c>
      <c r="I831">
        <v>5.4</v>
      </c>
      <c r="J831" t="s">
        <v>8693</v>
      </c>
    </row>
    <row r="832" spans="1:10" x14ac:dyDescent="0.3">
      <c r="A832">
        <v>110</v>
      </c>
      <c r="B832">
        <v>75604320</v>
      </c>
      <c r="C832" t="s">
        <v>672</v>
      </c>
      <c r="D832" t="s">
        <v>2027</v>
      </c>
      <c r="E832" t="s">
        <v>2028</v>
      </c>
      <c r="F832" t="s">
        <v>7</v>
      </c>
      <c r="G832" t="s">
        <v>8</v>
      </c>
      <c r="H832">
        <v>54000000</v>
      </c>
      <c r="I832">
        <v>6.3</v>
      </c>
      <c r="J832" t="s">
        <v>8694</v>
      </c>
    </row>
    <row r="833" spans="1:10" x14ac:dyDescent="0.3">
      <c r="A833">
        <v>116</v>
      </c>
      <c r="B833">
        <v>108200000</v>
      </c>
      <c r="C833" t="s">
        <v>213</v>
      </c>
      <c r="D833" t="s">
        <v>2029</v>
      </c>
      <c r="E833" t="s">
        <v>2030</v>
      </c>
      <c r="F833" t="s">
        <v>7</v>
      </c>
      <c r="G833" t="s">
        <v>8</v>
      </c>
      <c r="H833">
        <v>54000000</v>
      </c>
      <c r="I833">
        <v>7.9</v>
      </c>
      <c r="J833" t="s">
        <v>8409</v>
      </c>
    </row>
    <row r="834" spans="1:10" x14ac:dyDescent="0.3">
      <c r="A834">
        <v>121</v>
      </c>
      <c r="B834">
        <v>5660084</v>
      </c>
      <c r="C834" t="s">
        <v>1782</v>
      </c>
      <c r="D834" t="s">
        <v>2031</v>
      </c>
      <c r="E834" t="s">
        <v>2032</v>
      </c>
      <c r="F834" t="s">
        <v>7</v>
      </c>
      <c r="G834" t="s">
        <v>8</v>
      </c>
      <c r="H834">
        <v>54000000</v>
      </c>
      <c r="I834">
        <v>6.3</v>
      </c>
      <c r="J834" t="s">
        <v>8374</v>
      </c>
    </row>
    <row r="835" spans="1:10" x14ac:dyDescent="0.3">
      <c r="A835">
        <v>128</v>
      </c>
      <c r="B835">
        <v>7221458</v>
      </c>
      <c r="C835" t="s">
        <v>1704</v>
      </c>
      <c r="D835" t="s">
        <v>2033</v>
      </c>
      <c r="E835" t="s">
        <v>2034</v>
      </c>
      <c r="F835" t="s">
        <v>7</v>
      </c>
      <c r="G835" t="s">
        <v>284</v>
      </c>
      <c r="H835">
        <v>55000000</v>
      </c>
      <c r="I835">
        <v>6</v>
      </c>
      <c r="J835" t="s">
        <v>8473</v>
      </c>
    </row>
    <row r="836" spans="1:10" x14ac:dyDescent="0.3">
      <c r="A836">
        <v>99</v>
      </c>
      <c r="B836">
        <v>70327868</v>
      </c>
      <c r="C836" t="s">
        <v>118</v>
      </c>
      <c r="D836" t="s">
        <v>2035</v>
      </c>
      <c r="E836" t="s">
        <v>2036</v>
      </c>
      <c r="F836" t="s">
        <v>7</v>
      </c>
      <c r="G836" t="s">
        <v>284</v>
      </c>
      <c r="H836">
        <v>46000000</v>
      </c>
      <c r="I836">
        <v>7.2</v>
      </c>
      <c r="J836" t="s">
        <v>8567</v>
      </c>
    </row>
    <row r="837" spans="1:10" x14ac:dyDescent="0.3">
      <c r="A837">
        <v>94</v>
      </c>
      <c r="B837">
        <v>58297830</v>
      </c>
      <c r="C837" t="s">
        <v>2037</v>
      </c>
      <c r="D837" t="s">
        <v>2038</v>
      </c>
      <c r="E837" t="s">
        <v>2039</v>
      </c>
      <c r="F837" t="s">
        <v>7</v>
      </c>
      <c r="G837" t="s">
        <v>8</v>
      </c>
      <c r="H837">
        <v>50000000</v>
      </c>
      <c r="I837">
        <v>5.0999999999999996</v>
      </c>
      <c r="J837" t="s">
        <v>8695</v>
      </c>
    </row>
    <row r="838" spans="1:10" x14ac:dyDescent="0.3">
      <c r="A838">
        <v>127</v>
      </c>
      <c r="B838">
        <v>57386369</v>
      </c>
      <c r="C838" t="s">
        <v>1172</v>
      </c>
      <c r="D838" t="s">
        <v>2040</v>
      </c>
      <c r="E838" t="s">
        <v>2041</v>
      </c>
      <c r="F838" t="s">
        <v>7</v>
      </c>
      <c r="G838" t="s">
        <v>8</v>
      </c>
      <c r="H838">
        <v>52500000</v>
      </c>
      <c r="I838">
        <v>7.3</v>
      </c>
      <c r="J838" t="s">
        <v>8458</v>
      </c>
    </row>
    <row r="839" spans="1:10" x14ac:dyDescent="0.3">
      <c r="A839">
        <v>89</v>
      </c>
      <c r="B839">
        <v>45207112</v>
      </c>
      <c r="C839" t="s">
        <v>915</v>
      </c>
      <c r="D839" t="s">
        <v>2042</v>
      </c>
      <c r="E839" t="s">
        <v>2043</v>
      </c>
      <c r="F839" t="s">
        <v>7</v>
      </c>
      <c r="G839" t="s">
        <v>8</v>
      </c>
      <c r="H839">
        <v>53000000</v>
      </c>
      <c r="I839">
        <v>8</v>
      </c>
      <c r="J839" t="s">
        <v>8696</v>
      </c>
    </row>
    <row r="840" spans="1:10" x14ac:dyDescent="0.3">
      <c r="A840">
        <v>123</v>
      </c>
      <c r="B840">
        <v>62563543</v>
      </c>
      <c r="C840" t="s">
        <v>694</v>
      </c>
      <c r="D840" t="s">
        <v>2044</v>
      </c>
      <c r="E840" t="s">
        <v>2045</v>
      </c>
      <c r="F840" t="s">
        <v>7</v>
      </c>
      <c r="G840" t="s">
        <v>8</v>
      </c>
      <c r="H840">
        <v>53000000</v>
      </c>
      <c r="I840">
        <v>6.2</v>
      </c>
      <c r="J840" t="s">
        <v>8420</v>
      </c>
    </row>
    <row r="841" spans="1:10" x14ac:dyDescent="0.3">
      <c r="A841">
        <v>135</v>
      </c>
      <c r="B841">
        <v>33574332</v>
      </c>
      <c r="C841" t="s">
        <v>799</v>
      </c>
      <c r="D841" t="s">
        <v>2046</v>
      </c>
      <c r="E841" t="s">
        <v>2047</v>
      </c>
      <c r="F841" t="s">
        <v>7</v>
      </c>
      <c r="G841" t="s">
        <v>8</v>
      </c>
      <c r="H841">
        <v>90000000</v>
      </c>
      <c r="I841">
        <v>6</v>
      </c>
      <c r="J841" t="s">
        <v>8570</v>
      </c>
    </row>
    <row r="842" spans="1:10" x14ac:dyDescent="0.3">
      <c r="A842">
        <v>118</v>
      </c>
      <c r="B842">
        <v>73343413</v>
      </c>
      <c r="C842" t="s">
        <v>873</v>
      </c>
      <c r="D842" t="s">
        <v>2048</v>
      </c>
      <c r="E842" t="s">
        <v>2049</v>
      </c>
      <c r="F842" t="s">
        <v>7</v>
      </c>
      <c r="G842" t="s">
        <v>8</v>
      </c>
      <c r="H842">
        <v>50000000</v>
      </c>
      <c r="I842">
        <v>6.7</v>
      </c>
      <c r="J842" t="s">
        <v>8473</v>
      </c>
    </row>
    <row r="843" spans="1:10" x14ac:dyDescent="0.3">
      <c r="A843">
        <v>189</v>
      </c>
      <c r="B843">
        <v>25031037</v>
      </c>
      <c r="C843" t="s">
        <v>2050</v>
      </c>
      <c r="D843" t="s">
        <v>2051</v>
      </c>
      <c r="E843" t="s">
        <v>2052</v>
      </c>
      <c r="F843" t="s">
        <v>7</v>
      </c>
      <c r="G843" t="s">
        <v>8</v>
      </c>
      <c r="H843">
        <v>53000000</v>
      </c>
      <c r="I843">
        <v>8.1</v>
      </c>
      <c r="J843" t="s">
        <v>8462</v>
      </c>
    </row>
    <row r="844" spans="1:10" x14ac:dyDescent="0.3">
      <c r="A844">
        <v>172</v>
      </c>
      <c r="B844">
        <v>22843047</v>
      </c>
      <c r="C844" t="s">
        <v>2053</v>
      </c>
      <c r="D844" t="s">
        <v>2054</v>
      </c>
      <c r="E844" t="s">
        <v>2055</v>
      </c>
      <c r="F844" t="s">
        <v>7</v>
      </c>
      <c r="G844" t="s">
        <v>8</v>
      </c>
      <c r="H844">
        <v>55000000</v>
      </c>
      <c r="I844">
        <v>6.4</v>
      </c>
      <c r="J844" t="s">
        <v>8482</v>
      </c>
    </row>
    <row r="845" spans="1:10" x14ac:dyDescent="0.3">
      <c r="A845">
        <v>141</v>
      </c>
      <c r="B845">
        <v>164435221</v>
      </c>
      <c r="C845" t="s">
        <v>694</v>
      </c>
      <c r="D845" t="s">
        <v>2057</v>
      </c>
      <c r="E845" t="s">
        <v>2058</v>
      </c>
      <c r="F845" t="s">
        <v>7</v>
      </c>
      <c r="G845" t="s">
        <v>8</v>
      </c>
      <c r="H845">
        <v>52000000</v>
      </c>
      <c r="I845">
        <v>8</v>
      </c>
      <c r="J845" t="s">
        <v>8462</v>
      </c>
    </row>
    <row r="846" spans="1:10" x14ac:dyDescent="0.3">
      <c r="A846">
        <v>157</v>
      </c>
      <c r="B846">
        <v>95720716</v>
      </c>
      <c r="C846" t="s">
        <v>1160</v>
      </c>
      <c r="D846" t="s">
        <v>2059</v>
      </c>
      <c r="E846" t="s">
        <v>2060</v>
      </c>
      <c r="F846" t="s">
        <v>7</v>
      </c>
      <c r="G846" t="s">
        <v>8</v>
      </c>
      <c r="H846">
        <v>40000000</v>
      </c>
      <c r="I846">
        <v>6.3</v>
      </c>
      <c r="J846" t="s">
        <v>8507</v>
      </c>
    </row>
    <row r="847" spans="1:10" x14ac:dyDescent="0.3">
      <c r="A847">
        <v>106</v>
      </c>
      <c r="B847">
        <v>118683135</v>
      </c>
      <c r="C847" t="s">
        <v>561</v>
      </c>
      <c r="D847" t="s">
        <v>2061</v>
      </c>
      <c r="E847" t="s">
        <v>2062</v>
      </c>
      <c r="F847" t="s">
        <v>7</v>
      </c>
      <c r="G847" t="s">
        <v>8</v>
      </c>
      <c r="H847">
        <v>52000000</v>
      </c>
      <c r="I847">
        <v>6.4</v>
      </c>
      <c r="J847" t="s">
        <v>8337</v>
      </c>
    </row>
    <row r="848" spans="1:10" x14ac:dyDescent="0.3">
      <c r="A848">
        <v>108</v>
      </c>
      <c r="B848">
        <v>143704210</v>
      </c>
      <c r="C848" t="s">
        <v>2063</v>
      </c>
      <c r="D848" t="s">
        <v>2064</v>
      </c>
      <c r="E848" t="s">
        <v>2065</v>
      </c>
      <c r="F848" t="s">
        <v>7</v>
      </c>
      <c r="G848" t="s">
        <v>8</v>
      </c>
      <c r="H848">
        <v>52000000</v>
      </c>
      <c r="I848">
        <v>6.6</v>
      </c>
      <c r="J848" t="s">
        <v>8697</v>
      </c>
    </row>
    <row r="849" spans="1:10" x14ac:dyDescent="0.3">
      <c r="A849">
        <v>125</v>
      </c>
      <c r="B849">
        <v>110476776</v>
      </c>
      <c r="C849" t="s">
        <v>672</v>
      </c>
      <c r="D849" t="s">
        <v>2066</v>
      </c>
      <c r="E849" t="s">
        <v>2067</v>
      </c>
      <c r="F849" t="s">
        <v>7</v>
      </c>
      <c r="G849" t="s">
        <v>8</v>
      </c>
      <c r="H849">
        <v>52000000</v>
      </c>
      <c r="I849">
        <v>6.4</v>
      </c>
      <c r="J849" t="s">
        <v>8667</v>
      </c>
    </row>
    <row r="850" spans="1:10" x14ac:dyDescent="0.3">
      <c r="A850">
        <v>107</v>
      </c>
      <c r="B850">
        <v>80270227</v>
      </c>
      <c r="C850" t="s">
        <v>650</v>
      </c>
      <c r="D850" t="s">
        <v>2068</v>
      </c>
      <c r="E850" t="s">
        <v>2069</v>
      </c>
      <c r="F850" t="s">
        <v>7</v>
      </c>
      <c r="G850" t="s">
        <v>8</v>
      </c>
      <c r="H850">
        <v>50000000</v>
      </c>
      <c r="I850">
        <v>6</v>
      </c>
      <c r="J850" t="s">
        <v>8490</v>
      </c>
    </row>
    <row r="851" spans="1:10" x14ac:dyDescent="0.3">
      <c r="A851">
        <v>215</v>
      </c>
      <c r="B851">
        <v>36385763</v>
      </c>
      <c r="C851" t="s">
        <v>1410</v>
      </c>
      <c r="D851" t="s">
        <v>2070</v>
      </c>
      <c r="E851" t="s">
        <v>2071</v>
      </c>
      <c r="F851" t="s">
        <v>7</v>
      </c>
      <c r="G851" t="s">
        <v>8</v>
      </c>
      <c r="H851">
        <v>52000000</v>
      </c>
      <c r="I851">
        <v>6.6</v>
      </c>
      <c r="J851" t="s">
        <v>8391</v>
      </c>
    </row>
    <row r="852" spans="1:10" x14ac:dyDescent="0.3">
      <c r="A852">
        <v>118</v>
      </c>
      <c r="B852">
        <v>37035845</v>
      </c>
      <c r="C852" t="s">
        <v>1149</v>
      </c>
      <c r="D852" t="s">
        <v>2072</v>
      </c>
      <c r="E852" t="s">
        <v>2073</v>
      </c>
      <c r="F852" t="s">
        <v>7</v>
      </c>
      <c r="G852" t="s">
        <v>8</v>
      </c>
      <c r="H852">
        <v>52000000</v>
      </c>
      <c r="I852">
        <v>5.9</v>
      </c>
      <c r="J852" t="s">
        <v>8698</v>
      </c>
    </row>
    <row r="853" spans="1:10" x14ac:dyDescent="0.3">
      <c r="A853">
        <v>118</v>
      </c>
      <c r="B853">
        <v>34580635</v>
      </c>
      <c r="C853" t="s">
        <v>1743</v>
      </c>
      <c r="D853" t="s">
        <v>2074</v>
      </c>
      <c r="E853" t="s">
        <v>2075</v>
      </c>
      <c r="F853" t="s">
        <v>7</v>
      </c>
      <c r="G853" t="s">
        <v>15</v>
      </c>
      <c r="H853">
        <v>52000000</v>
      </c>
      <c r="I853">
        <v>6.4</v>
      </c>
      <c r="J853" t="s">
        <v>8362</v>
      </c>
    </row>
    <row r="854" spans="1:10" x14ac:dyDescent="0.3">
      <c r="A854">
        <v>178</v>
      </c>
      <c r="B854">
        <v>42438300</v>
      </c>
      <c r="C854" t="s">
        <v>694</v>
      </c>
      <c r="D854" t="s">
        <v>2076</v>
      </c>
      <c r="E854" t="s">
        <v>2077</v>
      </c>
      <c r="F854" t="s">
        <v>7</v>
      </c>
      <c r="G854" t="s">
        <v>8</v>
      </c>
      <c r="H854">
        <v>52000000</v>
      </c>
      <c r="I854">
        <v>6.3</v>
      </c>
      <c r="J854" t="s">
        <v>8699</v>
      </c>
    </row>
    <row r="855" spans="1:10" x14ac:dyDescent="0.3">
      <c r="A855">
        <v>92</v>
      </c>
      <c r="B855">
        <v>23324666</v>
      </c>
      <c r="C855" t="s">
        <v>16</v>
      </c>
      <c r="D855" t="s">
        <v>2078</v>
      </c>
      <c r="E855" t="s">
        <v>2079</v>
      </c>
      <c r="F855" t="s">
        <v>7</v>
      </c>
      <c r="G855" t="s">
        <v>583</v>
      </c>
      <c r="H855">
        <v>52000000</v>
      </c>
      <c r="I855">
        <v>7.3</v>
      </c>
      <c r="J855" t="s">
        <v>8700</v>
      </c>
    </row>
    <row r="856" spans="1:10" x14ac:dyDescent="0.3">
      <c r="A856">
        <v>104</v>
      </c>
      <c r="B856">
        <v>23020488</v>
      </c>
      <c r="C856" t="s">
        <v>492</v>
      </c>
      <c r="D856" t="s">
        <v>2080</v>
      </c>
      <c r="E856" t="s">
        <v>2081</v>
      </c>
      <c r="F856" t="s">
        <v>7</v>
      </c>
      <c r="G856" t="s">
        <v>8</v>
      </c>
      <c r="H856">
        <v>52000000</v>
      </c>
      <c r="I856">
        <v>6.8</v>
      </c>
      <c r="J856" t="s">
        <v>8542</v>
      </c>
    </row>
    <row r="857" spans="1:10" x14ac:dyDescent="0.3">
      <c r="A857">
        <v>116</v>
      </c>
      <c r="B857">
        <v>90567722</v>
      </c>
      <c r="C857" t="s">
        <v>668</v>
      </c>
      <c r="D857" t="s">
        <v>2082</v>
      </c>
      <c r="E857" t="s">
        <v>2083</v>
      </c>
      <c r="F857" t="s">
        <v>7</v>
      </c>
      <c r="G857" t="s">
        <v>8</v>
      </c>
      <c r="H857">
        <v>51000000</v>
      </c>
      <c r="I857">
        <v>7.2</v>
      </c>
      <c r="J857" t="s">
        <v>8701</v>
      </c>
    </row>
    <row r="858" spans="1:10" x14ac:dyDescent="0.3">
      <c r="A858">
        <v>90</v>
      </c>
      <c r="B858">
        <v>72601713</v>
      </c>
      <c r="C858" t="s">
        <v>1220</v>
      </c>
      <c r="D858" t="s">
        <v>2084</v>
      </c>
      <c r="E858" t="s">
        <v>2085</v>
      </c>
      <c r="F858" t="s">
        <v>7</v>
      </c>
      <c r="G858" t="s">
        <v>284</v>
      </c>
      <c r="H858">
        <v>51000000</v>
      </c>
      <c r="I858">
        <v>5.7</v>
      </c>
      <c r="J858" t="s">
        <v>8702</v>
      </c>
    </row>
    <row r="859" spans="1:10" x14ac:dyDescent="0.3">
      <c r="A859">
        <v>130</v>
      </c>
      <c r="B859">
        <v>296623634</v>
      </c>
      <c r="C859" t="s">
        <v>428</v>
      </c>
      <c r="D859" t="s">
        <v>2086</v>
      </c>
      <c r="E859" t="s">
        <v>2087</v>
      </c>
      <c r="F859" t="s">
        <v>7</v>
      </c>
      <c r="G859" t="s">
        <v>8</v>
      </c>
      <c r="H859">
        <v>50000000</v>
      </c>
      <c r="I859">
        <v>6</v>
      </c>
      <c r="J859" t="s">
        <v>8703</v>
      </c>
    </row>
    <row r="860" spans="1:10" x14ac:dyDescent="0.3">
      <c r="A860">
        <v>90</v>
      </c>
      <c r="B860">
        <v>267652016</v>
      </c>
      <c r="C860" t="s">
        <v>96</v>
      </c>
      <c r="D860" t="s">
        <v>2088</v>
      </c>
      <c r="E860" t="s">
        <v>2089</v>
      </c>
      <c r="F860" t="s">
        <v>7</v>
      </c>
      <c r="G860" t="s">
        <v>8</v>
      </c>
      <c r="H860">
        <v>60000000</v>
      </c>
      <c r="I860">
        <v>6.5</v>
      </c>
      <c r="J860" t="s">
        <v>8365</v>
      </c>
    </row>
    <row r="861" spans="1:10" x14ac:dyDescent="0.3">
      <c r="A861">
        <v>106</v>
      </c>
      <c r="B861">
        <v>62453315</v>
      </c>
      <c r="C861" t="s">
        <v>2090</v>
      </c>
      <c r="D861" t="s">
        <v>2091</v>
      </c>
      <c r="E861" t="s">
        <v>2092</v>
      </c>
      <c r="F861" t="s">
        <v>7</v>
      </c>
      <c r="G861" t="s">
        <v>8</v>
      </c>
      <c r="H861">
        <v>50200000</v>
      </c>
      <c r="I861">
        <v>5.8</v>
      </c>
      <c r="J861" t="s">
        <v>8600</v>
      </c>
    </row>
    <row r="862" spans="1:10" x14ac:dyDescent="0.3">
      <c r="A862">
        <v>155</v>
      </c>
      <c r="B862">
        <v>165500000</v>
      </c>
      <c r="C862" t="s">
        <v>70</v>
      </c>
      <c r="D862" t="s">
        <v>2093</v>
      </c>
      <c r="E862" t="s">
        <v>2094</v>
      </c>
      <c r="F862" t="s">
        <v>7</v>
      </c>
      <c r="G862" t="s">
        <v>8</v>
      </c>
      <c r="H862">
        <v>48000000</v>
      </c>
      <c r="I862">
        <v>5.8</v>
      </c>
      <c r="J862" t="s">
        <v>8704</v>
      </c>
    </row>
    <row r="863" spans="1:10" x14ac:dyDescent="0.3">
      <c r="A863">
        <v>139</v>
      </c>
      <c r="B863">
        <v>153620822</v>
      </c>
      <c r="C863" t="s">
        <v>1872</v>
      </c>
      <c r="D863" t="s">
        <v>2095</v>
      </c>
      <c r="E863" t="s">
        <v>2096</v>
      </c>
      <c r="F863" t="s">
        <v>7</v>
      </c>
      <c r="G863" t="s">
        <v>8</v>
      </c>
      <c r="H863">
        <v>50000000</v>
      </c>
      <c r="I863">
        <v>6.7</v>
      </c>
      <c r="J863" t="s">
        <v>8705</v>
      </c>
    </row>
    <row r="864" spans="1:10" x14ac:dyDescent="0.3">
      <c r="A864">
        <v>112</v>
      </c>
      <c r="B864">
        <v>218628680</v>
      </c>
      <c r="C864" t="s">
        <v>1149</v>
      </c>
      <c r="D864" t="s">
        <v>2097</v>
      </c>
      <c r="E864" t="s">
        <v>2098</v>
      </c>
      <c r="F864" t="s">
        <v>7</v>
      </c>
      <c r="G864" t="s">
        <v>8</v>
      </c>
      <c r="H864">
        <v>50000000</v>
      </c>
      <c r="I864">
        <v>7.8</v>
      </c>
      <c r="J864" t="s">
        <v>8619</v>
      </c>
    </row>
    <row r="865" spans="1:10" x14ac:dyDescent="0.3">
      <c r="A865">
        <v>139</v>
      </c>
      <c r="B865">
        <v>147637474</v>
      </c>
      <c r="C865" t="s">
        <v>561</v>
      </c>
      <c r="D865" t="s">
        <v>2099</v>
      </c>
      <c r="E865" t="s">
        <v>2100</v>
      </c>
      <c r="F865" t="s">
        <v>7</v>
      </c>
      <c r="G865" t="s">
        <v>8</v>
      </c>
      <c r="H865">
        <v>50000000</v>
      </c>
      <c r="I865">
        <v>5.6</v>
      </c>
      <c r="J865" t="s">
        <v>8519</v>
      </c>
    </row>
    <row r="866" spans="1:10" x14ac:dyDescent="0.3">
      <c r="A866">
        <v>115</v>
      </c>
      <c r="B866">
        <v>135014968</v>
      </c>
      <c r="C866" t="s">
        <v>2101</v>
      </c>
      <c r="D866" t="s">
        <v>2102</v>
      </c>
      <c r="E866" t="s">
        <v>2103</v>
      </c>
      <c r="F866" t="s">
        <v>7</v>
      </c>
      <c r="G866" t="s">
        <v>8</v>
      </c>
      <c r="H866">
        <v>50000000</v>
      </c>
      <c r="I866">
        <v>5.8</v>
      </c>
      <c r="J866" t="s">
        <v>8458</v>
      </c>
    </row>
    <row r="867" spans="1:10" x14ac:dyDescent="0.3">
      <c r="A867">
        <v>143</v>
      </c>
      <c r="B867">
        <v>2175312</v>
      </c>
      <c r="C867" t="s">
        <v>668</v>
      </c>
      <c r="D867" t="s">
        <v>2104</v>
      </c>
      <c r="E867" t="s">
        <v>2105</v>
      </c>
      <c r="F867" t="s">
        <v>7</v>
      </c>
      <c r="G867" t="s">
        <v>8</v>
      </c>
      <c r="H867">
        <v>50000000</v>
      </c>
      <c r="I867">
        <v>7.4</v>
      </c>
      <c r="J867" t="s">
        <v>8426</v>
      </c>
    </row>
    <row r="868" spans="1:10" x14ac:dyDescent="0.3">
      <c r="A868">
        <v>96</v>
      </c>
      <c r="B868">
        <v>126203320</v>
      </c>
      <c r="C868" t="s">
        <v>672</v>
      </c>
      <c r="D868" t="s">
        <v>2106</v>
      </c>
      <c r="E868" t="s">
        <v>2107</v>
      </c>
      <c r="F868" t="s">
        <v>7</v>
      </c>
      <c r="G868" t="s">
        <v>8</v>
      </c>
      <c r="H868">
        <v>50000000</v>
      </c>
      <c r="I868">
        <v>6.9</v>
      </c>
      <c r="J868" t="s">
        <v>8706</v>
      </c>
    </row>
    <row r="869" spans="1:10" x14ac:dyDescent="0.3">
      <c r="A869">
        <v>112</v>
      </c>
      <c r="B869">
        <v>126975169</v>
      </c>
      <c r="C869" t="s">
        <v>2108</v>
      </c>
      <c r="D869" t="s">
        <v>2109</v>
      </c>
      <c r="E869" t="s">
        <v>2110</v>
      </c>
      <c r="F869" t="s">
        <v>7</v>
      </c>
      <c r="G869" t="s">
        <v>8</v>
      </c>
      <c r="H869">
        <v>50000000</v>
      </c>
      <c r="I869">
        <v>5.5</v>
      </c>
      <c r="J869" t="s">
        <v>8707</v>
      </c>
    </row>
    <row r="870" spans="1:10" x14ac:dyDescent="0.3">
      <c r="A870">
        <v>131</v>
      </c>
      <c r="B870">
        <v>125548685</v>
      </c>
      <c r="C870" t="s">
        <v>617</v>
      </c>
      <c r="D870" t="s">
        <v>2111</v>
      </c>
      <c r="E870" t="s">
        <v>2112</v>
      </c>
      <c r="F870" t="s">
        <v>7</v>
      </c>
      <c r="G870" t="s">
        <v>8</v>
      </c>
      <c r="H870">
        <v>52000000</v>
      </c>
      <c r="I870">
        <v>6.3</v>
      </c>
      <c r="J870" t="s">
        <v>8708</v>
      </c>
    </row>
    <row r="871" spans="1:10" x14ac:dyDescent="0.3">
      <c r="A871">
        <v>116</v>
      </c>
      <c r="B871">
        <v>105807520</v>
      </c>
      <c r="C871" t="s">
        <v>672</v>
      </c>
      <c r="D871" t="s">
        <v>2113</v>
      </c>
      <c r="E871" t="s">
        <v>2114</v>
      </c>
      <c r="F871" t="s">
        <v>7</v>
      </c>
      <c r="G871" t="s">
        <v>8</v>
      </c>
      <c r="H871">
        <v>50000000</v>
      </c>
      <c r="I871">
        <v>4.7</v>
      </c>
      <c r="J871" t="s">
        <v>8709</v>
      </c>
    </row>
    <row r="872" spans="1:10" x14ac:dyDescent="0.3">
      <c r="A872">
        <v>112</v>
      </c>
      <c r="B872">
        <v>191616238</v>
      </c>
      <c r="C872" t="s">
        <v>704</v>
      </c>
      <c r="D872" t="s">
        <v>2115</v>
      </c>
      <c r="E872" t="s">
        <v>2116</v>
      </c>
      <c r="F872" t="s">
        <v>7</v>
      </c>
      <c r="G872" t="s">
        <v>8</v>
      </c>
      <c r="H872">
        <v>50000000</v>
      </c>
      <c r="I872">
        <v>5.6</v>
      </c>
      <c r="J872" t="s">
        <v>8710</v>
      </c>
    </row>
    <row r="873" spans="1:10" x14ac:dyDescent="0.3">
      <c r="A873">
        <v>123</v>
      </c>
      <c r="B873">
        <v>105264608</v>
      </c>
      <c r="C873" t="s">
        <v>2117</v>
      </c>
      <c r="D873" t="s">
        <v>2118</v>
      </c>
      <c r="E873" t="s">
        <v>2119</v>
      </c>
      <c r="F873" t="s">
        <v>7</v>
      </c>
      <c r="G873" t="s">
        <v>8</v>
      </c>
      <c r="H873">
        <v>60000000</v>
      </c>
      <c r="I873">
        <v>6.4</v>
      </c>
      <c r="J873" t="s">
        <v>8367</v>
      </c>
    </row>
    <row r="874" spans="1:10" x14ac:dyDescent="0.3">
      <c r="A874">
        <v>104</v>
      </c>
      <c r="B874">
        <v>97680195</v>
      </c>
      <c r="C874" t="s">
        <v>672</v>
      </c>
      <c r="D874" t="s">
        <v>2120</v>
      </c>
      <c r="E874" t="s">
        <v>2121</v>
      </c>
      <c r="F874" t="s">
        <v>7</v>
      </c>
      <c r="G874" t="s">
        <v>8</v>
      </c>
      <c r="H874">
        <v>70000000</v>
      </c>
      <c r="I874">
        <v>4.2</v>
      </c>
      <c r="J874" t="s">
        <v>8591</v>
      </c>
    </row>
    <row r="875" spans="1:10" x14ac:dyDescent="0.3">
      <c r="A875">
        <v>107</v>
      </c>
      <c r="B875">
        <v>126088877</v>
      </c>
      <c r="C875" t="s">
        <v>704</v>
      </c>
      <c r="D875" t="s">
        <v>2122</v>
      </c>
      <c r="E875" t="s">
        <v>2123</v>
      </c>
      <c r="F875" t="s">
        <v>7</v>
      </c>
      <c r="G875" t="s">
        <v>8</v>
      </c>
      <c r="H875">
        <v>50000000</v>
      </c>
      <c r="I875">
        <v>6.4</v>
      </c>
      <c r="J875" t="s">
        <v>8711</v>
      </c>
    </row>
    <row r="876" spans="1:10" x14ac:dyDescent="0.3">
      <c r="A876">
        <v>124</v>
      </c>
      <c r="B876">
        <v>91030827</v>
      </c>
      <c r="C876" t="s">
        <v>1040</v>
      </c>
      <c r="D876" t="s">
        <v>2124</v>
      </c>
      <c r="E876" t="s">
        <v>2125</v>
      </c>
      <c r="F876" t="s">
        <v>7</v>
      </c>
      <c r="G876" t="s">
        <v>8</v>
      </c>
      <c r="H876">
        <v>50000000</v>
      </c>
      <c r="I876">
        <v>7.7</v>
      </c>
      <c r="J876" t="s">
        <v>8658</v>
      </c>
    </row>
    <row r="877" spans="1:10" x14ac:dyDescent="0.3">
      <c r="A877">
        <v>96</v>
      </c>
      <c r="B877">
        <v>150315155</v>
      </c>
      <c r="C877" t="s">
        <v>1261</v>
      </c>
      <c r="D877" t="s">
        <v>2126</v>
      </c>
      <c r="E877" t="s">
        <v>2127</v>
      </c>
      <c r="F877" t="s">
        <v>7</v>
      </c>
      <c r="G877" t="s">
        <v>8</v>
      </c>
      <c r="H877">
        <v>50000000</v>
      </c>
      <c r="I877">
        <v>7.7</v>
      </c>
      <c r="J877" t="s">
        <v>8621</v>
      </c>
    </row>
    <row r="878" spans="1:10" x14ac:dyDescent="0.3">
      <c r="A878">
        <v>125</v>
      </c>
      <c r="B878">
        <v>127997349</v>
      </c>
      <c r="C878" t="s">
        <v>2128</v>
      </c>
      <c r="D878" t="s">
        <v>2129</v>
      </c>
      <c r="E878" t="s">
        <v>2130</v>
      </c>
      <c r="F878" t="s">
        <v>7</v>
      </c>
      <c r="G878" t="s">
        <v>8</v>
      </c>
      <c r="H878">
        <v>50000000</v>
      </c>
      <c r="I878">
        <v>5.3</v>
      </c>
      <c r="J878" t="s">
        <v>8712</v>
      </c>
    </row>
    <row r="879" spans="1:10" x14ac:dyDescent="0.3">
      <c r="A879">
        <v>129</v>
      </c>
      <c r="B879">
        <v>88504640</v>
      </c>
      <c r="C879" t="s">
        <v>882</v>
      </c>
      <c r="D879" t="s">
        <v>2131</v>
      </c>
      <c r="E879" t="s">
        <v>2132</v>
      </c>
      <c r="F879" t="s">
        <v>7</v>
      </c>
      <c r="G879" t="s">
        <v>8</v>
      </c>
      <c r="H879">
        <v>45000000</v>
      </c>
      <c r="I879">
        <v>6.7</v>
      </c>
      <c r="J879" t="s">
        <v>8331</v>
      </c>
    </row>
    <row r="880" spans="1:10" x14ac:dyDescent="0.3">
      <c r="A880">
        <v>90</v>
      </c>
      <c r="B880">
        <v>81517441</v>
      </c>
      <c r="C880" t="s">
        <v>164</v>
      </c>
      <c r="D880" t="s">
        <v>2133</v>
      </c>
      <c r="E880" t="s">
        <v>2134</v>
      </c>
      <c r="F880" t="s">
        <v>7</v>
      </c>
      <c r="G880" t="s">
        <v>8</v>
      </c>
      <c r="H880">
        <v>50000000</v>
      </c>
      <c r="I880">
        <v>7.7</v>
      </c>
      <c r="J880" t="s">
        <v>8696</v>
      </c>
    </row>
    <row r="881" spans="1:10" x14ac:dyDescent="0.3">
      <c r="A881">
        <v>109</v>
      </c>
      <c r="B881">
        <v>81022333</v>
      </c>
      <c r="C881" t="s">
        <v>567</v>
      </c>
      <c r="D881" t="s">
        <v>2135</v>
      </c>
      <c r="E881" t="s">
        <v>2136</v>
      </c>
      <c r="F881" t="s">
        <v>7</v>
      </c>
      <c r="G881" t="s">
        <v>8</v>
      </c>
      <c r="H881">
        <v>50000000</v>
      </c>
      <c r="I881">
        <v>5.7</v>
      </c>
      <c r="J881" t="s">
        <v>8675</v>
      </c>
    </row>
    <row r="882" spans="1:10" x14ac:dyDescent="0.3">
      <c r="A882">
        <v>121</v>
      </c>
      <c r="B882">
        <v>79948113</v>
      </c>
      <c r="C882" t="s">
        <v>909</v>
      </c>
      <c r="D882" t="s">
        <v>2137</v>
      </c>
      <c r="E882" t="s">
        <v>2138</v>
      </c>
      <c r="F882" t="s">
        <v>7</v>
      </c>
      <c r="G882" t="s">
        <v>8</v>
      </c>
      <c r="H882">
        <v>50000000</v>
      </c>
      <c r="I882">
        <v>7.6</v>
      </c>
      <c r="J882" t="s">
        <v>8713</v>
      </c>
    </row>
    <row r="883" spans="1:10" x14ac:dyDescent="0.3">
      <c r="A883">
        <v>95</v>
      </c>
      <c r="B883">
        <v>88658172</v>
      </c>
      <c r="C883" t="s">
        <v>672</v>
      </c>
      <c r="D883" t="s">
        <v>2139</v>
      </c>
      <c r="E883" t="s">
        <v>2140</v>
      </c>
      <c r="F883" t="s">
        <v>7</v>
      </c>
      <c r="G883" t="s">
        <v>8</v>
      </c>
      <c r="H883">
        <v>50000000</v>
      </c>
      <c r="I883">
        <v>6.4</v>
      </c>
      <c r="J883" t="s">
        <v>8589</v>
      </c>
    </row>
    <row r="884" spans="1:10" x14ac:dyDescent="0.3">
      <c r="A884">
        <v>118</v>
      </c>
      <c r="B884">
        <v>84244877</v>
      </c>
      <c r="C884" t="s">
        <v>561</v>
      </c>
      <c r="D884" t="s">
        <v>2142</v>
      </c>
      <c r="E884" t="s">
        <v>2143</v>
      </c>
      <c r="F884" t="s">
        <v>7</v>
      </c>
      <c r="G884" t="s">
        <v>8</v>
      </c>
      <c r="H884">
        <v>50000000</v>
      </c>
      <c r="I884">
        <v>5.6</v>
      </c>
      <c r="J884" t="s">
        <v>8314</v>
      </c>
    </row>
    <row r="885" spans="1:10" x14ac:dyDescent="0.3">
      <c r="A885">
        <v>80</v>
      </c>
      <c r="B885">
        <v>75367693</v>
      </c>
      <c r="C885" t="s">
        <v>298</v>
      </c>
      <c r="D885" t="s">
        <v>2144</v>
      </c>
      <c r="E885" t="s">
        <v>2145</v>
      </c>
      <c r="F885" t="s">
        <v>7</v>
      </c>
      <c r="G885" t="s">
        <v>8</v>
      </c>
      <c r="H885">
        <v>35000000</v>
      </c>
      <c r="I885">
        <v>6.8</v>
      </c>
      <c r="J885" t="s">
        <v>8714</v>
      </c>
    </row>
    <row r="886" spans="1:10" x14ac:dyDescent="0.3">
      <c r="A886">
        <v>99</v>
      </c>
      <c r="B886">
        <v>73701902</v>
      </c>
      <c r="C886" t="s">
        <v>1261</v>
      </c>
      <c r="D886" t="s">
        <v>2146</v>
      </c>
      <c r="E886" t="s">
        <v>2147</v>
      </c>
      <c r="F886" t="s">
        <v>7</v>
      </c>
      <c r="G886" t="s">
        <v>8</v>
      </c>
      <c r="H886">
        <v>60000000</v>
      </c>
      <c r="I886">
        <v>2.4</v>
      </c>
      <c r="J886" t="s">
        <v>8518</v>
      </c>
    </row>
    <row r="887" spans="1:10" x14ac:dyDescent="0.3">
      <c r="A887">
        <v>133</v>
      </c>
      <c r="B887">
        <v>75605492</v>
      </c>
      <c r="C887" t="s">
        <v>653</v>
      </c>
      <c r="D887" t="s">
        <v>2148</v>
      </c>
      <c r="E887" t="s">
        <v>2149</v>
      </c>
      <c r="F887" t="s">
        <v>7</v>
      </c>
      <c r="G887" t="s">
        <v>8</v>
      </c>
      <c r="H887">
        <v>50000000</v>
      </c>
      <c r="I887">
        <v>6.2</v>
      </c>
      <c r="J887" t="s">
        <v>8650</v>
      </c>
    </row>
    <row r="888" spans="1:10" x14ac:dyDescent="0.3">
      <c r="A888">
        <v>127</v>
      </c>
      <c r="B888">
        <v>67823573</v>
      </c>
      <c r="C888" t="s">
        <v>351</v>
      </c>
      <c r="D888" t="s">
        <v>2150</v>
      </c>
      <c r="E888" t="s">
        <v>2151</v>
      </c>
      <c r="F888" t="s">
        <v>7</v>
      </c>
      <c r="G888" t="s">
        <v>8</v>
      </c>
      <c r="H888">
        <v>50000000</v>
      </c>
      <c r="I888">
        <v>5.9</v>
      </c>
      <c r="J888" t="s">
        <v>8558</v>
      </c>
    </row>
    <row r="889" spans="1:10" x14ac:dyDescent="0.3">
      <c r="A889">
        <v>106</v>
      </c>
      <c r="B889">
        <v>91439400</v>
      </c>
      <c r="C889" t="s">
        <v>449</v>
      </c>
      <c r="D889" t="s">
        <v>2152</v>
      </c>
      <c r="E889" t="s">
        <v>2153</v>
      </c>
      <c r="F889" t="s">
        <v>7</v>
      </c>
      <c r="G889" t="s">
        <v>15</v>
      </c>
      <c r="H889">
        <v>50000000</v>
      </c>
      <c r="I889">
        <v>7.1</v>
      </c>
      <c r="J889" t="s">
        <v>8574</v>
      </c>
    </row>
    <row r="890" spans="1:10" x14ac:dyDescent="0.3">
      <c r="A890">
        <v>98</v>
      </c>
      <c r="B890">
        <v>67128202</v>
      </c>
      <c r="C890" t="s">
        <v>2154</v>
      </c>
      <c r="D890" t="s">
        <v>2155</v>
      </c>
      <c r="E890" t="s">
        <v>2156</v>
      </c>
      <c r="F890" t="s">
        <v>7</v>
      </c>
      <c r="G890" t="s">
        <v>8</v>
      </c>
      <c r="H890">
        <v>65000000</v>
      </c>
      <c r="I890">
        <v>7.6</v>
      </c>
      <c r="J890" t="s">
        <v>8329</v>
      </c>
    </row>
    <row r="891" spans="1:10" x14ac:dyDescent="0.3">
      <c r="A891">
        <v>132</v>
      </c>
      <c r="B891">
        <v>70496802</v>
      </c>
      <c r="C891" t="s">
        <v>351</v>
      </c>
      <c r="D891" t="s">
        <v>2157</v>
      </c>
      <c r="E891" t="s">
        <v>2158</v>
      </c>
      <c r="F891" t="s">
        <v>7</v>
      </c>
      <c r="G891" t="s">
        <v>8</v>
      </c>
      <c r="H891">
        <v>54000000</v>
      </c>
      <c r="I891">
        <v>5.5</v>
      </c>
      <c r="J891" t="s">
        <v>8670</v>
      </c>
    </row>
    <row r="892" spans="1:10" x14ac:dyDescent="0.3">
      <c r="A892">
        <v>114</v>
      </c>
      <c r="B892">
        <v>60470220</v>
      </c>
      <c r="C892" t="s">
        <v>650</v>
      </c>
      <c r="D892" t="s">
        <v>2159</v>
      </c>
      <c r="E892" t="s">
        <v>2160</v>
      </c>
      <c r="F892" t="s">
        <v>7</v>
      </c>
      <c r="G892" t="s">
        <v>8</v>
      </c>
      <c r="H892">
        <v>50000000</v>
      </c>
      <c r="I892">
        <v>7</v>
      </c>
      <c r="J892" t="s">
        <v>8715</v>
      </c>
    </row>
    <row r="893" spans="1:10" x14ac:dyDescent="0.3">
      <c r="A893">
        <v>78</v>
      </c>
      <c r="B893">
        <v>58336565</v>
      </c>
      <c r="C893" t="s">
        <v>167</v>
      </c>
      <c r="D893" t="s">
        <v>2161</v>
      </c>
      <c r="E893" t="s">
        <v>2162</v>
      </c>
      <c r="F893" t="s">
        <v>7</v>
      </c>
      <c r="G893" t="s">
        <v>8</v>
      </c>
      <c r="H893">
        <v>50000000</v>
      </c>
      <c r="I893">
        <v>7.1</v>
      </c>
      <c r="J893" t="s">
        <v>8619</v>
      </c>
    </row>
    <row r="894" spans="1:10" x14ac:dyDescent="0.3">
      <c r="A894">
        <v>101</v>
      </c>
      <c r="B894">
        <v>66002004</v>
      </c>
      <c r="C894" t="s">
        <v>2163</v>
      </c>
      <c r="D894" t="s">
        <v>2164</v>
      </c>
      <c r="E894" t="s">
        <v>2165</v>
      </c>
      <c r="F894" t="s">
        <v>7</v>
      </c>
      <c r="G894" t="s">
        <v>8</v>
      </c>
      <c r="H894">
        <v>50000000</v>
      </c>
      <c r="I894">
        <v>7.4</v>
      </c>
      <c r="J894" t="s">
        <v>8566</v>
      </c>
    </row>
    <row r="895" spans="1:10" x14ac:dyDescent="0.3">
      <c r="A895">
        <v>113</v>
      </c>
      <c r="B895">
        <v>54997476</v>
      </c>
      <c r="C895" t="s">
        <v>882</v>
      </c>
      <c r="D895" t="s">
        <v>2166</v>
      </c>
      <c r="E895" t="s">
        <v>2167</v>
      </c>
      <c r="F895" t="s">
        <v>7</v>
      </c>
      <c r="G895" t="s">
        <v>8</v>
      </c>
      <c r="H895">
        <v>50000000</v>
      </c>
      <c r="I895">
        <v>7.6</v>
      </c>
      <c r="J895" t="s">
        <v>8716</v>
      </c>
    </row>
    <row r="896" spans="1:10" x14ac:dyDescent="0.3">
      <c r="A896">
        <v>98</v>
      </c>
      <c r="B896">
        <v>55682070</v>
      </c>
      <c r="C896" t="s">
        <v>1440</v>
      </c>
      <c r="D896" t="s">
        <v>2168</v>
      </c>
      <c r="E896" t="s">
        <v>2169</v>
      </c>
      <c r="F896" t="s">
        <v>7</v>
      </c>
      <c r="G896" t="s">
        <v>284</v>
      </c>
      <c r="H896">
        <v>50000000</v>
      </c>
      <c r="I896">
        <v>5.9</v>
      </c>
      <c r="J896" t="s">
        <v>8543</v>
      </c>
    </row>
    <row r="897" spans="1:10" x14ac:dyDescent="0.3">
      <c r="A897">
        <v>124</v>
      </c>
      <c r="B897">
        <v>52752475</v>
      </c>
      <c r="C897" t="s">
        <v>1704</v>
      </c>
      <c r="D897" t="s">
        <v>2170</v>
      </c>
      <c r="E897" t="s">
        <v>2171</v>
      </c>
      <c r="F897" t="s">
        <v>7</v>
      </c>
      <c r="G897" t="s">
        <v>8</v>
      </c>
      <c r="H897">
        <v>50000000</v>
      </c>
      <c r="I897">
        <v>5.9</v>
      </c>
      <c r="J897" t="s">
        <v>8717</v>
      </c>
    </row>
    <row r="898" spans="1:10" x14ac:dyDescent="0.3">
      <c r="A898">
        <v>109</v>
      </c>
      <c r="B898">
        <v>55092830</v>
      </c>
      <c r="C898" t="s">
        <v>78</v>
      </c>
      <c r="D898" t="s">
        <v>2172</v>
      </c>
      <c r="E898" t="s">
        <v>2173</v>
      </c>
      <c r="F898" t="s">
        <v>7</v>
      </c>
      <c r="G898" t="s">
        <v>8</v>
      </c>
      <c r="H898">
        <v>60000000</v>
      </c>
      <c r="I898">
        <v>8</v>
      </c>
      <c r="J898" t="s">
        <v>8332</v>
      </c>
    </row>
    <row r="899" spans="1:10" x14ac:dyDescent="0.3">
      <c r="A899">
        <v>128</v>
      </c>
      <c r="B899">
        <v>50815288</v>
      </c>
      <c r="C899" t="s">
        <v>1704</v>
      </c>
      <c r="D899" t="s">
        <v>2174</v>
      </c>
      <c r="E899" t="s">
        <v>2175</v>
      </c>
      <c r="F899" t="s">
        <v>7</v>
      </c>
      <c r="G899" t="s">
        <v>8</v>
      </c>
      <c r="H899">
        <v>50000000</v>
      </c>
      <c r="I899">
        <v>7.4</v>
      </c>
      <c r="J899" t="s">
        <v>8505</v>
      </c>
    </row>
    <row r="900" spans="1:10" x14ac:dyDescent="0.3">
      <c r="A900">
        <v>144</v>
      </c>
      <c r="B900">
        <v>52822418</v>
      </c>
      <c r="C900" t="s">
        <v>775</v>
      </c>
      <c r="D900" t="s">
        <v>2176</v>
      </c>
      <c r="E900" t="s">
        <v>2177</v>
      </c>
      <c r="F900" t="s">
        <v>7</v>
      </c>
      <c r="G900" t="s">
        <v>8</v>
      </c>
      <c r="H900">
        <v>50000000</v>
      </c>
      <c r="I900">
        <v>5.8</v>
      </c>
      <c r="J900" t="s">
        <v>8411</v>
      </c>
    </row>
    <row r="901" spans="1:10" x14ac:dyDescent="0.3">
      <c r="A901">
        <v>95</v>
      </c>
      <c r="B901">
        <v>50150619</v>
      </c>
      <c r="C901" t="s">
        <v>1363</v>
      </c>
      <c r="D901" t="s">
        <v>2178</v>
      </c>
      <c r="E901" t="s">
        <v>2179</v>
      </c>
      <c r="F901" t="s">
        <v>7</v>
      </c>
      <c r="G901" t="s">
        <v>8</v>
      </c>
      <c r="H901">
        <v>50000000</v>
      </c>
      <c r="I901">
        <v>6.3</v>
      </c>
      <c r="J901" t="s">
        <v>8718</v>
      </c>
    </row>
    <row r="902" spans="1:10" x14ac:dyDescent="0.3">
      <c r="A902">
        <v>105</v>
      </c>
      <c r="B902">
        <v>48745150</v>
      </c>
      <c r="C902" t="s">
        <v>609</v>
      </c>
      <c r="D902" t="s">
        <v>2180</v>
      </c>
      <c r="E902" t="s">
        <v>2181</v>
      </c>
      <c r="F902" t="s">
        <v>7</v>
      </c>
      <c r="G902" t="s">
        <v>8</v>
      </c>
      <c r="H902">
        <v>50000000</v>
      </c>
      <c r="I902">
        <v>5.7</v>
      </c>
      <c r="J902" t="s">
        <v>8586</v>
      </c>
    </row>
    <row r="903" spans="1:10" x14ac:dyDescent="0.3">
      <c r="A903">
        <v>121</v>
      </c>
      <c r="B903">
        <v>50007168</v>
      </c>
      <c r="C903" t="s">
        <v>164</v>
      </c>
      <c r="D903" t="s">
        <v>2182</v>
      </c>
      <c r="E903" t="s">
        <v>2183</v>
      </c>
      <c r="F903" t="s">
        <v>7</v>
      </c>
      <c r="G903" t="s">
        <v>8</v>
      </c>
      <c r="H903">
        <v>50000000</v>
      </c>
      <c r="I903">
        <v>5.0999999999999996</v>
      </c>
      <c r="J903" t="s">
        <v>8719</v>
      </c>
    </row>
    <row r="904" spans="1:10" x14ac:dyDescent="0.3">
      <c r="A904">
        <v>125</v>
      </c>
      <c r="B904">
        <v>48154732</v>
      </c>
      <c r="C904" t="s">
        <v>584</v>
      </c>
      <c r="D904" t="s">
        <v>2184</v>
      </c>
      <c r="E904" t="s">
        <v>2185</v>
      </c>
      <c r="F904" t="s">
        <v>7</v>
      </c>
      <c r="G904" t="s">
        <v>8</v>
      </c>
      <c r="H904">
        <v>50000000</v>
      </c>
      <c r="I904">
        <v>7.6</v>
      </c>
      <c r="J904" t="s">
        <v>8720</v>
      </c>
    </row>
    <row r="905" spans="1:10" x14ac:dyDescent="0.3">
      <c r="A905">
        <v>129</v>
      </c>
      <c r="B905">
        <v>48265581</v>
      </c>
      <c r="C905" t="s">
        <v>780</v>
      </c>
      <c r="D905" t="s">
        <v>2186</v>
      </c>
      <c r="E905" t="s">
        <v>2187</v>
      </c>
      <c r="F905" t="s">
        <v>7</v>
      </c>
      <c r="G905" t="s">
        <v>8</v>
      </c>
      <c r="H905">
        <v>50000000</v>
      </c>
      <c r="I905">
        <v>6.4</v>
      </c>
      <c r="J905" t="s">
        <v>8721</v>
      </c>
    </row>
    <row r="906" spans="1:10" x14ac:dyDescent="0.3">
      <c r="A906">
        <v>132</v>
      </c>
      <c r="B906">
        <v>46982632</v>
      </c>
      <c r="C906" t="s">
        <v>2188</v>
      </c>
      <c r="D906" t="s">
        <v>2189</v>
      </c>
      <c r="E906" t="s">
        <v>2190</v>
      </c>
      <c r="F906" t="s">
        <v>7</v>
      </c>
      <c r="G906" t="s">
        <v>95</v>
      </c>
      <c r="H906">
        <v>50000000</v>
      </c>
      <c r="I906">
        <v>7.4</v>
      </c>
      <c r="J906" t="s">
        <v>8722</v>
      </c>
    </row>
    <row r="907" spans="1:10" x14ac:dyDescent="0.3">
      <c r="A907">
        <v>118</v>
      </c>
      <c r="B907">
        <v>44737059</v>
      </c>
      <c r="C907" t="s">
        <v>1632</v>
      </c>
      <c r="D907" t="s">
        <v>2191</v>
      </c>
      <c r="E907" t="s">
        <v>2192</v>
      </c>
      <c r="F907" t="s">
        <v>7</v>
      </c>
      <c r="G907" t="s">
        <v>8</v>
      </c>
      <c r="H907">
        <v>50000000</v>
      </c>
      <c r="I907">
        <v>8.1999999999999993</v>
      </c>
      <c r="J907" t="s">
        <v>8342</v>
      </c>
    </row>
    <row r="908" spans="1:10" x14ac:dyDescent="0.3">
      <c r="A908">
        <v>113</v>
      </c>
      <c r="B908">
        <v>56724080</v>
      </c>
      <c r="C908" t="s">
        <v>668</v>
      </c>
      <c r="D908" t="s">
        <v>2193</v>
      </c>
      <c r="E908" t="s">
        <v>2194</v>
      </c>
      <c r="F908" t="s">
        <v>7</v>
      </c>
      <c r="G908" t="s">
        <v>8</v>
      </c>
      <c r="H908">
        <v>50000000</v>
      </c>
      <c r="I908">
        <v>6.5</v>
      </c>
      <c r="J908" t="s">
        <v>8723</v>
      </c>
    </row>
    <row r="909" spans="1:10" x14ac:dyDescent="0.3">
      <c r="A909">
        <v>140</v>
      </c>
      <c r="B909">
        <v>44484065</v>
      </c>
      <c r="C909" t="s">
        <v>436</v>
      </c>
      <c r="D909" t="s">
        <v>2195</v>
      </c>
      <c r="E909" t="s">
        <v>2196</v>
      </c>
      <c r="F909" t="s">
        <v>7</v>
      </c>
      <c r="G909" t="s">
        <v>284</v>
      </c>
      <c r="H909">
        <v>50000000</v>
      </c>
      <c r="I909">
        <v>5.5</v>
      </c>
      <c r="J909" t="s">
        <v>8724</v>
      </c>
    </row>
    <row r="910" spans="1:10" x14ac:dyDescent="0.3">
      <c r="A910">
        <v>89</v>
      </c>
      <c r="B910">
        <v>47553512</v>
      </c>
      <c r="C910" t="s">
        <v>16</v>
      </c>
      <c r="D910" t="s">
        <v>2197</v>
      </c>
      <c r="E910" t="s">
        <v>2198</v>
      </c>
      <c r="F910" t="s">
        <v>7</v>
      </c>
      <c r="G910" t="s">
        <v>8</v>
      </c>
      <c r="H910">
        <v>50000000</v>
      </c>
      <c r="I910">
        <v>6.5</v>
      </c>
      <c r="J910" t="s">
        <v>8600</v>
      </c>
    </row>
    <row r="911" spans="1:10" x14ac:dyDescent="0.3">
      <c r="A911">
        <v>104</v>
      </c>
      <c r="B911">
        <v>42610000</v>
      </c>
      <c r="C911" t="s">
        <v>148</v>
      </c>
      <c r="D911" t="s">
        <v>2199</v>
      </c>
      <c r="E911" t="s">
        <v>2200</v>
      </c>
      <c r="F911" t="s">
        <v>7</v>
      </c>
      <c r="G911" t="s">
        <v>8</v>
      </c>
      <c r="H911">
        <v>55000000</v>
      </c>
      <c r="I911">
        <v>5.6</v>
      </c>
      <c r="J911" t="s">
        <v>8725</v>
      </c>
    </row>
    <row r="912" spans="1:10" x14ac:dyDescent="0.3">
      <c r="A912">
        <v>106</v>
      </c>
      <c r="B912">
        <v>41482207</v>
      </c>
      <c r="C912" t="s">
        <v>334</v>
      </c>
      <c r="D912" t="s">
        <v>2201</v>
      </c>
      <c r="E912" t="s">
        <v>2202</v>
      </c>
      <c r="F912" t="s">
        <v>7</v>
      </c>
      <c r="G912" t="s">
        <v>8</v>
      </c>
      <c r="H912">
        <v>50000000</v>
      </c>
      <c r="I912">
        <v>4.9000000000000004</v>
      </c>
      <c r="J912" t="s">
        <v>8726</v>
      </c>
    </row>
    <row r="913" spans="1:10" x14ac:dyDescent="0.3">
      <c r="A913">
        <v>141</v>
      </c>
      <c r="B913">
        <v>47105085</v>
      </c>
      <c r="C913" t="s">
        <v>786</v>
      </c>
      <c r="D913" t="s">
        <v>2203</v>
      </c>
      <c r="E913" t="s">
        <v>2204</v>
      </c>
      <c r="F913" t="s">
        <v>7</v>
      </c>
      <c r="G913" t="s">
        <v>8</v>
      </c>
      <c r="H913">
        <v>50000000</v>
      </c>
      <c r="I913">
        <v>4.5999999999999996</v>
      </c>
      <c r="J913" t="s">
        <v>8313</v>
      </c>
    </row>
    <row r="914" spans="1:10" x14ac:dyDescent="0.3">
      <c r="A914">
        <v>124</v>
      </c>
      <c r="B914">
        <v>41256277</v>
      </c>
      <c r="C914" t="s">
        <v>16</v>
      </c>
      <c r="D914" t="s">
        <v>2205</v>
      </c>
      <c r="E914" t="s">
        <v>2206</v>
      </c>
      <c r="F914" t="s">
        <v>7</v>
      </c>
      <c r="G914" t="s">
        <v>8</v>
      </c>
      <c r="H914">
        <v>50000000</v>
      </c>
      <c r="I914">
        <v>7.9</v>
      </c>
      <c r="J914" t="s">
        <v>8307</v>
      </c>
    </row>
    <row r="915" spans="1:10" x14ac:dyDescent="0.3">
      <c r="A915">
        <v>98</v>
      </c>
      <c r="B915">
        <v>50740078</v>
      </c>
      <c r="C915" t="s">
        <v>912</v>
      </c>
      <c r="D915" t="s">
        <v>2207</v>
      </c>
      <c r="E915" t="s">
        <v>2208</v>
      </c>
      <c r="F915" t="s">
        <v>7</v>
      </c>
      <c r="G915" t="s">
        <v>284</v>
      </c>
      <c r="H915">
        <v>45000000</v>
      </c>
      <c r="I915">
        <v>7.1</v>
      </c>
      <c r="J915" t="s">
        <v>8727</v>
      </c>
    </row>
    <row r="916" spans="1:10" x14ac:dyDescent="0.3">
      <c r="A916">
        <v>108</v>
      </c>
      <c r="B916">
        <v>40203020</v>
      </c>
      <c r="C916" t="s">
        <v>561</v>
      </c>
      <c r="D916" t="s">
        <v>2209</v>
      </c>
      <c r="E916" t="s">
        <v>2210</v>
      </c>
      <c r="F916" t="s">
        <v>7</v>
      </c>
      <c r="G916" t="s">
        <v>15</v>
      </c>
      <c r="H916">
        <v>40000000</v>
      </c>
      <c r="I916">
        <v>6.9</v>
      </c>
      <c r="J916" t="s">
        <v>8347</v>
      </c>
    </row>
    <row r="917" spans="1:10" x14ac:dyDescent="0.3">
      <c r="A917">
        <v>114</v>
      </c>
      <c r="B917">
        <v>40905277</v>
      </c>
      <c r="C917" t="s">
        <v>2211</v>
      </c>
      <c r="D917" t="s">
        <v>2212</v>
      </c>
      <c r="E917" t="s">
        <v>2213</v>
      </c>
      <c r="F917" t="s">
        <v>7</v>
      </c>
      <c r="G917" t="s">
        <v>8</v>
      </c>
      <c r="H917">
        <v>50000000</v>
      </c>
      <c r="I917">
        <v>7.3</v>
      </c>
      <c r="J917" t="s">
        <v>8589</v>
      </c>
    </row>
    <row r="918" spans="1:10" x14ac:dyDescent="0.3">
      <c r="A918">
        <v>101</v>
      </c>
      <c r="B918">
        <v>38590500</v>
      </c>
      <c r="C918" t="s">
        <v>12</v>
      </c>
      <c r="D918" t="s">
        <v>2214</v>
      </c>
      <c r="E918" t="s">
        <v>2215</v>
      </c>
      <c r="F918" t="s">
        <v>7</v>
      </c>
      <c r="G918" t="s">
        <v>8</v>
      </c>
      <c r="H918">
        <v>50000000</v>
      </c>
      <c r="I918">
        <v>7</v>
      </c>
      <c r="J918" t="s">
        <v>8607</v>
      </c>
    </row>
    <row r="919" spans="1:10" x14ac:dyDescent="0.3">
      <c r="A919">
        <v>93</v>
      </c>
      <c r="B919">
        <v>39177541</v>
      </c>
      <c r="C919" t="s">
        <v>46</v>
      </c>
      <c r="D919" t="s">
        <v>2216</v>
      </c>
      <c r="E919" t="s">
        <v>2217</v>
      </c>
      <c r="F919" t="s">
        <v>7</v>
      </c>
      <c r="G919" t="s">
        <v>8</v>
      </c>
      <c r="H919">
        <v>50000000</v>
      </c>
      <c r="I919">
        <v>7.7</v>
      </c>
      <c r="J919" t="s">
        <v>8433</v>
      </c>
    </row>
    <row r="920" spans="1:10" x14ac:dyDescent="0.3">
      <c r="A920">
        <v>119</v>
      </c>
      <c r="B920">
        <v>39778599</v>
      </c>
      <c r="C920" t="s">
        <v>735</v>
      </c>
      <c r="D920" t="s">
        <v>2218</v>
      </c>
      <c r="E920" t="s">
        <v>2219</v>
      </c>
      <c r="F920" t="s">
        <v>7</v>
      </c>
      <c r="G920" t="s">
        <v>8</v>
      </c>
      <c r="H920">
        <v>50000000</v>
      </c>
      <c r="I920">
        <v>6.7</v>
      </c>
      <c r="J920" t="s">
        <v>8345</v>
      </c>
    </row>
    <row r="921" spans="1:10" x14ac:dyDescent="0.3">
      <c r="A921">
        <v>119</v>
      </c>
      <c r="B921">
        <v>37486138</v>
      </c>
      <c r="C921" t="s">
        <v>561</v>
      </c>
      <c r="D921" t="s">
        <v>2220</v>
      </c>
      <c r="E921" t="s">
        <v>2221</v>
      </c>
      <c r="F921" t="s">
        <v>7</v>
      </c>
      <c r="G921" t="s">
        <v>8</v>
      </c>
      <c r="H921">
        <v>50000000</v>
      </c>
      <c r="I921">
        <v>6.3</v>
      </c>
      <c r="J921" t="s">
        <v>8460</v>
      </c>
    </row>
    <row r="922" spans="1:10" x14ac:dyDescent="0.3">
      <c r="A922">
        <v>99</v>
      </c>
      <c r="B922">
        <v>38105077</v>
      </c>
      <c r="C922" t="s">
        <v>118</v>
      </c>
      <c r="D922" t="s">
        <v>2222</v>
      </c>
      <c r="E922" t="s">
        <v>2223</v>
      </c>
      <c r="F922" t="s">
        <v>7</v>
      </c>
      <c r="G922" t="s">
        <v>8</v>
      </c>
      <c r="H922">
        <v>40000000</v>
      </c>
      <c r="I922">
        <v>5.8</v>
      </c>
      <c r="J922" t="s">
        <v>8547</v>
      </c>
    </row>
    <row r="923" spans="1:10" x14ac:dyDescent="0.3">
      <c r="A923">
        <v>137</v>
      </c>
      <c r="B923">
        <v>35168395</v>
      </c>
      <c r="C923" t="s">
        <v>2056</v>
      </c>
      <c r="D923" t="s">
        <v>2224</v>
      </c>
      <c r="E923" t="s">
        <v>2225</v>
      </c>
      <c r="F923" t="s">
        <v>7</v>
      </c>
      <c r="G923" t="s">
        <v>8</v>
      </c>
      <c r="H923">
        <v>50000000</v>
      </c>
      <c r="I923">
        <v>7.1</v>
      </c>
      <c r="J923" t="s">
        <v>8328</v>
      </c>
    </row>
    <row r="924" spans="1:10" x14ac:dyDescent="0.3">
      <c r="A924">
        <v>117</v>
      </c>
      <c r="B924">
        <v>32800000</v>
      </c>
      <c r="C924" t="s">
        <v>2226</v>
      </c>
      <c r="D924" t="s">
        <v>2227</v>
      </c>
      <c r="E924" t="s">
        <v>2228</v>
      </c>
      <c r="F924" t="s">
        <v>7</v>
      </c>
      <c r="G924" t="s">
        <v>8</v>
      </c>
      <c r="H924">
        <v>40000000</v>
      </c>
      <c r="I924">
        <v>7.3</v>
      </c>
      <c r="J924" t="s">
        <v>8444</v>
      </c>
    </row>
    <row r="925" spans="1:10" x14ac:dyDescent="0.3">
      <c r="A925">
        <v>87</v>
      </c>
      <c r="B925">
        <v>33643461</v>
      </c>
      <c r="C925" t="s">
        <v>1261</v>
      </c>
      <c r="D925" t="s">
        <v>2229</v>
      </c>
      <c r="E925" t="s">
        <v>2230</v>
      </c>
      <c r="F925" t="s">
        <v>7</v>
      </c>
      <c r="G925" t="s">
        <v>8</v>
      </c>
      <c r="H925">
        <v>50000000</v>
      </c>
      <c r="I925">
        <v>6.4</v>
      </c>
      <c r="J925" t="s">
        <v>8665</v>
      </c>
    </row>
    <row r="926" spans="1:10" x14ac:dyDescent="0.3">
      <c r="A926">
        <v>129</v>
      </c>
      <c r="B926">
        <v>32741596</v>
      </c>
      <c r="C926" t="s">
        <v>2231</v>
      </c>
      <c r="D926" t="s">
        <v>2232</v>
      </c>
      <c r="E926" t="s">
        <v>2233</v>
      </c>
      <c r="F926" t="s">
        <v>7</v>
      </c>
      <c r="G926" t="s">
        <v>8</v>
      </c>
      <c r="H926">
        <v>50000000</v>
      </c>
      <c r="I926">
        <v>7.1</v>
      </c>
      <c r="J926" t="s">
        <v>8494</v>
      </c>
    </row>
    <row r="927" spans="1:10" x14ac:dyDescent="0.3">
      <c r="A927">
        <v>115</v>
      </c>
      <c r="B927">
        <v>31874869</v>
      </c>
      <c r="C927" t="s">
        <v>915</v>
      </c>
      <c r="D927" t="s">
        <v>2234</v>
      </c>
      <c r="E927" t="s">
        <v>2235</v>
      </c>
      <c r="F927" t="s">
        <v>7</v>
      </c>
      <c r="G927" t="s">
        <v>8</v>
      </c>
      <c r="H927">
        <v>50000000</v>
      </c>
      <c r="I927">
        <v>7.6</v>
      </c>
      <c r="J927" t="s">
        <v>8728</v>
      </c>
    </row>
    <row r="928" spans="1:10" x14ac:dyDescent="0.3">
      <c r="A928">
        <v>132</v>
      </c>
      <c r="B928">
        <v>30306268</v>
      </c>
      <c r="C928" t="s">
        <v>118</v>
      </c>
      <c r="D928" t="s">
        <v>2236</v>
      </c>
      <c r="E928" t="s">
        <v>2237</v>
      </c>
      <c r="F928" t="s">
        <v>7</v>
      </c>
      <c r="G928" t="s">
        <v>583</v>
      </c>
      <c r="H928">
        <v>50000000</v>
      </c>
      <c r="I928">
        <v>6.8</v>
      </c>
      <c r="J928" t="s">
        <v>8411</v>
      </c>
    </row>
    <row r="929" spans="1:10" x14ac:dyDescent="0.3">
      <c r="A929">
        <v>131</v>
      </c>
      <c r="B929">
        <v>27667947</v>
      </c>
      <c r="C929" t="s">
        <v>873</v>
      </c>
      <c r="D929" t="s">
        <v>2238</v>
      </c>
      <c r="E929" t="s">
        <v>2239</v>
      </c>
      <c r="F929" t="s">
        <v>7</v>
      </c>
      <c r="G929" t="s">
        <v>15</v>
      </c>
      <c r="H929">
        <v>50000000</v>
      </c>
      <c r="I929">
        <v>6.6</v>
      </c>
      <c r="J929" t="s">
        <v>8729</v>
      </c>
    </row>
    <row r="930" spans="1:10" x14ac:dyDescent="0.3">
      <c r="A930">
        <v>95</v>
      </c>
      <c r="B930">
        <v>27067160</v>
      </c>
      <c r="C930" t="s">
        <v>561</v>
      </c>
      <c r="D930" t="s">
        <v>2240</v>
      </c>
      <c r="E930" t="s">
        <v>2241</v>
      </c>
      <c r="F930" t="s">
        <v>7</v>
      </c>
      <c r="G930" t="s">
        <v>8</v>
      </c>
      <c r="H930">
        <v>50000000</v>
      </c>
      <c r="I930">
        <v>6.7</v>
      </c>
      <c r="J930" t="s">
        <v>8419</v>
      </c>
    </row>
    <row r="931" spans="1:10" x14ac:dyDescent="0.3">
      <c r="A931">
        <v>125</v>
      </c>
      <c r="B931">
        <v>26616999</v>
      </c>
      <c r="C931" t="s">
        <v>669</v>
      </c>
      <c r="D931" t="s">
        <v>2242</v>
      </c>
      <c r="E931" t="s">
        <v>2243</v>
      </c>
      <c r="F931" t="s">
        <v>7</v>
      </c>
      <c r="G931" t="s">
        <v>8</v>
      </c>
      <c r="H931">
        <v>40000000</v>
      </c>
      <c r="I931">
        <v>6.1</v>
      </c>
      <c r="J931" t="s">
        <v>8688</v>
      </c>
    </row>
    <row r="932" spans="1:10" x14ac:dyDescent="0.3">
      <c r="A932">
        <v>98</v>
      </c>
      <c r="B932">
        <v>26536120</v>
      </c>
      <c r="C932" t="s">
        <v>436</v>
      </c>
      <c r="D932" t="s">
        <v>2244</v>
      </c>
      <c r="E932" t="s">
        <v>2245</v>
      </c>
      <c r="F932" t="s">
        <v>7</v>
      </c>
      <c r="G932" t="s">
        <v>284</v>
      </c>
      <c r="H932">
        <v>50000000</v>
      </c>
      <c r="I932">
        <v>6</v>
      </c>
      <c r="J932" t="s">
        <v>8308</v>
      </c>
    </row>
    <row r="933" spans="1:10" x14ac:dyDescent="0.3">
      <c r="A933">
        <v>110</v>
      </c>
      <c r="B933">
        <v>26199517</v>
      </c>
      <c r="C933" t="s">
        <v>436</v>
      </c>
      <c r="D933" t="s">
        <v>2246</v>
      </c>
      <c r="E933" t="s">
        <v>2247</v>
      </c>
      <c r="F933" t="s">
        <v>7</v>
      </c>
      <c r="G933" t="s">
        <v>8</v>
      </c>
      <c r="H933">
        <v>50000000</v>
      </c>
      <c r="I933">
        <v>7.6</v>
      </c>
      <c r="J933" t="s">
        <v>8730</v>
      </c>
    </row>
    <row r="934" spans="1:10" x14ac:dyDescent="0.3">
      <c r="A934">
        <v>118</v>
      </c>
      <c r="B934">
        <v>25450527</v>
      </c>
      <c r="C934" t="s">
        <v>436</v>
      </c>
      <c r="D934" t="s">
        <v>2248</v>
      </c>
      <c r="E934" t="s">
        <v>2249</v>
      </c>
      <c r="F934" t="s">
        <v>7</v>
      </c>
      <c r="G934" t="s">
        <v>8</v>
      </c>
      <c r="H934">
        <v>50000000</v>
      </c>
      <c r="I934">
        <v>7.1</v>
      </c>
      <c r="J934" t="s">
        <v>8731</v>
      </c>
    </row>
    <row r="935" spans="1:10" x14ac:dyDescent="0.3">
      <c r="A935">
        <v>101</v>
      </c>
      <c r="B935">
        <v>25407250</v>
      </c>
      <c r="C935" t="s">
        <v>78</v>
      </c>
      <c r="D935" t="s">
        <v>2250</v>
      </c>
      <c r="E935" t="s">
        <v>2251</v>
      </c>
      <c r="F935" t="s">
        <v>7</v>
      </c>
      <c r="G935" t="s">
        <v>8</v>
      </c>
      <c r="H935">
        <v>50000000</v>
      </c>
      <c r="I935">
        <v>5</v>
      </c>
      <c r="J935" t="s">
        <v>8732</v>
      </c>
    </row>
    <row r="936" spans="1:10" x14ac:dyDescent="0.3">
      <c r="A936">
        <v>90</v>
      </c>
      <c r="B936">
        <v>23159305</v>
      </c>
      <c r="C936" t="s">
        <v>224</v>
      </c>
      <c r="D936" t="s">
        <v>2252</v>
      </c>
      <c r="E936" t="s">
        <v>2253</v>
      </c>
      <c r="F936" t="s">
        <v>7</v>
      </c>
      <c r="G936" t="s">
        <v>8</v>
      </c>
      <c r="H936">
        <v>70000000</v>
      </c>
      <c r="I936">
        <v>7.1</v>
      </c>
      <c r="J936" t="s">
        <v>8589</v>
      </c>
    </row>
    <row r="937" spans="1:10" x14ac:dyDescent="0.3">
      <c r="A937">
        <v>119</v>
      </c>
      <c r="B937">
        <v>24006726</v>
      </c>
      <c r="C937" t="s">
        <v>2254</v>
      </c>
      <c r="D937" t="s">
        <v>2255</v>
      </c>
      <c r="E937" t="s">
        <v>2256</v>
      </c>
      <c r="F937" t="s">
        <v>7</v>
      </c>
      <c r="G937" t="s">
        <v>8</v>
      </c>
      <c r="H937">
        <v>50000000</v>
      </c>
      <c r="I937">
        <v>6.2</v>
      </c>
      <c r="J937" t="s">
        <v>8398</v>
      </c>
    </row>
    <row r="938" spans="1:10" x14ac:dyDescent="0.3">
      <c r="A938">
        <v>139</v>
      </c>
      <c r="B938">
        <v>20389967</v>
      </c>
      <c r="C938" t="s">
        <v>2257</v>
      </c>
      <c r="D938" t="s">
        <v>2258</v>
      </c>
      <c r="E938" t="s">
        <v>2259</v>
      </c>
      <c r="F938" t="s">
        <v>7</v>
      </c>
      <c r="G938" t="s">
        <v>8</v>
      </c>
      <c r="H938">
        <v>50000000</v>
      </c>
      <c r="I938">
        <v>5.6</v>
      </c>
      <c r="J938" t="s">
        <v>8697</v>
      </c>
    </row>
    <row r="939" spans="1:10" x14ac:dyDescent="0.3">
      <c r="A939">
        <v>130</v>
      </c>
      <c r="B939">
        <v>19593740</v>
      </c>
      <c r="C939" t="s">
        <v>873</v>
      </c>
      <c r="D939" t="s">
        <v>2260</v>
      </c>
      <c r="E939" t="s">
        <v>2261</v>
      </c>
      <c r="F939" t="s">
        <v>7</v>
      </c>
      <c r="G939" t="s">
        <v>8</v>
      </c>
      <c r="H939">
        <v>50000000</v>
      </c>
      <c r="I939">
        <v>5.4</v>
      </c>
      <c r="J939" t="s">
        <v>8733</v>
      </c>
    </row>
    <row r="940" spans="1:10" x14ac:dyDescent="0.3">
      <c r="A940">
        <v>100</v>
      </c>
      <c r="B940">
        <v>19118247</v>
      </c>
      <c r="C940" t="s">
        <v>879</v>
      </c>
      <c r="D940" t="s">
        <v>2262</v>
      </c>
      <c r="E940" t="s">
        <v>2263</v>
      </c>
      <c r="F940" t="s">
        <v>7</v>
      </c>
      <c r="G940" t="s">
        <v>8</v>
      </c>
      <c r="H940">
        <v>40000000</v>
      </c>
      <c r="I940">
        <v>7.4</v>
      </c>
      <c r="J940" t="s">
        <v>8623</v>
      </c>
    </row>
    <row r="941" spans="1:10" x14ac:dyDescent="0.3">
      <c r="A941">
        <v>114</v>
      </c>
      <c r="B941">
        <v>26442251</v>
      </c>
      <c r="C941" t="s">
        <v>164</v>
      </c>
      <c r="D941" t="s">
        <v>2264</v>
      </c>
      <c r="E941" t="s">
        <v>2265</v>
      </c>
      <c r="F941" t="s">
        <v>7</v>
      </c>
      <c r="G941" t="s">
        <v>8</v>
      </c>
      <c r="H941">
        <v>50000000</v>
      </c>
      <c r="I941">
        <v>5</v>
      </c>
      <c r="J941" t="s">
        <v>8734</v>
      </c>
    </row>
    <row r="942" spans="1:10" x14ac:dyDescent="0.3">
      <c r="A942">
        <v>96</v>
      </c>
      <c r="B942">
        <v>17114882</v>
      </c>
      <c r="C942" t="s">
        <v>915</v>
      </c>
      <c r="D942" t="s">
        <v>2266</v>
      </c>
      <c r="E942" t="s">
        <v>2267</v>
      </c>
      <c r="F942" t="s">
        <v>7</v>
      </c>
      <c r="G942" t="s">
        <v>8</v>
      </c>
      <c r="H942">
        <v>25000000</v>
      </c>
      <c r="I942">
        <v>5.2</v>
      </c>
      <c r="J942" t="s">
        <v>8735</v>
      </c>
    </row>
    <row r="943" spans="1:10" x14ac:dyDescent="0.3">
      <c r="A943">
        <v>110</v>
      </c>
      <c r="B943">
        <v>18472363</v>
      </c>
      <c r="C943" t="s">
        <v>1383</v>
      </c>
      <c r="D943" t="s">
        <v>2268</v>
      </c>
      <c r="E943" t="s">
        <v>2269</v>
      </c>
      <c r="F943" t="s">
        <v>7</v>
      </c>
      <c r="G943" t="s">
        <v>8</v>
      </c>
      <c r="H943">
        <v>50000000</v>
      </c>
      <c r="I943">
        <v>7.6</v>
      </c>
      <c r="J943" t="s">
        <v>8736</v>
      </c>
    </row>
    <row r="944" spans="1:10" x14ac:dyDescent="0.3">
      <c r="A944">
        <v>158</v>
      </c>
      <c r="B944">
        <v>14131298</v>
      </c>
      <c r="C944" t="s">
        <v>1428</v>
      </c>
      <c r="D944" t="s">
        <v>2270</v>
      </c>
      <c r="E944" t="s">
        <v>2271</v>
      </c>
      <c r="F944" t="s">
        <v>7</v>
      </c>
      <c r="G944" t="s">
        <v>583</v>
      </c>
      <c r="H944">
        <v>390000000</v>
      </c>
      <c r="I944">
        <v>6.6</v>
      </c>
      <c r="J944" t="s">
        <v>8366</v>
      </c>
    </row>
    <row r="945" spans="1:10" x14ac:dyDescent="0.3">
      <c r="A945">
        <v>102</v>
      </c>
      <c r="B945">
        <v>21557240</v>
      </c>
      <c r="C945" t="s">
        <v>2272</v>
      </c>
      <c r="D945" t="s">
        <v>2273</v>
      </c>
      <c r="E945" t="s">
        <v>2274</v>
      </c>
      <c r="F945" t="s">
        <v>7</v>
      </c>
      <c r="G945" t="s">
        <v>8</v>
      </c>
      <c r="H945">
        <v>49900000</v>
      </c>
      <c r="I945">
        <v>7</v>
      </c>
      <c r="J945" t="s">
        <v>8737</v>
      </c>
    </row>
    <row r="946" spans="1:10" x14ac:dyDescent="0.3">
      <c r="A946">
        <v>84</v>
      </c>
      <c r="B946">
        <v>21283440</v>
      </c>
      <c r="C946" t="s">
        <v>780</v>
      </c>
      <c r="D946" t="s">
        <v>2275</v>
      </c>
      <c r="E946" t="s">
        <v>2276</v>
      </c>
      <c r="F946" t="s">
        <v>7</v>
      </c>
      <c r="G946" t="s">
        <v>8</v>
      </c>
      <c r="H946">
        <v>55000000</v>
      </c>
      <c r="I946">
        <v>5.7</v>
      </c>
      <c r="J946" t="s">
        <v>8738</v>
      </c>
    </row>
    <row r="947" spans="1:10" x14ac:dyDescent="0.3">
      <c r="A947">
        <v>115</v>
      </c>
      <c r="B947">
        <v>10556196</v>
      </c>
      <c r="C947" t="s">
        <v>873</v>
      </c>
      <c r="D947" t="s">
        <v>2277</v>
      </c>
      <c r="E947" t="s">
        <v>2278</v>
      </c>
      <c r="F947" t="s">
        <v>7</v>
      </c>
      <c r="G947" t="s">
        <v>8</v>
      </c>
      <c r="H947">
        <v>50000000</v>
      </c>
      <c r="I947">
        <v>8.1999999999999993</v>
      </c>
      <c r="J947" t="s">
        <v>8739</v>
      </c>
    </row>
    <row r="948" spans="1:10" x14ac:dyDescent="0.3">
      <c r="A948">
        <v>99</v>
      </c>
      <c r="B948">
        <v>16671505</v>
      </c>
      <c r="C948" t="s">
        <v>2279</v>
      </c>
      <c r="D948" t="s">
        <v>2280</v>
      </c>
      <c r="E948" t="s">
        <v>2281</v>
      </c>
      <c r="F948" t="s">
        <v>7</v>
      </c>
      <c r="G948" t="s">
        <v>8</v>
      </c>
      <c r="H948">
        <v>50000000</v>
      </c>
      <c r="I948">
        <v>6.2</v>
      </c>
      <c r="J948" t="s">
        <v>8721</v>
      </c>
    </row>
    <row r="949" spans="1:10" x14ac:dyDescent="0.3">
      <c r="A949">
        <v>108</v>
      </c>
      <c r="B949">
        <v>9528092</v>
      </c>
      <c r="C949" t="s">
        <v>1493</v>
      </c>
      <c r="D949" t="s">
        <v>2282</v>
      </c>
      <c r="E949" t="s">
        <v>2283</v>
      </c>
      <c r="F949" t="s">
        <v>7</v>
      </c>
      <c r="G949" t="s">
        <v>8</v>
      </c>
      <c r="H949">
        <v>22000000</v>
      </c>
      <c r="I949">
        <v>6.6</v>
      </c>
      <c r="J949" t="s">
        <v>8740</v>
      </c>
    </row>
    <row r="950" spans="1:10" x14ac:dyDescent="0.3">
      <c r="A950">
        <v>127</v>
      </c>
      <c r="B950">
        <v>10137232</v>
      </c>
      <c r="C950" t="s">
        <v>2284</v>
      </c>
      <c r="D950" t="s">
        <v>2285</v>
      </c>
      <c r="E950" t="s">
        <v>2286</v>
      </c>
      <c r="F950" t="s">
        <v>7</v>
      </c>
      <c r="G950" t="s">
        <v>583</v>
      </c>
      <c r="H950">
        <v>50000000</v>
      </c>
      <c r="I950">
        <v>4.7</v>
      </c>
      <c r="J950" t="s">
        <v>8741</v>
      </c>
    </row>
    <row r="951" spans="1:10" x14ac:dyDescent="0.3">
      <c r="A951">
        <v>107</v>
      </c>
      <c r="B951">
        <v>9795017</v>
      </c>
      <c r="C951" t="s">
        <v>873</v>
      </c>
      <c r="D951" t="s">
        <v>2287</v>
      </c>
      <c r="E951" t="s">
        <v>2288</v>
      </c>
      <c r="F951" t="s">
        <v>7</v>
      </c>
      <c r="G951" t="s">
        <v>8</v>
      </c>
      <c r="H951">
        <v>50000000</v>
      </c>
      <c r="I951">
        <v>6.3</v>
      </c>
      <c r="J951" t="s">
        <v>8742</v>
      </c>
    </row>
    <row r="952" spans="1:10" x14ac:dyDescent="0.3">
      <c r="A952">
        <v>95</v>
      </c>
      <c r="B952">
        <v>20488579</v>
      </c>
      <c r="C952" t="s">
        <v>1157</v>
      </c>
      <c r="D952" t="s">
        <v>2289</v>
      </c>
      <c r="E952" t="s">
        <v>2290</v>
      </c>
      <c r="F952" t="s">
        <v>7</v>
      </c>
      <c r="G952" t="s">
        <v>8</v>
      </c>
      <c r="H952">
        <v>50000000</v>
      </c>
      <c r="I952">
        <v>6.1</v>
      </c>
      <c r="J952" t="s">
        <v>8743</v>
      </c>
    </row>
    <row r="953" spans="1:10" x14ac:dyDescent="0.3">
      <c r="A953">
        <v>124</v>
      </c>
      <c r="B953">
        <v>19445217</v>
      </c>
      <c r="C953" t="s">
        <v>253</v>
      </c>
      <c r="D953" t="s">
        <v>2291</v>
      </c>
      <c r="E953" t="s">
        <v>2292</v>
      </c>
      <c r="F953" t="s">
        <v>7</v>
      </c>
      <c r="G953" t="s">
        <v>8</v>
      </c>
      <c r="H953">
        <v>60000000</v>
      </c>
      <c r="I953">
        <v>6.7</v>
      </c>
      <c r="J953" t="s">
        <v>8744</v>
      </c>
    </row>
    <row r="954" spans="1:10" x14ac:dyDescent="0.3">
      <c r="A954">
        <v>109</v>
      </c>
      <c r="B954">
        <v>8355815</v>
      </c>
      <c r="C954" t="s">
        <v>2226</v>
      </c>
      <c r="D954" t="s">
        <v>2293</v>
      </c>
      <c r="E954" t="s">
        <v>2294</v>
      </c>
      <c r="F954" t="s">
        <v>7</v>
      </c>
      <c r="G954" t="s">
        <v>15</v>
      </c>
      <c r="H954">
        <v>55000000</v>
      </c>
      <c r="I954">
        <v>6.1</v>
      </c>
      <c r="J954" t="s">
        <v>8533</v>
      </c>
    </row>
    <row r="955" spans="1:10" x14ac:dyDescent="0.3">
      <c r="A955">
        <v>102</v>
      </c>
      <c r="B955">
        <v>28837115</v>
      </c>
      <c r="C955" t="s">
        <v>668</v>
      </c>
      <c r="D955" t="s">
        <v>2295</v>
      </c>
      <c r="E955" t="s">
        <v>2296</v>
      </c>
      <c r="F955" t="s">
        <v>7</v>
      </c>
      <c r="G955" t="s">
        <v>8</v>
      </c>
      <c r="H955">
        <v>50000000</v>
      </c>
      <c r="I955">
        <v>7</v>
      </c>
      <c r="J955" t="s">
        <v>8745</v>
      </c>
    </row>
    <row r="956" spans="1:10" x14ac:dyDescent="0.3">
      <c r="A956">
        <v>88</v>
      </c>
      <c r="B956">
        <v>6471394</v>
      </c>
      <c r="C956" t="s">
        <v>386</v>
      </c>
      <c r="D956" t="s">
        <v>2297</v>
      </c>
      <c r="E956" t="s">
        <v>2298</v>
      </c>
      <c r="F956" t="s">
        <v>7</v>
      </c>
      <c r="G956" t="s">
        <v>8</v>
      </c>
      <c r="H956">
        <v>50000000</v>
      </c>
      <c r="I956">
        <v>7.4</v>
      </c>
      <c r="J956" t="s">
        <v>8321</v>
      </c>
    </row>
    <row r="957" spans="1:10" x14ac:dyDescent="0.3">
      <c r="A957">
        <v>87</v>
      </c>
      <c r="B957">
        <v>6291602</v>
      </c>
      <c r="C957" t="s">
        <v>2299</v>
      </c>
      <c r="D957" t="s">
        <v>2300</v>
      </c>
      <c r="E957" t="s">
        <v>2301</v>
      </c>
      <c r="F957" t="s">
        <v>7</v>
      </c>
      <c r="G957" t="s">
        <v>8</v>
      </c>
      <c r="H957">
        <v>50000000</v>
      </c>
      <c r="I957">
        <v>7.3</v>
      </c>
      <c r="J957" t="s">
        <v>8746</v>
      </c>
    </row>
    <row r="958" spans="1:10" x14ac:dyDescent="0.3">
      <c r="A958">
        <v>104</v>
      </c>
      <c r="B958">
        <v>10706786</v>
      </c>
      <c r="C958" t="s">
        <v>537</v>
      </c>
      <c r="D958" t="s">
        <v>2302</v>
      </c>
      <c r="E958" t="s">
        <v>2303</v>
      </c>
      <c r="F958" t="s">
        <v>7</v>
      </c>
      <c r="G958" t="s">
        <v>8</v>
      </c>
      <c r="H958">
        <v>50000000</v>
      </c>
      <c r="I958">
        <v>5.8</v>
      </c>
      <c r="J958" t="s">
        <v>8747</v>
      </c>
    </row>
    <row r="959" spans="1:10" x14ac:dyDescent="0.3">
      <c r="A959">
        <v>96</v>
      </c>
      <c r="B959">
        <v>8742261</v>
      </c>
      <c r="C959" t="s">
        <v>436</v>
      </c>
      <c r="D959" t="s">
        <v>2304</v>
      </c>
      <c r="E959" t="s">
        <v>2305</v>
      </c>
      <c r="F959" t="s">
        <v>7</v>
      </c>
      <c r="G959" t="s">
        <v>95</v>
      </c>
      <c r="H959">
        <v>18000000</v>
      </c>
      <c r="I959">
        <v>6.7</v>
      </c>
      <c r="J959" t="s">
        <v>8619</v>
      </c>
    </row>
    <row r="960" spans="1:10" x14ac:dyDescent="0.3">
      <c r="A960">
        <v>85</v>
      </c>
      <c r="B960">
        <v>43905746</v>
      </c>
      <c r="C960" t="s">
        <v>1157</v>
      </c>
      <c r="D960" t="s">
        <v>2306</v>
      </c>
      <c r="E960" t="s">
        <v>2307</v>
      </c>
      <c r="F960" t="s">
        <v>7</v>
      </c>
      <c r="G960" t="s">
        <v>8</v>
      </c>
      <c r="H960">
        <v>49000000</v>
      </c>
      <c r="I960">
        <v>5.8</v>
      </c>
      <c r="J960" t="s">
        <v>8312</v>
      </c>
    </row>
    <row r="961" spans="1:10" x14ac:dyDescent="0.3">
      <c r="A961">
        <v>104</v>
      </c>
      <c r="B961">
        <v>21413502</v>
      </c>
      <c r="C961" t="s">
        <v>2309</v>
      </c>
      <c r="D961" t="s">
        <v>2310</v>
      </c>
      <c r="E961" t="s">
        <v>2311</v>
      </c>
      <c r="F961" t="s">
        <v>7</v>
      </c>
      <c r="G961" t="s">
        <v>8</v>
      </c>
      <c r="H961">
        <v>40000000</v>
      </c>
      <c r="I961">
        <v>7.8</v>
      </c>
      <c r="J961" t="s">
        <v>8362</v>
      </c>
    </row>
    <row r="962" spans="1:10" x14ac:dyDescent="0.3">
      <c r="A962">
        <v>190</v>
      </c>
      <c r="B962">
        <v>124107476</v>
      </c>
      <c r="C962" t="s">
        <v>873</v>
      </c>
      <c r="D962" t="s">
        <v>2313</v>
      </c>
      <c r="E962" t="s">
        <v>2314</v>
      </c>
      <c r="F962" t="s">
        <v>7</v>
      </c>
      <c r="G962" t="s">
        <v>8</v>
      </c>
      <c r="H962">
        <v>48000000</v>
      </c>
      <c r="I962">
        <v>6.6</v>
      </c>
      <c r="J962" t="s">
        <v>8748</v>
      </c>
    </row>
    <row r="963" spans="1:10" x14ac:dyDescent="0.3">
      <c r="A963">
        <v>127</v>
      </c>
      <c r="B963">
        <v>197171806</v>
      </c>
      <c r="C963" t="s">
        <v>9</v>
      </c>
      <c r="D963" t="s">
        <v>2315</v>
      </c>
      <c r="E963" t="s">
        <v>2316</v>
      </c>
      <c r="F963" t="s">
        <v>7</v>
      </c>
      <c r="G963" t="s">
        <v>8</v>
      </c>
      <c r="H963">
        <v>48000000</v>
      </c>
      <c r="I963">
        <v>6.5</v>
      </c>
      <c r="J963" t="s">
        <v>8749</v>
      </c>
    </row>
    <row r="964" spans="1:10" x14ac:dyDescent="0.3">
      <c r="A964">
        <v>120</v>
      </c>
      <c r="B964">
        <v>31569268</v>
      </c>
      <c r="C964" t="s">
        <v>2317</v>
      </c>
      <c r="D964" t="s">
        <v>2318</v>
      </c>
      <c r="E964" t="s">
        <v>2319</v>
      </c>
      <c r="F964" t="s">
        <v>7</v>
      </c>
      <c r="G964" t="s">
        <v>8</v>
      </c>
      <c r="H964">
        <v>49000000</v>
      </c>
      <c r="I964">
        <v>6.7</v>
      </c>
      <c r="J964" t="s">
        <v>8750</v>
      </c>
    </row>
    <row r="965" spans="1:10" x14ac:dyDescent="0.3">
      <c r="A965">
        <v>118</v>
      </c>
      <c r="B965">
        <v>66488090</v>
      </c>
      <c r="C965" t="s">
        <v>882</v>
      </c>
      <c r="D965" t="s">
        <v>2320</v>
      </c>
      <c r="E965" t="s">
        <v>2321</v>
      </c>
      <c r="F965" t="s">
        <v>7</v>
      </c>
      <c r="G965" t="s">
        <v>8</v>
      </c>
      <c r="H965">
        <v>48000000</v>
      </c>
      <c r="I965">
        <v>7.3</v>
      </c>
      <c r="J965" t="s">
        <v>8566</v>
      </c>
    </row>
    <row r="966" spans="1:10" x14ac:dyDescent="0.3">
      <c r="A966">
        <v>112</v>
      </c>
      <c r="B966">
        <v>95308367</v>
      </c>
      <c r="C966" t="s">
        <v>873</v>
      </c>
      <c r="D966" t="s">
        <v>2322</v>
      </c>
      <c r="E966" t="s">
        <v>2323</v>
      </c>
      <c r="F966" t="s">
        <v>7</v>
      </c>
      <c r="G966" t="s">
        <v>8</v>
      </c>
      <c r="H966">
        <v>48000000</v>
      </c>
      <c r="I966">
        <v>5.8</v>
      </c>
      <c r="J966" t="s">
        <v>8751</v>
      </c>
    </row>
    <row r="967" spans="1:10" x14ac:dyDescent="0.3">
      <c r="A967">
        <v>114</v>
      </c>
      <c r="B967">
        <v>60652036</v>
      </c>
      <c r="C967" t="s">
        <v>2325</v>
      </c>
      <c r="D967" t="s">
        <v>2326</v>
      </c>
      <c r="E967" t="s">
        <v>2327</v>
      </c>
      <c r="F967" t="s">
        <v>7</v>
      </c>
      <c r="G967" t="s">
        <v>8</v>
      </c>
      <c r="H967">
        <v>48000000</v>
      </c>
      <c r="I967">
        <v>5.5</v>
      </c>
      <c r="J967" t="s">
        <v>8752</v>
      </c>
    </row>
    <row r="968" spans="1:10" x14ac:dyDescent="0.3">
      <c r="A968">
        <v>137</v>
      </c>
      <c r="B968">
        <v>1206135</v>
      </c>
      <c r="C968" t="s">
        <v>873</v>
      </c>
      <c r="D968" t="s">
        <v>2328</v>
      </c>
      <c r="E968" t="s">
        <v>2329</v>
      </c>
      <c r="F968" t="s">
        <v>7</v>
      </c>
      <c r="G968" t="s">
        <v>2330</v>
      </c>
      <c r="H968">
        <v>50000000</v>
      </c>
      <c r="I968">
        <v>6.3</v>
      </c>
      <c r="J968" t="s">
        <v>8552</v>
      </c>
    </row>
    <row r="969" spans="1:10" x14ac:dyDescent="0.3">
      <c r="A969">
        <v>112</v>
      </c>
      <c r="B969">
        <v>56607223</v>
      </c>
      <c r="C969" t="s">
        <v>1765</v>
      </c>
      <c r="D969" t="s">
        <v>2331</v>
      </c>
      <c r="E969" t="s">
        <v>2332</v>
      </c>
      <c r="F969" t="s">
        <v>7</v>
      </c>
      <c r="G969" t="s">
        <v>95</v>
      </c>
      <c r="H969">
        <v>48000000</v>
      </c>
      <c r="I969">
        <v>7.4</v>
      </c>
      <c r="J969" t="s">
        <v>8721</v>
      </c>
    </row>
    <row r="970" spans="1:10" x14ac:dyDescent="0.3">
      <c r="A970">
        <v>120</v>
      </c>
      <c r="B970">
        <v>50173190</v>
      </c>
      <c r="C970" t="s">
        <v>2333</v>
      </c>
      <c r="D970" t="s">
        <v>2334</v>
      </c>
      <c r="E970" t="s">
        <v>2335</v>
      </c>
      <c r="F970" t="s">
        <v>7</v>
      </c>
      <c r="G970" t="s">
        <v>8</v>
      </c>
      <c r="H970">
        <v>48000000</v>
      </c>
      <c r="I970">
        <v>5.9</v>
      </c>
      <c r="J970" t="s">
        <v>8530</v>
      </c>
    </row>
    <row r="971" spans="1:10" x14ac:dyDescent="0.3">
      <c r="A971">
        <v>123</v>
      </c>
      <c r="B971">
        <v>47095453</v>
      </c>
      <c r="C971" t="s">
        <v>1511</v>
      </c>
      <c r="D971" t="s">
        <v>2336</v>
      </c>
      <c r="E971" t="s">
        <v>2337</v>
      </c>
      <c r="F971" t="s">
        <v>7</v>
      </c>
      <c r="G971" t="s">
        <v>8</v>
      </c>
      <c r="H971">
        <v>48000000</v>
      </c>
      <c r="I971">
        <v>6.2</v>
      </c>
      <c r="J971" t="s">
        <v>8753</v>
      </c>
    </row>
    <row r="972" spans="1:10" x14ac:dyDescent="0.3">
      <c r="A972">
        <v>93</v>
      </c>
      <c r="B972">
        <v>37879996</v>
      </c>
      <c r="C972" t="s">
        <v>1511</v>
      </c>
      <c r="D972" t="s">
        <v>2338</v>
      </c>
      <c r="E972" t="s">
        <v>2339</v>
      </c>
      <c r="F972" t="s">
        <v>7</v>
      </c>
      <c r="G972" t="s">
        <v>8</v>
      </c>
      <c r="H972">
        <v>48000000</v>
      </c>
      <c r="I972">
        <v>5.9</v>
      </c>
      <c r="J972" t="s">
        <v>8754</v>
      </c>
    </row>
    <row r="973" spans="1:10" x14ac:dyDescent="0.3">
      <c r="A973">
        <v>123</v>
      </c>
      <c r="B973">
        <v>25900000</v>
      </c>
      <c r="C973" t="s">
        <v>2340</v>
      </c>
      <c r="D973" t="s">
        <v>2341</v>
      </c>
      <c r="E973" t="s">
        <v>2342</v>
      </c>
      <c r="F973" t="s">
        <v>7</v>
      </c>
      <c r="G973" t="s">
        <v>8</v>
      </c>
      <c r="H973">
        <v>58000000</v>
      </c>
      <c r="I973">
        <v>6.5</v>
      </c>
      <c r="J973" t="s">
        <v>8755</v>
      </c>
    </row>
    <row r="974" spans="1:10" x14ac:dyDescent="0.3">
      <c r="A974">
        <v>122</v>
      </c>
      <c r="B974">
        <v>53574088</v>
      </c>
      <c r="C974" t="s">
        <v>2343</v>
      </c>
      <c r="D974" t="s">
        <v>2344</v>
      </c>
      <c r="E974" t="s">
        <v>2345</v>
      </c>
      <c r="F974" t="s">
        <v>7</v>
      </c>
      <c r="G974" t="s">
        <v>8</v>
      </c>
      <c r="H974">
        <v>55000000</v>
      </c>
      <c r="I974">
        <v>4.4000000000000004</v>
      </c>
      <c r="J974" t="s">
        <v>8756</v>
      </c>
    </row>
    <row r="975" spans="1:10" x14ac:dyDescent="0.3">
      <c r="A975">
        <v>115</v>
      </c>
      <c r="B975">
        <v>89253340</v>
      </c>
      <c r="C975" t="s">
        <v>16</v>
      </c>
      <c r="D975" t="s">
        <v>2346</v>
      </c>
      <c r="E975" t="s">
        <v>2347</v>
      </c>
      <c r="F975" t="s">
        <v>7</v>
      </c>
      <c r="G975" t="s">
        <v>583</v>
      </c>
      <c r="H975">
        <v>48000000</v>
      </c>
      <c r="I975">
        <v>3.5</v>
      </c>
      <c r="J975" t="s">
        <v>8716</v>
      </c>
    </row>
    <row r="976" spans="1:10" x14ac:dyDescent="0.3">
      <c r="A976">
        <v>123</v>
      </c>
      <c r="B976">
        <v>37339525</v>
      </c>
      <c r="C976" t="s">
        <v>2211</v>
      </c>
      <c r="D976" t="s">
        <v>2348</v>
      </c>
      <c r="E976" t="s">
        <v>2349</v>
      </c>
      <c r="F976" t="s">
        <v>7</v>
      </c>
      <c r="G976" t="s">
        <v>8</v>
      </c>
      <c r="H976">
        <v>48000000</v>
      </c>
      <c r="I976">
        <v>6.6</v>
      </c>
      <c r="J976" t="s">
        <v>8757</v>
      </c>
    </row>
    <row r="977" spans="1:10" x14ac:dyDescent="0.3">
      <c r="A977">
        <v>96</v>
      </c>
      <c r="B977">
        <v>60154431</v>
      </c>
      <c r="C977" t="s">
        <v>2350</v>
      </c>
      <c r="D977" t="s">
        <v>2351</v>
      </c>
      <c r="E977" t="s">
        <v>2352</v>
      </c>
      <c r="F977" t="s">
        <v>7</v>
      </c>
      <c r="G977" t="s">
        <v>8</v>
      </c>
      <c r="H977">
        <v>47000000</v>
      </c>
      <c r="I977">
        <v>6</v>
      </c>
      <c r="J977" t="s">
        <v>8586</v>
      </c>
    </row>
    <row r="978" spans="1:10" x14ac:dyDescent="0.3">
      <c r="A978">
        <v>105</v>
      </c>
      <c r="B978">
        <v>103738726</v>
      </c>
      <c r="C978" t="s">
        <v>2356</v>
      </c>
      <c r="D978" t="s">
        <v>2357</v>
      </c>
      <c r="E978" t="s">
        <v>2358</v>
      </c>
      <c r="F978" t="s">
        <v>7</v>
      </c>
      <c r="G978" t="s">
        <v>8</v>
      </c>
      <c r="H978">
        <v>100000000</v>
      </c>
      <c r="I978">
        <v>6.4</v>
      </c>
      <c r="J978" t="s">
        <v>8739</v>
      </c>
    </row>
    <row r="979" spans="1:10" x14ac:dyDescent="0.3">
      <c r="A979">
        <v>113</v>
      </c>
      <c r="B979">
        <v>69304264</v>
      </c>
      <c r="C979" t="s">
        <v>2359</v>
      </c>
      <c r="D979" t="s">
        <v>2360</v>
      </c>
      <c r="E979" t="s">
        <v>2361</v>
      </c>
      <c r="F979" t="s">
        <v>7</v>
      </c>
      <c r="G979" t="s">
        <v>8</v>
      </c>
      <c r="H979">
        <v>48000000</v>
      </c>
      <c r="I979">
        <v>6.5</v>
      </c>
      <c r="J979" t="s">
        <v>8300</v>
      </c>
    </row>
    <row r="980" spans="1:10" x14ac:dyDescent="0.3">
      <c r="A980">
        <v>75</v>
      </c>
      <c r="B980">
        <v>15519841</v>
      </c>
      <c r="C980" t="s">
        <v>96</v>
      </c>
      <c r="D980" t="s">
        <v>2363</v>
      </c>
      <c r="E980" t="s">
        <v>2364</v>
      </c>
      <c r="F980" t="s">
        <v>7</v>
      </c>
      <c r="G980" t="s">
        <v>8</v>
      </c>
      <c r="H980">
        <v>47000000</v>
      </c>
      <c r="I980">
        <v>4.3</v>
      </c>
      <c r="J980" t="s">
        <v>8758</v>
      </c>
    </row>
    <row r="981" spans="1:10" x14ac:dyDescent="0.3">
      <c r="A981">
        <v>108</v>
      </c>
      <c r="B981">
        <v>5600000</v>
      </c>
      <c r="C981" t="s">
        <v>1407</v>
      </c>
      <c r="D981" t="s">
        <v>2365</v>
      </c>
      <c r="E981" t="s">
        <v>2366</v>
      </c>
      <c r="F981" t="s">
        <v>7</v>
      </c>
      <c r="G981" t="s">
        <v>8</v>
      </c>
      <c r="H981">
        <v>47000000</v>
      </c>
      <c r="I981">
        <v>4.2</v>
      </c>
      <c r="J981" t="s">
        <v>8697</v>
      </c>
    </row>
    <row r="982" spans="1:10" x14ac:dyDescent="0.3">
      <c r="A982">
        <v>105</v>
      </c>
      <c r="B982">
        <v>126805112</v>
      </c>
      <c r="C982" t="s">
        <v>672</v>
      </c>
      <c r="D982" t="s">
        <v>2367</v>
      </c>
      <c r="E982" t="s">
        <v>2368</v>
      </c>
      <c r="F982" t="s">
        <v>7</v>
      </c>
      <c r="G982" t="s">
        <v>8</v>
      </c>
      <c r="H982">
        <v>46000000</v>
      </c>
      <c r="I982">
        <v>6.5</v>
      </c>
      <c r="J982" t="s">
        <v>8619</v>
      </c>
    </row>
    <row r="983" spans="1:10" x14ac:dyDescent="0.3">
      <c r="A983">
        <v>102</v>
      </c>
      <c r="B983">
        <v>93607673</v>
      </c>
      <c r="C983" t="s">
        <v>672</v>
      </c>
      <c r="D983" t="s">
        <v>2369</v>
      </c>
      <c r="E983" t="s">
        <v>2370</v>
      </c>
      <c r="F983" t="s">
        <v>7</v>
      </c>
      <c r="G983" t="s">
        <v>8</v>
      </c>
      <c r="H983">
        <v>48000000</v>
      </c>
      <c r="I983">
        <v>6.1</v>
      </c>
      <c r="J983" t="s">
        <v>8759</v>
      </c>
    </row>
    <row r="984" spans="1:10" x14ac:dyDescent="0.3">
      <c r="A984">
        <v>118</v>
      </c>
      <c r="B984">
        <v>67263182</v>
      </c>
      <c r="C984" t="s">
        <v>780</v>
      </c>
      <c r="D984" t="s">
        <v>2371</v>
      </c>
      <c r="E984" t="s">
        <v>2372</v>
      </c>
      <c r="F984" t="s">
        <v>7</v>
      </c>
      <c r="G984" t="s">
        <v>8</v>
      </c>
      <c r="H984">
        <v>46000000</v>
      </c>
      <c r="I984">
        <v>6.3</v>
      </c>
      <c r="J984" t="s">
        <v>8399</v>
      </c>
    </row>
    <row r="985" spans="1:10" x14ac:dyDescent="0.3">
      <c r="A985">
        <v>111</v>
      </c>
      <c r="B985">
        <v>92001027</v>
      </c>
      <c r="C985" t="s">
        <v>2373</v>
      </c>
      <c r="D985" t="s">
        <v>2374</v>
      </c>
      <c r="E985" t="s">
        <v>2375</v>
      </c>
      <c r="F985" t="s">
        <v>7</v>
      </c>
      <c r="G985" t="s">
        <v>8</v>
      </c>
      <c r="H985">
        <v>45000000</v>
      </c>
      <c r="I985">
        <v>6.2</v>
      </c>
      <c r="J985" t="s">
        <v>8760</v>
      </c>
    </row>
    <row r="986" spans="1:10" x14ac:dyDescent="0.3">
      <c r="A986">
        <v>81</v>
      </c>
      <c r="B986">
        <v>10539414</v>
      </c>
      <c r="C986" t="s">
        <v>2376</v>
      </c>
      <c r="D986" t="s">
        <v>2377</v>
      </c>
      <c r="E986" t="s">
        <v>2378</v>
      </c>
      <c r="F986" t="s">
        <v>7</v>
      </c>
      <c r="G986" t="s">
        <v>8</v>
      </c>
      <c r="H986">
        <v>47000000</v>
      </c>
      <c r="I986">
        <v>5.9</v>
      </c>
      <c r="J986" t="s">
        <v>8633</v>
      </c>
    </row>
    <row r="987" spans="1:10" x14ac:dyDescent="0.3">
      <c r="A987">
        <v>116</v>
      </c>
      <c r="B987">
        <v>58918501</v>
      </c>
      <c r="C987" t="s">
        <v>2379</v>
      </c>
      <c r="D987" t="s">
        <v>2380</v>
      </c>
      <c r="E987" t="s">
        <v>2381</v>
      </c>
      <c r="F987" t="s">
        <v>7</v>
      </c>
      <c r="G987" t="s">
        <v>8</v>
      </c>
      <c r="H987">
        <v>46000000</v>
      </c>
      <c r="I987">
        <v>5.9</v>
      </c>
      <c r="J987" t="s">
        <v>8761</v>
      </c>
    </row>
    <row r="988" spans="1:10" x14ac:dyDescent="0.3">
      <c r="A988">
        <v>86</v>
      </c>
      <c r="B988">
        <v>181395380</v>
      </c>
      <c r="C988" t="s">
        <v>1511</v>
      </c>
      <c r="D988" t="s">
        <v>2382</v>
      </c>
      <c r="E988" t="s">
        <v>2383</v>
      </c>
      <c r="F988" t="s">
        <v>7</v>
      </c>
      <c r="G988" t="s">
        <v>8</v>
      </c>
      <c r="H988">
        <v>45000000</v>
      </c>
      <c r="I988">
        <v>6.5</v>
      </c>
      <c r="J988" t="s">
        <v>8424</v>
      </c>
    </row>
    <row r="989" spans="1:10" x14ac:dyDescent="0.3">
      <c r="A989">
        <v>127</v>
      </c>
      <c r="B989">
        <v>14946229</v>
      </c>
      <c r="C989" t="s">
        <v>2384</v>
      </c>
      <c r="D989" t="s">
        <v>2385</v>
      </c>
      <c r="E989" t="s">
        <v>2386</v>
      </c>
      <c r="F989" t="s">
        <v>7</v>
      </c>
      <c r="G989" t="s">
        <v>15</v>
      </c>
      <c r="H989">
        <v>25000000</v>
      </c>
      <c r="I989">
        <v>6.4</v>
      </c>
      <c r="J989" t="s">
        <v>8619</v>
      </c>
    </row>
    <row r="990" spans="1:10" x14ac:dyDescent="0.3">
      <c r="A990">
        <v>91</v>
      </c>
      <c r="B990">
        <v>130512915</v>
      </c>
      <c r="C990" t="s">
        <v>187</v>
      </c>
      <c r="D990" t="s">
        <v>2388</v>
      </c>
      <c r="E990" t="s">
        <v>2389</v>
      </c>
      <c r="F990" t="s">
        <v>7</v>
      </c>
      <c r="G990" t="s">
        <v>8</v>
      </c>
      <c r="H990">
        <v>45000000</v>
      </c>
      <c r="I990">
        <v>6.5</v>
      </c>
      <c r="J990" t="s">
        <v>8471</v>
      </c>
    </row>
    <row r="991" spans="1:10" x14ac:dyDescent="0.3">
      <c r="A991">
        <v>98</v>
      </c>
      <c r="B991">
        <v>139852971</v>
      </c>
      <c r="C991" t="s">
        <v>118</v>
      </c>
      <c r="D991" t="s">
        <v>2390</v>
      </c>
      <c r="E991" t="s">
        <v>2391</v>
      </c>
      <c r="F991" t="s">
        <v>7</v>
      </c>
      <c r="G991" t="s">
        <v>583</v>
      </c>
      <c r="H991">
        <v>45000000</v>
      </c>
      <c r="I991">
        <v>5.7</v>
      </c>
      <c r="J991" t="s">
        <v>8762</v>
      </c>
    </row>
    <row r="992" spans="1:10" x14ac:dyDescent="0.3">
      <c r="A992">
        <v>109</v>
      </c>
      <c r="B992">
        <v>106807667</v>
      </c>
      <c r="C992" t="s">
        <v>2392</v>
      </c>
      <c r="D992" t="s">
        <v>2393</v>
      </c>
      <c r="E992" t="s">
        <v>2394</v>
      </c>
      <c r="F992" t="s">
        <v>7</v>
      </c>
      <c r="G992" t="s">
        <v>8</v>
      </c>
      <c r="H992">
        <v>45000000</v>
      </c>
      <c r="I992">
        <v>8</v>
      </c>
      <c r="J992" t="s">
        <v>8355</v>
      </c>
    </row>
    <row r="993" spans="1:10" x14ac:dyDescent="0.3">
      <c r="A993">
        <v>93</v>
      </c>
      <c r="B993">
        <v>101702060</v>
      </c>
      <c r="C993" t="s">
        <v>2395</v>
      </c>
      <c r="D993" t="s">
        <v>2396</v>
      </c>
      <c r="E993" t="s">
        <v>2397</v>
      </c>
      <c r="F993" t="s">
        <v>7</v>
      </c>
      <c r="G993" t="s">
        <v>8</v>
      </c>
      <c r="H993">
        <v>45000000</v>
      </c>
      <c r="I993">
        <v>7.3</v>
      </c>
      <c r="J993" t="s">
        <v>8763</v>
      </c>
    </row>
    <row r="994" spans="1:10" x14ac:dyDescent="0.3">
      <c r="A994">
        <v>113</v>
      </c>
      <c r="B994">
        <v>95149435</v>
      </c>
      <c r="C994" t="s">
        <v>1126</v>
      </c>
      <c r="D994" t="s">
        <v>2398</v>
      </c>
      <c r="E994" t="s">
        <v>2399</v>
      </c>
      <c r="F994" t="s">
        <v>7</v>
      </c>
      <c r="G994" t="s">
        <v>8</v>
      </c>
      <c r="H994">
        <v>40000000</v>
      </c>
      <c r="I994">
        <v>6.7</v>
      </c>
      <c r="J994" t="s">
        <v>8508</v>
      </c>
    </row>
    <row r="995" spans="1:10" x14ac:dyDescent="0.3">
      <c r="A995">
        <v>141</v>
      </c>
      <c r="B995">
        <v>100768056</v>
      </c>
      <c r="C995" t="s">
        <v>882</v>
      </c>
      <c r="D995" t="s">
        <v>2400</v>
      </c>
      <c r="E995" t="s">
        <v>2401</v>
      </c>
      <c r="F995" t="s">
        <v>7</v>
      </c>
      <c r="G995" t="s">
        <v>8</v>
      </c>
      <c r="H995">
        <v>45000000</v>
      </c>
      <c r="I995">
        <v>7.5</v>
      </c>
      <c r="J995" t="s">
        <v>8699</v>
      </c>
    </row>
    <row r="996" spans="1:10" x14ac:dyDescent="0.3">
      <c r="A996">
        <v>119</v>
      </c>
      <c r="B996">
        <v>92115211</v>
      </c>
      <c r="C996" t="s">
        <v>882</v>
      </c>
      <c r="D996" t="s">
        <v>2402</v>
      </c>
      <c r="E996" t="s">
        <v>2403</v>
      </c>
      <c r="F996" t="s">
        <v>7</v>
      </c>
      <c r="G996" t="s">
        <v>8</v>
      </c>
      <c r="H996">
        <v>45000000</v>
      </c>
      <c r="I996">
        <v>5.4</v>
      </c>
      <c r="J996" t="s">
        <v>8685</v>
      </c>
    </row>
    <row r="997" spans="1:10" x14ac:dyDescent="0.3">
      <c r="A997">
        <v>97</v>
      </c>
      <c r="B997">
        <v>93452056</v>
      </c>
      <c r="C997" t="s">
        <v>2254</v>
      </c>
      <c r="D997" t="s">
        <v>2404</v>
      </c>
      <c r="E997" t="s">
        <v>2405</v>
      </c>
      <c r="F997" t="s">
        <v>7</v>
      </c>
      <c r="G997" t="s">
        <v>8</v>
      </c>
      <c r="H997">
        <v>45000000</v>
      </c>
      <c r="I997">
        <v>6.6</v>
      </c>
      <c r="J997" t="s">
        <v>8737</v>
      </c>
    </row>
    <row r="998" spans="1:10" x14ac:dyDescent="0.3">
      <c r="A998">
        <v>117</v>
      </c>
      <c r="B998">
        <v>83287363</v>
      </c>
      <c r="C998" t="s">
        <v>16</v>
      </c>
      <c r="D998" t="s">
        <v>2406</v>
      </c>
      <c r="E998" t="s">
        <v>2407</v>
      </c>
      <c r="F998" t="s">
        <v>7</v>
      </c>
      <c r="G998" t="s">
        <v>8</v>
      </c>
      <c r="H998">
        <v>45000000</v>
      </c>
      <c r="I998">
        <v>7.7</v>
      </c>
      <c r="J998" t="s">
        <v>8764</v>
      </c>
    </row>
    <row r="999" spans="1:10" x14ac:dyDescent="0.3">
      <c r="A999">
        <v>101</v>
      </c>
      <c r="B999">
        <v>82931301</v>
      </c>
      <c r="C999" t="s">
        <v>672</v>
      </c>
      <c r="D999" t="s">
        <v>2408</v>
      </c>
      <c r="E999" t="s">
        <v>2409</v>
      </c>
      <c r="F999" t="s">
        <v>7</v>
      </c>
      <c r="G999" t="s">
        <v>284</v>
      </c>
      <c r="H999">
        <v>60000000</v>
      </c>
      <c r="I999">
        <v>5.8</v>
      </c>
      <c r="J999" t="s">
        <v>8765</v>
      </c>
    </row>
    <row r="1000" spans="1:10" x14ac:dyDescent="0.3">
      <c r="A1000">
        <v>153</v>
      </c>
      <c r="B1000">
        <v>60962878</v>
      </c>
      <c r="C1000" t="s">
        <v>882</v>
      </c>
      <c r="D1000" t="s">
        <v>2410</v>
      </c>
      <c r="E1000" t="s">
        <v>2411</v>
      </c>
      <c r="F1000" t="s">
        <v>7</v>
      </c>
      <c r="G1000" t="s">
        <v>8</v>
      </c>
      <c r="H1000">
        <v>46000000</v>
      </c>
      <c r="I1000">
        <v>6.4</v>
      </c>
      <c r="J1000" t="s">
        <v>8484</v>
      </c>
    </row>
    <row r="1001" spans="1:10" x14ac:dyDescent="0.3">
      <c r="A1001">
        <v>122</v>
      </c>
      <c r="B1001">
        <v>76261036</v>
      </c>
      <c r="C1001" t="s">
        <v>873</v>
      </c>
      <c r="D1001" t="s">
        <v>2412</v>
      </c>
      <c r="E1001" t="s">
        <v>2413</v>
      </c>
      <c r="F1001" t="s">
        <v>7</v>
      </c>
      <c r="G1001" t="s">
        <v>8</v>
      </c>
      <c r="H1001">
        <v>45000000</v>
      </c>
      <c r="I1001">
        <v>5.6</v>
      </c>
      <c r="J1001" t="s">
        <v>8766</v>
      </c>
    </row>
    <row r="1002" spans="1:10" x14ac:dyDescent="0.3">
      <c r="A1002">
        <v>102</v>
      </c>
      <c r="B1002">
        <v>71423726</v>
      </c>
      <c r="C1002" t="s">
        <v>759</v>
      </c>
      <c r="D1002" t="s">
        <v>2414</v>
      </c>
      <c r="E1002" t="s">
        <v>2415</v>
      </c>
      <c r="F1002" t="s">
        <v>7</v>
      </c>
      <c r="G1002" t="s">
        <v>8</v>
      </c>
      <c r="H1002">
        <v>45000000</v>
      </c>
      <c r="I1002">
        <v>6</v>
      </c>
      <c r="J1002" t="s">
        <v>8767</v>
      </c>
    </row>
    <row r="1003" spans="1:10" x14ac:dyDescent="0.3">
      <c r="A1003">
        <v>83</v>
      </c>
      <c r="B1003">
        <v>71277420</v>
      </c>
      <c r="C1003" t="s">
        <v>668</v>
      </c>
      <c r="D1003" t="s">
        <v>2416</v>
      </c>
      <c r="E1003" t="s">
        <v>2417</v>
      </c>
      <c r="F1003" t="s">
        <v>7</v>
      </c>
      <c r="G1003" t="s">
        <v>8</v>
      </c>
      <c r="H1003">
        <v>45000000</v>
      </c>
      <c r="I1003">
        <v>6.2</v>
      </c>
      <c r="J1003" t="s">
        <v>8768</v>
      </c>
    </row>
    <row r="1004" spans="1:10" x14ac:dyDescent="0.3">
      <c r="A1004">
        <v>103</v>
      </c>
      <c r="B1004">
        <v>88625922</v>
      </c>
      <c r="C1004" t="s">
        <v>2418</v>
      </c>
      <c r="D1004" t="s">
        <v>2419</v>
      </c>
      <c r="E1004" t="s">
        <v>2420</v>
      </c>
      <c r="F1004" t="s">
        <v>7</v>
      </c>
      <c r="G1004" t="s">
        <v>8</v>
      </c>
      <c r="H1004">
        <v>45000000</v>
      </c>
      <c r="I1004">
        <v>5.9</v>
      </c>
      <c r="J1004" t="s">
        <v>8769</v>
      </c>
    </row>
    <row r="1005" spans="1:10" x14ac:dyDescent="0.3">
      <c r="A1005">
        <v>110</v>
      </c>
      <c r="B1005">
        <v>70001065</v>
      </c>
      <c r="C1005" t="s">
        <v>2421</v>
      </c>
      <c r="D1005" t="s">
        <v>2422</v>
      </c>
      <c r="E1005" t="s">
        <v>2423</v>
      </c>
      <c r="F1005" t="s">
        <v>7</v>
      </c>
      <c r="G1005" t="s">
        <v>8</v>
      </c>
      <c r="H1005">
        <v>45000000</v>
      </c>
      <c r="I1005">
        <v>5.0999999999999996</v>
      </c>
      <c r="J1005" t="s">
        <v>8352</v>
      </c>
    </row>
    <row r="1006" spans="1:10" x14ac:dyDescent="0.3">
      <c r="A1006">
        <v>136</v>
      </c>
      <c r="B1006">
        <v>67253092</v>
      </c>
      <c r="C1006" t="s">
        <v>1578</v>
      </c>
      <c r="D1006" t="s">
        <v>2424</v>
      </c>
      <c r="E1006" t="s">
        <v>2425</v>
      </c>
      <c r="F1006" t="s">
        <v>7</v>
      </c>
      <c r="G1006" t="s">
        <v>8</v>
      </c>
      <c r="H1006">
        <v>30000000</v>
      </c>
      <c r="I1006">
        <v>6.8</v>
      </c>
      <c r="J1006" t="s">
        <v>8346</v>
      </c>
    </row>
    <row r="1007" spans="1:10" x14ac:dyDescent="0.3">
      <c r="A1007">
        <v>89</v>
      </c>
      <c r="B1007">
        <v>65557989</v>
      </c>
      <c r="C1007" t="s">
        <v>2426</v>
      </c>
      <c r="D1007" t="s">
        <v>2427</v>
      </c>
      <c r="E1007" t="s">
        <v>2428</v>
      </c>
      <c r="F1007" t="s">
        <v>7</v>
      </c>
      <c r="G1007" t="s">
        <v>8</v>
      </c>
      <c r="H1007">
        <v>45000000</v>
      </c>
      <c r="I1007">
        <v>6</v>
      </c>
      <c r="J1007" t="s">
        <v>8458</v>
      </c>
    </row>
    <row r="1008" spans="1:10" x14ac:dyDescent="0.3">
      <c r="A1008">
        <v>107</v>
      </c>
      <c r="B1008">
        <v>60786269</v>
      </c>
      <c r="C1008" t="s">
        <v>2429</v>
      </c>
      <c r="D1008" t="s">
        <v>2430</v>
      </c>
      <c r="E1008" t="s">
        <v>2431</v>
      </c>
      <c r="F1008" t="s">
        <v>7</v>
      </c>
      <c r="G1008" t="s">
        <v>8</v>
      </c>
      <c r="H1008">
        <v>45000000</v>
      </c>
      <c r="I1008">
        <v>5.0999999999999996</v>
      </c>
      <c r="J1008" t="s">
        <v>8703</v>
      </c>
    </row>
    <row r="1009" spans="1:10" x14ac:dyDescent="0.3">
      <c r="A1009">
        <v>129</v>
      </c>
      <c r="B1009">
        <v>59365105</v>
      </c>
      <c r="C1009" t="s">
        <v>561</v>
      </c>
      <c r="D1009" t="s">
        <v>2432</v>
      </c>
      <c r="E1009" t="s">
        <v>2433</v>
      </c>
      <c r="F1009" t="s">
        <v>7</v>
      </c>
      <c r="G1009" t="s">
        <v>15</v>
      </c>
      <c r="H1009">
        <v>45000000</v>
      </c>
      <c r="I1009">
        <v>5.8</v>
      </c>
      <c r="J1009" t="s">
        <v>8689</v>
      </c>
    </row>
    <row r="1010" spans="1:10" x14ac:dyDescent="0.3">
      <c r="A1010">
        <v>95</v>
      </c>
      <c r="B1010">
        <v>162792677</v>
      </c>
      <c r="C1010" t="s">
        <v>96</v>
      </c>
      <c r="D1010" t="s">
        <v>2434</v>
      </c>
      <c r="E1010" t="s">
        <v>2435</v>
      </c>
      <c r="F1010" t="s">
        <v>7</v>
      </c>
      <c r="G1010" t="s">
        <v>8</v>
      </c>
      <c r="H1010">
        <v>120000000</v>
      </c>
      <c r="I1010">
        <v>6.2</v>
      </c>
      <c r="J1010" t="s">
        <v>8770</v>
      </c>
    </row>
    <row r="1011" spans="1:10" x14ac:dyDescent="0.3">
      <c r="A1011">
        <v>122</v>
      </c>
      <c r="B1011">
        <v>31598308</v>
      </c>
      <c r="C1011" t="s">
        <v>1249</v>
      </c>
      <c r="D1011" t="s">
        <v>2436</v>
      </c>
      <c r="E1011" t="s">
        <v>2437</v>
      </c>
      <c r="F1011" t="s">
        <v>7</v>
      </c>
      <c r="G1011" t="s">
        <v>8</v>
      </c>
      <c r="H1011">
        <v>35000000</v>
      </c>
      <c r="I1011">
        <v>6.4</v>
      </c>
      <c r="J1011" t="s">
        <v>8771</v>
      </c>
    </row>
    <row r="1012" spans="1:10" x14ac:dyDescent="0.3">
      <c r="A1012">
        <v>110</v>
      </c>
      <c r="B1012">
        <v>57362581</v>
      </c>
      <c r="C1012" t="s">
        <v>2438</v>
      </c>
      <c r="D1012" t="s">
        <v>2439</v>
      </c>
      <c r="E1012" t="s">
        <v>2440</v>
      </c>
      <c r="F1012" t="s">
        <v>7</v>
      </c>
      <c r="G1012" t="s">
        <v>2441</v>
      </c>
      <c r="H1012">
        <v>45000000</v>
      </c>
      <c r="I1012">
        <v>4.8</v>
      </c>
      <c r="J1012" t="s">
        <v>8495</v>
      </c>
    </row>
    <row r="1013" spans="1:10" x14ac:dyDescent="0.3">
      <c r="A1013">
        <v>135</v>
      </c>
      <c r="B1013">
        <v>53854588</v>
      </c>
      <c r="C1013" t="s">
        <v>1872</v>
      </c>
      <c r="D1013" t="s">
        <v>2442</v>
      </c>
      <c r="E1013" t="s">
        <v>2443</v>
      </c>
      <c r="F1013" t="s">
        <v>7</v>
      </c>
      <c r="G1013" t="s">
        <v>8</v>
      </c>
      <c r="H1013">
        <v>45000000</v>
      </c>
      <c r="I1013">
        <v>4.9000000000000004</v>
      </c>
      <c r="J1013" t="s">
        <v>8772</v>
      </c>
    </row>
    <row r="1014" spans="1:10" x14ac:dyDescent="0.3">
      <c r="A1014">
        <v>95</v>
      </c>
      <c r="B1014">
        <v>52580895</v>
      </c>
      <c r="C1014" t="s">
        <v>2444</v>
      </c>
      <c r="D1014" t="s">
        <v>2445</v>
      </c>
      <c r="E1014" t="s">
        <v>2446</v>
      </c>
      <c r="F1014" t="s">
        <v>7</v>
      </c>
      <c r="G1014" t="s">
        <v>8</v>
      </c>
      <c r="H1014">
        <v>45000000</v>
      </c>
      <c r="I1014">
        <v>5.6</v>
      </c>
      <c r="J1014" t="s">
        <v>8565</v>
      </c>
    </row>
    <row r="1015" spans="1:10" x14ac:dyDescent="0.3">
      <c r="A1015">
        <v>109</v>
      </c>
      <c r="B1015">
        <v>51019112</v>
      </c>
      <c r="C1015" t="s">
        <v>759</v>
      </c>
      <c r="D1015" t="s">
        <v>2447</v>
      </c>
      <c r="E1015" t="s">
        <v>2448</v>
      </c>
      <c r="F1015" t="s">
        <v>7</v>
      </c>
      <c r="G1015" t="s">
        <v>8</v>
      </c>
      <c r="H1015">
        <v>50000000</v>
      </c>
      <c r="I1015">
        <v>5.5</v>
      </c>
      <c r="J1015" t="s">
        <v>8773</v>
      </c>
    </row>
    <row r="1016" spans="1:10" x14ac:dyDescent="0.3">
      <c r="A1016">
        <v>93</v>
      </c>
      <c r="B1016">
        <v>48114556</v>
      </c>
      <c r="C1016" t="s">
        <v>1082</v>
      </c>
      <c r="D1016" t="s">
        <v>2449</v>
      </c>
      <c r="E1016" t="s">
        <v>2450</v>
      </c>
      <c r="F1016" t="s">
        <v>7</v>
      </c>
      <c r="G1016" t="s">
        <v>8</v>
      </c>
      <c r="H1016">
        <v>26000000</v>
      </c>
      <c r="I1016">
        <v>3.7</v>
      </c>
      <c r="J1016" t="s">
        <v>8594</v>
      </c>
    </row>
    <row r="1017" spans="1:10" x14ac:dyDescent="0.3">
      <c r="A1017">
        <v>94</v>
      </c>
      <c r="B1017">
        <v>50648679</v>
      </c>
      <c r="C1017" t="s">
        <v>912</v>
      </c>
      <c r="D1017" t="s">
        <v>2451</v>
      </c>
      <c r="E1017" t="s">
        <v>2452</v>
      </c>
      <c r="F1017" t="s">
        <v>7</v>
      </c>
      <c r="G1017" t="s">
        <v>583</v>
      </c>
      <c r="H1017">
        <v>45000000</v>
      </c>
      <c r="I1017">
        <v>5.9</v>
      </c>
      <c r="J1017" t="s">
        <v>8774</v>
      </c>
    </row>
    <row r="1018" spans="1:10" x14ac:dyDescent="0.3">
      <c r="A1018">
        <v>112</v>
      </c>
      <c r="B1018">
        <v>38360195</v>
      </c>
      <c r="C1018" t="s">
        <v>2254</v>
      </c>
      <c r="D1018" t="s">
        <v>2453</v>
      </c>
      <c r="E1018" t="s">
        <v>2454</v>
      </c>
      <c r="F1018" t="s">
        <v>7</v>
      </c>
      <c r="G1018" t="s">
        <v>8</v>
      </c>
      <c r="H1018">
        <v>45000000</v>
      </c>
      <c r="I1018">
        <v>6.3</v>
      </c>
      <c r="J1018" t="s">
        <v>8493</v>
      </c>
    </row>
    <row r="1019" spans="1:10" x14ac:dyDescent="0.3">
      <c r="A1019">
        <v>111</v>
      </c>
      <c r="B1019">
        <v>46815748</v>
      </c>
      <c r="C1019" t="s">
        <v>1383</v>
      </c>
      <c r="D1019" t="s">
        <v>2455</v>
      </c>
      <c r="E1019" t="s">
        <v>2456</v>
      </c>
      <c r="F1019" t="s">
        <v>7</v>
      </c>
      <c r="G1019" t="s">
        <v>8</v>
      </c>
      <c r="H1019">
        <v>45000000</v>
      </c>
      <c r="I1019">
        <v>7.4</v>
      </c>
      <c r="J1019" t="s">
        <v>8775</v>
      </c>
    </row>
    <row r="1020" spans="1:10" x14ac:dyDescent="0.3">
      <c r="A1020">
        <v>96</v>
      </c>
      <c r="B1020">
        <v>35617599</v>
      </c>
      <c r="C1020" t="s">
        <v>2457</v>
      </c>
      <c r="D1020" t="s">
        <v>2458</v>
      </c>
      <c r="E1020" t="s">
        <v>2459</v>
      </c>
      <c r="F1020" t="s">
        <v>7</v>
      </c>
      <c r="G1020" t="s">
        <v>8</v>
      </c>
      <c r="H1020">
        <v>45000000</v>
      </c>
      <c r="I1020">
        <v>7.6</v>
      </c>
      <c r="J1020" t="s">
        <v>8444</v>
      </c>
    </row>
    <row r="1021" spans="1:10" x14ac:dyDescent="0.3">
      <c r="A1021">
        <v>141</v>
      </c>
      <c r="B1021">
        <v>47307550</v>
      </c>
      <c r="C1021" t="s">
        <v>873</v>
      </c>
      <c r="D1021" t="s">
        <v>2460</v>
      </c>
      <c r="E1021" t="s">
        <v>2461</v>
      </c>
      <c r="F1021" t="s">
        <v>7</v>
      </c>
      <c r="G1021" t="s">
        <v>8</v>
      </c>
      <c r="H1021">
        <v>45000000</v>
      </c>
      <c r="I1021">
        <v>8.3000000000000007</v>
      </c>
      <c r="J1021" t="s">
        <v>8332</v>
      </c>
    </row>
    <row r="1022" spans="1:10" x14ac:dyDescent="0.3">
      <c r="A1022">
        <v>94</v>
      </c>
      <c r="B1022">
        <v>32003620</v>
      </c>
      <c r="C1022" t="s">
        <v>118</v>
      </c>
      <c r="D1022" t="s">
        <v>2462</v>
      </c>
      <c r="E1022" t="s">
        <v>2463</v>
      </c>
      <c r="F1022" t="s">
        <v>7</v>
      </c>
      <c r="G1022" t="s">
        <v>8</v>
      </c>
      <c r="H1022">
        <v>25000000</v>
      </c>
      <c r="I1022">
        <v>6.6</v>
      </c>
      <c r="J1022" t="s">
        <v>8390</v>
      </c>
    </row>
    <row r="1023" spans="1:10" x14ac:dyDescent="0.3">
      <c r="A1023">
        <v>87</v>
      </c>
      <c r="B1023">
        <v>27972410</v>
      </c>
      <c r="C1023" t="s">
        <v>650</v>
      </c>
      <c r="D1023" t="s">
        <v>2464</v>
      </c>
      <c r="E1023" t="s">
        <v>2465</v>
      </c>
      <c r="F1023" t="s">
        <v>7</v>
      </c>
      <c r="G1023" t="s">
        <v>15</v>
      </c>
      <c r="H1023">
        <v>35000000</v>
      </c>
      <c r="I1023">
        <v>6.9</v>
      </c>
      <c r="J1023" t="s">
        <v>8430</v>
      </c>
    </row>
    <row r="1024" spans="1:10" x14ac:dyDescent="0.3">
      <c r="A1024">
        <v>88</v>
      </c>
      <c r="B1024">
        <v>28133159</v>
      </c>
      <c r="C1024" t="s">
        <v>96</v>
      </c>
      <c r="D1024" t="s">
        <v>2466</v>
      </c>
      <c r="E1024" t="s">
        <v>2467</v>
      </c>
      <c r="F1024" t="s">
        <v>7</v>
      </c>
      <c r="G1024" t="s">
        <v>8</v>
      </c>
      <c r="H1024">
        <v>50000000</v>
      </c>
      <c r="I1024">
        <v>6.7</v>
      </c>
      <c r="J1024" t="s">
        <v>8413</v>
      </c>
    </row>
    <row r="1025" spans="1:10" x14ac:dyDescent="0.3">
      <c r="A1025">
        <v>177</v>
      </c>
      <c r="B1025">
        <v>27400000</v>
      </c>
      <c r="C1025" t="s">
        <v>20</v>
      </c>
      <c r="D1025" t="s">
        <v>2468</v>
      </c>
      <c r="E1025" t="s">
        <v>2469</v>
      </c>
      <c r="F1025" t="s">
        <v>7</v>
      </c>
      <c r="G1025" t="s">
        <v>8</v>
      </c>
      <c r="H1025">
        <v>40000000</v>
      </c>
      <c r="I1025">
        <v>6.8</v>
      </c>
      <c r="J1025" t="s">
        <v>8362</v>
      </c>
    </row>
    <row r="1026" spans="1:10" x14ac:dyDescent="0.3">
      <c r="A1026">
        <v>133</v>
      </c>
      <c r="B1026">
        <v>24343673</v>
      </c>
      <c r="C1026" t="s">
        <v>2470</v>
      </c>
      <c r="D1026" t="s">
        <v>2471</v>
      </c>
      <c r="E1026" t="s">
        <v>2472</v>
      </c>
      <c r="F1026" t="s">
        <v>7</v>
      </c>
      <c r="G1026" t="s">
        <v>8</v>
      </c>
      <c r="H1026">
        <v>45000000</v>
      </c>
      <c r="I1026">
        <v>4.5999999999999996</v>
      </c>
      <c r="J1026" t="s">
        <v>8776</v>
      </c>
    </row>
    <row r="1027" spans="1:10" x14ac:dyDescent="0.3">
      <c r="A1027">
        <v>119</v>
      </c>
      <c r="B1027">
        <v>22877808</v>
      </c>
      <c r="C1027" t="s">
        <v>73</v>
      </c>
      <c r="D1027" t="s">
        <v>2473</v>
      </c>
      <c r="E1027" t="s">
        <v>2474</v>
      </c>
      <c r="F1027" t="s">
        <v>7</v>
      </c>
      <c r="G1027" t="s">
        <v>8</v>
      </c>
      <c r="H1027">
        <v>35000000</v>
      </c>
      <c r="I1027">
        <v>7.1</v>
      </c>
      <c r="J1027" t="s">
        <v>8656</v>
      </c>
    </row>
    <row r="1028" spans="1:10" x14ac:dyDescent="0.3">
      <c r="A1028">
        <v>102</v>
      </c>
      <c r="B1028">
        <v>36883539</v>
      </c>
      <c r="C1028" t="s">
        <v>164</v>
      </c>
      <c r="D1028" t="s">
        <v>2475</v>
      </c>
      <c r="E1028" t="s">
        <v>2476</v>
      </c>
      <c r="F1028" t="s">
        <v>7</v>
      </c>
      <c r="G1028" t="s">
        <v>284</v>
      </c>
      <c r="H1028">
        <v>52000000</v>
      </c>
      <c r="I1028">
        <v>6.4</v>
      </c>
      <c r="J1028" t="s">
        <v>8512</v>
      </c>
    </row>
    <row r="1029" spans="1:10" x14ac:dyDescent="0.3">
      <c r="A1029">
        <v>101</v>
      </c>
      <c r="B1029">
        <v>22531698</v>
      </c>
      <c r="C1029" t="s">
        <v>78</v>
      </c>
      <c r="D1029" t="s">
        <v>2477</v>
      </c>
      <c r="E1029" t="s">
        <v>2478</v>
      </c>
      <c r="F1029" t="s">
        <v>7</v>
      </c>
      <c r="G1029" t="s">
        <v>583</v>
      </c>
      <c r="H1029">
        <v>70000000</v>
      </c>
      <c r="I1029">
        <v>6.4</v>
      </c>
      <c r="J1029" t="s">
        <v>8571</v>
      </c>
    </row>
    <row r="1030" spans="1:10" x14ac:dyDescent="0.3">
      <c r="A1030">
        <v>91</v>
      </c>
      <c r="B1030">
        <v>20400913</v>
      </c>
      <c r="C1030" t="s">
        <v>1480</v>
      </c>
      <c r="D1030" t="s">
        <v>2479</v>
      </c>
      <c r="E1030" t="s">
        <v>2480</v>
      </c>
      <c r="F1030" t="s">
        <v>7</v>
      </c>
      <c r="G1030" t="s">
        <v>8</v>
      </c>
      <c r="H1030">
        <v>45000000</v>
      </c>
      <c r="I1030">
        <v>7.4</v>
      </c>
      <c r="J1030" t="s">
        <v>8679</v>
      </c>
    </row>
    <row r="1031" spans="1:10" x14ac:dyDescent="0.3">
      <c r="A1031">
        <v>117</v>
      </c>
      <c r="B1031">
        <v>20101861</v>
      </c>
      <c r="C1031" t="s">
        <v>1016</v>
      </c>
      <c r="D1031" t="s">
        <v>2481</v>
      </c>
      <c r="E1031" t="s">
        <v>2482</v>
      </c>
      <c r="F1031" t="s">
        <v>7</v>
      </c>
      <c r="G1031" t="s">
        <v>8</v>
      </c>
      <c r="H1031">
        <v>45000000</v>
      </c>
      <c r="I1031">
        <v>6.4</v>
      </c>
      <c r="J1031" t="s">
        <v>8434</v>
      </c>
    </row>
    <row r="1032" spans="1:10" x14ac:dyDescent="0.3">
      <c r="A1032">
        <v>86</v>
      </c>
      <c r="B1032">
        <v>25200412</v>
      </c>
      <c r="C1032" t="s">
        <v>2483</v>
      </c>
      <c r="D1032" t="s">
        <v>2484</v>
      </c>
      <c r="E1032" t="s">
        <v>2485</v>
      </c>
      <c r="F1032" t="s">
        <v>7</v>
      </c>
      <c r="G1032" t="s">
        <v>8</v>
      </c>
      <c r="H1032">
        <v>45000000</v>
      </c>
      <c r="I1032">
        <v>6</v>
      </c>
      <c r="J1032" t="s">
        <v>8663</v>
      </c>
    </row>
    <row r="1033" spans="1:10" x14ac:dyDescent="0.3">
      <c r="A1033">
        <v>124</v>
      </c>
      <c r="B1033">
        <v>19719930</v>
      </c>
      <c r="C1033" t="s">
        <v>882</v>
      </c>
      <c r="D1033" t="s">
        <v>2486</v>
      </c>
      <c r="E1033" t="s">
        <v>2487</v>
      </c>
      <c r="F1033" t="s">
        <v>7</v>
      </c>
      <c r="G1033" t="s">
        <v>8</v>
      </c>
      <c r="H1033">
        <v>45000000</v>
      </c>
      <c r="I1033">
        <v>6.5</v>
      </c>
      <c r="J1033" t="s">
        <v>8713</v>
      </c>
    </row>
    <row r="1034" spans="1:10" x14ac:dyDescent="0.3">
      <c r="A1034">
        <v>134</v>
      </c>
      <c r="B1034">
        <v>19377727</v>
      </c>
      <c r="C1034" t="s">
        <v>2488</v>
      </c>
      <c r="D1034" t="s">
        <v>2489</v>
      </c>
      <c r="E1034" t="s">
        <v>2490</v>
      </c>
      <c r="F1034" t="s">
        <v>7</v>
      </c>
      <c r="G1034" t="s">
        <v>8</v>
      </c>
      <c r="H1034">
        <v>45000000</v>
      </c>
      <c r="I1034">
        <v>7.8</v>
      </c>
      <c r="J1034" t="s">
        <v>8434</v>
      </c>
    </row>
    <row r="1035" spans="1:10" x14ac:dyDescent="0.3">
      <c r="A1035">
        <v>100</v>
      </c>
      <c r="B1035">
        <v>17300889</v>
      </c>
      <c r="C1035" t="s">
        <v>997</v>
      </c>
      <c r="D1035" t="s">
        <v>2491</v>
      </c>
      <c r="E1035" t="s">
        <v>2492</v>
      </c>
      <c r="F1035" t="s">
        <v>7</v>
      </c>
      <c r="G1035" t="s">
        <v>132</v>
      </c>
      <c r="H1035">
        <v>45000000</v>
      </c>
      <c r="I1035">
        <v>6</v>
      </c>
      <c r="J1035" t="s">
        <v>8777</v>
      </c>
    </row>
    <row r="1036" spans="1:10" x14ac:dyDescent="0.3">
      <c r="A1036">
        <v>220</v>
      </c>
      <c r="B1036">
        <v>15527125</v>
      </c>
      <c r="C1036" t="s">
        <v>1688</v>
      </c>
      <c r="D1036" t="s">
        <v>2493</v>
      </c>
      <c r="E1036" t="s">
        <v>2494</v>
      </c>
      <c r="F1036" t="s">
        <v>7</v>
      </c>
      <c r="G1036" t="s">
        <v>8</v>
      </c>
      <c r="H1036">
        <v>57000000</v>
      </c>
      <c r="I1036">
        <v>7</v>
      </c>
      <c r="J1036" t="s">
        <v>8444</v>
      </c>
    </row>
    <row r="1037" spans="1:10" x14ac:dyDescent="0.3">
      <c r="A1037">
        <v>212</v>
      </c>
      <c r="B1037">
        <v>13560960</v>
      </c>
      <c r="C1037" t="s">
        <v>2495</v>
      </c>
      <c r="D1037" t="s">
        <v>2496</v>
      </c>
      <c r="E1037" t="s">
        <v>2497</v>
      </c>
      <c r="F1037" t="s">
        <v>7</v>
      </c>
      <c r="G1037" t="s">
        <v>8</v>
      </c>
      <c r="H1037">
        <v>50000000</v>
      </c>
      <c r="I1037">
        <v>6</v>
      </c>
      <c r="J1037" t="s">
        <v>8495</v>
      </c>
    </row>
    <row r="1038" spans="1:10" x14ac:dyDescent="0.3">
      <c r="A1038">
        <v>128</v>
      </c>
      <c r="B1038">
        <v>15523168</v>
      </c>
      <c r="C1038" t="s">
        <v>321</v>
      </c>
      <c r="D1038" t="s">
        <v>2498</v>
      </c>
      <c r="E1038" t="s">
        <v>2499</v>
      </c>
      <c r="F1038" t="s">
        <v>7</v>
      </c>
      <c r="G1038" t="s">
        <v>583</v>
      </c>
      <c r="H1038">
        <v>45000000</v>
      </c>
      <c r="I1038">
        <v>7.8</v>
      </c>
      <c r="J1038" t="s">
        <v>8778</v>
      </c>
    </row>
    <row r="1039" spans="1:10" x14ac:dyDescent="0.3">
      <c r="A1039">
        <v>106</v>
      </c>
      <c r="B1039">
        <v>11146409</v>
      </c>
      <c r="C1039" t="s">
        <v>1435</v>
      </c>
      <c r="D1039" t="s">
        <v>2500</v>
      </c>
      <c r="E1039" t="s">
        <v>2501</v>
      </c>
      <c r="F1039" t="s">
        <v>7</v>
      </c>
      <c r="G1039" t="s">
        <v>8</v>
      </c>
      <c r="H1039">
        <v>45000000</v>
      </c>
      <c r="I1039">
        <v>6.1</v>
      </c>
      <c r="J1039" t="s">
        <v>8779</v>
      </c>
    </row>
    <row r="1040" spans="1:10" x14ac:dyDescent="0.3">
      <c r="A1040">
        <v>160</v>
      </c>
      <c r="B1040">
        <v>7916887</v>
      </c>
      <c r="C1040" t="s">
        <v>2502</v>
      </c>
      <c r="D1040" t="s">
        <v>2503</v>
      </c>
      <c r="E1040" t="s">
        <v>2504</v>
      </c>
      <c r="F1040" t="s">
        <v>7</v>
      </c>
      <c r="G1040" t="s">
        <v>8</v>
      </c>
      <c r="H1040">
        <v>45000000</v>
      </c>
      <c r="I1040">
        <v>6.8</v>
      </c>
      <c r="J1040" t="s">
        <v>8424</v>
      </c>
    </row>
    <row r="1041" spans="1:10" x14ac:dyDescent="0.3">
      <c r="A1041">
        <v>114</v>
      </c>
      <c r="B1041">
        <v>6565495</v>
      </c>
      <c r="C1041" t="s">
        <v>73</v>
      </c>
      <c r="D1041" t="s">
        <v>2505</v>
      </c>
      <c r="E1041" t="s">
        <v>2506</v>
      </c>
      <c r="F1041" t="s">
        <v>792</v>
      </c>
      <c r="G1041" t="s">
        <v>339</v>
      </c>
      <c r="H1041">
        <v>45000000</v>
      </c>
      <c r="I1041">
        <v>6.4</v>
      </c>
      <c r="J1041" t="s">
        <v>8780</v>
      </c>
    </row>
    <row r="1042" spans="1:10" x14ac:dyDescent="0.3">
      <c r="A1042">
        <v>99</v>
      </c>
      <c r="B1042">
        <v>15279680</v>
      </c>
      <c r="C1042" t="s">
        <v>118</v>
      </c>
      <c r="D1042" t="s">
        <v>2507</v>
      </c>
      <c r="E1042" t="s">
        <v>2508</v>
      </c>
      <c r="F1042" t="s">
        <v>7</v>
      </c>
      <c r="G1042" t="s">
        <v>8</v>
      </c>
      <c r="H1042">
        <v>40000000</v>
      </c>
      <c r="I1042">
        <v>7.7</v>
      </c>
      <c r="J1042" t="s">
        <v>8781</v>
      </c>
    </row>
    <row r="1043" spans="1:10" x14ac:dyDescent="0.3">
      <c r="A1043">
        <v>74</v>
      </c>
      <c r="B1043">
        <v>7262288</v>
      </c>
      <c r="C1043" t="s">
        <v>2509</v>
      </c>
      <c r="D1043" t="s">
        <v>2510</v>
      </c>
      <c r="E1043" t="s">
        <v>2511</v>
      </c>
      <c r="F1043" t="s">
        <v>7</v>
      </c>
      <c r="G1043" t="s">
        <v>8</v>
      </c>
      <c r="H1043">
        <v>40000000</v>
      </c>
      <c r="I1043">
        <v>8.1</v>
      </c>
      <c r="J1043" t="s">
        <v>8782</v>
      </c>
    </row>
    <row r="1044" spans="1:10" x14ac:dyDescent="0.3">
      <c r="A1044">
        <v>139</v>
      </c>
      <c r="B1044">
        <v>4584886</v>
      </c>
      <c r="C1044" t="s">
        <v>73</v>
      </c>
      <c r="D1044" t="s">
        <v>2512</v>
      </c>
      <c r="E1044" t="s">
        <v>2513</v>
      </c>
      <c r="F1044" t="s">
        <v>7</v>
      </c>
      <c r="G1044" t="s">
        <v>8</v>
      </c>
      <c r="H1044">
        <v>45000000</v>
      </c>
      <c r="I1044">
        <v>4.5</v>
      </c>
      <c r="J1044" t="s">
        <v>8783</v>
      </c>
    </row>
    <row r="1045" spans="1:10" x14ac:dyDescent="0.3">
      <c r="A1045">
        <v>103</v>
      </c>
      <c r="B1045">
        <v>2154540</v>
      </c>
      <c r="C1045" t="s">
        <v>16</v>
      </c>
      <c r="D1045" t="s">
        <v>2515</v>
      </c>
      <c r="E1045" t="s">
        <v>2516</v>
      </c>
      <c r="F1045" t="s">
        <v>7</v>
      </c>
      <c r="G1045" t="s">
        <v>8</v>
      </c>
      <c r="H1045">
        <v>45000000</v>
      </c>
      <c r="I1045">
        <v>5.8</v>
      </c>
      <c r="J1045" t="s">
        <v>8784</v>
      </c>
    </row>
    <row r="1046" spans="1:10" x14ac:dyDescent="0.3">
      <c r="A1046">
        <v>101</v>
      </c>
      <c r="B1046">
        <v>8129455</v>
      </c>
      <c r="C1046" t="s">
        <v>542</v>
      </c>
      <c r="D1046" t="s">
        <v>2517</v>
      </c>
      <c r="E1046" t="s">
        <v>2518</v>
      </c>
      <c r="F1046" t="s">
        <v>7</v>
      </c>
      <c r="G1046" t="s">
        <v>8</v>
      </c>
      <c r="H1046">
        <v>45000000</v>
      </c>
      <c r="I1046">
        <v>6.3</v>
      </c>
      <c r="J1046" t="s">
        <v>8785</v>
      </c>
    </row>
    <row r="1047" spans="1:10" x14ac:dyDescent="0.3">
      <c r="A1047">
        <v>130</v>
      </c>
      <c r="B1047">
        <v>136019448</v>
      </c>
      <c r="C1047" t="s">
        <v>2519</v>
      </c>
      <c r="D1047" t="s">
        <v>2520</v>
      </c>
      <c r="E1047" t="s">
        <v>2521</v>
      </c>
      <c r="F1047" t="s">
        <v>7</v>
      </c>
      <c r="G1047" t="s">
        <v>8</v>
      </c>
      <c r="H1047">
        <v>44500000</v>
      </c>
      <c r="I1047">
        <v>5.7</v>
      </c>
      <c r="J1047" t="s">
        <v>8735</v>
      </c>
    </row>
    <row r="1048" spans="1:10" x14ac:dyDescent="0.3">
      <c r="A1048">
        <v>130</v>
      </c>
      <c r="B1048">
        <v>183875760</v>
      </c>
      <c r="C1048" t="s">
        <v>2522</v>
      </c>
      <c r="D1048" t="s">
        <v>2523</v>
      </c>
      <c r="E1048" t="s">
        <v>2524</v>
      </c>
      <c r="F1048" t="s">
        <v>7</v>
      </c>
      <c r="G1048" t="s">
        <v>8</v>
      </c>
      <c r="H1048">
        <v>44000000</v>
      </c>
      <c r="I1048">
        <v>7.2</v>
      </c>
      <c r="J1048" t="s">
        <v>8297</v>
      </c>
    </row>
    <row r="1049" spans="1:10" x14ac:dyDescent="0.3">
      <c r="A1049">
        <v>110</v>
      </c>
      <c r="B1049">
        <v>67061228</v>
      </c>
      <c r="C1049" t="s">
        <v>564</v>
      </c>
      <c r="D1049" t="s">
        <v>2525</v>
      </c>
      <c r="E1049" t="s">
        <v>2526</v>
      </c>
      <c r="F1049" t="s">
        <v>7</v>
      </c>
      <c r="G1049" t="s">
        <v>8</v>
      </c>
      <c r="H1049">
        <v>40000000</v>
      </c>
      <c r="I1049">
        <v>7.6</v>
      </c>
      <c r="J1049" t="s">
        <v>8591</v>
      </c>
    </row>
    <row r="1050" spans="1:10" x14ac:dyDescent="0.3">
      <c r="A1050">
        <v>147</v>
      </c>
      <c r="B1050">
        <v>53300852</v>
      </c>
      <c r="C1050" t="s">
        <v>873</v>
      </c>
      <c r="D1050" t="s">
        <v>2527</v>
      </c>
      <c r="E1050" t="s">
        <v>2528</v>
      </c>
      <c r="F1050" t="s">
        <v>7</v>
      </c>
      <c r="G1050" t="s">
        <v>8</v>
      </c>
      <c r="H1050">
        <v>44000000</v>
      </c>
      <c r="I1050">
        <v>4.7</v>
      </c>
      <c r="J1050" t="s">
        <v>8698</v>
      </c>
    </row>
    <row r="1051" spans="1:10" x14ac:dyDescent="0.3">
      <c r="A1051">
        <v>96</v>
      </c>
      <c r="B1051">
        <v>150415432</v>
      </c>
      <c r="C1051" t="s">
        <v>1869</v>
      </c>
      <c r="D1051" t="s">
        <v>2529</v>
      </c>
      <c r="E1051" t="s">
        <v>2530</v>
      </c>
      <c r="F1051" t="s">
        <v>7</v>
      </c>
      <c r="G1051" t="s">
        <v>8</v>
      </c>
      <c r="H1051">
        <v>44000000</v>
      </c>
      <c r="I1051">
        <v>6.6</v>
      </c>
      <c r="J1051" t="s">
        <v>8397</v>
      </c>
    </row>
    <row r="1052" spans="1:10" x14ac:dyDescent="0.3">
      <c r="A1052">
        <v>118</v>
      </c>
      <c r="B1052">
        <v>44834712</v>
      </c>
      <c r="C1052" t="s">
        <v>1704</v>
      </c>
      <c r="D1052" t="s">
        <v>2531</v>
      </c>
      <c r="E1052" t="s">
        <v>2532</v>
      </c>
      <c r="F1052" t="s">
        <v>7</v>
      </c>
      <c r="G1052" t="s">
        <v>8</v>
      </c>
      <c r="H1052">
        <v>44000000</v>
      </c>
      <c r="I1052">
        <v>6.8</v>
      </c>
      <c r="J1052" t="s">
        <v>8345</v>
      </c>
    </row>
    <row r="1053" spans="1:10" x14ac:dyDescent="0.3">
      <c r="A1053">
        <v>88</v>
      </c>
      <c r="B1053">
        <v>84300000</v>
      </c>
      <c r="C1053" t="s">
        <v>2533</v>
      </c>
      <c r="D1053" t="s">
        <v>2534</v>
      </c>
      <c r="E1053" t="s">
        <v>2535</v>
      </c>
      <c r="F1053" t="s">
        <v>7</v>
      </c>
      <c r="G1053" t="s">
        <v>8</v>
      </c>
      <c r="H1053">
        <v>2600000</v>
      </c>
      <c r="I1053">
        <v>7.3</v>
      </c>
      <c r="J1053" t="s">
        <v>8786</v>
      </c>
    </row>
    <row r="1054" spans="1:10" x14ac:dyDescent="0.3">
      <c r="A1054">
        <v>325</v>
      </c>
      <c r="B1054">
        <v>1500000</v>
      </c>
      <c r="C1054" t="s">
        <v>2536</v>
      </c>
      <c r="D1054" t="s">
        <v>2537</v>
      </c>
      <c r="E1054" t="s">
        <v>2538</v>
      </c>
      <c r="F1054" t="s">
        <v>7</v>
      </c>
      <c r="G1054" t="s">
        <v>8</v>
      </c>
      <c r="H1054">
        <v>44000000</v>
      </c>
      <c r="I1054">
        <v>2.7</v>
      </c>
      <c r="J1054" t="s">
        <v>8787</v>
      </c>
    </row>
    <row r="1055" spans="1:10" x14ac:dyDescent="0.3">
      <c r="A1055">
        <v>102</v>
      </c>
      <c r="B1055">
        <v>62318875</v>
      </c>
      <c r="C1055" t="s">
        <v>92</v>
      </c>
      <c r="D1055" t="s">
        <v>2539</v>
      </c>
      <c r="E1055" t="s">
        <v>2540</v>
      </c>
      <c r="F1055" t="s">
        <v>7</v>
      </c>
      <c r="G1055" t="s">
        <v>8</v>
      </c>
      <c r="H1055">
        <v>50000000</v>
      </c>
      <c r="I1055">
        <v>4.8</v>
      </c>
      <c r="J1055" t="s">
        <v>8649</v>
      </c>
    </row>
    <row r="1056" spans="1:10" x14ac:dyDescent="0.3">
      <c r="A1056">
        <v>110</v>
      </c>
      <c r="B1056">
        <v>5773519</v>
      </c>
      <c r="C1056" t="s">
        <v>1314</v>
      </c>
      <c r="D1056" t="s">
        <v>2541</v>
      </c>
      <c r="E1056" t="s">
        <v>2542</v>
      </c>
      <c r="F1056" t="s">
        <v>7</v>
      </c>
      <c r="G1056" t="s">
        <v>8</v>
      </c>
      <c r="H1056">
        <v>40000000</v>
      </c>
      <c r="I1056">
        <v>6.3</v>
      </c>
      <c r="J1056" t="s">
        <v>8777</v>
      </c>
    </row>
    <row r="1057" spans="1:10" x14ac:dyDescent="0.3">
      <c r="A1057">
        <v>136</v>
      </c>
      <c r="B1057">
        <v>51768623</v>
      </c>
      <c r="C1057" t="s">
        <v>1417</v>
      </c>
      <c r="D1057" t="s">
        <v>2543</v>
      </c>
      <c r="E1057" t="s">
        <v>2544</v>
      </c>
      <c r="F1057" t="s">
        <v>7</v>
      </c>
      <c r="G1057" t="s">
        <v>8</v>
      </c>
      <c r="H1057">
        <v>43000000</v>
      </c>
      <c r="I1057">
        <v>5.5</v>
      </c>
      <c r="J1057" t="s">
        <v>8788</v>
      </c>
    </row>
    <row r="1058" spans="1:10" x14ac:dyDescent="0.3">
      <c r="A1058">
        <v>103</v>
      </c>
      <c r="B1058">
        <v>37035515</v>
      </c>
      <c r="C1058" t="s">
        <v>1040</v>
      </c>
      <c r="D1058" t="s">
        <v>2545</v>
      </c>
      <c r="E1058" t="s">
        <v>2546</v>
      </c>
      <c r="F1058" t="s">
        <v>7</v>
      </c>
      <c r="G1058" t="s">
        <v>8</v>
      </c>
      <c r="H1058">
        <v>43000000</v>
      </c>
      <c r="I1058">
        <v>6.2</v>
      </c>
      <c r="J1058" t="s">
        <v>8665</v>
      </c>
    </row>
    <row r="1059" spans="1:10" x14ac:dyDescent="0.3">
      <c r="A1059">
        <v>103</v>
      </c>
      <c r="B1059">
        <v>24520892</v>
      </c>
      <c r="C1059" t="s">
        <v>164</v>
      </c>
      <c r="D1059" t="s">
        <v>2547</v>
      </c>
      <c r="E1059" t="s">
        <v>2548</v>
      </c>
      <c r="F1059" t="s">
        <v>7</v>
      </c>
      <c r="G1059" t="s">
        <v>583</v>
      </c>
      <c r="H1059">
        <v>45000000</v>
      </c>
      <c r="I1059">
        <v>5.8</v>
      </c>
      <c r="J1059" t="s">
        <v>8540</v>
      </c>
    </row>
    <row r="1060" spans="1:10" x14ac:dyDescent="0.3">
      <c r="A1060">
        <v>90</v>
      </c>
      <c r="B1060">
        <v>24430272</v>
      </c>
      <c r="C1060" t="s">
        <v>672</v>
      </c>
      <c r="D1060" t="s">
        <v>2549</v>
      </c>
      <c r="E1060" t="s">
        <v>2550</v>
      </c>
      <c r="F1060" t="s">
        <v>7</v>
      </c>
      <c r="G1060" t="s">
        <v>8</v>
      </c>
      <c r="H1060">
        <v>43000000</v>
      </c>
      <c r="I1060">
        <v>5.7</v>
      </c>
      <c r="J1060" t="s">
        <v>8586</v>
      </c>
    </row>
    <row r="1061" spans="1:10" x14ac:dyDescent="0.3">
      <c r="A1061">
        <v>154</v>
      </c>
      <c r="B1061">
        <v>158348400</v>
      </c>
      <c r="C1061" t="s">
        <v>780</v>
      </c>
      <c r="D1061" t="s">
        <v>2551</v>
      </c>
      <c r="E1061" t="s">
        <v>2552</v>
      </c>
      <c r="F1061" t="s">
        <v>7</v>
      </c>
      <c r="G1061" t="s">
        <v>8</v>
      </c>
      <c r="H1061">
        <v>42000000</v>
      </c>
      <c r="I1061">
        <v>6.5</v>
      </c>
      <c r="J1061" t="s">
        <v>8504</v>
      </c>
    </row>
    <row r="1062" spans="1:10" x14ac:dyDescent="0.3">
      <c r="A1062">
        <v>99</v>
      </c>
      <c r="B1062">
        <v>31136950</v>
      </c>
      <c r="C1062" t="s">
        <v>253</v>
      </c>
      <c r="D1062" t="s">
        <v>2553</v>
      </c>
      <c r="E1062" t="s">
        <v>2554</v>
      </c>
      <c r="F1062" t="s">
        <v>7</v>
      </c>
      <c r="G1062" t="s">
        <v>8</v>
      </c>
      <c r="H1062">
        <v>44000000</v>
      </c>
      <c r="I1062">
        <v>6.7</v>
      </c>
      <c r="J1062" t="s">
        <v>8426</v>
      </c>
    </row>
    <row r="1063" spans="1:10" x14ac:dyDescent="0.3">
      <c r="A1063">
        <v>93</v>
      </c>
      <c r="B1063">
        <v>29113588</v>
      </c>
      <c r="C1063" t="s">
        <v>118</v>
      </c>
      <c r="D1063" t="s">
        <v>2555</v>
      </c>
      <c r="E1063" t="s">
        <v>2556</v>
      </c>
      <c r="F1063" t="s">
        <v>7</v>
      </c>
      <c r="G1063" t="s">
        <v>8</v>
      </c>
      <c r="H1063">
        <v>40000000</v>
      </c>
      <c r="I1063">
        <v>7.4</v>
      </c>
      <c r="J1063" t="s">
        <v>8633</v>
      </c>
    </row>
    <row r="1064" spans="1:10" x14ac:dyDescent="0.3">
      <c r="A1064">
        <v>109</v>
      </c>
      <c r="B1064">
        <v>138447667</v>
      </c>
      <c r="C1064" t="s">
        <v>704</v>
      </c>
      <c r="D1064" t="s">
        <v>2557</v>
      </c>
      <c r="E1064" t="s">
        <v>2558</v>
      </c>
      <c r="F1064" t="s">
        <v>7</v>
      </c>
      <c r="G1064" t="s">
        <v>8</v>
      </c>
      <c r="H1064">
        <v>42000000</v>
      </c>
      <c r="I1064">
        <v>6.9</v>
      </c>
      <c r="J1064" t="s">
        <v>8413</v>
      </c>
    </row>
    <row r="1065" spans="1:10" x14ac:dyDescent="0.3">
      <c r="A1065">
        <v>124</v>
      </c>
      <c r="B1065">
        <v>116006080</v>
      </c>
      <c r="C1065" t="s">
        <v>561</v>
      </c>
      <c r="D1065" t="s">
        <v>2559</v>
      </c>
      <c r="E1065" t="s">
        <v>2560</v>
      </c>
      <c r="F1065" t="s">
        <v>7</v>
      </c>
      <c r="G1065" t="s">
        <v>15</v>
      </c>
      <c r="H1065">
        <v>42000000</v>
      </c>
      <c r="I1065">
        <v>5.5</v>
      </c>
      <c r="J1065" t="s">
        <v>8568</v>
      </c>
    </row>
    <row r="1066" spans="1:10" x14ac:dyDescent="0.3">
      <c r="A1066">
        <v>84</v>
      </c>
      <c r="B1066">
        <v>106793915</v>
      </c>
      <c r="C1066" t="s">
        <v>326</v>
      </c>
      <c r="D1066" t="s">
        <v>2561</v>
      </c>
      <c r="E1066" t="s">
        <v>2562</v>
      </c>
      <c r="F1066" t="s">
        <v>7</v>
      </c>
      <c r="G1066" t="s">
        <v>15</v>
      </c>
      <c r="H1066">
        <v>45000000</v>
      </c>
      <c r="I1066">
        <v>8.1</v>
      </c>
      <c r="J1066" t="s">
        <v>8789</v>
      </c>
    </row>
    <row r="1067" spans="1:10" x14ac:dyDescent="0.3">
      <c r="A1067">
        <v>90</v>
      </c>
      <c r="B1067">
        <v>87856565</v>
      </c>
      <c r="C1067" t="s">
        <v>672</v>
      </c>
      <c r="D1067" t="s">
        <v>2563</v>
      </c>
      <c r="E1067" t="s">
        <v>2564</v>
      </c>
      <c r="F1067" t="s">
        <v>7</v>
      </c>
      <c r="G1067" t="s">
        <v>8</v>
      </c>
      <c r="H1067">
        <v>42000000</v>
      </c>
      <c r="I1067">
        <v>7.7</v>
      </c>
      <c r="J1067" t="s">
        <v>8567</v>
      </c>
    </row>
    <row r="1068" spans="1:10" x14ac:dyDescent="0.3">
      <c r="A1068">
        <v>117</v>
      </c>
      <c r="B1068">
        <v>70100000</v>
      </c>
      <c r="C1068" t="s">
        <v>561</v>
      </c>
      <c r="D1068" t="s">
        <v>2565</v>
      </c>
      <c r="E1068" t="s">
        <v>2566</v>
      </c>
      <c r="F1068" t="s">
        <v>7</v>
      </c>
      <c r="G1068" t="s">
        <v>8</v>
      </c>
      <c r="H1068">
        <v>40000000</v>
      </c>
      <c r="I1068">
        <v>7.3</v>
      </c>
      <c r="J1068" t="s">
        <v>8396</v>
      </c>
    </row>
    <row r="1069" spans="1:10" x14ac:dyDescent="0.3">
      <c r="A1069">
        <v>123</v>
      </c>
      <c r="B1069">
        <v>159578352</v>
      </c>
      <c r="C1069" t="s">
        <v>704</v>
      </c>
      <c r="D1069" t="s">
        <v>2567</v>
      </c>
      <c r="E1069" t="s">
        <v>2568</v>
      </c>
      <c r="F1069" t="s">
        <v>7</v>
      </c>
      <c r="G1069" t="s">
        <v>8</v>
      </c>
      <c r="H1069">
        <v>43000000</v>
      </c>
      <c r="I1069">
        <v>5.2</v>
      </c>
      <c r="J1069" t="s">
        <v>8632</v>
      </c>
    </row>
    <row r="1070" spans="1:10" x14ac:dyDescent="0.3">
      <c r="A1070">
        <v>251</v>
      </c>
      <c r="B1070">
        <v>57750000</v>
      </c>
      <c r="C1070" t="s">
        <v>2569</v>
      </c>
      <c r="D1070" t="s">
        <v>2570</v>
      </c>
      <c r="E1070" t="s">
        <v>2571</v>
      </c>
      <c r="F1070" t="s">
        <v>7</v>
      </c>
      <c r="G1070" t="s">
        <v>15</v>
      </c>
      <c r="H1070">
        <v>31115000</v>
      </c>
      <c r="I1070">
        <v>7.1</v>
      </c>
      <c r="J1070" t="s">
        <v>8367</v>
      </c>
    </row>
    <row r="1071" spans="1:10" x14ac:dyDescent="0.3">
      <c r="A1071">
        <v>105</v>
      </c>
      <c r="B1071">
        <v>45290318</v>
      </c>
      <c r="C1071" t="s">
        <v>1337</v>
      </c>
      <c r="D1071" t="s">
        <v>2572</v>
      </c>
      <c r="E1071" t="s">
        <v>2573</v>
      </c>
      <c r="F1071" t="s">
        <v>7</v>
      </c>
      <c r="G1071" t="s">
        <v>8</v>
      </c>
      <c r="H1071">
        <v>42000000</v>
      </c>
      <c r="I1071">
        <v>7.1</v>
      </c>
      <c r="J1071" t="s">
        <v>8562</v>
      </c>
    </row>
    <row r="1072" spans="1:10" x14ac:dyDescent="0.3">
      <c r="A1072">
        <v>115</v>
      </c>
      <c r="B1072">
        <v>41543207</v>
      </c>
      <c r="C1072" t="s">
        <v>882</v>
      </c>
      <c r="D1072" t="s">
        <v>2574</v>
      </c>
      <c r="E1072" t="s">
        <v>2575</v>
      </c>
      <c r="F1072" t="s">
        <v>7</v>
      </c>
      <c r="G1072" t="s">
        <v>8</v>
      </c>
      <c r="H1072">
        <v>42000000</v>
      </c>
      <c r="I1072">
        <v>7.2</v>
      </c>
      <c r="J1072" t="s">
        <v>8790</v>
      </c>
    </row>
    <row r="1073" spans="1:10" x14ac:dyDescent="0.3">
      <c r="A1073">
        <v>122</v>
      </c>
      <c r="B1073">
        <v>41252428</v>
      </c>
      <c r="C1073" t="s">
        <v>561</v>
      </c>
      <c r="D1073" t="s">
        <v>2576</v>
      </c>
      <c r="E1073" t="s">
        <v>2577</v>
      </c>
      <c r="F1073" t="s">
        <v>7</v>
      </c>
      <c r="G1073" t="s">
        <v>8</v>
      </c>
      <c r="H1073">
        <v>42000000</v>
      </c>
      <c r="I1073">
        <v>6.5</v>
      </c>
      <c r="J1073" t="s">
        <v>8791</v>
      </c>
    </row>
    <row r="1074" spans="1:10" x14ac:dyDescent="0.3">
      <c r="A1074">
        <v>119</v>
      </c>
      <c r="B1074">
        <v>35228696</v>
      </c>
      <c r="C1074" t="s">
        <v>2578</v>
      </c>
      <c r="D1074" t="s">
        <v>2579</v>
      </c>
      <c r="E1074" t="s">
        <v>2580</v>
      </c>
      <c r="F1074" t="s">
        <v>7</v>
      </c>
      <c r="G1074" t="s">
        <v>8</v>
      </c>
      <c r="H1074">
        <v>32000000</v>
      </c>
      <c r="I1074">
        <v>4.5999999999999996</v>
      </c>
      <c r="J1074" t="s">
        <v>8792</v>
      </c>
    </row>
    <row r="1075" spans="1:10" x14ac:dyDescent="0.3">
      <c r="A1075">
        <v>81</v>
      </c>
      <c r="B1075">
        <v>59992760</v>
      </c>
      <c r="C1075" t="s">
        <v>668</v>
      </c>
      <c r="D1075" t="s">
        <v>2581</v>
      </c>
      <c r="E1075" t="s">
        <v>2582</v>
      </c>
      <c r="F1075" t="s">
        <v>7</v>
      </c>
      <c r="G1075" t="s">
        <v>8</v>
      </c>
      <c r="H1075">
        <v>42000000</v>
      </c>
      <c r="I1075">
        <v>5.6</v>
      </c>
      <c r="J1075" t="s">
        <v>8647</v>
      </c>
    </row>
    <row r="1076" spans="1:10" x14ac:dyDescent="0.3">
      <c r="A1076">
        <v>133</v>
      </c>
      <c r="B1076">
        <v>34667015</v>
      </c>
      <c r="C1076" t="s">
        <v>12</v>
      </c>
      <c r="D1076" t="s">
        <v>2583</v>
      </c>
      <c r="E1076" t="s">
        <v>2584</v>
      </c>
      <c r="F1076" t="s">
        <v>7</v>
      </c>
      <c r="G1076" t="s">
        <v>15</v>
      </c>
      <c r="H1076">
        <v>32000000</v>
      </c>
      <c r="I1076">
        <v>7.7</v>
      </c>
      <c r="J1076" t="s">
        <v>8775</v>
      </c>
    </row>
    <row r="1077" spans="1:10" x14ac:dyDescent="0.3">
      <c r="A1077">
        <v>100</v>
      </c>
      <c r="B1077">
        <v>37652565</v>
      </c>
      <c r="C1077" t="s">
        <v>1101</v>
      </c>
      <c r="D1077" t="s">
        <v>2585</v>
      </c>
      <c r="E1077" t="s">
        <v>2586</v>
      </c>
      <c r="F1077" t="s">
        <v>7</v>
      </c>
      <c r="G1077" t="s">
        <v>8</v>
      </c>
      <c r="H1077">
        <v>42000000</v>
      </c>
      <c r="I1077">
        <v>7.2</v>
      </c>
      <c r="J1077" t="s">
        <v>8323</v>
      </c>
    </row>
    <row r="1078" spans="1:10" x14ac:dyDescent="0.3">
      <c r="A1078">
        <v>120</v>
      </c>
      <c r="B1078">
        <v>24375436</v>
      </c>
      <c r="C1078" t="s">
        <v>164</v>
      </c>
      <c r="D1078" t="s">
        <v>2587</v>
      </c>
      <c r="E1078" t="s">
        <v>2588</v>
      </c>
      <c r="F1078" t="s">
        <v>7</v>
      </c>
      <c r="G1078" t="s">
        <v>8</v>
      </c>
      <c r="H1078">
        <v>42000000</v>
      </c>
      <c r="I1078">
        <v>6.8</v>
      </c>
      <c r="J1078" t="s">
        <v>8535</v>
      </c>
    </row>
    <row r="1079" spans="1:10" x14ac:dyDescent="0.3">
      <c r="A1079">
        <v>104</v>
      </c>
      <c r="B1079">
        <v>20915465</v>
      </c>
      <c r="C1079" t="s">
        <v>2483</v>
      </c>
      <c r="D1079" t="s">
        <v>2589</v>
      </c>
      <c r="E1079" t="s">
        <v>2590</v>
      </c>
      <c r="F1079" t="s">
        <v>7</v>
      </c>
      <c r="G1079" t="s">
        <v>15</v>
      </c>
      <c r="H1079">
        <v>42000000</v>
      </c>
      <c r="I1079">
        <v>5.4</v>
      </c>
      <c r="J1079" t="s">
        <v>8792</v>
      </c>
    </row>
    <row r="1080" spans="1:10" x14ac:dyDescent="0.3">
      <c r="A1080">
        <v>122</v>
      </c>
      <c r="B1080">
        <v>24127895</v>
      </c>
      <c r="C1080" t="s">
        <v>873</v>
      </c>
      <c r="D1080" t="s">
        <v>2591</v>
      </c>
      <c r="E1080" t="s">
        <v>2592</v>
      </c>
      <c r="F1080" t="s">
        <v>7</v>
      </c>
      <c r="G1080" t="s">
        <v>8</v>
      </c>
      <c r="H1080">
        <v>50000000</v>
      </c>
      <c r="I1080">
        <v>6.3</v>
      </c>
      <c r="J1080" t="s">
        <v>8575</v>
      </c>
    </row>
    <row r="1081" spans="1:10" x14ac:dyDescent="0.3">
      <c r="A1081">
        <v>80</v>
      </c>
      <c r="B1081">
        <v>84961</v>
      </c>
      <c r="C1081" t="s">
        <v>516</v>
      </c>
      <c r="D1081" t="s">
        <v>2593</v>
      </c>
      <c r="E1081" t="s">
        <v>2594</v>
      </c>
      <c r="F1081" t="s">
        <v>792</v>
      </c>
      <c r="G1081" t="s">
        <v>339</v>
      </c>
      <c r="H1081">
        <v>31000000</v>
      </c>
      <c r="I1081">
        <v>7.2</v>
      </c>
      <c r="J1081" t="s">
        <v>8793</v>
      </c>
    </row>
    <row r="1082" spans="1:10" x14ac:dyDescent="0.3">
      <c r="A1082">
        <v>91</v>
      </c>
      <c r="B1082">
        <v>26404753</v>
      </c>
      <c r="C1082" t="s">
        <v>612</v>
      </c>
      <c r="D1082" t="s">
        <v>2595</v>
      </c>
      <c r="E1082" t="s">
        <v>2596</v>
      </c>
      <c r="F1082" t="s">
        <v>7</v>
      </c>
      <c r="G1082" t="s">
        <v>8</v>
      </c>
      <c r="H1082">
        <v>40000000</v>
      </c>
      <c r="I1082">
        <v>5.6</v>
      </c>
      <c r="J1082" t="s">
        <v>8694</v>
      </c>
    </row>
    <row r="1083" spans="1:10" x14ac:dyDescent="0.3">
      <c r="A1083">
        <v>112</v>
      </c>
      <c r="B1083">
        <v>6105175</v>
      </c>
      <c r="C1083" t="s">
        <v>668</v>
      </c>
      <c r="D1083" t="s">
        <v>2597</v>
      </c>
      <c r="E1083" t="s">
        <v>2598</v>
      </c>
      <c r="F1083" t="s">
        <v>7</v>
      </c>
      <c r="G1083" t="s">
        <v>8</v>
      </c>
      <c r="H1083">
        <v>44000000</v>
      </c>
      <c r="I1083">
        <v>6.8</v>
      </c>
      <c r="J1083" t="s">
        <v>8794</v>
      </c>
    </row>
    <row r="1084" spans="1:10" x14ac:dyDescent="0.3">
      <c r="A1084">
        <v>100</v>
      </c>
      <c r="B1084">
        <v>5664251</v>
      </c>
      <c r="C1084" t="s">
        <v>2599</v>
      </c>
      <c r="D1084" t="s">
        <v>2600</v>
      </c>
      <c r="E1084" t="s">
        <v>2601</v>
      </c>
      <c r="F1084" t="s">
        <v>7</v>
      </c>
      <c r="G1084" t="s">
        <v>59</v>
      </c>
      <c r="H1084">
        <v>45000000</v>
      </c>
      <c r="I1084">
        <v>4.3</v>
      </c>
      <c r="J1084" t="s">
        <v>8795</v>
      </c>
    </row>
    <row r="1085" spans="1:10" x14ac:dyDescent="0.3">
      <c r="A1085">
        <v>105</v>
      </c>
      <c r="B1085">
        <v>1260917</v>
      </c>
      <c r="C1085" t="s">
        <v>704</v>
      </c>
      <c r="D1085" t="s">
        <v>2603</v>
      </c>
      <c r="E1085" t="s">
        <v>2604</v>
      </c>
      <c r="F1085" t="s">
        <v>582</v>
      </c>
      <c r="G1085" t="s">
        <v>583</v>
      </c>
      <c r="H1085">
        <v>27000000</v>
      </c>
      <c r="I1085">
        <v>6.3</v>
      </c>
      <c r="J1085" t="s">
        <v>8796</v>
      </c>
    </row>
    <row r="1086" spans="1:10" x14ac:dyDescent="0.3">
      <c r="A1086">
        <v>110</v>
      </c>
      <c r="B1086">
        <v>116724075</v>
      </c>
      <c r="C1086" t="s">
        <v>2605</v>
      </c>
      <c r="D1086" t="s">
        <v>2606</v>
      </c>
      <c r="E1086" t="s">
        <v>2607</v>
      </c>
      <c r="F1086" t="s">
        <v>7</v>
      </c>
      <c r="G1086" t="s">
        <v>8</v>
      </c>
      <c r="H1086">
        <v>41000000</v>
      </c>
      <c r="I1086">
        <v>6.5</v>
      </c>
      <c r="J1086" t="s">
        <v>8451</v>
      </c>
    </row>
    <row r="1087" spans="1:10" x14ac:dyDescent="0.3">
      <c r="A1087">
        <v>144</v>
      </c>
      <c r="B1087">
        <v>56083966</v>
      </c>
      <c r="C1087" t="s">
        <v>23</v>
      </c>
      <c r="D1087" t="s">
        <v>2608</v>
      </c>
      <c r="E1087" t="s">
        <v>2609</v>
      </c>
      <c r="F1087" t="s">
        <v>7</v>
      </c>
      <c r="G1087" t="s">
        <v>8</v>
      </c>
      <c r="H1087">
        <v>65000000</v>
      </c>
      <c r="I1087">
        <v>6.4</v>
      </c>
      <c r="J1087" t="s">
        <v>8695</v>
      </c>
    </row>
    <row r="1088" spans="1:10" x14ac:dyDescent="0.3">
      <c r="A1088">
        <v>108</v>
      </c>
      <c r="B1088">
        <v>22108977</v>
      </c>
      <c r="C1088" t="s">
        <v>492</v>
      </c>
      <c r="D1088" t="s">
        <v>2610</v>
      </c>
      <c r="E1088" t="s">
        <v>2611</v>
      </c>
      <c r="F1088" t="s">
        <v>7</v>
      </c>
      <c r="G1088" t="s">
        <v>1607</v>
      </c>
      <c r="H1088">
        <v>41000000</v>
      </c>
      <c r="I1088">
        <v>6.3</v>
      </c>
      <c r="J1088" t="s">
        <v>8717</v>
      </c>
    </row>
    <row r="1089" spans="1:10" x14ac:dyDescent="0.3">
      <c r="A1089">
        <v>107</v>
      </c>
      <c r="B1089">
        <v>293501675</v>
      </c>
      <c r="C1089" t="s">
        <v>780</v>
      </c>
      <c r="D1089" t="s">
        <v>2612</v>
      </c>
      <c r="E1089" t="s">
        <v>2613</v>
      </c>
      <c r="F1089" t="s">
        <v>7</v>
      </c>
      <c r="G1089" t="s">
        <v>8</v>
      </c>
      <c r="H1089">
        <v>40000000</v>
      </c>
      <c r="I1089">
        <v>5.9</v>
      </c>
      <c r="J1089" t="s">
        <v>8482</v>
      </c>
    </row>
    <row r="1090" spans="1:10" x14ac:dyDescent="0.3">
      <c r="A1090">
        <v>102</v>
      </c>
      <c r="B1090">
        <v>18600911</v>
      </c>
      <c r="C1090" t="s">
        <v>118</v>
      </c>
      <c r="D1090" t="s">
        <v>2614</v>
      </c>
      <c r="E1090" t="s">
        <v>2615</v>
      </c>
      <c r="F1090" t="s">
        <v>7</v>
      </c>
      <c r="G1090" t="s">
        <v>8</v>
      </c>
      <c r="H1090">
        <v>42000000</v>
      </c>
      <c r="I1090">
        <v>6.5</v>
      </c>
      <c r="J1090" t="s">
        <v>8372</v>
      </c>
    </row>
    <row r="1091" spans="1:10" x14ac:dyDescent="0.3">
      <c r="A1091">
        <v>100</v>
      </c>
      <c r="B1091">
        <v>7204138</v>
      </c>
      <c r="C1091" t="s">
        <v>668</v>
      </c>
      <c r="D1091" t="s">
        <v>2616</v>
      </c>
      <c r="E1091" t="s">
        <v>2617</v>
      </c>
      <c r="F1091" t="s">
        <v>7</v>
      </c>
      <c r="G1091" t="s">
        <v>8</v>
      </c>
      <c r="H1091">
        <v>41000000</v>
      </c>
      <c r="I1091">
        <v>6.5</v>
      </c>
      <c r="J1091" t="s">
        <v>8797</v>
      </c>
    </row>
    <row r="1092" spans="1:10" x14ac:dyDescent="0.3">
      <c r="A1092">
        <v>126</v>
      </c>
      <c r="B1092">
        <v>90800000</v>
      </c>
      <c r="C1092" t="s">
        <v>2618</v>
      </c>
      <c r="D1092" t="s">
        <v>2619</v>
      </c>
      <c r="E1092" t="s">
        <v>2620</v>
      </c>
      <c r="F1092" t="s">
        <v>7</v>
      </c>
      <c r="G1092" t="s">
        <v>8</v>
      </c>
      <c r="H1092">
        <v>8000000</v>
      </c>
      <c r="I1092">
        <v>6.1</v>
      </c>
      <c r="J1092" t="s">
        <v>8798</v>
      </c>
    </row>
    <row r="1093" spans="1:10" x14ac:dyDescent="0.3">
      <c r="A1093">
        <v>138</v>
      </c>
      <c r="B1093">
        <v>150117807</v>
      </c>
      <c r="C1093" t="s">
        <v>786</v>
      </c>
      <c r="D1093" t="s">
        <v>2621</v>
      </c>
      <c r="E1093" t="s">
        <v>2622</v>
      </c>
      <c r="F1093" t="s">
        <v>7</v>
      </c>
      <c r="G1093" t="s">
        <v>8</v>
      </c>
      <c r="H1093">
        <v>40000000</v>
      </c>
      <c r="I1093">
        <v>5.9</v>
      </c>
      <c r="J1093" t="s">
        <v>8799</v>
      </c>
    </row>
    <row r="1094" spans="1:10" x14ac:dyDescent="0.3">
      <c r="A1094">
        <v>108</v>
      </c>
      <c r="B1094">
        <v>163947053</v>
      </c>
      <c r="C1094" t="s">
        <v>561</v>
      </c>
      <c r="D1094" t="s">
        <v>2623</v>
      </c>
      <c r="E1094" t="s">
        <v>2624</v>
      </c>
      <c r="F1094" t="s">
        <v>7</v>
      </c>
      <c r="G1094" t="s">
        <v>8</v>
      </c>
      <c r="H1094">
        <v>40000000</v>
      </c>
      <c r="I1094">
        <v>6.6</v>
      </c>
      <c r="J1094" t="s">
        <v>8800</v>
      </c>
    </row>
    <row r="1095" spans="1:10" x14ac:dyDescent="0.3">
      <c r="A1095">
        <v>105</v>
      </c>
      <c r="B1095">
        <v>116735231</v>
      </c>
      <c r="C1095" t="s">
        <v>915</v>
      </c>
      <c r="D1095" t="s">
        <v>2625</v>
      </c>
      <c r="E1095" t="s">
        <v>2626</v>
      </c>
      <c r="F1095" t="s">
        <v>7</v>
      </c>
      <c r="G1095" t="s">
        <v>8</v>
      </c>
      <c r="H1095">
        <v>70000000</v>
      </c>
      <c r="I1095">
        <v>7.4</v>
      </c>
      <c r="J1095" t="s">
        <v>8801</v>
      </c>
    </row>
    <row r="1096" spans="1:10" x14ac:dyDescent="0.3">
      <c r="A1096">
        <v>108</v>
      </c>
      <c r="B1096">
        <v>118500000</v>
      </c>
      <c r="C1096" t="s">
        <v>759</v>
      </c>
      <c r="D1096" t="s">
        <v>2627</v>
      </c>
      <c r="E1096" t="s">
        <v>2628</v>
      </c>
      <c r="F1096" t="s">
        <v>7</v>
      </c>
      <c r="G1096" t="s">
        <v>8</v>
      </c>
      <c r="H1096">
        <v>40000000</v>
      </c>
      <c r="I1096">
        <v>7.3</v>
      </c>
      <c r="J1096" t="s">
        <v>8296</v>
      </c>
    </row>
    <row r="1097" spans="1:10" x14ac:dyDescent="0.3">
      <c r="A1097">
        <v>89</v>
      </c>
      <c r="B1097">
        <v>126546825</v>
      </c>
      <c r="C1097" t="s">
        <v>1157</v>
      </c>
      <c r="D1097" t="s">
        <v>2629</v>
      </c>
      <c r="E1097" t="s">
        <v>2630</v>
      </c>
      <c r="F1097" t="s">
        <v>7</v>
      </c>
      <c r="G1097" t="s">
        <v>583</v>
      </c>
      <c r="H1097">
        <v>40000000</v>
      </c>
      <c r="I1097">
        <v>6.6</v>
      </c>
      <c r="J1097" t="s">
        <v>8399</v>
      </c>
    </row>
    <row r="1098" spans="1:10" x14ac:dyDescent="0.3">
      <c r="A1098">
        <v>129</v>
      </c>
      <c r="B1098">
        <v>166147885</v>
      </c>
      <c r="C1098" t="s">
        <v>73</v>
      </c>
      <c r="D1098" t="s">
        <v>2631</v>
      </c>
      <c r="E1098" t="s">
        <v>2632</v>
      </c>
      <c r="F1098" t="s">
        <v>7</v>
      </c>
      <c r="G1098" t="s">
        <v>8</v>
      </c>
      <c r="H1098">
        <v>40000000</v>
      </c>
      <c r="I1098">
        <v>5.6</v>
      </c>
      <c r="J1098" t="s">
        <v>8802</v>
      </c>
    </row>
    <row r="1099" spans="1:10" x14ac:dyDescent="0.3">
      <c r="A1099">
        <v>84</v>
      </c>
      <c r="B1099">
        <v>111760631</v>
      </c>
      <c r="C1099" t="s">
        <v>1252</v>
      </c>
      <c r="D1099" t="s">
        <v>2633</v>
      </c>
      <c r="E1099" t="s">
        <v>2634</v>
      </c>
      <c r="F1099" t="s">
        <v>7</v>
      </c>
      <c r="G1099" t="s">
        <v>8</v>
      </c>
      <c r="H1099">
        <v>38000000</v>
      </c>
      <c r="I1099">
        <v>5.3</v>
      </c>
      <c r="J1099" t="s">
        <v>8803</v>
      </c>
    </row>
    <row r="1100" spans="1:10" x14ac:dyDescent="0.3">
      <c r="A1100">
        <v>149</v>
      </c>
      <c r="B1100">
        <v>108706165</v>
      </c>
      <c r="C1100" t="s">
        <v>873</v>
      </c>
      <c r="D1100" t="s">
        <v>2635</v>
      </c>
      <c r="E1100" t="s">
        <v>2636</v>
      </c>
      <c r="F1100" t="s">
        <v>7</v>
      </c>
      <c r="G1100" t="s">
        <v>8</v>
      </c>
      <c r="H1100">
        <v>40000000</v>
      </c>
      <c r="I1100">
        <v>6</v>
      </c>
      <c r="J1100" t="s">
        <v>8663</v>
      </c>
    </row>
    <row r="1101" spans="1:10" x14ac:dyDescent="0.3">
      <c r="A1101">
        <v>94</v>
      </c>
      <c r="B1101">
        <v>138614544</v>
      </c>
      <c r="C1101" t="s">
        <v>1261</v>
      </c>
      <c r="D1101" t="s">
        <v>2637</v>
      </c>
      <c r="E1101" t="s">
        <v>2638</v>
      </c>
      <c r="F1101" t="s">
        <v>7</v>
      </c>
      <c r="G1101" t="s">
        <v>8</v>
      </c>
      <c r="H1101">
        <v>40000000</v>
      </c>
      <c r="I1101">
        <v>5.4</v>
      </c>
      <c r="J1101" t="s">
        <v>8804</v>
      </c>
    </row>
    <row r="1102" spans="1:10" x14ac:dyDescent="0.3">
      <c r="A1102">
        <v>121</v>
      </c>
      <c r="B1102">
        <v>125069696</v>
      </c>
      <c r="C1102" t="s">
        <v>2639</v>
      </c>
      <c r="D1102" t="s">
        <v>2640</v>
      </c>
      <c r="E1102" t="s">
        <v>2641</v>
      </c>
      <c r="F1102" t="s">
        <v>7</v>
      </c>
      <c r="G1102" t="s">
        <v>8</v>
      </c>
      <c r="H1102">
        <v>40000000</v>
      </c>
      <c r="I1102">
        <v>6.8</v>
      </c>
      <c r="J1102" t="s">
        <v>8805</v>
      </c>
    </row>
    <row r="1103" spans="1:10" x14ac:dyDescent="0.3">
      <c r="A1103">
        <v>128</v>
      </c>
      <c r="B1103">
        <v>107458785</v>
      </c>
      <c r="C1103" t="s">
        <v>2642</v>
      </c>
      <c r="D1103" t="s">
        <v>2643</v>
      </c>
      <c r="E1103" t="s">
        <v>2644</v>
      </c>
      <c r="F1103" t="s">
        <v>7</v>
      </c>
      <c r="G1103" t="s">
        <v>8</v>
      </c>
      <c r="H1103">
        <v>40000000</v>
      </c>
      <c r="I1103">
        <v>6.4</v>
      </c>
      <c r="J1103" t="s">
        <v>8806</v>
      </c>
    </row>
    <row r="1104" spans="1:10" x14ac:dyDescent="0.3">
      <c r="A1104">
        <v>134</v>
      </c>
      <c r="B1104">
        <v>102310175</v>
      </c>
      <c r="C1104" t="s">
        <v>1249</v>
      </c>
      <c r="D1104" t="s">
        <v>2645</v>
      </c>
      <c r="E1104" t="s">
        <v>2646</v>
      </c>
      <c r="F1104" t="s">
        <v>7</v>
      </c>
      <c r="G1104" t="s">
        <v>8</v>
      </c>
      <c r="H1104">
        <v>40000000</v>
      </c>
      <c r="I1104">
        <v>7.1</v>
      </c>
      <c r="J1104" t="s">
        <v>8525</v>
      </c>
    </row>
    <row r="1105" spans="1:10" x14ac:dyDescent="0.3">
      <c r="A1105">
        <v>120</v>
      </c>
      <c r="B1105">
        <v>96917897</v>
      </c>
      <c r="C1105" t="s">
        <v>617</v>
      </c>
      <c r="D1105" t="s">
        <v>2647</v>
      </c>
      <c r="E1105" t="s">
        <v>2648</v>
      </c>
      <c r="F1105" t="s">
        <v>7</v>
      </c>
      <c r="G1105" t="s">
        <v>8</v>
      </c>
      <c r="H1105">
        <v>40000000</v>
      </c>
      <c r="I1105">
        <v>4.9000000000000004</v>
      </c>
      <c r="J1105" t="s">
        <v>8807</v>
      </c>
    </row>
    <row r="1106" spans="1:10" x14ac:dyDescent="0.3">
      <c r="A1106">
        <v>129</v>
      </c>
      <c r="B1106">
        <v>93952276</v>
      </c>
      <c r="C1106" t="s">
        <v>561</v>
      </c>
      <c r="D1106" t="s">
        <v>2649</v>
      </c>
      <c r="E1106" t="s">
        <v>2650</v>
      </c>
      <c r="F1106" t="s">
        <v>7</v>
      </c>
      <c r="G1106" t="s">
        <v>8</v>
      </c>
      <c r="H1106">
        <v>40000000</v>
      </c>
      <c r="I1106">
        <v>5.8</v>
      </c>
      <c r="J1106" t="s">
        <v>8808</v>
      </c>
    </row>
    <row r="1107" spans="1:10" x14ac:dyDescent="0.3">
      <c r="A1107">
        <v>89</v>
      </c>
      <c r="B1107">
        <v>90703745</v>
      </c>
      <c r="C1107" t="s">
        <v>668</v>
      </c>
      <c r="D1107" t="s">
        <v>2651</v>
      </c>
      <c r="E1107" t="s">
        <v>2652</v>
      </c>
      <c r="F1107" t="s">
        <v>7</v>
      </c>
      <c r="G1107" t="s">
        <v>8</v>
      </c>
      <c r="H1107">
        <v>45000000</v>
      </c>
      <c r="I1107">
        <v>7.1</v>
      </c>
      <c r="J1107" t="s">
        <v>8372</v>
      </c>
    </row>
    <row r="1108" spans="1:10" x14ac:dyDescent="0.3">
      <c r="A1108">
        <v>116</v>
      </c>
      <c r="B1108">
        <v>89138076</v>
      </c>
      <c r="C1108" t="s">
        <v>2141</v>
      </c>
      <c r="D1108" t="s">
        <v>2653</v>
      </c>
      <c r="E1108" t="s">
        <v>2654</v>
      </c>
      <c r="F1108" t="s">
        <v>7</v>
      </c>
      <c r="G1108" t="s">
        <v>8</v>
      </c>
      <c r="H1108">
        <v>40000000</v>
      </c>
      <c r="I1108">
        <v>7.2</v>
      </c>
      <c r="J1108" t="s">
        <v>8628</v>
      </c>
    </row>
    <row r="1109" spans="1:10" x14ac:dyDescent="0.3">
      <c r="A1109">
        <v>118</v>
      </c>
      <c r="B1109">
        <v>87666629</v>
      </c>
      <c r="C1109" t="s">
        <v>2655</v>
      </c>
      <c r="D1109" t="s">
        <v>2656</v>
      </c>
      <c r="E1109" t="s">
        <v>2657</v>
      </c>
      <c r="F1109" t="s">
        <v>7</v>
      </c>
      <c r="G1109" t="s">
        <v>8</v>
      </c>
      <c r="H1109">
        <v>40000000</v>
      </c>
      <c r="I1109">
        <v>6</v>
      </c>
      <c r="J1109" t="s">
        <v>8348</v>
      </c>
    </row>
    <row r="1110" spans="1:10" x14ac:dyDescent="0.3">
      <c r="A1110">
        <v>107</v>
      </c>
      <c r="B1110">
        <v>90353764</v>
      </c>
      <c r="C1110" t="s">
        <v>386</v>
      </c>
      <c r="D1110" t="s">
        <v>2658</v>
      </c>
      <c r="E1110" t="s">
        <v>2659</v>
      </c>
      <c r="F1110" t="s">
        <v>7</v>
      </c>
      <c r="G1110" t="s">
        <v>8</v>
      </c>
      <c r="H1110">
        <v>40000000</v>
      </c>
      <c r="I1110">
        <v>6</v>
      </c>
      <c r="J1110" t="s">
        <v>8730</v>
      </c>
    </row>
    <row r="1111" spans="1:10" x14ac:dyDescent="0.3">
      <c r="A1111">
        <v>155</v>
      </c>
      <c r="B1111">
        <v>82522790</v>
      </c>
      <c r="C1111" t="s">
        <v>2660</v>
      </c>
      <c r="D1111" t="s">
        <v>2661</v>
      </c>
      <c r="E1111" t="s">
        <v>2662</v>
      </c>
      <c r="F1111" t="s">
        <v>7</v>
      </c>
      <c r="G1111" t="s">
        <v>8</v>
      </c>
      <c r="H1111">
        <v>40000000</v>
      </c>
      <c r="I1111">
        <v>7</v>
      </c>
      <c r="J1111" t="s">
        <v>8480</v>
      </c>
    </row>
    <row r="1112" spans="1:10" x14ac:dyDescent="0.3">
      <c r="A1112">
        <v>123</v>
      </c>
      <c r="B1112">
        <v>94125426</v>
      </c>
      <c r="C1112" t="s">
        <v>2663</v>
      </c>
      <c r="D1112" t="s">
        <v>2664</v>
      </c>
      <c r="E1112" t="s">
        <v>2665</v>
      </c>
      <c r="F1112" t="s">
        <v>7</v>
      </c>
      <c r="G1112" t="s">
        <v>8</v>
      </c>
      <c r="H1112">
        <v>40000000</v>
      </c>
      <c r="I1112">
        <v>5.4</v>
      </c>
      <c r="J1112" t="s">
        <v>8809</v>
      </c>
    </row>
    <row r="1113" spans="1:10" x14ac:dyDescent="0.3">
      <c r="A1113">
        <v>128</v>
      </c>
      <c r="B1113">
        <v>95001343</v>
      </c>
      <c r="C1113" t="s">
        <v>653</v>
      </c>
      <c r="D1113" t="s">
        <v>2666</v>
      </c>
      <c r="E1113" t="s">
        <v>2667</v>
      </c>
      <c r="F1113" t="s">
        <v>7</v>
      </c>
      <c r="G1113" t="s">
        <v>8</v>
      </c>
      <c r="H1113">
        <v>40000000</v>
      </c>
      <c r="I1113">
        <v>6.5</v>
      </c>
      <c r="J1113" t="s">
        <v>8309</v>
      </c>
    </row>
    <row r="1114" spans="1:10" x14ac:dyDescent="0.3">
      <c r="A1114">
        <v>139</v>
      </c>
      <c r="B1114">
        <v>81292135</v>
      </c>
      <c r="C1114" t="s">
        <v>873</v>
      </c>
      <c r="D1114" t="s">
        <v>2668</v>
      </c>
      <c r="E1114" t="s">
        <v>2669</v>
      </c>
      <c r="F1114" t="s">
        <v>7</v>
      </c>
      <c r="G1114" t="s">
        <v>8</v>
      </c>
      <c r="H1114">
        <v>40000000</v>
      </c>
      <c r="I1114">
        <v>6.4</v>
      </c>
      <c r="J1114" t="s">
        <v>8330</v>
      </c>
    </row>
    <row r="1115" spans="1:10" x14ac:dyDescent="0.3">
      <c r="A1115">
        <v>120</v>
      </c>
      <c r="B1115">
        <v>81593527</v>
      </c>
      <c r="C1115" t="s">
        <v>1353</v>
      </c>
      <c r="D1115" t="s">
        <v>2670</v>
      </c>
      <c r="E1115" t="s">
        <v>2671</v>
      </c>
      <c r="F1115" t="s">
        <v>7</v>
      </c>
      <c r="G1115" t="s">
        <v>8</v>
      </c>
      <c r="H1115">
        <v>40000000</v>
      </c>
      <c r="I1115">
        <v>4.9000000000000004</v>
      </c>
      <c r="J1115" t="s">
        <v>8810</v>
      </c>
    </row>
    <row r="1116" spans="1:10" x14ac:dyDescent="0.3">
      <c r="A1116">
        <v>121</v>
      </c>
      <c r="B1116">
        <v>75274748</v>
      </c>
      <c r="C1116" t="s">
        <v>1040</v>
      </c>
      <c r="D1116" t="s">
        <v>2672</v>
      </c>
      <c r="E1116" t="s">
        <v>2673</v>
      </c>
      <c r="F1116" t="s">
        <v>7</v>
      </c>
      <c r="G1116" t="s">
        <v>8</v>
      </c>
      <c r="H1116">
        <v>35000000</v>
      </c>
      <c r="I1116">
        <v>6.3</v>
      </c>
      <c r="J1116" t="s">
        <v>8811</v>
      </c>
    </row>
    <row r="1117" spans="1:10" x14ac:dyDescent="0.3">
      <c r="A1117">
        <v>102</v>
      </c>
      <c r="B1117">
        <v>90835030</v>
      </c>
      <c r="C1117" t="s">
        <v>879</v>
      </c>
      <c r="D1117" t="s">
        <v>2674</v>
      </c>
      <c r="E1117" t="s">
        <v>2675</v>
      </c>
      <c r="F1117" t="s">
        <v>7</v>
      </c>
      <c r="G1117" t="s">
        <v>8</v>
      </c>
      <c r="H1117">
        <v>40000000</v>
      </c>
      <c r="I1117">
        <v>1.7</v>
      </c>
      <c r="J1117" t="s">
        <v>8812</v>
      </c>
    </row>
    <row r="1118" spans="1:10" x14ac:dyDescent="0.3">
      <c r="A1118">
        <v>117</v>
      </c>
      <c r="B1118">
        <v>72455275</v>
      </c>
      <c r="C1118" t="s">
        <v>2676</v>
      </c>
      <c r="D1118" t="s">
        <v>2677</v>
      </c>
      <c r="E1118" t="s">
        <v>2678</v>
      </c>
      <c r="F1118" t="s">
        <v>7</v>
      </c>
      <c r="G1118" t="s">
        <v>8</v>
      </c>
      <c r="H1118">
        <v>40000000</v>
      </c>
      <c r="I1118">
        <v>7.7</v>
      </c>
      <c r="J1118" t="s">
        <v>8813</v>
      </c>
    </row>
    <row r="1119" spans="1:10" x14ac:dyDescent="0.3">
      <c r="A1119">
        <v>178</v>
      </c>
      <c r="B1119">
        <v>75305995</v>
      </c>
      <c r="C1119" t="s">
        <v>1796</v>
      </c>
      <c r="D1119" t="s">
        <v>2679</v>
      </c>
      <c r="E1119" t="s">
        <v>2680</v>
      </c>
      <c r="F1119" t="s">
        <v>7</v>
      </c>
      <c r="G1119" t="s">
        <v>8</v>
      </c>
      <c r="H1119">
        <v>40000000</v>
      </c>
      <c r="I1119">
        <v>7.8</v>
      </c>
      <c r="J1119" t="s">
        <v>8519</v>
      </c>
    </row>
    <row r="1120" spans="1:10" x14ac:dyDescent="0.3">
      <c r="A1120">
        <v>147</v>
      </c>
      <c r="B1120">
        <v>74098862</v>
      </c>
      <c r="C1120" t="s">
        <v>609</v>
      </c>
      <c r="D1120" t="s">
        <v>2681</v>
      </c>
      <c r="E1120" t="s">
        <v>2682</v>
      </c>
      <c r="F1120" t="s">
        <v>7</v>
      </c>
      <c r="G1120" t="s">
        <v>8</v>
      </c>
      <c r="H1120">
        <v>40000000</v>
      </c>
      <c r="I1120">
        <v>5.5</v>
      </c>
      <c r="J1120" t="s">
        <v>8572</v>
      </c>
    </row>
    <row r="1121" spans="1:10" x14ac:dyDescent="0.3">
      <c r="A1121">
        <v>90</v>
      </c>
      <c r="B1121">
        <v>72266306</v>
      </c>
      <c r="C1121" t="s">
        <v>882</v>
      </c>
      <c r="D1121" t="s">
        <v>2683</v>
      </c>
      <c r="E1121" t="s">
        <v>2684</v>
      </c>
      <c r="F1121" t="s">
        <v>7</v>
      </c>
      <c r="G1121" t="s">
        <v>8</v>
      </c>
      <c r="H1121">
        <v>40000000</v>
      </c>
      <c r="I1121">
        <v>7.5</v>
      </c>
      <c r="J1121" t="s">
        <v>8570</v>
      </c>
    </row>
    <row r="1122" spans="1:10" x14ac:dyDescent="0.3">
      <c r="A1122">
        <v>105</v>
      </c>
      <c r="B1122">
        <v>71347010</v>
      </c>
      <c r="C1122" t="s">
        <v>672</v>
      </c>
      <c r="D1122" t="s">
        <v>2685</v>
      </c>
      <c r="E1122" t="s">
        <v>2686</v>
      </c>
      <c r="F1122" t="s">
        <v>7</v>
      </c>
      <c r="G1122" t="s">
        <v>8</v>
      </c>
      <c r="H1122">
        <v>40000000</v>
      </c>
      <c r="I1122">
        <v>6.4</v>
      </c>
      <c r="J1122" t="s">
        <v>8810</v>
      </c>
    </row>
    <row r="1123" spans="1:10" x14ac:dyDescent="0.3">
      <c r="A1123">
        <v>114</v>
      </c>
      <c r="B1123">
        <v>70836296</v>
      </c>
      <c r="C1123" t="s">
        <v>1024</v>
      </c>
      <c r="D1123" t="s">
        <v>2687</v>
      </c>
      <c r="E1123" t="s">
        <v>2688</v>
      </c>
      <c r="F1123" t="s">
        <v>7</v>
      </c>
      <c r="G1123" t="s">
        <v>8</v>
      </c>
      <c r="H1123">
        <v>40000000</v>
      </c>
      <c r="I1123">
        <v>5.6</v>
      </c>
      <c r="J1123" t="s">
        <v>8814</v>
      </c>
    </row>
    <row r="1124" spans="1:10" x14ac:dyDescent="0.3">
      <c r="A1124">
        <v>206</v>
      </c>
      <c r="B1124">
        <v>70405498</v>
      </c>
      <c r="C1124" t="s">
        <v>1160</v>
      </c>
      <c r="D1124" t="s">
        <v>2689</v>
      </c>
      <c r="E1124" t="s">
        <v>2690</v>
      </c>
      <c r="F1124" t="s">
        <v>7</v>
      </c>
      <c r="G1124" t="s">
        <v>583</v>
      </c>
      <c r="H1124">
        <v>40000000</v>
      </c>
      <c r="I1124">
        <v>7.5</v>
      </c>
      <c r="J1124" t="s">
        <v>8815</v>
      </c>
    </row>
    <row r="1125" spans="1:10" x14ac:dyDescent="0.3">
      <c r="A1125">
        <v>99</v>
      </c>
      <c r="B1125">
        <v>70163652</v>
      </c>
      <c r="C1125" t="s">
        <v>386</v>
      </c>
      <c r="D1125" t="s">
        <v>2691</v>
      </c>
      <c r="E1125" t="s">
        <v>2692</v>
      </c>
      <c r="F1125" t="s">
        <v>7</v>
      </c>
      <c r="G1125" t="s">
        <v>8</v>
      </c>
      <c r="H1125">
        <v>40000000</v>
      </c>
      <c r="I1125">
        <v>6.8</v>
      </c>
      <c r="J1125" t="s">
        <v>8816</v>
      </c>
    </row>
    <row r="1126" spans="1:10" x14ac:dyDescent="0.3">
      <c r="A1126">
        <v>123</v>
      </c>
      <c r="B1126">
        <v>66808615</v>
      </c>
      <c r="C1126" t="s">
        <v>2693</v>
      </c>
      <c r="D1126" t="s">
        <v>2694</v>
      </c>
      <c r="E1126" t="s">
        <v>2695</v>
      </c>
      <c r="F1126" t="s">
        <v>7</v>
      </c>
      <c r="G1126" t="s">
        <v>8</v>
      </c>
      <c r="H1126">
        <v>34000000</v>
      </c>
      <c r="I1126">
        <v>6.8</v>
      </c>
      <c r="J1126" t="s">
        <v>8450</v>
      </c>
    </row>
    <row r="1127" spans="1:10" x14ac:dyDescent="0.3">
      <c r="A1127">
        <v>102</v>
      </c>
      <c r="B1127">
        <v>64149837</v>
      </c>
      <c r="C1127" t="s">
        <v>2696</v>
      </c>
      <c r="D1127" t="s">
        <v>2697</v>
      </c>
      <c r="E1127" t="s">
        <v>2698</v>
      </c>
      <c r="F1127" t="s">
        <v>7</v>
      </c>
      <c r="G1127" t="s">
        <v>8</v>
      </c>
      <c r="H1127">
        <v>20000000</v>
      </c>
      <c r="I1127">
        <v>6</v>
      </c>
      <c r="J1127" t="s">
        <v>8817</v>
      </c>
    </row>
    <row r="1128" spans="1:10" x14ac:dyDescent="0.3">
      <c r="A1128">
        <v>109</v>
      </c>
      <c r="B1128">
        <v>83906114</v>
      </c>
      <c r="C1128" t="s">
        <v>672</v>
      </c>
      <c r="D1128" t="s">
        <v>2699</v>
      </c>
      <c r="E1128" t="s">
        <v>2700</v>
      </c>
      <c r="F1128" t="s">
        <v>7</v>
      </c>
      <c r="G1128" t="s">
        <v>8</v>
      </c>
      <c r="H1128">
        <v>40000000</v>
      </c>
      <c r="I1128">
        <v>7.3</v>
      </c>
      <c r="J1128" t="s">
        <v>8818</v>
      </c>
    </row>
    <row r="1129" spans="1:10" x14ac:dyDescent="0.3">
      <c r="A1129">
        <v>82</v>
      </c>
      <c r="B1129">
        <v>66466372</v>
      </c>
      <c r="C1129" t="s">
        <v>2701</v>
      </c>
      <c r="D1129" t="s">
        <v>2702</v>
      </c>
      <c r="E1129" t="s">
        <v>2703</v>
      </c>
      <c r="F1129" t="s">
        <v>7</v>
      </c>
      <c r="G1129" t="s">
        <v>8</v>
      </c>
      <c r="H1129">
        <v>40000000</v>
      </c>
      <c r="I1129">
        <v>6</v>
      </c>
      <c r="J1129" t="s">
        <v>8585</v>
      </c>
    </row>
    <row r="1130" spans="1:10" x14ac:dyDescent="0.3">
      <c r="A1130">
        <v>142</v>
      </c>
      <c r="B1130">
        <v>72306065</v>
      </c>
      <c r="C1130" t="s">
        <v>1160</v>
      </c>
      <c r="D1130" t="s">
        <v>2704</v>
      </c>
      <c r="E1130" t="s">
        <v>2705</v>
      </c>
      <c r="F1130" t="s">
        <v>7</v>
      </c>
      <c r="G1130" t="s">
        <v>8</v>
      </c>
      <c r="H1130">
        <v>40000000</v>
      </c>
      <c r="I1130">
        <v>7</v>
      </c>
      <c r="J1130" t="s">
        <v>8406</v>
      </c>
    </row>
    <row r="1131" spans="1:10" x14ac:dyDescent="0.3">
      <c r="A1131">
        <v>106</v>
      </c>
      <c r="B1131">
        <v>59068786</v>
      </c>
      <c r="C1131" t="s">
        <v>775</v>
      </c>
      <c r="D1131" t="s">
        <v>2706</v>
      </c>
      <c r="E1131" t="s">
        <v>2707</v>
      </c>
      <c r="F1131" t="s">
        <v>7</v>
      </c>
      <c r="G1131" t="s">
        <v>8</v>
      </c>
      <c r="H1131">
        <v>40000000</v>
      </c>
      <c r="I1131">
        <v>5.0999999999999996</v>
      </c>
      <c r="J1131" t="s">
        <v>8819</v>
      </c>
    </row>
    <row r="1132" spans="1:10" x14ac:dyDescent="0.3">
      <c r="A1132">
        <v>106</v>
      </c>
      <c r="B1132">
        <v>57887882</v>
      </c>
      <c r="C1132" t="s">
        <v>561</v>
      </c>
      <c r="D1132" t="s">
        <v>2709</v>
      </c>
      <c r="E1132" t="s">
        <v>2710</v>
      </c>
      <c r="F1132" t="s">
        <v>7</v>
      </c>
      <c r="G1132" t="s">
        <v>8</v>
      </c>
      <c r="H1132">
        <v>50000000</v>
      </c>
      <c r="I1132">
        <v>6.8</v>
      </c>
      <c r="J1132" t="s">
        <v>8500</v>
      </c>
    </row>
    <row r="1133" spans="1:10" x14ac:dyDescent="0.3">
      <c r="A1133">
        <v>108</v>
      </c>
      <c r="B1133">
        <v>53955614</v>
      </c>
      <c r="C1133" t="s">
        <v>1252</v>
      </c>
      <c r="D1133" t="s">
        <v>2711</v>
      </c>
      <c r="E1133" t="s">
        <v>2712</v>
      </c>
      <c r="F1133" t="s">
        <v>7</v>
      </c>
      <c r="G1133" t="s">
        <v>8</v>
      </c>
      <c r="H1133">
        <v>40000000</v>
      </c>
      <c r="I1133">
        <v>6.5</v>
      </c>
      <c r="J1133" t="s">
        <v>8820</v>
      </c>
    </row>
    <row r="1134" spans="1:10" x14ac:dyDescent="0.3">
      <c r="A1134">
        <v>98</v>
      </c>
      <c r="B1134">
        <v>54967359</v>
      </c>
      <c r="C1134" t="s">
        <v>2421</v>
      </c>
      <c r="D1134" t="s">
        <v>2713</v>
      </c>
      <c r="E1134" t="s">
        <v>2714</v>
      </c>
      <c r="F1134" t="s">
        <v>7</v>
      </c>
      <c r="G1134" t="s">
        <v>8</v>
      </c>
      <c r="H1134">
        <v>40000000</v>
      </c>
      <c r="I1134">
        <v>6.6</v>
      </c>
      <c r="J1134" t="s">
        <v>8465</v>
      </c>
    </row>
    <row r="1135" spans="1:10" x14ac:dyDescent="0.3">
      <c r="A1135">
        <v>131</v>
      </c>
      <c r="B1135">
        <v>54228104</v>
      </c>
      <c r="C1135" t="s">
        <v>2715</v>
      </c>
      <c r="D1135" t="s">
        <v>2716</v>
      </c>
      <c r="E1135" t="s">
        <v>2717</v>
      </c>
      <c r="F1135" t="s">
        <v>7</v>
      </c>
      <c r="G1135" t="s">
        <v>15</v>
      </c>
      <c r="H1135">
        <v>35000000</v>
      </c>
      <c r="I1135">
        <v>7.2</v>
      </c>
      <c r="J1135" t="s">
        <v>8494</v>
      </c>
    </row>
    <row r="1136" spans="1:10" x14ac:dyDescent="0.3">
      <c r="A1136">
        <v>118</v>
      </c>
      <c r="B1136">
        <v>57981889</v>
      </c>
      <c r="C1136" t="s">
        <v>873</v>
      </c>
      <c r="D1136" t="s">
        <v>2718</v>
      </c>
      <c r="E1136" t="s">
        <v>2719</v>
      </c>
      <c r="F1136" t="s">
        <v>7</v>
      </c>
      <c r="G1136" t="s">
        <v>8</v>
      </c>
      <c r="H1136">
        <v>40000000</v>
      </c>
      <c r="I1136">
        <v>7</v>
      </c>
      <c r="J1136" t="s">
        <v>8791</v>
      </c>
    </row>
    <row r="1137" spans="1:10" x14ac:dyDescent="0.3">
      <c r="A1137">
        <v>113</v>
      </c>
      <c r="B1137">
        <v>61094903</v>
      </c>
      <c r="C1137" t="s">
        <v>449</v>
      </c>
      <c r="D1137" t="s">
        <v>2720</v>
      </c>
      <c r="E1137" t="s">
        <v>2721</v>
      </c>
      <c r="F1137" t="s">
        <v>7</v>
      </c>
      <c r="G1137" t="s">
        <v>15</v>
      </c>
      <c r="H1137">
        <v>30000000</v>
      </c>
      <c r="I1137">
        <v>7</v>
      </c>
      <c r="J1137" t="s">
        <v>8705</v>
      </c>
    </row>
    <row r="1138" spans="1:10" x14ac:dyDescent="0.3">
      <c r="A1138">
        <v>130</v>
      </c>
      <c r="B1138">
        <v>53082743</v>
      </c>
      <c r="C1138" t="s">
        <v>909</v>
      </c>
      <c r="D1138" t="s">
        <v>2722</v>
      </c>
      <c r="E1138" t="s">
        <v>2723</v>
      </c>
      <c r="F1138" t="s">
        <v>7</v>
      </c>
      <c r="G1138" t="s">
        <v>8</v>
      </c>
      <c r="H1138">
        <v>40000000</v>
      </c>
      <c r="I1138">
        <v>5.9</v>
      </c>
      <c r="J1138" t="s">
        <v>8821</v>
      </c>
    </row>
    <row r="1139" spans="1:10" x14ac:dyDescent="0.3">
      <c r="A1139">
        <v>116</v>
      </c>
      <c r="B1139">
        <v>54414716</v>
      </c>
      <c r="C1139" t="s">
        <v>386</v>
      </c>
      <c r="D1139" t="s">
        <v>2724</v>
      </c>
      <c r="E1139" t="s">
        <v>2725</v>
      </c>
      <c r="F1139" t="s">
        <v>7</v>
      </c>
      <c r="G1139" t="s">
        <v>8</v>
      </c>
      <c r="H1139">
        <v>42000000</v>
      </c>
      <c r="I1139">
        <v>5.4</v>
      </c>
      <c r="J1139" t="s">
        <v>8822</v>
      </c>
    </row>
    <row r="1140" spans="1:10" x14ac:dyDescent="0.3">
      <c r="A1140">
        <v>89</v>
      </c>
      <c r="B1140">
        <v>57011847</v>
      </c>
      <c r="C1140" t="s">
        <v>227</v>
      </c>
      <c r="D1140" t="s">
        <v>2726</v>
      </c>
      <c r="E1140" t="s">
        <v>2727</v>
      </c>
      <c r="F1140" t="s">
        <v>7</v>
      </c>
      <c r="G1140" t="s">
        <v>8</v>
      </c>
      <c r="H1140">
        <v>40000000</v>
      </c>
      <c r="I1140">
        <v>6.6</v>
      </c>
      <c r="J1140" t="s">
        <v>8393</v>
      </c>
    </row>
    <row r="1141" spans="1:10" x14ac:dyDescent="0.3">
      <c r="A1141">
        <v>139</v>
      </c>
      <c r="B1141">
        <v>50859889</v>
      </c>
      <c r="C1141" t="s">
        <v>263</v>
      </c>
      <c r="D1141" t="s">
        <v>2728</v>
      </c>
      <c r="E1141" t="s">
        <v>2729</v>
      </c>
      <c r="F1141" t="s">
        <v>2730</v>
      </c>
      <c r="G1141" t="s">
        <v>8</v>
      </c>
      <c r="H1141">
        <v>40000000</v>
      </c>
      <c r="I1141">
        <v>7</v>
      </c>
      <c r="J1141" t="s">
        <v>8823</v>
      </c>
    </row>
    <row r="1142" spans="1:10" x14ac:dyDescent="0.3">
      <c r="A1142">
        <v>130</v>
      </c>
      <c r="B1142">
        <v>51185897</v>
      </c>
      <c r="C1142" t="s">
        <v>12</v>
      </c>
      <c r="D1142" t="s">
        <v>2731</v>
      </c>
      <c r="E1142" t="s">
        <v>2732</v>
      </c>
      <c r="F1142" t="s">
        <v>7</v>
      </c>
      <c r="G1142" t="s">
        <v>15</v>
      </c>
      <c r="H1142">
        <v>30000000</v>
      </c>
      <c r="I1142">
        <v>6.5</v>
      </c>
      <c r="J1142" t="s">
        <v>8451</v>
      </c>
    </row>
    <row r="1143" spans="1:10" x14ac:dyDescent="0.3">
      <c r="A1143">
        <v>107</v>
      </c>
      <c r="B1143">
        <v>52000688</v>
      </c>
      <c r="C1143" t="s">
        <v>78</v>
      </c>
      <c r="D1143" t="s">
        <v>2733</v>
      </c>
      <c r="E1143" t="s">
        <v>2734</v>
      </c>
      <c r="F1143" t="s">
        <v>7</v>
      </c>
      <c r="G1143" t="s">
        <v>8</v>
      </c>
      <c r="H1143">
        <v>40000000</v>
      </c>
      <c r="I1143">
        <v>6.3</v>
      </c>
      <c r="J1143" t="s">
        <v>8755</v>
      </c>
    </row>
    <row r="1144" spans="1:10" x14ac:dyDescent="0.3">
      <c r="A1144">
        <v>116</v>
      </c>
      <c r="B1144">
        <v>49851591</v>
      </c>
      <c r="C1144" t="s">
        <v>1782</v>
      </c>
      <c r="D1144" t="s">
        <v>2735</v>
      </c>
      <c r="E1144" t="s">
        <v>2736</v>
      </c>
      <c r="F1144" t="s">
        <v>7</v>
      </c>
      <c r="G1144" t="s">
        <v>8</v>
      </c>
      <c r="H1144">
        <v>40000000</v>
      </c>
      <c r="I1144">
        <v>6.5</v>
      </c>
      <c r="J1144" t="s">
        <v>8824</v>
      </c>
    </row>
    <row r="1145" spans="1:10" x14ac:dyDescent="0.3">
      <c r="A1145">
        <v>96</v>
      </c>
      <c r="B1145">
        <v>47781388</v>
      </c>
      <c r="C1145" t="s">
        <v>321</v>
      </c>
      <c r="D1145" t="s">
        <v>2737</v>
      </c>
      <c r="E1145" t="s">
        <v>2738</v>
      </c>
      <c r="F1145" t="s">
        <v>7</v>
      </c>
      <c r="G1145" t="s">
        <v>8</v>
      </c>
      <c r="H1145">
        <v>40000000</v>
      </c>
      <c r="I1145">
        <v>6.5</v>
      </c>
      <c r="J1145" t="s">
        <v>8825</v>
      </c>
    </row>
    <row r="1146" spans="1:10" x14ac:dyDescent="0.3">
      <c r="A1146">
        <v>99</v>
      </c>
      <c r="B1146">
        <v>52320979</v>
      </c>
      <c r="C1146" t="s">
        <v>253</v>
      </c>
      <c r="D1146" t="s">
        <v>2739</v>
      </c>
      <c r="E1146" t="s">
        <v>2740</v>
      </c>
      <c r="F1146" t="s">
        <v>7</v>
      </c>
      <c r="G1146" t="s">
        <v>8</v>
      </c>
      <c r="H1146">
        <v>40000000</v>
      </c>
      <c r="I1146">
        <v>5.8</v>
      </c>
      <c r="J1146" t="s">
        <v>8620</v>
      </c>
    </row>
    <row r="1147" spans="1:10" x14ac:dyDescent="0.3">
      <c r="A1147">
        <v>104</v>
      </c>
      <c r="B1147">
        <v>47806295</v>
      </c>
      <c r="C1147" t="s">
        <v>1249</v>
      </c>
      <c r="D1147" t="s">
        <v>2741</v>
      </c>
      <c r="E1147" t="s">
        <v>2742</v>
      </c>
      <c r="F1147" t="s">
        <v>7</v>
      </c>
      <c r="G1147" t="s">
        <v>8</v>
      </c>
      <c r="H1147">
        <v>43000000</v>
      </c>
      <c r="I1147">
        <v>6.6</v>
      </c>
      <c r="J1147" t="s">
        <v>8826</v>
      </c>
    </row>
    <row r="1148" spans="1:10" x14ac:dyDescent="0.3">
      <c r="A1148">
        <v>105</v>
      </c>
      <c r="B1148">
        <v>51853450</v>
      </c>
      <c r="C1148" t="s">
        <v>2001</v>
      </c>
      <c r="D1148" t="s">
        <v>2743</v>
      </c>
      <c r="E1148" t="s">
        <v>2744</v>
      </c>
      <c r="F1148" t="s">
        <v>7</v>
      </c>
      <c r="G1148" t="s">
        <v>8</v>
      </c>
      <c r="H1148">
        <v>25000000</v>
      </c>
      <c r="I1148">
        <v>5.4</v>
      </c>
      <c r="J1148" t="s">
        <v>8827</v>
      </c>
    </row>
    <row r="1149" spans="1:10" x14ac:dyDescent="0.3">
      <c r="A1149">
        <v>101</v>
      </c>
      <c r="B1149">
        <v>46012734</v>
      </c>
      <c r="C1149" t="s">
        <v>672</v>
      </c>
      <c r="D1149" t="s">
        <v>2745</v>
      </c>
      <c r="E1149" t="s">
        <v>2746</v>
      </c>
      <c r="F1149" t="s">
        <v>7</v>
      </c>
      <c r="G1149" t="s">
        <v>8</v>
      </c>
      <c r="H1149">
        <v>40000000</v>
      </c>
      <c r="I1149">
        <v>6.1</v>
      </c>
      <c r="J1149" t="s">
        <v>8828</v>
      </c>
    </row>
    <row r="1150" spans="1:10" x14ac:dyDescent="0.3">
      <c r="A1150">
        <v>134</v>
      </c>
      <c r="B1150">
        <v>47034272</v>
      </c>
      <c r="C1150" t="s">
        <v>2747</v>
      </c>
      <c r="D1150" t="s">
        <v>2748</v>
      </c>
      <c r="E1150" t="s">
        <v>2749</v>
      </c>
      <c r="F1150" t="s">
        <v>7</v>
      </c>
      <c r="G1150" t="s">
        <v>8</v>
      </c>
      <c r="H1150">
        <v>40000000</v>
      </c>
      <c r="I1150">
        <v>4</v>
      </c>
      <c r="J1150" t="s">
        <v>8829</v>
      </c>
    </row>
    <row r="1151" spans="1:10" x14ac:dyDescent="0.3">
      <c r="A1151">
        <v>135</v>
      </c>
      <c r="B1151">
        <v>45856732</v>
      </c>
      <c r="C1151" t="s">
        <v>873</v>
      </c>
      <c r="D1151" t="s">
        <v>2750</v>
      </c>
      <c r="E1151" t="s">
        <v>2751</v>
      </c>
      <c r="F1151" t="s">
        <v>7</v>
      </c>
      <c r="G1151" t="s">
        <v>8</v>
      </c>
      <c r="H1151">
        <v>40000000</v>
      </c>
      <c r="I1151">
        <v>7.6</v>
      </c>
      <c r="J1151" t="s">
        <v>8761</v>
      </c>
    </row>
    <row r="1152" spans="1:10" x14ac:dyDescent="0.3">
      <c r="A1152">
        <v>98</v>
      </c>
      <c r="B1152">
        <v>59588068</v>
      </c>
      <c r="C1152" t="s">
        <v>1249</v>
      </c>
      <c r="D1152" t="s">
        <v>2752</v>
      </c>
      <c r="E1152" t="s">
        <v>2753</v>
      </c>
      <c r="F1152" t="s">
        <v>7</v>
      </c>
      <c r="G1152" t="s">
        <v>8</v>
      </c>
      <c r="H1152">
        <v>40000000</v>
      </c>
      <c r="I1152">
        <v>7.9</v>
      </c>
      <c r="J1152" t="s">
        <v>8480</v>
      </c>
    </row>
    <row r="1153" spans="1:10" x14ac:dyDescent="0.3">
      <c r="A1153">
        <v>155</v>
      </c>
      <c r="B1153">
        <v>44175394</v>
      </c>
      <c r="C1153" t="s">
        <v>2754</v>
      </c>
      <c r="D1153" t="s">
        <v>2755</v>
      </c>
      <c r="E1153" t="s">
        <v>2756</v>
      </c>
      <c r="F1153" t="s">
        <v>7</v>
      </c>
      <c r="G1153" t="s">
        <v>8</v>
      </c>
      <c r="H1153">
        <v>36000000</v>
      </c>
      <c r="I1153">
        <v>5.3</v>
      </c>
      <c r="J1153" t="s">
        <v>8830</v>
      </c>
    </row>
    <row r="1154" spans="1:10" x14ac:dyDescent="0.3">
      <c r="A1154">
        <v>106</v>
      </c>
      <c r="B1154">
        <v>45500797</v>
      </c>
      <c r="C1154" t="s">
        <v>955</v>
      </c>
      <c r="D1154" t="s">
        <v>2757</v>
      </c>
      <c r="E1154" t="s">
        <v>2758</v>
      </c>
      <c r="F1154" t="s">
        <v>7</v>
      </c>
      <c r="G1154" t="s">
        <v>8</v>
      </c>
      <c r="H1154">
        <v>40000000</v>
      </c>
      <c r="I1154">
        <v>6.6</v>
      </c>
      <c r="J1154" t="s">
        <v>8831</v>
      </c>
    </row>
    <row r="1155" spans="1:10" x14ac:dyDescent="0.3">
      <c r="A1155">
        <v>102</v>
      </c>
      <c r="B1155">
        <v>41797066</v>
      </c>
      <c r="C1155" t="s">
        <v>912</v>
      </c>
      <c r="D1155" t="s">
        <v>2759</v>
      </c>
      <c r="E1155" t="s">
        <v>2760</v>
      </c>
      <c r="F1155" t="s">
        <v>7</v>
      </c>
      <c r="G1155" t="s">
        <v>8</v>
      </c>
      <c r="H1155">
        <v>40000000</v>
      </c>
      <c r="I1155">
        <v>6.3</v>
      </c>
      <c r="J1155" t="s">
        <v>8832</v>
      </c>
    </row>
    <row r="1156" spans="1:10" x14ac:dyDescent="0.3">
      <c r="A1156">
        <v>103</v>
      </c>
      <c r="B1156">
        <v>37752931</v>
      </c>
      <c r="C1156" t="s">
        <v>73</v>
      </c>
      <c r="D1156" t="s">
        <v>2761</v>
      </c>
      <c r="E1156" t="s">
        <v>2762</v>
      </c>
      <c r="F1156" t="s">
        <v>7</v>
      </c>
      <c r="G1156" t="s">
        <v>8</v>
      </c>
      <c r="H1156">
        <v>40000000</v>
      </c>
      <c r="I1156">
        <v>7.2</v>
      </c>
      <c r="J1156" t="s">
        <v>8658</v>
      </c>
    </row>
    <row r="1157" spans="1:10" x14ac:dyDescent="0.3">
      <c r="A1157">
        <v>109</v>
      </c>
      <c r="B1157">
        <v>37371385</v>
      </c>
      <c r="C1157" t="s">
        <v>759</v>
      </c>
      <c r="D1157" t="s">
        <v>2764</v>
      </c>
      <c r="E1157" t="s">
        <v>2765</v>
      </c>
      <c r="F1157" t="s">
        <v>7</v>
      </c>
      <c r="G1157" t="s">
        <v>8</v>
      </c>
      <c r="H1157">
        <v>40000000</v>
      </c>
      <c r="I1157">
        <v>7</v>
      </c>
      <c r="J1157" t="s">
        <v>8717</v>
      </c>
    </row>
    <row r="1158" spans="1:10" x14ac:dyDescent="0.3">
      <c r="A1158">
        <v>95</v>
      </c>
      <c r="B1158">
        <v>37101011</v>
      </c>
      <c r="C1158" t="s">
        <v>1040</v>
      </c>
      <c r="D1158" t="s">
        <v>2766</v>
      </c>
      <c r="E1158" t="s">
        <v>2767</v>
      </c>
      <c r="F1158" t="s">
        <v>7</v>
      </c>
      <c r="G1158" t="s">
        <v>8</v>
      </c>
      <c r="H1158">
        <v>40000000</v>
      </c>
      <c r="I1158">
        <v>4.9000000000000004</v>
      </c>
      <c r="J1158" t="s">
        <v>8833</v>
      </c>
    </row>
    <row r="1159" spans="1:10" x14ac:dyDescent="0.3">
      <c r="A1159">
        <v>111</v>
      </c>
      <c r="B1159">
        <v>38176892</v>
      </c>
      <c r="C1159" t="s">
        <v>2141</v>
      </c>
      <c r="D1159" t="s">
        <v>2768</v>
      </c>
      <c r="E1159" t="s">
        <v>2769</v>
      </c>
      <c r="F1159" t="s">
        <v>7</v>
      </c>
      <c r="G1159" t="s">
        <v>8</v>
      </c>
      <c r="H1159">
        <v>40000000</v>
      </c>
      <c r="I1159">
        <v>6.9</v>
      </c>
      <c r="J1159" t="s">
        <v>8731</v>
      </c>
    </row>
    <row r="1160" spans="1:10" x14ac:dyDescent="0.3">
      <c r="A1160">
        <v>123</v>
      </c>
      <c r="B1160">
        <v>36283504</v>
      </c>
      <c r="C1160" t="s">
        <v>321</v>
      </c>
      <c r="D1160" t="s">
        <v>2770</v>
      </c>
      <c r="E1160" t="s">
        <v>2771</v>
      </c>
      <c r="F1160" t="s">
        <v>7</v>
      </c>
      <c r="G1160" t="s">
        <v>284</v>
      </c>
      <c r="H1160">
        <v>40000000</v>
      </c>
      <c r="I1160">
        <v>5.2</v>
      </c>
      <c r="J1160" t="s">
        <v>8834</v>
      </c>
    </row>
    <row r="1161" spans="1:10" x14ac:dyDescent="0.3">
      <c r="A1161">
        <v>140</v>
      </c>
      <c r="B1161">
        <v>35183792</v>
      </c>
      <c r="C1161" t="s">
        <v>2747</v>
      </c>
      <c r="D1161" t="s">
        <v>2772</v>
      </c>
      <c r="E1161" t="s">
        <v>2773</v>
      </c>
      <c r="F1161" t="s">
        <v>7</v>
      </c>
      <c r="G1161" t="s">
        <v>8</v>
      </c>
      <c r="H1161">
        <v>38000000</v>
      </c>
      <c r="I1161">
        <v>8.1</v>
      </c>
      <c r="J1161" t="s">
        <v>8387</v>
      </c>
    </row>
    <row r="1162" spans="1:10" x14ac:dyDescent="0.3">
      <c r="A1162">
        <v>94</v>
      </c>
      <c r="B1162">
        <v>38543473</v>
      </c>
      <c r="C1162" t="s">
        <v>668</v>
      </c>
      <c r="D1162" t="s">
        <v>2774</v>
      </c>
      <c r="E1162" t="s">
        <v>2775</v>
      </c>
      <c r="F1162" t="s">
        <v>7</v>
      </c>
      <c r="G1162" t="s">
        <v>8</v>
      </c>
      <c r="H1162">
        <v>40000000</v>
      </c>
      <c r="I1162">
        <v>6.6</v>
      </c>
      <c r="J1162" t="s">
        <v>8835</v>
      </c>
    </row>
    <row r="1163" spans="1:10" x14ac:dyDescent="0.3">
      <c r="A1163">
        <v>94</v>
      </c>
      <c r="B1163">
        <v>36037909</v>
      </c>
      <c r="C1163" t="s">
        <v>1040</v>
      </c>
      <c r="D1163" t="s">
        <v>2776</v>
      </c>
      <c r="E1163" t="s">
        <v>2777</v>
      </c>
      <c r="F1163" t="s">
        <v>7</v>
      </c>
      <c r="G1163" t="s">
        <v>284</v>
      </c>
      <c r="H1163">
        <v>60000000</v>
      </c>
      <c r="I1163">
        <v>6.2</v>
      </c>
      <c r="J1163" t="s">
        <v>8638</v>
      </c>
    </row>
    <row r="1164" spans="1:10" x14ac:dyDescent="0.3">
      <c r="A1164">
        <v>92</v>
      </c>
      <c r="B1164">
        <v>42575718</v>
      </c>
      <c r="C1164" t="s">
        <v>2701</v>
      </c>
      <c r="D1164" t="s">
        <v>2778</v>
      </c>
      <c r="E1164" t="s">
        <v>2779</v>
      </c>
      <c r="F1164" t="s">
        <v>7</v>
      </c>
      <c r="G1164" t="s">
        <v>8</v>
      </c>
      <c r="H1164">
        <v>40000000</v>
      </c>
      <c r="I1164">
        <v>7.2</v>
      </c>
      <c r="J1164" t="s">
        <v>8836</v>
      </c>
    </row>
    <row r="1165" spans="1:10" x14ac:dyDescent="0.3">
      <c r="A1165">
        <v>102</v>
      </c>
      <c r="B1165">
        <v>33864342</v>
      </c>
      <c r="C1165" t="s">
        <v>1782</v>
      </c>
      <c r="D1165" t="s">
        <v>2780</v>
      </c>
      <c r="E1165" t="s">
        <v>2781</v>
      </c>
      <c r="F1165" t="s">
        <v>7</v>
      </c>
      <c r="G1165" t="s">
        <v>15</v>
      </c>
      <c r="H1165">
        <v>40000000</v>
      </c>
      <c r="I1165">
        <v>7.3</v>
      </c>
      <c r="J1165" t="s">
        <v>8656</v>
      </c>
    </row>
    <row r="1166" spans="1:10" x14ac:dyDescent="0.3">
      <c r="A1166">
        <v>123</v>
      </c>
      <c r="B1166">
        <v>33508922</v>
      </c>
      <c r="C1166" t="s">
        <v>1417</v>
      </c>
      <c r="D1166" t="s">
        <v>2782</v>
      </c>
      <c r="E1166" t="s">
        <v>2783</v>
      </c>
      <c r="F1166" t="s">
        <v>7</v>
      </c>
      <c r="G1166" t="s">
        <v>8</v>
      </c>
      <c r="H1166">
        <v>40000000</v>
      </c>
      <c r="I1166">
        <v>6.7</v>
      </c>
      <c r="J1166" t="s">
        <v>8837</v>
      </c>
    </row>
    <row r="1167" spans="1:10" x14ac:dyDescent="0.3">
      <c r="A1167">
        <v>104</v>
      </c>
      <c r="B1167">
        <v>42071069</v>
      </c>
      <c r="C1167" t="s">
        <v>1872</v>
      </c>
      <c r="D1167" t="s">
        <v>2784</v>
      </c>
      <c r="E1167" t="s">
        <v>2785</v>
      </c>
      <c r="F1167" t="s">
        <v>7</v>
      </c>
      <c r="G1167" t="s">
        <v>8</v>
      </c>
      <c r="H1167">
        <v>30000000</v>
      </c>
      <c r="I1167">
        <v>6.4</v>
      </c>
      <c r="J1167" t="s">
        <v>8838</v>
      </c>
    </row>
    <row r="1168" spans="1:10" x14ac:dyDescent="0.3">
      <c r="A1168">
        <v>102</v>
      </c>
      <c r="B1168">
        <v>32853640</v>
      </c>
      <c r="C1168" t="s">
        <v>1040</v>
      </c>
      <c r="D1168" t="s">
        <v>2786</v>
      </c>
      <c r="E1168" t="s">
        <v>2787</v>
      </c>
      <c r="F1168" t="s">
        <v>7</v>
      </c>
      <c r="G1168" t="s">
        <v>8</v>
      </c>
      <c r="H1168">
        <v>40000000</v>
      </c>
      <c r="I1168">
        <v>7.8</v>
      </c>
      <c r="J1168" t="s">
        <v>8337</v>
      </c>
    </row>
    <row r="1169" spans="1:10" x14ac:dyDescent="0.3">
      <c r="A1169">
        <v>136</v>
      </c>
      <c r="B1169">
        <v>42615685</v>
      </c>
      <c r="C1169" t="s">
        <v>1875</v>
      </c>
      <c r="D1169" t="s">
        <v>2788</v>
      </c>
      <c r="E1169" t="s">
        <v>2789</v>
      </c>
      <c r="F1169" t="s">
        <v>7</v>
      </c>
      <c r="G1169" t="s">
        <v>8</v>
      </c>
      <c r="H1169">
        <v>40000000</v>
      </c>
      <c r="I1169">
        <v>6.4</v>
      </c>
      <c r="J1169" t="s">
        <v>8484</v>
      </c>
    </row>
    <row r="1170" spans="1:10" x14ac:dyDescent="0.3">
      <c r="A1170">
        <v>93</v>
      </c>
      <c r="B1170">
        <v>32055248</v>
      </c>
      <c r="C1170" t="s">
        <v>2790</v>
      </c>
      <c r="D1170" t="s">
        <v>2791</v>
      </c>
      <c r="E1170" t="s">
        <v>2792</v>
      </c>
      <c r="F1170" t="s">
        <v>7</v>
      </c>
      <c r="G1170" t="s">
        <v>8</v>
      </c>
      <c r="H1170">
        <v>25000000</v>
      </c>
      <c r="I1170">
        <v>4.0999999999999996</v>
      </c>
      <c r="J1170" t="s">
        <v>8839</v>
      </c>
    </row>
    <row r="1171" spans="1:10" x14ac:dyDescent="0.3">
      <c r="A1171">
        <v>129</v>
      </c>
      <c r="B1171">
        <v>31836745</v>
      </c>
      <c r="C1171" t="s">
        <v>2793</v>
      </c>
      <c r="D1171" t="s">
        <v>2794</v>
      </c>
      <c r="E1171" t="s">
        <v>2795</v>
      </c>
      <c r="F1171" t="s">
        <v>7</v>
      </c>
      <c r="G1171" t="s">
        <v>8</v>
      </c>
      <c r="H1171">
        <v>40000000</v>
      </c>
      <c r="I1171">
        <v>4.0999999999999996</v>
      </c>
      <c r="J1171" t="s">
        <v>8716</v>
      </c>
    </row>
    <row r="1172" spans="1:10" x14ac:dyDescent="0.3">
      <c r="A1172">
        <v>107</v>
      </c>
      <c r="B1172">
        <v>30993544</v>
      </c>
      <c r="C1172" t="s">
        <v>561</v>
      </c>
      <c r="D1172" t="s">
        <v>2796</v>
      </c>
      <c r="E1172" t="s">
        <v>2797</v>
      </c>
      <c r="F1172" t="s">
        <v>7</v>
      </c>
      <c r="G1172" t="s">
        <v>8</v>
      </c>
      <c r="H1172">
        <v>40000000</v>
      </c>
      <c r="I1172">
        <v>7.4</v>
      </c>
      <c r="J1172" t="s">
        <v>8426</v>
      </c>
    </row>
    <row r="1173" spans="1:10" x14ac:dyDescent="0.3">
      <c r="A1173">
        <v>117</v>
      </c>
      <c r="B1173">
        <v>30981850</v>
      </c>
      <c r="C1173" t="s">
        <v>2798</v>
      </c>
      <c r="D1173" t="s">
        <v>2799</v>
      </c>
      <c r="E1173" t="s">
        <v>2800</v>
      </c>
      <c r="F1173" t="s">
        <v>7</v>
      </c>
      <c r="G1173" t="s">
        <v>8</v>
      </c>
      <c r="H1173">
        <v>40000000</v>
      </c>
      <c r="I1173">
        <v>5.8</v>
      </c>
      <c r="J1173" t="s">
        <v>8374</v>
      </c>
    </row>
    <row r="1174" spans="1:10" x14ac:dyDescent="0.3">
      <c r="A1174">
        <v>116</v>
      </c>
      <c r="B1174">
        <v>30199105</v>
      </c>
      <c r="C1174" t="s">
        <v>1383</v>
      </c>
      <c r="D1174" t="s">
        <v>2801</v>
      </c>
      <c r="E1174" t="s">
        <v>2802</v>
      </c>
      <c r="F1174" t="s">
        <v>7</v>
      </c>
      <c r="G1174" t="s">
        <v>8</v>
      </c>
      <c r="H1174">
        <v>40000000</v>
      </c>
      <c r="I1174">
        <v>7.6</v>
      </c>
      <c r="J1174" t="s">
        <v>8315</v>
      </c>
    </row>
    <row r="1175" spans="1:10" x14ac:dyDescent="0.3">
      <c r="A1175">
        <v>135</v>
      </c>
      <c r="B1175">
        <v>29077547</v>
      </c>
      <c r="C1175" t="s">
        <v>1172</v>
      </c>
      <c r="D1175" t="s">
        <v>2803</v>
      </c>
      <c r="E1175" t="s">
        <v>2804</v>
      </c>
      <c r="F1175" t="s">
        <v>7</v>
      </c>
      <c r="G1175" t="s">
        <v>8</v>
      </c>
      <c r="H1175">
        <v>40000000</v>
      </c>
      <c r="I1175">
        <v>7.2</v>
      </c>
      <c r="J1175" t="s">
        <v>8780</v>
      </c>
    </row>
    <row r="1176" spans="1:10" x14ac:dyDescent="0.3">
      <c r="A1176">
        <v>107</v>
      </c>
      <c r="B1176">
        <v>29374178</v>
      </c>
      <c r="C1176" t="s">
        <v>2805</v>
      </c>
      <c r="D1176" t="s">
        <v>2806</v>
      </c>
      <c r="E1176" t="s">
        <v>2807</v>
      </c>
      <c r="F1176" t="s">
        <v>7</v>
      </c>
      <c r="G1176" t="s">
        <v>8</v>
      </c>
      <c r="H1176">
        <v>40000000</v>
      </c>
      <c r="I1176">
        <v>7.8</v>
      </c>
      <c r="J1176" t="s">
        <v>8327</v>
      </c>
    </row>
    <row r="1177" spans="1:10" x14ac:dyDescent="0.3">
      <c r="A1177">
        <v>90</v>
      </c>
      <c r="B1177">
        <v>28535768</v>
      </c>
      <c r="C1177" t="s">
        <v>668</v>
      </c>
      <c r="D1177" t="s">
        <v>2808</v>
      </c>
      <c r="E1177" t="s">
        <v>2809</v>
      </c>
      <c r="F1177" t="s">
        <v>7</v>
      </c>
      <c r="G1177" t="s">
        <v>8</v>
      </c>
      <c r="H1177">
        <v>40000000</v>
      </c>
      <c r="I1177">
        <v>7.7</v>
      </c>
      <c r="J1177" t="s">
        <v>8362</v>
      </c>
    </row>
    <row r="1178" spans="1:10" x14ac:dyDescent="0.3">
      <c r="A1178">
        <v>99</v>
      </c>
      <c r="B1178">
        <v>27663982</v>
      </c>
      <c r="C1178" t="s">
        <v>1813</v>
      </c>
      <c r="D1178" t="s">
        <v>2810</v>
      </c>
      <c r="E1178" t="s">
        <v>2811</v>
      </c>
      <c r="F1178" t="s">
        <v>7</v>
      </c>
      <c r="G1178" t="s">
        <v>8</v>
      </c>
      <c r="H1178">
        <v>40000000</v>
      </c>
      <c r="I1178">
        <v>6.4</v>
      </c>
      <c r="J1178" t="s">
        <v>8840</v>
      </c>
    </row>
    <row r="1179" spans="1:10" x14ac:dyDescent="0.3">
      <c r="A1179">
        <v>104</v>
      </c>
      <c r="B1179">
        <v>27053815</v>
      </c>
      <c r="C1179" t="s">
        <v>23</v>
      </c>
      <c r="D1179" t="s">
        <v>2812</v>
      </c>
      <c r="E1179" t="s">
        <v>2813</v>
      </c>
      <c r="F1179" t="s">
        <v>7</v>
      </c>
      <c r="G1179" t="s">
        <v>284</v>
      </c>
      <c r="H1179">
        <v>40000000</v>
      </c>
      <c r="I1179">
        <v>5.0999999999999996</v>
      </c>
      <c r="J1179" t="s">
        <v>8788</v>
      </c>
    </row>
    <row r="1180" spans="1:10" x14ac:dyDescent="0.3">
      <c r="A1180">
        <v>115</v>
      </c>
      <c r="B1180">
        <v>26814957</v>
      </c>
      <c r="C1180" t="s">
        <v>2569</v>
      </c>
      <c r="D1180" t="s">
        <v>2814</v>
      </c>
      <c r="E1180" t="s">
        <v>2815</v>
      </c>
      <c r="F1180" t="s">
        <v>7</v>
      </c>
      <c r="G1180" t="s">
        <v>15</v>
      </c>
      <c r="H1180">
        <v>35000000</v>
      </c>
      <c r="I1180">
        <v>5.5</v>
      </c>
      <c r="J1180" t="s">
        <v>8841</v>
      </c>
    </row>
    <row r="1181" spans="1:10" x14ac:dyDescent="0.3">
      <c r="A1181">
        <v>119</v>
      </c>
      <c r="B1181">
        <v>25178165</v>
      </c>
      <c r="C1181" t="s">
        <v>73</v>
      </c>
      <c r="D1181" t="s">
        <v>2816</v>
      </c>
      <c r="E1181" t="s">
        <v>2817</v>
      </c>
      <c r="F1181" t="s">
        <v>7</v>
      </c>
      <c r="G1181" t="s">
        <v>8</v>
      </c>
      <c r="H1181">
        <v>40000000</v>
      </c>
      <c r="I1181">
        <v>7.4</v>
      </c>
      <c r="J1181" t="s">
        <v>8337</v>
      </c>
    </row>
    <row r="1182" spans="1:10" x14ac:dyDescent="0.3">
      <c r="A1182">
        <v>99</v>
      </c>
      <c r="B1182">
        <v>25117498</v>
      </c>
      <c r="C1182" t="s">
        <v>2324</v>
      </c>
      <c r="D1182" t="s">
        <v>2818</v>
      </c>
      <c r="E1182" t="s">
        <v>2819</v>
      </c>
      <c r="F1182" t="s">
        <v>7</v>
      </c>
      <c r="G1182" t="s">
        <v>8</v>
      </c>
      <c r="H1182">
        <v>40000000</v>
      </c>
      <c r="I1182">
        <v>6</v>
      </c>
      <c r="J1182" t="s">
        <v>8842</v>
      </c>
    </row>
    <row r="1183" spans="1:10" x14ac:dyDescent="0.3">
      <c r="A1183">
        <v>112</v>
      </c>
      <c r="B1183">
        <v>32645</v>
      </c>
      <c r="C1183" t="s">
        <v>2211</v>
      </c>
      <c r="D1183" t="s">
        <v>2820</v>
      </c>
      <c r="E1183" t="s">
        <v>2821</v>
      </c>
      <c r="F1183" t="s">
        <v>7</v>
      </c>
      <c r="G1183" t="s">
        <v>8</v>
      </c>
      <c r="H1183">
        <v>500000</v>
      </c>
      <c r="I1183">
        <v>7.5</v>
      </c>
      <c r="J1183" t="s">
        <v>8713</v>
      </c>
    </row>
    <row r="1184" spans="1:10" x14ac:dyDescent="0.3">
      <c r="A1184">
        <v>128</v>
      </c>
      <c r="B1184">
        <v>24332324</v>
      </c>
      <c r="C1184" t="s">
        <v>1040</v>
      </c>
      <c r="D1184" t="s">
        <v>2822</v>
      </c>
      <c r="E1184" t="s">
        <v>2823</v>
      </c>
      <c r="F1184" t="s">
        <v>7</v>
      </c>
      <c r="G1184" t="s">
        <v>8</v>
      </c>
      <c r="H1184">
        <v>40000000</v>
      </c>
      <c r="I1184">
        <v>7</v>
      </c>
      <c r="J1184" t="s">
        <v>8617</v>
      </c>
    </row>
    <row r="1185" spans="1:10" x14ac:dyDescent="0.3">
      <c r="A1185">
        <v>112</v>
      </c>
      <c r="B1185">
        <v>36665854</v>
      </c>
      <c r="C1185" t="s">
        <v>164</v>
      </c>
      <c r="D1185" t="s">
        <v>2824</v>
      </c>
      <c r="E1185" t="s">
        <v>2825</v>
      </c>
      <c r="F1185" t="s">
        <v>7</v>
      </c>
      <c r="G1185" t="s">
        <v>583</v>
      </c>
      <c r="H1185">
        <v>40000000</v>
      </c>
      <c r="I1185">
        <v>7.5</v>
      </c>
      <c r="J1185" t="s">
        <v>8731</v>
      </c>
    </row>
    <row r="1186" spans="1:10" x14ac:dyDescent="0.3">
      <c r="A1186">
        <v>86</v>
      </c>
      <c r="B1186">
        <v>22717758</v>
      </c>
      <c r="C1186" t="s">
        <v>2826</v>
      </c>
      <c r="D1186" t="s">
        <v>2827</v>
      </c>
      <c r="E1186" t="s">
        <v>2828</v>
      </c>
      <c r="F1186" t="s">
        <v>7</v>
      </c>
      <c r="G1186" t="s">
        <v>8</v>
      </c>
      <c r="H1186">
        <v>40000000</v>
      </c>
      <c r="I1186">
        <v>7.3</v>
      </c>
      <c r="J1186" t="s">
        <v>8534</v>
      </c>
    </row>
    <row r="1187" spans="1:10" x14ac:dyDescent="0.3">
      <c r="A1187">
        <v>108</v>
      </c>
      <c r="B1187">
        <v>22433915</v>
      </c>
      <c r="C1187" t="s">
        <v>882</v>
      </c>
      <c r="D1187" t="s">
        <v>2829</v>
      </c>
      <c r="E1187" t="s">
        <v>2830</v>
      </c>
      <c r="F1187" t="s">
        <v>7</v>
      </c>
      <c r="G1187" t="s">
        <v>8</v>
      </c>
      <c r="H1187">
        <v>60000000</v>
      </c>
      <c r="I1187">
        <v>5.7</v>
      </c>
      <c r="J1187" t="s">
        <v>8600</v>
      </c>
    </row>
    <row r="1188" spans="1:10" x14ac:dyDescent="0.3">
      <c r="A1188">
        <v>128</v>
      </c>
      <c r="B1188">
        <v>22326247</v>
      </c>
      <c r="C1188" t="s">
        <v>73</v>
      </c>
      <c r="D1188" t="s">
        <v>2831</v>
      </c>
      <c r="E1188" t="s">
        <v>2832</v>
      </c>
      <c r="F1188" t="s">
        <v>7</v>
      </c>
      <c r="G1188" t="s">
        <v>8</v>
      </c>
      <c r="H1188">
        <v>60000000</v>
      </c>
      <c r="I1188">
        <v>7.3</v>
      </c>
      <c r="J1188" t="s">
        <v>8732</v>
      </c>
    </row>
    <row r="1189" spans="1:10" x14ac:dyDescent="0.3">
      <c r="A1189">
        <v>84</v>
      </c>
      <c r="B1189">
        <v>21176322</v>
      </c>
      <c r="C1189" t="s">
        <v>704</v>
      </c>
      <c r="D1189" t="s">
        <v>2833</v>
      </c>
      <c r="E1189" t="s">
        <v>2834</v>
      </c>
      <c r="F1189" t="s">
        <v>7</v>
      </c>
      <c r="G1189" t="s">
        <v>8</v>
      </c>
      <c r="H1189">
        <v>40000000</v>
      </c>
      <c r="I1189">
        <v>7.2</v>
      </c>
      <c r="J1189" t="s">
        <v>8513</v>
      </c>
    </row>
    <row r="1190" spans="1:10" x14ac:dyDescent="0.3">
      <c r="A1190">
        <v>111</v>
      </c>
      <c r="B1190">
        <v>20300000</v>
      </c>
      <c r="C1190" t="s">
        <v>1704</v>
      </c>
      <c r="D1190" t="s">
        <v>2835</v>
      </c>
      <c r="E1190" t="s">
        <v>2836</v>
      </c>
      <c r="F1190" t="s">
        <v>7</v>
      </c>
      <c r="G1190" t="s">
        <v>8</v>
      </c>
      <c r="H1190">
        <v>40000000</v>
      </c>
      <c r="I1190">
        <v>5.9</v>
      </c>
      <c r="J1190" t="s">
        <v>8428</v>
      </c>
    </row>
    <row r="1191" spans="1:10" x14ac:dyDescent="0.3">
      <c r="A1191">
        <v>131</v>
      </c>
      <c r="B1191">
        <v>20302961</v>
      </c>
      <c r="C1191" t="s">
        <v>1417</v>
      </c>
      <c r="D1191" t="s">
        <v>2837</v>
      </c>
      <c r="E1191" t="s">
        <v>2838</v>
      </c>
      <c r="F1191" t="s">
        <v>7</v>
      </c>
      <c r="G1191" t="s">
        <v>583</v>
      </c>
      <c r="H1191">
        <v>45000000</v>
      </c>
      <c r="I1191">
        <v>7.8</v>
      </c>
      <c r="J1191" t="s">
        <v>8452</v>
      </c>
    </row>
    <row r="1192" spans="1:10" x14ac:dyDescent="0.3">
      <c r="A1192">
        <v>123</v>
      </c>
      <c r="B1192">
        <v>15962471</v>
      </c>
      <c r="C1192" t="s">
        <v>2569</v>
      </c>
      <c r="D1192" t="s">
        <v>2839</v>
      </c>
      <c r="E1192" t="s">
        <v>2840</v>
      </c>
      <c r="F1192" t="s">
        <v>7</v>
      </c>
      <c r="G1192" t="s">
        <v>8</v>
      </c>
      <c r="H1192">
        <v>40000000</v>
      </c>
      <c r="I1192">
        <v>7.7</v>
      </c>
      <c r="J1192" t="s">
        <v>8625</v>
      </c>
    </row>
    <row r="1193" spans="1:10" x14ac:dyDescent="0.3">
      <c r="A1193">
        <v>101</v>
      </c>
      <c r="B1193">
        <v>14942422</v>
      </c>
      <c r="C1193" t="s">
        <v>118</v>
      </c>
      <c r="D1193" t="s">
        <v>2841</v>
      </c>
      <c r="E1193" t="s">
        <v>2842</v>
      </c>
      <c r="F1193" t="s">
        <v>7</v>
      </c>
      <c r="G1193" t="s">
        <v>8</v>
      </c>
      <c r="H1193">
        <v>40000000</v>
      </c>
      <c r="I1193">
        <v>8.1</v>
      </c>
      <c r="J1193" t="s">
        <v>8629</v>
      </c>
    </row>
    <row r="1194" spans="1:10" x14ac:dyDescent="0.3">
      <c r="A1194">
        <v>102</v>
      </c>
      <c r="B1194">
        <v>14967182</v>
      </c>
      <c r="C1194" t="s">
        <v>164</v>
      </c>
      <c r="D1194" t="s">
        <v>2843</v>
      </c>
      <c r="E1194" t="s">
        <v>2844</v>
      </c>
      <c r="F1194" t="s">
        <v>7</v>
      </c>
      <c r="G1194" t="s">
        <v>8</v>
      </c>
      <c r="H1194">
        <v>40000000</v>
      </c>
      <c r="I1194">
        <v>6.6</v>
      </c>
      <c r="J1194" t="s">
        <v>8525</v>
      </c>
    </row>
    <row r="1195" spans="1:10" x14ac:dyDescent="0.3">
      <c r="A1195">
        <v>114</v>
      </c>
      <c r="B1195">
        <v>18996755</v>
      </c>
      <c r="C1195" t="s">
        <v>1704</v>
      </c>
      <c r="D1195" t="s">
        <v>2845</v>
      </c>
      <c r="E1195" t="s">
        <v>2846</v>
      </c>
      <c r="F1195" t="s">
        <v>7</v>
      </c>
      <c r="G1195" t="s">
        <v>1488</v>
      </c>
      <c r="H1195">
        <v>45000000</v>
      </c>
      <c r="I1195">
        <v>7.1</v>
      </c>
      <c r="J1195" t="s">
        <v>8821</v>
      </c>
    </row>
    <row r="1196" spans="1:10" x14ac:dyDescent="0.3">
      <c r="A1196">
        <v>107</v>
      </c>
      <c r="B1196">
        <v>14375181</v>
      </c>
      <c r="C1196" t="s">
        <v>2847</v>
      </c>
      <c r="D1196" t="s">
        <v>2848</v>
      </c>
      <c r="E1196" t="s">
        <v>2849</v>
      </c>
      <c r="F1196" t="s">
        <v>7</v>
      </c>
      <c r="G1196" t="s">
        <v>8</v>
      </c>
      <c r="H1196">
        <v>51000000</v>
      </c>
      <c r="I1196">
        <v>5.9</v>
      </c>
      <c r="J1196" t="s">
        <v>8600</v>
      </c>
    </row>
    <row r="1197" spans="1:10" x14ac:dyDescent="0.3">
      <c r="A1197">
        <v>87</v>
      </c>
      <c r="B1197">
        <v>20999103</v>
      </c>
      <c r="C1197" t="s">
        <v>2850</v>
      </c>
      <c r="D1197" t="s">
        <v>2851</v>
      </c>
      <c r="E1197" t="s">
        <v>2852</v>
      </c>
      <c r="F1197" t="s">
        <v>7</v>
      </c>
      <c r="G1197" t="s">
        <v>8</v>
      </c>
      <c r="H1197">
        <v>40000000</v>
      </c>
      <c r="I1197">
        <v>8</v>
      </c>
      <c r="J1197" t="s">
        <v>8372</v>
      </c>
    </row>
    <row r="1198" spans="1:10" x14ac:dyDescent="0.3">
      <c r="A1198">
        <v>103</v>
      </c>
      <c r="B1198">
        <v>14448589</v>
      </c>
      <c r="C1198" t="s">
        <v>672</v>
      </c>
      <c r="D1198" t="s">
        <v>2853</v>
      </c>
      <c r="E1198" t="s">
        <v>2854</v>
      </c>
      <c r="F1198" t="s">
        <v>7</v>
      </c>
      <c r="G1198" t="s">
        <v>8</v>
      </c>
      <c r="H1198">
        <v>40000000</v>
      </c>
      <c r="I1198">
        <v>4.5999999999999996</v>
      </c>
      <c r="J1198" t="s">
        <v>8726</v>
      </c>
    </row>
    <row r="1199" spans="1:10" x14ac:dyDescent="0.3">
      <c r="A1199">
        <v>99</v>
      </c>
      <c r="B1199">
        <v>14358033</v>
      </c>
      <c r="C1199" t="s">
        <v>2855</v>
      </c>
      <c r="D1199" t="s">
        <v>2856</v>
      </c>
      <c r="E1199" t="s">
        <v>2857</v>
      </c>
      <c r="F1199" t="s">
        <v>7</v>
      </c>
      <c r="G1199" t="s">
        <v>8</v>
      </c>
      <c r="H1199">
        <v>40000000</v>
      </c>
      <c r="I1199">
        <v>6.1</v>
      </c>
      <c r="J1199" t="s">
        <v>8295</v>
      </c>
    </row>
    <row r="1200" spans="1:10" x14ac:dyDescent="0.3">
      <c r="A1200">
        <v>122</v>
      </c>
      <c r="B1200">
        <v>33201661</v>
      </c>
      <c r="C1200" t="s">
        <v>672</v>
      </c>
      <c r="D1200" t="s">
        <v>2858</v>
      </c>
      <c r="E1200" t="s">
        <v>2859</v>
      </c>
      <c r="F1200" t="s">
        <v>582</v>
      </c>
      <c r="G1200" t="s">
        <v>583</v>
      </c>
      <c r="H1200">
        <v>77000000</v>
      </c>
      <c r="I1200">
        <v>7.2</v>
      </c>
      <c r="J1200" t="s">
        <v>8618</v>
      </c>
    </row>
    <row r="1201" spans="1:10" x14ac:dyDescent="0.3">
      <c r="A1201">
        <v>91</v>
      </c>
      <c r="B1201">
        <v>14018364</v>
      </c>
      <c r="C1201" t="s">
        <v>2860</v>
      </c>
      <c r="D1201" t="s">
        <v>2861</v>
      </c>
      <c r="E1201" t="s">
        <v>2862</v>
      </c>
      <c r="F1201" t="s">
        <v>7</v>
      </c>
      <c r="G1201" t="s">
        <v>8</v>
      </c>
      <c r="H1201">
        <v>30000000</v>
      </c>
      <c r="I1201">
        <v>6.4</v>
      </c>
      <c r="J1201" t="s">
        <v>8820</v>
      </c>
    </row>
    <row r="1202" spans="1:10" x14ac:dyDescent="0.3">
      <c r="A1202">
        <v>103</v>
      </c>
      <c r="B1202">
        <v>13395939</v>
      </c>
      <c r="C1202" t="s">
        <v>561</v>
      </c>
      <c r="D1202" t="s">
        <v>2863</v>
      </c>
      <c r="E1202" t="s">
        <v>2864</v>
      </c>
      <c r="F1202" t="s">
        <v>7</v>
      </c>
      <c r="G1202" t="s">
        <v>15</v>
      </c>
      <c r="H1202">
        <v>60000000</v>
      </c>
      <c r="I1202">
        <v>6</v>
      </c>
      <c r="J1202" t="s">
        <v>8843</v>
      </c>
    </row>
    <row r="1203" spans="1:10" x14ac:dyDescent="0.3">
      <c r="A1203">
        <v>107</v>
      </c>
      <c r="B1203">
        <v>20113965</v>
      </c>
      <c r="C1203" t="s">
        <v>2663</v>
      </c>
      <c r="D1203" t="s">
        <v>2865</v>
      </c>
      <c r="E1203" t="s">
        <v>2866</v>
      </c>
      <c r="F1203" t="s">
        <v>7</v>
      </c>
      <c r="G1203" t="s">
        <v>8</v>
      </c>
      <c r="H1203">
        <v>40000000</v>
      </c>
      <c r="I1203">
        <v>5.2</v>
      </c>
      <c r="J1203" t="s">
        <v>8797</v>
      </c>
    </row>
    <row r="1204" spans="1:10" x14ac:dyDescent="0.3">
      <c r="A1204">
        <v>106</v>
      </c>
      <c r="B1204">
        <v>13376506</v>
      </c>
      <c r="C1204" t="s">
        <v>1417</v>
      </c>
      <c r="D1204" t="s">
        <v>2867</v>
      </c>
      <c r="E1204" t="s">
        <v>2868</v>
      </c>
      <c r="F1204" t="s">
        <v>7</v>
      </c>
      <c r="G1204" t="s">
        <v>8</v>
      </c>
      <c r="H1204">
        <v>40000000</v>
      </c>
      <c r="I1204">
        <v>7.6</v>
      </c>
      <c r="J1204" t="s">
        <v>8332</v>
      </c>
    </row>
    <row r="1205" spans="1:10" x14ac:dyDescent="0.3">
      <c r="A1205">
        <v>101</v>
      </c>
      <c r="B1205">
        <v>13208023</v>
      </c>
      <c r="C1205" t="s">
        <v>2869</v>
      </c>
      <c r="D1205" t="s">
        <v>2870</v>
      </c>
      <c r="E1205" t="s">
        <v>2871</v>
      </c>
      <c r="F1205" t="s">
        <v>7</v>
      </c>
      <c r="G1205" t="s">
        <v>15</v>
      </c>
      <c r="H1205">
        <v>42000000</v>
      </c>
      <c r="I1205">
        <v>6.4</v>
      </c>
      <c r="J1205" t="s">
        <v>8491</v>
      </c>
    </row>
    <row r="1206" spans="1:10" x14ac:dyDescent="0.3">
      <c r="A1206">
        <v>109</v>
      </c>
      <c r="B1206">
        <v>13838130</v>
      </c>
      <c r="C1206" t="s">
        <v>783</v>
      </c>
      <c r="D1206" t="s">
        <v>2872</v>
      </c>
      <c r="E1206" t="s">
        <v>2873</v>
      </c>
      <c r="F1206" t="s">
        <v>7</v>
      </c>
      <c r="G1206" t="s">
        <v>8</v>
      </c>
      <c r="H1206">
        <v>40000000</v>
      </c>
      <c r="I1206">
        <v>6.4</v>
      </c>
      <c r="J1206" t="s">
        <v>8844</v>
      </c>
    </row>
    <row r="1207" spans="1:10" x14ac:dyDescent="0.3">
      <c r="A1207">
        <v>89</v>
      </c>
      <c r="B1207">
        <v>9652000</v>
      </c>
      <c r="C1207" t="s">
        <v>668</v>
      </c>
      <c r="D1207" t="s">
        <v>2874</v>
      </c>
      <c r="E1207" t="s">
        <v>2875</v>
      </c>
      <c r="F1207" t="s">
        <v>7</v>
      </c>
      <c r="G1207" t="s">
        <v>8</v>
      </c>
      <c r="H1207">
        <v>40000000</v>
      </c>
      <c r="I1207">
        <v>6.1</v>
      </c>
      <c r="J1207" t="s">
        <v>8456</v>
      </c>
    </row>
    <row r="1208" spans="1:10" x14ac:dyDescent="0.3">
      <c r="A1208">
        <v>119</v>
      </c>
      <c r="B1208">
        <v>7000000</v>
      </c>
      <c r="C1208" t="s">
        <v>263</v>
      </c>
      <c r="D1208" t="s">
        <v>2876</v>
      </c>
      <c r="E1208" t="s">
        <v>2877</v>
      </c>
      <c r="F1208" t="s">
        <v>7</v>
      </c>
      <c r="G1208" t="s">
        <v>15</v>
      </c>
      <c r="H1208">
        <v>36000000</v>
      </c>
      <c r="I1208">
        <v>6.1</v>
      </c>
      <c r="J1208" t="s">
        <v>8552</v>
      </c>
    </row>
    <row r="1209" spans="1:10" x14ac:dyDescent="0.3">
      <c r="A1209">
        <v>83</v>
      </c>
      <c r="B1209">
        <v>10431220</v>
      </c>
      <c r="C1209" t="s">
        <v>237</v>
      </c>
      <c r="D1209" t="s">
        <v>2878</v>
      </c>
      <c r="E1209" t="s">
        <v>2879</v>
      </c>
      <c r="F1209" t="s">
        <v>7</v>
      </c>
      <c r="G1209" t="s">
        <v>8</v>
      </c>
      <c r="H1209">
        <v>24000000</v>
      </c>
      <c r="I1209">
        <v>5.2</v>
      </c>
      <c r="J1209" t="s">
        <v>8845</v>
      </c>
    </row>
    <row r="1210" spans="1:10" x14ac:dyDescent="0.3">
      <c r="A1210">
        <v>108</v>
      </c>
      <c r="B1210">
        <v>10326062</v>
      </c>
      <c r="C1210" t="s">
        <v>2880</v>
      </c>
      <c r="D1210" t="s">
        <v>2881</v>
      </c>
      <c r="E1210" t="s">
        <v>2882</v>
      </c>
      <c r="F1210" t="s">
        <v>7</v>
      </c>
      <c r="G1210" t="s">
        <v>284</v>
      </c>
      <c r="H1210">
        <v>33000000</v>
      </c>
      <c r="I1210">
        <v>7.7</v>
      </c>
      <c r="J1210" t="s">
        <v>8347</v>
      </c>
    </row>
    <row r="1211" spans="1:10" x14ac:dyDescent="0.3">
      <c r="A1211">
        <v>102</v>
      </c>
      <c r="B1211">
        <v>6114237</v>
      </c>
      <c r="C1211" t="s">
        <v>909</v>
      </c>
      <c r="D1211" t="s">
        <v>2883</v>
      </c>
      <c r="E1211" t="s">
        <v>2884</v>
      </c>
      <c r="F1211" t="s">
        <v>7</v>
      </c>
      <c r="G1211" t="s">
        <v>8</v>
      </c>
      <c r="H1211">
        <v>40000000</v>
      </c>
      <c r="I1211">
        <v>7.3</v>
      </c>
      <c r="J1211" t="s">
        <v>8786</v>
      </c>
    </row>
    <row r="1212" spans="1:10" x14ac:dyDescent="0.3">
      <c r="A1212">
        <v>93</v>
      </c>
      <c r="B1212">
        <v>4835968</v>
      </c>
      <c r="C1212" t="s">
        <v>12</v>
      </c>
      <c r="D1212" t="s">
        <v>2885</v>
      </c>
      <c r="E1212" t="s">
        <v>2886</v>
      </c>
      <c r="F1212" t="s">
        <v>7</v>
      </c>
      <c r="G1212" t="s">
        <v>15</v>
      </c>
      <c r="H1212">
        <v>40000000</v>
      </c>
      <c r="I1212">
        <v>6.9</v>
      </c>
      <c r="J1212" t="s">
        <v>8737</v>
      </c>
    </row>
    <row r="1213" spans="1:10" x14ac:dyDescent="0.3">
      <c r="A1213">
        <v>84</v>
      </c>
      <c r="B1213">
        <v>4777007</v>
      </c>
      <c r="C1213" t="s">
        <v>2887</v>
      </c>
      <c r="D1213" t="s">
        <v>2888</v>
      </c>
      <c r="E1213" t="s">
        <v>2889</v>
      </c>
      <c r="F1213" t="s">
        <v>7</v>
      </c>
      <c r="G1213" t="s">
        <v>583</v>
      </c>
      <c r="H1213">
        <v>40000000</v>
      </c>
      <c r="I1213">
        <v>8.5</v>
      </c>
      <c r="J1213" t="s">
        <v>8297</v>
      </c>
    </row>
    <row r="1214" spans="1:10" x14ac:dyDescent="0.3">
      <c r="A1214">
        <v>107</v>
      </c>
      <c r="B1214">
        <v>3675072</v>
      </c>
      <c r="C1214" t="s">
        <v>454</v>
      </c>
      <c r="D1214" t="s">
        <v>2890</v>
      </c>
      <c r="E1214" t="s">
        <v>2891</v>
      </c>
      <c r="F1214" t="s">
        <v>7</v>
      </c>
      <c r="G1214" t="s">
        <v>15</v>
      </c>
      <c r="H1214">
        <v>26000000</v>
      </c>
      <c r="I1214">
        <v>6.3</v>
      </c>
      <c r="J1214" t="s">
        <v>8688</v>
      </c>
    </row>
    <row r="1215" spans="1:10" x14ac:dyDescent="0.3">
      <c r="A1215">
        <v>91</v>
      </c>
      <c r="B1215">
        <v>18438149</v>
      </c>
      <c r="C1215" t="s">
        <v>1040</v>
      </c>
      <c r="D1215" t="s">
        <v>2892</v>
      </c>
      <c r="E1215" t="s">
        <v>2893</v>
      </c>
      <c r="F1215" t="s">
        <v>7</v>
      </c>
      <c r="G1215" t="s">
        <v>8</v>
      </c>
      <c r="H1215">
        <v>40000000</v>
      </c>
      <c r="I1215">
        <v>5.9</v>
      </c>
      <c r="J1215" t="s">
        <v>8846</v>
      </c>
    </row>
    <row r="1216" spans="1:10" x14ac:dyDescent="0.3">
      <c r="A1216">
        <v>94</v>
      </c>
      <c r="B1216">
        <v>511920</v>
      </c>
      <c r="C1216" t="s">
        <v>2894</v>
      </c>
      <c r="D1216" t="s">
        <v>2895</v>
      </c>
      <c r="E1216" t="s">
        <v>2896</v>
      </c>
      <c r="F1216" t="s">
        <v>7</v>
      </c>
      <c r="G1216" t="s">
        <v>8</v>
      </c>
      <c r="H1216">
        <v>40000000</v>
      </c>
      <c r="I1216">
        <v>7.8</v>
      </c>
      <c r="J1216" t="s">
        <v>8582</v>
      </c>
    </row>
    <row r="1217" spans="1:10" x14ac:dyDescent="0.3">
      <c r="A1217">
        <v>115</v>
      </c>
      <c r="B1217">
        <v>10640645</v>
      </c>
      <c r="C1217" t="s">
        <v>436</v>
      </c>
      <c r="D1217" t="s">
        <v>2897</v>
      </c>
      <c r="E1217" t="s">
        <v>2898</v>
      </c>
      <c r="F1217" t="s">
        <v>7</v>
      </c>
      <c r="G1217" t="s">
        <v>8</v>
      </c>
      <c r="H1217">
        <v>40000000</v>
      </c>
      <c r="I1217">
        <v>6.7</v>
      </c>
      <c r="J1217" t="s">
        <v>8826</v>
      </c>
    </row>
    <row r="1218" spans="1:10" x14ac:dyDescent="0.3">
      <c r="A1218">
        <v>93</v>
      </c>
      <c r="B1218">
        <v>652526</v>
      </c>
      <c r="C1218" t="s">
        <v>2899</v>
      </c>
      <c r="D1218" t="s">
        <v>2900</v>
      </c>
      <c r="E1218" t="s">
        <v>2901</v>
      </c>
      <c r="F1218" t="s">
        <v>7</v>
      </c>
      <c r="G1218" t="s">
        <v>284</v>
      </c>
      <c r="H1218">
        <v>40000000</v>
      </c>
      <c r="I1218">
        <v>6.4</v>
      </c>
      <c r="J1218" t="s">
        <v>8847</v>
      </c>
    </row>
    <row r="1219" spans="1:10" x14ac:dyDescent="0.3">
      <c r="A1219">
        <v>105</v>
      </c>
      <c r="B1219">
        <v>80050171</v>
      </c>
      <c r="C1219" t="s">
        <v>780</v>
      </c>
      <c r="D1219" t="s">
        <v>2902</v>
      </c>
      <c r="E1219" t="s">
        <v>2903</v>
      </c>
      <c r="F1219" t="s">
        <v>7</v>
      </c>
      <c r="G1219" t="s">
        <v>8</v>
      </c>
      <c r="H1219">
        <v>20000000</v>
      </c>
      <c r="I1219">
        <v>5.9</v>
      </c>
      <c r="J1219" t="s">
        <v>8539</v>
      </c>
    </row>
    <row r="1220" spans="1:10" x14ac:dyDescent="0.3">
      <c r="A1220">
        <v>107</v>
      </c>
      <c r="B1220">
        <v>7564000</v>
      </c>
      <c r="C1220" t="s">
        <v>2226</v>
      </c>
      <c r="D1220" t="s">
        <v>2904</v>
      </c>
      <c r="E1220" t="s">
        <v>2905</v>
      </c>
      <c r="F1220" t="s">
        <v>7</v>
      </c>
      <c r="G1220" t="s">
        <v>8</v>
      </c>
      <c r="H1220">
        <v>20000000</v>
      </c>
      <c r="I1220">
        <v>6.6</v>
      </c>
      <c r="J1220" t="s">
        <v>8680</v>
      </c>
    </row>
    <row r="1221" spans="1:10" x14ac:dyDescent="0.3">
      <c r="A1221">
        <v>101</v>
      </c>
      <c r="B1221">
        <v>876671</v>
      </c>
      <c r="C1221" t="s">
        <v>2906</v>
      </c>
      <c r="D1221" t="s">
        <v>2907</v>
      </c>
      <c r="E1221" t="s">
        <v>2908</v>
      </c>
      <c r="F1221" t="s">
        <v>7</v>
      </c>
      <c r="G1221" t="s">
        <v>8</v>
      </c>
      <c r="H1221">
        <v>25000000</v>
      </c>
      <c r="I1221">
        <v>6.8</v>
      </c>
      <c r="J1221" t="s">
        <v>8848</v>
      </c>
    </row>
    <row r="1222" spans="1:10" x14ac:dyDescent="0.3">
      <c r="A1222">
        <v>111</v>
      </c>
      <c r="B1222">
        <v>2869369</v>
      </c>
      <c r="C1222" t="s">
        <v>1149</v>
      </c>
      <c r="D1222" t="s">
        <v>2909</v>
      </c>
      <c r="E1222" t="s">
        <v>2910</v>
      </c>
      <c r="F1222" t="s">
        <v>7</v>
      </c>
      <c r="G1222" t="s">
        <v>15</v>
      </c>
      <c r="H1222">
        <v>30000000</v>
      </c>
      <c r="I1222">
        <v>6.5</v>
      </c>
      <c r="J1222" t="s">
        <v>8679</v>
      </c>
    </row>
    <row r="1223" spans="1:10" x14ac:dyDescent="0.3">
      <c r="A1223">
        <v>113</v>
      </c>
      <c r="B1223">
        <v>128978</v>
      </c>
      <c r="C1223" t="s">
        <v>276</v>
      </c>
      <c r="D1223" t="s">
        <v>2911</v>
      </c>
      <c r="E1223" t="s">
        <v>2912</v>
      </c>
      <c r="F1223" t="s">
        <v>792</v>
      </c>
      <c r="G1223" t="s">
        <v>1607</v>
      </c>
      <c r="H1223">
        <v>40000000</v>
      </c>
      <c r="I1223">
        <v>6.6</v>
      </c>
      <c r="J1223" t="s">
        <v>8849</v>
      </c>
    </row>
    <row r="1224" spans="1:10" x14ac:dyDescent="0.3">
      <c r="A1224">
        <v>112</v>
      </c>
      <c r="B1224">
        <v>77231</v>
      </c>
      <c r="C1224" t="s">
        <v>799</v>
      </c>
      <c r="D1224" t="s">
        <v>2913</v>
      </c>
      <c r="E1224" t="s">
        <v>2914</v>
      </c>
      <c r="F1224" t="s">
        <v>2915</v>
      </c>
      <c r="G1224" t="s">
        <v>583</v>
      </c>
      <c r="H1224">
        <v>25000000</v>
      </c>
      <c r="I1224">
        <v>5.8</v>
      </c>
      <c r="J1224" t="s">
        <v>8850</v>
      </c>
    </row>
    <row r="1225" spans="1:10" x14ac:dyDescent="0.3">
      <c r="A1225">
        <v>126</v>
      </c>
      <c r="B1225">
        <v>4563029</v>
      </c>
      <c r="C1225" t="s">
        <v>550</v>
      </c>
      <c r="D1225" t="s">
        <v>2916</v>
      </c>
      <c r="E1225" t="s">
        <v>2917</v>
      </c>
      <c r="F1225" t="s">
        <v>7</v>
      </c>
      <c r="G1225" t="s">
        <v>2387</v>
      </c>
      <c r="H1225">
        <v>39200000</v>
      </c>
      <c r="I1225">
        <v>6.9</v>
      </c>
      <c r="J1225" t="s">
        <v>8619</v>
      </c>
    </row>
    <row r="1226" spans="1:10" x14ac:dyDescent="0.3">
      <c r="A1226">
        <v>98</v>
      </c>
      <c r="B1226">
        <v>50693162</v>
      </c>
      <c r="C1226" t="s">
        <v>2918</v>
      </c>
      <c r="D1226" t="s">
        <v>2919</v>
      </c>
      <c r="E1226" t="s">
        <v>2920</v>
      </c>
      <c r="F1226" t="s">
        <v>7</v>
      </c>
      <c r="G1226" t="s">
        <v>8</v>
      </c>
      <c r="H1226">
        <v>23000000</v>
      </c>
      <c r="I1226">
        <v>7.1</v>
      </c>
      <c r="J1226" t="s">
        <v>8713</v>
      </c>
    </row>
    <row r="1227" spans="1:10" x14ac:dyDescent="0.3">
      <c r="A1227">
        <v>159</v>
      </c>
      <c r="B1227">
        <v>6498000</v>
      </c>
      <c r="C1227" t="s">
        <v>2921</v>
      </c>
      <c r="D1227" t="s">
        <v>2922</v>
      </c>
      <c r="E1227" t="s">
        <v>2923</v>
      </c>
      <c r="F1227" t="s">
        <v>2924</v>
      </c>
      <c r="G1227" t="s">
        <v>2355</v>
      </c>
      <c r="H1227">
        <v>18026148</v>
      </c>
      <c r="I1227">
        <v>5.8</v>
      </c>
      <c r="J1227" t="s">
        <v>8802</v>
      </c>
    </row>
    <row r="1228" spans="1:10" x14ac:dyDescent="0.3">
      <c r="A1228">
        <v>107</v>
      </c>
      <c r="B1228">
        <v>63411478</v>
      </c>
      <c r="C1228" t="s">
        <v>2925</v>
      </c>
      <c r="D1228" t="s">
        <v>2926</v>
      </c>
      <c r="E1228" t="s">
        <v>2927</v>
      </c>
      <c r="F1228" t="s">
        <v>7</v>
      </c>
      <c r="G1228" t="s">
        <v>8</v>
      </c>
      <c r="H1228">
        <v>39000000</v>
      </c>
      <c r="I1228">
        <v>7.2</v>
      </c>
      <c r="J1228" t="s">
        <v>8332</v>
      </c>
    </row>
    <row r="1229" spans="1:10" x14ac:dyDescent="0.3">
      <c r="A1229">
        <v>87</v>
      </c>
      <c r="B1229">
        <v>35287788</v>
      </c>
      <c r="C1229" t="s">
        <v>2928</v>
      </c>
      <c r="D1229" t="s">
        <v>2929</v>
      </c>
      <c r="E1229" t="s">
        <v>2930</v>
      </c>
      <c r="F1229" t="s">
        <v>7</v>
      </c>
      <c r="G1229" t="s">
        <v>8</v>
      </c>
      <c r="H1229">
        <v>39000000</v>
      </c>
      <c r="I1229">
        <v>6</v>
      </c>
      <c r="J1229" t="s">
        <v>8424</v>
      </c>
    </row>
    <row r="1230" spans="1:10" x14ac:dyDescent="0.3">
      <c r="A1230">
        <v>119</v>
      </c>
      <c r="B1230">
        <v>25335935</v>
      </c>
      <c r="C1230" t="s">
        <v>78</v>
      </c>
      <c r="D1230" t="s">
        <v>2931</v>
      </c>
      <c r="E1230" t="s">
        <v>2932</v>
      </c>
      <c r="F1230" t="s">
        <v>7</v>
      </c>
      <c r="G1230" t="s">
        <v>8</v>
      </c>
      <c r="H1230">
        <v>40000000</v>
      </c>
      <c r="I1230">
        <v>4.7</v>
      </c>
      <c r="J1230" t="s">
        <v>8851</v>
      </c>
    </row>
    <row r="1231" spans="1:10" x14ac:dyDescent="0.3">
      <c r="A1231">
        <v>110</v>
      </c>
      <c r="B1231">
        <v>5881504</v>
      </c>
      <c r="C1231" t="s">
        <v>2933</v>
      </c>
      <c r="D1231" t="s">
        <v>2934</v>
      </c>
      <c r="E1231" t="s">
        <v>2935</v>
      </c>
      <c r="F1231" t="s">
        <v>7</v>
      </c>
      <c r="G1231" t="s">
        <v>8</v>
      </c>
      <c r="H1231">
        <v>39000000</v>
      </c>
      <c r="I1231">
        <v>5.2</v>
      </c>
      <c r="J1231" t="s">
        <v>8665</v>
      </c>
    </row>
    <row r="1232" spans="1:10" x14ac:dyDescent="0.3">
      <c r="A1232">
        <v>125</v>
      </c>
      <c r="B1232">
        <v>60000000</v>
      </c>
      <c r="C1232" t="s">
        <v>772</v>
      </c>
      <c r="D1232" t="s">
        <v>2936</v>
      </c>
      <c r="E1232" t="s">
        <v>2937</v>
      </c>
      <c r="F1232" t="s">
        <v>7</v>
      </c>
      <c r="G1232" t="s">
        <v>15</v>
      </c>
      <c r="H1232">
        <v>39000000</v>
      </c>
      <c r="I1232">
        <v>5.5</v>
      </c>
      <c r="J1232" t="s">
        <v>8852</v>
      </c>
    </row>
    <row r="1233" spans="1:10" x14ac:dyDescent="0.3">
      <c r="A1233">
        <v>113</v>
      </c>
      <c r="B1233">
        <v>29802761</v>
      </c>
      <c r="C1233" t="s">
        <v>1632</v>
      </c>
      <c r="D1233" t="s">
        <v>2938</v>
      </c>
      <c r="E1233" t="s">
        <v>2939</v>
      </c>
      <c r="F1233" t="s">
        <v>7</v>
      </c>
      <c r="G1233" t="s">
        <v>8</v>
      </c>
      <c r="H1233">
        <v>40000000</v>
      </c>
      <c r="I1233">
        <v>6.5</v>
      </c>
      <c r="J1233" t="s">
        <v>8640</v>
      </c>
    </row>
    <row r="1234" spans="1:10" x14ac:dyDescent="0.3">
      <c r="A1234">
        <v>150</v>
      </c>
      <c r="B1234">
        <v>626809</v>
      </c>
      <c r="C1234" t="s">
        <v>425</v>
      </c>
      <c r="D1234" t="s">
        <v>2940</v>
      </c>
      <c r="E1234" t="s">
        <v>2941</v>
      </c>
      <c r="F1234" t="s">
        <v>792</v>
      </c>
      <c r="G1234" t="s">
        <v>339</v>
      </c>
      <c r="H1234">
        <v>553632000</v>
      </c>
      <c r="I1234">
        <v>7</v>
      </c>
      <c r="J1234" t="s">
        <v>8853</v>
      </c>
    </row>
    <row r="1235" spans="1:10" x14ac:dyDescent="0.3">
      <c r="A1235">
        <v>108</v>
      </c>
      <c r="B1235">
        <v>127214072</v>
      </c>
      <c r="C1235" t="s">
        <v>672</v>
      </c>
      <c r="D1235" t="s">
        <v>2942</v>
      </c>
      <c r="E1235" t="s">
        <v>2943</v>
      </c>
      <c r="F1235" t="s">
        <v>7</v>
      </c>
      <c r="G1235" t="s">
        <v>8</v>
      </c>
      <c r="H1235">
        <v>38000000</v>
      </c>
      <c r="I1235">
        <v>5.8</v>
      </c>
      <c r="J1235" t="s">
        <v>8837</v>
      </c>
    </row>
    <row r="1236" spans="1:10" x14ac:dyDescent="0.3">
      <c r="A1236">
        <v>96</v>
      </c>
      <c r="B1236">
        <v>88915214</v>
      </c>
      <c r="C1236" t="s">
        <v>672</v>
      </c>
      <c r="D1236" t="s">
        <v>2944</v>
      </c>
      <c r="E1236" t="s">
        <v>2945</v>
      </c>
      <c r="F1236" t="s">
        <v>7</v>
      </c>
      <c r="G1236" t="s">
        <v>8</v>
      </c>
      <c r="H1236">
        <v>38000000</v>
      </c>
      <c r="I1236">
        <v>6.2</v>
      </c>
      <c r="J1236" t="s">
        <v>8841</v>
      </c>
    </row>
    <row r="1237" spans="1:10" x14ac:dyDescent="0.3">
      <c r="A1237">
        <v>93</v>
      </c>
      <c r="B1237">
        <v>30400000</v>
      </c>
      <c r="C1237" t="s">
        <v>668</v>
      </c>
      <c r="D1237" t="s">
        <v>2946</v>
      </c>
      <c r="E1237" t="s">
        <v>2947</v>
      </c>
      <c r="F1237" t="s">
        <v>7</v>
      </c>
      <c r="G1237" t="s">
        <v>8</v>
      </c>
      <c r="H1237">
        <v>39000000</v>
      </c>
      <c r="I1237">
        <v>6.5</v>
      </c>
      <c r="J1237" t="s">
        <v>8426</v>
      </c>
    </row>
    <row r="1238" spans="1:10" x14ac:dyDescent="0.3">
      <c r="A1238">
        <v>100</v>
      </c>
      <c r="B1238">
        <v>85570368</v>
      </c>
      <c r="C1238" t="s">
        <v>1252</v>
      </c>
      <c r="D1238" t="s">
        <v>2948</v>
      </c>
      <c r="E1238" t="s">
        <v>2949</v>
      </c>
      <c r="F1238" t="s">
        <v>7</v>
      </c>
      <c r="G1238" t="s">
        <v>8</v>
      </c>
      <c r="H1238">
        <v>38000000</v>
      </c>
      <c r="I1238">
        <v>7.2</v>
      </c>
      <c r="J1238" t="s">
        <v>8372</v>
      </c>
    </row>
    <row r="1239" spans="1:10" x14ac:dyDescent="0.3">
      <c r="A1239">
        <v>118</v>
      </c>
      <c r="B1239">
        <v>75668868</v>
      </c>
      <c r="C1239" t="s">
        <v>633</v>
      </c>
      <c r="D1239" t="s">
        <v>2950</v>
      </c>
      <c r="E1239" t="s">
        <v>2951</v>
      </c>
      <c r="F1239" t="s">
        <v>7</v>
      </c>
      <c r="G1239" t="s">
        <v>8</v>
      </c>
      <c r="H1239">
        <v>35000000</v>
      </c>
      <c r="I1239">
        <v>5.0999999999999996</v>
      </c>
      <c r="J1239" t="s">
        <v>8854</v>
      </c>
    </row>
    <row r="1240" spans="1:10" x14ac:dyDescent="0.3">
      <c r="A1240">
        <v>122</v>
      </c>
      <c r="B1240">
        <v>6594136</v>
      </c>
      <c r="C1240" t="s">
        <v>2952</v>
      </c>
      <c r="D1240" t="s">
        <v>2953</v>
      </c>
      <c r="E1240" t="s">
        <v>2954</v>
      </c>
      <c r="F1240" t="s">
        <v>792</v>
      </c>
      <c r="G1240" t="s">
        <v>1607</v>
      </c>
      <c r="H1240">
        <v>38600000</v>
      </c>
      <c r="I1240">
        <v>4.7</v>
      </c>
      <c r="J1240" t="s">
        <v>8855</v>
      </c>
    </row>
    <row r="1241" spans="1:10" x14ac:dyDescent="0.3">
      <c r="A1241">
        <v>120</v>
      </c>
      <c r="B1241">
        <v>58700247</v>
      </c>
      <c r="C1241" t="s">
        <v>73</v>
      </c>
      <c r="D1241" t="s">
        <v>2955</v>
      </c>
      <c r="E1241" t="s">
        <v>2956</v>
      </c>
      <c r="F1241" t="s">
        <v>7</v>
      </c>
      <c r="G1241" t="s">
        <v>8</v>
      </c>
      <c r="H1241">
        <v>38000000</v>
      </c>
      <c r="I1241">
        <v>5.9</v>
      </c>
      <c r="J1241" t="s">
        <v>8751</v>
      </c>
    </row>
    <row r="1242" spans="1:10" x14ac:dyDescent="0.3">
      <c r="A1242">
        <v>146</v>
      </c>
      <c r="B1242">
        <v>50668906</v>
      </c>
      <c r="C1242" t="s">
        <v>653</v>
      </c>
      <c r="D1242" t="s">
        <v>2957</v>
      </c>
      <c r="E1242" t="s">
        <v>2958</v>
      </c>
      <c r="F1242" t="s">
        <v>7</v>
      </c>
      <c r="G1242" t="s">
        <v>8</v>
      </c>
      <c r="H1242">
        <v>38000000</v>
      </c>
      <c r="I1242">
        <v>5.8</v>
      </c>
      <c r="J1242" t="s">
        <v>8856</v>
      </c>
    </row>
    <row r="1243" spans="1:10" x14ac:dyDescent="0.3">
      <c r="A1243">
        <v>115</v>
      </c>
      <c r="B1243">
        <v>39177215</v>
      </c>
      <c r="C1243" t="s">
        <v>873</v>
      </c>
      <c r="D1243" t="s">
        <v>2959</v>
      </c>
      <c r="E1243" t="s">
        <v>2960</v>
      </c>
      <c r="F1243" t="s">
        <v>7</v>
      </c>
      <c r="G1243" t="s">
        <v>8</v>
      </c>
      <c r="H1243">
        <v>38000000</v>
      </c>
      <c r="I1243">
        <v>7.2</v>
      </c>
      <c r="J1243" t="s">
        <v>8530</v>
      </c>
    </row>
    <row r="1244" spans="1:10" x14ac:dyDescent="0.3">
      <c r="A1244">
        <v>123</v>
      </c>
      <c r="B1244">
        <v>40334024</v>
      </c>
      <c r="C1244" t="s">
        <v>1782</v>
      </c>
      <c r="D1244" t="s">
        <v>2961</v>
      </c>
      <c r="E1244" t="s">
        <v>2962</v>
      </c>
      <c r="F1244" t="s">
        <v>7</v>
      </c>
      <c r="G1244" t="s">
        <v>8</v>
      </c>
      <c r="H1244">
        <v>35000000</v>
      </c>
      <c r="I1244">
        <v>6.2</v>
      </c>
      <c r="J1244" t="s">
        <v>8600</v>
      </c>
    </row>
    <row r="1245" spans="1:10" x14ac:dyDescent="0.3">
      <c r="A1245">
        <v>102</v>
      </c>
      <c r="B1245">
        <v>24044532</v>
      </c>
      <c r="C1245" t="s">
        <v>73</v>
      </c>
      <c r="D1245" t="s">
        <v>2963</v>
      </c>
      <c r="E1245" t="s">
        <v>2964</v>
      </c>
      <c r="F1245" t="s">
        <v>7</v>
      </c>
      <c r="G1245" t="s">
        <v>8</v>
      </c>
      <c r="H1245">
        <v>38000000</v>
      </c>
      <c r="I1245">
        <v>5.7</v>
      </c>
      <c r="J1245" t="s">
        <v>8547</v>
      </c>
    </row>
    <row r="1246" spans="1:10" x14ac:dyDescent="0.3">
      <c r="A1246">
        <v>98</v>
      </c>
      <c r="B1246">
        <v>22770864</v>
      </c>
      <c r="C1246" t="s">
        <v>1040</v>
      </c>
      <c r="D1246" t="s">
        <v>2965</v>
      </c>
      <c r="E1246" t="s">
        <v>2966</v>
      </c>
      <c r="F1246" t="s">
        <v>7</v>
      </c>
      <c r="G1246" t="s">
        <v>8</v>
      </c>
      <c r="H1246">
        <v>38000000</v>
      </c>
      <c r="I1246">
        <v>6.1</v>
      </c>
      <c r="J1246" t="s">
        <v>8607</v>
      </c>
    </row>
    <row r="1247" spans="1:10" x14ac:dyDescent="0.3">
      <c r="A1247">
        <v>133</v>
      </c>
      <c r="B1247">
        <v>18653746</v>
      </c>
      <c r="C1247" t="s">
        <v>321</v>
      </c>
      <c r="D1247" t="s">
        <v>2967</v>
      </c>
      <c r="E1247" t="s">
        <v>2968</v>
      </c>
      <c r="F1247" t="s">
        <v>7</v>
      </c>
      <c r="G1247" t="s">
        <v>1488</v>
      </c>
      <c r="H1247">
        <v>38000000</v>
      </c>
      <c r="I1247">
        <v>6</v>
      </c>
      <c r="J1247" t="s">
        <v>8796</v>
      </c>
    </row>
    <row r="1248" spans="1:10" x14ac:dyDescent="0.3">
      <c r="A1248">
        <v>118</v>
      </c>
      <c r="B1248">
        <v>17305211</v>
      </c>
      <c r="C1248" t="s">
        <v>882</v>
      </c>
      <c r="D1248" t="s">
        <v>2969</v>
      </c>
      <c r="E1248" t="s">
        <v>2970</v>
      </c>
      <c r="F1248" t="s">
        <v>7</v>
      </c>
      <c r="G1248" t="s">
        <v>8</v>
      </c>
      <c r="H1248">
        <v>38000000</v>
      </c>
      <c r="I1248">
        <v>6.9</v>
      </c>
      <c r="J1248" t="s">
        <v>8857</v>
      </c>
    </row>
    <row r="1249" spans="1:10" x14ac:dyDescent="0.3">
      <c r="A1249">
        <v>105</v>
      </c>
      <c r="B1249">
        <v>16991902</v>
      </c>
      <c r="C1249" t="s">
        <v>2605</v>
      </c>
      <c r="D1249" t="s">
        <v>2971</v>
      </c>
      <c r="E1249" t="s">
        <v>2972</v>
      </c>
      <c r="F1249" t="s">
        <v>7</v>
      </c>
      <c r="G1249" t="s">
        <v>8</v>
      </c>
      <c r="H1249">
        <v>57000000</v>
      </c>
      <c r="I1249">
        <v>6.5</v>
      </c>
      <c r="J1249" t="s">
        <v>8791</v>
      </c>
    </row>
    <row r="1250" spans="1:10" x14ac:dyDescent="0.3">
      <c r="A1250">
        <v>109</v>
      </c>
      <c r="B1250">
        <v>47536959</v>
      </c>
      <c r="C1250" t="s">
        <v>1417</v>
      </c>
      <c r="D1250" t="s">
        <v>2973</v>
      </c>
      <c r="E1250" t="s">
        <v>2974</v>
      </c>
      <c r="F1250" t="s">
        <v>7</v>
      </c>
      <c r="G1250" t="s">
        <v>8</v>
      </c>
      <c r="H1250">
        <v>10000000</v>
      </c>
      <c r="I1250">
        <v>5</v>
      </c>
      <c r="J1250" t="s">
        <v>8767</v>
      </c>
    </row>
    <row r="1251" spans="1:10" x14ac:dyDescent="0.3">
      <c r="A1251">
        <v>129</v>
      </c>
      <c r="B1251">
        <v>10300000</v>
      </c>
      <c r="C1251" t="s">
        <v>2975</v>
      </c>
      <c r="D1251" t="s">
        <v>2976</v>
      </c>
      <c r="E1251" t="s">
        <v>2977</v>
      </c>
      <c r="F1251" t="s">
        <v>7</v>
      </c>
      <c r="G1251" t="s">
        <v>8</v>
      </c>
      <c r="H1251">
        <v>38000000</v>
      </c>
      <c r="I1251">
        <v>5.7</v>
      </c>
      <c r="J1251" t="s">
        <v>8858</v>
      </c>
    </row>
    <row r="1252" spans="1:10" x14ac:dyDescent="0.3">
      <c r="A1252">
        <v>109</v>
      </c>
      <c r="B1252">
        <v>13782838</v>
      </c>
      <c r="C1252" t="s">
        <v>2978</v>
      </c>
      <c r="D1252" t="s">
        <v>2979</v>
      </c>
      <c r="E1252" t="s">
        <v>2980</v>
      </c>
      <c r="F1252" t="s">
        <v>7</v>
      </c>
      <c r="G1252" t="s">
        <v>8</v>
      </c>
      <c r="H1252">
        <v>15000000</v>
      </c>
      <c r="I1252">
        <v>7</v>
      </c>
      <c r="J1252" t="s">
        <v>8419</v>
      </c>
    </row>
    <row r="1253" spans="1:10" x14ac:dyDescent="0.3">
      <c r="A1253">
        <v>127</v>
      </c>
      <c r="B1253">
        <v>41997790</v>
      </c>
      <c r="C1253" t="s">
        <v>1157</v>
      </c>
      <c r="D1253" t="s">
        <v>2981</v>
      </c>
      <c r="E1253" t="s">
        <v>2982</v>
      </c>
      <c r="F1253" t="s">
        <v>7</v>
      </c>
      <c r="G1253" t="s">
        <v>8</v>
      </c>
      <c r="H1253">
        <v>38000000</v>
      </c>
      <c r="I1253">
        <v>5.0999999999999996</v>
      </c>
      <c r="J1253" t="s">
        <v>8461</v>
      </c>
    </row>
    <row r="1254" spans="1:10" x14ac:dyDescent="0.3">
      <c r="A1254">
        <v>118</v>
      </c>
      <c r="B1254">
        <v>6482195</v>
      </c>
      <c r="C1254" t="s">
        <v>915</v>
      </c>
      <c r="D1254" t="s">
        <v>2983</v>
      </c>
      <c r="E1254" t="s">
        <v>2984</v>
      </c>
      <c r="F1254" t="s">
        <v>7</v>
      </c>
      <c r="G1254" t="s">
        <v>8</v>
      </c>
      <c r="H1254">
        <v>37000000</v>
      </c>
      <c r="I1254">
        <v>5.3</v>
      </c>
      <c r="J1254" t="s">
        <v>8693</v>
      </c>
    </row>
    <row r="1255" spans="1:10" x14ac:dyDescent="0.3">
      <c r="A1255">
        <v>110</v>
      </c>
      <c r="B1255">
        <v>623374</v>
      </c>
      <c r="C1255" t="s">
        <v>2985</v>
      </c>
      <c r="D1255" t="s">
        <v>2986</v>
      </c>
      <c r="E1255" t="s">
        <v>2987</v>
      </c>
      <c r="F1255" t="s">
        <v>7</v>
      </c>
      <c r="G1255" t="s">
        <v>8</v>
      </c>
      <c r="H1255">
        <v>38000000</v>
      </c>
      <c r="I1255">
        <v>4.4000000000000004</v>
      </c>
      <c r="J1255" t="s">
        <v>8700</v>
      </c>
    </row>
    <row r="1256" spans="1:10" x14ac:dyDescent="0.3">
      <c r="A1256">
        <v>90</v>
      </c>
      <c r="B1256">
        <v>7871693</v>
      </c>
      <c r="C1256" t="s">
        <v>2988</v>
      </c>
      <c r="D1256" t="s">
        <v>2989</v>
      </c>
      <c r="E1256" t="s">
        <v>2990</v>
      </c>
      <c r="F1256" t="s">
        <v>7</v>
      </c>
      <c r="G1256" t="s">
        <v>8</v>
      </c>
      <c r="H1256">
        <v>55000000</v>
      </c>
      <c r="I1256">
        <v>4.7</v>
      </c>
      <c r="J1256" t="s">
        <v>8470</v>
      </c>
    </row>
    <row r="1257" spans="1:10" x14ac:dyDescent="0.3">
      <c r="A1257">
        <v>144</v>
      </c>
      <c r="B1257">
        <v>16377274</v>
      </c>
      <c r="C1257" t="s">
        <v>1417</v>
      </c>
      <c r="D1257" t="s">
        <v>2991</v>
      </c>
      <c r="E1257" t="s">
        <v>2992</v>
      </c>
      <c r="F1257" t="s">
        <v>7</v>
      </c>
      <c r="G1257" t="s">
        <v>8</v>
      </c>
      <c r="H1257">
        <v>32000000</v>
      </c>
      <c r="I1257">
        <v>6.7</v>
      </c>
      <c r="J1257" t="s">
        <v>8859</v>
      </c>
    </row>
    <row r="1258" spans="1:10" x14ac:dyDescent="0.3">
      <c r="A1258">
        <v>130</v>
      </c>
      <c r="B1258">
        <v>9589875</v>
      </c>
      <c r="C1258" t="s">
        <v>653</v>
      </c>
      <c r="D1258" t="s">
        <v>2994</v>
      </c>
      <c r="E1258" t="s">
        <v>2995</v>
      </c>
      <c r="F1258" t="s">
        <v>7</v>
      </c>
      <c r="G1258" t="s">
        <v>8</v>
      </c>
      <c r="H1258">
        <v>40000000</v>
      </c>
      <c r="I1258">
        <v>6.7</v>
      </c>
      <c r="J1258" t="s">
        <v>8860</v>
      </c>
    </row>
    <row r="1259" spans="1:10" x14ac:dyDescent="0.3">
      <c r="A1259">
        <v>112</v>
      </c>
      <c r="B1259">
        <v>34912982</v>
      </c>
      <c r="C1259" t="s">
        <v>78</v>
      </c>
      <c r="D1259" t="s">
        <v>2996</v>
      </c>
      <c r="E1259" t="s">
        <v>2997</v>
      </c>
      <c r="F1259" t="s">
        <v>7</v>
      </c>
      <c r="G1259" t="s">
        <v>8</v>
      </c>
      <c r="H1259">
        <v>38000000</v>
      </c>
      <c r="I1259">
        <v>5.7</v>
      </c>
      <c r="J1259" t="s">
        <v>8542</v>
      </c>
    </row>
    <row r="1260" spans="1:10" x14ac:dyDescent="0.3">
      <c r="A1260">
        <v>133</v>
      </c>
      <c r="B1260">
        <v>109712885</v>
      </c>
      <c r="C1260" t="s">
        <v>1578</v>
      </c>
      <c r="D1260" t="s">
        <v>2998</v>
      </c>
      <c r="E1260" t="s">
        <v>2999</v>
      </c>
      <c r="F1260" t="s">
        <v>7</v>
      </c>
      <c r="G1260" t="s">
        <v>8</v>
      </c>
      <c r="H1260">
        <v>35000000</v>
      </c>
      <c r="I1260">
        <v>7.4</v>
      </c>
      <c r="J1260" t="s">
        <v>8342</v>
      </c>
    </row>
    <row r="1261" spans="1:10" x14ac:dyDescent="0.3">
      <c r="A1261">
        <v>150</v>
      </c>
      <c r="B1261">
        <v>92173235</v>
      </c>
      <c r="C1261" t="s">
        <v>873</v>
      </c>
      <c r="D1261" t="s">
        <v>3000</v>
      </c>
      <c r="E1261" t="s">
        <v>3001</v>
      </c>
      <c r="F1261" t="s">
        <v>7</v>
      </c>
      <c r="G1261" t="s">
        <v>8</v>
      </c>
      <c r="H1261">
        <v>37000000</v>
      </c>
      <c r="I1261">
        <v>6.1</v>
      </c>
      <c r="J1261" t="s">
        <v>8780</v>
      </c>
    </row>
    <row r="1262" spans="1:10" x14ac:dyDescent="0.3">
      <c r="A1262">
        <v>110</v>
      </c>
      <c r="B1262">
        <v>41102171</v>
      </c>
      <c r="C1262" t="s">
        <v>561</v>
      </c>
      <c r="D1262" t="s">
        <v>3002</v>
      </c>
      <c r="E1262" t="s">
        <v>3003</v>
      </c>
      <c r="F1262" t="s">
        <v>7</v>
      </c>
      <c r="G1262" t="s">
        <v>8</v>
      </c>
      <c r="H1262">
        <v>40000000</v>
      </c>
      <c r="I1262">
        <v>6.4</v>
      </c>
      <c r="J1262" t="s">
        <v>8777</v>
      </c>
    </row>
    <row r="1263" spans="1:10" x14ac:dyDescent="0.3">
      <c r="A1263">
        <v>96</v>
      </c>
      <c r="B1263">
        <v>60338891</v>
      </c>
      <c r="C1263" t="s">
        <v>1040</v>
      </c>
      <c r="D1263" t="s">
        <v>3004</v>
      </c>
      <c r="E1263" t="s">
        <v>3005</v>
      </c>
      <c r="F1263" t="s">
        <v>7</v>
      </c>
      <c r="G1263" t="s">
        <v>8</v>
      </c>
      <c r="H1263">
        <v>37000000</v>
      </c>
      <c r="I1263">
        <v>6.2</v>
      </c>
      <c r="J1263" t="s">
        <v>8861</v>
      </c>
    </row>
    <row r="1264" spans="1:10" x14ac:dyDescent="0.3">
      <c r="A1264">
        <v>96</v>
      </c>
      <c r="B1264">
        <v>48006503</v>
      </c>
      <c r="C1264" t="s">
        <v>295</v>
      </c>
      <c r="D1264" t="s">
        <v>3006</v>
      </c>
      <c r="E1264" t="s">
        <v>3007</v>
      </c>
      <c r="F1264" t="s">
        <v>7</v>
      </c>
      <c r="G1264" t="s">
        <v>8</v>
      </c>
      <c r="H1264">
        <v>37000000</v>
      </c>
      <c r="I1264">
        <v>6.2</v>
      </c>
      <c r="J1264" t="s">
        <v>8602</v>
      </c>
    </row>
    <row r="1265" spans="1:10" x14ac:dyDescent="0.3">
      <c r="A1265">
        <v>123</v>
      </c>
      <c r="B1265">
        <v>26903709</v>
      </c>
      <c r="C1265" t="s">
        <v>3008</v>
      </c>
      <c r="D1265" t="s">
        <v>3009</v>
      </c>
      <c r="E1265" t="s">
        <v>3010</v>
      </c>
      <c r="F1265" t="s">
        <v>7</v>
      </c>
      <c r="G1265" t="s">
        <v>15</v>
      </c>
      <c r="H1265">
        <v>38000000</v>
      </c>
      <c r="I1265">
        <v>5.9</v>
      </c>
      <c r="J1265" t="s">
        <v>8862</v>
      </c>
    </row>
    <row r="1266" spans="1:10" x14ac:dyDescent="0.3">
      <c r="A1266">
        <v>188</v>
      </c>
      <c r="B1266">
        <v>22450975</v>
      </c>
      <c r="C1266" t="s">
        <v>1417</v>
      </c>
      <c r="D1266" t="s">
        <v>3011</v>
      </c>
      <c r="E1266" t="s">
        <v>3012</v>
      </c>
      <c r="F1266" t="s">
        <v>7</v>
      </c>
      <c r="G1266" t="s">
        <v>8</v>
      </c>
      <c r="H1266">
        <v>37000000</v>
      </c>
      <c r="I1266">
        <v>4</v>
      </c>
      <c r="J1266" t="s">
        <v>8863</v>
      </c>
    </row>
    <row r="1267" spans="1:10" x14ac:dyDescent="0.3">
      <c r="A1267">
        <v>107</v>
      </c>
      <c r="B1267">
        <v>44867349</v>
      </c>
      <c r="C1267" t="s">
        <v>704</v>
      </c>
      <c r="D1267" t="s">
        <v>3013</v>
      </c>
      <c r="E1267" t="s">
        <v>3014</v>
      </c>
      <c r="F1267" t="s">
        <v>7</v>
      </c>
      <c r="G1267" t="s">
        <v>8</v>
      </c>
      <c r="H1267">
        <v>37000000</v>
      </c>
      <c r="I1267">
        <v>6.2</v>
      </c>
      <c r="J1267" t="s">
        <v>8670</v>
      </c>
    </row>
    <row r="1268" spans="1:10" x14ac:dyDescent="0.3">
      <c r="A1268">
        <v>110</v>
      </c>
      <c r="B1268">
        <v>46813366</v>
      </c>
      <c r="C1268" t="s">
        <v>672</v>
      </c>
      <c r="D1268" t="s">
        <v>3015</v>
      </c>
      <c r="E1268" t="s">
        <v>3016</v>
      </c>
      <c r="F1268" t="s">
        <v>7</v>
      </c>
      <c r="G1268" t="s">
        <v>8</v>
      </c>
      <c r="H1268">
        <v>38000000</v>
      </c>
      <c r="I1268">
        <v>4.5999999999999996</v>
      </c>
      <c r="J1268" t="s">
        <v>8423</v>
      </c>
    </row>
    <row r="1269" spans="1:10" x14ac:dyDescent="0.3">
      <c r="A1269">
        <v>113</v>
      </c>
      <c r="B1269">
        <v>72279690</v>
      </c>
      <c r="C1269" t="s">
        <v>3017</v>
      </c>
      <c r="D1269" t="s">
        <v>3018</v>
      </c>
      <c r="E1269" t="s">
        <v>3019</v>
      </c>
      <c r="F1269" t="s">
        <v>7</v>
      </c>
      <c r="G1269" t="s">
        <v>8</v>
      </c>
      <c r="H1269">
        <v>37000000</v>
      </c>
      <c r="I1269">
        <v>6.4</v>
      </c>
      <c r="J1269" t="s">
        <v>8864</v>
      </c>
    </row>
    <row r="1270" spans="1:10" x14ac:dyDescent="0.3">
      <c r="A1270">
        <v>122</v>
      </c>
      <c r="B1270">
        <v>191449475</v>
      </c>
      <c r="C1270" t="s">
        <v>253</v>
      </c>
      <c r="D1270" t="s">
        <v>3020</v>
      </c>
      <c r="E1270" t="s">
        <v>3021</v>
      </c>
      <c r="F1270" t="s">
        <v>7</v>
      </c>
      <c r="G1270" t="s">
        <v>8</v>
      </c>
      <c r="H1270">
        <v>37000000</v>
      </c>
      <c r="I1270">
        <v>5.9</v>
      </c>
      <c r="J1270" t="s">
        <v>8759</v>
      </c>
    </row>
    <row r="1271" spans="1:10" x14ac:dyDescent="0.3">
      <c r="A1271">
        <v>116</v>
      </c>
      <c r="B1271">
        <v>71026631</v>
      </c>
      <c r="C1271" t="s">
        <v>873</v>
      </c>
      <c r="D1271" t="s">
        <v>3022</v>
      </c>
      <c r="E1271" t="s">
        <v>3023</v>
      </c>
      <c r="F1271" t="s">
        <v>7</v>
      </c>
      <c r="G1271" t="s">
        <v>8</v>
      </c>
      <c r="H1271">
        <v>36000000</v>
      </c>
      <c r="I1271">
        <v>5.0999999999999996</v>
      </c>
      <c r="J1271" t="s">
        <v>8865</v>
      </c>
    </row>
    <row r="1272" spans="1:10" x14ac:dyDescent="0.3">
      <c r="A1272">
        <v>93</v>
      </c>
      <c r="B1272">
        <v>68208190</v>
      </c>
      <c r="C1272" t="s">
        <v>148</v>
      </c>
      <c r="D1272" t="s">
        <v>3024</v>
      </c>
      <c r="E1272" t="s">
        <v>3025</v>
      </c>
      <c r="F1272" t="s">
        <v>7</v>
      </c>
      <c r="G1272" t="s">
        <v>8</v>
      </c>
      <c r="H1272">
        <v>65000000</v>
      </c>
      <c r="I1272">
        <v>7.6</v>
      </c>
      <c r="J1272" t="s">
        <v>8866</v>
      </c>
    </row>
    <row r="1273" spans="1:10" x14ac:dyDescent="0.3">
      <c r="A1273">
        <v>118</v>
      </c>
      <c r="B1273">
        <v>150368971</v>
      </c>
      <c r="C1273" t="s">
        <v>386</v>
      </c>
      <c r="D1273" t="s">
        <v>3026</v>
      </c>
      <c r="E1273" t="s">
        <v>3027</v>
      </c>
      <c r="F1273" t="s">
        <v>7</v>
      </c>
      <c r="G1273" t="s">
        <v>8</v>
      </c>
      <c r="H1273">
        <v>37000000</v>
      </c>
      <c r="I1273">
        <v>4.2</v>
      </c>
      <c r="J1273" t="s">
        <v>8867</v>
      </c>
    </row>
    <row r="1274" spans="1:10" x14ac:dyDescent="0.3">
      <c r="A1274">
        <v>93</v>
      </c>
      <c r="B1274">
        <v>50129186</v>
      </c>
      <c r="C1274" t="s">
        <v>436</v>
      </c>
      <c r="D1274" t="s">
        <v>3029</v>
      </c>
      <c r="E1274" t="s">
        <v>3030</v>
      </c>
      <c r="F1274" t="s">
        <v>7</v>
      </c>
      <c r="G1274" t="s">
        <v>8</v>
      </c>
      <c r="H1274">
        <v>36000000</v>
      </c>
      <c r="I1274">
        <v>7.8</v>
      </c>
      <c r="J1274" t="s">
        <v>8763</v>
      </c>
    </row>
    <row r="1275" spans="1:10" x14ac:dyDescent="0.3">
      <c r="A1275">
        <v>121</v>
      </c>
      <c r="B1275">
        <v>55500000</v>
      </c>
      <c r="C1275" t="s">
        <v>12</v>
      </c>
      <c r="D1275" t="s">
        <v>3031</v>
      </c>
      <c r="E1275" t="s">
        <v>3032</v>
      </c>
      <c r="F1275" t="s">
        <v>7</v>
      </c>
      <c r="G1275" t="s">
        <v>15</v>
      </c>
      <c r="H1275">
        <v>36000000</v>
      </c>
      <c r="I1275">
        <v>5.8</v>
      </c>
      <c r="J1275" t="s">
        <v>8685</v>
      </c>
    </row>
    <row r="1276" spans="1:10" x14ac:dyDescent="0.3">
      <c r="A1276">
        <v>101</v>
      </c>
      <c r="B1276">
        <v>50213619</v>
      </c>
      <c r="C1276" t="s">
        <v>2299</v>
      </c>
      <c r="D1276" t="s">
        <v>3033</v>
      </c>
      <c r="E1276" t="s">
        <v>3034</v>
      </c>
      <c r="F1276" t="s">
        <v>7</v>
      </c>
      <c r="G1276" t="s">
        <v>8</v>
      </c>
      <c r="H1276">
        <v>36000000</v>
      </c>
      <c r="I1276">
        <v>5.9</v>
      </c>
      <c r="J1276" t="s">
        <v>8762</v>
      </c>
    </row>
    <row r="1277" spans="1:10" x14ac:dyDescent="0.3">
      <c r="A1277">
        <v>107</v>
      </c>
      <c r="B1277">
        <v>42019483</v>
      </c>
      <c r="C1277" t="s">
        <v>3017</v>
      </c>
      <c r="D1277" t="s">
        <v>3035</v>
      </c>
      <c r="E1277" t="s">
        <v>3036</v>
      </c>
      <c r="F1277" t="s">
        <v>7</v>
      </c>
      <c r="G1277" t="s">
        <v>8</v>
      </c>
      <c r="H1277">
        <v>36000000</v>
      </c>
      <c r="I1277">
        <v>8.4</v>
      </c>
      <c r="J1277" t="s">
        <v>8658</v>
      </c>
    </row>
    <row r="1278" spans="1:10" x14ac:dyDescent="0.3">
      <c r="A1278">
        <v>124</v>
      </c>
      <c r="B1278">
        <v>23360779</v>
      </c>
      <c r="C1278" t="s">
        <v>3037</v>
      </c>
      <c r="D1278" t="s">
        <v>3038</v>
      </c>
      <c r="E1278" t="s">
        <v>3039</v>
      </c>
      <c r="F1278" t="s">
        <v>7</v>
      </c>
      <c r="G1278" t="s">
        <v>8</v>
      </c>
      <c r="H1278">
        <v>34000000</v>
      </c>
      <c r="I1278">
        <v>4.8</v>
      </c>
      <c r="J1278" t="s">
        <v>8868</v>
      </c>
    </row>
    <row r="1279" spans="1:10" x14ac:dyDescent="0.3">
      <c r="A1279">
        <v>109</v>
      </c>
      <c r="B1279">
        <v>26183197</v>
      </c>
      <c r="C1279" t="s">
        <v>164</v>
      </c>
      <c r="D1279" t="s">
        <v>3040</v>
      </c>
      <c r="E1279" t="s">
        <v>3041</v>
      </c>
      <c r="F1279" t="s">
        <v>7</v>
      </c>
      <c r="G1279" t="s">
        <v>8</v>
      </c>
      <c r="H1279">
        <v>36000000</v>
      </c>
      <c r="I1279">
        <v>6.2</v>
      </c>
      <c r="J1279" t="s">
        <v>8869</v>
      </c>
    </row>
    <row r="1280" spans="1:10" x14ac:dyDescent="0.3">
      <c r="A1280">
        <v>105</v>
      </c>
      <c r="B1280">
        <v>20991497</v>
      </c>
      <c r="C1280" t="s">
        <v>561</v>
      </c>
      <c r="D1280" t="s">
        <v>3042</v>
      </c>
      <c r="E1280" t="s">
        <v>3043</v>
      </c>
      <c r="F1280" t="s">
        <v>7</v>
      </c>
      <c r="G1280" t="s">
        <v>8</v>
      </c>
      <c r="H1280">
        <v>37000000</v>
      </c>
      <c r="I1280">
        <v>6.5</v>
      </c>
      <c r="J1280" t="s">
        <v>8840</v>
      </c>
    </row>
    <row r="1281" spans="1:10" x14ac:dyDescent="0.3">
      <c r="A1281">
        <v>130</v>
      </c>
      <c r="B1281">
        <v>13052741</v>
      </c>
      <c r="C1281" t="s">
        <v>2754</v>
      </c>
      <c r="D1281" t="s">
        <v>3044</v>
      </c>
      <c r="E1281" t="s">
        <v>3045</v>
      </c>
      <c r="F1281" t="s">
        <v>7</v>
      </c>
      <c r="G1281" t="s">
        <v>8</v>
      </c>
      <c r="H1281">
        <v>36000000</v>
      </c>
      <c r="I1281">
        <v>6.3</v>
      </c>
      <c r="J1281" t="s">
        <v>8870</v>
      </c>
    </row>
    <row r="1282" spans="1:10" x14ac:dyDescent="0.3">
      <c r="A1282">
        <v>127</v>
      </c>
      <c r="B1282">
        <v>14378353</v>
      </c>
      <c r="C1282" t="s">
        <v>1356</v>
      </c>
      <c r="D1282" t="s">
        <v>3046</v>
      </c>
      <c r="E1282" t="s">
        <v>3047</v>
      </c>
      <c r="F1282" t="s">
        <v>7</v>
      </c>
      <c r="G1282" t="s">
        <v>8</v>
      </c>
      <c r="H1282">
        <v>36000000</v>
      </c>
      <c r="I1282">
        <v>3.3</v>
      </c>
      <c r="J1282" t="s">
        <v>8871</v>
      </c>
    </row>
    <row r="1283" spans="1:10" x14ac:dyDescent="0.3">
      <c r="A1283">
        <v>114</v>
      </c>
      <c r="B1283">
        <v>33037754</v>
      </c>
      <c r="C1283" t="s">
        <v>2578</v>
      </c>
      <c r="D1283" t="s">
        <v>3048</v>
      </c>
      <c r="E1283" t="s">
        <v>3049</v>
      </c>
      <c r="F1283" t="s">
        <v>7</v>
      </c>
      <c r="G1283" t="s">
        <v>8</v>
      </c>
      <c r="H1283">
        <v>37000000</v>
      </c>
      <c r="I1283">
        <v>5.9</v>
      </c>
      <c r="J1283" t="s">
        <v>8459</v>
      </c>
    </row>
    <row r="1284" spans="1:10" x14ac:dyDescent="0.3">
      <c r="A1284">
        <v>106</v>
      </c>
      <c r="B1284">
        <v>12339633</v>
      </c>
      <c r="C1284" t="s">
        <v>1110</v>
      </c>
      <c r="D1284" t="s">
        <v>3050</v>
      </c>
      <c r="E1284" t="s">
        <v>3051</v>
      </c>
      <c r="F1284" t="s">
        <v>7</v>
      </c>
      <c r="G1284" t="s">
        <v>8</v>
      </c>
      <c r="H1284">
        <v>36000000</v>
      </c>
      <c r="I1284">
        <v>6</v>
      </c>
      <c r="J1284" t="s">
        <v>8817</v>
      </c>
    </row>
    <row r="1285" spans="1:10" x14ac:dyDescent="0.3">
      <c r="A1285">
        <v>95</v>
      </c>
      <c r="B1285">
        <v>2954405</v>
      </c>
      <c r="C1285" t="s">
        <v>3052</v>
      </c>
      <c r="D1285" t="s">
        <v>3053</v>
      </c>
      <c r="E1285" t="s">
        <v>3054</v>
      </c>
      <c r="F1285" t="s">
        <v>7</v>
      </c>
      <c r="G1285" t="s">
        <v>8</v>
      </c>
      <c r="H1285">
        <v>36000000</v>
      </c>
      <c r="I1285">
        <v>5.8</v>
      </c>
      <c r="J1285" t="s">
        <v>8771</v>
      </c>
    </row>
    <row r="1286" spans="1:10" x14ac:dyDescent="0.3">
      <c r="A1286">
        <v>81</v>
      </c>
      <c r="B1286">
        <v>30105968</v>
      </c>
      <c r="C1286" t="s">
        <v>227</v>
      </c>
      <c r="D1286" t="s">
        <v>3055</v>
      </c>
      <c r="E1286" t="s">
        <v>3056</v>
      </c>
      <c r="F1286" t="s">
        <v>7</v>
      </c>
      <c r="G1286" t="s">
        <v>8</v>
      </c>
      <c r="H1286">
        <v>37000000</v>
      </c>
      <c r="I1286">
        <v>6.5</v>
      </c>
      <c r="J1286" t="s">
        <v>8872</v>
      </c>
    </row>
    <row r="1287" spans="1:10" x14ac:dyDescent="0.3">
      <c r="A1287">
        <v>95</v>
      </c>
      <c r="B1287">
        <v>37788228</v>
      </c>
      <c r="C1287" t="s">
        <v>668</v>
      </c>
      <c r="D1287" t="s">
        <v>3057</v>
      </c>
      <c r="E1287" t="s">
        <v>3058</v>
      </c>
      <c r="F1287" t="s">
        <v>7</v>
      </c>
      <c r="G1287" t="s">
        <v>8</v>
      </c>
      <c r="H1287">
        <v>35200000</v>
      </c>
      <c r="I1287">
        <v>4.7</v>
      </c>
      <c r="J1287" t="s">
        <v>8873</v>
      </c>
    </row>
    <row r="1288" spans="1:10" x14ac:dyDescent="0.3">
      <c r="A1288">
        <v>108</v>
      </c>
      <c r="B1288">
        <v>277313371</v>
      </c>
      <c r="C1288" t="s">
        <v>668</v>
      </c>
      <c r="D1288" t="s">
        <v>3059</v>
      </c>
      <c r="E1288" t="s">
        <v>3060</v>
      </c>
      <c r="F1288" t="s">
        <v>7</v>
      </c>
      <c r="G1288" t="s">
        <v>8</v>
      </c>
      <c r="H1288">
        <v>35000000</v>
      </c>
      <c r="I1288">
        <v>4.0999999999999996</v>
      </c>
      <c r="J1288" t="s">
        <v>8874</v>
      </c>
    </row>
    <row r="1289" spans="1:10" x14ac:dyDescent="0.3">
      <c r="A1289">
        <v>105</v>
      </c>
      <c r="B1289">
        <v>2126511</v>
      </c>
      <c r="C1289" t="s">
        <v>3061</v>
      </c>
      <c r="D1289" t="s">
        <v>3062</v>
      </c>
      <c r="E1289" t="s">
        <v>3063</v>
      </c>
      <c r="F1289" t="s">
        <v>3064</v>
      </c>
      <c r="G1289" t="s">
        <v>1607</v>
      </c>
      <c r="H1289">
        <v>36000000</v>
      </c>
      <c r="I1289">
        <v>6.8</v>
      </c>
      <c r="J1289" t="s">
        <v>8875</v>
      </c>
    </row>
    <row r="1290" spans="1:10" x14ac:dyDescent="0.3">
      <c r="A1290">
        <v>95</v>
      </c>
      <c r="B1290">
        <v>205399422</v>
      </c>
      <c r="C1290" t="s">
        <v>542</v>
      </c>
      <c r="D1290" t="s">
        <v>3065</v>
      </c>
      <c r="E1290" t="s">
        <v>3066</v>
      </c>
      <c r="F1290" t="s">
        <v>7</v>
      </c>
      <c r="G1290" t="s">
        <v>8</v>
      </c>
      <c r="H1290">
        <v>33000000</v>
      </c>
      <c r="I1290">
        <v>6.2</v>
      </c>
      <c r="J1290" t="s">
        <v>8742</v>
      </c>
    </row>
    <row r="1291" spans="1:10" x14ac:dyDescent="0.3">
      <c r="A1291">
        <v>126</v>
      </c>
      <c r="B1291">
        <v>251188924</v>
      </c>
      <c r="C1291" t="s">
        <v>36</v>
      </c>
      <c r="D1291" t="s">
        <v>3067</v>
      </c>
      <c r="E1291" t="s">
        <v>3068</v>
      </c>
      <c r="F1291" t="s">
        <v>7</v>
      </c>
      <c r="G1291" t="s">
        <v>8</v>
      </c>
      <c r="H1291">
        <v>35000000</v>
      </c>
      <c r="I1291">
        <v>4.5</v>
      </c>
      <c r="J1291" t="s">
        <v>8858</v>
      </c>
    </row>
    <row r="1292" spans="1:10" x14ac:dyDescent="0.3">
      <c r="A1292">
        <v>102</v>
      </c>
      <c r="B1292">
        <v>1068392</v>
      </c>
      <c r="C1292" t="s">
        <v>3069</v>
      </c>
      <c r="D1292" t="s">
        <v>3070</v>
      </c>
      <c r="E1292" t="s">
        <v>3071</v>
      </c>
      <c r="F1292" t="s">
        <v>7</v>
      </c>
      <c r="G1292" t="s">
        <v>1488</v>
      </c>
      <c r="H1292">
        <v>36000000</v>
      </c>
      <c r="I1292">
        <v>5.8</v>
      </c>
      <c r="J1292" t="s">
        <v>8876</v>
      </c>
    </row>
    <row r="1293" spans="1:10" x14ac:dyDescent="0.3">
      <c r="A1293">
        <v>121</v>
      </c>
      <c r="B1293">
        <v>144731527</v>
      </c>
      <c r="C1293" t="s">
        <v>118</v>
      </c>
      <c r="D1293" t="s">
        <v>3072</v>
      </c>
      <c r="E1293" t="s">
        <v>3073</v>
      </c>
      <c r="F1293" t="s">
        <v>7</v>
      </c>
      <c r="G1293" t="s">
        <v>8</v>
      </c>
      <c r="H1293">
        <v>35000000</v>
      </c>
      <c r="I1293">
        <v>7.3</v>
      </c>
      <c r="J1293" t="s">
        <v>8757</v>
      </c>
    </row>
    <row r="1294" spans="1:10" x14ac:dyDescent="0.3">
      <c r="A1294">
        <v>129</v>
      </c>
      <c r="B1294">
        <v>255950375</v>
      </c>
      <c r="C1294" t="s">
        <v>653</v>
      </c>
      <c r="D1294" t="s">
        <v>3074</v>
      </c>
      <c r="E1294" t="s">
        <v>3075</v>
      </c>
      <c r="F1294" t="s">
        <v>7</v>
      </c>
      <c r="G1294" t="s">
        <v>8</v>
      </c>
      <c r="H1294">
        <v>29000000</v>
      </c>
      <c r="I1294">
        <v>5.9</v>
      </c>
      <c r="J1294" t="s">
        <v>8648</v>
      </c>
    </row>
    <row r="1295" spans="1:10" x14ac:dyDescent="0.3">
      <c r="A1295">
        <v>88</v>
      </c>
      <c r="B1295">
        <v>112692062</v>
      </c>
      <c r="C1295" t="s">
        <v>1252</v>
      </c>
      <c r="D1295" t="s">
        <v>3076</v>
      </c>
      <c r="E1295" t="s">
        <v>3077</v>
      </c>
      <c r="F1295" t="s">
        <v>7</v>
      </c>
      <c r="G1295" t="s">
        <v>8</v>
      </c>
      <c r="H1295">
        <v>35000000</v>
      </c>
      <c r="I1295">
        <v>4.4000000000000004</v>
      </c>
      <c r="J1295" t="s">
        <v>8877</v>
      </c>
    </row>
    <row r="1296" spans="1:10" x14ac:dyDescent="0.3">
      <c r="A1296">
        <v>106</v>
      </c>
      <c r="B1296">
        <v>117528646</v>
      </c>
      <c r="C1296" t="s">
        <v>386</v>
      </c>
      <c r="D1296" t="s">
        <v>3078</v>
      </c>
      <c r="E1296" t="s">
        <v>3079</v>
      </c>
      <c r="F1296" t="s">
        <v>7</v>
      </c>
      <c r="G1296" t="s">
        <v>8</v>
      </c>
      <c r="H1296">
        <v>35000000</v>
      </c>
      <c r="I1296">
        <v>5.8</v>
      </c>
      <c r="J1296" t="s">
        <v>8723</v>
      </c>
    </row>
    <row r="1297" spans="1:10" x14ac:dyDescent="0.3">
      <c r="A1297">
        <v>110</v>
      </c>
      <c r="B1297">
        <v>171031347</v>
      </c>
      <c r="C1297" t="s">
        <v>2536</v>
      </c>
      <c r="D1297" t="s">
        <v>3080</v>
      </c>
      <c r="E1297" t="s">
        <v>3081</v>
      </c>
      <c r="F1297" t="s">
        <v>7</v>
      </c>
      <c r="G1297" t="s">
        <v>8</v>
      </c>
      <c r="H1297">
        <v>38000000</v>
      </c>
      <c r="I1297">
        <v>5.0999999999999996</v>
      </c>
      <c r="J1297" t="s">
        <v>8878</v>
      </c>
    </row>
    <row r="1298" spans="1:10" x14ac:dyDescent="0.3">
      <c r="A1298">
        <v>109</v>
      </c>
      <c r="B1298">
        <v>124732962</v>
      </c>
      <c r="C1298" t="s">
        <v>561</v>
      </c>
      <c r="D1298" t="s">
        <v>3082</v>
      </c>
      <c r="E1298" t="s">
        <v>3083</v>
      </c>
      <c r="F1298" t="s">
        <v>7</v>
      </c>
      <c r="G1298" t="s">
        <v>8</v>
      </c>
      <c r="H1298">
        <v>35000000</v>
      </c>
      <c r="I1298">
        <v>6.9</v>
      </c>
      <c r="J1298" t="s">
        <v>8533</v>
      </c>
    </row>
    <row r="1299" spans="1:10" x14ac:dyDescent="0.3">
      <c r="A1299">
        <v>143</v>
      </c>
      <c r="B1299">
        <v>82300000</v>
      </c>
      <c r="C1299" t="s">
        <v>545</v>
      </c>
      <c r="D1299" t="s">
        <v>3084</v>
      </c>
      <c r="E1299" t="s">
        <v>3085</v>
      </c>
      <c r="F1299" t="s">
        <v>7</v>
      </c>
      <c r="G1299" t="s">
        <v>8</v>
      </c>
      <c r="H1299">
        <v>35000000</v>
      </c>
      <c r="I1299">
        <v>6.2</v>
      </c>
      <c r="J1299" t="s">
        <v>8679</v>
      </c>
    </row>
    <row r="1300" spans="1:10" x14ac:dyDescent="0.3">
      <c r="A1300">
        <v>120</v>
      </c>
      <c r="B1300">
        <v>134455175</v>
      </c>
      <c r="C1300" t="s">
        <v>386</v>
      </c>
      <c r="D1300" t="s">
        <v>3086</v>
      </c>
      <c r="E1300" t="s">
        <v>3087</v>
      </c>
      <c r="F1300" t="s">
        <v>7</v>
      </c>
      <c r="G1300" t="s">
        <v>8</v>
      </c>
      <c r="H1300">
        <v>35000000</v>
      </c>
      <c r="I1300">
        <v>6.9</v>
      </c>
      <c r="J1300" t="s">
        <v>8879</v>
      </c>
    </row>
    <row r="1301" spans="1:10" x14ac:dyDescent="0.3">
      <c r="A1301">
        <v>128</v>
      </c>
      <c r="B1301">
        <v>79100000</v>
      </c>
      <c r="C1301" t="s">
        <v>609</v>
      </c>
      <c r="D1301" t="s">
        <v>3088</v>
      </c>
      <c r="E1301" t="s">
        <v>3089</v>
      </c>
      <c r="F1301" t="s">
        <v>7</v>
      </c>
      <c r="G1301" t="s">
        <v>8</v>
      </c>
      <c r="H1301">
        <v>35000000</v>
      </c>
      <c r="I1301">
        <v>7.3</v>
      </c>
      <c r="J1301" t="s">
        <v>8668</v>
      </c>
    </row>
    <row r="1302" spans="1:10" x14ac:dyDescent="0.3">
      <c r="A1302">
        <v>123</v>
      </c>
      <c r="B1302">
        <v>81159365</v>
      </c>
      <c r="C1302" t="s">
        <v>873</v>
      </c>
      <c r="D1302" t="s">
        <v>3090</v>
      </c>
      <c r="E1302" t="s">
        <v>3091</v>
      </c>
      <c r="F1302" t="s">
        <v>7</v>
      </c>
      <c r="G1302" t="s">
        <v>8</v>
      </c>
      <c r="H1302">
        <v>35000000</v>
      </c>
      <c r="I1302">
        <v>7.1</v>
      </c>
      <c r="J1302" t="s">
        <v>8880</v>
      </c>
    </row>
    <row r="1303" spans="1:10" x14ac:dyDescent="0.3">
      <c r="A1303">
        <v>129</v>
      </c>
      <c r="B1303">
        <v>110008260</v>
      </c>
      <c r="C1303" t="s">
        <v>672</v>
      </c>
      <c r="D1303" t="s">
        <v>3092</v>
      </c>
      <c r="E1303" t="s">
        <v>3093</v>
      </c>
      <c r="F1303" t="s">
        <v>7</v>
      </c>
      <c r="G1303" t="s">
        <v>248</v>
      </c>
      <c r="H1303">
        <v>35000000</v>
      </c>
      <c r="I1303">
        <v>6</v>
      </c>
      <c r="J1303" t="s">
        <v>8487</v>
      </c>
    </row>
    <row r="1304" spans="1:10" x14ac:dyDescent="0.3">
      <c r="A1304">
        <v>105</v>
      </c>
      <c r="B1304">
        <v>67962333</v>
      </c>
      <c r="C1304" t="s">
        <v>672</v>
      </c>
      <c r="D1304" t="s">
        <v>3094</v>
      </c>
      <c r="E1304" t="s">
        <v>3095</v>
      </c>
      <c r="F1304" t="s">
        <v>7</v>
      </c>
      <c r="G1304" t="s">
        <v>8</v>
      </c>
      <c r="H1304">
        <v>35000000</v>
      </c>
      <c r="I1304">
        <v>7</v>
      </c>
      <c r="J1304" t="s">
        <v>8881</v>
      </c>
    </row>
    <row r="1305" spans="1:10" x14ac:dyDescent="0.3">
      <c r="A1305">
        <v>162</v>
      </c>
      <c r="B1305">
        <v>78651430</v>
      </c>
      <c r="C1305" t="s">
        <v>2353</v>
      </c>
      <c r="D1305" t="s">
        <v>3096</v>
      </c>
      <c r="E1305" t="s">
        <v>3097</v>
      </c>
      <c r="F1305" t="s">
        <v>7</v>
      </c>
      <c r="G1305" t="s">
        <v>8</v>
      </c>
      <c r="H1305">
        <v>27000000</v>
      </c>
      <c r="I1305">
        <v>6.8</v>
      </c>
      <c r="J1305" t="s">
        <v>8486</v>
      </c>
    </row>
    <row r="1306" spans="1:10" x14ac:dyDescent="0.3">
      <c r="A1306">
        <v>138</v>
      </c>
      <c r="B1306">
        <v>64604977</v>
      </c>
      <c r="C1306" t="s">
        <v>882</v>
      </c>
      <c r="D1306" t="s">
        <v>3098</v>
      </c>
      <c r="E1306" t="s">
        <v>3099</v>
      </c>
      <c r="F1306" t="s">
        <v>7</v>
      </c>
      <c r="G1306" t="s">
        <v>8</v>
      </c>
      <c r="H1306">
        <v>35000000</v>
      </c>
      <c r="I1306">
        <v>5.7</v>
      </c>
      <c r="J1306" t="s">
        <v>8882</v>
      </c>
    </row>
    <row r="1307" spans="1:10" x14ac:dyDescent="0.3">
      <c r="A1307">
        <v>100</v>
      </c>
      <c r="B1307">
        <v>63939454</v>
      </c>
      <c r="C1307" t="s">
        <v>3100</v>
      </c>
      <c r="D1307" t="s">
        <v>3101</v>
      </c>
      <c r="E1307" t="s">
        <v>3102</v>
      </c>
      <c r="F1307" t="s">
        <v>7</v>
      </c>
      <c r="G1307" t="s">
        <v>8</v>
      </c>
      <c r="H1307">
        <v>35000000</v>
      </c>
      <c r="I1307">
        <v>7.6</v>
      </c>
      <c r="J1307" t="s">
        <v>8398</v>
      </c>
    </row>
    <row r="1308" spans="1:10" x14ac:dyDescent="0.3">
      <c r="A1308">
        <v>90</v>
      </c>
      <c r="B1308">
        <v>63826569</v>
      </c>
      <c r="C1308" t="s">
        <v>668</v>
      </c>
      <c r="D1308" t="s">
        <v>3103</v>
      </c>
      <c r="E1308" t="s">
        <v>3104</v>
      </c>
      <c r="F1308" t="s">
        <v>7</v>
      </c>
      <c r="G1308" t="s">
        <v>8</v>
      </c>
      <c r="H1308">
        <v>35000000</v>
      </c>
      <c r="I1308">
        <v>8.4</v>
      </c>
      <c r="J1308" t="s">
        <v>8883</v>
      </c>
    </row>
    <row r="1309" spans="1:10" x14ac:dyDescent="0.3">
      <c r="A1309">
        <v>108</v>
      </c>
      <c r="B1309">
        <v>60054449</v>
      </c>
      <c r="C1309" t="s">
        <v>912</v>
      </c>
      <c r="D1309" t="s">
        <v>3105</v>
      </c>
      <c r="E1309" t="s">
        <v>3106</v>
      </c>
      <c r="F1309" t="s">
        <v>7</v>
      </c>
      <c r="G1309" t="s">
        <v>8</v>
      </c>
      <c r="H1309">
        <v>35000000</v>
      </c>
      <c r="I1309">
        <v>7.1</v>
      </c>
      <c r="J1309" t="s">
        <v>8420</v>
      </c>
    </row>
    <row r="1310" spans="1:10" x14ac:dyDescent="0.3">
      <c r="A1310">
        <v>101</v>
      </c>
      <c r="B1310">
        <v>26505000</v>
      </c>
      <c r="C1310" t="s">
        <v>2701</v>
      </c>
      <c r="D1310" t="s">
        <v>3107</v>
      </c>
      <c r="E1310" t="s">
        <v>3108</v>
      </c>
      <c r="F1310" t="s">
        <v>7</v>
      </c>
      <c r="G1310" t="s">
        <v>8</v>
      </c>
      <c r="H1310">
        <v>1800000</v>
      </c>
      <c r="I1310">
        <v>5.6</v>
      </c>
      <c r="J1310" t="s">
        <v>8626</v>
      </c>
    </row>
    <row r="1311" spans="1:10" x14ac:dyDescent="0.3">
      <c r="A1311">
        <v>109</v>
      </c>
      <c r="B1311">
        <v>61280963</v>
      </c>
      <c r="C1311" t="s">
        <v>1813</v>
      </c>
      <c r="D1311" t="s">
        <v>3109</v>
      </c>
      <c r="E1311" t="s">
        <v>3110</v>
      </c>
      <c r="F1311" t="s">
        <v>7</v>
      </c>
      <c r="G1311" t="s">
        <v>8</v>
      </c>
      <c r="H1311">
        <v>33000000</v>
      </c>
      <c r="I1311">
        <v>6.7</v>
      </c>
      <c r="J1311" t="s">
        <v>8343</v>
      </c>
    </row>
    <row r="1312" spans="1:10" x14ac:dyDescent="0.3">
      <c r="A1312">
        <v>132</v>
      </c>
      <c r="B1312">
        <v>56876365</v>
      </c>
      <c r="C1312" t="s">
        <v>36</v>
      </c>
      <c r="D1312" t="s">
        <v>3111</v>
      </c>
      <c r="E1312" t="s">
        <v>3112</v>
      </c>
      <c r="F1312" t="s">
        <v>7</v>
      </c>
      <c r="G1312" t="s">
        <v>8</v>
      </c>
      <c r="H1312">
        <v>35000000</v>
      </c>
      <c r="I1312">
        <v>7</v>
      </c>
      <c r="J1312" t="s">
        <v>8318</v>
      </c>
    </row>
    <row r="1313" spans="1:10" x14ac:dyDescent="0.3">
      <c r="A1313">
        <v>123</v>
      </c>
      <c r="B1313">
        <v>59699513</v>
      </c>
      <c r="C1313" t="s">
        <v>3113</v>
      </c>
      <c r="D1313" t="s">
        <v>3114</v>
      </c>
      <c r="E1313" t="s">
        <v>3115</v>
      </c>
      <c r="F1313" t="s">
        <v>7</v>
      </c>
      <c r="G1313" t="s">
        <v>8</v>
      </c>
      <c r="H1313">
        <v>35000000</v>
      </c>
      <c r="I1313">
        <v>8</v>
      </c>
      <c r="J1313" t="s">
        <v>8302</v>
      </c>
    </row>
    <row r="1314" spans="1:10" x14ac:dyDescent="0.3">
      <c r="A1314">
        <v>87</v>
      </c>
      <c r="B1314">
        <v>54132596</v>
      </c>
      <c r="C1314" t="s">
        <v>329</v>
      </c>
      <c r="D1314" t="s">
        <v>3116</v>
      </c>
      <c r="E1314" t="s">
        <v>3117</v>
      </c>
      <c r="F1314" t="s">
        <v>7</v>
      </c>
      <c r="G1314" t="s">
        <v>1607</v>
      </c>
      <c r="H1314">
        <v>34000000</v>
      </c>
      <c r="I1314">
        <v>5.3</v>
      </c>
      <c r="J1314" t="s">
        <v>8884</v>
      </c>
    </row>
    <row r="1315" spans="1:10" x14ac:dyDescent="0.3">
      <c r="A1315">
        <v>109</v>
      </c>
      <c r="B1315">
        <v>52277485</v>
      </c>
      <c r="C1315" t="s">
        <v>653</v>
      </c>
      <c r="D1315" t="s">
        <v>3118</v>
      </c>
      <c r="E1315" t="s">
        <v>3119</v>
      </c>
      <c r="F1315" t="s">
        <v>7</v>
      </c>
      <c r="G1315" t="s">
        <v>8</v>
      </c>
      <c r="H1315">
        <v>35000000</v>
      </c>
      <c r="I1315">
        <v>4.9000000000000004</v>
      </c>
      <c r="J1315" t="s">
        <v>8714</v>
      </c>
    </row>
    <row r="1316" spans="1:10" x14ac:dyDescent="0.3">
      <c r="A1316">
        <v>109</v>
      </c>
      <c r="B1316">
        <v>55802754</v>
      </c>
      <c r="C1316" t="s">
        <v>672</v>
      </c>
      <c r="D1316" t="s">
        <v>3120</v>
      </c>
      <c r="E1316" t="s">
        <v>3121</v>
      </c>
      <c r="F1316" t="s">
        <v>7</v>
      </c>
      <c r="G1316" t="s">
        <v>8</v>
      </c>
      <c r="H1316">
        <v>35000000</v>
      </c>
      <c r="I1316">
        <v>6.4</v>
      </c>
      <c r="J1316" t="s">
        <v>8524</v>
      </c>
    </row>
    <row r="1317" spans="1:10" x14ac:dyDescent="0.3">
      <c r="A1317">
        <v>92</v>
      </c>
      <c r="B1317">
        <v>55291815</v>
      </c>
      <c r="C1317" t="s">
        <v>668</v>
      </c>
      <c r="D1317" t="s">
        <v>3122</v>
      </c>
      <c r="E1317" t="s">
        <v>3123</v>
      </c>
      <c r="F1317" t="s">
        <v>7</v>
      </c>
      <c r="G1317" t="s">
        <v>8</v>
      </c>
      <c r="H1317">
        <v>35000000</v>
      </c>
      <c r="I1317">
        <v>7.4</v>
      </c>
      <c r="J1317" t="s">
        <v>8427</v>
      </c>
    </row>
    <row r="1318" spans="1:10" x14ac:dyDescent="0.3">
      <c r="A1318">
        <v>125</v>
      </c>
      <c r="B1318">
        <v>83299761</v>
      </c>
      <c r="C1318" t="s">
        <v>3124</v>
      </c>
      <c r="D1318" t="s">
        <v>3125</v>
      </c>
      <c r="E1318" t="s">
        <v>3126</v>
      </c>
      <c r="F1318" t="s">
        <v>7</v>
      </c>
      <c r="G1318" t="s">
        <v>8</v>
      </c>
      <c r="H1318">
        <v>35000000</v>
      </c>
      <c r="I1318">
        <v>6.1</v>
      </c>
      <c r="J1318" t="s">
        <v>8572</v>
      </c>
    </row>
    <row r="1319" spans="1:10" x14ac:dyDescent="0.3">
      <c r="A1319">
        <v>202</v>
      </c>
      <c r="B1319">
        <v>48169908</v>
      </c>
      <c r="C1319" t="s">
        <v>2569</v>
      </c>
      <c r="D1319" t="s">
        <v>3127</v>
      </c>
      <c r="E1319" t="s">
        <v>3128</v>
      </c>
      <c r="F1319" t="s">
        <v>7</v>
      </c>
      <c r="G1319" t="s">
        <v>8</v>
      </c>
      <c r="H1319">
        <v>33000000</v>
      </c>
      <c r="I1319">
        <v>6.5</v>
      </c>
      <c r="J1319" t="s">
        <v>8568</v>
      </c>
    </row>
    <row r="1320" spans="1:10" x14ac:dyDescent="0.3">
      <c r="A1320">
        <v>134</v>
      </c>
      <c r="B1320">
        <v>67523385</v>
      </c>
      <c r="C1320" t="s">
        <v>668</v>
      </c>
      <c r="D1320" t="s">
        <v>3129</v>
      </c>
      <c r="E1320" t="s">
        <v>3130</v>
      </c>
      <c r="F1320" t="s">
        <v>7</v>
      </c>
      <c r="G1320" t="s">
        <v>8</v>
      </c>
      <c r="H1320">
        <v>35000000</v>
      </c>
      <c r="I1320">
        <v>5.7</v>
      </c>
      <c r="J1320" t="s">
        <v>8885</v>
      </c>
    </row>
    <row r="1321" spans="1:10" x14ac:dyDescent="0.3">
      <c r="A1321">
        <v>88</v>
      </c>
      <c r="B1321">
        <v>49474048</v>
      </c>
      <c r="C1321" t="s">
        <v>1261</v>
      </c>
      <c r="D1321" t="s">
        <v>3131</v>
      </c>
      <c r="E1321" t="s">
        <v>3132</v>
      </c>
      <c r="F1321" t="s">
        <v>7</v>
      </c>
      <c r="G1321" t="s">
        <v>8</v>
      </c>
      <c r="H1321">
        <v>35000000</v>
      </c>
      <c r="I1321">
        <v>5.0999999999999996</v>
      </c>
      <c r="J1321" t="s">
        <v>8716</v>
      </c>
    </row>
    <row r="1322" spans="1:10" x14ac:dyDescent="0.3">
      <c r="A1322">
        <v>92</v>
      </c>
      <c r="B1322">
        <v>45802315</v>
      </c>
      <c r="C1322" t="s">
        <v>92</v>
      </c>
      <c r="D1322" t="s">
        <v>3133</v>
      </c>
      <c r="E1322" t="s">
        <v>3134</v>
      </c>
      <c r="F1322" t="s">
        <v>7</v>
      </c>
      <c r="G1322" t="s">
        <v>8</v>
      </c>
      <c r="H1322">
        <v>35000000</v>
      </c>
      <c r="I1322">
        <v>6.6</v>
      </c>
      <c r="J1322" t="s">
        <v>8886</v>
      </c>
    </row>
    <row r="1323" spans="1:10" x14ac:dyDescent="0.3">
      <c r="A1323">
        <v>91</v>
      </c>
      <c r="B1323">
        <v>43792641</v>
      </c>
      <c r="C1323" t="s">
        <v>672</v>
      </c>
      <c r="D1323" t="s">
        <v>3135</v>
      </c>
      <c r="E1323" t="s">
        <v>3136</v>
      </c>
      <c r="F1323" t="s">
        <v>7</v>
      </c>
      <c r="G1323" t="s">
        <v>8</v>
      </c>
      <c r="H1323">
        <v>35000000</v>
      </c>
      <c r="I1323">
        <v>6.5</v>
      </c>
      <c r="J1323" t="s">
        <v>8887</v>
      </c>
    </row>
    <row r="1324" spans="1:10" x14ac:dyDescent="0.3">
      <c r="A1324">
        <v>75</v>
      </c>
      <c r="B1324">
        <v>57651794</v>
      </c>
      <c r="C1324" t="s">
        <v>1624</v>
      </c>
      <c r="D1324" t="s">
        <v>3137</v>
      </c>
      <c r="E1324" t="s">
        <v>3138</v>
      </c>
      <c r="F1324" t="s">
        <v>7</v>
      </c>
      <c r="G1324" t="s">
        <v>8</v>
      </c>
      <c r="H1324">
        <v>33000000</v>
      </c>
      <c r="I1324">
        <v>6.9</v>
      </c>
      <c r="J1324" t="s">
        <v>8364</v>
      </c>
    </row>
    <row r="1325" spans="1:10" x14ac:dyDescent="0.3">
      <c r="A1325">
        <v>147</v>
      </c>
      <c r="B1325">
        <v>41954997</v>
      </c>
      <c r="C1325" t="s">
        <v>694</v>
      </c>
      <c r="D1325" t="s">
        <v>3139</v>
      </c>
      <c r="E1325" t="s">
        <v>3140</v>
      </c>
      <c r="F1325" t="s">
        <v>7</v>
      </c>
      <c r="G1325" t="s">
        <v>8</v>
      </c>
      <c r="H1325">
        <v>35000000</v>
      </c>
      <c r="I1325">
        <v>6.4</v>
      </c>
      <c r="J1325" t="s">
        <v>8888</v>
      </c>
    </row>
    <row r="1326" spans="1:10" x14ac:dyDescent="0.3">
      <c r="A1326">
        <v>100</v>
      </c>
      <c r="B1326">
        <v>39532308</v>
      </c>
      <c r="C1326" t="s">
        <v>1748</v>
      </c>
      <c r="D1326" t="s">
        <v>3141</v>
      </c>
      <c r="E1326" t="s">
        <v>3142</v>
      </c>
      <c r="F1326" t="s">
        <v>7</v>
      </c>
      <c r="G1326" t="s">
        <v>15</v>
      </c>
      <c r="H1326">
        <v>33000000</v>
      </c>
      <c r="I1326">
        <v>7.6</v>
      </c>
      <c r="J1326" t="s">
        <v>8889</v>
      </c>
    </row>
    <row r="1327" spans="1:10" x14ac:dyDescent="0.3">
      <c r="A1327">
        <v>120</v>
      </c>
      <c r="B1327">
        <v>76600000</v>
      </c>
      <c r="C1327" t="s">
        <v>3143</v>
      </c>
      <c r="D1327" t="s">
        <v>3144</v>
      </c>
      <c r="E1327" t="s">
        <v>3145</v>
      </c>
      <c r="F1327" t="s">
        <v>7</v>
      </c>
      <c r="G1327" t="s">
        <v>8</v>
      </c>
      <c r="H1327">
        <v>10700000</v>
      </c>
      <c r="I1327">
        <v>5.6</v>
      </c>
      <c r="J1327" t="s">
        <v>8371</v>
      </c>
    </row>
    <row r="1328" spans="1:10" x14ac:dyDescent="0.3">
      <c r="A1328">
        <v>104</v>
      </c>
      <c r="B1328">
        <v>39692139</v>
      </c>
      <c r="C1328" t="s">
        <v>2509</v>
      </c>
      <c r="D1328" t="s">
        <v>3146</v>
      </c>
      <c r="E1328" t="s">
        <v>3147</v>
      </c>
      <c r="F1328" t="s">
        <v>7</v>
      </c>
      <c r="G1328" t="s">
        <v>8</v>
      </c>
      <c r="H1328">
        <v>35000000</v>
      </c>
      <c r="I1328">
        <v>6.2</v>
      </c>
      <c r="J1328" t="s">
        <v>8890</v>
      </c>
    </row>
    <row r="1329" spans="1:10" x14ac:dyDescent="0.3">
      <c r="A1329">
        <v>103</v>
      </c>
      <c r="B1329">
        <v>40687294</v>
      </c>
      <c r="C1329" t="s">
        <v>436</v>
      </c>
      <c r="D1329" t="s">
        <v>3148</v>
      </c>
      <c r="E1329" t="s">
        <v>3149</v>
      </c>
      <c r="F1329" t="s">
        <v>7</v>
      </c>
      <c r="G1329" t="s">
        <v>95</v>
      </c>
      <c r="H1329">
        <v>35000000</v>
      </c>
      <c r="I1329">
        <v>4.4000000000000004</v>
      </c>
      <c r="J1329" t="s">
        <v>8738</v>
      </c>
    </row>
    <row r="1330" spans="1:10" x14ac:dyDescent="0.3">
      <c r="A1330">
        <v>109</v>
      </c>
      <c r="B1330">
        <v>37553932</v>
      </c>
      <c r="C1330" t="s">
        <v>1157</v>
      </c>
      <c r="D1330" t="s">
        <v>3150</v>
      </c>
      <c r="E1330" t="s">
        <v>3151</v>
      </c>
      <c r="F1330" t="s">
        <v>7</v>
      </c>
      <c r="G1330" t="s">
        <v>8</v>
      </c>
      <c r="H1330">
        <v>40000000</v>
      </c>
      <c r="I1330">
        <v>5.6</v>
      </c>
      <c r="J1330" t="s">
        <v>8891</v>
      </c>
    </row>
    <row r="1331" spans="1:10" x14ac:dyDescent="0.3">
      <c r="A1331">
        <v>104</v>
      </c>
      <c r="B1331">
        <v>37481242</v>
      </c>
      <c r="C1331" t="s">
        <v>672</v>
      </c>
      <c r="D1331" t="s">
        <v>3152</v>
      </c>
      <c r="E1331" t="s">
        <v>3153</v>
      </c>
      <c r="F1331" t="s">
        <v>7</v>
      </c>
      <c r="G1331" t="s">
        <v>8</v>
      </c>
      <c r="H1331">
        <v>35000000</v>
      </c>
      <c r="I1331">
        <v>5.5</v>
      </c>
      <c r="J1331" t="s">
        <v>8661</v>
      </c>
    </row>
    <row r="1332" spans="1:10" x14ac:dyDescent="0.3">
      <c r="A1332">
        <v>112</v>
      </c>
      <c r="B1332">
        <v>39026186</v>
      </c>
      <c r="C1332" t="s">
        <v>561</v>
      </c>
      <c r="D1332" t="s">
        <v>3154</v>
      </c>
      <c r="E1332" t="s">
        <v>3155</v>
      </c>
      <c r="F1332" t="s">
        <v>7</v>
      </c>
      <c r="G1332" t="s">
        <v>8</v>
      </c>
      <c r="H1332">
        <v>35000000</v>
      </c>
      <c r="I1332">
        <v>6.7</v>
      </c>
      <c r="J1332" t="s">
        <v>8628</v>
      </c>
    </row>
    <row r="1333" spans="1:10" x14ac:dyDescent="0.3">
      <c r="A1333">
        <v>95</v>
      </c>
      <c r="B1333">
        <v>33422806</v>
      </c>
      <c r="C1333" t="s">
        <v>2272</v>
      </c>
      <c r="D1333" t="s">
        <v>3156</v>
      </c>
      <c r="E1333" t="s">
        <v>3157</v>
      </c>
      <c r="F1333" t="s">
        <v>7</v>
      </c>
      <c r="G1333" t="s">
        <v>8</v>
      </c>
      <c r="H1333">
        <v>50000000</v>
      </c>
      <c r="I1333">
        <v>6.1</v>
      </c>
      <c r="J1333" t="s">
        <v>8371</v>
      </c>
    </row>
    <row r="1334" spans="1:10" x14ac:dyDescent="0.3">
      <c r="A1334">
        <v>102</v>
      </c>
      <c r="B1334">
        <v>33423521</v>
      </c>
      <c r="C1334" t="s">
        <v>415</v>
      </c>
      <c r="D1334" t="s">
        <v>3159</v>
      </c>
      <c r="E1334" t="s">
        <v>3160</v>
      </c>
      <c r="F1334" t="s">
        <v>7</v>
      </c>
      <c r="G1334" t="s">
        <v>248</v>
      </c>
      <c r="H1334">
        <v>35000000</v>
      </c>
      <c r="I1334">
        <v>6.2</v>
      </c>
      <c r="J1334" t="s">
        <v>8685</v>
      </c>
    </row>
    <row r="1335" spans="1:10" x14ac:dyDescent="0.3">
      <c r="A1335">
        <v>150</v>
      </c>
      <c r="B1335">
        <v>32519322</v>
      </c>
      <c r="C1335" t="s">
        <v>3069</v>
      </c>
      <c r="D1335" t="s">
        <v>3161</v>
      </c>
      <c r="E1335" t="s">
        <v>3162</v>
      </c>
      <c r="F1335" t="s">
        <v>7</v>
      </c>
      <c r="G1335" t="s">
        <v>583</v>
      </c>
      <c r="H1335">
        <v>35000000</v>
      </c>
      <c r="I1335">
        <v>7.3</v>
      </c>
      <c r="J1335" t="s">
        <v>8892</v>
      </c>
    </row>
    <row r="1336" spans="1:10" x14ac:dyDescent="0.3">
      <c r="A1336">
        <v>101</v>
      </c>
      <c r="B1336">
        <v>37617947</v>
      </c>
      <c r="C1336" t="s">
        <v>2457</v>
      </c>
      <c r="D1336" t="s">
        <v>3163</v>
      </c>
      <c r="E1336" t="s">
        <v>3164</v>
      </c>
      <c r="F1336" t="s">
        <v>7</v>
      </c>
      <c r="G1336" t="s">
        <v>8</v>
      </c>
      <c r="H1336">
        <v>30000000</v>
      </c>
      <c r="I1336">
        <v>6.6</v>
      </c>
      <c r="J1336" t="s">
        <v>8312</v>
      </c>
    </row>
    <row r="1337" spans="1:10" x14ac:dyDescent="0.3">
      <c r="A1337">
        <v>108</v>
      </c>
      <c r="B1337">
        <v>32048809</v>
      </c>
      <c r="C1337" t="s">
        <v>2701</v>
      </c>
      <c r="D1337" t="s">
        <v>3165</v>
      </c>
      <c r="E1337" t="s">
        <v>3166</v>
      </c>
      <c r="F1337" t="s">
        <v>7</v>
      </c>
      <c r="G1337" t="s">
        <v>132</v>
      </c>
      <c r="H1337">
        <v>30000000</v>
      </c>
      <c r="I1337">
        <v>8.1999999999999993</v>
      </c>
      <c r="J1337" t="s">
        <v>8762</v>
      </c>
    </row>
    <row r="1338" spans="1:10" x14ac:dyDescent="0.3">
      <c r="A1338">
        <v>98</v>
      </c>
      <c r="B1338">
        <v>33987757</v>
      </c>
      <c r="C1338" t="s">
        <v>73</v>
      </c>
      <c r="D1338" t="s">
        <v>3167</v>
      </c>
      <c r="E1338" t="s">
        <v>3168</v>
      </c>
      <c r="F1338" t="s">
        <v>7</v>
      </c>
      <c r="G1338" t="s">
        <v>8</v>
      </c>
      <c r="H1338">
        <v>27000000</v>
      </c>
      <c r="I1338">
        <v>6.4</v>
      </c>
      <c r="J1338" t="s">
        <v>8431</v>
      </c>
    </row>
    <row r="1339" spans="1:10" x14ac:dyDescent="0.3">
      <c r="A1339">
        <v>137</v>
      </c>
      <c r="B1339">
        <v>37304950</v>
      </c>
      <c r="C1339" t="s">
        <v>694</v>
      </c>
      <c r="D1339" t="s">
        <v>3169</v>
      </c>
      <c r="E1339" t="s">
        <v>3170</v>
      </c>
      <c r="F1339" t="s">
        <v>7</v>
      </c>
      <c r="G1339" t="s">
        <v>8</v>
      </c>
      <c r="H1339">
        <v>35000000</v>
      </c>
      <c r="I1339">
        <v>6.4</v>
      </c>
      <c r="J1339" t="s">
        <v>8893</v>
      </c>
    </row>
    <row r="1340" spans="1:10" x14ac:dyDescent="0.3">
      <c r="A1340">
        <v>112</v>
      </c>
      <c r="B1340">
        <v>30691439</v>
      </c>
      <c r="C1340" t="s">
        <v>2141</v>
      </c>
      <c r="D1340" t="s">
        <v>3171</v>
      </c>
      <c r="E1340" t="s">
        <v>3172</v>
      </c>
      <c r="F1340" t="s">
        <v>7</v>
      </c>
      <c r="G1340" t="s">
        <v>8</v>
      </c>
      <c r="H1340">
        <v>35000000</v>
      </c>
      <c r="I1340">
        <v>5.2</v>
      </c>
      <c r="J1340" t="s">
        <v>8894</v>
      </c>
    </row>
    <row r="1341" spans="1:10" x14ac:dyDescent="0.3">
      <c r="A1341">
        <v>101</v>
      </c>
      <c r="B1341">
        <v>30307804</v>
      </c>
      <c r="C1341" t="s">
        <v>2117</v>
      </c>
      <c r="D1341" t="s">
        <v>3173</v>
      </c>
      <c r="E1341" t="s">
        <v>3174</v>
      </c>
      <c r="F1341" t="s">
        <v>7</v>
      </c>
      <c r="G1341" t="s">
        <v>8</v>
      </c>
      <c r="H1341">
        <v>35000000</v>
      </c>
      <c r="I1341">
        <v>6.5</v>
      </c>
      <c r="J1341" t="s">
        <v>8569</v>
      </c>
    </row>
    <row r="1342" spans="1:10" x14ac:dyDescent="0.3">
      <c r="A1342">
        <v>103</v>
      </c>
      <c r="B1342">
        <v>30669413</v>
      </c>
      <c r="C1342" t="s">
        <v>1748</v>
      </c>
      <c r="D1342" t="s">
        <v>3175</v>
      </c>
      <c r="E1342" t="s">
        <v>3176</v>
      </c>
      <c r="F1342" t="s">
        <v>7</v>
      </c>
      <c r="G1342" t="s">
        <v>8</v>
      </c>
      <c r="H1342">
        <v>35000000</v>
      </c>
      <c r="I1342">
        <v>7.1</v>
      </c>
      <c r="J1342" t="s">
        <v>8895</v>
      </c>
    </row>
    <row r="1343" spans="1:10" x14ac:dyDescent="0.3">
      <c r="A1343">
        <v>101</v>
      </c>
      <c r="B1343">
        <v>28687835</v>
      </c>
      <c r="C1343" t="s">
        <v>873</v>
      </c>
      <c r="D1343" t="s">
        <v>3177</v>
      </c>
      <c r="E1343" t="s">
        <v>3178</v>
      </c>
      <c r="F1343" t="s">
        <v>7</v>
      </c>
      <c r="G1343" t="s">
        <v>8</v>
      </c>
      <c r="H1343">
        <v>35000000</v>
      </c>
      <c r="I1343">
        <v>4.8</v>
      </c>
      <c r="J1343" t="s">
        <v>8896</v>
      </c>
    </row>
    <row r="1344" spans="1:10" x14ac:dyDescent="0.3">
      <c r="A1344">
        <v>112</v>
      </c>
      <c r="B1344">
        <v>26494611</v>
      </c>
      <c r="C1344" t="s">
        <v>3179</v>
      </c>
      <c r="D1344" t="s">
        <v>3180</v>
      </c>
      <c r="E1344" t="s">
        <v>3181</v>
      </c>
      <c r="F1344" t="s">
        <v>7</v>
      </c>
      <c r="G1344" t="s">
        <v>8</v>
      </c>
      <c r="H1344">
        <v>35000000</v>
      </c>
      <c r="I1344">
        <v>7.3</v>
      </c>
      <c r="J1344" t="s">
        <v>8742</v>
      </c>
    </row>
    <row r="1345" spans="1:10" x14ac:dyDescent="0.3">
      <c r="A1345">
        <v>102</v>
      </c>
      <c r="B1345">
        <v>25266129</v>
      </c>
      <c r="C1345" t="s">
        <v>561</v>
      </c>
      <c r="D1345" t="s">
        <v>3182</v>
      </c>
      <c r="E1345" t="s">
        <v>3183</v>
      </c>
      <c r="F1345" t="s">
        <v>7</v>
      </c>
      <c r="G1345" t="s">
        <v>8</v>
      </c>
      <c r="H1345">
        <v>35000000</v>
      </c>
      <c r="I1345">
        <v>5.2</v>
      </c>
      <c r="J1345" t="s">
        <v>8897</v>
      </c>
    </row>
    <row r="1346" spans="1:10" x14ac:dyDescent="0.3">
      <c r="A1346">
        <v>101</v>
      </c>
      <c r="B1346">
        <v>25863915</v>
      </c>
      <c r="C1346" t="s">
        <v>466</v>
      </c>
      <c r="D1346" t="s">
        <v>3184</v>
      </c>
      <c r="E1346" t="s">
        <v>3185</v>
      </c>
      <c r="F1346" t="s">
        <v>7</v>
      </c>
      <c r="G1346" t="s">
        <v>8</v>
      </c>
      <c r="H1346">
        <v>35000000</v>
      </c>
      <c r="I1346">
        <v>7.7</v>
      </c>
      <c r="J1346" t="s">
        <v>8898</v>
      </c>
    </row>
    <row r="1347" spans="1:10" x14ac:dyDescent="0.3">
      <c r="A1347">
        <v>155</v>
      </c>
      <c r="B1347">
        <v>25078937</v>
      </c>
      <c r="C1347" t="s">
        <v>882</v>
      </c>
      <c r="D1347" t="s">
        <v>3186</v>
      </c>
      <c r="E1347" t="s">
        <v>3187</v>
      </c>
      <c r="F1347" t="s">
        <v>7</v>
      </c>
      <c r="G1347" t="s">
        <v>8</v>
      </c>
      <c r="H1347">
        <v>30000000</v>
      </c>
      <c r="I1347">
        <v>7.6</v>
      </c>
      <c r="J1347" t="s">
        <v>8813</v>
      </c>
    </row>
    <row r="1348" spans="1:10" x14ac:dyDescent="0.3">
      <c r="A1348">
        <v>109</v>
      </c>
      <c r="B1348">
        <v>28995450</v>
      </c>
      <c r="C1348" t="s">
        <v>187</v>
      </c>
      <c r="D1348" t="s">
        <v>3188</v>
      </c>
      <c r="E1348" t="s">
        <v>3189</v>
      </c>
      <c r="F1348" t="s">
        <v>7</v>
      </c>
      <c r="G1348" t="s">
        <v>15</v>
      </c>
      <c r="H1348">
        <v>35000000</v>
      </c>
      <c r="I1348">
        <v>5.7</v>
      </c>
      <c r="J1348" t="s">
        <v>8899</v>
      </c>
    </row>
    <row r="1349" spans="1:10" x14ac:dyDescent="0.3">
      <c r="A1349">
        <v>140</v>
      </c>
      <c r="B1349">
        <v>24276500</v>
      </c>
      <c r="C1349" t="s">
        <v>694</v>
      </c>
      <c r="D1349" t="s">
        <v>3190</v>
      </c>
      <c r="E1349" t="s">
        <v>3191</v>
      </c>
      <c r="F1349" t="s">
        <v>7</v>
      </c>
      <c r="G1349" t="s">
        <v>8</v>
      </c>
      <c r="H1349">
        <v>35000000</v>
      </c>
      <c r="I1349">
        <v>7</v>
      </c>
      <c r="J1349" t="s">
        <v>8900</v>
      </c>
    </row>
    <row r="1350" spans="1:10" x14ac:dyDescent="0.3">
      <c r="A1350">
        <v>108</v>
      </c>
      <c r="B1350">
        <v>20981633</v>
      </c>
      <c r="C1350" t="s">
        <v>909</v>
      </c>
      <c r="D1350" t="s">
        <v>3192</v>
      </c>
      <c r="E1350" t="s">
        <v>3193</v>
      </c>
      <c r="F1350" t="s">
        <v>7</v>
      </c>
      <c r="G1350" t="s">
        <v>8</v>
      </c>
      <c r="H1350">
        <v>30000000</v>
      </c>
      <c r="I1350">
        <v>6</v>
      </c>
      <c r="J1350" t="s">
        <v>8901</v>
      </c>
    </row>
    <row r="1351" spans="1:10" x14ac:dyDescent="0.3">
      <c r="A1351">
        <v>96</v>
      </c>
      <c r="B1351">
        <v>22913677</v>
      </c>
      <c r="C1351" t="s">
        <v>1082</v>
      </c>
      <c r="D1351" t="s">
        <v>3194</v>
      </c>
      <c r="E1351" t="s">
        <v>3195</v>
      </c>
      <c r="F1351" t="s">
        <v>7</v>
      </c>
      <c r="G1351" t="s">
        <v>8</v>
      </c>
      <c r="H1351">
        <v>35000000</v>
      </c>
      <c r="I1351">
        <v>8.1</v>
      </c>
      <c r="J1351" t="s">
        <v>8378</v>
      </c>
    </row>
    <row r="1352" spans="1:10" x14ac:dyDescent="0.3">
      <c r="A1352">
        <v>123</v>
      </c>
      <c r="B1352">
        <v>34531832</v>
      </c>
      <c r="C1352" t="s">
        <v>653</v>
      </c>
      <c r="D1352" t="s">
        <v>3196</v>
      </c>
      <c r="E1352" t="s">
        <v>3197</v>
      </c>
      <c r="F1352" t="s">
        <v>7</v>
      </c>
      <c r="G1352" t="s">
        <v>15</v>
      </c>
      <c r="H1352">
        <v>35000000</v>
      </c>
      <c r="I1352">
        <v>8</v>
      </c>
      <c r="J1352" t="s">
        <v>8895</v>
      </c>
    </row>
    <row r="1353" spans="1:10" x14ac:dyDescent="0.3">
      <c r="A1353">
        <v>106</v>
      </c>
      <c r="B1353">
        <v>28064226</v>
      </c>
      <c r="C1353" t="s">
        <v>449</v>
      </c>
      <c r="D1353" t="s">
        <v>3198</v>
      </c>
      <c r="E1353" t="s">
        <v>3199</v>
      </c>
      <c r="F1353" t="s">
        <v>7</v>
      </c>
      <c r="G1353" t="s">
        <v>8</v>
      </c>
      <c r="H1353">
        <v>35000000</v>
      </c>
      <c r="I1353">
        <v>5.6</v>
      </c>
      <c r="J1353" t="s">
        <v>8902</v>
      </c>
    </row>
    <row r="1354" spans="1:10" x14ac:dyDescent="0.3">
      <c r="A1354">
        <v>76</v>
      </c>
      <c r="B1354">
        <v>19447478</v>
      </c>
      <c r="C1354" t="s">
        <v>3200</v>
      </c>
      <c r="D1354" t="s">
        <v>3201</v>
      </c>
      <c r="E1354" t="s">
        <v>3202</v>
      </c>
      <c r="F1354" t="s">
        <v>7</v>
      </c>
      <c r="G1354" t="s">
        <v>15</v>
      </c>
      <c r="H1354">
        <v>35000000</v>
      </c>
      <c r="I1354">
        <v>6.1</v>
      </c>
      <c r="J1354" t="s">
        <v>8903</v>
      </c>
    </row>
    <row r="1355" spans="1:10" x14ac:dyDescent="0.3">
      <c r="A1355">
        <v>107</v>
      </c>
      <c r="B1355">
        <v>19389454</v>
      </c>
      <c r="C1355" t="s">
        <v>1040</v>
      </c>
      <c r="D1355" t="s">
        <v>3203</v>
      </c>
      <c r="E1355" t="s">
        <v>3204</v>
      </c>
      <c r="F1355" t="s">
        <v>7</v>
      </c>
      <c r="G1355" t="s">
        <v>8</v>
      </c>
      <c r="H1355">
        <v>55000000</v>
      </c>
      <c r="I1355">
        <v>6.9</v>
      </c>
      <c r="J1355" t="s">
        <v>8904</v>
      </c>
    </row>
    <row r="1356" spans="1:10" x14ac:dyDescent="0.3">
      <c r="A1356">
        <v>82</v>
      </c>
      <c r="B1356">
        <v>25871834</v>
      </c>
      <c r="C1356" t="s">
        <v>3205</v>
      </c>
      <c r="D1356" t="s">
        <v>3206</v>
      </c>
      <c r="E1356" t="s">
        <v>3207</v>
      </c>
      <c r="F1356" t="s">
        <v>7</v>
      </c>
      <c r="G1356" t="s">
        <v>8</v>
      </c>
      <c r="H1356">
        <v>35000000</v>
      </c>
      <c r="I1356">
        <v>5.2</v>
      </c>
      <c r="J1356" t="s">
        <v>8827</v>
      </c>
    </row>
    <row r="1357" spans="1:10" x14ac:dyDescent="0.3">
      <c r="A1357">
        <v>109</v>
      </c>
      <c r="B1357">
        <v>19692608</v>
      </c>
      <c r="C1357" t="s">
        <v>873</v>
      </c>
      <c r="D1357" t="s">
        <v>3208</v>
      </c>
      <c r="E1357" t="s">
        <v>3209</v>
      </c>
      <c r="F1357" t="s">
        <v>7</v>
      </c>
      <c r="G1357" t="s">
        <v>8</v>
      </c>
      <c r="H1357">
        <v>35000000</v>
      </c>
      <c r="I1357">
        <v>7</v>
      </c>
      <c r="J1357" t="s">
        <v>8843</v>
      </c>
    </row>
    <row r="1358" spans="1:10" x14ac:dyDescent="0.3">
      <c r="A1358">
        <v>99</v>
      </c>
      <c r="B1358">
        <v>19294901</v>
      </c>
      <c r="C1358" t="s">
        <v>3210</v>
      </c>
      <c r="D1358" t="s">
        <v>3211</v>
      </c>
      <c r="E1358" t="s">
        <v>3212</v>
      </c>
      <c r="F1358" t="s">
        <v>7</v>
      </c>
      <c r="G1358" t="s">
        <v>8</v>
      </c>
      <c r="H1358">
        <v>35000000</v>
      </c>
      <c r="I1358">
        <v>6.3</v>
      </c>
      <c r="J1358" t="s">
        <v>8536</v>
      </c>
    </row>
    <row r="1359" spans="1:10" x14ac:dyDescent="0.3">
      <c r="A1359">
        <v>91</v>
      </c>
      <c r="B1359">
        <v>20275446</v>
      </c>
      <c r="C1359" t="s">
        <v>118</v>
      </c>
      <c r="D1359" t="s">
        <v>3213</v>
      </c>
      <c r="E1359" t="s">
        <v>3214</v>
      </c>
      <c r="F1359" t="s">
        <v>7</v>
      </c>
      <c r="G1359" t="s">
        <v>8</v>
      </c>
      <c r="H1359">
        <v>35000000</v>
      </c>
      <c r="I1359">
        <v>7</v>
      </c>
      <c r="J1359" t="s">
        <v>8729</v>
      </c>
    </row>
    <row r="1360" spans="1:10" x14ac:dyDescent="0.3">
      <c r="A1360">
        <v>87</v>
      </c>
      <c r="B1360">
        <v>34507079</v>
      </c>
      <c r="C1360" t="s">
        <v>704</v>
      </c>
      <c r="D1360" t="s">
        <v>3215</v>
      </c>
      <c r="E1360" t="s">
        <v>3216</v>
      </c>
      <c r="F1360" t="s">
        <v>7</v>
      </c>
      <c r="G1360" t="s">
        <v>8</v>
      </c>
      <c r="H1360">
        <v>35000000</v>
      </c>
      <c r="I1360">
        <v>5.3</v>
      </c>
      <c r="J1360" t="s">
        <v>8905</v>
      </c>
    </row>
    <row r="1361" spans="1:10" x14ac:dyDescent="0.3">
      <c r="A1361">
        <v>125</v>
      </c>
      <c r="B1361">
        <v>18306166</v>
      </c>
      <c r="C1361" t="s">
        <v>476</v>
      </c>
      <c r="D1361" t="s">
        <v>3217</v>
      </c>
      <c r="E1361" t="s">
        <v>3218</v>
      </c>
      <c r="F1361" t="s">
        <v>7</v>
      </c>
      <c r="G1361" t="s">
        <v>15</v>
      </c>
      <c r="H1361">
        <v>35000000</v>
      </c>
      <c r="I1361">
        <v>6.9</v>
      </c>
      <c r="J1361" t="s">
        <v>8359</v>
      </c>
    </row>
    <row r="1362" spans="1:10" x14ac:dyDescent="0.3">
      <c r="A1362">
        <v>118</v>
      </c>
      <c r="B1362">
        <v>17609982</v>
      </c>
      <c r="C1362" t="s">
        <v>641</v>
      </c>
      <c r="D1362" t="s">
        <v>3219</v>
      </c>
      <c r="E1362" t="s">
        <v>3220</v>
      </c>
      <c r="F1362" t="s">
        <v>7</v>
      </c>
      <c r="G1362" t="s">
        <v>8</v>
      </c>
      <c r="H1362">
        <v>35000000</v>
      </c>
      <c r="I1362">
        <v>6.2</v>
      </c>
      <c r="J1362" t="s">
        <v>8906</v>
      </c>
    </row>
    <row r="1363" spans="1:10" x14ac:dyDescent="0.3">
      <c r="A1363">
        <v>98</v>
      </c>
      <c r="B1363">
        <v>16831505</v>
      </c>
      <c r="C1363" t="s">
        <v>1624</v>
      </c>
      <c r="D1363" t="s">
        <v>3221</v>
      </c>
      <c r="E1363" t="s">
        <v>3222</v>
      </c>
      <c r="F1363" t="s">
        <v>7</v>
      </c>
      <c r="G1363" t="s">
        <v>15</v>
      </c>
      <c r="H1363">
        <v>31000000</v>
      </c>
      <c r="I1363">
        <v>6.4</v>
      </c>
      <c r="J1363" t="s">
        <v>8907</v>
      </c>
    </row>
    <row r="1364" spans="1:10" x14ac:dyDescent="0.3">
      <c r="A1364">
        <v>92</v>
      </c>
      <c r="B1364">
        <v>17596256</v>
      </c>
      <c r="C1364" t="s">
        <v>1261</v>
      </c>
      <c r="D1364" t="s">
        <v>3223</v>
      </c>
      <c r="E1364" t="s">
        <v>3224</v>
      </c>
      <c r="F1364" t="s">
        <v>7</v>
      </c>
      <c r="G1364" t="s">
        <v>8</v>
      </c>
      <c r="H1364">
        <v>35000000</v>
      </c>
      <c r="I1364">
        <v>6.4</v>
      </c>
      <c r="J1364" t="s">
        <v>8904</v>
      </c>
    </row>
    <row r="1365" spans="1:10" x14ac:dyDescent="0.3">
      <c r="A1365">
        <v>92</v>
      </c>
      <c r="B1365">
        <v>14998070</v>
      </c>
      <c r="C1365" t="s">
        <v>3225</v>
      </c>
      <c r="D1365" t="s">
        <v>3226</v>
      </c>
      <c r="E1365" t="s">
        <v>3227</v>
      </c>
      <c r="F1365" t="s">
        <v>7</v>
      </c>
      <c r="G1365" t="s">
        <v>8</v>
      </c>
      <c r="H1365">
        <v>35000000</v>
      </c>
      <c r="I1365">
        <v>5.7</v>
      </c>
      <c r="J1365" t="s">
        <v>8700</v>
      </c>
    </row>
    <row r="1366" spans="1:10" x14ac:dyDescent="0.3">
      <c r="A1366">
        <v>115</v>
      </c>
      <c r="B1366">
        <v>14587732</v>
      </c>
      <c r="C1366" t="s">
        <v>775</v>
      </c>
      <c r="D1366" t="s">
        <v>3228</v>
      </c>
      <c r="E1366" t="s">
        <v>3229</v>
      </c>
      <c r="F1366" t="s">
        <v>7</v>
      </c>
      <c r="G1366" t="s">
        <v>8</v>
      </c>
      <c r="H1366">
        <v>35000000</v>
      </c>
      <c r="I1366">
        <v>6.1</v>
      </c>
      <c r="J1366" t="s">
        <v>8566</v>
      </c>
    </row>
    <row r="1367" spans="1:10" x14ac:dyDescent="0.3">
      <c r="A1367">
        <v>120</v>
      </c>
      <c r="B1367">
        <v>18317151</v>
      </c>
      <c r="C1367" t="s">
        <v>2708</v>
      </c>
      <c r="D1367" t="s">
        <v>3230</v>
      </c>
      <c r="E1367" t="s">
        <v>3231</v>
      </c>
      <c r="F1367" t="s">
        <v>7</v>
      </c>
      <c r="G1367" t="s">
        <v>8</v>
      </c>
      <c r="H1367">
        <v>35000000</v>
      </c>
      <c r="I1367">
        <v>5.4</v>
      </c>
      <c r="J1367" t="s">
        <v>8589</v>
      </c>
    </row>
    <row r="1368" spans="1:10" x14ac:dyDescent="0.3">
      <c r="A1368">
        <v>111</v>
      </c>
      <c r="B1368">
        <v>11405825</v>
      </c>
      <c r="C1368" t="s">
        <v>1417</v>
      </c>
      <c r="D1368" t="s">
        <v>3232</v>
      </c>
      <c r="E1368" t="s">
        <v>3233</v>
      </c>
      <c r="F1368" t="s">
        <v>7</v>
      </c>
      <c r="G1368" t="s">
        <v>8</v>
      </c>
      <c r="H1368">
        <v>35000000</v>
      </c>
      <c r="I1368">
        <v>6.7</v>
      </c>
      <c r="J1368" t="s">
        <v>8633</v>
      </c>
    </row>
    <row r="1369" spans="1:10" x14ac:dyDescent="0.3">
      <c r="A1369">
        <v>94</v>
      </c>
      <c r="B1369">
        <v>13264986</v>
      </c>
      <c r="C1369" t="s">
        <v>3234</v>
      </c>
      <c r="D1369" t="s">
        <v>3235</v>
      </c>
      <c r="E1369" t="s">
        <v>3236</v>
      </c>
      <c r="F1369" t="s">
        <v>7</v>
      </c>
      <c r="G1369" t="s">
        <v>8</v>
      </c>
      <c r="H1369">
        <v>35000000</v>
      </c>
      <c r="I1369">
        <v>6.8</v>
      </c>
      <c r="J1369" t="s">
        <v>8908</v>
      </c>
    </row>
    <row r="1370" spans="1:10" x14ac:dyDescent="0.3">
      <c r="A1370">
        <v>100</v>
      </c>
      <c r="B1370">
        <v>10991381</v>
      </c>
      <c r="C1370" t="s">
        <v>2569</v>
      </c>
      <c r="D1370" t="s">
        <v>3237</v>
      </c>
      <c r="E1370" t="s">
        <v>3238</v>
      </c>
      <c r="F1370" t="s">
        <v>7</v>
      </c>
      <c r="G1370" t="s">
        <v>15</v>
      </c>
      <c r="H1370">
        <v>35000000</v>
      </c>
      <c r="I1370">
        <v>6</v>
      </c>
      <c r="J1370" t="s">
        <v>8603</v>
      </c>
    </row>
    <row r="1371" spans="1:10" x14ac:dyDescent="0.3">
      <c r="A1371">
        <v>101</v>
      </c>
      <c r="B1371">
        <v>10268846</v>
      </c>
      <c r="C1371" t="s">
        <v>466</v>
      </c>
      <c r="D1371" t="s">
        <v>3239</v>
      </c>
      <c r="E1371" t="s">
        <v>3240</v>
      </c>
      <c r="F1371" t="s">
        <v>7</v>
      </c>
      <c r="G1371" t="s">
        <v>8</v>
      </c>
      <c r="H1371">
        <v>35000000</v>
      </c>
      <c r="I1371">
        <v>7.8</v>
      </c>
      <c r="J1371" t="s">
        <v>8761</v>
      </c>
    </row>
    <row r="1372" spans="1:10" x14ac:dyDescent="0.3">
      <c r="A1372">
        <v>139</v>
      </c>
      <c r="B1372">
        <v>13303319</v>
      </c>
      <c r="C1372" t="s">
        <v>2231</v>
      </c>
      <c r="D1372" t="s">
        <v>3241</v>
      </c>
      <c r="E1372" t="s">
        <v>3242</v>
      </c>
      <c r="F1372" t="s">
        <v>7</v>
      </c>
      <c r="G1372" t="s">
        <v>8</v>
      </c>
      <c r="H1372">
        <v>32000000</v>
      </c>
      <c r="I1372">
        <v>5.3</v>
      </c>
      <c r="J1372" t="s">
        <v>8758</v>
      </c>
    </row>
    <row r="1373" spans="1:10" x14ac:dyDescent="0.3">
      <c r="A1373">
        <v>91</v>
      </c>
      <c r="B1373">
        <v>10076136</v>
      </c>
      <c r="C1373" t="s">
        <v>697</v>
      </c>
      <c r="D1373" t="s">
        <v>3243</v>
      </c>
      <c r="E1373" t="s">
        <v>3244</v>
      </c>
      <c r="F1373" t="s">
        <v>7</v>
      </c>
      <c r="G1373" t="s">
        <v>3245</v>
      </c>
      <c r="H1373">
        <v>35000000</v>
      </c>
      <c r="I1373">
        <v>4.5</v>
      </c>
      <c r="J1373" t="s">
        <v>8436</v>
      </c>
    </row>
    <row r="1374" spans="1:10" x14ac:dyDescent="0.3">
      <c r="A1374">
        <v>109</v>
      </c>
      <c r="B1374">
        <v>10499968</v>
      </c>
      <c r="C1374" t="s">
        <v>164</v>
      </c>
      <c r="D1374" t="s">
        <v>3246</v>
      </c>
      <c r="E1374" t="s">
        <v>3247</v>
      </c>
      <c r="F1374" t="s">
        <v>7</v>
      </c>
      <c r="G1374" t="s">
        <v>8</v>
      </c>
      <c r="H1374">
        <v>35000000</v>
      </c>
      <c r="I1374">
        <v>5.4</v>
      </c>
      <c r="J1374" t="s">
        <v>8909</v>
      </c>
    </row>
    <row r="1375" spans="1:10" x14ac:dyDescent="0.3">
      <c r="A1375">
        <v>102</v>
      </c>
      <c r="B1375">
        <v>7659747</v>
      </c>
      <c r="C1375" t="s">
        <v>449</v>
      </c>
      <c r="D1375" t="s">
        <v>3248</v>
      </c>
      <c r="E1375" t="s">
        <v>3249</v>
      </c>
      <c r="F1375" t="s">
        <v>7</v>
      </c>
      <c r="G1375" t="s">
        <v>8</v>
      </c>
      <c r="H1375">
        <v>38000000</v>
      </c>
      <c r="I1375">
        <v>7.8</v>
      </c>
      <c r="J1375" t="s">
        <v>8528</v>
      </c>
    </row>
    <row r="1376" spans="1:10" x14ac:dyDescent="0.3">
      <c r="A1376">
        <v>103</v>
      </c>
      <c r="B1376">
        <v>7948159</v>
      </c>
      <c r="C1376" t="s">
        <v>164</v>
      </c>
      <c r="D1376" t="s">
        <v>3250</v>
      </c>
      <c r="E1376" t="s">
        <v>3251</v>
      </c>
      <c r="F1376" t="s">
        <v>7</v>
      </c>
      <c r="G1376" t="s">
        <v>8</v>
      </c>
      <c r="H1376">
        <v>35000000</v>
      </c>
      <c r="I1376">
        <v>7.2</v>
      </c>
      <c r="J1376" t="s">
        <v>8910</v>
      </c>
    </row>
    <row r="1377" spans="1:10" x14ac:dyDescent="0.3">
      <c r="A1377">
        <v>83</v>
      </c>
      <c r="B1377">
        <v>11631245</v>
      </c>
      <c r="C1377" t="s">
        <v>3252</v>
      </c>
      <c r="D1377" t="s">
        <v>3253</v>
      </c>
      <c r="E1377" t="s">
        <v>3254</v>
      </c>
      <c r="F1377" t="s">
        <v>7</v>
      </c>
      <c r="G1377" t="s">
        <v>8</v>
      </c>
      <c r="H1377">
        <v>35000000</v>
      </c>
      <c r="I1377">
        <v>6.6</v>
      </c>
      <c r="J1377" t="s">
        <v>8483</v>
      </c>
    </row>
    <row r="1378" spans="1:10" x14ac:dyDescent="0.3">
      <c r="A1378">
        <v>123</v>
      </c>
      <c r="B1378">
        <v>10137502</v>
      </c>
      <c r="C1378" t="s">
        <v>3255</v>
      </c>
      <c r="D1378" t="s">
        <v>3256</v>
      </c>
      <c r="E1378" t="s">
        <v>3257</v>
      </c>
      <c r="F1378" t="s">
        <v>7</v>
      </c>
      <c r="G1378" t="s">
        <v>8</v>
      </c>
      <c r="H1378">
        <v>35000000</v>
      </c>
      <c r="I1378">
        <v>7.6</v>
      </c>
      <c r="J1378" t="s">
        <v>8318</v>
      </c>
    </row>
    <row r="1379" spans="1:10" x14ac:dyDescent="0.3">
      <c r="A1379">
        <v>101</v>
      </c>
      <c r="B1379">
        <v>6448817</v>
      </c>
      <c r="C1379" t="s">
        <v>9</v>
      </c>
      <c r="D1379" t="s">
        <v>3258</v>
      </c>
      <c r="E1379" t="s">
        <v>3259</v>
      </c>
      <c r="F1379" t="s">
        <v>7</v>
      </c>
      <c r="G1379" t="s">
        <v>8</v>
      </c>
      <c r="H1379">
        <v>35000000</v>
      </c>
      <c r="I1379">
        <v>5.9</v>
      </c>
      <c r="J1379" t="s">
        <v>8352</v>
      </c>
    </row>
    <row r="1380" spans="1:10" x14ac:dyDescent="0.3">
      <c r="A1380">
        <v>117</v>
      </c>
      <c r="B1380">
        <v>7458269</v>
      </c>
      <c r="C1380" t="s">
        <v>561</v>
      </c>
      <c r="D1380" t="s">
        <v>3260</v>
      </c>
      <c r="E1380" t="s">
        <v>3261</v>
      </c>
      <c r="F1380" t="s">
        <v>7</v>
      </c>
      <c r="G1380" t="s">
        <v>8</v>
      </c>
      <c r="H1380">
        <v>35000000</v>
      </c>
      <c r="I1380">
        <v>6.7</v>
      </c>
      <c r="J1380" t="s">
        <v>8399</v>
      </c>
    </row>
    <row r="1381" spans="1:10" x14ac:dyDescent="0.3">
      <c r="A1381">
        <v>114</v>
      </c>
      <c r="B1381">
        <v>4651977</v>
      </c>
      <c r="C1381" t="s">
        <v>1417</v>
      </c>
      <c r="D1381" t="s">
        <v>3262</v>
      </c>
      <c r="E1381" t="s">
        <v>3263</v>
      </c>
      <c r="F1381" t="s">
        <v>7</v>
      </c>
      <c r="G1381" t="s">
        <v>8</v>
      </c>
      <c r="H1381">
        <v>35000000</v>
      </c>
      <c r="I1381">
        <v>7.7</v>
      </c>
      <c r="J1381" t="s">
        <v>8492</v>
      </c>
    </row>
    <row r="1382" spans="1:10" x14ac:dyDescent="0.3">
      <c r="A1382">
        <v>121</v>
      </c>
      <c r="B1382">
        <v>2221994</v>
      </c>
      <c r="C1382" t="s">
        <v>550</v>
      </c>
      <c r="D1382" t="s">
        <v>3264</v>
      </c>
      <c r="E1382" t="s">
        <v>3265</v>
      </c>
      <c r="F1382" t="s">
        <v>7</v>
      </c>
      <c r="G1382" t="s">
        <v>3266</v>
      </c>
      <c r="H1382">
        <v>35000000</v>
      </c>
      <c r="I1382">
        <v>5.4</v>
      </c>
      <c r="J1382" t="s">
        <v>8716</v>
      </c>
    </row>
    <row r="1383" spans="1:10" x14ac:dyDescent="0.3">
      <c r="A1383">
        <v>114</v>
      </c>
      <c r="B1383">
        <v>6592103</v>
      </c>
      <c r="C1383" t="s">
        <v>882</v>
      </c>
      <c r="D1383" t="s">
        <v>3267</v>
      </c>
      <c r="E1383" t="s">
        <v>3268</v>
      </c>
      <c r="F1383" t="s">
        <v>7</v>
      </c>
      <c r="G1383" t="s">
        <v>583</v>
      </c>
      <c r="H1383">
        <v>35000000</v>
      </c>
      <c r="I1383">
        <v>6.9</v>
      </c>
      <c r="J1383" t="s">
        <v>8531</v>
      </c>
    </row>
    <row r="1384" spans="1:10" x14ac:dyDescent="0.3">
      <c r="A1384">
        <v>148</v>
      </c>
      <c r="B1384">
        <v>630779</v>
      </c>
      <c r="C1384" t="s">
        <v>3269</v>
      </c>
      <c r="D1384" t="s">
        <v>3270</v>
      </c>
      <c r="E1384" t="s">
        <v>3271</v>
      </c>
      <c r="F1384" t="s">
        <v>7</v>
      </c>
      <c r="G1384" t="s">
        <v>8</v>
      </c>
      <c r="H1384">
        <v>35000000</v>
      </c>
      <c r="I1384">
        <v>7.7</v>
      </c>
      <c r="J1384" t="s">
        <v>8900</v>
      </c>
    </row>
    <row r="1385" spans="1:10" x14ac:dyDescent="0.3">
      <c r="A1385">
        <v>113</v>
      </c>
      <c r="B1385">
        <v>102413606</v>
      </c>
      <c r="C1385" t="s">
        <v>656</v>
      </c>
      <c r="D1385" t="s">
        <v>3272</v>
      </c>
      <c r="E1385" t="s">
        <v>3273</v>
      </c>
      <c r="F1385" t="s">
        <v>7</v>
      </c>
      <c r="G1385" t="s">
        <v>8</v>
      </c>
      <c r="H1385">
        <v>34000000</v>
      </c>
      <c r="I1385">
        <v>6.8</v>
      </c>
      <c r="J1385" t="s">
        <v>8638</v>
      </c>
    </row>
    <row r="1386" spans="1:10" x14ac:dyDescent="0.3">
      <c r="A1386">
        <v>91</v>
      </c>
      <c r="B1386">
        <v>10214013</v>
      </c>
      <c r="C1386" t="s">
        <v>668</v>
      </c>
      <c r="D1386" t="s">
        <v>3274</v>
      </c>
      <c r="E1386" t="s">
        <v>3275</v>
      </c>
      <c r="F1386" t="s">
        <v>7</v>
      </c>
      <c r="G1386" t="s">
        <v>8</v>
      </c>
      <c r="H1386">
        <v>35000000</v>
      </c>
      <c r="I1386">
        <v>6.4</v>
      </c>
      <c r="J1386" t="s">
        <v>8911</v>
      </c>
    </row>
    <row r="1387" spans="1:10" x14ac:dyDescent="0.3">
      <c r="A1387">
        <v>139</v>
      </c>
      <c r="B1387">
        <v>32000000</v>
      </c>
      <c r="C1387" t="s">
        <v>73</v>
      </c>
      <c r="D1387" t="s">
        <v>3276</v>
      </c>
      <c r="E1387" t="s">
        <v>3277</v>
      </c>
      <c r="F1387" t="s">
        <v>7</v>
      </c>
      <c r="G1387" t="s">
        <v>8</v>
      </c>
      <c r="H1387">
        <v>30000000</v>
      </c>
      <c r="I1387">
        <v>5.7</v>
      </c>
      <c r="J1387" t="s">
        <v>8531</v>
      </c>
    </row>
    <row r="1388" spans="1:10" x14ac:dyDescent="0.3">
      <c r="A1388">
        <v>96</v>
      </c>
      <c r="B1388">
        <v>10139254</v>
      </c>
      <c r="C1388" t="s">
        <v>746</v>
      </c>
      <c r="D1388" t="s">
        <v>3278</v>
      </c>
      <c r="E1388" t="s">
        <v>3279</v>
      </c>
      <c r="F1388" t="s">
        <v>7</v>
      </c>
      <c r="G1388" t="s">
        <v>8</v>
      </c>
      <c r="H1388">
        <v>35000000</v>
      </c>
      <c r="I1388">
        <v>7.3</v>
      </c>
      <c r="J1388" t="s">
        <v>8342</v>
      </c>
    </row>
    <row r="1389" spans="1:10" x14ac:dyDescent="0.3">
      <c r="A1389">
        <v>102</v>
      </c>
      <c r="B1389">
        <v>11227940</v>
      </c>
      <c r="C1389" t="s">
        <v>3280</v>
      </c>
      <c r="D1389" t="s">
        <v>3281</v>
      </c>
      <c r="E1389" t="s">
        <v>3282</v>
      </c>
      <c r="F1389" t="s">
        <v>7</v>
      </c>
      <c r="G1389" t="s">
        <v>8</v>
      </c>
      <c r="H1389">
        <v>34000000</v>
      </c>
      <c r="I1389">
        <v>6.8</v>
      </c>
      <c r="J1389" t="s">
        <v>8568</v>
      </c>
    </row>
    <row r="1390" spans="1:10" x14ac:dyDescent="0.3">
      <c r="A1390">
        <v>96</v>
      </c>
      <c r="B1390">
        <v>183125</v>
      </c>
      <c r="C1390" t="s">
        <v>164</v>
      </c>
      <c r="D1390" t="s">
        <v>3283</v>
      </c>
      <c r="E1390" t="s">
        <v>3284</v>
      </c>
      <c r="F1390" t="s">
        <v>7</v>
      </c>
      <c r="G1390" t="s">
        <v>8</v>
      </c>
      <c r="H1390">
        <v>35000000</v>
      </c>
      <c r="I1390">
        <v>6.3</v>
      </c>
      <c r="J1390" t="s">
        <v>8580</v>
      </c>
    </row>
    <row r="1391" spans="1:10" x14ac:dyDescent="0.3">
      <c r="A1391">
        <v>101</v>
      </c>
      <c r="B1391">
        <v>15081783</v>
      </c>
      <c r="C1391" t="s">
        <v>230</v>
      </c>
      <c r="D1391" t="s">
        <v>3285</v>
      </c>
      <c r="E1391" t="s">
        <v>3286</v>
      </c>
      <c r="F1391" t="s">
        <v>247</v>
      </c>
      <c r="G1391" t="s">
        <v>248</v>
      </c>
      <c r="H1391">
        <v>34000000</v>
      </c>
      <c r="I1391">
        <v>5.9</v>
      </c>
      <c r="J1391" t="s">
        <v>8912</v>
      </c>
    </row>
    <row r="1392" spans="1:10" x14ac:dyDescent="0.3">
      <c r="A1392">
        <v>128</v>
      </c>
      <c r="B1392">
        <v>37432299</v>
      </c>
      <c r="C1392" t="s">
        <v>73</v>
      </c>
      <c r="D1392" t="s">
        <v>3287</v>
      </c>
      <c r="E1392" t="s">
        <v>3288</v>
      </c>
      <c r="F1392" t="s">
        <v>7</v>
      </c>
      <c r="G1392" t="s">
        <v>8</v>
      </c>
      <c r="H1392">
        <v>34000000</v>
      </c>
      <c r="I1392">
        <v>7.4</v>
      </c>
      <c r="J1392" t="s">
        <v>8534</v>
      </c>
    </row>
    <row r="1393" spans="1:10" x14ac:dyDescent="0.3">
      <c r="A1393">
        <v>109</v>
      </c>
      <c r="B1393">
        <v>10654581</v>
      </c>
      <c r="C1393" t="s">
        <v>1110</v>
      </c>
      <c r="D1393" t="s">
        <v>3289</v>
      </c>
      <c r="E1393" t="s">
        <v>3290</v>
      </c>
      <c r="F1393" t="s">
        <v>7</v>
      </c>
      <c r="G1393" t="s">
        <v>8</v>
      </c>
      <c r="H1393">
        <v>34000000</v>
      </c>
      <c r="I1393">
        <v>8.3000000000000007</v>
      </c>
      <c r="J1393" t="s">
        <v>8717</v>
      </c>
    </row>
    <row r="1394" spans="1:10" x14ac:dyDescent="0.3">
      <c r="A1394">
        <v>114</v>
      </c>
      <c r="B1394">
        <v>6543194</v>
      </c>
      <c r="C1394" t="s">
        <v>955</v>
      </c>
      <c r="D1394" t="s">
        <v>3291</v>
      </c>
      <c r="E1394" t="s">
        <v>3292</v>
      </c>
      <c r="F1394" t="s">
        <v>7</v>
      </c>
      <c r="G1394" t="s">
        <v>8</v>
      </c>
      <c r="H1394">
        <v>34000000</v>
      </c>
      <c r="I1394">
        <v>6.2</v>
      </c>
      <c r="J1394" t="s">
        <v>8354</v>
      </c>
    </row>
    <row r="1395" spans="1:10" x14ac:dyDescent="0.3">
      <c r="A1395">
        <v>105</v>
      </c>
      <c r="B1395">
        <v>13101142</v>
      </c>
      <c r="C1395" t="s">
        <v>1624</v>
      </c>
      <c r="D1395" t="s">
        <v>3293</v>
      </c>
      <c r="E1395" t="s">
        <v>3294</v>
      </c>
      <c r="F1395" t="s">
        <v>7</v>
      </c>
      <c r="G1395" t="s">
        <v>8</v>
      </c>
      <c r="H1395">
        <v>35000000</v>
      </c>
      <c r="I1395">
        <v>6.3</v>
      </c>
      <c r="J1395" t="s">
        <v>8482</v>
      </c>
    </row>
    <row r="1396" spans="1:10" x14ac:dyDescent="0.3">
      <c r="A1396">
        <v>141</v>
      </c>
      <c r="B1396">
        <v>8324748</v>
      </c>
      <c r="C1396" t="s">
        <v>2495</v>
      </c>
      <c r="D1396" t="s">
        <v>3295</v>
      </c>
      <c r="E1396" t="s">
        <v>3296</v>
      </c>
      <c r="F1396" t="s">
        <v>7</v>
      </c>
      <c r="G1396" t="s">
        <v>15</v>
      </c>
      <c r="H1396">
        <v>35000000</v>
      </c>
      <c r="I1396">
        <v>5.8</v>
      </c>
      <c r="J1396" t="s">
        <v>8439</v>
      </c>
    </row>
    <row r="1397" spans="1:10" x14ac:dyDescent="0.3">
      <c r="A1397">
        <v>138</v>
      </c>
      <c r="B1397">
        <v>141340178</v>
      </c>
      <c r="C1397" t="s">
        <v>1704</v>
      </c>
      <c r="D1397" t="s">
        <v>3297</v>
      </c>
      <c r="E1397" t="s">
        <v>3298</v>
      </c>
      <c r="F1397" t="s">
        <v>7</v>
      </c>
      <c r="G1397" t="s">
        <v>8</v>
      </c>
      <c r="H1397">
        <v>40000000</v>
      </c>
      <c r="I1397">
        <v>7.5</v>
      </c>
      <c r="J1397" t="s">
        <v>8841</v>
      </c>
    </row>
    <row r="1398" spans="1:10" x14ac:dyDescent="0.3">
      <c r="A1398">
        <v>101</v>
      </c>
      <c r="B1398">
        <v>51758599</v>
      </c>
      <c r="C1398" t="s">
        <v>1480</v>
      </c>
      <c r="D1398" t="s">
        <v>3299</v>
      </c>
      <c r="E1398" t="s">
        <v>3300</v>
      </c>
      <c r="F1398" t="s">
        <v>7</v>
      </c>
      <c r="G1398" t="s">
        <v>8</v>
      </c>
      <c r="H1398">
        <v>33000000</v>
      </c>
      <c r="I1398">
        <v>6.3</v>
      </c>
      <c r="J1398" t="s">
        <v>8521</v>
      </c>
    </row>
    <row r="1399" spans="1:10" x14ac:dyDescent="0.3">
      <c r="A1399">
        <v>99</v>
      </c>
      <c r="B1399">
        <v>117559438</v>
      </c>
      <c r="C1399" t="s">
        <v>704</v>
      </c>
      <c r="D1399" t="s">
        <v>3301</v>
      </c>
      <c r="E1399" t="s">
        <v>3302</v>
      </c>
      <c r="F1399" t="s">
        <v>7</v>
      </c>
      <c r="G1399" t="s">
        <v>8</v>
      </c>
      <c r="H1399">
        <v>30000000</v>
      </c>
      <c r="I1399">
        <v>6.4</v>
      </c>
      <c r="J1399" t="s">
        <v>8590</v>
      </c>
    </row>
    <row r="1400" spans="1:10" x14ac:dyDescent="0.3">
      <c r="A1400">
        <v>85</v>
      </c>
      <c r="B1400">
        <v>4091</v>
      </c>
      <c r="C1400" t="s">
        <v>96</v>
      </c>
      <c r="D1400" t="s">
        <v>3303</v>
      </c>
      <c r="E1400" t="s">
        <v>3304</v>
      </c>
      <c r="F1400" t="s">
        <v>7</v>
      </c>
      <c r="G1400" t="s">
        <v>214</v>
      </c>
      <c r="H1400">
        <v>34000000</v>
      </c>
      <c r="I1400">
        <v>7.2</v>
      </c>
      <c r="J1400" t="s">
        <v>8590</v>
      </c>
    </row>
    <row r="1401" spans="1:10" x14ac:dyDescent="0.3">
      <c r="A1401">
        <v>89</v>
      </c>
      <c r="B1401">
        <v>21426805</v>
      </c>
      <c r="C1401" t="s">
        <v>121</v>
      </c>
      <c r="D1401" t="s">
        <v>3305</v>
      </c>
      <c r="E1401" t="s">
        <v>3306</v>
      </c>
      <c r="F1401" t="s">
        <v>7</v>
      </c>
      <c r="G1401" t="s">
        <v>8</v>
      </c>
      <c r="H1401">
        <v>30000000</v>
      </c>
      <c r="I1401">
        <v>6.3</v>
      </c>
      <c r="J1401" t="s">
        <v>8913</v>
      </c>
    </row>
    <row r="1402" spans="1:10" x14ac:dyDescent="0.3">
      <c r="A1402">
        <v>99</v>
      </c>
      <c r="B1402">
        <v>35057332</v>
      </c>
      <c r="C1402" t="s">
        <v>3307</v>
      </c>
      <c r="D1402" t="s">
        <v>3308</v>
      </c>
      <c r="E1402" t="s">
        <v>3309</v>
      </c>
      <c r="F1402" t="s">
        <v>7</v>
      </c>
      <c r="G1402" t="s">
        <v>8</v>
      </c>
      <c r="H1402">
        <v>33000000</v>
      </c>
      <c r="I1402">
        <v>6.9</v>
      </c>
      <c r="J1402" t="s">
        <v>8914</v>
      </c>
    </row>
    <row r="1403" spans="1:10" x14ac:dyDescent="0.3">
      <c r="A1403">
        <v>105</v>
      </c>
      <c r="B1403">
        <v>34014398</v>
      </c>
      <c r="C1403" t="s">
        <v>3310</v>
      </c>
      <c r="D1403" t="s">
        <v>3311</v>
      </c>
      <c r="E1403" t="s">
        <v>3312</v>
      </c>
      <c r="F1403" t="s">
        <v>7</v>
      </c>
      <c r="G1403" t="s">
        <v>284</v>
      </c>
      <c r="H1403">
        <v>33000000</v>
      </c>
      <c r="I1403">
        <v>6.6</v>
      </c>
      <c r="J1403" t="s">
        <v>8622</v>
      </c>
    </row>
    <row r="1404" spans="1:10" x14ac:dyDescent="0.3">
      <c r="A1404">
        <v>97</v>
      </c>
      <c r="B1404">
        <v>28927720</v>
      </c>
      <c r="C1404" t="s">
        <v>2016</v>
      </c>
      <c r="D1404" t="s">
        <v>3313</v>
      </c>
      <c r="E1404" t="s">
        <v>3314</v>
      </c>
      <c r="F1404" t="s">
        <v>7</v>
      </c>
      <c r="G1404" t="s">
        <v>8</v>
      </c>
      <c r="H1404">
        <v>33000000</v>
      </c>
      <c r="I1404">
        <v>6</v>
      </c>
      <c r="J1404" t="s">
        <v>8844</v>
      </c>
    </row>
    <row r="1405" spans="1:10" x14ac:dyDescent="0.3">
      <c r="A1405">
        <v>140</v>
      </c>
      <c r="B1405">
        <v>33682273</v>
      </c>
      <c r="C1405" t="s">
        <v>164</v>
      </c>
      <c r="D1405" t="s">
        <v>3315</v>
      </c>
      <c r="E1405" t="s">
        <v>3316</v>
      </c>
      <c r="F1405" t="s">
        <v>7</v>
      </c>
      <c r="G1405" t="s">
        <v>8</v>
      </c>
      <c r="H1405">
        <v>33000000</v>
      </c>
      <c r="I1405">
        <v>7.5</v>
      </c>
      <c r="J1405" t="s">
        <v>8492</v>
      </c>
    </row>
    <row r="1406" spans="1:10" x14ac:dyDescent="0.3">
      <c r="A1406">
        <v>118</v>
      </c>
      <c r="B1406">
        <v>4280577</v>
      </c>
      <c r="C1406" t="s">
        <v>2056</v>
      </c>
      <c r="D1406" t="s">
        <v>3317</v>
      </c>
      <c r="E1406" t="s">
        <v>3318</v>
      </c>
      <c r="F1406" t="s">
        <v>7</v>
      </c>
      <c r="G1406" t="s">
        <v>8</v>
      </c>
      <c r="H1406">
        <v>10000000</v>
      </c>
      <c r="I1406">
        <v>7.7</v>
      </c>
      <c r="J1406" t="s">
        <v>8730</v>
      </c>
    </row>
    <row r="1407" spans="1:10" x14ac:dyDescent="0.3">
      <c r="A1407">
        <v>94</v>
      </c>
      <c r="B1407">
        <v>17120019</v>
      </c>
      <c r="C1407" t="s">
        <v>118</v>
      </c>
      <c r="D1407" t="s">
        <v>3319</v>
      </c>
      <c r="E1407" t="s">
        <v>3320</v>
      </c>
      <c r="F1407" t="s">
        <v>7</v>
      </c>
      <c r="G1407" t="s">
        <v>8</v>
      </c>
      <c r="H1407">
        <v>30000000</v>
      </c>
      <c r="I1407">
        <v>6.2</v>
      </c>
      <c r="J1407" t="s">
        <v>8580</v>
      </c>
    </row>
    <row r="1408" spans="1:10" x14ac:dyDescent="0.3">
      <c r="A1408">
        <v>124</v>
      </c>
      <c r="B1408">
        <v>8406264</v>
      </c>
      <c r="C1408" t="s">
        <v>561</v>
      </c>
      <c r="D1408" t="s">
        <v>3321</v>
      </c>
      <c r="E1408" t="s">
        <v>3322</v>
      </c>
      <c r="F1408" t="s">
        <v>7</v>
      </c>
      <c r="G1408" t="s">
        <v>8</v>
      </c>
      <c r="H1408">
        <v>38000000</v>
      </c>
      <c r="I1408">
        <v>5.4</v>
      </c>
      <c r="J1408" t="s">
        <v>8498</v>
      </c>
    </row>
    <row r="1409" spans="1:10" x14ac:dyDescent="0.3">
      <c r="A1409">
        <v>134</v>
      </c>
      <c r="B1409">
        <v>309125409</v>
      </c>
      <c r="C1409" t="s">
        <v>4</v>
      </c>
      <c r="D1409" t="s">
        <v>3323</v>
      </c>
      <c r="E1409" t="s">
        <v>3324</v>
      </c>
      <c r="F1409" t="s">
        <v>7</v>
      </c>
      <c r="G1409" t="s">
        <v>8</v>
      </c>
      <c r="H1409">
        <v>32500000</v>
      </c>
      <c r="I1409">
        <v>6.6</v>
      </c>
      <c r="J1409" t="s">
        <v>8915</v>
      </c>
    </row>
    <row r="1410" spans="1:10" x14ac:dyDescent="0.3">
      <c r="A1410">
        <v>113</v>
      </c>
      <c r="B1410">
        <v>10955425</v>
      </c>
      <c r="C1410" t="s">
        <v>1157</v>
      </c>
      <c r="D1410" t="s">
        <v>3325</v>
      </c>
      <c r="E1410" t="s">
        <v>3326</v>
      </c>
      <c r="F1410" t="s">
        <v>7</v>
      </c>
      <c r="G1410" t="s">
        <v>15</v>
      </c>
      <c r="H1410">
        <v>30000000</v>
      </c>
      <c r="I1410">
        <v>5.3</v>
      </c>
      <c r="J1410" t="s">
        <v>8840</v>
      </c>
    </row>
    <row r="1411" spans="1:10" x14ac:dyDescent="0.3">
      <c r="A1411">
        <v>124</v>
      </c>
      <c r="B1411">
        <v>34180954</v>
      </c>
      <c r="C1411" t="s">
        <v>73</v>
      </c>
      <c r="D1411" t="s">
        <v>3327</v>
      </c>
      <c r="E1411" t="s">
        <v>3328</v>
      </c>
      <c r="F1411" t="s">
        <v>7</v>
      </c>
      <c r="G1411" t="s">
        <v>8</v>
      </c>
      <c r="H1411">
        <v>32000000</v>
      </c>
      <c r="I1411">
        <v>5.6</v>
      </c>
      <c r="J1411" t="s">
        <v>8499</v>
      </c>
    </row>
    <row r="1412" spans="1:10" x14ac:dyDescent="0.3">
      <c r="A1412">
        <v>97</v>
      </c>
      <c r="B1412">
        <v>173381405</v>
      </c>
      <c r="C1412" t="s">
        <v>1082</v>
      </c>
      <c r="D1412" t="s">
        <v>3329</v>
      </c>
      <c r="E1412" t="s">
        <v>3330</v>
      </c>
      <c r="F1412" t="s">
        <v>7</v>
      </c>
      <c r="G1412" t="s">
        <v>8</v>
      </c>
      <c r="H1412">
        <v>33000000</v>
      </c>
      <c r="I1412">
        <v>5.9</v>
      </c>
      <c r="J1412" t="s">
        <v>8916</v>
      </c>
    </row>
    <row r="1413" spans="1:10" x14ac:dyDescent="0.3">
      <c r="A1413">
        <v>123</v>
      </c>
      <c r="B1413">
        <v>104632573</v>
      </c>
      <c r="C1413" t="s">
        <v>2925</v>
      </c>
      <c r="D1413" t="s">
        <v>3331</v>
      </c>
      <c r="E1413" t="s">
        <v>3332</v>
      </c>
      <c r="F1413" t="s">
        <v>7</v>
      </c>
      <c r="G1413" t="s">
        <v>8</v>
      </c>
      <c r="H1413">
        <v>32000000</v>
      </c>
      <c r="I1413">
        <v>7.8</v>
      </c>
      <c r="J1413" t="s">
        <v>8330</v>
      </c>
    </row>
    <row r="1414" spans="1:10" x14ac:dyDescent="0.3">
      <c r="A1414">
        <v>99</v>
      </c>
      <c r="B1414">
        <v>81150692</v>
      </c>
      <c r="C1414" t="s">
        <v>3333</v>
      </c>
      <c r="D1414" t="s">
        <v>3334</v>
      </c>
      <c r="E1414" t="s">
        <v>3335</v>
      </c>
      <c r="F1414" t="s">
        <v>7</v>
      </c>
      <c r="G1414" t="s">
        <v>95</v>
      </c>
      <c r="H1414">
        <v>35000000</v>
      </c>
      <c r="I1414">
        <v>6.7</v>
      </c>
      <c r="J1414" t="s">
        <v>8509</v>
      </c>
    </row>
    <row r="1415" spans="1:10" x14ac:dyDescent="0.3">
      <c r="A1415">
        <v>101</v>
      </c>
      <c r="B1415">
        <v>60328558</v>
      </c>
      <c r="C1415" t="s">
        <v>3336</v>
      </c>
      <c r="D1415" t="s">
        <v>3337</v>
      </c>
      <c r="E1415" t="s">
        <v>3338</v>
      </c>
      <c r="F1415" t="s">
        <v>7</v>
      </c>
      <c r="G1415" t="s">
        <v>8</v>
      </c>
      <c r="H1415">
        <v>32000000</v>
      </c>
      <c r="I1415">
        <v>7.4</v>
      </c>
      <c r="J1415" t="s">
        <v>8917</v>
      </c>
    </row>
    <row r="1416" spans="1:10" x14ac:dyDescent="0.3">
      <c r="A1416">
        <v>92</v>
      </c>
      <c r="B1416">
        <v>80197993</v>
      </c>
      <c r="C1416" t="s">
        <v>3339</v>
      </c>
      <c r="D1416" t="s">
        <v>3340</v>
      </c>
      <c r="E1416" t="s">
        <v>3341</v>
      </c>
      <c r="F1416" t="s">
        <v>7</v>
      </c>
      <c r="G1416" t="s">
        <v>284</v>
      </c>
      <c r="H1416">
        <v>32000000</v>
      </c>
      <c r="I1416">
        <v>6.2</v>
      </c>
      <c r="J1416" t="s">
        <v>8900</v>
      </c>
    </row>
    <row r="1417" spans="1:10" x14ac:dyDescent="0.3">
      <c r="A1417">
        <v>131</v>
      </c>
      <c r="B1417">
        <v>169076745</v>
      </c>
      <c r="C1417" t="s">
        <v>672</v>
      </c>
      <c r="D1417" t="s">
        <v>3342</v>
      </c>
      <c r="E1417" t="s">
        <v>3343</v>
      </c>
      <c r="F1417" t="s">
        <v>7</v>
      </c>
      <c r="G1417" t="s">
        <v>8</v>
      </c>
      <c r="H1417">
        <v>32500000</v>
      </c>
      <c r="I1417">
        <v>5.4</v>
      </c>
      <c r="J1417" t="s">
        <v>8491</v>
      </c>
    </row>
    <row r="1418" spans="1:10" x14ac:dyDescent="0.3">
      <c r="A1418">
        <v>107</v>
      </c>
      <c r="B1418">
        <v>101470202</v>
      </c>
      <c r="C1418" t="s">
        <v>1149</v>
      </c>
      <c r="D1418" t="s">
        <v>3344</v>
      </c>
      <c r="E1418" t="s">
        <v>3345</v>
      </c>
      <c r="F1418" t="s">
        <v>7</v>
      </c>
      <c r="G1418" t="s">
        <v>8</v>
      </c>
      <c r="H1418">
        <v>32000000</v>
      </c>
      <c r="I1418">
        <v>6.7</v>
      </c>
      <c r="J1418" t="s">
        <v>8761</v>
      </c>
    </row>
    <row r="1419" spans="1:10" x14ac:dyDescent="0.3">
      <c r="A1419">
        <v>103</v>
      </c>
      <c r="B1419">
        <v>50041732</v>
      </c>
      <c r="C1419" t="s">
        <v>2701</v>
      </c>
      <c r="D1419" t="s">
        <v>3346</v>
      </c>
      <c r="E1419" t="s">
        <v>3347</v>
      </c>
      <c r="F1419" t="s">
        <v>7</v>
      </c>
      <c r="G1419" t="s">
        <v>8</v>
      </c>
      <c r="H1419">
        <v>29000000</v>
      </c>
      <c r="I1419">
        <v>5.3</v>
      </c>
      <c r="J1419" t="s">
        <v>8918</v>
      </c>
    </row>
    <row r="1420" spans="1:10" x14ac:dyDescent="0.3">
      <c r="A1420">
        <v>129</v>
      </c>
      <c r="B1420">
        <v>48814909</v>
      </c>
      <c r="C1420" t="s">
        <v>617</v>
      </c>
      <c r="D1420" t="s">
        <v>3348</v>
      </c>
      <c r="E1420" t="s">
        <v>3349</v>
      </c>
      <c r="F1420" t="s">
        <v>7</v>
      </c>
      <c r="G1420" t="s">
        <v>8</v>
      </c>
      <c r="H1420">
        <v>32000000</v>
      </c>
      <c r="I1420">
        <v>5.9</v>
      </c>
      <c r="J1420" t="s">
        <v>8919</v>
      </c>
    </row>
    <row r="1421" spans="1:10" x14ac:dyDescent="0.3">
      <c r="A1421">
        <v>89</v>
      </c>
      <c r="B1421">
        <v>21784432</v>
      </c>
      <c r="C1421" t="s">
        <v>668</v>
      </c>
      <c r="D1421" t="s">
        <v>3350</v>
      </c>
      <c r="E1421" t="s">
        <v>3351</v>
      </c>
      <c r="F1421" t="s">
        <v>7</v>
      </c>
      <c r="G1421" t="s">
        <v>8</v>
      </c>
      <c r="H1421">
        <v>35000000</v>
      </c>
      <c r="I1421">
        <v>4.8</v>
      </c>
      <c r="J1421" t="s">
        <v>8920</v>
      </c>
    </row>
    <row r="1422" spans="1:10" x14ac:dyDescent="0.3">
      <c r="A1422">
        <v>113</v>
      </c>
      <c r="B1422">
        <v>37911876</v>
      </c>
      <c r="C1422" t="s">
        <v>704</v>
      </c>
      <c r="D1422" t="s">
        <v>3352</v>
      </c>
      <c r="E1422" t="s">
        <v>3353</v>
      </c>
      <c r="F1422" t="s">
        <v>7</v>
      </c>
      <c r="G1422" t="s">
        <v>8</v>
      </c>
      <c r="H1422">
        <v>32000000</v>
      </c>
      <c r="I1422">
        <v>7.3</v>
      </c>
      <c r="J1422" t="s">
        <v>8921</v>
      </c>
    </row>
    <row r="1423" spans="1:10" x14ac:dyDescent="0.3">
      <c r="A1423">
        <v>93</v>
      </c>
      <c r="B1423">
        <v>54696902</v>
      </c>
      <c r="C1423" t="s">
        <v>2108</v>
      </c>
      <c r="D1423" t="s">
        <v>3354</v>
      </c>
      <c r="E1423" t="s">
        <v>3355</v>
      </c>
      <c r="F1423" t="s">
        <v>7</v>
      </c>
      <c r="G1423" t="s">
        <v>8</v>
      </c>
      <c r="H1423">
        <v>32000000</v>
      </c>
      <c r="I1423">
        <v>3.8</v>
      </c>
      <c r="J1423" t="s">
        <v>8922</v>
      </c>
    </row>
    <row r="1424" spans="1:10" x14ac:dyDescent="0.3">
      <c r="A1424">
        <v>120</v>
      </c>
      <c r="B1424">
        <v>36733909</v>
      </c>
      <c r="C1424" t="s">
        <v>3255</v>
      </c>
      <c r="D1424" t="s">
        <v>3356</v>
      </c>
      <c r="E1424" t="s">
        <v>3357</v>
      </c>
      <c r="F1424" t="s">
        <v>7</v>
      </c>
      <c r="G1424" t="s">
        <v>8</v>
      </c>
      <c r="H1424">
        <v>32000000</v>
      </c>
      <c r="I1424">
        <v>8.5</v>
      </c>
      <c r="J1424" t="s">
        <v>8628</v>
      </c>
    </row>
    <row r="1425" spans="1:10" x14ac:dyDescent="0.3">
      <c r="A1425">
        <v>98</v>
      </c>
      <c r="B1425">
        <v>35063732</v>
      </c>
      <c r="C1425" t="s">
        <v>321</v>
      </c>
      <c r="D1425" t="s">
        <v>3358</v>
      </c>
      <c r="E1425" t="s">
        <v>3359</v>
      </c>
      <c r="F1425" t="s">
        <v>7</v>
      </c>
      <c r="G1425" t="s">
        <v>8</v>
      </c>
      <c r="H1425">
        <v>32000000</v>
      </c>
      <c r="I1425">
        <v>6.8</v>
      </c>
      <c r="J1425" t="s">
        <v>8535</v>
      </c>
    </row>
    <row r="1426" spans="1:10" x14ac:dyDescent="0.3">
      <c r="A1426">
        <v>105</v>
      </c>
      <c r="B1426">
        <v>99462</v>
      </c>
      <c r="C1426" t="s">
        <v>3360</v>
      </c>
      <c r="D1426" t="s">
        <v>3361</v>
      </c>
      <c r="E1426" t="s">
        <v>3362</v>
      </c>
      <c r="F1426" t="s">
        <v>7</v>
      </c>
      <c r="G1426" t="s">
        <v>583</v>
      </c>
      <c r="H1426">
        <v>33000000</v>
      </c>
      <c r="I1426">
        <v>6.8</v>
      </c>
      <c r="J1426" t="s">
        <v>8827</v>
      </c>
    </row>
    <row r="1427" spans="1:10" x14ac:dyDescent="0.3">
      <c r="A1427">
        <v>98</v>
      </c>
      <c r="B1427">
        <v>32701088</v>
      </c>
      <c r="C1427" t="s">
        <v>3364</v>
      </c>
      <c r="D1427" t="s">
        <v>3365</v>
      </c>
      <c r="E1427" t="s">
        <v>3366</v>
      </c>
      <c r="F1427" t="s">
        <v>7</v>
      </c>
      <c r="G1427" t="s">
        <v>8</v>
      </c>
      <c r="H1427">
        <v>32000000</v>
      </c>
      <c r="I1427">
        <v>5.3</v>
      </c>
      <c r="J1427" t="s">
        <v>8737</v>
      </c>
    </row>
    <row r="1428" spans="1:10" x14ac:dyDescent="0.3">
      <c r="A1428">
        <v>96</v>
      </c>
      <c r="B1428">
        <v>31493782</v>
      </c>
      <c r="C1428" t="s">
        <v>873</v>
      </c>
      <c r="D1428" t="s">
        <v>3367</v>
      </c>
      <c r="E1428" t="s">
        <v>3368</v>
      </c>
      <c r="F1428" t="s">
        <v>7</v>
      </c>
      <c r="G1428" t="s">
        <v>8</v>
      </c>
      <c r="H1428">
        <v>32000000</v>
      </c>
      <c r="I1428">
        <v>7.3</v>
      </c>
      <c r="J1428" t="s">
        <v>8565</v>
      </c>
    </row>
    <row r="1429" spans="1:10" x14ac:dyDescent="0.3">
      <c r="A1429">
        <v>87</v>
      </c>
      <c r="B1429">
        <v>43095600</v>
      </c>
      <c r="C1429" t="s">
        <v>118</v>
      </c>
      <c r="D1429" t="s">
        <v>3369</v>
      </c>
      <c r="E1429" t="s">
        <v>3370</v>
      </c>
      <c r="F1429" t="s">
        <v>7</v>
      </c>
      <c r="G1429" t="s">
        <v>583</v>
      </c>
      <c r="H1429">
        <v>32000000</v>
      </c>
      <c r="I1429">
        <v>6.6</v>
      </c>
      <c r="J1429" t="s">
        <v>8619</v>
      </c>
    </row>
    <row r="1430" spans="1:10" x14ac:dyDescent="0.3">
      <c r="A1430">
        <v>107</v>
      </c>
      <c r="B1430">
        <v>18636537</v>
      </c>
      <c r="C1430" t="s">
        <v>3371</v>
      </c>
      <c r="D1430" t="s">
        <v>3372</v>
      </c>
      <c r="E1430" t="s">
        <v>3373</v>
      </c>
      <c r="F1430" t="s">
        <v>7</v>
      </c>
      <c r="G1430" t="s">
        <v>248</v>
      </c>
      <c r="H1430">
        <v>32000000</v>
      </c>
      <c r="I1430">
        <v>6.2</v>
      </c>
      <c r="J1430" t="s">
        <v>8923</v>
      </c>
    </row>
    <row r="1431" spans="1:10" x14ac:dyDescent="0.3">
      <c r="A1431">
        <v>90</v>
      </c>
      <c r="B1431">
        <v>17848322</v>
      </c>
      <c r="C1431" t="s">
        <v>672</v>
      </c>
      <c r="D1431" t="s">
        <v>3374</v>
      </c>
      <c r="E1431" t="s">
        <v>3375</v>
      </c>
      <c r="F1431" t="s">
        <v>7</v>
      </c>
      <c r="G1431" t="s">
        <v>3376</v>
      </c>
      <c r="H1431">
        <v>28000000</v>
      </c>
      <c r="I1431">
        <v>5.2</v>
      </c>
      <c r="J1431" t="s">
        <v>8924</v>
      </c>
    </row>
    <row r="1432" spans="1:10" x14ac:dyDescent="0.3">
      <c r="A1432">
        <v>121</v>
      </c>
      <c r="B1432">
        <v>16640210</v>
      </c>
      <c r="C1432" t="s">
        <v>1704</v>
      </c>
      <c r="D1432" t="s">
        <v>3377</v>
      </c>
      <c r="E1432" t="s">
        <v>3378</v>
      </c>
      <c r="F1432" t="s">
        <v>7</v>
      </c>
      <c r="G1432" t="s">
        <v>8</v>
      </c>
      <c r="H1432">
        <v>55000000</v>
      </c>
      <c r="I1432">
        <v>6.2</v>
      </c>
      <c r="J1432" t="s">
        <v>8542</v>
      </c>
    </row>
    <row r="1433" spans="1:10" x14ac:dyDescent="0.3">
      <c r="A1433">
        <v>119</v>
      </c>
      <c r="B1433">
        <v>13763130</v>
      </c>
      <c r="C1433" t="s">
        <v>555</v>
      </c>
      <c r="D1433" t="s">
        <v>3379</v>
      </c>
      <c r="E1433" t="s">
        <v>3380</v>
      </c>
      <c r="F1433" t="s">
        <v>7</v>
      </c>
      <c r="G1433" t="s">
        <v>8</v>
      </c>
      <c r="H1433">
        <v>32000000</v>
      </c>
      <c r="I1433">
        <v>6.2</v>
      </c>
      <c r="J1433" t="s">
        <v>8596</v>
      </c>
    </row>
    <row r="1434" spans="1:10" x14ac:dyDescent="0.3">
      <c r="A1434">
        <v>107</v>
      </c>
      <c r="B1434">
        <v>10956379</v>
      </c>
      <c r="C1434" t="s">
        <v>3381</v>
      </c>
      <c r="D1434" t="s">
        <v>3382</v>
      </c>
      <c r="E1434" t="s">
        <v>3383</v>
      </c>
      <c r="F1434" t="s">
        <v>7</v>
      </c>
      <c r="G1434" t="s">
        <v>2387</v>
      </c>
      <c r="H1434">
        <v>35000000</v>
      </c>
      <c r="I1434">
        <v>6.6</v>
      </c>
      <c r="J1434" t="s">
        <v>8925</v>
      </c>
    </row>
    <row r="1435" spans="1:10" x14ac:dyDescent="0.3">
      <c r="A1435">
        <v>110</v>
      </c>
      <c r="B1435">
        <v>4357000</v>
      </c>
      <c r="C1435" t="s">
        <v>187</v>
      </c>
      <c r="D1435" t="s">
        <v>3384</v>
      </c>
      <c r="E1435" t="s">
        <v>3385</v>
      </c>
      <c r="F1435" t="s">
        <v>7</v>
      </c>
      <c r="G1435" t="s">
        <v>8</v>
      </c>
      <c r="H1435">
        <v>30000000</v>
      </c>
      <c r="I1435">
        <v>6.4</v>
      </c>
      <c r="J1435" t="s">
        <v>8926</v>
      </c>
    </row>
    <row r="1436" spans="1:10" x14ac:dyDescent="0.3">
      <c r="A1436">
        <v>100</v>
      </c>
      <c r="B1436">
        <v>22525921</v>
      </c>
      <c r="C1436" t="s">
        <v>668</v>
      </c>
      <c r="D1436" t="s">
        <v>3386</v>
      </c>
      <c r="E1436" t="s">
        <v>3387</v>
      </c>
      <c r="F1436" t="s">
        <v>7</v>
      </c>
      <c r="G1436" t="s">
        <v>8</v>
      </c>
      <c r="H1436">
        <v>30000000</v>
      </c>
      <c r="I1436">
        <v>6.2</v>
      </c>
      <c r="J1436" t="s">
        <v>8902</v>
      </c>
    </row>
    <row r="1437" spans="1:10" x14ac:dyDescent="0.3">
      <c r="A1437">
        <v>75</v>
      </c>
      <c r="B1437">
        <v>3562749</v>
      </c>
      <c r="C1437" t="s">
        <v>3388</v>
      </c>
      <c r="D1437" t="s">
        <v>3389</v>
      </c>
      <c r="E1437" t="s">
        <v>3390</v>
      </c>
      <c r="F1437" t="s">
        <v>7</v>
      </c>
      <c r="G1437" t="s">
        <v>8</v>
      </c>
      <c r="H1437">
        <v>32000000</v>
      </c>
      <c r="I1437">
        <v>5.0999999999999996</v>
      </c>
      <c r="J1437" t="s">
        <v>8343</v>
      </c>
    </row>
    <row r="1438" spans="1:10" x14ac:dyDescent="0.3">
      <c r="A1438">
        <v>132</v>
      </c>
      <c r="B1438">
        <v>2899970</v>
      </c>
      <c r="C1438" t="s">
        <v>1417</v>
      </c>
      <c r="D1438" t="s">
        <v>3391</v>
      </c>
      <c r="E1438" t="s">
        <v>3392</v>
      </c>
      <c r="F1438" t="s">
        <v>7</v>
      </c>
      <c r="G1438" t="s">
        <v>8</v>
      </c>
      <c r="H1438">
        <v>32000000</v>
      </c>
      <c r="I1438">
        <v>6.6</v>
      </c>
      <c r="J1438" t="s">
        <v>8619</v>
      </c>
    </row>
    <row r="1439" spans="1:10" x14ac:dyDescent="0.3">
      <c r="A1439">
        <v>105</v>
      </c>
      <c r="B1439">
        <v>1304837</v>
      </c>
      <c r="C1439" t="s">
        <v>780</v>
      </c>
      <c r="D1439" t="s">
        <v>3393</v>
      </c>
      <c r="E1439" t="s">
        <v>3394</v>
      </c>
      <c r="F1439" t="s">
        <v>7</v>
      </c>
      <c r="G1439" t="s">
        <v>8</v>
      </c>
      <c r="H1439">
        <v>32000000</v>
      </c>
      <c r="I1439">
        <v>6.1</v>
      </c>
      <c r="J1439" t="s">
        <v>8927</v>
      </c>
    </row>
    <row r="1440" spans="1:10" x14ac:dyDescent="0.3">
      <c r="A1440">
        <v>289</v>
      </c>
      <c r="B1440">
        <v>78800000</v>
      </c>
      <c r="C1440" t="s">
        <v>1410</v>
      </c>
      <c r="D1440" t="s">
        <v>3395</v>
      </c>
      <c r="E1440" t="s">
        <v>3396</v>
      </c>
      <c r="F1440" t="s">
        <v>7</v>
      </c>
      <c r="G1440" t="s">
        <v>8</v>
      </c>
      <c r="H1440">
        <v>31500000</v>
      </c>
      <c r="I1440">
        <v>6.1</v>
      </c>
      <c r="J1440" t="s">
        <v>8928</v>
      </c>
    </row>
    <row r="1441" spans="1:10" x14ac:dyDescent="0.3">
      <c r="A1441">
        <v>102</v>
      </c>
      <c r="B1441">
        <v>17797316</v>
      </c>
      <c r="C1441" t="s">
        <v>672</v>
      </c>
      <c r="D1441" t="s">
        <v>3397</v>
      </c>
      <c r="E1441" t="s">
        <v>3398</v>
      </c>
      <c r="F1441" t="s">
        <v>7</v>
      </c>
      <c r="G1441" t="s">
        <v>8</v>
      </c>
      <c r="H1441">
        <v>32000000</v>
      </c>
      <c r="I1441">
        <v>6.6</v>
      </c>
      <c r="J1441" t="s">
        <v>8771</v>
      </c>
    </row>
    <row r="1442" spans="1:10" x14ac:dyDescent="0.3">
      <c r="A1442">
        <v>143</v>
      </c>
      <c r="B1442">
        <v>82528097</v>
      </c>
      <c r="C1442" t="s">
        <v>2605</v>
      </c>
      <c r="D1442" t="s">
        <v>3399</v>
      </c>
      <c r="E1442" t="s">
        <v>3400</v>
      </c>
      <c r="F1442" t="s">
        <v>7</v>
      </c>
      <c r="G1442" t="s">
        <v>8</v>
      </c>
      <c r="H1442">
        <v>6500000</v>
      </c>
      <c r="I1442">
        <v>5.9</v>
      </c>
      <c r="J1442" t="s">
        <v>8929</v>
      </c>
    </row>
    <row r="1443" spans="1:10" x14ac:dyDescent="0.3">
      <c r="A1443">
        <v>113</v>
      </c>
      <c r="B1443">
        <v>14268533</v>
      </c>
      <c r="C1443" t="s">
        <v>3401</v>
      </c>
      <c r="D1443" t="s">
        <v>3402</v>
      </c>
      <c r="E1443" t="s">
        <v>3403</v>
      </c>
      <c r="F1443" t="s">
        <v>7</v>
      </c>
      <c r="G1443" t="s">
        <v>15</v>
      </c>
      <c r="H1443">
        <v>31500000</v>
      </c>
      <c r="I1443">
        <v>6.3</v>
      </c>
      <c r="J1443" t="s">
        <v>8930</v>
      </c>
    </row>
    <row r="1444" spans="1:10" x14ac:dyDescent="0.3">
      <c r="A1444">
        <v>161</v>
      </c>
      <c r="B1444">
        <v>87100000</v>
      </c>
      <c r="C1444" t="s">
        <v>2663</v>
      </c>
      <c r="D1444" t="s">
        <v>3404</v>
      </c>
      <c r="E1444" t="s">
        <v>3405</v>
      </c>
      <c r="F1444" t="s">
        <v>7</v>
      </c>
      <c r="G1444" t="s">
        <v>8</v>
      </c>
      <c r="H1444">
        <v>31000000</v>
      </c>
      <c r="I1444">
        <v>7.1</v>
      </c>
      <c r="J1444" t="s">
        <v>8931</v>
      </c>
    </row>
    <row r="1445" spans="1:10" x14ac:dyDescent="0.3">
      <c r="A1445">
        <v>138</v>
      </c>
      <c r="B1445">
        <v>93749203</v>
      </c>
      <c r="C1445" t="s">
        <v>1704</v>
      </c>
      <c r="D1445" t="s">
        <v>3406</v>
      </c>
      <c r="E1445" t="s">
        <v>3407</v>
      </c>
      <c r="F1445" t="s">
        <v>7</v>
      </c>
      <c r="G1445" t="s">
        <v>8</v>
      </c>
      <c r="H1445">
        <v>31000000</v>
      </c>
      <c r="I1445">
        <v>5</v>
      </c>
      <c r="J1445" t="s">
        <v>8558</v>
      </c>
    </row>
    <row r="1446" spans="1:10" x14ac:dyDescent="0.3">
      <c r="A1446">
        <v>126</v>
      </c>
      <c r="B1446">
        <v>62700000</v>
      </c>
      <c r="C1446" t="s">
        <v>78</v>
      </c>
      <c r="D1446" t="s">
        <v>3408</v>
      </c>
      <c r="E1446" t="s">
        <v>3409</v>
      </c>
      <c r="F1446" t="s">
        <v>7</v>
      </c>
      <c r="G1446" t="s">
        <v>15</v>
      </c>
      <c r="H1446">
        <v>34000000</v>
      </c>
      <c r="I1446">
        <v>5.6</v>
      </c>
      <c r="J1446" t="s">
        <v>8932</v>
      </c>
    </row>
    <row r="1447" spans="1:10" x14ac:dyDescent="0.3">
      <c r="A1447">
        <v>99</v>
      </c>
      <c r="B1447">
        <v>59073773</v>
      </c>
      <c r="C1447" t="s">
        <v>3410</v>
      </c>
      <c r="D1447" t="s">
        <v>3411</v>
      </c>
      <c r="E1447" t="s">
        <v>3412</v>
      </c>
      <c r="F1447" t="s">
        <v>7</v>
      </c>
      <c r="G1447" t="s">
        <v>8</v>
      </c>
      <c r="H1447">
        <v>25000000</v>
      </c>
      <c r="I1447">
        <v>7.4</v>
      </c>
      <c r="J1447" t="s">
        <v>8717</v>
      </c>
    </row>
    <row r="1448" spans="1:10" x14ac:dyDescent="0.3">
      <c r="A1448">
        <v>101</v>
      </c>
      <c r="B1448">
        <v>24185781</v>
      </c>
      <c r="C1448" t="s">
        <v>3413</v>
      </c>
      <c r="D1448" t="s">
        <v>3414</v>
      </c>
      <c r="E1448" t="s">
        <v>3415</v>
      </c>
      <c r="F1448" t="s">
        <v>7</v>
      </c>
      <c r="G1448" t="s">
        <v>8</v>
      </c>
      <c r="H1448">
        <v>31000000</v>
      </c>
      <c r="I1448">
        <v>4.5</v>
      </c>
      <c r="J1448" t="s">
        <v>8933</v>
      </c>
    </row>
    <row r="1449" spans="1:10" x14ac:dyDescent="0.3">
      <c r="A1449">
        <v>103</v>
      </c>
      <c r="B1449">
        <v>53133888</v>
      </c>
      <c r="C1449" t="s">
        <v>3416</v>
      </c>
      <c r="D1449" t="s">
        <v>3417</v>
      </c>
      <c r="E1449" t="s">
        <v>3418</v>
      </c>
      <c r="F1449" t="s">
        <v>7</v>
      </c>
      <c r="G1449" t="s">
        <v>8</v>
      </c>
      <c r="H1449">
        <v>31000000</v>
      </c>
      <c r="I1449">
        <v>6.2</v>
      </c>
      <c r="J1449" t="s">
        <v>8934</v>
      </c>
    </row>
    <row r="1450" spans="1:10" x14ac:dyDescent="0.3">
      <c r="A1450">
        <v>118</v>
      </c>
      <c r="B1450">
        <v>44983704</v>
      </c>
      <c r="C1450" t="s">
        <v>3419</v>
      </c>
      <c r="D1450" t="s">
        <v>3420</v>
      </c>
      <c r="E1450" t="s">
        <v>3421</v>
      </c>
      <c r="F1450" t="s">
        <v>7</v>
      </c>
      <c r="G1450" t="s">
        <v>8</v>
      </c>
      <c r="H1450">
        <v>31000000</v>
      </c>
      <c r="I1450">
        <v>5</v>
      </c>
      <c r="J1450" t="s">
        <v>8841</v>
      </c>
    </row>
    <row r="1451" spans="1:10" x14ac:dyDescent="0.3">
      <c r="A1451">
        <v>99</v>
      </c>
      <c r="B1451">
        <v>58879132</v>
      </c>
      <c r="C1451" t="s">
        <v>1765</v>
      </c>
      <c r="D1451" t="s">
        <v>3422</v>
      </c>
      <c r="E1451" t="s">
        <v>3423</v>
      </c>
      <c r="F1451" t="s">
        <v>7</v>
      </c>
      <c r="G1451" t="s">
        <v>8</v>
      </c>
      <c r="H1451">
        <v>31000000</v>
      </c>
      <c r="I1451">
        <v>6.5</v>
      </c>
      <c r="J1451" t="s">
        <v>8680</v>
      </c>
    </row>
    <row r="1452" spans="1:10" x14ac:dyDescent="0.3">
      <c r="A1452">
        <v>105</v>
      </c>
      <c r="B1452">
        <v>72077000</v>
      </c>
      <c r="C1452" t="s">
        <v>2509</v>
      </c>
      <c r="D1452" t="s">
        <v>3424</v>
      </c>
      <c r="E1452" t="s">
        <v>3425</v>
      </c>
      <c r="F1452" t="s">
        <v>7</v>
      </c>
      <c r="G1452" t="s">
        <v>8</v>
      </c>
      <c r="H1452">
        <v>30250000</v>
      </c>
      <c r="I1452">
        <v>5.0999999999999996</v>
      </c>
      <c r="J1452" t="s">
        <v>8837</v>
      </c>
    </row>
    <row r="1453" spans="1:10" x14ac:dyDescent="0.3">
      <c r="A1453">
        <v>113</v>
      </c>
      <c r="B1453">
        <v>170684505</v>
      </c>
      <c r="C1453" t="s">
        <v>3426</v>
      </c>
      <c r="D1453" t="s">
        <v>3427</v>
      </c>
      <c r="E1453" t="s">
        <v>3428</v>
      </c>
      <c r="F1453" t="s">
        <v>7</v>
      </c>
      <c r="G1453" t="s">
        <v>8</v>
      </c>
      <c r="H1453">
        <v>45000000</v>
      </c>
      <c r="I1453">
        <v>6.5</v>
      </c>
      <c r="J1453" t="s">
        <v>8706</v>
      </c>
    </row>
    <row r="1454" spans="1:10" x14ac:dyDescent="0.3">
      <c r="A1454">
        <v>93</v>
      </c>
      <c r="B1454">
        <v>163479795</v>
      </c>
      <c r="C1454" t="s">
        <v>1040</v>
      </c>
      <c r="D1454" t="s">
        <v>3429</v>
      </c>
      <c r="E1454" t="s">
        <v>3430</v>
      </c>
      <c r="F1454" t="s">
        <v>7</v>
      </c>
      <c r="G1454" t="s">
        <v>8</v>
      </c>
      <c r="H1454">
        <v>34200000</v>
      </c>
      <c r="I1454">
        <v>6.2</v>
      </c>
      <c r="J1454" t="s">
        <v>8625</v>
      </c>
    </row>
    <row r="1455" spans="1:10" x14ac:dyDescent="0.3">
      <c r="A1455">
        <v>108</v>
      </c>
      <c r="B1455">
        <v>145096820</v>
      </c>
      <c r="C1455" t="s">
        <v>668</v>
      </c>
      <c r="D1455" t="s">
        <v>3431</v>
      </c>
      <c r="E1455" t="s">
        <v>3432</v>
      </c>
      <c r="F1455" t="s">
        <v>7</v>
      </c>
      <c r="G1455" t="s">
        <v>8</v>
      </c>
      <c r="H1455">
        <v>30000000</v>
      </c>
      <c r="I1455">
        <v>6.3</v>
      </c>
      <c r="J1455" t="s">
        <v>8747</v>
      </c>
    </row>
    <row r="1456" spans="1:10" x14ac:dyDescent="0.3">
      <c r="A1456">
        <v>74</v>
      </c>
      <c r="B1456">
        <v>191796233</v>
      </c>
      <c r="C1456" t="s">
        <v>96</v>
      </c>
      <c r="D1456" t="s">
        <v>3433</v>
      </c>
      <c r="E1456" t="s">
        <v>3434</v>
      </c>
      <c r="F1456" t="s">
        <v>7</v>
      </c>
      <c r="G1456" t="s">
        <v>8</v>
      </c>
      <c r="H1456">
        <v>30000000</v>
      </c>
      <c r="I1456">
        <v>3.8</v>
      </c>
      <c r="J1456" t="s">
        <v>8819</v>
      </c>
    </row>
    <row r="1457" spans="1:10" x14ac:dyDescent="0.3">
      <c r="A1457">
        <v>116</v>
      </c>
      <c r="B1457">
        <v>121248145</v>
      </c>
      <c r="C1457" t="s">
        <v>1383</v>
      </c>
      <c r="D1457" t="s">
        <v>3435</v>
      </c>
      <c r="E1457" t="s">
        <v>3436</v>
      </c>
      <c r="F1457" t="s">
        <v>7</v>
      </c>
      <c r="G1457" t="s">
        <v>8</v>
      </c>
      <c r="H1457">
        <v>25000000</v>
      </c>
      <c r="I1457">
        <v>5.2</v>
      </c>
      <c r="J1457" t="s">
        <v>8935</v>
      </c>
    </row>
    <row r="1458" spans="1:10" x14ac:dyDescent="0.3">
      <c r="A1458">
        <v>104</v>
      </c>
      <c r="B1458">
        <v>125014030</v>
      </c>
      <c r="C1458" t="s">
        <v>73</v>
      </c>
      <c r="D1458" t="s">
        <v>3437</v>
      </c>
      <c r="E1458" t="s">
        <v>3438</v>
      </c>
      <c r="F1458" t="s">
        <v>7</v>
      </c>
      <c r="G1458" t="s">
        <v>8</v>
      </c>
      <c r="H1458">
        <v>30000000</v>
      </c>
      <c r="I1458">
        <v>6</v>
      </c>
      <c r="J1458" t="s">
        <v>8936</v>
      </c>
    </row>
    <row r="1459" spans="1:10" x14ac:dyDescent="0.3">
      <c r="A1459">
        <v>106</v>
      </c>
      <c r="B1459">
        <v>11854694</v>
      </c>
      <c r="C1459" t="s">
        <v>1417</v>
      </c>
      <c r="D1459" t="s">
        <v>3439</v>
      </c>
      <c r="E1459" t="s">
        <v>3440</v>
      </c>
      <c r="F1459" t="s">
        <v>7</v>
      </c>
      <c r="G1459" t="s">
        <v>8</v>
      </c>
      <c r="H1459">
        <v>31000000</v>
      </c>
      <c r="I1459">
        <v>6.2</v>
      </c>
      <c r="J1459" t="s">
        <v>8644</v>
      </c>
    </row>
    <row r="1460" spans="1:10" x14ac:dyDescent="0.3">
      <c r="A1460">
        <v>120</v>
      </c>
      <c r="B1460">
        <v>115648585</v>
      </c>
      <c r="C1460" t="s">
        <v>653</v>
      </c>
      <c r="D1460" t="s">
        <v>3441</v>
      </c>
      <c r="E1460" t="s">
        <v>3442</v>
      </c>
      <c r="F1460" t="s">
        <v>7</v>
      </c>
      <c r="G1460" t="s">
        <v>8</v>
      </c>
      <c r="H1460">
        <v>30000000</v>
      </c>
      <c r="I1460">
        <v>5.7</v>
      </c>
      <c r="J1460" t="s">
        <v>8506</v>
      </c>
    </row>
    <row r="1461" spans="1:10" x14ac:dyDescent="0.3">
      <c r="A1461">
        <v>135</v>
      </c>
      <c r="B1461">
        <v>122012643</v>
      </c>
      <c r="C1461" t="s">
        <v>12</v>
      </c>
      <c r="D1461" t="s">
        <v>3443</v>
      </c>
      <c r="E1461" t="s">
        <v>3444</v>
      </c>
      <c r="F1461" t="s">
        <v>7</v>
      </c>
      <c r="G1461" t="s">
        <v>8</v>
      </c>
      <c r="H1461">
        <v>30000000</v>
      </c>
      <c r="I1461">
        <v>6.7</v>
      </c>
      <c r="J1461" t="s">
        <v>8854</v>
      </c>
    </row>
    <row r="1462" spans="1:10" x14ac:dyDescent="0.3">
      <c r="A1462">
        <v>132</v>
      </c>
      <c r="B1462">
        <v>116631310</v>
      </c>
      <c r="C1462" t="s">
        <v>617</v>
      </c>
      <c r="D1462" t="s">
        <v>3445</v>
      </c>
      <c r="E1462" t="s">
        <v>3446</v>
      </c>
      <c r="F1462" t="s">
        <v>7</v>
      </c>
      <c r="G1462" t="s">
        <v>8</v>
      </c>
      <c r="H1462">
        <v>30000000</v>
      </c>
      <c r="I1462">
        <v>6.8</v>
      </c>
      <c r="J1462" t="s">
        <v>8937</v>
      </c>
    </row>
    <row r="1463" spans="1:10" x14ac:dyDescent="0.3">
      <c r="A1463">
        <v>92</v>
      </c>
      <c r="B1463">
        <v>114324072</v>
      </c>
      <c r="C1463" t="s">
        <v>1632</v>
      </c>
      <c r="D1463" t="s">
        <v>3447</v>
      </c>
      <c r="E1463" t="s">
        <v>3448</v>
      </c>
      <c r="F1463" t="s">
        <v>7</v>
      </c>
      <c r="G1463" t="s">
        <v>8</v>
      </c>
      <c r="H1463">
        <v>20000000</v>
      </c>
      <c r="I1463">
        <v>6</v>
      </c>
      <c r="J1463" t="s">
        <v>8536</v>
      </c>
    </row>
    <row r="1464" spans="1:10" x14ac:dyDescent="0.3">
      <c r="A1464">
        <v>99</v>
      </c>
      <c r="B1464">
        <v>113502246</v>
      </c>
      <c r="C1464" t="s">
        <v>1149</v>
      </c>
      <c r="D1464" t="s">
        <v>3449</v>
      </c>
      <c r="E1464" t="s">
        <v>3450</v>
      </c>
      <c r="F1464" t="s">
        <v>7</v>
      </c>
      <c r="G1464" t="s">
        <v>8</v>
      </c>
      <c r="H1464">
        <v>38000000</v>
      </c>
      <c r="I1464">
        <v>7.3</v>
      </c>
      <c r="J1464" t="s">
        <v>8938</v>
      </c>
    </row>
    <row r="1465" spans="1:10" x14ac:dyDescent="0.3">
      <c r="A1465">
        <v>90</v>
      </c>
      <c r="B1465">
        <v>108360000</v>
      </c>
      <c r="C1465" t="s">
        <v>1765</v>
      </c>
      <c r="D1465" t="s">
        <v>3451</v>
      </c>
      <c r="E1465" t="s">
        <v>3452</v>
      </c>
      <c r="F1465" t="s">
        <v>7</v>
      </c>
      <c r="G1465" t="s">
        <v>8</v>
      </c>
      <c r="H1465">
        <v>30000000</v>
      </c>
      <c r="I1465">
        <v>5.5</v>
      </c>
      <c r="J1465" t="s">
        <v>8457</v>
      </c>
    </row>
    <row r="1466" spans="1:10" x14ac:dyDescent="0.3">
      <c r="A1466">
        <v>111</v>
      </c>
      <c r="B1466">
        <v>108244774</v>
      </c>
      <c r="C1466" t="s">
        <v>1126</v>
      </c>
      <c r="D1466" t="s">
        <v>3453</v>
      </c>
      <c r="E1466" t="s">
        <v>3454</v>
      </c>
      <c r="F1466" t="s">
        <v>7</v>
      </c>
      <c r="G1466" t="s">
        <v>8</v>
      </c>
      <c r="H1466">
        <v>37000000</v>
      </c>
      <c r="I1466">
        <v>6.7</v>
      </c>
      <c r="J1466" t="s">
        <v>8720</v>
      </c>
    </row>
    <row r="1467" spans="1:10" x14ac:dyDescent="0.3">
      <c r="A1467">
        <v>103</v>
      </c>
      <c r="B1467">
        <v>105444419</v>
      </c>
      <c r="C1467" t="s">
        <v>668</v>
      </c>
      <c r="D1467" t="s">
        <v>3455</v>
      </c>
      <c r="E1467" t="s">
        <v>3456</v>
      </c>
      <c r="F1467" t="s">
        <v>7</v>
      </c>
      <c r="G1467" t="s">
        <v>8</v>
      </c>
      <c r="H1467">
        <v>26000000</v>
      </c>
      <c r="I1467">
        <v>4.8</v>
      </c>
      <c r="J1467" t="s">
        <v>8939</v>
      </c>
    </row>
    <row r="1468" spans="1:10" x14ac:dyDescent="0.3">
      <c r="A1468">
        <v>127</v>
      </c>
      <c r="B1468">
        <v>100125340</v>
      </c>
      <c r="C1468" t="s">
        <v>882</v>
      </c>
      <c r="D1468" t="s">
        <v>3457</v>
      </c>
      <c r="E1468" t="s">
        <v>3458</v>
      </c>
      <c r="F1468" t="s">
        <v>7</v>
      </c>
      <c r="G1468" t="s">
        <v>8</v>
      </c>
      <c r="H1468">
        <v>33000000</v>
      </c>
      <c r="I1468">
        <v>5.7</v>
      </c>
      <c r="J1468" t="s">
        <v>8344</v>
      </c>
    </row>
    <row r="1469" spans="1:10" x14ac:dyDescent="0.3">
      <c r="A1469">
        <v>112</v>
      </c>
      <c r="B1469">
        <v>115646235</v>
      </c>
      <c r="C1469" t="s">
        <v>1157</v>
      </c>
      <c r="D1469" t="s">
        <v>3459</v>
      </c>
      <c r="E1469" t="s">
        <v>3460</v>
      </c>
      <c r="F1469" t="s">
        <v>7</v>
      </c>
      <c r="G1469" t="s">
        <v>3461</v>
      </c>
      <c r="H1469">
        <v>30000000</v>
      </c>
      <c r="I1469">
        <v>5.0999999999999996</v>
      </c>
      <c r="J1469" t="s">
        <v>8731</v>
      </c>
    </row>
    <row r="1470" spans="1:10" x14ac:dyDescent="0.3">
      <c r="A1470">
        <v>87</v>
      </c>
      <c r="B1470">
        <v>85416609</v>
      </c>
      <c r="C1470" t="s">
        <v>96</v>
      </c>
      <c r="D1470" t="s">
        <v>3462</v>
      </c>
      <c r="E1470" t="s">
        <v>3463</v>
      </c>
      <c r="F1470" t="s">
        <v>7</v>
      </c>
      <c r="G1470" t="s">
        <v>8</v>
      </c>
      <c r="H1470">
        <v>30000000</v>
      </c>
      <c r="I1470">
        <v>6</v>
      </c>
      <c r="J1470" t="s">
        <v>8940</v>
      </c>
    </row>
    <row r="1471" spans="1:10" x14ac:dyDescent="0.3">
      <c r="A1471">
        <v>138</v>
      </c>
      <c r="B1471">
        <v>90135191</v>
      </c>
      <c r="C1471" t="s">
        <v>882</v>
      </c>
      <c r="D1471" t="s">
        <v>3464</v>
      </c>
      <c r="E1471" t="s">
        <v>3465</v>
      </c>
      <c r="F1471" t="s">
        <v>7</v>
      </c>
      <c r="G1471" t="s">
        <v>8</v>
      </c>
      <c r="H1471">
        <v>25000000</v>
      </c>
      <c r="I1471">
        <v>4.2</v>
      </c>
      <c r="J1471" t="s">
        <v>8734</v>
      </c>
    </row>
    <row r="1472" spans="1:10" x14ac:dyDescent="0.3">
      <c r="A1472">
        <v>132</v>
      </c>
      <c r="B1472">
        <v>100422786</v>
      </c>
      <c r="C1472" t="s">
        <v>1578</v>
      </c>
      <c r="D1472" t="s">
        <v>3466</v>
      </c>
      <c r="E1472" t="s">
        <v>3467</v>
      </c>
      <c r="F1472" t="s">
        <v>7</v>
      </c>
      <c r="G1472" t="s">
        <v>8</v>
      </c>
      <c r="H1472">
        <v>30000000</v>
      </c>
      <c r="I1472">
        <v>7.4</v>
      </c>
      <c r="J1472" t="s">
        <v>8337</v>
      </c>
    </row>
    <row r="1473" spans="1:10" x14ac:dyDescent="0.3">
      <c r="A1473">
        <v>103</v>
      </c>
      <c r="B1473">
        <v>106694016</v>
      </c>
      <c r="C1473" t="s">
        <v>386</v>
      </c>
      <c r="D1473" t="s">
        <v>3468</v>
      </c>
      <c r="E1473" t="s">
        <v>3469</v>
      </c>
      <c r="F1473" t="s">
        <v>7</v>
      </c>
      <c r="G1473" t="s">
        <v>8</v>
      </c>
      <c r="H1473">
        <v>30000000</v>
      </c>
      <c r="I1473">
        <v>4.5999999999999996</v>
      </c>
      <c r="J1473" t="s">
        <v>8941</v>
      </c>
    </row>
    <row r="1474" spans="1:10" x14ac:dyDescent="0.3">
      <c r="A1474">
        <v>123</v>
      </c>
      <c r="B1474">
        <v>64286</v>
      </c>
      <c r="C1474" t="s">
        <v>73</v>
      </c>
      <c r="D1474" t="s">
        <v>3470</v>
      </c>
      <c r="E1474" t="s">
        <v>3471</v>
      </c>
      <c r="F1474" t="s">
        <v>7</v>
      </c>
      <c r="G1474" t="s">
        <v>8</v>
      </c>
      <c r="H1474">
        <v>29000000</v>
      </c>
      <c r="I1474">
        <v>6.9</v>
      </c>
      <c r="J1474" t="s">
        <v>8312</v>
      </c>
    </row>
    <row r="1475" spans="1:10" x14ac:dyDescent="0.3">
      <c r="A1475">
        <v>102</v>
      </c>
      <c r="B1475">
        <v>79566871</v>
      </c>
      <c r="C1475" t="s">
        <v>3472</v>
      </c>
      <c r="D1475" t="s">
        <v>3473</v>
      </c>
      <c r="E1475" t="s">
        <v>3474</v>
      </c>
      <c r="F1475" t="s">
        <v>7</v>
      </c>
      <c r="G1475" t="s">
        <v>8</v>
      </c>
      <c r="H1475">
        <v>30000000</v>
      </c>
      <c r="I1475">
        <v>6.9</v>
      </c>
      <c r="J1475" t="s">
        <v>8399</v>
      </c>
    </row>
    <row r="1476" spans="1:10" x14ac:dyDescent="0.3">
      <c r="A1476">
        <v>78</v>
      </c>
      <c r="B1476">
        <v>76501438</v>
      </c>
      <c r="C1476" t="s">
        <v>808</v>
      </c>
      <c r="D1476" t="s">
        <v>3475</v>
      </c>
      <c r="E1476" t="s">
        <v>3476</v>
      </c>
      <c r="F1476" t="s">
        <v>7</v>
      </c>
      <c r="G1476" t="s">
        <v>284</v>
      </c>
      <c r="H1476">
        <v>30000000</v>
      </c>
      <c r="I1476">
        <v>8</v>
      </c>
      <c r="J1476" t="s">
        <v>8625</v>
      </c>
    </row>
    <row r="1477" spans="1:10" x14ac:dyDescent="0.3">
      <c r="A1477">
        <v>132</v>
      </c>
      <c r="B1477">
        <v>74787599</v>
      </c>
      <c r="C1477" t="s">
        <v>73</v>
      </c>
      <c r="D1477" t="s">
        <v>3477</v>
      </c>
      <c r="E1477" t="s">
        <v>3478</v>
      </c>
      <c r="F1477" t="s">
        <v>7</v>
      </c>
      <c r="G1477" t="s">
        <v>8</v>
      </c>
      <c r="H1477">
        <v>30000000</v>
      </c>
      <c r="I1477">
        <v>6.4</v>
      </c>
      <c r="J1477" t="s">
        <v>8942</v>
      </c>
    </row>
    <row r="1478" spans="1:10" x14ac:dyDescent="0.3">
      <c r="A1478">
        <v>133</v>
      </c>
      <c r="B1478">
        <v>66528842</v>
      </c>
      <c r="C1478" t="s">
        <v>3269</v>
      </c>
      <c r="D1478" t="s">
        <v>3479</v>
      </c>
      <c r="E1478" t="s">
        <v>3480</v>
      </c>
      <c r="F1478" t="s">
        <v>7</v>
      </c>
      <c r="G1478" t="s">
        <v>8</v>
      </c>
      <c r="H1478">
        <v>30000000</v>
      </c>
      <c r="I1478">
        <v>6.3</v>
      </c>
      <c r="J1478" t="s">
        <v>8502</v>
      </c>
    </row>
    <row r="1479" spans="1:10" x14ac:dyDescent="0.3">
      <c r="A1479">
        <v>108</v>
      </c>
      <c r="B1479">
        <v>83813460</v>
      </c>
      <c r="C1479" t="s">
        <v>73</v>
      </c>
      <c r="D1479" t="s">
        <v>3481</v>
      </c>
      <c r="E1479" t="s">
        <v>3482</v>
      </c>
      <c r="F1479" t="s">
        <v>7</v>
      </c>
      <c r="G1479" t="s">
        <v>8</v>
      </c>
      <c r="H1479">
        <v>25000000</v>
      </c>
      <c r="I1479">
        <v>8.4</v>
      </c>
      <c r="J1479" t="s">
        <v>8943</v>
      </c>
    </row>
    <row r="1480" spans="1:10" x14ac:dyDescent="0.3">
      <c r="A1480">
        <v>125</v>
      </c>
      <c r="B1480">
        <v>65010106</v>
      </c>
      <c r="C1480" t="s">
        <v>1040</v>
      </c>
      <c r="D1480" t="s">
        <v>3483</v>
      </c>
      <c r="E1480" t="s">
        <v>3484</v>
      </c>
      <c r="F1480" t="s">
        <v>7</v>
      </c>
      <c r="G1480" t="s">
        <v>8</v>
      </c>
      <c r="H1480">
        <v>30000000</v>
      </c>
      <c r="I1480">
        <v>7.1</v>
      </c>
      <c r="J1480" t="s">
        <v>8944</v>
      </c>
    </row>
    <row r="1481" spans="1:10" x14ac:dyDescent="0.3">
      <c r="A1481">
        <v>98</v>
      </c>
      <c r="B1481">
        <v>66359959</v>
      </c>
      <c r="C1481" t="s">
        <v>3485</v>
      </c>
      <c r="D1481" t="s">
        <v>3486</v>
      </c>
      <c r="E1481" t="s">
        <v>3487</v>
      </c>
      <c r="F1481" t="s">
        <v>7</v>
      </c>
      <c r="G1481" t="s">
        <v>8</v>
      </c>
      <c r="H1481">
        <v>35000000</v>
      </c>
      <c r="I1481">
        <v>6.8</v>
      </c>
      <c r="J1481" t="s">
        <v>8400</v>
      </c>
    </row>
    <row r="1482" spans="1:10" x14ac:dyDescent="0.3">
      <c r="A1482">
        <v>119</v>
      </c>
      <c r="B1482">
        <v>66468315</v>
      </c>
      <c r="C1482" t="s">
        <v>2317</v>
      </c>
      <c r="D1482" t="s">
        <v>3488</v>
      </c>
      <c r="E1482" t="s">
        <v>3489</v>
      </c>
      <c r="F1482" t="s">
        <v>7</v>
      </c>
      <c r="G1482" t="s">
        <v>8</v>
      </c>
      <c r="H1482">
        <v>30000000</v>
      </c>
      <c r="I1482">
        <v>7.5</v>
      </c>
      <c r="J1482" t="s">
        <v>8407</v>
      </c>
    </row>
    <row r="1483" spans="1:10" x14ac:dyDescent="0.3">
      <c r="A1483">
        <v>87</v>
      </c>
      <c r="B1483">
        <v>64172251</v>
      </c>
      <c r="C1483" t="s">
        <v>1149</v>
      </c>
      <c r="D1483" t="s">
        <v>3490</v>
      </c>
      <c r="E1483" t="s">
        <v>3491</v>
      </c>
      <c r="F1483" t="s">
        <v>7</v>
      </c>
      <c r="G1483" t="s">
        <v>8</v>
      </c>
      <c r="H1483">
        <v>30000000</v>
      </c>
      <c r="I1483">
        <v>4.5</v>
      </c>
      <c r="J1483" t="s">
        <v>8352</v>
      </c>
    </row>
    <row r="1484" spans="1:10" x14ac:dyDescent="0.3">
      <c r="A1484">
        <v>91</v>
      </c>
      <c r="B1484">
        <v>66600000</v>
      </c>
      <c r="C1484" t="s">
        <v>1641</v>
      </c>
      <c r="D1484" t="s">
        <v>3492</v>
      </c>
      <c r="E1484" t="s">
        <v>3493</v>
      </c>
      <c r="F1484" t="s">
        <v>7</v>
      </c>
      <c r="G1484" t="s">
        <v>132</v>
      </c>
      <c r="H1484">
        <v>30000000</v>
      </c>
      <c r="I1484">
        <v>5.7</v>
      </c>
      <c r="J1484" t="s">
        <v>8945</v>
      </c>
    </row>
    <row r="1485" spans="1:10" x14ac:dyDescent="0.3">
      <c r="A1485">
        <v>100</v>
      </c>
      <c r="B1485">
        <v>63536011</v>
      </c>
      <c r="C1485" t="s">
        <v>561</v>
      </c>
      <c r="D1485" t="s">
        <v>3494</v>
      </c>
      <c r="E1485" t="s">
        <v>3495</v>
      </c>
      <c r="F1485" t="s">
        <v>7</v>
      </c>
      <c r="G1485" t="s">
        <v>8</v>
      </c>
      <c r="H1485">
        <v>30000000</v>
      </c>
      <c r="I1485">
        <v>7.2</v>
      </c>
      <c r="J1485" t="s">
        <v>8946</v>
      </c>
    </row>
    <row r="1486" spans="1:10" x14ac:dyDescent="0.3">
      <c r="A1486">
        <v>118</v>
      </c>
      <c r="B1486">
        <v>62877175</v>
      </c>
      <c r="C1486" t="s">
        <v>561</v>
      </c>
      <c r="D1486" t="s">
        <v>3496</v>
      </c>
      <c r="E1486" t="s">
        <v>3497</v>
      </c>
      <c r="F1486" t="s">
        <v>7</v>
      </c>
      <c r="G1486" t="s">
        <v>8</v>
      </c>
      <c r="H1486">
        <v>30000000</v>
      </c>
      <c r="I1486">
        <v>6.8</v>
      </c>
      <c r="J1486" t="s">
        <v>8642</v>
      </c>
    </row>
    <row r="1487" spans="1:10" x14ac:dyDescent="0.3">
      <c r="A1487">
        <v>109</v>
      </c>
      <c r="B1487">
        <v>74484168</v>
      </c>
      <c r="C1487" t="s">
        <v>436</v>
      </c>
      <c r="D1487" t="s">
        <v>3498</v>
      </c>
      <c r="E1487" t="s">
        <v>3499</v>
      </c>
      <c r="F1487" t="s">
        <v>7</v>
      </c>
      <c r="G1487" t="s">
        <v>8</v>
      </c>
      <c r="H1487">
        <v>45000000</v>
      </c>
      <c r="I1487">
        <v>5.4</v>
      </c>
      <c r="J1487" t="s">
        <v>8947</v>
      </c>
    </row>
    <row r="1488" spans="1:10" x14ac:dyDescent="0.3">
      <c r="A1488">
        <v>99</v>
      </c>
      <c r="B1488">
        <v>60269340</v>
      </c>
      <c r="C1488" t="s">
        <v>672</v>
      </c>
      <c r="D1488" t="s">
        <v>3500</v>
      </c>
      <c r="E1488" t="s">
        <v>3501</v>
      </c>
      <c r="F1488" t="s">
        <v>7</v>
      </c>
      <c r="G1488" t="s">
        <v>8</v>
      </c>
      <c r="H1488">
        <v>30000000</v>
      </c>
      <c r="I1488">
        <v>7.2</v>
      </c>
      <c r="J1488" t="s">
        <v>8342</v>
      </c>
    </row>
    <row r="1489" spans="1:10" x14ac:dyDescent="0.3">
      <c r="A1489">
        <v>114</v>
      </c>
      <c r="B1489">
        <v>60033780</v>
      </c>
      <c r="C1489" t="s">
        <v>73</v>
      </c>
      <c r="D1489" t="s">
        <v>3502</v>
      </c>
      <c r="E1489" t="s">
        <v>3503</v>
      </c>
      <c r="F1489" t="s">
        <v>7</v>
      </c>
      <c r="G1489" t="s">
        <v>8</v>
      </c>
      <c r="H1489">
        <v>30000000</v>
      </c>
      <c r="I1489">
        <v>7.3</v>
      </c>
      <c r="J1489" t="s">
        <v>8414</v>
      </c>
    </row>
    <row r="1490" spans="1:10" x14ac:dyDescent="0.3">
      <c r="A1490">
        <v>89</v>
      </c>
      <c r="B1490">
        <v>58715510</v>
      </c>
      <c r="C1490" t="s">
        <v>672</v>
      </c>
      <c r="D1490" t="s">
        <v>3504</v>
      </c>
      <c r="E1490" t="s">
        <v>3505</v>
      </c>
      <c r="F1490" t="s">
        <v>7</v>
      </c>
      <c r="G1490" t="s">
        <v>8</v>
      </c>
      <c r="H1490">
        <v>30000000</v>
      </c>
      <c r="I1490">
        <v>5.2</v>
      </c>
      <c r="J1490" t="s">
        <v>8948</v>
      </c>
    </row>
    <row r="1491" spans="1:10" x14ac:dyDescent="0.3">
      <c r="A1491">
        <v>95</v>
      </c>
      <c r="B1491">
        <v>58156435</v>
      </c>
      <c r="C1491" t="s">
        <v>1019</v>
      </c>
      <c r="D1491" t="s">
        <v>3506</v>
      </c>
      <c r="E1491" t="s">
        <v>3507</v>
      </c>
      <c r="F1491" t="s">
        <v>7</v>
      </c>
      <c r="G1491" t="s">
        <v>8</v>
      </c>
      <c r="H1491">
        <v>19000000</v>
      </c>
      <c r="I1491">
        <v>5.5</v>
      </c>
      <c r="J1491" t="s">
        <v>8465</v>
      </c>
    </row>
    <row r="1492" spans="1:10" x14ac:dyDescent="0.3">
      <c r="A1492">
        <v>98</v>
      </c>
      <c r="B1492">
        <v>56044241</v>
      </c>
      <c r="C1492" t="s">
        <v>1511</v>
      </c>
      <c r="D1492" t="s">
        <v>3508</v>
      </c>
      <c r="E1492" t="s">
        <v>3509</v>
      </c>
      <c r="F1492" t="s">
        <v>7</v>
      </c>
      <c r="G1492" t="s">
        <v>8</v>
      </c>
      <c r="H1492">
        <v>37000000</v>
      </c>
      <c r="I1492">
        <v>7.7</v>
      </c>
      <c r="J1492" t="s">
        <v>8949</v>
      </c>
    </row>
    <row r="1493" spans="1:10" x14ac:dyDescent="0.3">
      <c r="A1493">
        <v>94</v>
      </c>
      <c r="B1493">
        <v>56816662</v>
      </c>
      <c r="C1493" t="s">
        <v>1511</v>
      </c>
      <c r="D1493" t="s">
        <v>3510</v>
      </c>
      <c r="E1493" t="s">
        <v>3511</v>
      </c>
      <c r="F1493" t="s">
        <v>7</v>
      </c>
      <c r="G1493" t="s">
        <v>1488</v>
      </c>
      <c r="H1493">
        <v>17000000</v>
      </c>
      <c r="I1493">
        <v>7.1</v>
      </c>
      <c r="J1493" t="s">
        <v>8950</v>
      </c>
    </row>
    <row r="1494" spans="1:10" x14ac:dyDescent="0.3">
      <c r="A1494">
        <v>85</v>
      </c>
      <c r="B1494">
        <v>64238770</v>
      </c>
      <c r="C1494" t="s">
        <v>167</v>
      </c>
      <c r="D1494" t="s">
        <v>3512</v>
      </c>
      <c r="E1494" t="s">
        <v>3513</v>
      </c>
      <c r="F1494" t="s">
        <v>7</v>
      </c>
      <c r="G1494" t="s">
        <v>95</v>
      </c>
      <c r="H1494">
        <v>42000000</v>
      </c>
      <c r="I1494">
        <v>5.3</v>
      </c>
      <c r="J1494" t="s">
        <v>8951</v>
      </c>
    </row>
    <row r="1495" spans="1:10" x14ac:dyDescent="0.3">
      <c r="A1495">
        <v>124</v>
      </c>
      <c r="B1495">
        <v>52937130</v>
      </c>
      <c r="C1495" t="s">
        <v>694</v>
      </c>
      <c r="D1495" t="s">
        <v>3514</v>
      </c>
      <c r="E1495" t="s">
        <v>3515</v>
      </c>
      <c r="F1495" t="s">
        <v>7</v>
      </c>
      <c r="G1495" t="s">
        <v>8</v>
      </c>
      <c r="H1495">
        <v>30000000</v>
      </c>
      <c r="I1495">
        <v>5.6</v>
      </c>
      <c r="J1495" t="s">
        <v>8952</v>
      </c>
    </row>
    <row r="1496" spans="1:10" x14ac:dyDescent="0.3">
      <c r="A1496">
        <v>131</v>
      </c>
      <c r="B1496">
        <v>52799004</v>
      </c>
      <c r="C1496" t="s">
        <v>73</v>
      </c>
      <c r="D1496" t="s">
        <v>3516</v>
      </c>
      <c r="E1496" t="s">
        <v>3517</v>
      </c>
      <c r="F1496" t="s">
        <v>7</v>
      </c>
      <c r="G1496" t="s">
        <v>8</v>
      </c>
      <c r="H1496">
        <v>55000000</v>
      </c>
      <c r="I1496">
        <v>5.7</v>
      </c>
      <c r="J1496" t="s">
        <v>8696</v>
      </c>
    </row>
    <row r="1497" spans="1:10" x14ac:dyDescent="0.3">
      <c r="A1497">
        <v>107</v>
      </c>
      <c r="B1497">
        <v>55210049</v>
      </c>
      <c r="C1497" t="s">
        <v>78</v>
      </c>
      <c r="D1497" t="s">
        <v>3518</v>
      </c>
      <c r="E1497" t="s">
        <v>3519</v>
      </c>
      <c r="F1497" t="s">
        <v>7</v>
      </c>
      <c r="G1497" t="s">
        <v>8</v>
      </c>
      <c r="H1497">
        <v>27800000</v>
      </c>
      <c r="I1497">
        <v>7.1</v>
      </c>
      <c r="J1497" t="s">
        <v>8859</v>
      </c>
    </row>
    <row r="1498" spans="1:10" x14ac:dyDescent="0.3">
      <c r="A1498">
        <v>99</v>
      </c>
      <c r="B1498">
        <v>51432423</v>
      </c>
      <c r="C1498" t="s">
        <v>3520</v>
      </c>
      <c r="D1498" t="s">
        <v>3521</v>
      </c>
      <c r="E1498" t="s">
        <v>3522</v>
      </c>
      <c r="F1498" t="s">
        <v>7</v>
      </c>
      <c r="G1498" t="s">
        <v>8</v>
      </c>
      <c r="H1498">
        <v>30000000</v>
      </c>
      <c r="I1498">
        <v>7.5</v>
      </c>
      <c r="J1498" t="s">
        <v>8779</v>
      </c>
    </row>
    <row r="1499" spans="1:10" x14ac:dyDescent="0.3">
      <c r="A1499">
        <v>83</v>
      </c>
      <c r="B1499">
        <v>51109400</v>
      </c>
      <c r="C1499" t="s">
        <v>386</v>
      </c>
      <c r="D1499" t="s">
        <v>3523</v>
      </c>
      <c r="E1499" t="s">
        <v>3524</v>
      </c>
      <c r="F1499" t="s">
        <v>7</v>
      </c>
      <c r="G1499" t="s">
        <v>8</v>
      </c>
      <c r="H1499">
        <v>30000000</v>
      </c>
      <c r="I1499">
        <v>7.6</v>
      </c>
      <c r="J1499" t="s">
        <v>8633</v>
      </c>
    </row>
    <row r="1500" spans="1:10" x14ac:dyDescent="0.3">
      <c r="A1500">
        <v>131</v>
      </c>
      <c r="B1500">
        <v>50300000</v>
      </c>
      <c r="C1500" t="s">
        <v>12</v>
      </c>
      <c r="D1500" t="s">
        <v>3525</v>
      </c>
      <c r="E1500" t="s">
        <v>3526</v>
      </c>
      <c r="F1500" t="s">
        <v>7</v>
      </c>
      <c r="G1500" t="s">
        <v>15</v>
      </c>
      <c r="H1500">
        <v>30000000</v>
      </c>
      <c r="I1500">
        <v>5.5</v>
      </c>
      <c r="J1500" t="s">
        <v>8594</v>
      </c>
    </row>
    <row r="1501" spans="1:10" x14ac:dyDescent="0.3">
      <c r="A1501">
        <v>85</v>
      </c>
      <c r="B1501">
        <v>56068547</v>
      </c>
      <c r="C1501" t="s">
        <v>3527</v>
      </c>
      <c r="D1501" t="s">
        <v>3528</v>
      </c>
      <c r="E1501" t="s">
        <v>3529</v>
      </c>
      <c r="F1501" t="s">
        <v>7</v>
      </c>
      <c r="G1501" t="s">
        <v>15</v>
      </c>
      <c r="H1501">
        <v>30000000</v>
      </c>
      <c r="I1501">
        <v>5.0999999999999996</v>
      </c>
      <c r="J1501" t="s">
        <v>8447</v>
      </c>
    </row>
    <row r="1502" spans="1:10" x14ac:dyDescent="0.3">
      <c r="A1502">
        <v>126</v>
      </c>
      <c r="B1502">
        <v>53680848</v>
      </c>
      <c r="C1502" t="s">
        <v>73</v>
      </c>
      <c r="D1502" t="s">
        <v>3530</v>
      </c>
      <c r="E1502" t="s">
        <v>3531</v>
      </c>
      <c r="F1502" t="s">
        <v>7</v>
      </c>
      <c r="G1502" t="s">
        <v>8</v>
      </c>
      <c r="H1502">
        <v>30000000</v>
      </c>
      <c r="I1502">
        <v>6.3</v>
      </c>
      <c r="J1502" t="s">
        <v>8953</v>
      </c>
    </row>
    <row r="1503" spans="1:10" x14ac:dyDescent="0.3">
      <c r="A1503">
        <v>123</v>
      </c>
      <c r="B1503">
        <v>50921738</v>
      </c>
      <c r="C1503" t="s">
        <v>2012</v>
      </c>
      <c r="D1503" t="s">
        <v>3532</v>
      </c>
      <c r="E1503" t="s">
        <v>3533</v>
      </c>
      <c r="F1503" t="s">
        <v>7</v>
      </c>
      <c r="G1503" t="s">
        <v>15</v>
      </c>
      <c r="H1503">
        <v>30000000</v>
      </c>
      <c r="I1503">
        <v>4.9000000000000004</v>
      </c>
      <c r="J1503" t="s">
        <v>8954</v>
      </c>
    </row>
    <row r="1504" spans="1:10" x14ac:dyDescent="0.3">
      <c r="A1504">
        <v>105</v>
      </c>
      <c r="B1504">
        <v>53021560</v>
      </c>
      <c r="C1504" t="s">
        <v>561</v>
      </c>
      <c r="D1504" t="s">
        <v>3534</v>
      </c>
      <c r="E1504" t="s">
        <v>3535</v>
      </c>
      <c r="F1504" t="s">
        <v>7</v>
      </c>
      <c r="G1504" t="s">
        <v>8</v>
      </c>
      <c r="H1504">
        <v>30000000</v>
      </c>
      <c r="I1504">
        <v>6.5</v>
      </c>
      <c r="J1504" t="s">
        <v>8955</v>
      </c>
    </row>
    <row r="1505" spans="1:10" x14ac:dyDescent="0.3">
      <c r="A1505">
        <v>125</v>
      </c>
      <c r="B1505">
        <v>45645204</v>
      </c>
      <c r="C1505" t="s">
        <v>118</v>
      </c>
      <c r="D1505" t="s">
        <v>3536</v>
      </c>
      <c r="E1505" t="s">
        <v>3537</v>
      </c>
      <c r="F1505" t="s">
        <v>7</v>
      </c>
      <c r="G1505" t="s">
        <v>8</v>
      </c>
      <c r="H1505">
        <v>30000000</v>
      </c>
      <c r="I1505">
        <v>5.6</v>
      </c>
      <c r="J1505" t="s">
        <v>8797</v>
      </c>
    </row>
    <row r="1506" spans="1:10" x14ac:dyDescent="0.3">
      <c r="A1506">
        <v>77</v>
      </c>
      <c r="B1506">
        <v>53337608</v>
      </c>
      <c r="C1506" t="s">
        <v>3538</v>
      </c>
      <c r="D1506" t="s">
        <v>3539</v>
      </c>
      <c r="E1506" t="s">
        <v>3540</v>
      </c>
      <c r="F1506" t="s">
        <v>7</v>
      </c>
      <c r="G1506" t="s">
        <v>8</v>
      </c>
      <c r="H1506">
        <v>40000000</v>
      </c>
      <c r="I1506">
        <v>5.3</v>
      </c>
      <c r="J1506" t="s">
        <v>8956</v>
      </c>
    </row>
    <row r="1507" spans="1:10" x14ac:dyDescent="0.3">
      <c r="A1507">
        <v>121</v>
      </c>
      <c r="B1507">
        <v>46875468</v>
      </c>
      <c r="C1507" t="s">
        <v>436</v>
      </c>
      <c r="D1507" t="s">
        <v>3541</v>
      </c>
      <c r="E1507" t="s">
        <v>3542</v>
      </c>
      <c r="F1507" t="s">
        <v>7</v>
      </c>
      <c r="G1507" t="s">
        <v>8</v>
      </c>
      <c r="H1507">
        <v>30000000</v>
      </c>
      <c r="I1507">
        <v>6.5</v>
      </c>
      <c r="J1507" t="s">
        <v>8957</v>
      </c>
    </row>
    <row r="1508" spans="1:10" x14ac:dyDescent="0.3">
      <c r="A1508">
        <v>124</v>
      </c>
      <c r="B1508">
        <v>52418902</v>
      </c>
      <c r="C1508" t="s">
        <v>1578</v>
      </c>
      <c r="D1508" t="s">
        <v>3543</v>
      </c>
      <c r="E1508" t="s">
        <v>3544</v>
      </c>
      <c r="F1508" t="s">
        <v>7</v>
      </c>
      <c r="G1508" t="s">
        <v>8</v>
      </c>
      <c r="H1508">
        <v>30000000</v>
      </c>
      <c r="I1508">
        <v>6.8</v>
      </c>
      <c r="J1508" t="s">
        <v>8958</v>
      </c>
    </row>
    <row r="1509" spans="1:10" x14ac:dyDescent="0.3">
      <c r="A1509">
        <v>99</v>
      </c>
      <c r="B1509">
        <v>42057340</v>
      </c>
      <c r="C1509" t="s">
        <v>2324</v>
      </c>
      <c r="D1509" t="s">
        <v>3545</v>
      </c>
      <c r="E1509" t="s">
        <v>3546</v>
      </c>
      <c r="F1509" t="s">
        <v>7</v>
      </c>
      <c r="G1509" t="s">
        <v>8</v>
      </c>
      <c r="H1509">
        <v>30000000</v>
      </c>
      <c r="I1509">
        <v>6.5</v>
      </c>
      <c r="J1509" t="s">
        <v>8959</v>
      </c>
    </row>
    <row r="1510" spans="1:10" x14ac:dyDescent="0.3">
      <c r="A1510">
        <v>112</v>
      </c>
      <c r="B1510">
        <v>42478175</v>
      </c>
      <c r="C1510" t="s">
        <v>253</v>
      </c>
      <c r="D1510" t="s">
        <v>3547</v>
      </c>
      <c r="E1510" t="s">
        <v>3548</v>
      </c>
      <c r="F1510" t="s">
        <v>7</v>
      </c>
      <c r="G1510" t="s">
        <v>8</v>
      </c>
      <c r="H1510">
        <v>25000000</v>
      </c>
      <c r="I1510">
        <v>6</v>
      </c>
      <c r="J1510" t="s">
        <v>8330</v>
      </c>
    </row>
    <row r="1511" spans="1:10" x14ac:dyDescent="0.3">
      <c r="A1511">
        <v>111</v>
      </c>
      <c r="B1511">
        <v>41407470</v>
      </c>
      <c r="C1511" t="s">
        <v>1641</v>
      </c>
      <c r="D1511" t="s">
        <v>3549</v>
      </c>
      <c r="E1511" t="s">
        <v>3550</v>
      </c>
      <c r="F1511" t="s">
        <v>7</v>
      </c>
      <c r="G1511" t="s">
        <v>8</v>
      </c>
      <c r="H1511">
        <v>30000000</v>
      </c>
      <c r="I1511">
        <v>8.4</v>
      </c>
      <c r="J1511" t="s">
        <v>8960</v>
      </c>
    </row>
    <row r="1512" spans="1:10" x14ac:dyDescent="0.3">
      <c r="A1512">
        <v>107</v>
      </c>
      <c r="B1512">
        <v>42385520</v>
      </c>
      <c r="C1512" t="s">
        <v>3307</v>
      </c>
      <c r="D1512" t="s">
        <v>3551</v>
      </c>
      <c r="E1512" t="s">
        <v>3552</v>
      </c>
      <c r="F1512" t="s">
        <v>7</v>
      </c>
      <c r="G1512" t="s">
        <v>8</v>
      </c>
      <c r="H1512">
        <v>30000000</v>
      </c>
      <c r="I1512">
        <v>6</v>
      </c>
      <c r="J1512" t="s">
        <v>8961</v>
      </c>
    </row>
    <row r="1513" spans="1:10" x14ac:dyDescent="0.3">
      <c r="A1513">
        <v>104</v>
      </c>
      <c r="B1513">
        <v>40118420</v>
      </c>
      <c r="C1513" t="s">
        <v>2056</v>
      </c>
      <c r="D1513" t="s">
        <v>3553</v>
      </c>
      <c r="E1513" t="s">
        <v>3554</v>
      </c>
      <c r="F1513" t="s">
        <v>7</v>
      </c>
      <c r="G1513" t="s">
        <v>8</v>
      </c>
      <c r="H1513">
        <v>30000000</v>
      </c>
      <c r="I1513">
        <v>7.6</v>
      </c>
      <c r="J1513" t="s">
        <v>8857</v>
      </c>
    </row>
    <row r="1514" spans="1:10" x14ac:dyDescent="0.3">
      <c r="A1514">
        <v>113</v>
      </c>
      <c r="B1514">
        <v>40137776</v>
      </c>
      <c r="C1514" t="s">
        <v>1024</v>
      </c>
      <c r="D1514" t="s">
        <v>3555</v>
      </c>
      <c r="E1514" t="s">
        <v>3556</v>
      </c>
      <c r="F1514" t="s">
        <v>7</v>
      </c>
      <c r="G1514" t="s">
        <v>8</v>
      </c>
      <c r="H1514">
        <v>38000000</v>
      </c>
      <c r="I1514">
        <v>5.6</v>
      </c>
      <c r="J1514" t="s">
        <v>8962</v>
      </c>
    </row>
    <row r="1515" spans="1:10" x14ac:dyDescent="0.3">
      <c r="A1515">
        <v>113</v>
      </c>
      <c r="B1515">
        <v>39568996</v>
      </c>
      <c r="C1515" t="s">
        <v>2701</v>
      </c>
      <c r="D1515" t="s">
        <v>3557</v>
      </c>
      <c r="E1515" t="s">
        <v>3558</v>
      </c>
      <c r="F1515" t="s">
        <v>7</v>
      </c>
      <c r="G1515" t="s">
        <v>8</v>
      </c>
      <c r="H1515">
        <v>32000000</v>
      </c>
      <c r="I1515">
        <v>6.9</v>
      </c>
      <c r="J1515" t="s">
        <v>8341</v>
      </c>
    </row>
    <row r="1516" spans="1:10" x14ac:dyDescent="0.3">
      <c r="A1516">
        <v>95</v>
      </c>
      <c r="B1516">
        <v>42043633</v>
      </c>
      <c r="C1516" t="s">
        <v>1101</v>
      </c>
      <c r="D1516" t="s">
        <v>3559</v>
      </c>
      <c r="E1516" t="s">
        <v>3560</v>
      </c>
      <c r="F1516" t="s">
        <v>7</v>
      </c>
      <c r="G1516" t="s">
        <v>8</v>
      </c>
      <c r="H1516">
        <v>30000000</v>
      </c>
      <c r="I1516">
        <v>6.4</v>
      </c>
      <c r="J1516" t="s">
        <v>8365</v>
      </c>
    </row>
    <row r="1517" spans="1:10" x14ac:dyDescent="0.3">
      <c r="A1517">
        <v>86</v>
      </c>
      <c r="B1517">
        <v>38232624</v>
      </c>
      <c r="C1517" t="s">
        <v>668</v>
      </c>
      <c r="D1517" t="s">
        <v>3561</v>
      </c>
      <c r="E1517" t="s">
        <v>3562</v>
      </c>
      <c r="F1517" t="s">
        <v>7</v>
      </c>
      <c r="G1517" t="s">
        <v>8</v>
      </c>
      <c r="H1517">
        <v>30000000</v>
      </c>
      <c r="I1517">
        <v>5.0999999999999996</v>
      </c>
      <c r="J1517" t="s">
        <v>8649</v>
      </c>
    </row>
    <row r="1518" spans="1:10" x14ac:dyDescent="0.3">
      <c r="A1518">
        <v>126</v>
      </c>
      <c r="B1518">
        <v>38413606</v>
      </c>
      <c r="C1518" t="s">
        <v>148</v>
      </c>
      <c r="D1518" t="s">
        <v>3563</v>
      </c>
      <c r="E1518" t="s">
        <v>3564</v>
      </c>
      <c r="F1518" t="s">
        <v>7</v>
      </c>
      <c r="G1518" t="s">
        <v>8</v>
      </c>
      <c r="H1518">
        <v>30000000</v>
      </c>
      <c r="I1518">
        <v>7</v>
      </c>
      <c r="J1518" t="s">
        <v>8399</v>
      </c>
    </row>
    <row r="1519" spans="1:10" x14ac:dyDescent="0.3">
      <c r="A1519">
        <v>101</v>
      </c>
      <c r="B1519">
        <v>38122105</v>
      </c>
      <c r="C1519" t="s">
        <v>555</v>
      </c>
      <c r="D1519" t="s">
        <v>3565</v>
      </c>
      <c r="E1519" t="s">
        <v>3566</v>
      </c>
      <c r="F1519" t="s">
        <v>7</v>
      </c>
      <c r="G1519" t="s">
        <v>8</v>
      </c>
      <c r="H1519">
        <v>27000000</v>
      </c>
      <c r="I1519">
        <v>5.7</v>
      </c>
      <c r="J1519" t="s">
        <v>8963</v>
      </c>
    </row>
    <row r="1520" spans="1:10" x14ac:dyDescent="0.3">
      <c r="A1520">
        <v>102</v>
      </c>
      <c r="B1520">
        <v>38747385</v>
      </c>
      <c r="C1520" t="s">
        <v>3567</v>
      </c>
      <c r="D1520" t="s">
        <v>3568</v>
      </c>
      <c r="E1520" t="s">
        <v>3569</v>
      </c>
      <c r="F1520" t="s">
        <v>7</v>
      </c>
      <c r="G1520" t="s">
        <v>8</v>
      </c>
      <c r="H1520">
        <v>25000000</v>
      </c>
      <c r="I1520">
        <v>6.8</v>
      </c>
      <c r="J1520" t="s">
        <v>8393</v>
      </c>
    </row>
    <row r="1521" spans="1:10" x14ac:dyDescent="0.3">
      <c r="A1521">
        <v>111</v>
      </c>
      <c r="B1521">
        <v>40247512</v>
      </c>
      <c r="C1521" t="s">
        <v>351</v>
      </c>
      <c r="D1521" t="s">
        <v>3570</v>
      </c>
      <c r="E1521" t="s">
        <v>3571</v>
      </c>
      <c r="F1521" t="s">
        <v>7</v>
      </c>
      <c r="G1521" t="s">
        <v>8</v>
      </c>
      <c r="H1521">
        <v>30000000</v>
      </c>
      <c r="I1521">
        <v>6.7</v>
      </c>
      <c r="J1521" t="s">
        <v>8831</v>
      </c>
    </row>
    <row r="1522" spans="1:10" x14ac:dyDescent="0.3">
      <c r="A1522">
        <v>95</v>
      </c>
      <c r="B1522">
        <v>35927406</v>
      </c>
      <c r="C1522" t="s">
        <v>92</v>
      </c>
      <c r="D1522" t="s">
        <v>3572</v>
      </c>
      <c r="E1522" t="s">
        <v>3573</v>
      </c>
      <c r="F1522" t="s">
        <v>7</v>
      </c>
      <c r="G1522" t="s">
        <v>8</v>
      </c>
      <c r="H1522">
        <v>30000000</v>
      </c>
      <c r="I1522">
        <v>6.2</v>
      </c>
      <c r="J1522" t="s">
        <v>8964</v>
      </c>
    </row>
    <row r="1523" spans="1:10" x14ac:dyDescent="0.3">
      <c r="A1523">
        <v>98</v>
      </c>
      <c r="B1523">
        <v>35565975</v>
      </c>
      <c r="C1523" t="s">
        <v>561</v>
      </c>
      <c r="D1523" t="s">
        <v>3574</v>
      </c>
      <c r="E1523" t="s">
        <v>3575</v>
      </c>
      <c r="F1523" t="s">
        <v>7</v>
      </c>
      <c r="G1523" t="s">
        <v>8</v>
      </c>
      <c r="H1523">
        <v>30000000</v>
      </c>
      <c r="I1523">
        <v>7.2</v>
      </c>
      <c r="J1523" t="s">
        <v>8950</v>
      </c>
    </row>
    <row r="1524" spans="1:10" x14ac:dyDescent="0.3">
      <c r="A1524">
        <v>100</v>
      </c>
      <c r="B1524">
        <v>35266619</v>
      </c>
      <c r="C1524" t="s">
        <v>2117</v>
      </c>
      <c r="D1524" t="s">
        <v>3576</v>
      </c>
      <c r="E1524" t="s">
        <v>3577</v>
      </c>
      <c r="F1524" t="s">
        <v>7</v>
      </c>
      <c r="G1524" t="s">
        <v>8</v>
      </c>
      <c r="H1524">
        <v>30000000</v>
      </c>
      <c r="I1524">
        <v>6.2</v>
      </c>
      <c r="J1524" t="s">
        <v>8965</v>
      </c>
    </row>
    <row r="1525" spans="1:10" x14ac:dyDescent="0.3">
      <c r="A1525">
        <v>118</v>
      </c>
      <c r="B1525">
        <v>34703228</v>
      </c>
      <c r="C1525" t="s">
        <v>2605</v>
      </c>
      <c r="D1525" t="s">
        <v>3578</v>
      </c>
      <c r="E1525" t="s">
        <v>3579</v>
      </c>
      <c r="F1525" t="s">
        <v>7</v>
      </c>
      <c r="G1525" t="s">
        <v>8</v>
      </c>
      <c r="H1525">
        <v>30000000</v>
      </c>
      <c r="I1525">
        <v>5.6</v>
      </c>
      <c r="J1525" t="s">
        <v>8966</v>
      </c>
    </row>
    <row r="1526" spans="1:10" x14ac:dyDescent="0.3">
      <c r="A1526">
        <v>125</v>
      </c>
      <c r="B1526">
        <v>38432823</v>
      </c>
      <c r="C1526" t="s">
        <v>3580</v>
      </c>
      <c r="D1526" t="s">
        <v>3581</v>
      </c>
      <c r="E1526" t="s">
        <v>3582</v>
      </c>
      <c r="F1526" t="s">
        <v>7</v>
      </c>
      <c r="G1526" t="s">
        <v>8</v>
      </c>
      <c r="H1526">
        <v>30000000</v>
      </c>
      <c r="I1526">
        <v>4.4000000000000004</v>
      </c>
      <c r="J1526" t="s">
        <v>8726</v>
      </c>
    </row>
    <row r="1527" spans="1:10" x14ac:dyDescent="0.3">
      <c r="A1527">
        <v>94</v>
      </c>
      <c r="B1527">
        <v>32095318</v>
      </c>
      <c r="C1527" t="s">
        <v>386</v>
      </c>
      <c r="D1527" t="s">
        <v>3583</v>
      </c>
      <c r="E1527" t="s">
        <v>3584</v>
      </c>
      <c r="F1527" t="s">
        <v>7</v>
      </c>
      <c r="G1527" t="s">
        <v>8</v>
      </c>
      <c r="H1527">
        <v>45000000</v>
      </c>
      <c r="I1527">
        <v>7.5</v>
      </c>
      <c r="J1527" t="s">
        <v>8369</v>
      </c>
    </row>
    <row r="1528" spans="1:10" x14ac:dyDescent="0.3">
      <c r="A1528">
        <v>79</v>
      </c>
      <c r="B1528">
        <v>31743332</v>
      </c>
      <c r="C1528" t="s">
        <v>3585</v>
      </c>
      <c r="D1528" t="s">
        <v>3586</v>
      </c>
      <c r="E1528" t="s">
        <v>3587</v>
      </c>
      <c r="F1528" t="s">
        <v>7</v>
      </c>
      <c r="G1528" t="s">
        <v>8</v>
      </c>
      <c r="H1528">
        <v>30000000</v>
      </c>
      <c r="I1528">
        <v>7.1</v>
      </c>
      <c r="J1528" t="s">
        <v>8732</v>
      </c>
    </row>
    <row r="1529" spans="1:10" x14ac:dyDescent="0.3">
      <c r="A1529">
        <v>106</v>
      </c>
      <c r="B1529">
        <v>32154410</v>
      </c>
      <c r="C1529" t="s">
        <v>873</v>
      </c>
      <c r="D1529" t="s">
        <v>3588</v>
      </c>
      <c r="E1529" t="s">
        <v>3589</v>
      </c>
      <c r="F1529" t="s">
        <v>7</v>
      </c>
      <c r="G1529" t="s">
        <v>8</v>
      </c>
      <c r="H1529">
        <v>30000000</v>
      </c>
      <c r="I1529">
        <v>6.4</v>
      </c>
      <c r="J1529" t="s">
        <v>8426</v>
      </c>
    </row>
    <row r="1530" spans="1:10" x14ac:dyDescent="0.3">
      <c r="A1530">
        <v>63</v>
      </c>
      <c r="B1530">
        <v>26687172</v>
      </c>
      <c r="C1530" t="s">
        <v>502</v>
      </c>
      <c r="D1530" t="s">
        <v>3590</v>
      </c>
      <c r="E1530" t="s">
        <v>3591</v>
      </c>
      <c r="F1530" t="s">
        <v>7</v>
      </c>
      <c r="G1530" t="s">
        <v>8</v>
      </c>
      <c r="H1530">
        <v>30000000</v>
      </c>
      <c r="I1530">
        <v>7.1</v>
      </c>
      <c r="J1530" t="s">
        <v>8658</v>
      </c>
    </row>
    <row r="1531" spans="1:10" x14ac:dyDescent="0.3">
      <c r="A1531">
        <v>85</v>
      </c>
      <c r="B1531">
        <v>26096584</v>
      </c>
      <c r="C1531" t="s">
        <v>668</v>
      </c>
      <c r="D1531" t="s">
        <v>3592</v>
      </c>
      <c r="E1531" t="s">
        <v>3593</v>
      </c>
      <c r="F1531" t="s">
        <v>7</v>
      </c>
      <c r="G1531" t="s">
        <v>8</v>
      </c>
      <c r="H1531">
        <v>19000000</v>
      </c>
      <c r="I1531">
        <v>5.9</v>
      </c>
      <c r="J1531" t="s">
        <v>8332</v>
      </c>
    </row>
    <row r="1532" spans="1:10" x14ac:dyDescent="0.3">
      <c r="A1532">
        <v>108</v>
      </c>
      <c r="B1532">
        <v>26525834</v>
      </c>
      <c r="C1532" t="s">
        <v>561</v>
      </c>
      <c r="D1532" t="s">
        <v>3594</v>
      </c>
      <c r="E1532" t="s">
        <v>3595</v>
      </c>
      <c r="F1532" t="s">
        <v>7</v>
      </c>
      <c r="G1532" t="s">
        <v>8</v>
      </c>
      <c r="H1532">
        <v>30000000</v>
      </c>
      <c r="I1532">
        <v>6.9</v>
      </c>
      <c r="J1532" t="s">
        <v>8967</v>
      </c>
    </row>
    <row r="1533" spans="1:10" x14ac:dyDescent="0.3">
      <c r="A1533">
        <v>139</v>
      </c>
      <c r="B1533">
        <v>30513940</v>
      </c>
      <c r="C1533" t="s">
        <v>1796</v>
      </c>
      <c r="D1533" t="s">
        <v>3596</v>
      </c>
      <c r="E1533" t="s">
        <v>3597</v>
      </c>
      <c r="F1533" t="s">
        <v>7</v>
      </c>
      <c r="G1533" t="s">
        <v>8</v>
      </c>
      <c r="H1533">
        <v>30000000</v>
      </c>
      <c r="I1533">
        <v>7.5</v>
      </c>
      <c r="J1533" t="s">
        <v>8764</v>
      </c>
    </row>
    <row r="1534" spans="1:10" x14ac:dyDescent="0.3">
      <c r="A1534">
        <v>127</v>
      </c>
      <c r="B1534">
        <v>23209440</v>
      </c>
      <c r="C1534" t="s">
        <v>1417</v>
      </c>
      <c r="D1534" t="s">
        <v>3598</v>
      </c>
      <c r="E1534" t="s">
        <v>3599</v>
      </c>
      <c r="F1534" t="s">
        <v>7</v>
      </c>
      <c r="G1534" t="s">
        <v>8</v>
      </c>
      <c r="H1534">
        <v>30000000</v>
      </c>
      <c r="I1534">
        <v>6.3</v>
      </c>
      <c r="J1534" t="s">
        <v>8406</v>
      </c>
    </row>
    <row r="1535" spans="1:10" x14ac:dyDescent="0.3">
      <c r="A1535">
        <v>106</v>
      </c>
      <c r="B1535">
        <v>24048000</v>
      </c>
      <c r="C1535" t="s">
        <v>555</v>
      </c>
      <c r="D1535" t="s">
        <v>3600</v>
      </c>
      <c r="E1535" t="s">
        <v>3601</v>
      </c>
      <c r="F1535" t="s">
        <v>7</v>
      </c>
      <c r="G1535" t="s">
        <v>8</v>
      </c>
      <c r="H1535">
        <v>30000000</v>
      </c>
      <c r="I1535">
        <v>6.4</v>
      </c>
      <c r="J1535" t="s">
        <v>8300</v>
      </c>
    </row>
    <row r="1536" spans="1:10" x14ac:dyDescent="0.3">
      <c r="A1536">
        <v>95</v>
      </c>
      <c r="B1536">
        <v>22526144</v>
      </c>
      <c r="C1536" t="s">
        <v>1016</v>
      </c>
      <c r="D1536" t="s">
        <v>3602</v>
      </c>
      <c r="E1536" t="s">
        <v>3603</v>
      </c>
      <c r="F1536" t="s">
        <v>7</v>
      </c>
      <c r="G1536" t="s">
        <v>8</v>
      </c>
      <c r="H1536">
        <v>30000000</v>
      </c>
      <c r="I1536">
        <v>5.9</v>
      </c>
      <c r="J1536" t="s">
        <v>8798</v>
      </c>
    </row>
    <row r="1537" spans="1:10" x14ac:dyDescent="0.3">
      <c r="A1537">
        <v>118</v>
      </c>
      <c r="B1537">
        <v>30523568</v>
      </c>
      <c r="C1537" t="s">
        <v>1249</v>
      </c>
      <c r="D1537" t="s">
        <v>3604</v>
      </c>
      <c r="E1537" t="s">
        <v>3605</v>
      </c>
      <c r="F1537" t="s">
        <v>7</v>
      </c>
      <c r="G1537" t="s">
        <v>8</v>
      </c>
      <c r="H1537">
        <v>30000000</v>
      </c>
      <c r="I1537">
        <v>6.8</v>
      </c>
      <c r="J1537" t="s">
        <v>8342</v>
      </c>
    </row>
    <row r="1538" spans="1:10" x14ac:dyDescent="0.3">
      <c r="A1538">
        <v>108</v>
      </c>
      <c r="B1538">
        <v>23070045</v>
      </c>
      <c r="C1538" t="s">
        <v>735</v>
      </c>
      <c r="D1538" t="s">
        <v>3606</v>
      </c>
      <c r="E1538" t="s">
        <v>3607</v>
      </c>
      <c r="F1538" t="s">
        <v>7</v>
      </c>
      <c r="G1538" t="s">
        <v>8</v>
      </c>
      <c r="H1538">
        <v>30000000</v>
      </c>
      <c r="I1538">
        <v>6.3</v>
      </c>
      <c r="J1538" t="s">
        <v>8968</v>
      </c>
    </row>
    <row r="1539" spans="1:10" x14ac:dyDescent="0.3">
      <c r="A1539">
        <v>105</v>
      </c>
      <c r="B1539">
        <v>20422207</v>
      </c>
      <c r="C1539" t="s">
        <v>561</v>
      </c>
      <c r="D1539" t="s">
        <v>3608</v>
      </c>
      <c r="E1539" t="s">
        <v>3609</v>
      </c>
      <c r="F1539" t="s">
        <v>7</v>
      </c>
      <c r="G1539" t="s">
        <v>8</v>
      </c>
      <c r="H1539">
        <v>35000000</v>
      </c>
      <c r="I1539">
        <v>3.6</v>
      </c>
      <c r="J1539" t="s">
        <v>8969</v>
      </c>
    </row>
    <row r="1540" spans="1:10" x14ac:dyDescent="0.3">
      <c r="A1540">
        <v>131</v>
      </c>
      <c r="B1540">
        <v>28644770</v>
      </c>
      <c r="C1540" t="s">
        <v>672</v>
      </c>
      <c r="D1540" t="s">
        <v>3610</v>
      </c>
      <c r="E1540" t="s">
        <v>3611</v>
      </c>
      <c r="F1540" t="s">
        <v>7</v>
      </c>
      <c r="G1540" t="s">
        <v>8</v>
      </c>
      <c r="H1540">
        <v>30000000</v>
      </c>
      <c r="I1540">
        <v>5.3</v>
      </c>
      <c r="J1540" t="s">
        <v>8889</v>
      </c>
    </row>
    <row r="1541" spans="1:10" x14ac:dyDescent="0.3">
      <c r="A1541">
        <v>104</v>
      </c>
      <c r="B1541">
        <v>21800302</v>
      </c>
      <c r="C1541" t="s">
        <v>1872</v>
      </c>
      <c r="D1541" t="s">
        <v>3612</v>
      </c>
      <c r="E1541" t="s">
        <v>3613</v>
      </c>
      <c r="F1541" t="s">
        <v>7</v>
      </c>
      <c r="G1541" t="s">
        <v>8</v>
      </c>
      <c r="H1541">
        <v>30000000</v>
      </c>
      <c r="I1541">
        <v>5.9</v>
      </c>
      <c r="J1541" t="s">
        <v>8970</v>
      </c>
    </row>
    <row r="1542" spans="1:10" x14ac:dyDescent="0.3">
      <c r="A1542">
        <v>133</v>
      </c>
      <c r="B1542">
        <v>21129348</v>
      </c>
      <c r="C1542" t="s">
        <v>2211</v>
      </c>
      <c r="D1542" t="s">
        <v>3614</v>
      </c>
      <c r="E1542" t="s">
        <v>3615</v>
      </c>
      <c r="F1542" t="s">
        <v>7</v>
      </c>
      <c r="G1542" t="s">
        <v>8</v>
      </c>
      <c r="H1542">
        <v>35000000</v>
      </c>
      <c r="I1542">
        <v>6.9</v>
      </c>
      <c r="J1542" t="s">
        <v>8464</v>
      </c>
    </row>
    <row r="1543" spans="1:10" x14ac:dyDescent="0.3">
      <c r="A1543">
        <v>94</v>
      </c>
      <c r="B1543">
        <v>18500966</v>
      </c>
      <c r="C1543" t="s">
        <v>912</v>
      </c>
      <c r="D1543" t="s">
        <v>3616</v>
      </c>
      <c r="E1543" t="s">
        <v>3617</v>
      </c>
      <c r="F1543" t="s">
        <v>7</v>
      </c>
      <c r="G1543" t="s">
        <v>8</v>
      </c>
      <c r="H1543">
        <v>30000000</v>
      </c>
      <c r="I1543">
        <v>6.9</v>
      </c>
      <c r="J1543" t="s">
        <v>8971</v>
      </c>
    </row>
    <row r="1544" spans="1:10" x14ac:dyDescent="0.3">
      <c r="A1544">
        <v>109</v>
      </c>
      <c r="B1544">
        <v>19976073</v>
      </c>
      <c r="C1544" t="s">
        <v>164</v>
      </c>
      <c r="D1544" t="s">
        <v>3618</v>
      </c>
      <c r="E1544" t="s">
        <v>3619</v>
      </c>
      <c r="F1544" t="s">
        <v>7</v>
      </c>
      <c r="G1544" t="s">
        <v>8</v>
      </c>
      <c r="H1544">
        <v>20000000</v>
      </c>
      <c r="I1544">
        <v>6.1</v>
      </c>
      <c r="J1544" t="s">
        <v>8444</v>
      </c>
    </row>
    <row r="1545" spans="1:10" x14ac:dyDescent="0.3">
      <c r="A1545">
        <v>96</v>
      </c>
      <c r="B1545">
        <v>18967571</v>
      </c>
      <c r="C1545" t="s">
        <v>118</v>
      </c>
      <c r="D1545" t="s">
        <v>3620</v>
      </c>
      <c r="E1545" t="s">
        <v>3621</v>
      </c>
      <c r="F1545" t="s">
        <v>7</v>
      </c>
      <c r="G1545" t="s">
        <v>8</v>
      </c>
      <c r="H1545">
        <v>30000000</v>
      </c>
      <c r="I1545">
        <v>5.7</v>
      </c>
      <c r="J1545" t="s">
        <v>8972</v>
      </c>
    </row>
    <row r="1546" spans="1:10" x14ac:dyDescent="0.3">
      <c r="A1546">
        <v>105</v>
      </c>
      <c r="B1546">
        <v>17100000</v>
      </c>
      <c r="C1546" t="s">
        <v>3622</v>
      </c>
      <c r="D1546" t="s">
        <v>3623</v>
      </c>
      <c r="E1546" t="s">
        <v>3624</v>
      </c>
      <c r="F1546" t="s">
        <v>7</v>
      </c>
      <c r="G1546" t="s">
        <v>8</v>
      </c>
      <c r="H1546">
        <v>25000000</v>
      </c>
      <c r="I1546">
        <v>8.5</v>
      </c>
      <c r="J1546" t="s">
        <v>8713</v>
      </c>
    </row>
    <row r="1547" spans="1:10" x14ac:dyDescent="0.3">
      <c r="A1547">
        <v>99</v>
      </c>
      <c r="B1547">
        <v>17266505</v>
      </c>
      <c r="C1547" t="s">
        <v>3625</v>
      </c>
      <c r="D1547" t="s">
        <v>3626</v>
      </c>
      <c r="E1547" t="s">
        <v>3627</v>
      </c>
      <c r="F1547" t="s">
        <v>7</v>
      </c>
      <c r="G1547" t="s">
        <v>8</v>
      </c>
      <c r="H1547">
        <v>30000000</v>
      </c>
      <c r="I1547">
        <v>6.3</v>
      </c>
      <c r="J1547" t="s">
        <v>8973</v>
      </c>
    </row>
    <row r="1548" spans="1:10" x14ac:dyDescent="0.3">
      <c r="A1548">
        <v>112</v>
      </c>
      <c r="B1548">
        <v>32357532</v>
      </c>
      <c r="C1548" t="s">
        <v>561</v>
      </c>
      <c r="D1548" t="s">
        <v>3628</v>
      </c>
      <c r="E1548" t="s">
        <v>3629</v>
      </c>
      <c r="F1548" t="s">
        <v>7</v>
      </c>
      <c r="G1548" t="s">
        <v>8</v>
      </c>
      <c r="H1548">
        <v>30000000</v>
      </c>
      <c r="I1548">
        <v>7.3</v>
      </c>
      <c r="J1548" t="s">
        <v>8685</v>
      </c>
    </row>
    <row r="1549" spans="1:10" x14ac:dyDescent="0.3">
      <c r="A1549">
        <v>108</v>
      </c>
      <c r="B1549">
        <v>16930884</v>
      </c>
      <c r="C1549" t="s">
        <v>882</v>
      </c>
      <c r="D1549" t="s">
        <v>3630</v>
      </c>
      <c r="E1549" t="s">
        <v>3631</v>
      </c>
      <c r="F1549" t="s">
        <v>7</v>
      </c>
      <c r="G1549" t="s">
        <v>8</v>
      </c>
      <c r="H1549">
        <v>30000000</v>
      </c>
      <c r="I1549">
        <v>6.3</v>
      </c>
      <c r="J1549" t="s">
        <v>8974</v>
      </c>
    </row>
    <row r="1550" spans="1:10" x14ac:dyDescent="0.3">
      <c r="A1550">
        <v>126</v>
      </c>
      <c r="B1550">
        <v>18324242</v>
      </c>
      <c r="C1550" t="s">
        <v>1417</v>
      </c>
      <c r="D1550" t="s">
        <v>3632</v>
      </c>
      <c r="E1550" t="s">
        <v>3633</v>
      </c>
      <c r="F1550" t="s">
        <v>7</v>
      </c>
      <c r="G1550" t="s">
        <v>8</v>
      </c>
      <c r="H1550">
        <v>35000000</v>
      </c>
      <c r="I1550">
        <v>7.2</v>
      </c>
      <c r="J1550" t="s">
        <v>8500</v>
      </c>
    </row>
    <row r="1551" spans="1:10" x14ac:dyDescent="0.3">
      <c r="A1551">
        <v>98</v>
      </c>
      <c r="B1551">
        <v>16323969</v>
      </c>
      <c r="C1551" t="s">
        <v>2509</v>
      </c>
      <c r="D1551" t="s">
        <v>3634</v>
      </c>
      <c r="E1551" t="s">
        <v>3635</v>
      </c>
      <c r="F1551" t="s">
        <v>7</v>
      </c>
      <c r="G1551" t="s">
        <v>8</v>
      </c>
      <c r="H1551">
        <v>40000000</v>
      </c>
      <c r="I1551">
        <v>7.3</v>
      </c>
      <c r="J1551" t="s">
        <v>8337</v>
      </c>
    </row>
    <row r="1552" spans="1:10" x14ac:dyDescent="0.3">
      <c r="A1552">
        <v>104</v>
      </c>
      <c r="B1552">
        <v>16999046</v>
      </c>
      <c r="C1552" t="s">
        <v>292</v>
      </c>
      <c r="D1552" t="s">
        <v>3636</v>
      </c>
      <c r="E1552" t="s">
        <v>3637</v>
      </c>
      <c r="F1552" t="s">
        <v>7</v>
      </c>
      <c r="G1552" t="s">
        <v>95</v>
      </c>
      <c r="H1552">
        <v>26000000</v>
      </c>
      <c r="I1552">
        <v>6.3</v>
      </c>
      <c r="J1552" t="s">
        <v>8975</v>
      </c>
    </row>
    <row r="1553" spans="1:10" x14ac:dyDescent="0.3">
      <c r="A1553">
        <v>110</v>
      </c>
      <c r="B1553">
        <v>16295774</v>
      </c>
      <c r="C1553" t="s">
        <v>1853</v>
      </c>
      <c r="D1553" t="s">
        <v>3638</v>
      </c>
      <c r="E1553" t="s">
        <v>3639</v>
      </c>
      <c r="F1553" t="s">
        <v>7</v>
      </c>
      <c r="G1553" t="s">
        <v>8</v>
      </c>
      <c r="H1553">
        <v>35000000</v>
      </c>
      <c r="I1553">
        <v>8.1</v>
      </c>
      <c r="J1553" t="s">
        <v>8763</v>
      </c>
    </row>
    <row r="1554" spans="1:10" x14ac:dyDescent="0.3">
      <c r="A1554">
        <v>130</v>
      </c>
      <c r="B1554">
        <v>15709385</v>
      </c>
      <c r="C1554" t="s">
        <v>873</v>
      </c>
      <c r="D1554" t="s">
        <v>3640</v>
      </c>
      <c r="E1554" t="s">
        <v>3641</v>
      </c>
      <c r="F1554" t="s">
        <v>7</v>
      </c>
      <c r="G1554" t="s">
        <v>8</v>
      </c>
      <c r="H1554">
        <v>30000000</v>
      </c>
      <c r="I1554">
        <v>6.9</v>
      </c>
      <c r="J1554" t="s">
        <v>8908</v>
      </c>
    </row>
    <row r="1555" spans="1:10" x14ac:dyDescent="0.3">
      <c r="A1555">
        <v>93</v>
      </c>
      <c r="B1555">
        <v>14888028</v>
      </c>
      <c r="C1555" t="s">
        <v>3642</v>
      </c>
      <c r="D1555" t="s">
        <v>3643</v>
      </c>
      <c r="E1555" t="s">
        <v>3644</v>
      </c>
      <c r="F1555" t="s">
        <v>7</v>
      </c>
      <c r="G1555" t="s">
        <v>8</v>
      </c>
      <c r="H1555">
        <v>30000000</v>
      </c>
      <c r="I1555">
        <v>6.3</v>
      </c>
      <c r="J1555" t="s">
        <v>8732</v>
      </c>
    </row>
    <row r="1556" spans="1:10" x14ac:dyDescent="0.3">
      <c r="A1556">
        <v>96</v>
      </c>
      <c r="B1556">
        <v>14208384</v>
      </c>
      <c r="C1556" t="s">
        <v>672</v>
      </c>
      <c r="D1556" t="s">
        <v>3645</v>
      </c>
      <c r="E1556" t="s">
        <v>3646</v>
      </c>
      <c r="F1556" t="s">
        <v>7</v>
      </c>
      <c r="G1556" t="s">
        <v>8</v>
      </c>
      <c r="H1556">
        <v>30000000</v>
      </c>
      <c r="I1556">
        <v>7.3</v>
      </c>
      <c r="J1556" t="s">
        <v>8596</v>
      </c>
    </row>
    <row r="1557" spans="1:10" x14ac:dyDescent="0.3">
      <c r="A1557">
        <v>114</v>
      </c>
      <c r="B1557">
        <v>12831121</v>
      </c>
      <c r="C1557" t="s">
        <v>1356</v>
      </c>
      <c r="D1557" t="s">
        <v>3647</v>
      </c>
      <c r="E1557" t="s">
        <v>3648</v>
      </c>
      <c r="F1557" t="s">
        <v>7</v>
      </c>
      <c r="G1557" t="s">
        <v>8</v>
      </c>
      <c r="H1557">
        <v>30000000</v>
      </c>
      <c r="I1557">
        <v>5.5</v>
      </c>
      <c r="J1557" t="s">
        <v>8393</v>
      </c>
    </row>
    <row r="1558" spans="1:10" x14ac:dyDescent="0.3">
      <c r="A1558">
        <v>106</v>
      </c>
      <c r="B1558">
        <v>18298649</v>
      </c>
      <c r="C1558" t="s">
        <v>3210</v>
      </c>
      <c r="D1558" t="s">
        <v>3649</v>
      </c>
      <c r="E1558" t="s">
        <v>3650</v>
      </c>
      <c r="F1558" t="s">
        <v>7</v>
      </c>
      <c r="G1558" t="s">
        <v>8</v>
      </c>
      <c r="H1558">
        <v>30000000</v>
      </c>
      <c r="I1558">
        <v>6.1</v>
      </c>
      <c r="J1558" t="s">
        <v>8976</v>
      </c>
    </row>
    <row r="1559" spans="1:10" x14ac:dyDescent="0.3">
      <c r="A1559">
        <v>150</v>
      </c>
      <c r="B1559">
        <v>12712093</v>
      </c>
      <c r="C1559" t="s">
        <v>2569</v>
      </c>
      <c r="D1559" t="s">
        <v>3651</v>
      </c>
      <c r="E1559" t="s">
        <v>3652</v>
      </c>
      <c r="F1559" t="s">
        <v>7</v>
      </c>
      <c r="G1559" t="s">
        <v>8</v>
      </c>
      <c r="H1559">
        <v>30000000</v>
      </c>
      <c r="I1559">
        <v>6.9</v>
      </c>
      <c r="J1559" t="s">
        <v>8309</v>
      </c>
    </row>
    <row r="1560" spans="1:10" x14ac:dyDescent="0.3">
      <c r="A1560">
        <v>100</v>
      </c>
      <c r="B1560">
        <v>11576087</v>
      </c>
      <c r="C1560" t="s">
        <v>20</v>
      </c>
      <c r="D1560" t="s">
        <v>3653</v>
      </c>
      <c r="E1560" t="s">
        <v>3654</v>
      </c>
      <c r="F1560" t="s">
        <v>7</v>
      </c>
      <c r="G1560" t="s">
        <v>8</v>
      </c>
      <c r="H1560">
        <v>30000000</v>
      </c>
      <c r="I1560">
        <v>7.2</v>
      </c>
      <c r="J1560" t="s">
        <v>8308</v>
      </c>
    </row>
    <row r="1561" spans="1:10" x14ac:dyDescent="0.3">
      <c r="A1561">
        <v>100</v>
      </c>
      <c r="B1561">
        <v>11900000</v>
      </c>
      <c r="C1561" t="s">
        <v>816</v>
      </c>
      <c r="D1561" t="s">
        <v>3655</v>
      </c>
      <c r="E1561" t="s">
        <v>3656</v>
      </c>
      <c r="F1561" t="s">
        <v>7</v>
      </c>
      <c r="G1561" t="s">
        <v>8</v>
      </c>
      <c r="H1561">
        <v>30000000</v>
      </c>
      <c r="I1561">
        <v>6.4</v>
      </c>
      <c r="J1561" t="s">
        <v>8499</v>
      </c>
    </row>
    <row r="1562" spans="1:10" x14ac:dyDescent="0.3">
      <c r="A1562">
        <v>100</v>
      </c>
      <c r="B1562">
        <v>9353573</v>
      </c>
      <c r="C1562" t="s">
        <v>92</v>
      </c>
      <c r="D1562" t="s">
        <v>3657</v>
      </c>
      <c r="E1562" t="s">
        <v>3658</v>
      </c>
      <c r="F1562" t="s">
        <v>7</v>
      </c>
      <c r="G1562" t="s">
        <v>8</v>
      </c>
      <c r="H1562">
        <v>45000000</v>
      </c>
      <c r="I1562">
        <v>6.4</v>
      </c>
      <c r="J1562" t="s">
        <v>8977</v>
      </c>
    </row>
    <row r="1563" spans="1:10" x14ac:dyDescent="0.3">
      <c r="A1563">
        <v>107</v>
      </c>
      <c r="B1563">
        <v>12026670</v>
      </c>
      <c r="C1563" t="s">
        <v>118</v>
      </c>
      <c r="D1563" t="s">
        <v>3659</v>
      </c>
      <c r="E1563" t="s">
        <v>3660</v>
      </c>
      <c r="F1563" t="s">
        <v>7</v>
      </c>
      <c r="G1563" t="s">
        <v>8</v>
      </c>
      <c r="H1563">
        <v>45000000</v>
      </c>
      <c r="I1563">
        <v>8.3000000000000007</v>
      </c>
      <c r="J1563" t="s">
        <v>8323</v>
      </c>
    </row>
    <row r="1564" spans="1:10" x14ac:dyDescent="0.3">
      <c r="A1564">
        <v>102</v>
      </c>
      <c r="B1564">
        <v>14334645</v>
      </c>
      <c r="C1564" t="s">
        <v>1314</v>
      </c>
      <c r="D1564" t="s">
        <v>3661</v>
      </c>
      <c r="E1564" t="s">
        <v>3662</v>
      </c>
      <c r="F1564" t="s">
        <v>7</v>
      </c>
      <c r="G1564" t="s">
        <v>8</v>
      </c>
      <c r="H1564">
        <v>25000000</v>
      </c>
      <c r="I1564">
        <v>7.2</v>
      </c>
      <c r="J1564" t="s">
        <v>8449</v>
      </c>
    </row>
    <row r="1565" spans="1:10" x14ac:dyDescent="0.3">
      <c r="A1565">
        <v>101</v>
      </c>
      <c r="B1565">
        <v>12189514</v>
      </c>
      <c r="C1565" t="s">
        <v>672</v>
      </c>
      <c r="D1565" t="s">
        <v>3663</v>
      </c>
      <c r="E1565" t="s">
        <v>3664</v>
      </c>
      <c r="F1565" t="s">
        <v>7</v>
      </c>
      <c r="G1565" t="s">
        <v>8</v>
      </c>
      <c r="H1565">
        <v>23000000</v>
      </c>
      <c r="I1565">
        <v>6.8</v>
      </c>
      <c r="J1565" t="s">
        <v>8978</v>
      </c>
    </row>
    <row r="1566" spans="1:10" x14ac:dyDescent="0.3">
      <c r="A1566">
        <v>86</v>
      </c>
      <c r="B1566">
        <v>10134754</v>
      </c>
      <c r="C1566" t="s">
        <v>1220</v>
      </c>
      <c r="D1566" t="s">
        <v>3665</v>
      </c>
      <c r="E1566" t="s">
        <v>3666</v>
      </c>
      <c r="F1566" t="s">
        <v>7</v>
      </c>
      <c r="G1566" t="s">
        <v>8</v>
      </c>
      <c r="H1566">
        <v>30000000</v>
      </c>
      <c r="I1566">
        <v>6.5</v>
      </c>
      <c r="J1566" t="s">
        <v>8979</v>
      </c>
    </row>
    <row r="1567" spans="1:10" x14ac:dyDescent="0.3">
      <c r="A1567">
        <v>108</v>
      </c>
      <c r="B1567">
        <v>8535575</v>
      </c>
      <c r="C1567" t="s">
        <v>1417</v>
      </c>
      <c r="D1567" t="s">
        <v>3667</v>
      </c>
      <c r="E1567" t="s">
        <v>3668</v>
      </c>
      <c r="F1567" t="s">
        <v>7</v>
      </c>
      <c r="G1567" t="s">
        <v>8</v>
      </c>
      <c r="H1567">
        <v>30000000</v>
      </c>
      <c r="I1567">
        <v>7.8</v>
      </c>
      <c r="J1567" t="s">
        <v>8959</v>
      </c>
    </row>
    <row r="1568" spans="1:10" x14ac:dyDescent="0.3">
      <c r="A1568">
        <v>123</v>
      </c>
      <c r="B1568">
        <v>7689458</v>
      </c>
      <c r="C1568" t="s">
        <v>3669</v>
      </c>
      <c r="D1568" t="s">
        <v>3670</v>
      </c>
      <c r="E1568" t="s">
        <v>3671</v>
      </c>
      <c r="F1568" t="s">
        <v>7</v>
      </c>
      <c r="G1568" t="s">
        <v>15</v>
      </c>
      <c r="H1568">
        <v>40000000</v>
      </c>
      <c r="I1568">
        <v>7.6</v>
      </c>
      <c r="J1568" t="s">
        <v>8424</v>
      </c>
    </row>
    <row r="1569" spans="1:10" x14ac:dyDescent="0.3">
      <c r="A1569">
        <v>88</v>
      </c>
      <c r="B1569">
        <v>19316646</v>
      </c>
      <c r="C1569" t="s">
        <v>609</v>
      </c>
      <c r="D1569" t="s">
        <v>3674</v>
      </c>
      <c r="E1569" t="s">
        <v>3675</v>
      </c>
      <c r="F1569" t="s">
        <v>7</v>
      </c>
      <c r="G1569" t="s">
        <v>8</v>
      </c>
      <c r="H1569">
        <v>30000000</v>
      </c>
      <c r="I1569">
        <v>7.2</v>
      </c>
      <c r="J1569" t="s">
        <v>8892</v>
      </c>
    </row>
    <row r="1570" spans="1:10" x14ac:dyDescent="0.3">
      <c r="A1570">
        <v>109</v>
      </c>
      <c r="B1570">
        <v>10965209</v>
      </c>
      <c r="C1570" t="s">
        <v>164</v>
      </c>
      <c r="D1570" t="s">
        <v>3676</v>
      </c>
      <c r="E1570" t="s">
        <v>3677</v>
      </c>
      <c r="F1570" t="s">
        <v>7</v>
      </c>
      <c r="G1570" t="s">
        <v>8</v>
      </c>
      <c r="H1570">
        <v>30000000</v>
      </c>
      <c r="I1570">
        <v>6.7</v>
      </c>
      <c r="J1570" t="s">
        <v>8729</v>
      </c>
    </row>
    <row r="1571" spans="1:10" x14ac:dyDescent="0.3">
      <c r="A1571">
        <v>122</v>
      </c>
      <c r="B1571">
        <v>26830000</v>
      </c>
      <c r="C1571" t="s">
        <v>799</v>
      </c>
      <c r="D1571" t="s">
        <v>3678</v>
      </c>
      <c r="E1571" t="s">
        <v>3679</v>
      </c>
      <c r="F1571" t="s">
        <v>7</v>
      </c>
      <c r="G1571" t="s">
        <v>8</v>
      </c>
      <c r="H1571">
        <v>18000000</v>
      </c>
      <c r="I1571">
        <v>6.8</v>
      </c>
      <c r="J1571" t="s">
        <v>8309</v>
      </c>
    </row>
    <row r="1572" spans="1:10" x14ac:dyDescent="0.3">
      <c r="A1572">
        <v>251</v>
      </c>
      <c r="B1572">
        <v>5300000</v>
      </c>
      <c r="C1572" t="s">
        <v>786</v>
      </c>
      <c r="D1572" t="s">
        <v>3680</v>
      </c>
      <c r="E1572" t="s">
        <v>3681</v>
      </c>
      <c r="F1572" t="s">
        <v>7</v>
      </c>
      <c r="G1572" t="s">
        <v>2993</v>
      </c>
      <c r="H1572">
        <v>30000000</v>
      </c>
      <c r="I1572">
        <v>6.3</v>
      </c>
      <c r="J1572" t="s">
        <v>8725</v>
      </c>
    </row>
    <row r="1573" spans="1:10" x14ac:dyDescent="0.3">
      <c r="A1573">
        <v>118</v>
      </c>
      <c r="B1573">
        <v>10880926</v>
      </c>
      <c r="C1573" t="s">
        <v>164</v>
      </c>
      <c r="D1573" t="s">
        <v>3682</v>
      </c>
      <c r="E1573" t="s">
        <v>3683</v>
      </c>
      <c r="F1573" t="s">
        <v>7</v>
      </c>
      <c r="G1573" t="s">
        <v>8</v>
      </c>
      <c r="H1573">
        <v>30000000</v>
      </c>
      <c r="I1573">
        <v>6.2</v>
      </c>
      <c r="J1573" t="s">
        <v>8586</v>
      </c>
    </row>
    <row r="1574" spans="1:10" x14ac:dyDescent="0.3">
      <c r="A1574">
        <v>131</v>
      </c>
      <c r="B1574">
        <v>3752725</v>
      </c>
      <c r="C1574" t="s">
        <v>73</v>
      </c>
      <c r="D1574" t="s">
        <v>3684</v>
      </c>
      <c r="E1574" t="s">
        <v>3685</v>
      </c>
      <c r="F1574" t="s">
        <v>7</v>
      </c>
      <c r="G1574" t="s">
        <v>8</v>
      </c>
      <c r="H1574">
        <v>18000000</v>
      </c>
      <c r="I1574">
        <v>6.2</v>
      </c>
      <c r="J1574" t="s">
        <v>8925</v>
      </c>
    </row>
    <row r="1575" spans="1:10" x14ac:dyDescent="0.3">
      <c r="A1575">
        <v>109</v>
      </c>
      <c r="B1575">
        <v>3517797</v>
      </c>
      <c r="C1575" t="s">
        <v>2438</v>
      </c>
      <c r="D1575" t="s">
        <v>3686</v>
      </c>
      <c r="E1575" t="s">
        <v>3687</v>
      </c>
      <c r="F1575" t="s">
        <v>7</v>
      </c>
      <c r="G1575" t="s">
        <v>583</v>
      </c>
      <c r="H1575">
        <v>25000000</v>
      </c>
      <c r="I1575">
        <v>8.6</v>
      </c>
      <c r="J1575" t="s">
        <v>8362</v>
      </c>
    </row>
    <row r="1576" spans="1:10" x14ac:dyDescent="0.3">
      <c r="A1576">
        <v>88</v>
      </c>
      <c r="B1576">
        <v>2975649</v>
      </c>
      <c r="C1576" t="s">
        <v>2663</v>
      </c>
      <c r="D1576" t="s">
        <v>3688</v>
      </c>
      <c r="E1576" t="s">
        <v>3689</v>
      </c>
      <c r="F1576" t="s">
        <v>7</v>
      </c>
      <c r="G1576" t="s">
        <v>15</v>
      </c>
      <c r="H1576">
        <v>30000000</v>
      </c>
      <c r="I1576">
        <v>8</v>
      </c>
      <c r="J1576" t="s">
        <v>8430</v>
      </c>
    </row>
    <row r="1577" spans="1:10" x14ac:dyDescent="0.3">
      <c r="A1577">
        <v>103</v>
      </c>
      <c r="B1577">
        <v>668171</v>
      </c>
      <c r="C1577" t="s">
        <v>2918</v>
      </c>
      <c r="D1577" t="s">
        <v>3690</v>
      </c>
      <c r="E1577" t="s">
        <v>3691</v>
      </c>
      <c r="F1577" t="s">
        <v>792</v>
      </c>
      <c r="G1577" t="s">
        <v>339</v>
      </c>
      <c r="H1577">
        <v>60000000</v>
      </c>
      <c r="I1577">
        <v>7</v>
      </c>
      <c r="J1577" t="s">
        <v>8980</v>
      </c>
    </row>
    <row r="1578" spans="1:10" x14ac:dyDescent="0.3">
      <c r="A1578">
        <v>87</v>
      </c>
      <c r="B1578">
        <v>480314</v>
      </c>
      <c r="C1578" t="s">
        <v>36</v>
      </c>
      <c r="D1578" t="s">
        <v>3692</v>
      </c>
      <c r="E1578" t="s">
        <v>3693</v>
      </c>
      <c r="F1578" t="s">
        <v>7</v>
      </c>
      <c r="G1578" t="s">
        <v>8</v>
      </c>
      <c r="H1578">
        <v>21000000</v>
      </c>
      <c r="I1578">
        <v>8</v>
      </c>
      <c r="J1578" t="s">
        <v>8619</v>
      </c>
    </row>
    <row r="1579" spans="1:10" x14ac:dyDescent="0.3">
      <c r="A1579">
        <v>160</v>
      </c>
      <c r="B1579">
        <v>3904982</v>
      </c>
      <c r="C1579" t="s">
        <v>3694</v>
      </c>
      <c r="D1579" t="s">
        <v>3695</v>
      </c>
      <c r="E1579" t="s">
        <v>3696</v>
      </c>
      <c r="F1579" t="s">
        <v>7</v>
      </c>
      <c r="G1579" t="s">
        <v>8</v>
      </c>
      <c r="H1579">
        <v>30000000</v>
      </c>
      <c r="I1579">
        <v>8.1</v>
      </c>
      <c r="J1579" t="s">
        <v>8619</v>
      </c>
    </row>
    <row r="1580" spans="1:10" x14ac:dyDescent="0.3">
      <c r="A1580">
        <v>121</v>
      </c>
      <c r="B1580">
        <v>127437</v>
      </c>
      <c r="C1580" t="s">
        <v>425</v>
      </c>
      <c r="D1580" t="s">
        <v>3697</v>
      </c>
      <c r="E1580" t="s">
        <v>3698</v>
      </c>
      <c r="F1580" t="s">
        <v>792</v>
      </c>
      <c r="G1580" t="s">
        <v>339</v>
      </c>
      <c r="H1580">
        <v>18000000</v>
      </c>
      <c r="I1580">
        <v>6.7</v>
      </c>
      <c r="J1580" t="s">
        <v>8663</v>
      </c>
    </row>
    <row r="1581" spans="1:10" x14ac:dyDescent="0.3">
      <c r="A1581">
        <v>129</v>
      </c>
      <c r="B1581">
        <v>537580</v>
      </c>
      <c r="C1581" t="s">
        <v>3699</v>
      </c>
      <c r="D1581" t="s">
        <v>3700</v>
      </c>
      <c r="E1581" t="s">
        <v>3701</v>
      </c>
      <c r="F1581" t="s">
        <v>7</v>
      </c>
      <c r="G1581" t="s">
        <v>8</v>
      </c>
      <c r="H1581">
        <v>30000000</v>
      </c>
      <c r="I1581">
        <v>7.9</v>
      </c>
      <c r="J1581" t="s">
        <v>8843</v>
      </c>
    </row>
    <row r="1582" spans="1:10" x14ac:dyDescent="0.3">
      <c r="A1582">
        <v>115</v>
      </c>
      <c r="B1582">
        <v>183436380</v>
      </c>
      <c r="C1582" t="s">
        <v>2708</v>
      </c>
      <c r="D1582" t="s">
        <v>3704</v>
      </c>
      <c r="E1582" t="s">
        <v>3705</v>
      </c>
      <c r="F1582" t="s">
        <v>7</v>
      </c>
      <c r="G1582" t="s">
        <v>8</v>
      </c>
      <c r="H1582">
        <v>29000000</v>
      </c>
      <c r="I1582">
        <v>6.1</v>
      </c>
      <c r="J1582" t="s">
        <v>8837</v>
      </c>
    </row>
    <row r="1583" spans="1:10" x14ac:dyDescent="0.3">
      <c r="A1583">
        <v>153</v>
      </c>
      <c r="B1583">
        <v>119518352</v>
      </c>
      <c r="C1583" t="s">
        <v>3706</v>
      </c>
      <c r="D1583" t="s">
        <v>3707</v>
      </c>
      <c r="E1583" t="s">
        <v>3708</v>
      </c>
      <c r="F1583" t="s">
        <v>7</v>
      </c>
      <c r="G1583" t="s">
        <v>8</v>
      </c>
      <c r="H1583">
        <v>28000000</v>
      </c>
      <c r="I1583">
        <v>4.2</v>
      </c>
      <c r="J1583" t="s">
        <v>8456</v>
      </c>
    </row>
    <row r="1584" spans="1:10" x14ac:dyDescent="0.3">
      <c r="A1584">
        <v>128</v>
      </c>
      <c r="B1584">
        <v>37036404</v>
      </c>
      <c r="C1584" t="s">
        <v>561</v>
      </c>
      <c r="D1584" t="s">
        <v>3709</v>
      </c>
      <c r="E1584" t="s">
        <v>3710</v>
      </c>
      <c r="F1584" t="s">
        <v>7</v>
      </c>
      <c r="G1584" t="s">
        <v>8</v>
      </c>
      <c r="H1584">
        <v>30000000</v>
      </c>
      <c r="I1584">
        <v>6.1</v>
      </c>
      <c r="J1584" t="s">
        <v>8981</v>
      </c>
    </row>
    <row r="1585" spans="1:10" x14ac:dyDescent="0.3">
      <c r="A1585">
        <v>89</v>
      </c>
      <c r="B1585">
        <v>22359293</v>
      </c>
      <c r="C1585" t="s">
        <v>295</v>
      </c>
      <c r="D1585" t="s">
        <v>3711</v>
      </c>
      <c r="E1585" t="s">
        <v>3712</v>
      </c>
      <c r="F1585" t="s">
        <v>7</v>
      </c>
      <c r="G1585" t="s">
        <v>15</v>
      </c>
      <c r="H1585">
        <v>29000000</v>
      </c>
      <c r="I1585">
        <v>6.6</v>
      </c>
      <c r="J1585" t="s">
        <v>8824</v>
      </c>
    </row>
    <row r="1586" spans="1:10" x14ac:dyDescent="0.3">
      <c r="A1586">
        <v>122</v>
      </c>
      <c r="B1586">
        <v>18593156</v>
      </c>
      <c r="C1586" t="s">
        <v>1417</v>
      </c>
      <c r="D1586" t="s">
        <v>3713</v>
      </c>
      <c r="E1586" t="s">
        <v>3714</v>
      </c>
      <c r="F1586" t="s">
        <v>7</v>
      </c>
      <c r="G1586" t="s">
        <v>8</v>
      </c>
      <c r="H1586">
        <v>35000000</v>
      </c>
      <c r="I1586">
        <v>7.5</v>
      </c>
      <c r="J1586" t="s">
        <v>8397</v>
      </c>
    </row>
    <row r="1587" spans="1:10" x14ac:dyDescent="0.3">
      <c r="A1587">
        <v>99</v>
      </c>
      <c r="B1587">
        <v>16930185</v>
      </c>
      <c r="C1587" t="s">
        <v>672</v>
      </c>
      <c r="D1587" t="s">
        <v>3715</v>
      </c>
      <c r="E1587" t="s">
        <v>3716</v>
      </c>
      <c r="F1587" t="s">
        <v>7</v>
      </c>
      <c r="G1587" t="s">
        <v>284</v>
      </c>
      <c r="H1587">
        <v>29000000</v>
      </c>
      <c r="I1587">
        <v>7.4</v>
      </c>
      <c r="J1587" t="s">
        <v>8982</v>
      </c>
    </row>
    <row r="1588" spans="1:10" x14ac:dyDescent="0.3">
      <c r="A1588">
        <v>99</v>
      </c>
      <c r="B1588">
        <v>63034755</v>
      </c>
      <c r="C1588" t="s">
        <v>668</v>
      </c>
      <c r="D1588" t="s">
        <v>3717</v>
      </c>
      <c r="E1588" t="s">
        <v>3718</v>
      </c>
      <c r="F1588" t="s">
        <v>7</v>
      </c>
      <c r="G1588" t="s">
        <v>8</v>
      </c>
      <c r="H1588">
        <v>29000000</v>
      </c>
      <c r="I1588">
        <v>7.2</v>
      </c>
      <c r="J1588" t="s">
        <v>8983</v>
      </c>
    </row>
    <row r="1589" spans="1:10" x14ac:dyDescent="0.3">
      <c r="A1589">
        <v>147</v>
      </c>
      <c r="B1589">
        <v>5899797</v>
      </c>
      <c r="C1589" t="s">
        <v>2495</v>
      </c>
      <c r="D1589" t="s">
        <v>3719</v>
      </c>
      <c r="E1589" t="s">
        <v>3720</v>
      </c>
      <c r="F1589" t="s">
        <v>7</v>
      </c>
      <c r="G1589" t="s">
        <v>15</v>
      </c>
      <c r="H1589">
        <v>29000000</v>
      </c>
      <c r="I1589">
        <v>6.9</v>
      </c>
      <c r="J1589" t="s">
        <v>8984</v>
      </c>
    </row>
    <row r="1590" spans="1:10" x14ac:dyDescent="0.3">
      <c r="A1590">
        <v>112</v>
      </c>
      <c r="B1590">
        <v>4554569</v>
      </c>
      <c r="C1590" t="s">
        <v>1040</v>
      </c>
      <c r="D1590" t="s">
        <v>3721</v>
      </c>
      <c r="E1590" t="s">
        <v>3722</v>
      </c>
      <c r="F1590" t="s">
        <v>7</v>
      </c>
      <c r="G1590" t="s">
        <v>8</v>
      </c>
      <c r="H1590">
        <v>28000000</v>
      </c>
      <c r="I1590">
        <v>7.4</v>
      </c>
      <c r="J1590" t="s">
        <v>8985</v>
      </c>
    </row>
    <row r="1591" spans="1:10" x14ac:dyDescent="0.3">
      <c r="A1591">
        <v>88</v>
      </c>
      <c r="B1591">
        <v>17016190</v>
      </c>
      <c r="C1591" t="s">
        <v>3416</v>
      </c>
      <c r="D1591" t="s">
        <v>3723</v>
      </c>
      <c r="E1591" t="s">
        <v>3724</v>
      </c>
      <c r="F1591" t="s">
        <v>7</v>
      </c>
      <c r="G1591" t="s">
        <v>3725</v>
      </c>
      <c r="H1591">
        <v>12000000</v>
      </c>
      <c r="I1591">
        <v>5.4</v>
      </c>
      <c r="J1591" t="s">
        <v>8313</v>
      </c>
    </row>
    <row r="1592" spans="1:10" x14ac:dyDescent="0.3">
      <c r="A1592">
        <v>94</v>
      </c>
      <c r="B1592">
        <v>6301131</v>
      </c>
      <c r="C1592" t="s">
        <v>909</v>
      </c>
      <c r="D1592" t="s">
        <v>3726</v>
      </c>
      <c r="E1592" t="s">
        <v>3727</v>
      </c>
      <c r="F1592" t="s">
        <v>7</v>
      </c>
      <c r="G1592" t="s">
        <v>8</v>
      </c>
      <c r="H1592">
        <v>29000000</v>
      </c>
      <c r="I1592">
        <v>6.8</v>
      </c>
      <c r="J1592" t="s">
        <v>8986</v>
      </c>
    </row>
    <row r="1593" spans="1:10" x14ac:dyDescent="0.3">
      <c r="A1593">
        <v>90</v>
      </c>
      <c r="B1593">
        <v>217350219</v>
      </c>
      <c r="C1593" t="s">
        <v>26</v>
      </c>
      <c r="D1593" t="s">
        <v>3728</v>
      </c>
      <c r="E1593" t="s">
        <v>3729</v>
      </c>
      <c r="F1593" t="s">
        <v>7</v>
      </c>
      <c r="G1593" t="s">
        <v>8</v>
      </c>
      <c r="H1593">
        <v>28000000</v>
      </c>
      <c r="I1593">
        <v>6.3</v>
      </c>
      <c r="J1593" t="s">
        <v>8638</v>
      </c>
    </row>
    <row r="1594" spans="1:10" x14ac:dyDescent="0.3">
      <c r="A1594">
        <v>167</v>
      </c>
      <c r="B1594">
        <v>161029270</v>
      </c>
      <c r="C1594" t="s">
        <v>3730</v>
      </c>
      <c r="D1594" t="s">
        <v>3731</v>
      </c>
      <c r="E1594" t="s">
        <v>3732</v>
      </c>
      <c r="F1594" t="s">
        <v>7</v>
      </c>
      <c r="G1594" t="s">
        <v>8</v>
      </c>
      <c r="H1594">
        <v>28000000</v>
      </c>
      <c r="I1594">
        <v>7.2</v>
      </c>
      <c r="J1594" t="s">
        <v>8844</v>
      </c>
    </row>
    <row r="1595" spans="1:10" x14ac:dyDescent="0.3">
      <c r="A1595">
        <v>83</v>
      </c>
      <c r="B1595">
        <v>100491683</v>
      </c>
      <c r="C1595" t="s">
        <v>3733</v>
      </c>
      <c r="D1595" t="s">
        <v>3734</v>
      </c>
      <c r="E1595" t="s">
        <v>3735</v>
      </c>
      <c r="F1595" t="s">
        <v>7</v>
      </c>
      <c r="G1595" t="s">
        <v>8</v>
      </c>
      <c r="H1595">
        <v>24000000</v>
      </c>
      <c r="I1595">
        <v>6.9</v>
      </c>
      <c r="J1595" t="s">
        <v>8558</v>
      </c>
    </row>
    <row r="1596" spans="1:10" x14ac:dyDescent="0.3">
      <c r="A1596">
        <v>104</v>
      </c>
      <c r="B1596">
        <v>74058698</v>
      </c>
      <c r="C1596" t="s">
        <v>873</v>
      </c>
      <c r="D1596" t="s">
        <v>3736</v>
      </c>
      <c r="E1596" t="s">
        <v>3737</v>
      </c>
      <c r="F1596" t="s">
        <v>7</v>
      </c>
      <c r="G1596" t="s">
        <v>8</v>
      </c>
      <c r="H1596">
        <v>60000000</v>
      </c>
      <c r="I1596">
        <v>6</v>
      </c>
      <c r="J1596" t="s">
        <v>8987</v>
      </c>
    </row>
    <row r="1597" spans="1:10" x14ac:dyDescent="0.3">
      <c r="A1597">
        <v>102</v>
      </c>
      <c r="B1597">
        <v>55845943</v>
      </c>
      <c r="C1597" t="s">
        <v>118</v>
      </c>
      <c r="D1597" t="s">
        <v>3738</v>
      </c>
      <c r="E1597" t="s">
        <v>3739</v>
      </c>
      <c r="F1597" t="s">
        <v>7</v>
      </c>
      <c r="G1597" t="s">
        <v>8</v>
      </c>
      <c r="H1597">
        <v>29000000</v>
      </c>
      <c r="I1597">
        <v>5.9</v>
      </c>
      <c r="J1597" t="s">
        <v>8988</v>
      </c>
    </row>
    <row r="1598" spans="1:10" x14ac:dyDescent="0.3">
      <c r="A1598">
        <v>131</v>
      </c>
      <c r="B1598">
        <v>81350242</v>
      </c>
      <c r="C1598" t="s">
        <v>16</v>
      </c>
      <c r="D1598" t="s">
        <v>3740</v>
      </c>
      <c r="E1598" t="s">
        <v>3741</v>
      </c>
      <c r="F1598" t="s">
        <v>7</v>
      </c>
      <c r="G1598" t="s">
        <v>8</v>
      </c>
      <c r="H1598">
        <v>28000000</v>
      </c>
      <c r="I1598">
        <v>5.4</v>
      </c>
      <c r="J1598" t="s">
        <v>8529</v>
      </c>
    </row>
    <row r="1599" spans="1:10" x14ac:dyDescent="0.3">
      <c r="A1599">
        <v>101</v>
      </c>
      <c r="B1599">
        <v>67266300</v>
      </c>
      <c r="C1599" t="s">
        <v>668</v>
      </c>
      <c r="D1599" t="s">
        <v>3742</v>
      </c>
      <c r="E1599" t="s">
        <v>3743</v>
      </c>
      <c r="F1599" t="s">
        <v>7</v>
      </c>
      <c r="G1599" t="s">
        <v>284</v>
      </c>
      <c r="H1599">
        <v>28000000</v>
      </c>
      <c r="I1599">
        <v>5.9</v>
      </c>
      <c r="J1599" t="s">
        <v>8547</v>
      </c>
    </row>
    <row r="1600" spans="1:10" x14ac:dyDescent="0.3">
      <c r="A1600">
        <v>130</v>
      </c>
      <c r="B1600">
        <v>70235322</v>
      </c>
      <c r="C1600" t="s">
        <v>1266</v>
      </c>
      <c r="D1600" t="s">
        <v>3744</v>
      </c>
      <c r="E1600" t="s">
        <v>3745</v>
      </c>
      <c r="F1600" t="s">
        <v>7</v>
      </c>
      <c r="G1600" t="s">
        <v>8</v>
      </c>
      <c r="H1600">
        <v>28000000</v>
      </c>
      <c r="I1600">
        <v>6.1</v>
      </c>
      <c r="J1600" t="s">
        <v>8529</v>
      </c>
    </row>
    <row r="1601" spans="1:10" x14ac:dyDescent="0.3">
      <c r="A1601">
        <v>120</v>
      </c>
      <c r="B1601">
        <v>7443007</v>
      </c>
      <c r="C1601" t="s">
        <v>2312</v>
      </c>
      <c r="D1601" t="s">
        <v>3746</v>
      </c>
      <c r="E1601" t="s">
        <v>3747</v>
      </c>
      <c r="F1601" t="s">
        <v>7</v>
      </c>
      <c r="G1601" t="s">
        <v>8</v>
      </c>
      <c r="H1601">
        <v>30000000</v>
      </c>
      <c r="I1601">
        <v>7.7</v>
      </c>
      <c r="J1601" t="s">
        <v>8989</v>
      </c>
    </row>
    <row r="1602" spans="1:10" x14ac:dyDescent="0.3">
      <c r="A1602">
        <v>135</v>
      </c>
      <c r="B1602">
        <v>64371181</v>
      </c>
      <c r="C1602" t="s">
        <v>1768</v>
      </c>
      <c r="D1602" t="s">
        <v>3748</v>
      </c>
      <c r="E1602" t="s">
        <v>3749</v>
      </c>
      <c r="F1602" t="s">
        <v>7</v>
      </c>
      <c r="G1602" t="s">
        <v>8</v>
      </c>
      <c r="H1602">
        <v>28000000</v>
      </c>
      <c r="I1602">
        <v>5.8</v>
      </c>
      <c r="J1602" t="s">
        <v>8990</v>
      </c>
    </row>
    <row r="1603" spans="1:10" x14ac:dyDescent="0.3">
      <c r="A1603">
        <v>110</v>
      </c>
      <c r="B1603">
        <v>58885635</v>
      </c>
      <c r="C1603" t="s">
        <v>2050</v>
      </c>
      <c r="D1603" t="s">
        <v>3750</v>
      </c>
      <c r="E1603" t="s">
        <v>3751</v>
      </c>
      <c r="F1603" t="s">
        <v>7</v>
      </c>
      <c r="G1603" t="s">
        <v>8</v>
      </c>
      <c r="H1603">
        <v>26000000</v>
      </c>
      <c r="I1603">
        <v>7.6</v>
      </c>
      <c r="J1603" t="s">
        <v>8991</v>
      </c>
    </row>
    <row r="1604" spans="1:10" x14ac:dyDescent="0.3">
      <c r="A1604">
        <v>103</v>
      </c>
      <c r="B1604">
        <v>60400856</v>
      </c>
      <c r="C1604" t="s">
        <v>672</v>
      </c>
      <c r="D1604" t="s">
        <v>3752</v>
      </c>
      <c r="E1604" t="s">
        <v>3753</v>
      </c>
      <c r="F1604" t="s">
        <v>7</v>
      </c>
      <c r="G1604" t="s">
        <v>284</v>
      </c>
      <c r="H1604">
        <v>35000000</v>
      </c>
      <c r="I1604">
        <v>6.1</v>
      </c>
      <c r="J1604" t="s">
        <v>8891</v>
      </c>
    </row>
    <row r="1605" spans="1:10" x14ac:dyDescent="0.3">
      <c r="A1605">
        <v>110</v>
      </c>
      <c r="B1605">
        <v>52353636</v>
      </c>
      <c r="C1605" t="s">
        <v>1040</v>
      </c>
      <c r="D1605" t="s">
        <v>3754</v>
      </c>
      <c r="E1605" t="s">
        <v>3755</v>
      </c>
      <c r="F1605" t="s">
        <v>7</v>
      </c>
      <c r="G1605" t="s">
        <v>8</v>
      </c>
      <c r="H1605">
        <v>21000000</v>
      </c>
      <c r="I1605">
        <v>5.4</v>
      </c>
      <c r="J1605" t="s">
        <v>8992</v>
      </c>
    </row>
    <row r="1606" spans="1:10" x14ac:dyDescent="0.3">
      <c r="A1606">
        <v>91</v>
      </c>
      <c r="B1606">
        <v>51475962</v>
      </c>
      <c r="C1606" t="s">
        <v>321</v>
      </c>
      <c r="D1606" t="s">
        <v>3756</v>
      </c>
      <c r="E1606" t="s">
        <v>3757</v>
      </c>
      <c r="F1606" t="s">
        <v>7</v>
      </c>
      <c r="G1606" t="s">
        <v>8</v>
      </c>
      <c r="H1606">
        <v>30000000</v>
      </c>
      <c r="I1606">
        <v>5.0999999999999996</v>
      </c>
      <c r="J1606" t="s">
        <v>8804</v>
      </c>
    </row>
    <row r="1607" spans="1:10" x14ac:dyDescent="0.3">
      <c r="A1607">
        <v>105</v>
      </c>
      <c r="B1607">
        <v>63910583</v>
      </c>
      <c r="C1607" t="s">
        <v>672</v>
      </c>
      <c r="D1607" t="s">
        <v>3758</v>
      </c>
      <c r="E1607" t="s">
        <v>3759</v>
      </c>
      <c r="F1607" t="s">
        <v>7</v>
      </c>
      <c r="G1607" t="s">
        <v>8</v>
      </c>
      <c r="H1607">
        <v>28000000</v>
      </c>
      <c r="I1607">
        <v>6.4</v>
      </c>
      <c r="J1607" t="s">
        <v>8524</v>
      </c>
    </row>
    <row r="1608" spans="1:10" x14ac:dyDescent="0.3">
      <c r="A1608">
        <v>127</v>
      </c>
      <c r="B1608">
        <v>62300000</v>
      </c>
      <c r="C1608" t="s">
        <v>12</v>
      </c>
      <c r="D1608" t="s">
        <v>3760</v>
      </c>
      <c r="E1608" t="s">
        <v>3761</v>
      </c>
      <c r="F1608" t="s">
        <v>7</v>
      </c>
      <c r="G1608" t="s">
        <v>15</v>
      </c>
      <c r="H1608">
        <v>28000000</v>
      </c>
      <c r="I1608">
        <v>6.3</v>
      </c>
      <c r="J1608" t="s">
        <v>8826</v>
      </c>
    </row>
    <row r="1609" spans="1:10" x14ac:dyDescent="0.3">
      <c r="A1609">
        <v>82</v>
      </c>
      <c r="B1609">
        <v>49968653</v>
      </c>
      <c r="C1609" t="s">
        <v>672</v>
      </c>
      <c r="D1609" t="s">
        <v>3762</v>
      </c>
      <c r="E1609" t="s">
        <v>3763</v>
      </c>
      <c r="F1609" t="s">
        <v>7</v>
      </c>
      <c r="G1609" t="s">
        <v>8</v>
      </c>
      <c r="H1609">
        <v>28000000</v>
      </c>
      <c r="I1609">
        <v>7.5</v>
      </c>
      <c r="J1609" t="s">
        <v>8993</v>
      </c>
    </row>
    <row r="1610" spans="1:10" x14ac:dyDescent="0.3">
      <c r="A1610">
        <v>99</v>
      </c>
      <c r="B1610">
        <v>44450000</v>
      </c>
      <c r="C1610" t="s">
        <v>555</v>
      </c>
      <c r="D1610" t="s">
        <v>3764</v>
      </c>
      <c r="E1610" t="s">
        <v>3765</v>
      </c>
      <c r="F1610" t="s">
        <v>7</v>
      </c>
      <c r="G1610" t="s">
        <v>95</v>
      </c>
      <c r="H1610">
        <v>27000000</v>
      </c>
      <c r="I1610">
        <v>7.1</v>
      </c>
      <c r="J1610" t="s">
        <v>8770</v>
      </c>
    </row>
    <row r="1611" spans="1:10" x14ac:dyDescent="0.3">
      <c r="A1611">
        <v>90</v>
      </c>
      <c r="B1611">
        <v>45162741</v>
      </c>
      <c r="C1611" t="s">
        <v>668</v>
      </c>
      <c r="D1611" t="s">
        <v>3766</v>
      </c>
      <c r="E1611" t="s">
        <v>3767</v>
      </c>
      <c r="F1611" t="s">
        <v>7</v>
      </c>
      <c r="G1611" t="s">
        <v>284</v>
      </c>
      <c r="H1611">
        <v>28000000</v>
      </c>
      <c r="I1611">
        <v>5.2</v>
      </c>
      <c r="J1611" t="s">
        <v>8861</v>
      </c>
    </row>
    <row r="1612" spans="1:10" x14ac:dyDescent="0.3">
      <c r="A1612">
        <v>115</v>
      </c>
      <c r="B1612">
        <v>71346930</v>
      </c>
      <c r="C1612" t="s">
        <v>3768</v>
      </c>
      <c r="D1612" t="s">
        <v>3769</v>
      </c>
      <c r="E1612" t="s">
        <v>3770</v>
      </c>
      <c r="F1612" t="s">
        <v>7</v>
      </c>
      <c r="G1612" t="s">
        <v>8</v>
      </c>
      <c r="H1612">
        <v>28000000</v>
      </c>
      <c r="I1612">
        <v>7.8</v>
      </c>
      <c r="J1612" t="s">
        <v>8390</v>
      </c>
    </row>
    <row r="1613" spans="1:10" x14ac:dyDescent="0.3">
      <c r="A1613">
        <v>96</v>
      </c>
      <c r="B1613">
        <v>39514713</v>
      </c>
      <c r="C1613" t="s">
        <v>187</v>
      </c>
      <c r="D1613" t="s">
        <v>3771</v>
      </c>
      <c r="E1613" t="s">
        <v>3772</v>
      </c>
      <c r="F1613" t="s">
        <v>7</v>
      </c>
      <c r="G1613" t="s">
        <v>8</v>
      </c>
      <c r="H1613">
        <v>28000000</v>
      </c>
      <c r="I1613">
        <v>6.5</v>
      </c>
      <c r="J1613" t="s">
        <v>8529</v>
      </c>
    </row>
    <row r="1614" spans="1:10" x14ac:dyDescent="0.3">
      <c r="A1614">
        <v>104</v>
      </c>
      <c r="B1614">
        <v>43097652</v>
      </c>
      <c r="C1614" t="s">
        <v>561</v>
      </c>
      <c r="D1614" t="s">
        <v>3773</v>
      </c>
      <c r="E1614" t="s">
        <v>3774</v>
      </c>
      <c r="F1614" t="s">
        <v>7</v>
      </c>
      <c r="G1614" t="s">
        <v>8</v>
      </c>
      <c r="H1614">
        <v>28000000</v>
      </c>
      <c r="I1614">
        <v>6.6</v>
      </c>
      <c r="J1614" t="s">
        <v>8312</v>
      </c>
    </row>
    <row r="1615" spans="1:10" x14ac:dyDescent="0.3">
      <c r="A1615">
        <v>117</v>
      </c>
      <c r="B1615">
        <v>48043505</v>
      </c>
      <c r="C1615" t="s">
        <v>879</v>
      </c>
      <c r="D1615" t="s">
        <v>3775</v>
      </c>
      <c r="E1615" t="s">
        <v>3776</v>
      </c>
      <c r="F1615" t="s">
        <v>7</v>
      </c>
      <c r="G1615" t="s">
        <v>15</v>
      </c>
      <c r="H1615">
        <v>30000000</v>
      </c>
      <c r="I1615">
        <v>5.0999999999999996</v>
      </c>
      <c r="J1615" t="s">
        <v>8600</v>
      </c>
    </row>
    <row r="1616" spans="1:10" x14ac:dyDescent="0.3">
      <c r="A1616">
        <v>83</v>
      </c>
      <c r="B1616">
        <v>37053924</v>
      </c>
      <c r="C1616" t="s">
        <v>704</v>
      </c>
      <c r="D1616" t="s">
        <v>3777</v>
      </c>
      <c r="E1616" t="s">
        <v>3778</v>
      </c>
      <c r="F1616" t="s">
        <v>7</v>
      </c>
      <c r="G1616" t="s">
        <v>284</v>
      </c>
      <c r="H1616">
        <v>28000000</v>
      </c>
      <c r="I1616">
        <v>7.4</v>
      </c>
      <c r="J1616" t="s">
        <v>8318</v>
      </c>
    </row>
    <row r="1617" spans="1:10" x14ac:dyDescent="0.3">
      <c r="A1617">
        <v>99</v>
      </c>
      <c r="B1617">
        <v>33000377</v>
      </c>
      <c r="C1617" t="s">
        <v>3779</v>
      </c>
      <c r="D1617" t="s">
        <v>3780</v>
      </c>
      <c r="E1617" t="s">
        <v>3781</v>
      </c>
      <c r="F1617" t="s">
        <v>7</v>
      </c>
      <c r="G1617" t="s">
        <v>8</v>
      </c>
      <c r="H1617">
        <v>28000000</v>
      </c>
      <c r="I1617">
        <v>7.2</v>
      </c>
      <c r="J1617" t="s">
        <v>8994</v>
      </c>
    </row>
    <row r="1618" spans="1:10" x14ac:dyDescent="0.3">
      <c r="A1618">
        <v>81</v>
      </c>
      <c r="B1618">
        <v>66950483</v>
      </c>
      <c r="C1618" t="s">
        <v>1261</v>
      </c>
      <c r="D1618" t="s">
        <v>3782</v>
      </c>
      <c r="E1618" t="s">
        <v>3783</v>
      </c>
      <c r="F1618" t="s">
        <v>7</v>
      </c>
      <c r="G1618" t="s">
        <v>8</v>
      </c>
      <c r="H1618">
        <v>28000000</v>
      </c>
      <c r="I1618">
        <v>7.6</v>
      </c>
      <c r="J1618" t="s">
        <v>8789</v>
      </c>
    </row>
    <row r="1619" spans="1:10" x14ac:dyDescent="0.3">
      <c r="A1619">
        <v>135</v>
      </c>
      <c r="B1619">
        <v>38372662</v>
      </c>
      <c r="C1619" t="s">
        <v>73</v>
      </c>
      <c r="D1619" t="s">
        <v>3784</v>
      </c>
      <c r="E1619" t="s">
        <v>3785</v>
      </c>
      <c r="F1619" t="s">
        <v>7</v>
      </c>
      <c r="G1619" t="s">
        <v>583</v>
      </c>
      <c r="H1619">
        <v>28000000</v>
      </c>
      <c r="I1619">
        <v>7.5</v>
      </c>
      <c r="J1619" t="s">
        <v>8567</v>
      </c>
    </row>
    <row r="1620" spans="1:10" x14ac:dyDescent="0.3">
      <c r="A1620">
        <v>117</v>
      </c>
      <c r="B1620">
        <v>27000000</v>
      </c>
      <c r="C1620" t="s">
        <v>1215</v>
      </c>
      <c r="D1620" t="s">
        <v>3786</v>
      </c>
      <c r="E1620" t="s">
        <v>3787</v>
      </c>
      <c r="F1620" t="s">
        <v>7</v>
      </c>
      <c r="G1620" t="s">
        <v>8</v>
      </c>
      <c r="H1620">
        <v>28000000</v>
      </c>
      <c r="I1620">
        <v>6.6</v>
      </c>
      <c r="J1620" t="s">
        <v>8300</v>
      </c>
    </row>
    <row r="1621" spans="1:10" x14ac:dyDescent="0.3">
      <c r="A1621">
        <v>139</v>
      </c>
      <c r="B1621">
        <v>31600000</v>
      </c>
      <c r="C1621" t="s">
        <v>3788</v>
      </c>
      <c r="D1621" t="s">
        <v>3789</v>
      </c>
      <c r="E1621" t="s">
        <v>3790</v>
      </c>
      <c r="F1621" t="s">
        <v>7</v>
      </c>
      <c r="G1621" t="s">
        <v>8</v>
      </c>
      <c r="H1621">
        <v>28000000</v>
      </c>
      <c r="I1621">
        <v>7.2</v>
      </c>
      <c r="J1621" t="s">
        <v>8995</v>
      </c>
    </row>
    <row r="1622" spans="1:10" x14ac:dyDescent="0.3">
      <c r="A1622">
        <v>123</v>
      </c>
      <c r="B1622">
        <v>30688364</v>
      </c>
      <c r="C1622" t="s">
        <v>351</v>
      </c>
      <c r="D1622" t="s">
        <v>3791</v>
      </c>
      <c r="E1622" t="s">
        <v>3792</v>
      </c>
      <c r="F1622" t="s">
        <v>7</v>
      </c>
      <c r="G1622" t="s">
        <v>8</v>
      </c>
      <c r="H1622">
        <v>28000000</v>
      </c>
      <c r="I1622">
        <v>7.6</v>
      </c>
      <c r="J1622" t="s">
        <v>8996</v>
      </c>
    </row>
    <row r="1623" spans="1:10" x14ac:dyDescent="0.3">
      <c r="A1623">
        <v>117</v>
      </c>
      <c r="B1623">
        <v>28563179</v>
      </c>
      <c r="C1623" t="s">
        <v>873</v>
      </c>
      <c r="D1623" t="s">
        <v>3793</v>
      </c>
      <c r="E1623" t="s">
        <v>3794</v>
      </c>
      <c r="F1623" t="s">
        <v>7</v>
      </c>
      <c r="G1623" t="s">
        <v>8</v>
      </c>
      <c r="H1623">
        <v>21000000</v>
      </c>
      <c r="I1623">
        <v>6.2</v>
      </c>
      <c r="J1623" t="s">
        <v>8401</v>
      </c>
    </row>
    <row r="1624" spans="1:10" x14ac:dyDescent="0.3">
      <c r="A1624">
        <v>97</v>
      </c>
      <c r="B1624">
        <v>16779636</v>
      </c>
      <c r="C1624" t="s">
        <v>1834</v>
      </c>
      <c r="D1624" t="s">
        <v>3795</v>
      </c>
      <c r="E1624" t="s">
        <v>3796</v>
      </c>
      <c r="F1624" t="s">
        <v>7</v>
      </c>
      <c r="G1624" t="s">
        <v>8</v>
      </c>
      <c r="H1624">
        <v>28000000</v>
      </c>
      <c r="I1624">
        <v>5.6</v>
      </c>
      <c r="J1624" t="s">
        <v>8765</v>
      </c>
    </row>
    <row r="1625" spans="1:10" x14ac:dyDescent="0.3">
      <c r="A1625">
        <v>81</v>
      </c>
      <c r="B1625">
        <v>10762178</v>
      </c>
      <c r="C1625" t="s">
        <v>19</v>
      </c>
      <c r="D1625" t="s">
        <v>3797</v>
      </c>
      <c r="E1625" t="s">
        <v>3798</v>
      </c>
      <c r="F1625" t="s">
        <v>7</v>
      </c>
      <c r="G1625" t="s">
        <v>583</v>
      </c>
      <c r="H1625">
        <v>160000000</v>
      </c>
      <c r="I1625">
        <v>7.6</v>
      </c>
      <c r="J1625" t="s">
        <v>8306</v>
      </c>
    </row>
    <row r="1626" spans="1:10" x14ac:dyDescent="0.3">
      <c r="A1626">
        <v>103</v>
      </c>
      <c r="B1626">
        <v>17324744</v>
      </c>
      <c r="C1626" t="s">
        <v>1511</v>
      </c>
      <c r="D1626" t="s">
        <v>3799</v>
      </c>
      <c r="E1626" t="s">
        <v>3800</v>
      </c>
      <c r="F1626" t="s">
        <v>7</v>
      </c>
      <c r="G1626" t="s">
        <v>8</v>
      </c>
      <c r="H1626">
        <v>28000000</v>
      </c>
      <c r="I1626">
        <v>6.6</v>
      </c>
      <c r="J1626" t="s">
        <v>8605</v>
      </c>
    </row>
    <row r="1627" spans="1:10" x14ac:dyDescent="0.3">
      <c r="A1627">
        <v>119</v>
      </c>
      <c r="B1627">
        <v>8888143</v>
      </c>
      <c r="C1627" t="s">
        <v>2642</v>
      </c>
      <c r="D1627" t="s">
        <v>3801</v>
      </c>
      <c r="E1627" t="s">
        <v>3802</v>
      </c>
      <c r="F1627" t="s">
        <v>7</v>
      </c>
      <c r="G1627" t="s">
        <v>95</v>
      </c>
      <c r="H1627">
        <v>28000000</v>
      </c>
      <c r="I1627">
        <v>7</v>
      </c>
      <c r="J1627" t="s">
        <v>8997</v>
      </c>
    </row>
    <row r="1628" spans="1:10" x14ac:dyDescent="0.3">
      <c r="A1628">
        <v>94</v>
      </c>
      <c r="B1628">
        <v>24268828</v>
      </c>
      <c r="C1628" t="s">
        <v>3803</v>
      </c>
      <c r="D1628" t="s">
        <v>3804</v>
      </c>
      <c r="E1628" t="s">
        <v>3805</v>
      </c>
      <c r="F1628" t="s">
        <v>7</v>
      </c>
      <c r="G1628" t="s">
        <v>8</v>
      </c>
      <c r="H1628">
        <v>28000000</v>
      </c>
      <c r="I1628">
        <v>2.7</v>
      </c>
      <c r="J1628" t="s">
        <v>8998</v>
      </c>
    </row>
    <row r="1629" spans="1:10" x14ac:dyDescent="0.3">
      <c r="A1629">
        <v>89</v>
      </c>
      <c r="B1629">
        <v>8119205</v>
      </c>
      <c r="C1629" t="s">
        <v>187</v>
      </c>
      <c r="D1629" t="s">
        <v>3806</v>
      </c>
      <c r="E1629" t="s">
        <v>3807</v>
      </c>
      <c r="F1629" t="s">
        <v>7</v>
      </c>
      <c r="G1629" t="s">
        <v>8</v>
      </c>
      <c r="H1629">
        <v>28000000</v>
      </c>
      <c r="I1629">
        <v>7.6</v>
      </c>
      <c r="J1629" t="s">
        <v>8518</v>
      </c>
    </row>
    <row r="1630" spans="1:10" x14ac:dyDescent="0.3">
      <c r="A1630">
        <v>98</v>
      </c>
      <c r="B1630">
        <v>8434601</v>
      </c>
      <c r="C1630" t="s">
        <v>1748</v>
      </c>
      <c r="D1630" t="s">
        <v>3808</v>
      </c>
      <c r="E1630" t="s">
        <v>3809</v>
      </c>
      <c r="F1630" t="s">
        <v>7</v>
      </c>
      <c r="G1630" t="s">
        <v>8</v>
      </c>
      <c r="H1630">
        <v>28000000</v>
      </c>
      <c r="I1630">
        <v>6.6</v>
      </c>
      <c r="J1630" t="s">
        <v>8999</v>
      </c>
    </row>
    <row r="1631" spans="1:10" x14ac:dyDescent="0.3">
      <c r="A1631">
        <v>107</v>
      </c>
      <c r="B1631">
        <v>6998324</v>
      </c>
      <c r="C1631" t="s">
        <v>1040</v>
      </c>
      <c r="D1631" t="s">
        <v>3810</v>
      </c>
      <c r="E1631" t="s">
        <v>3811</v>
      </c>
      <c r="F1631" t="s">
        <v>7</v>
      </c>
      <c r="G1631" t="s">
        <v>8</v>
      </c>
      <c r="H1631">
        <v>28000000</v>
      </c>
      <c r="I1631">
        <v>6.9</v>
      </c>
      <c r="J1631" t="s">
        <v>8482</v>
      </c>
    </row>
    <row r="1632" spans="1:10" x14ac:dyDescent="0.3">
      <c r="A1632">
        <v>108</v>
      </c>
      <c r="B1632">
        <v>10907291</v>
      </c>
      <c r="C1632" t="s">
        <v>3812</v>
      </c>
      <c r="D1632" t="s">
        <v>3813</v>
      </c>
      <c r="E1632" t="s">
        <v>3814</v>
      </c>
      <c r="F1632" t="s">
        <v>7</v>
      </c>
      <c r="G1632" t="s">
        <v>8</v>
      </c>
      <c r="H1632">
        <v>28000000</v>
      </c>
      <c r="I1632">
        <v>6.8</v>
      </c>
      <c r="J1632" t="s">
        <v>8390</v>
      </c>
    </row>
    <row r="1633" spans="1:10" x14ac:dyDescent="0.3">
      <c r="A1633">
        <v>110</v>
      </c>
      <c r="B1633">
        <v>2775593</v>
      </c>
      <c r="C1633" t="s">
        <v>561</v>
      </c>
      <c r="D1633" t="s">
        <v>3815</v>
      </c>
      <c r="E1633" t="s">
        <v>3816</v>
      </c>
      <c r="F1633" t="s">
        <v>7</v>
      </c>
      <c r="G1633" t="s">
        <v>15</v>
      </c>
      <c r="H1633">
        <v>27000000</v>
      </c>
      <c r="I1633">
        <v>3.7</v>
      </c>
      <c r="J1633" t="s">
        <v>9000</v>
      </c>
    </row>
    <row r="1634" spans="1:10" x14ac:dyDescent="0.3">
      <c r="A1634">
        <v>103</v>
      </c>
      <c r="B1634">
        <v>28751715</v>
      </c>
      <c r="C1634" t="s">
        <v>704</v>
      </c>
      <c r="D1634" t="s">
        <v>3817</v>
      </c>
      <c r="E1634" t="s">
        <v>3818</v>
      </c>
      <c r="F1634" t="s">
        <v>7</v>
      </c>
      <c r="G1634" t="s">
        <v>8</v>
      </c>
      <c r="H1634">
        <v>28000000</v>
      </c>
      <c r="I1634">
        <v>6.1</v>
      </c>
      <c r="J1634" t="s">
        <v>9001</v>
      </c>
    </row>
    <row r="1635" spans="1:10" x14ac:dyDescent="0.3">
      <c r="A1635">
        <v>100</v>
      </c>
      <c r="B1635">
        <v>20285518</v>
      </c>
      <c r="C1635" t="s">
        <v>164</v>
      </c>
      <c r="D1635" t="s">
        <v>3819</v>
      </c>
      <c r="E1635" t="s">
        <v>3820</v>
      </c>
      <c r="F1635" t="s">
        <v>7</v>
      </c>
      <c r="G1635" t="s">
        <v>583</v>
      </c>
      <c r="H1635">
        <v>28000000</v>
      </c>
      <c r="I1635">
        <v>5.9</v>
      </c>
      <c r="J1635" t="s">
        <v>9002</v>
      </c>
    </row>
    <row r="1636" spans="1:10" x14ac:dyDescent="0.3">
      <c r="A1636">
        <v>131</v>
      </c>
      <c r="B1636">
        <v>67900000</v>
      </c>
      <c r="C1636" t="s">
        <v>12</v>
      </c>
      <c r="D1636" t="s">
        <v>3821</v>
      </c>
      <c r="E1636" t="s">
        <v>3822</v>
      </c>
      <c r="F1636" t="s">
        <v>7</v>
      </c>
      <c r="G1636" t="s">
        <v>15</v>
      </c>
      <c r="H1636">
        <v>27500000</v>
      </c>
      <c r="I1636">
        <v>6.7</v>
      </c>
      <c r="J1636" t="s">
        <v>9003</v>
      </c>
    </row>
    <row r="1637" spans="1:10" x14ac:dyDescent="0.3">
      <c r="A1637">
        <v>109</v>
      </c>
      <c r="B1637">
        <v>49185998</v>
      </c>
      <c r="C1637" t="s">
        <v>1417</v>
      </c>
      <c r="D1637" t="s">
        <v>3823</v>
      </c>
      <c r="E1637" t="s">
        <v>3824</v>
      </c>
      <c r="F1637" t="s">
        <v>7</v>
      </c>
      <c r="G1637" t="s">
        <v>8</v>
      </c>
      <c r="H1637">
        <v>30000000</v>
      </c>
      <c r="I1637">
        <v>6.9</v>
      </c>
      <c r="J1637" t="s">
        <v>9004</v>
      </c>
    </row>
    <row r="1638" spans="1:10" x14ac:dyDescent="0.3">
      <c r="A1638">
        <v>114</v>
      </c>
      <c r="B1638">
        <v>42168445</v>
      </c>
      <c r="C1638" t="s">
        <v>561</v>
      </c>
      <c r="D1638" t="s">
        <v>3825</v>
      </c>
      <c r="E1638" t="s">
        <v>3826</v>
      </c>
      <c r="F1638" t="s">
        <v>7</v>
      </c>
      <c r="G1638" t="s">
        <v>8</v>
      </c>
      <c r="H1638">
        <v>35000000</v>
      </c>
      <c r="I1638">
        <v>5.5</v>
      </c>
      <c r="J1638" t="s">
        <v>8693</v>
      </c>
    </row>
    <row r="1639" spans="1:10" x14ac:dyDescent="0.3">
      <c r="A1639">
        <v>164</v>
      </c>
      <c r="B1639">
        <v>26400000</v>
      </c>
      <c r="C1639" t="s">
        <v>889</v>
      </c>
      <c r="D1639" t="s">
        <v>3827</v>
      </c>
      <c r="E1639" t="s">
        <v>3828</v>
      </c>
      <c r="F1639" t="s">
        <v>7</v>
      </c>
      <c r="G1639" t="s">
        <v>15</v>
      </c>
      <c r="H1639">
        <v>16000000</v>
      </c>
      <c r="I1639">
        <v>7.1</v>
      </c>
      <c r="J1639" t="s">
        <v>9005</v>
      </c>
    </row>
    <row r="1640" spans="1:10" x14ac:dyDescent="0.3">
      <c r="A1640">
        <v>92</v>
      </c>
      <c r="B1640">
        <v>17508670</v>
      </c>
      <c r="C1640" t="s">
        <v>2211</v>
      </c>
      <c r="D1640" t="s">
        <v>3829</v>
      </c>
      <c r="E1640" t="s">
        <v>3830</v>
      </c>
      <c r="F1640" t="s">
        <v>7</v>
      </c>
      <c r="G1640" t="s">
        <v>15</v>
      </c>
      <c r="H1640">
        <v>15000000</v>
      </c>
      <c r="I1640">
        <v>7.1</v>
      </c>
      <c r="J1640" t="s">
        <v>8444</v>
      </c>
    </row>
    <row r="1641" spans="1:10" x14ac:dyDescent="0.3">
      <c r="A1641">
        <v>122</v>
      </c>
      <c r="B1641">
        <v>9664316</v>
      </c>
      <c r="C1641" t="s">
        <v>1704</v>
      </c>
      <c r="D1641" t="s">
        <v>3831</v>
      </c>
      <c r="E1641" t="s">
        <v>3832</v>
      </c>
      <c r="F1641" t="s">
        <v>7</v>
      </c>
      <c r="G1641" t="s">
        <v>8</v>
      </c>
      <c r="H1641">
        <v>27500000</v>
      </c>
      <c r="I1641">
        <v>5.9</v>
      </c>
      <c r="J1641" t="s">
        <v>9006</v>
      </c>
    </row>
    <row r="1642" spans="1:10" x14ac:dyDescent="0.3">
      <c r="A1642">
        <v>110</v>
      </c>
      <c r="B1642">
        <v>74888996</v>
      </c>
      <c r="C1642" t="s">
        <v>78</v>
      </c>
      <c r="D1642" t="s">
        <v>3833</v>
      </c>
      <c r="E1642" t="s">
        <v>3834</v>
      </c>
      <c r="F1642" t="s">
        <v>7</v>
      </c>
      <c r="G1642" t="s">
        <v>8</v>
      </c>
      <c r="H1642">
        <v>30000000</v>
      </c>
      <c r="I1642">
        <v>7.3</v>
      </c>
      <c r="J1642" t="s">
        <v>9007</v>
      </c>
    </row>
    <row r="1643" spans="1:10" x14ac:dyDescent="0.3">
      <c r="A1643">
        <v>116</v>
      </c>
      <c r="B1643">
        <v>69586544</v>
      </c>
      <c r="C1643" t="s">
        <v>1417</v>
      </c>
      <c r="D1643" t="s">
        <v>3835</v>
      </c>
      <c r="E1643" t="s">
        <v>3836</v>
      </c>
      <c r="F1643" t="s">
        <v>7</v>
      </c>
      <c r="G1643" t="s">
        <v>8</v>
      </c>
      <c r="H1643">
        <v>27000000</v>
      </c>
      <c r="I1643">
        <v>3.4</v>
      </c>
      <c r="J1643" t="s">
        <v>9008</v>
      </c>
    </row>
    <row r="1644" spans="1:10" x14ac:dyDescent="0.3">
      <c r="A1644">
        <v>115</v>
      </c>
      <c r="B1644">
        <v>60491560</v>
      </c>
      <c r="C1644" t="s">
        <v>882</v>
      </c>
      <c r="D1644" t="s">
        <v>3837</v>
      </c>
      <c r="E1644" t="s">
        <v>3838</v>
      </c>
      <c r="F1644" t="s">
        <v>7</v>
      </c>
      <c r="G1644" t="s">
        <v>8</v>
      </c>
      <c r="H1644">
        <v>27000000</v>
      </c>
      <c r="I1644">
        <v>6.8</v>
      </c>
      <c r="J1644" t="s">
        <v>8779</v>
      </c>
    </row>
    <row r="1645" spans="1:10" x14ac:dyDescent="0.3">
      <c r="A1645">
        <v>148</v>
      </c>
      <c r="B1645">
        <v>54200000</v>
      </c>
      <c r="C1645" t="s">
        <v>3839</v>
      </c>
      <c r="D1645" t="s">
        <v>3840</v>
      </c>
      <c r="E1645" t="s">
        <v>3841</v>
      </c>
      <c r="F1645" t="s">
        <v>7</v>
      </c>
      <c r="G1645" t="s">
        <v>8</v>
      </c>
      <c r="H1645">
        <v>27000000</v>
      </c>
      <c r="I1645">
        <v>6.9</v>
      </c>
      <c r="J1645" t="s">
        <v>9009</v>
      </c>
    </row>
    <row r="1646" spans="1:10" x14ac:dyDescent="0.3">
      <c r="A1646">
        <v>118</v>
      </c>
      <c r="B1646">
        <v>30920167</v>
      </c>
      <c r="C1646" t="s">
        <v>2708</v>
      </c>
      <c r="D1646" t="s">
        <v>3843</v>
      </c>
      <c r="E1646" t="s">
        <v>3844</v>
      </c>
      <c r="F1646" t="s">
        <v>7</v>
      </c>
      <c r="G1646" t="s">
        <v>8</v>
      </c>
      <c r="H1646">
        <v>25000000</v>
      </c>
      <c r="I1646">
        <v>7</v>
      </c>
      <c r="J1646" t="s">
        <v>8755</v>
      </c>
    </row>
    <row r="1647" spans="1:10" x14ac:dyDescent="0.3">
      <c r="A1647">
        <v>101</v>
      </c>
      <c r="B1647">
        <v>40566655</v>
      </c>
      <c r="C1647" t="s">
        <v>561</v>
      </c>
      <c r="D1647" t="s">
        <v>3845</v>
      </c>
      <c r="E1647" t="s">
        <v>3846</v>
      </c>
      <c r="F1647" t="s">
        <v>7</v>
      </c>
      <c r="G1647" t="s">
        <v>15</v>
      </c>
      <c r="H1647">
        <v>30000000</v>
      </c>
      <c r="I1647">
        <v>5.5</v>
      </c>
      <c r="J1647" t="s">
        <v>9010</v>
      </c>
    </row>
    <row r="1648" spans="1:10" x14ac:dyDescent="0.3">
      <c r="A1648">
        <v>82</v>
      </c>
      <c r="B1648">
        <v>31768374</v>
      </c>
      <c r="C1648" t="s">
        <v>3625</v>
      </c>
      <c r="D1648" t="s">
        <v>3847</v>
      </c>
      <c r="E1648" t="s">
        <v>3848</v>
      </c>
      <c r="F1648" t="s">
        <v>7</v>
      </c>
      <c r="G1648" t="s">
        <v>8</v>
      </c>
      <c r="H1648">
        <v>27000000</v>
      </c>
      <c r="I1648">
        <v>5.0999999999999996</v>
      </c>
      <c r="J1648" t="s">
        <v>8539</v>
      </c>
    </row>
    <row r="1649" spans="1:10" x14ac:dyDescent="0.3">
      <c r="A1649">
        <v>110</v>
      </c>
      <c r="B1649">
        <v>22494487</v>
      </c>
      <c r="C1649" t="s">
        <v>882</v>
      </c>
      <c r="D1649" t="s">
        <v>3849</v>
      </c>
      <c r="E1649" t="s">
        <v>3850</v>
      </c>
      <c r="F1649" t="s">
        <v>7</v>
      </c>
      <c r="G1649" t="s">
        <v>284</v>
      </c>
      <c r="H1649">
        <v>27000000</v>
      </c>
      <c r="I1649">
        <v>6.2</v>
      </c>
      <c r="J1649" t="s">
        <v>8538</v>
      </c>
    </row>
    <row r="1650" spans="1:10" x14ac:dyDescent="0.3">
      <c r="A1650">
        <v>193</v>
      </c>
      <c r="B1650">
        <v>21500000</v>
      </c>
      <c r="C1650" t="s">
        <v>889</v>
      </c>
      <c r="D1650" t="s">
        <v>3851</v>
      </c>
      <c r="E1650" t="s">
        <v>3852</v>
      </c>
      <c r="F1650" t="s">
        <v>7</v>
      </c>
      <c r="G1650" t="s">
        <v>8</v>
      </c>
      <c r="H1650">
        <v>27000000</v>
      </c>
      <c r="I1650">
        <v>5.9</v>
      </c>
      <c r="J1650" t="s">
        <v>9011</v>
      </c>
    </row>
    <row r="1651" spans="1:10" x14ac:dyDescent="0.3">
      <c r="A1651">
        <v>130</v>
      </c>
      <c r="B1651">
        <v>4463292</v>
      </c>
      <c r="C1651" t="s">
        <v>1160</v>
      </c>
      <c r="D1651" t="s">
        <v>3853</v>
      </c>
      <c r="E1651" t="s">
        <v>3854</v>
      </c>
      <c r="F1651" t="s">
        <v>7</v>
      </c>
      <c r="G1651" t="s">
        <v>15</v>
      </c>
      <c r="H1651">
        <v>30000000</v>
      </c>
      <c r="I1651">
        <v>5.2</v>
      </c>
      <c r="J1651" t="s">
        <v>9012</v>
      </c>
    </row>
    <row r="1652" spans="1:10" x14ac:dyDescent="0.3">
      <c r="A1652">
        <v>111</v>
      </c>
      <c r="B1652">
        <v>14337579</v>
      </c>
      <c r="C1652" t="s">
        <v>3856</v>
      </c>
      <c r="D1652" t="s">
        <v>3857</v>
      </c>
      <c r="E1652" t="s">
        <v>3858</v>
      </c>
      <c r="F1652" t="s">
        <v>7</v>
      </c>
      <c r="G1652" t="s">
        <v>132</v>
      </c>
      <c r="H1652">
        <v>27000000</v>
      </c>
      <c r="I1652">
        <v>6.2</v>
      </c>
      <c r="J1652" t="s">
        <v>8844</v>
      </c>
    </row>
    <row r="1653" spans="1:10" x14ac:dyDescent="0.3">
      <c r="A1653">
        <v>110</v>
      </c>
      <c r="B1653">
        <v>13823741</v>
      </c>
      <c r="C1653" t="s">
        <v>2569</v>
      </c>
      <c r="D1653" t="s">
        <v>3859</v>
      </c>
      <c r="E1653" t="s">
        <v>3860</v>
      </c>
      <c r="F1653" t="s">
        <v>7</v>
      </c>
      <c r="G1653" t="s">
        <v>15</v>
      </c>
      <c r="H1653">
        <v>13500000</v>
      </c>
      <c r="I1653">
        <v>5.5</v>
      </c>
      <c r="J1653" t="s">
        <v>9013</v>
      </c>
    </row>
    <row r="1654" spans="1:10" x14ac:dyDescent="0.3">
      <c r="A1654">
        <v>123</v>
      </c>
      <c r="B1654">
        <v>10297897</v>
      </c>
      <c r="C1654" t="s">
        <v>3861</v>
      </c>
      <c r="D1654" t="s">
        <v>3862</v>
      </c>
      <c r="E1654" t="s">
        <v>3863</v>
      </c>
      <c r="F1654" t="s">
        <v>7</v>
      </c>
      <c r="G1654" t="s">
        <v>8</v>
      </c>
      <c r="H1654">
        <v>27000000</v>
      </c>
      <c r="I1654">
        <v>7.4</v>
      </c>
      <c r="J1654" t="s">
        <v>9014</v>
      </c>
    </row>
    <row r="1655" spans="1:10" x14ac:dyDescent="0.3">
      <c r="A1655">
        <v>109</v>
      </c>
      <c r="B1655">
        <v>13248477</v>
      </c>
      <c r="C1655" t="s">
        <v>1249</v>
      </c>
      <c r="D1655" t="s">
        <v>3864</v>
      </c>
      <c r="E1655" t="s">
        <v>3865</v>
      </c>
      <c r="F1655" t="s">
        <v>7</v>
      </c>
      <c r="G1655" t="s">
        <v>8</v>
      </c>
      <c r="H1655">
        <v>27000000</v>
      </c>
      <c r="I1655">
        <v>4.4000000000000004</v>
      </c>
      <c r="J1655" t="s">
        <v>9015</v>
      </c>
    </row>
    <row r="1656" spans="1:10" x14ac:dyDescent="0.3">
      <c r="A1656">
        <v>99</v>
      </c>
      <c r="B1656">
        <v>8712564</v>
      </c>
      <c r="C1656" t="s">
        <v>882</v>
      </c>
      <c r="D1656" t="s">
        <v>3866</v>
      </c>
      <c r="E1656" t="s">
        <v>3867</v>
      </c>
      <c r="F1656" t="s">
        <v>7</v>
      </c>
      <c r="G1656" t="s">
        <v>8</v>
      </c>
      <c r="H1656">
        <v>27000000</v>
      </c>
      <c r="I1656">
        <v>6.3</v>
      </c>
      <c r="J1656" t="s">
        <v>9016</v>
      </c>
    </row>
    <row r="1657" spans="1:10" x14ac:dyDescent="0.3">
      <c r="A1657">
        <v>106</v>
      </c>
      <c r="B1657">
        <v>7486906</v>
      </c>
      <c r="C1657" t="s">
        <v>1641</v>
      </c>
      <c r="D1657" t="s">
        <v>3868</v>
      </c>
      <c r="E1657" t="s">
        <v>3869</v>
      </c>
      <c r="F1657" t="s">
        <v>7</v>
      </c>
      <c r="G1657" t="s">
        <v>8</v>
      </c>
      <c r="H1657">
        <v>27000000</v>
      </c>
      <c r="I1657">
        <v>6.1</v>
      </c>
      <c r="J1657" t="s">
        <v>8567</v>
      </c>
    </row>
    <row r="1658" spans="1:10" x14ac:dyDescent="0.3">
      <c r="A1658">
        <v>89</v>
      </c>
      <c r="B1658">
        <v>38536376</v>
      </c>
      <c r="C1658" t="s">
        <v>1252</v>
      </c>
      <c r="D1658" t="s">
        <v>3870</v>
      </c>
      <c r="E1658" t="s">
        <v>3871</v>
      </c>
      <c r="F1658" t="s">
        <v>7</v>
      </c>
      <c r="G1658" t="s">
        <v>8</v>
      </c>
      <c r="H1658">
        <v>27000000</v>
      </c>
      <c r="I1658">
        <v>5.3</v>
      </c>
      <c r="J1658" t="s">
        <v>9017</v>
      </c>
    </row>
    <row r="1659" spans="1:10" x14ac:dyDescent="0.3">
      <c r="A1659">
        <v>98</v>
      </c>
      <c r="B1659">
        <v>41008532</v>
      </c>
      <c r="C1659" t="s">
        <v>873</v>
      </c>
      <c r="D1659" t="s">
        <v>3872</v>
      </c>
      <c r="E1659" t="s">
        <v>3873</v>
      </c>
      <c r="F1659" t="s">
        <v>7</v>
      </c>
      <c r="G1659" t="s">
        <v>8</v>
      </c>
      <c r="H1659">
        <v>27000000</v>
      </c>
      <c r="I1659">
        <v>5.4</v>
      </c>
      <c r="J1659" t="s">
        <v>9018</v>
      </c>
    </row>
    <row r="1660" spans="1:10" x14ac:dyDescent="0.3">
      <c r="A1660">
        <v>93</v>
      </c>
      <c r="B1660">
        <v>5204007</v>
      </c>
      <c r="C1660" t="s">
        <v>148</v>
      </c>
      <c r="D1660" t="s">
        <v>3874</v>
      </c>
      <c r="E1660" t="s">
        <v>3875</v>
      </c>
      <c r="F1660" t="s">
        <v>7</v>
      </c>
      <c r="G1660" t="s">
        <v>15</v>
      </c>
      <c r="H1660">
        <v>28000000</v>
      </c>
      <c r="I1660">
        <v>6.7</v>
      </c>
      <c r="J1660" t="s">
        <v>8397</v>
      </c>
    </row>
    <row r="1661" spans="1:10" x14ac:dyDescent="0.3">
      <c r="A1661">
        <v>112</v>
      </c>
      <c r="B1661">
        <v>4485485</v>
      </c>
      <c r="C1661" t="s">
        <v>3876</v>
      </c>
      <c r="D1661" t="s">
        <v>3877</v>
      </c>
      <c r="E1661" t="s">
        <v>3878</v>
      </c>
      <c r="F1661" t="s">
        <v>7</v>
      </c>
      <c r="G1661" t="s">
        <v>8</v>
      </c>
      <c r="H1661">
        <v>15000000</v>
      </c>
      <c r="I1661">
        <v>5.9</v>
      </c>
      <c r="J1661" t="s">
        <v>8652</v>
      </c>
    </row>
    <row r="1662" spans="1:10" x14ac:dyDescent="0.3">
      <c r="A1662">
        <v>101</v>
      </c>
      <c r="B1662">
        <v>4476235</v>
      </c>
      <c r="C1662" t="s">
        <v>2016</v>
      </c>
      <c r="D1662" t="s">
        <v>3879</v>
      </c>
      <c r="E1662" t="s">
        <v>3880</v>
      </c>
      <c r="F1662" t="s">
        <v>7</v>
      </c>
      <c r="G1662" t="s">
        <v>8</v>
      </c>
      <c r="H1662">
        <v>27000000</v>
      </c>
      <c r="I1662">
        <v>7.3</v>
      </c>
      <c r="J1662" t="s">
        <v>9019</v>
      </c>
    </row>
    <row r="1663" spans="1:10" x14ac:dyDescent="0.3">
      <c r="A1663">
        <v>104</v>
      </c>
      <c r="B1663">
        <v>1089365</v>
      </c>
      <c r="C1663" t="s">
        <v>1040</v>
      </c>
      <c r="D1663" t="s">
        <v>3881</v>
      </c>
      <c r="E1663" t="s">
        <v>3882</v>
      </c>
      <c r="F1663" t="s">
        <v>7</v>
      </c>
      <c r="G1663" t="s">
        <v>8</v>
      </c>
      <c r="H1663">
        <v>25000000</v>
      </c>
      <c r="I1663">
        <v>5.5</v>
      </c>
      <c r="J1663" t="s">
        <v>8749</v>
      </c>
    </row>
    <row r="1664" spans="1:10" x14ac:dyDescent="0.3">
      <c r="A1664">
        <v>120</v>
      </c>
      <c r="B1664">
        <v>763044</v>
      </c>
      <c r="C1664" t="s">
        <v>1704</v>
      </c>
      <c r="D1664" t="s">
        <v>3883</v>
      </c>
      <c r="E1664" t="s">
        <v>3884</v>
      </c>
      <c r="F1664" t="s">
        <v>7</v>
      </c>
      <c r="G1664" t="s">
        <v>95</v>
      </c>
      <c r="H1664">
        <v>23000000</v>
      </c>
      <c r="I1664">
        <v>5.8</v>
      </c>
      <c r="J1664" t="s">
        <v>9020</v>
      </c>
    </row>
    <row r="1665" spans="1:10" x14ac:dyDescent="0.3">
      <c r="A1665">
        <v>91</v>
      </c>
      <c r="B1665">
        <v>20819129</v>
      </c>
      <c r="C1665" t="s">
        <v>704</v>
      </c>
      <c r="D1665" t="s">
        <v>3885</v>
      </c>
      <c r="E1665" t="s">
        <v>3886</v>
      </c>
      <c r="F1665" t="s">
        <v>7</v>
      </c>
      <c r="G1665" t="s">
        <v>8</v>
      </c>
      <c r="H1665">
        <v>26000000</v>
      </c>
      <c r="I1665">
        <v>4.5999999999999996</v>
      </c>
      <c r="J1665" t="s">
        <v>9021</v>
      </c>
    </row>
    <row r="1666" spans="1:10" x14ac:dyDescent="0.3">
      <c r="A1666">
        <v>97</v>
      </c>
      <c r="B1666">
        <v>110222438</v>
      </c>
      <c r="C1666" t="s">
        <v>3887</v>
      </c>
      <c r="D1666" t="s">
        <v>3888</v>
      </c>
      <c r="E1666" t="s">
        <v>3889</v>
      </c>
      <c r="F1666" t="s">
        <v>7</v>
      </c>
      <c r="G1666" t="s">
        <v>8</v>
      </c>
      <c r="H1666">
        <v>26000000</v>
      </c>
      <c r="I1666">
        <v>6.7</v>
      </c>
      <c r="J1666" t="s">
        <v>9022</v>
      </c>
    </row>
    <row r="1667" spans="1:10" x14ac:dyDescent="0.3">
      <c r="A1667">
        <v>133</v>
      </c>
      <c r="B1667">
        <v>109243478</v>
      </c>
      <c r="C1667" t="s">
        <v>672</v>
      </c>
      <c r="D1667" t="s">
        <v>3890</v>
      </c>
      <c r="E1667" t="s">
        <v>3891</v>
      </c>
      <c r="F1667" t="s">
        <v>7</v>
      </c>
      <c r="G1667" t="s">
        <v>8</v>
      </c>
      <c r="H1667">
        <v>26000000</v>
      </c>
      <c r="I1667">
        <v>5.0999999999999996</v>
      </c>
      <c r="J1667" t="s">
        <v>9023</v>
      </c>
    </row>
    <row r="1668" spans="1:10" x14ac:dyDescent="0.3">
      <c r="A1668">
        <v>123</v>
      </c>
      <c r="B1668">
        <v>100241322</v>
      </c>
      <c r="C1668" t="s">
        <v>561</v>
      </c>
      <c r="D1668" t="s">
        <v>3892</v>
      </c>
      <c r="E1668" t="s">
        <v>3893</v>
      </c>
      <c r="F1668" t="s">
        <v>7</v>
      </c>
      <c r="G1668" t="s">
        <v>8</v>
      </c>
      <c r="H1668">
        <v>25000000</v>
      </c>
      <c r="I1668">
        <v>5.6</v>
      </c>
      <c r="J1668" t="s">
        <v>8633</v>
      </c>
    </row>
    <row r="1669" spans="1:10" x14ac:dyDescent="0.3">
      <c r="A1669">
        <v>114</v>
      </c>
      <c r="B1669">
        <v>25977365</v>
      </c>
      <c r="C1669" t="s">
        <v>882</v>
      </c>
      <c r="D1669" t="s">
        <v>3894</v>
      </c>
      <c r="E1669" t="s">
        <v>3895</v>
      </c>
      <c r="F1669" t="s">
        <v>7</v>
      </c>
      <c r="G1669" t="s">
        <v>8</v>
      </c>
      <c r="H1669">
        <v>28000000</v>
      </c>
      <c r="I1669">
        <v>7</v>
      </c>
      <c r="J1669" t="s">
        <v>8817</v>
      </c>
    </row>
    <row r="1670" spans="1:10" x14ac:dyDescent="0.3">
      <c r="A1670">
        <v>111</v>
      </c>
      <c r="B1670">
        <v>91457688</v>
      </c>
      <c r="C1670" t="s">
        <v>704</v>
      </c>
      <c r="D1670" t="s">
        <v>3896</v>
      </c>
      <c r="E1670" t="s">
        <v>3897</v>
      </c>
      <c r="F1670" t="s">
        <v>7</v>
      </c>
      <c r="G1670" t="s">
        <v>8</v>
      </c>
      <c r="H1670">
        <v>26000000</v>
      </c>
      <c r="I1670">
        <v>6.4</v>
      </c>
      <c r="J1670" t="s">
        <v>8610</v>
      </c>
    </row>
    <row r="1671" spans="1:10" x14ac:dyDescent="0.3">
      <c r="A1671">
        <v>117</v>
      </c>
      <c r="B1671">
        <v>87341380</v>
      </c>
      <c r="C1671" t="s">
        <v>704</v>
      </c>
      <c r="D1671" t="s">
        <v>3898</v>
      </c>
      <c r="E1671" t="s">
        <v>3899</v>
      </c>
      <c r="F1671" t="s">
        <v>7</v>
      </c>
      <c r="G1671" t="s">
        <v>8</v>
      </c>
      <c r="H1671">
        <v>27000000</v>
      </c>
      <c r="I1671">
        <v>6.7</v>
      </c>
      <c r="J1671" t="s">
        <v>8720</v>
      </c>
    </row>
    <row r="1672" spans="1:10" x14ac:dyDescent="0.3">
      <c r="A1672">
        <v>121</v>
      </c>
      <c r="B1672">
        <v>65703412</v>
      </c>
      <c r="C1672" t="s">
        <v>561</v>
      </c>
      <c r="D1672" t="s">
        <v>3900</v>
      </c>
      <c r="E1672" t="s">
        <v>3901</v>
      </c>
      <c r="F1672" t="s">
        <v>7</v>
      </c>
      <c r="G1672" t="s">
        <v>8</v>
      </c>
      <c r="H1672">
        <v>26000000</v>
      </c>
      <c r="I1672">
        <v>4.0999999999999996</v>
      </c>
      <c r="J1672" t="s">
        <v>9024</v>
      </c>
    </row>
    <row r="1673" spans="1:10" x14ac:dyDescent="0.3">
      <c r="A1673">
        <v>139</v>
      </c>
      <c r="B1673">
        <v>58328680</v>
      </c>
      <c r="C1673" t="s">
        <v>1688</v>
      </c>
      <c r="D1673" t="s">
        <v>3902</v>
      </c>
      <c r="E1673" t="s">
        <v>3903</v>
      </c>
      <c r="F1673" t="s">
        <v>7</v>
      </c>
      <c r="G1673" t="s">
        <v>8</v>
      </c>
      <c r="H1673">
        <v>22000000</v>
      </c>
      <c r="I1673">
        <v>5.5</v>
      </c>
      <c r="J1673" t="s">
        <v>8728</v>
      </c>
    </row>
    <row r="1674" spans="1:10" x14ac:dyDescent="0.3">
      <c r="A1674">
        <v>115</v>
      </c>
      <c r="B1674">
        <v>61490000</v>
      </c>
      <c r="C1674" t="s">
        <v>1314</v>
      </c>
      <c r="D1674" t="s">
        <v>3904</v>
      </c>
      <c r="E1674" t="s">
        <v>3905</v>
      </c>
      <c r="F1674" t="s">
        <v>7</v>
      </c>
      <c r="G1674" t="s">
        <v>8</v>
      </c>
      <c r="H1674">
        <v>26000000</v>
      </c>
      <c r="I1674">
        <v>2.7</v>
      </c>
      <c r="J1674" t="s">
        <v>8774</v>
      </c>
    </row>
    <row r="1675" spans="1:10" x14ac:dyDescent="0.3">
      <c r="A1675">
        <v>175</v>
      </c>
      <c r="B1675">
        <v>50800000</v>
      </c>
      <c r="C1675" t="s">
        <v>799</v>
      </c>
      <c r="D1675" t="s">
        <v>3906</v>
      </c>
      <c r="E1675" t="s">
        <v>3907</v>
      </c>
      <c r="F1675" t="s">
        <v>7</v>
      </c>
      <c r="G1675" t="s">
        <v>8</v>
      </c>
      <c r="H1675">
        <v>26000000</v>
      </c>
      <c r="I1675">
        <v>6.4</v>
      </c>
      <c r="J1675" t="s">
        <v>9025</v>
      </c>
    </row>
    <row r="1676" spans="1:10" x14ac:dyDescent="0.3">
      <c r="A1676">
        <v>85</v>
      </c>
      <c r="B1676">
        <v>57859105</v>
      </c>
      <c r="C1676" t="s">
        <v>321</v>
      </c>
      <c r="D1676" t="s">
        <v>3908</v>
      </c>
      <c r="E1676" t="s">
        <v>3909</v>
      </c>
      <c r="F1676" t="s">
        <v>7</v>
      </c>
      <c r="G1676" t="s">
        <v>8</v>
      </c>
      <c r="H1676">
        <v>26000000</v>
      </c>
      <c r="I1676">
        <v>4.8</v>
      </c>
      <c r="J1676" t="s">
        <v>9026</v>
      </c>
    </row>
    <row r="1677" spans="1:10" x14ac:dyDescent="0.3">
      <c r="A1677">
        <v>90</v>
      </c>
      <c r="B1677">
        <v>46455802</v>
      </c>
      <c r="C1677" t="s">
        <v>2324</v>
      </c>
      <c r="D1677" t="s">
        <v>3910</v>
      </c>
      <c r="E1677" t="s">
        <v>3911</v>
      </c>
      <c r="F1677" t="s">
        <v>7</v>
      </c>
      <c r="G1677" t="s">
        <v>8</v>
      </c>
      <c r="H1677">
        <v>26000000</v>
      </c>
      <c r="I1677">
        <v>6.1</v>
      </c>
      <c r="J1677" t="s">
        <v>9027</v>
      </c>
    </row>
    <row r="1678" spans="1:10" x14ac:dyDescent="0.3">
      <c r="A1678">
        <v>107</v>
      </c>
      <c r="B1678">
        <v>45506619</v>
      </c>
      <c r="C1678" t="s">
        <v>3912</v>
      </c>
      <c r="D1678" t="s">
        <v>3913</v>
      </c>
      <c r="E1678" t="s">
        <v>3914</v>
      </c>
      <c r="F1678" t="s">
        <v>7</v>
      </c>
      <c r="G1678" t="s">
        <v>15</v>
      </c>
      <c r="H1678">
        <v>26000000</v>
      </c>
      <c r="I1678">
        <v>4.8</v>
      </c>
      <c r="J1678" t="s">
        <v>9028</v>
      </c>
    </row>
    <row r="1679" spans="1:10" x14ac:dyDescent="0.3">
      <c r="A1679">
        <v>100</v>
      </c>
      <c r="B1679">
        <v>40168080</v>
      </c>
      <c r="C1679" t="s">
        <v>1440</v>
      </c>
      <c r="D1679" t="s">
        <v>3915</v>
      </c>
      <c r="E1679" t="s">
        <v>3916</v>
      </c>
      <c r="F1679" t="s">
        <v>7</v>
      </c>
      <c r="G1679" t="s">
        <v>8</v>
      </c>
      <c r="H1679">
        <v>26000000</v>
      </c>
      <c r="I1679">
        <v>7</v>
      </c>
      <c r="J1679" t="s">
        <v>8937</v>
      </c>
    </row>
    <row r="1680" spans="1:10" x14ac:dyDescent="0.3">
      <c r="A1680">
        <v>129</v>
      </c>
      <c r="B1680">
        <v>49874933</v>
      </c>
      <c r="C1680" t="s">
        <v>3876</v>
      </c>
      <c r="D1680" t="s">
        <v>3917</v>
      </c>
      <c r="E1680" t="s">
        <v>3918</v>
      </c>
      <c r="F1680" t="s">
        <v>7</v>
      </c>
      <c r="G1680" t="s">
        <v>8</v>
      </c>
      <c r="H1680">
        <v>26000000</v>
      </c>
      <c r="I1680">
        <v>6.8</v>
      </c>
      <c r="J1680" t="s">
        <v>8548</v>
      </c>
    </row>
    <row r="1681" spans="1:10" x14ac:dyDescent="0.3">
      <c r="A1681">
        <v>109</v>
      </c>
      <c r="B1681">
        <v>45489752</v>
      </c>
      <c r="C1681" t="s">
        <v>561</v>
      </c>
      <c r="D1681" t="s">
        <v>3919</v>
      </c>
      <c r="E1681" t="s">
        <v>3920</v>
      </c>
      <c r="F1681" t="s">
        <v>7</v>
      </c>
      <c r="G1681" t="s">
        <v>8</v>
      </c>
      <c r="H1681">
        <v>26000000</v>
      </c>
      <c r="I1681">
        <v>7.3</v>
      </c>
      <c r="J1681" t="s">
        <v>9029</v>
      </c>
    </row>
    <row r="1682" spans="1:10" x14ac:dyDescent="0.3">
      <c r="A1682">
        <v>133</v>
      </c>
      <c r="B1682">
        <v>33200000</v>
      </c>
      <c r="C1682" t="s">
        <v>3921</v>
      </c>
      <c r="D1682" t="s">
        <v>3922</v>
      </c>
      <c r="E1682" t="s">
        <v>3923</v>
      </c>
      <c r="F1682" t="s">
        <v>7</v>
      </c>
      <c r="G1682" t="s">
        <v>8</v>
      </c>
      <c r="H1682">
        <v>26000000</v>
      </c>
      <c r="I1682">
        <v>5.6</v>
      </c>
      <c r="J1682" t="s">
        <v>8786</v>
      </c>
    </row>
    <row r="1683" spans="1:10" x14ac:dyDescent="0.3">
      <c r="A1683">
        <v>105</v>
      </c>
      <c r="B1683">
        <v>28501651</v>
      </c>
      <c r="C1683" t="s">
        <v>1704</v>
      </c>
      <c r="D1683" t="s">
        <v>3924</v>
      </c>
      <c r="E1683" t="s">
        <v>3925</v>
      </c>
      <c r="F1683" t="s">
        <v>7</v>
      </c>
      <c r="G1683" t="s">
        <v>8</v>
      </c>
      <c r="H1683">
        <v>26000000</v>
      </c>
      <c r="I1683">
        <v>6.1</v>
      </c>
      <c r="J1683" t="s">
        <v>8798</v>
      </c>
    </row>
    <row r="1684" spans="1:10" x14ac:dyDescent="0.3">
      <c r="A1684">
        <v>100</v>
      </c>
      <c r="B1684">
        <v>23222861</v>
      </c>
      <c r="C1684" t="s">
        <v>3926</v>
      </c>
      <c r="D1684" t="s">
        <v>3927</v>
      </c>
      <c r="E1684" t="s">
        <v>3928</v>
      </c>
      <c r="F1684" t="s">
        <v>7</v>
      </c>
      <c r="G1684" t="s">
        <v>8</v>
      </c>
      <c r="H1684">
        <v>26000000</v>
      </c>
      <c r="I1684">
        <v>7.9</v>
      </c>
      <c r="J1684" t="s">
        <v>8397</v>
      </c>
    </row>
    <row r="1685" spans="1:10" x14ac:dyDescent="0.3">
      <c r="A1685">
        <v>113</v>
      </c>
      <c r="B1685">
        <v>54540525</v>
      </c>
      <c r="C1685" t="s">
        <v>672</v>
      </c>
      <c r="D1685" t="s">
        <v>3929</v>
      </c>
      <c r="E1685" t="s">
        <v>3930</v>
      </c>
      <c r="F1685" t="s">
        <v>7</v>
      </c>
      <c r="G1685" t="s">
        <v>8</v>
      </c>
      <c r="H1685">
        <v>56000000</v>
      </c>
      <c r="I1685">
        <v>8.4</v>
      </c>
      <c r="J1685" t="s">
        <v>9030</v>
      </c>
    </row>
    <row r="1686" spans="1:10" x14ac:dyDescent="0.3">
      <c r="A1686">
        <v>118</v>
      </c>
      <c r="B1686">
        <v>16252765</v>
      </c>
      <c r="C1686" t="s">
        <v>1356</v>
      </c>
      <c r="D1686" t="s">
        <v>3931</v>
      </c>
      <c r="E1686" t="s">
        <v>3932</v>
      </c>
      <c r="F1686" t="s">
        <v>7</v>
      </c>
      <c r="G1686" t="s">
        <v>583</v>
      </c>
      <c r="H1686">
        <v>42000000</v>
      </c>
      <c r="I1686">
        <v>6.5</v>
      </c>
      <c r="J1686" t="s">
        <v>9031</v>
      </c>
    </row>
    <row r="1687" spans="1:10" x14ac:dyDescent="0.3">
      <c r="A1687">
        <v>110</v>
      </c>
      <c r="B1687">
        <v>16005978</v>
      </c>
      <c r="C1687" t="s">
        <v>915</v>
      </c>
      <c r="D1687" t="s">
        <v>3933</v>
      </c>
      <c r="E1687" t="s">
        <v>3934</v>
      </c>
      <c r="F1687" t="s">
        <v>7</v>
      </c>
      <c r="G1687" t="s">
        <v>8</v>
      </c>
      <c r="H1687">
        <v>26000000</v>
      </c>
      <c r="I1687">
        <v>7.1</v>
      </c>
      <c r="J1687" t="s">
        <v>9032</v>
      </c>
    </row>
    <row r="1688" spans="1:10" x14ac:dyDescent="0.3">
      <c r="A1688">
        <v>110</v>
      </c>
      <c r="B1688">
        <v>14469428</v>
      </c>
      <c r="C1688" t="s">
        <v>672</v>
      </c>
      <c r="D1688" t="s">
        <v>3935</v>
      </c>
      <c r="E1688" t="s">
        <v>3936</v>
      </c>
      <c r="F1688" t="s">
        <v>7</v>
      </c>
      <c r="G1688" t="s">
        <v>8</v>
      </c>
      <c r="H1688">
        <v>26000000</v>
      </c>
      <c r="I1688">
        <v>6.6</v>
      </c>
      <c r="J1688" t="s">
        <v>8728</v>
      </c>
    </row>
    <row r="1689" spans="1:10" x14ac:dyDescent="0.3">
      <c r="A1689">
        <v>99</v>
      </c>
      <c r="B1689">
        <v>13829734</v>
      </c>
      <c r="C1689" t="s">
        <v>3937</v>
      </c>
      <c r="D1689" t="s">
        <v>3938</v>
      </c>
      <c r="E1689" t="s">
        <v>3939</v>
      </c>
      <c r="F1689" t="s">
        <v>7</v>
      </c>
      <c r="G1689" t="s">
        <v>95</v>
      </c>
      <c r="H1689">
        <v>26000000</v>
      </c>
      <c r="I1689">
        <v>4</v>
      </c>
      <c r="J1689" t="s">
        <v>9033</v>
      </c>
    </row>
    <row r="1690" spans="1:10" x14ac:dyDescent="0.3">
      <c r="A1690">
        <v>101</v>
      </c>
      <c r="B1690">
        <v>1075288</v>
      </c>
      <c r="C1690" t="s">
        <v>873</v>
      </c>
      <c r="D1690" t="s">
        <v>3940</v>
      </c>
      <c r="E1690" t="s">
        <v>3941</v>
      </c>
      <c r="F1690" t="s">
        <v>7</v>
      </c>
      <c r="G1690" t="s">
        <v>8</v>
      </c>
      <c r="H1690">
        <v>22000000</v>
      </c>
      <c r="I1690">
        <v>7</v>
      </c>
      <c r="J1690" t="s">
        <v>8986</v>
      </c>
    </row>
    <row r="1691" spans="1:10" x14ac:dyDescent="0.3">
      <c r="A1691">
        <v>103</v>
      </c>
      <c r="B1691">
        <v>7496522</v>
      </c>
      <c r="C1691" t="s">
        <v>3942</v>
      </c>
      <c r="D1691" t="s">
        <v>3943</v>
      </c>
      <c r="E1691" t="s">
        <v>3944</v>
      </c>
      <c r="F1691" t="s">
        <v>7</v>
      </c>
      <c r="G1691" t="s">
        <v>8</v>
      </c>
      <c r="H1691">
        <v>26000000</v>
      </c>
      <c r="I1691">
        <v>5.6</v>
      </c>
      <c r="J1691" t="s">
        <v>9034</v>
      </c>
    </row>
    <row r="1692" spans="1:10" x14ac:dyDescent="0.3">
      <c r="A1692">
        <v>95</v>
      </c>
      <c r="B1692">
        <v>20047715</v>
      </c>
      <c r="C1692" t="s">
        <v>3945</v>
      </c>
      <c r="D1692" t="s">
        <v>3946</v>
      </c>
      <c r="E1692" t="s">
        <v>3947</v>
      </c>
      <c r="F1692" t="s">
        <v>7</v>
      </c>
      <c r="G1692" t="s">
        <v>8</v>
      </c>
      <c r="H1692">
        <v>25530000</v>
      </c>
      <c r="I1692">
        <v>4.8</v>
      </c>
      <c r="J1692" t="s">
        <v>9035</v>
      </c>
    </row>
    <row r="1693" spans="1:10" x14ac:dyDescent="0.3">
      <c r="A1693">
        <v>117</v>
      </c>
      <c r="B1693">
        <v>12276810</v>
      </c>
      <c r="C1693" t="s">
        <v>656</v>
      </c>
      <c r="D1693" t="s">
        <v>3948</v>
      </c>
      <c r="E1693" t="s">
        <v>3949</v>
      </c>
      <c r="F1693" t="s">
        <v>7</v>
      </c>
      <c r="G1693" t="s">
        <v>8</v>
      </c>
      <c r="H1693">
        <v>26000000</v>
      </c>
      <c r="I1693">
        <v>7.5</v>
      </c>
      <c r="J1693" t="s">
        <v>9036</v>
      </c>
    </row>
    <row r="1694" spans="1:10" x14ac:dyDescent="0.3">
      <c r="A1694">
        <v>129</v>
      </c>
      <c r="B1694">
        <v>33565375</v>
      </c>
      <c r="C1694" t="s">
        <v>1356</v>
      </c>
      <c r="D1694" t="s">
        <v>3950</v>
      </c>
      <c r="E1694" t="s">
        <v>3951</v>
      </c>
      <c r="F1694" t="s">
        <v>7</v>
      </c>
      <c r="G1694" t="s">
        <v>15</v>
      </c>
      <c r="H1694">
        <v>15000000</v>
      </c>
      <c r="I1694">
        <v>6</v>
      </c>
      <c r="J1694" t="s">
        <v>9037</v>
      </c>
    </row>
    <row r="1695" spans="1:10" x14ac:dyDescent="0.3">
      <c r="A1695">
        <v>120</v>
      </c>
      <c r="B1695">
        <v>499263</v>
      </c>
      <c r="C1695" t="s">
        <v>1417</v>
      </c>
      <c r="D1695" t="s">
        <v>3952</v>
      </c>
      <c r="E1695" t="s">
        <v>3953</v>
      </c>
      <c r="F1695" t="s">
        <v>3954</v>
      </c>
      <c r="G1695" t="s">
        <v>8</v>
      </c>
      <c r="H1695">
        <v>30000000</v>
      </c>
      <c r="I1695">
        <v>7.2</v>
      </c>
      <c r="J1695" t="s">
        <v>9038</v>
      </c>
    </row>
    <row r="1696" spans="1:10" x14ac:dyDescent="0.3">
      <c r="A1696">
        <v>125</v>
      </c>
      <c r="B1696">
        <v>219200000</v>
      </c>
      <c r="C1696" t="s">
        <v>3842</v>
      </c>
      <c r="D1696" t="s">
        <v>3955</v>
      </c>
      <c r="E1696" t="s">
        <v>3956</v>
      </c>
      <c r="F1696" t="s">
        <v>7</v>
      </c>
      <c r="G1696" t="s">
        <v>8</v>
      </c>
      <c r="H1696">
        <v>25000000</v>
      </c>
      <c r="I1696">
        <v>5.6</v>
      </c>
      <c r="J1696" t="s">
        <v>8465</v>
      </c>
    </row>
    <row r="1697" spans="1:10" x14ac:dyDescent="0.3">
      <c r="A1697">
        <v>133</v>
      </c>
      <c r="B1697">
        <v>172825435</v>
      </c>
      <c r="C1697" t="s">
        <v>1417</v>
      </c>
      <c r="D1697" t="s">
        <v>3957</v>
      </c>
      <c r="E1697" t="s">
        <v>3958</v>
      </c>
      <c r="F1697" t="s">
        <v>7</v>
      </c>
      <c r="G1697" t="s">
        <v>8</v>
      </c>
      <c r="H1697">
        <v>25000000</v>
      </c>
      <c r="I1697">
        <v>6.8</v>
      </c>
      <c r="J1697" t="s">
        <v>8306</v>
      </c>
    </row>
    <row r="1698" spans="1:10" x14ac:dyDescent="0.3">
      <c r="A1698">
        <v>116</v>
      </c>
      <c r="B1698">
        <v>148085755</v>
      </c>
      <c r="C1698" t="s">
        <v>1417</v>
      </c>
      <c r="D1698" t="s">
        <v>3959</v>
      </c>
      <c r="E1698" t="s">
        <v>3960</v>
      </c>
      <c r="F1698" t="s">
        <v>7</v>
      </c>
      <c r="G1698" t="s">
        <v>8</v>
      </c>
      <c r="H1698">
        <v>33000000</v>
      </c>
      <c r="I1698">
        <v>4.9000000000000004</v>
      </c>
      <c r="J1698" t="s">
        <v>9039</v>
      </c>
    </row>
    <row r="1699" spans="1:10" x14ac:dyDescent="0.3">
      <c r="A1699">
        <v>129</v>
      </c>
      <c r="B1699">
        <v>25517500</v>
      </c>
      <c r="C1699" t="s">
        <v>2495</v>
      </c>
      <c r="D1699" t="s">
        <v>3961</v>
      </c>
      <c r="E1699" t="s">
        <v>3962</v>
      </c>
      <c r="F1699" t="s">
        <v>7</v>
      </c>
      <c r="G1699" t="s">
        <v>8</v>
      </c>
      <c r="H1699">
        <v>25100000</v>
      </c>
      <c r="I1699">
        <v>7.1</v>
      </c>
      <c r="J1699" t="s">
        <v>8942</v>
      </c>
    </row>
    <row r="1700" spans="1:10" x14ac:dyDescent="0.3">
      <c r="A1700">
        <v>93</v>
      </c>
      <c r="B1700">
        <v>145000989</v>
      </c>
      <c r="C1700" t="s">
        <v>16</v>
      </c>
      <c r="D1700" t="s">
        <v>3963</v>
      </c>
      <c r="E1700" t="s">
        <v>3964</v>
      </c>
      <c r="F1700" t="s">
        <v>7</v>
      </c>
      <c r="G1700" t="s">
        <v>583</v>
      </c>
      <c r="H1700">
        <v>25000000</v>
      </c>
      <c r="I1700">
        <v>2</v>
      </c>
      <c r="J1700" t="s">
        <v>9040</v>
      </c>
    </row>
    <row r="1701" spans="1:10" x14ac:dyDescent="0.3">
      <c r="A1701">
        <v>118</v>
      </c>
      <c r="B1701">
        <v>26761283</v>
      </c>
      <c r="C1701" t="s">
        <v>73</v>
      </c>
      <c r="D1701" t="s">
        <v>3965</v>
      </c>
      <c r="E1701" t="s">
        <v>3966</v>
      </c>
      <c r="F1701" t="s">
        <v>7</v>
      </c>
      <c r="G1701" t="s">
        <v>8</v>
      </c>
      <c r="H1701">
        <v>26000000</v>
      </c>
      <c r="I1701">
        <v>5.7</v>
      </c>
      <c r="J1701" t="s">
        <v>9041</v>
      </c>
    </row>
    <row r="1702" spans="1:10" x14ac:dyDescent="0.3">
      <c r="A1702">
        <v>129</v>
      </c>
      <c r="B1702">
        <v>121945720</v>
      </c>
      <c r="C1702" t="s">
        <v>3967</v>
      </c>
      <c r="D1702" t="s">
        <v>3968</v>
      </c>
      <c r="E1702" t="s">
        <v>3969</v>
      </c>
      <c r="F1702" t="s">
        <v>7</v>
      </c>
      <c r="G1702" t="s">
        <v>8</v>
      </c>
      <c r="H1702">
        <v>25000000</v>
      </c>
      <c r="I1702">
        <v>4.0999999999999996</v>
      </c>
      <c r="J1702" t="s">
        <v>9042</v>
      </c>
    </row>
    <row r="1703" spans="1:10" x14ac:dyDescent="0.3">
      <c r="A1703">
        <v>185</v>
      </c>
      <c r="B1703">
        <v>96067179</v>
      </c>
      <c r="C1703" t="s">
        <v>2495</v>
      </c>
      <c r="D1703" t="s">
        <v>3970</v>
      </c>
      <c r="E1703" t="s">
        <v>3971</v>
      </c>
      <c r="F1703" t="s">
        <v>7</v>
      </c>
      <c r="G1703" t="s">
        <v>8</v>
      </c>
      <c r="H1703">
        <v>22000000</v>
      </c>
      <c r="I1703">
        <v>6.7</v>
      </c>
      <c r="J1703" t="s">
        <v>9043</v>
      </c>
    </row>
    <row r="1704" spans="1:10" x14ac:dyDescent="0.3">
      <c r="A1704">
        <v>146</v>
      </c>
      <c r="B1704">
        <v>169705587</v>
      </c>
      <c r="C1704" t="s">
        <v>1417</v>
      </c>
      <c r="D1704" t="s">
        <v>3972</v>
      </c>
      <c r="E1704" t="s">
        <v>3973</v>
      </c>
      <c r="F1704" t="s">
        <v>7</v>
      </c>
      <c r="G1704" t="s">
        <v>8</v>
      </c>
      <c r="H1704">
        <v>25000000</v>
      </c>
      <c r="I1704">
        <v>7.5</v>
      </c>
      <c r="J1704" t="s">
        <v>9044</v>
      </c>
    </row>
    <row r="1705" spans="1:10" x14ac:dyDescent="0.3">
      <c r="A1705">
        <v>128</v>
      </c>
      <c r="B1705">
        <v>3254172</v>
      </c>
      <c r="C1705" t="s">
        <v>1493</v>
      </c>
      <c r="D1705" t="s">
        <v>3974</v>
      </c>
      <c r="E1705" t="s">
        <v>3975</v>
      </c>
      <c r="F1705" t="s">
        <v>7</v>
      </c>
      <c r="G1705" t="s">
        <v>8</v>
      </c>
      <c r="H1705">
        <v>28000000</v>
      </c>
      <c r="I1705">
        <v>6.5</v>
      </c>
      <c r="J1705" t="s">
        <v>9045</v>
      </c>
    </row>
    <row r="1706" spans="1:10" x14ac:dyDescent="0.3">
      <c r="A1706">
        <v>93</v>
      </c>
      <c r="B1706">
        <v>84185387</v>
      </c>
      <c r="C1706" t="s">
        <v>3976</v>
      </c>
      <c r="D1706" t="s">
        <v>3977</v>
      </c>
      <c r="E1706" t="s">
        <v>3978</v>
      </c>
      <c r="F1706" t="s">
        <v>7</v>
      </c>
      <c r="G1706" t="s">
        <v>8</v>
      </c>
      <c r="H1706">
        <v>80000000</v>
      </c>
      <c r="I1706">
        <v>7.9</v>
      </c>
      <c r="J1706" t="s">
        <v>8434</v>
      </c>
    </row>
    <row r="1707" spans="1:10" x14ac:dyDescent="0.3">
      <c r="A1707">
        <v>82</v>
      </c>
      <c r="B1707">
        <v>80920948</v>
      </c>
      <c r="C1707" t="s">
        <v>170</v>
      </c>
      <c r="D1707" t="s">
        <v>3980</v>
      </c>
      <c r="E1707" t="s">
        <v>3981</v>
      </c>
      <c r="F1707" t="s">
        <v>7</v>
      </c>
      <c r="G1707" t="s">
        <v>8</v>
      </c>
      <c r="H1707">
        <v>30000000</v>
      </c>
      <c r="I1707">
        <v>6.4</v>
      </c>
      <c r="J1707" t="s">
        <v>9046</v>
      </c>
    </row>
    <row r="1708" spans="1:10" x14ac:dyDescent="0.3">
      <c r="A1708">
        <v>85</v>
      </c>
      <c r="B1708">
        <v>80034302</v>
      </c>
      <c r="C1708" t="s">
        <v>1435</v>
      </c>
      <c r="D1708" t="s">
        <v>3982</v>
      </c>
      <c r="E1708" t="s">
        <v>3983</v>
      </c>
      <c r="F1708" t="s">
        <v>7</v>
      </c>
      <c r="G1708" t="s">
        <v>8</v>
      </c>
      <c r="H1708">
        <v>25000000</v>
      </c>
      <c r="I1708">
        <v>5.8</v>
      </c>
      <c r="J1708" t="s">
        <v>8734</v>
      </c>
    </row>
    <row r="1709" spans="1:10" x14ac:dyDescent="0.3">
      <c r="A1709">
        <v>88</v>
      </c>
      <c r="B1709">
        <v>78656813</v>
      </c>
      <c r="C1709" t="s">
        <v>1252</v>
      </c>
      <c r="D1709" t="s">
        <v>3984</v>
      </c>
      <c r="E1709" t="s">
        <v>3985</v>
      </c>
      <c r="F1709" t="s">
        <v>7</v>
      </c>
      <c r="G1709" t="s">
        <v>8</v>
      </c>
      <c r="H1709">
        <v>25000000</v>
      </c>
      <c r="I1709">
        <v>7.7</v>
      </c>
      <c r="J1709" t="s">
        <v>8378</v>
      </c>
    </row>
    <row r="1710" spans="1:10" x14ac:dyDescent="0.3">
      <c r="A1710">
        <v>119</v>
      </c>
      <c r="B1710">
        <v>76270454</v>
      </c>
      <c r="C1710" t="s">
        <v>873</v>
      </c>
      <c r="D1710" t="s">
        <v>3986</v>
      </c>
      <c r="E1710" t="s">
        <v>3987</v>
      </c>
      <c r="F1710" t="s">
        <v>7</v>
      </c>
      <c r="G1710" t="s">
        <v>8</v>
      </c>
      <c r="H1710">
        <v>25000000</v>
      </c>
      <c r="I1710">
        <v>7.1</v>
      </c>
      <c r="J1710" t="s">
        <v>8592</v>
      </c>
    </row>
    <row r="1711" spans="1:10" x14ac:dyDescent="0.3">
      <c r="A1711">
        <v>122</v>
      </c>
      <c r="B1711">
        <v>74273505</v>
      </c>
      <c r="C1711" t="s">
        <v>873</v>
      </c>
      <c r="D1711" t="s">
        <v>3988</v>
      </c>
      <c r="E1711" t="s">
        <v>3989</v>
      </c>
      <c r="F1711" t="s">
        <v>7</v>
      </c>
      <c r="G1711" t="s">
        <v>8</v>
      </c>
      <c r="H1711">
        <v>25000000</v>
      </c>
      <c r="I1711">
        <v>5.3</v>
      </c>
      <c r="J1711" t="s">
        <v>8822</v>
      </c>
    </row>
    <row r="1712" spans="1:10" x14ac:dyDescent="0.3">
      <c r="A1712">
        <v>99</v>
      </c>
      <c r="B1712">
        <v>134141530</v>
      </c>
      <c r="C1712" t="s">
        <v>2392</v>
      </c>
      <c r="D1712" t="s">
        <v>3990</v>
      </c>
      <c r="E1712" t="s">
        <v>3991</v>
      </c>
      <c r="F1712" t="s">
        <v>7</v>
      </c>
      <c r="G1712" t="s">
        <v>8</v>
      </c>
      <c r="H1712">
        <v>25000000</v>
      </c>
      <c r="I1712">
        <v>5.3</v>
      </c>
      <c r="J1712" t="s">
        <v>9047</v>
      </c>
    </row>
    <row r="1713" spans="1:10" x14ac:dyDescent="0.3">
      <c r="A1713">
        <v>97</v>
      </c>
      <c r="B1713">
        <v>71500556</v>
      </c>
      <c r="C1713" t="s">
        <v>561</v>
      </c>
      <c r="D1713" t="s">
        <v>3992</v>
      </c>
      <c r="E1713" t="s">
        <v>3993</v>
      </c>
      <c r="F1713" t="s">
        <v>7</v>
      </c>
      <c r="G1713" t="s">
        <v>15</v>
      </c>
      <c r="H1713">
        <v>26000000</v>
      </c>
      <c r="I1713">
        <v>7.5</v>
      </c>
      <c r="J1713" t="s">
        <v>9048</v>
      </c>
    </row>
    <row r="1714" spans="1:10" x14ac:dyDescent="0.3">
      <c r="A1714">
        <v>121</v>
      </c>
      <c r="B1714">
        <v>71309760</v>
      </c>
      <c r="C1714" t="s">
        <v>73</v>
      </c>
      <c r="D1714" t="s">
        <v>3994</v>
      </c>
      <c r="E1714" t="s">
        <v>3995</v>
      </c>
      <c r="F1714" t="s">
        <v>7</v>
      </c>
      <c r="G1714" t="s">
        <v>15</v>
      </c>
      <c r="H1714">
        <v>25000000</v>
      </c>
      <c r="I1714">
        <v>6.9</v>
      </c>
      <c r="J1714" t="s">
        <v>8614</v>
      </c>
    </row>
    <row r="1715" spans="1:10" x14ac:dyDescent="0.3">
      <c r="A1715">
        <v>95</v>
      </c>
      <c r="B1715">
        <v>89808372</v>
      </c>
      <c r="C1715" t="s">
        <v>668</v>
      </c>
      <c r="D1715" t="s">
        <v>3996</v>
      </c>
      <c r="E1715" t="s">
        <v>3997</v>
      </c>
      <c r="F1715" t="s">
        <v>7</v>
      </c>
      <c r="G1715" t="s">
        <v>8</v>
      </c>
      <c r="H1715">
        <v>45000000</v>
      </c>
      <c r="I1715">
        <v>4.9000000000000004</v>
      </c>
      <c r="J1715" t="s">
        <v>9049</v>
      </c>
    </row>
    <row r="1716" spans="1:10" x14ac:dyDescent="0.3">
      <c r="A1716">
        <v>105</v>
      </c>
      <c r="B1716">
        <v>77264926</v>
      </c>
      <c r="C1716" t="s">
        <v>1261</v>
      </c>
      <c r="D1716" t="s">
        <v>3998</v>
      </c>
      <c r="E1716" t="s">
        <v>3999</v>
      </c>
      <c r="F1716" t="s">
        <v>7</v>
      </c>
      <c r="G1716" t="s">
        <v>8</v>
      </c>
      <c r="H1716">
        <v>25000000</v>
      </c>
      <c r="I1716">
        <v>7.1</v>
      </c>
      <c r="J1716" t="s">
        <v>9050</v>
      </c>
    </row>
    <row r="1717" spans="1:10" x14ac:dyDescent="0.3">
      <c r="A1717">
        <v>108</v>
      </c>
      <c r="B1717">
        <v>70625986</v>
      </c>
      <c r="C1717" t="s">
        <v>672</v>
      </c>
      <c r="D1717" t="s">
        <v>4000</v>
      </c>
      <c r="E1717" t="s">
        <v>4001</v>
      </c>
      <c r="F1717" t="s">
        <v>7</v>
      </c>
      <c r="G1717" t="s">
        <v>8</v>
      </c>
      <c r="H1717">
        <v>25000000</v>
      </c>
      <c r="I1717">
        <v>8</v>
      </c>
      <c r="J1717" t="s">
        <v>8454</v>
      </c>
    </row>
    <row r="1718" spans="1:10" x14ac:dyDescent="0.3">
      <c r="A1718">
        <v>134</v>
      </c>
      <c r="B1718">
        <v>56505065</v>
      </c>
      <c r="C1718" t="s">
        <v>4002</v>
      </c>
      <c r="D1718" t="s">
        <v>4003</v>
      </c>
      <c r="E1718" t="s">
        <v>4004</v>
      </c>
      <c r="F1718" t="s">
        <v>7</v>
      </c>
      <c r="G1718" t="s">
        <v>8</v>
      </c>
      <c r="H1718">
        <v>25000000</v>
      </c>
      <c r="I1718">
        <v>7.9</v>
      </c>
      <c r="J1718" t="s">
        <v>8566</v>
      </c>
    </row>
    <row r="1719" spans="1:10" x14ac:dyDescent="0.3">
      <c r="A1719">
        <v>115</v>
      </c>
      <c r="B1719">
        <v>55973336</v>
      </c>
      <c r="C1719" t="s">
        <v>118</v>
      </c>
      <c r="D1719" t="s">
        <v>4005</v>
      </c>
      <c r="E1719" t="s">
        <v>4006</v>
      </c>
      <c r="F1719" t="s">
        <v>7</v>
      </c>
      <c r="G1719" t="s">
        <v>8</v>
      </c>
      <c r="H1719">
        <v>25000000</v>
      </c>
      <c r="I1719">
        <v>7.6</v>
      </c>
      <c r="J1719" t="s">
        <v>8332</v>
      </c>
    </row>
    <row r="1720" spans="1:10" x14ac:dyDescent="0.3">
      <c r="A1720">
        <v>86</v>
      </c>
      <c r="B1720">
        <v>54098051</v>
      </c>
      <c r="C1720" t="s">
        <v>2701</v>
      </c>
      <c r="D1720" t="s">
        <v>4007</v>
      </c>
      <c r="E1720" t="s">
        <v>4008</v>
      </c>
      <c r="F1720" t="s">
        <v>7</v>
      </c>
      <c r="G1720" t="s">
        <v>284</v>
      </c>
      <c r="H1720">
        <v>25000000</v>
      </c>
      <c r="I1720">
        <v>5.9</v>
      </c>
      <c r="J1720" t="s">
        <v>9051</v>
      </c>
    </row>
    <row r="1721" spans="1:10" x14ac:dyDescent="0.3">
      <c r="A1721">
        <v>101</v>
      </c>
      <c r="B1721">
        <v>60443237</v>
      </c>
      <c r="C1721" t="s">
        <v>73</v>
      </c>
      <c r="D1721" t="s">
        <v>4009</v>
      </c>
      <c r="E1721" t="s">
        <v>4010</v>
      </c>
      <c r="F1721" t="s">
        <v>7</v>
      </c>
      <c r="G1721" t="s">
        <v>8</v>
      </c>
      <c r="H1721">
        <v>25000000</v>
      </c>
      <c r="I1721">
        <v>6.3</v>
      </c>
      <c r="J1721" t="s">
        <v>8392</v>
      </c>
    </row>
    <row r="1722" spans="1:10" x14ac:dyDescent="0.3">
      <c r="A1722">
        <v>96</v>
      </c>
      <c r="B1722">
        <v>82234139</v>
      </c>
      <c r="C1722" t="s">
        <v>199</v>
      </c>
      <c r="D1722" t="s">
        <v>4011</v>
      </c>
      <c r="E1722" t="s">
        <v>4012</v>
      </c>
      <c r="F1722" t="s">
        <v>7</v>
      </c>
      <c r="G1722" t="s">
        <v>8</v>
      </c>
      <c r="H1722">
        <v>17000000</v>
      </c>
      <c r="I1722">
        <v>7.1</v>
      </c>
      <c r="J1722" t="s">
        <v>8784</v>
      </c>
    </row>
    <row r="1723" spans="1:10" x14ac:dyDescent="0.3">
      <c r="A1723">
        <v>101</v>
      </c>
      <c r="B1723">
        <v>51676606</v>
      </c>
      <c r="C1723" t="s">
        <v>4013</v>
      </c>
      <c r="D1723" t="s">
        <v>4014</v>
      </c>
      <c r="E1723" t="s">
        <v>4015</v>
      </c>
      <c r="F1723" t="s">
        <v>7</v>
      </c>
      <c r="G1723" t="s">
        <v>8</v>
      </c>
      <c r="H1723">
        <v>25000000</v>
      </c>
      <c r="I1723">
        <v>6.4</v>
      </c>
      <c r="J1723" t="s">
        <v>8716</v>
      </c>
    </row>
    <row r="1724" spans="1:10" x14ac:dyDescent="0.3">
      <c r="A1724">
        <v>100</v>
      </c>
      <c r="B1724">
        <v>52528330</v>
      </c>
      <c r="C1724" t="s">
        <v>1040</v>
      </c>
      <c r="D1724" t="s">
        <v>4016</v>
      </c>
      <c r="E1724" t="s">
        <v>4017</v>
      </c>
      <c r="F1724" t="s">
        <v>7</v>
      </c>
      <c r="G1724" t="s">
        <v>8</v>
      </c>
      <c r="H1724">
        <v>25000000</v>
      </c>
      <c r="I1724">
        <v>8.1999999999999993</v>
      </c>
      <c r="J1724" t="s">
        <v>8424</v>
      </c>
    </row>
    <row r="1725" spans="1:10" x14ac:dyDescent="0.3">
      <c r="A1725">
        <v>117</v>
      </c>
      <c r="B1725">
        <v>51533608</v>
      </c>
      <c r="C1725" t="s">
        <v>263</v>
      </c>
      <c r="D1725" t="s">
        <v>4018</v>
      </c>
      <c r="E1725" t="s">
        <v>4019</v>
      </c>
      <c r="F1725" t="s">
        <v>7</v>
      </c>
      <c r="G1725" t="s">
        <v>8</v>
      </c>
      <c r="H1725">
        <v>25000000</v>
      </c>
      <c r="I1725">
        <v>6.9</v>
      </c>
      <c r="J1725" t="s">
        <v>8962</v>
      </c>
    </row>
    <row r="1726" spans="1:10" x14ac:dyDescent="0.3">
      <c r="A1726">
        <v>101</v>
      </c>
      <c r="B1726">
        <v>51097664</v>
      </c>
      <c r="C1726" t="s">
        <v>2578</v>
      </c>
      <c r="D1726" t="s">
        <v>4020</v>
      </c>
      <c r="E1726" t="s">
        <v>4021</v>
      </c>
      <c r="F1726" t="s">
        <v>7</v>
      </c>
      <c r="G1726" t="s">
        <v>8</v>
      </c>
      <c r="H1726">
        <v>30000000</v>
      </c>
      <c r="I1726">
        <v>7.8</v>
      </c>
      <c r="J1726" t="s">
        <v>8460</v>
      </c>
    </row>
    <row r="1727" spans="1:10" x14ac:dyDescent="0.3">
      <c r="A1727">
        <v>98</v>
      </c>
      <c r="B1727">
        <v>84136909</v>
      </c>
      <c r="C1727" t="s">
        <v>668</v>
      </c>
      <c r="D1727" t="s">
        <v>4022</v>
      </c>
      <c r="E1727" t="s">
        <v>4023</v>
      </c>
      <c r="F1727" t="s">
        <v>7</v>
      </c>
      <c r="G1727" t="s">
        <v>8</v>
      </c>
      <c r="H1727">
        <v>26000000</v>
      </c>
      <c r="I1727">
        <v>6.7</v>
      </c>
      <c r="J1727" t="s">
        <v>8400</v>
      </c>
    </row>
    <row r="1728" spans="1:10" x14ac:dyDescent="0.3">
      <c r="A1728">
        <v>146</v>
      </c>
      <c r="B1728">
        <v>46836394</v>
      </c>
      <c r="C1728" t="s">
        <v>694</v>
      </c>
      <c r="D1728" t="s">
        <v>4024</v>
      </c>
      <c r="E1728" t="s">
        <v>4025</v>
      </c>
      <c r="F1728" t="s">
        <v>7</v>
      </c>
      <c r="G1728" t="s">
        <v>8</v>
      </c>
      <c r="H1728">
        <v>25000000</v>
      </c>
      <c r="I1728">
        <v>7.5</v>
      </c>
      <c r="J1728" t="s">
        <v>9022</v>
      </c>
    </row>
    <row r="1729" spans="1:10" x14ac:dyDescent="0.3">
      <c r="A1729">
        <v>102</v>
      </c>
      <c r="B1729">
        <v>47285499</v>
      </c>
      <c r="C1729" t="s">
        <v>4026</v>
      </c>
      <c r="D1729" t="s">
        <v>4027</v>
      </c>
      <c r="E1729" t="s">
        <v>4028</v>
      </c>
      <c r="F1729" t="s">
        <v>7</v>
      </c>
      <c r="G1729" t="s">
        <v>8</v>
      </c>
      <c r="H1729">
        <v>26000000</v>
      </c>
      <c r="I1729">
        <v>7.4</v>
      </c>
      <c r="J1729" t="s">
        <v>8304</v>
      </c>
    </row>
    <row r="1730" spans="1:10" x14ac:dyDescent="0.3">
      <c r="A1730">
        <v>97</v>
      </c>
      <c r="B1730">
        <v>47124400</v>
      </c>
      <c r="C1730" t="s">
        <v>187</v>
      </c>
      <c r="D1730" t="s">
        <v>4029</v>
      </c>
      <c r="E1730" t="s">
        <v>4030</v>
      </c>
      <c r="F1730" t="s">
        <v>7</v>
      </c>
      <c r="G1730" t="s">
        <v>8</v>
      </c>
      <c r="H1730">
        <v>25000000</v>
      </c>
      <c r="I1730">
        <v>5.2</v>
      </c>
      <c r="J1730" t="s">
        <v>8532</v>
      </c>
    </row>
    <row r="1731" spans="1:10" x14ac:dyDescent="0.3">
      <c r="A1731">
        <v>142</v>
      </c>
      <c r="B1731">
        <v>44700000</v>
      </c>
      <c r="C1731" t="s">
        <v>786</v>
      </c>
      <c r="D1731" t="s">
        <v>4031</v>
      </c>
      <c r="E1731" t="s">
        <v>4032</v>
      </c>
      <c r="F1731" t="s">
        <v>7</v>
      </c>
      <c r="G1731" t="s">
        <v>8</v>
      </c>
      <c r="H1731">
        <v>25000000</v>
      </c>
      <c r="I1731">
        <v>6.5</v>
      </c>
      <c r="J1731" t="s">
        <v>9052</v>
      </c>
    </row>
    <row r="1732" spans="1:10" x14ac:dyDescent="0.3">
      <c r="A1732">
        <v>98</v>
      </c>
      <c r="B1732">
        <v>44455658</v>
      </c>
      <c r="C1732" t="s">
        <v>542</v>
      </c>
      <c r="D1732" t="s">
        <v>4033</v>
      </c>
      <c r="E1732" t="s">
        <v>4034</v>
      </c>
      <c r="F1732" t="s">
        <v>7</v>
      </c>
      <c r="G1732" t="s">
        <v>8</v>
      </c>
      <c r="H1732">
        <v>25000000</v>
      </c>
      <c r="I1732">
        <v>7.6</v>
      </c>
      <c r="J1732" t="s">
        <v>8763</v>
      </c>
    </row>
    <row r="1733" spans="1:10" x14ac:dyDescent="0.3">
      <c r="A1733">
        <v>219</v>
      </c>
      <c r="B1733">
        <v>43984230</v>
      </c>
      <c r="C1733" t="s">
        <v>2495</v>
      </c>
      <c r="D1733" t="s">
        <v>4035</v>
      </c>
      <c r="E1733" t="s">
        <v>4036</v>
      </c>
      <c r="F1733" t="s">
        <v>7</v>
      </c>
      <c r="G1733" t="s">
        <v>339</v>
      </c>
      <c r="H1733">
        <v>23000000</v>
      </c>
      <c r="I1733">
        <v>7.3</v>
      </c>
      <c r="J1733" t="s">
        <v>8434</v>
      </c>
    </row>
    <row r="1734" spans="1:10" x14ac:dyDescent="0.3">
      <c r="A1734">
        <v>109</v>
      </c>
      <c r="B1734">
        <v>66489425</v>
      </c>
      <c r="C1734" t="s">
        <v>164</v>
      </c>
      <c r="D1734" t="s">
        <v>4037</v>
      </c>
      <c r="E1734" t="s">
        <v>4038</v>
      </c>
      <c r="F1734" t="s">
        <v>7</v>
      </c>
      <c r="G1734" t="s">
        <v>8</v>
      </c>
      <c r="H1734">
        <v>25000000</v>
      </c>
      <c r="I1734">
        <v>6.6</v>
      </c>
      <c r="J1734" t="s">
        <v>8365</v>
      </c>
    </row>
    <row r="1735" spans="1:10" x14ac:dyDescent="0.3">
      <c r="A1735">
        <v>97</v>
      </c>
      <c r="B1735">
        <v>41067398</v>
      </c>
      <c r="C1735" t="s">
        <v>148</v>
      </c>
      <c r="D1735" t="s">
        <v>4039</v>
      </c>
      <c r="E1735" t="s">
        <v>4040</v>
      </c>
      <c r="F1735" t="s">
        <v>7</v>
      </c>
      <c r="G1735" t="s">
        <v>8</v>
      </c>
      <c r="H1735">
        <v>25000000</v>
      </c>
      <c r="I1735">
        <v>6.8</v>
      </c>
      <c r="J1735" t="s">
        <v>8826</v>
      </c>
    </row>
    <row r="1736" spans="1:10" x14ac:dyDescent="0.3">
      <c r="A1736">
        <v>158</v>
      </c>
      <c r="B1736">
        <v>40218903</v>
      </c>
      <c r="C1736" t="s">
        <v>1417</v>
      </c>
      <c r="D1736" t="s">
        <v>4041</v>
      </c>
      <c r="E1736" t="s">
        <v>4042</v>
      </c>
      <c r="F1736" t="s">
        <v>7</v>
      </c>
      <c r="G1736" t="s">
        <v>8</v>
      </c>
      <c r="H1736">
        <v>25000000</v>
      </c>
      <c r="I1736">
        <v>6.9</v>
      </c>
      <c r="J1736" t="s">
        <v>8456</v>
      </c>
    </row>
    <row r="1737" spans="1:10" x14ac:dyDescent="0.3">
      <c r="A1737">
        <v>85</v>
      </c>
      <c r="B1737">
        <v>39880476</v>
      </c>
      <c r="C1737" t="s">
        <v>96</v>
      </c>
      <c r="D1737" t="s">
        <v>4043</v>
      </c>
      <c r="E1737" t="s">
        <v>4044</v>
      </c>
      <c r="F1737" t="s">
        <v>7</v>
      </c>
      <c r="G1737" t="s">
        <v>8</v>
      </c>
      <c r="H1737">
        <v>25000000</v>
      </c>
      <c r="I1737">
        <v>5.8</v>
      </c>
      <c r="J1737" t="s">
        <v>8470</v>
      </c>
    </row>
    <row r="1738" spans="1:10" x14ac:dyDescent="0.3">
      <c r="A1738">
        <v>80</v>
      </c>
      <c r="B1738">
        <v>39399750</v>
      </c>
      <c r="C1738" t="s">
        <v>312</v>
      </c>
      <c r="D1738" t="s">
        <v>4045</v>
      </c>
      <c r="E1738" t="s">
        <v>4046</v>
      </c>
      <c r="F1738" t="s">
        <v>7</v>
      </c>
      <c r="G1738" t="s">
        <v>8</v>
      </c>
      <c r="H1738">
        <v>25000000</v>
      </c>
      <c r="I1738">
        <v>6.6</v>
      </c>
      <c r="J1738" t="s">
        <v>8495</v>
      </c>
    </row>
    <row r="1739" spans="1:10" x14ac:dyDescent="0.3">
      <c r="A1739">
        <v>86</v>
      </c>
      <c r="B1739">
        <v>38230435</v>
      </c>
      <c r="C1739" t="s">
        <v>879</v>
      </c>
      <c r="D1739" t="s">
        <v>4047</v>
      </c>
      <c r="E1739" t="s">
        <v>4048</v>
      </c>
      <c r="F1739" t="s">
        <v>7</v>
      </c>
      <c r="G1739" t="s">
        <v>8</v>
      </c>
      <c r="H1739">
        <v>25000000</v>
      </c>
      <c r="I1739">
        <v>6.7</v>
      </c>
      <c r="J1739" t="s">
        <v>8937</v>
      </c>
    </row>
    <row r="1740" spans="1:10" x14ac:dyDescent="0.3">
      <c r="A1740">
        <v>119</v>
      </c>
      <c r="B1740">
        <v>39008741</v>
      </c>
      <c r="C1740" t="s">
        <v>3842</v>
      </c>
      <c r="D1740" t="s">
        <v>4049</v>
      </c>
      <c r="E1740" t="s">
        <v>4050</v>
      </c>
      <c r="F1740" t="s">
        <v>7</v>
      </c>
      <c r="G1740" t="s">
        <v>8</v>
      </c>
      <c r="H1740">
        <v>25000000</v>
      </c>
      <c r="I1740">
        <v>6.7</v>
      </c>
      <c r="J1740" t="s">
        <v>8646</v>
      </c>
    </row>
    <row r="1741" spans="1:10" x14ac:dyDescent="0.3">
      <c r="A1741">
        <v>98</v>
      </c>
      <c r="B1741">
        <v>36833473</v>
      </c>
      <c r="C1741" t="s">
        <v>164</v>
      </c>
      <c r="D1741" t="s">
        <v>4051</v>
      </c>
      <c r="E1741" t="s">
        <v>4052</v>
      </c>
      <c r="F1741" t="s">
        <v>7</v>
      </c>
      <c r="G1741" t="s">
        <v>583</v>
      </c>
      <c r="H1741">
        <v>25000000</v>
      </c>
      <c r="I1741">
        <v>6.3</v>
      </c>
      <c r="J1741" t="s">
        <v>8908</v>
      </c>
    </row>
    <row r="1742" spans="1:10" x14ac:dyDescent="0.3">
      <c r="A1742">
        <v>97</v>
      </c>
      <c r="B1742">
        <v>48237389</v>
      </c>
      <c r="C1742" t="s">
        <v>672</v>
      </c>
      <c r="D1742" t="s">
        <v>4053</v>
      </c>
      <c r="E1742" t="s">
        <v>4054</v>
      </c>
      <c r="F1742" t="s">
        <v>7</v>
      </c>
      <c r="G1742" t="s">
        <v>8</v>
      </c>
      <c r="H1742">
        <v>25000000</v>
      </c>
      <c r="I1742">
        <v>7.7</v>
      </c>
      <c r="J1742" t="s">
        <v>8363</v>
      </c>
    </row>
    <row r="1743" spans="1:10" x14ac:dyDescent="0.3">
      <c r="A1743">
        <v>124</v>
      </c>
      <c r="B1743">
        <v>36447959</v>
      </c>
      <c r="C1743" t="s">
        <v>653</v>
      </c>
      <c r="D1743" t="s">
        <v>4055</v>
      </c>
      <c r="E1743" t="s">
        <v>4056</v>
      </c>
      <c r="F1743" t="s">
        <v>7</v>
      </c>
      <c r="G1743" t="s">
        <v>8</v>
      </c>
      <c r="H1743">
        <v>25000000</v>
      </c>
      <c r="I1743">
        <v>6.1</v>
      </c>
      <c r="J1743" t="s">
        <v>8662</v>
      </c>
    </row>
    <row r="1744" spans="1:10" x14ac:dyDescent="0.3">
      <c r="A1744">
        <v>97</v>
      </c>
      <c r="B1744">
        <v>45089048</v>
      </c>
      <c r="C1744" t="s">
        <v>2308</v>
      </c>
      <c r="D1744" t="s">
        <v>4057</v>
      </c>
      <c r="E1744" t="s">
        <v>4058</v>
      </c>
      <c r="F1744" t="s">
        <v>7</v>
      </c>
      <c r="G1744" t="s">
        <v>3461</v>
      </c>
      <c r="H1744">
        <v>25000000</v>
      </c>
      <c r="I1744">
        <v>4.9000000000000004</v>
      </c>
      <c r="J1744" t="s">
        <v>8773</v>
      </c>
    </row>
    <row r="1745" spans="1:10" x14ac:dyDescent="0.3">
      <c r="A1745">
        <v>105</v>
      </c>
      <c r="B1745">
        <v>35990505</v>
      </c>
      <c r="C1745" t="s">
        <v>3842</v>
      </c>
      <c r="D1745" t="s">
        <v>4059</v>
      </c>
      <c r="E1745" t="s">
        <v>4060</v>
      </c>
      <c r="F1745" t="s">
        <v>7</v>
      </c>
      <c r="G1745" t="s">
        <v>8</v>
      </c>
      <c r="H1745">
        <v>20000000</v>
      </c>
      <c r="I1745">
        <v>6.2</v>
      </c>
      <c r="J1745" t="s">
        <v>9053</v>
      </c>
    </row>
    <row r="1746" spans="1:10" x14ac:dyDescent="0.3">
      <c r="A1746">
        <v>104</v>
      </c>
      <c r="B1746">
        <v>35143332</v>
      </c>
      <c r="C1746" t="s">
        <v>2701</v>
      </c>
      <c r="D1746" t="s">
        <v>4061</v>
      </c>
      <c r="E1746" t="s">
        <v>4062</v>
      </c>
      <c r="F1746" t="s">
        <v>7</v>
      </c>
      <c r="G1746" t="s">
        <v>8</v>
      </c>
      <c r="H1746">
        <v>17000000</v>
      </c>
      <c r="I1746">
        <v>7.8</v>
      </c>
      <c r="J1746" t="s">
        <v>8390</v>
      </c>
    </row>
    <row r="1747" spans="1:10" x14ac:dyDescent="0.3">
      <c r="A1747">
        <v>101</v>
      </c>
      <c r="B1747">
        <v>35000629</v>
      </c>
      <c r="C1747" t="s">
        <v>672</v>
      </c>
      <c r="D1747" t="s">
        <v>4063</v>
      </c>
      <c r="E1747" t="s">
        <v>4064</v>
      </c>
      <c r="F1747" t="s">
        <v>7</v>
      </c>
      <c r="G1747" t="s">
        <v>8</v>
      </c>
      <c r="H1747">
        <v>25000000</v>
      </c>
      <c r="I1747">
        <v>8.1999999999999993</v>
      </c>
      <c r="J1747" t="s">
        <v>8312</v>
      </c>
    </row>
    <row r="1748" spans="1:10" x14ac:dyDescent="0.3">
      <c r="A1748">
        <v>101</v>
      </c>
      <c r="B1748">
        <v>34604054</v>
      </c>
      <c r="C1748" t="s">
        <v>164</v>
      </c>
      <c r="D1748" t="s">
        <v>4065</v>
      </c>
      <c r="E1748" t="s">
        <v>4066</v>
      </c>
      <c r="F1748" t="s">
        <v>7</v>
      </c>
      <c r="G1748" t="s">
        <v>8</v>
      </c>
      <c r="H1748">
        <v>30000000</v>
      </c>
      <c r="I1748">
        <v>6.9</v>
      </c>
      <c r="J1748" t="s">
        <v>8602</v>
      </c>
    </row>
    <row r="1749" spans="1:10" x14ac:dyDescent="0.3">
      <c r="A1749">
        <v>114</v>
      </c>
      <c r="B1749">
        <v>41597830</v>
      </c>
      <c r="C1749" t="s">
        <v>73</v>
      </c>
      <c r="D1749" t="s">
        <v>4067</v>
      </c>
      <c r="E1749" t="s">
        <v>4068</v>
      </c>
      <c r="F1749" t="s">
        <v>7</v>
      </c>
      <c r="G1749" t="s">
        <v>8</v>
      </c>
      <c r="H1749">
        <v>25000000</v>
      </c>
      <c r="I1749">
        <v>6.2</v>
      </c>
      <c r="J1749" t="s">
        <v>8326</v>
      </c>
    </row>
    <row r="1750" spans="1:10" x14ac:dyDescent="0.3">
      <c r="A1750">
        <v>105</v>
      </c>
      <c r="B1750">
        <v>33687630</v>
      </c>
      <c r="C1750" t="s">
        <v>672</v>
      </c>
      <c r="D1750" t="s">
        <v>4069</v>
      </c>
      <c r="E1750" t="s">
        <v>4070</v>
      </c>
      <c r="F1750" t="s">
        <v>7</v>
      </c>
      <c r="G1750" t="s">
        <v>8</v>
      </c>
      <c r="H1750">
        <v>20000000</v>
      </c>
      <c r="I1750">
        <v>6.9</v>
      </c>
      <c r="J1750" t="s">
        <v>9054</v>
      </c>
    </row>
    <row r="1751" spans="1:10" x14ac:dyDescent="0.3">
      <c r="A1751">
        <v>90</v>
      </c>
      <c r="B1751">
        <v>32553210</v>
      </c>
      <c r="C1751" t="s">
        <v>1261</v>
      </c>
      <c r="D1751" t="s">
        <v>4071</v>
      </c>
      <c r="E1751" t="s">
        <v>4072</v>
      </c>
      <c r="F1751" t="s">
        <v>7</v>
      </c>
      <c r="G1751" t="s">
        <v>15</v>
      </c>
      <c r="H1751">
        <v>25000000</v>
      </c>
      <c r="I1751">
        <v>4.8</v>
      </c>
      <c r="J1751" t="s">
        <v>9055</v>
      </c>
    </row>
    <row r="1752" spans="1:10" x14ac:dyDescent="0.3">
      <c r="A1752">
        <v>97</v>
      </c>
      <c r="B1752">
        <v>31526393</v>
      </c>
      <c r="C1752" t="s">
        <v>2426</v>
      </c>
      <c r="D1752" t="s">
        <v>4073</v>
      </c>
      <c r="E1752" t="s">
        <v>4074</v>
      </c>
      <c r="F1752" t="s">
        <v>7</v>
      </c>
      <c r="G1752" t="s">
        <v>8</v>
      </c>
      <c r="H1752">
        <v>25000000</v>
      </c>
      <c r="I1752">
        <v>8</v>
      </c>
      <c r="J1752" t="s">
        <v>8555</v>
      </c>
    </row>
    <row r="1753" spans="1:10" x14ac:dyDescent="0.3">
      <c r="A1753">
        <v>144</v>
      </c>
      <c r="B1753">
        <v>41229</v>
      </c>
      <c r="C1753" t="s">
        <v>873</v>
      </c>
      <c r="D1753" t="s">
        <v>4075</v>
      </c>
      <c r="E1753" t="s">
        <v>4076</v>
      </c>
      <c r="F1753" t="s">
        <v>7</v>
      </c>
      <c r="G1753" t="s">
        <v>583</v>
      </c>
      <c r="H1753">
        <v>25500000</v>
      </c>
      <c r="I1753">
        <v>5.3</v>
      </c>
      <c r="J1753" t="s">
        <v>8665</v>
      </c>
    </row>
    <row r="1754" spans="1:10" x14ac:dyDescent="0.3">
      <c r="A1754">
        <v>114</v>
      </c>
      <c r="B1754">
        <v>31655091</v>
      </c>
      <c r="C1754" t="s">
        <v>2605</v>
      </c>
      <c r="D1754" t="s">
        <v>4077</v>
      </c>
      <c r="E1754" t="s">
        <v>4078</v>
      </c>
      <c r="F1754" t="s">
        <v>7</v>
      </c>
      <c r="G1754" t="s">
        <v>8</v>
      </c>
      <c r="H1754">
        <v>30000000</v>
      </c>
      <c r="I1754">
        <v>6.7</v>
      </c>
      <c r="J1754" t="s">
        <v>8483</v>
      </c>
    </row>
    <row r="1755" spans="1:10" x14ac:dyDescent="0.3">
      <c r="A1755">
        <v>124</v>
      </c>
      <c r="B1755">
        <v>30012990</v>
      </c>
      <c r="C1755" t="s">
        <v>2495</v>
      </c>
      <c r="D1755" t="s">
        <v>4079</v>
      </c>
      <c r="E1755" t="s">
        <v>4080</v>
      </c>
      <c r="F1755" t="s">
        <v>7</v>
      </c>
      <c r="G1755" t="s">
        <v>15</v>
      </c>
      <c r="H1755">
        <v>25000000</v>
      </c>
      <c r="I1755">
        <v>5.4</v>
      </c>
      <c r="J1755" t="s">
        <v>8649</v>
      </c>
    </row>
    <row r="1756" spans="1:10" x14ac:dyDescent="0.3">
      <c r="A1756">
        <v>89</v>
      </c>
      <c r="B1756">
        <v>32368960</v>
      </c>
      <c r="C1756" t="s">
        <v>4081</v>
      </c>
      <c r="D1756" t="s">
        <v>4082</v>
      </c>
      <c r="E1756" t="s">
        <v>4083</v>
      </c>
      <c r="F1756" t="s">
        <v>7</v>
      </c>
      <c r="G1756" t="s">
        <v>95</v>
      </c>
      <c r="H1756">
        <v>25000000</v>
      </c>
      <c r="I1756">
        <v>5.4</v>
      </c>
      <c r="J1756" t="s">
        <v>8921</v>
      </c>
    </row>
    <row r="1757" spans="1:10" x14ac:dyDescent="0.3">
      <c r="A1757">
        <v>160</v>
      </c>
      <c r="B1757">
        <v>14500000</v>
      </c>
      <c r="C1757" t="s">
        <v>389</v>
      </c>
      <c r="D1757" t="s">
        <v>4084</v>
      </c>
      <c r="E1757" t="s">
        <v>4085</v>
      </c>
      <c r="F1757" t="s">
        <v>7</v>
      </c>
      <c r="G1757" t="s">
        <v>248</v>
      </c>
      <c r="H1757">
        <v>25000000</v>
      </c>
      <c r="I1757">
        <v>4.9000000000000004</v>
      </c>
      <c r="J1757" t="s">
        <v>8762</v>
      </c>
    </row>
    <row r="1758" spans="1:10" x14ac:dyDescent="0.3">
      <c r="A1758">
        <v>93</v>
      </c>
      <c r="B1758">
        <v>29247405</v>
      </c>
      <c r="C1758" t="s">
        <v>4086</v>
      </c>
      <c r="D1758" t="s">
        <v>4087</v>
      </c>
      <c r="E1758" t="s">
        <v>4088</v>
      </c>
      <c r="F1758" t="s">
        <v>7</v>
      </c>
      <c r="G1758" t="s">
        <v>15</v>
      </c>
      <c r="H1758">
        <v>25000000</v>
      </c>
      <c r="I1758">
        <v>6.1</v>
      </c>
      <c r="J1758" t="s">
        <v>8766</v>
      </c>
    </row>
    <row r="1759" spans="1:10" x14ac:dyDescent="0.3">
      <c r="A1759">
        <v>88</v>
      </c>
      <c r="B1759">
        <v>25615792</v>
      </c>
      <c r="C1759" t="s">
        <v>4089</v>
      </c>
      <c r="D1759" t="s">
        <v>4090</v>
      </c>
      <c r="E1759" t="s">
        <v>4091</v>
      </c>
      <c r="F1759" t="s">
        <v>7</v>
      </c>
      <c r="G1759" t="s">
        <v>8</v>
      </c>
      <c r="H1759">
        <v>25000000</v>
      </c>
      <c r="I1759">
        <v>5.8</v>
      </c>
      <c r="J1759" t="s">
        <v>8820</v>
      </c>
    </row>
    <row r="1760" spans="1:10" x14ac:dyDescent="0.3">
      <c r="A1760">
        <v>142</v>
      </c>
      <c r="B1760">
        <v>28341469</v>
      </c>
      <c r="C1760" t="s">
        <v>786</v>
      </c>
      <c r="D1760" t="s">
        <v>4092</v>
      </c>
      <c r="E1760" t="s">
        <v>4093</v>
      </c>
      <c r="F1760" t="s">
        <v>7</v>
      </c>
      <c r="G1760" t="s">
        <v>8</v>
      </c>
      <c r="H1760">
        <v>25000000</v>
      </c>
      <c r="I1760">
        <v>7</v>
      </c>
      <c r="J1760" t="s">
        <v>8342</v>
      </c>
    </row>
    <row r="1761" spans="1:10" x14ac:dyDescent="0.3">
      <c r="A1761">
        <v>92</v>
      </c>
      <c r="B1761">
        <v>25590119</v>
      </c>
      <c r="C1761" t="s">
        <v>4094</v>
      </c>
      <c r="D1761" t="s">
        <v>4095</v>
      </c>
      <c r="E1761" t="s">
        <v>4096</v>
      </c>
      <c r="F1761" t="s">
        <v>7</v>
      </c>
      <c r="G1761" t="s">
        <v>132</v>
      </c>
      <c r="H1761">
        <v>21150000</v>
      </c>
      <c r="I1761">
        <v>6.5</v>
      </c>
      <c r="J1761" t="s">
        <v>9056</v>
      </c>
    </row>
    <row r="1762" spans="1:10" x14ac:dyDescent="0.3">
      <c r="A1762">
        <v>117</v>
      </c>
      <c r="B1762">
        <v>24944213</v>
      </c>
      <c r="C1762" t="s">
        <v>1632</v>
      </c>
      <c r="D1762" t="s">
        <v>4097</v>
      </c>
      <c r="E1762" t="s">
        <v>4098</v>
      </c>
      <c r="F1762" t="s">
        <v>7</v>
      </c>
      <c r="G1762" t="s">
        <v>8</v>
      </c>
      <c r="H1762">
        <v>27000000</v>
      </c>
      <c r="I1762">
        <v>6.6</v>
      </c>
      <c r="J1762" t="s">
        <v>9057</v>
      </c>
    </row>
    <row r="1763" spans="1:10" x14ac:dyDescent="0.3">
      <c r="A1763">
        <v>111</v>
      </c>
      <c r="B1763">
        <v>33631221</v>
      </c>
      <c r="C1763" t="s">
        <v>873</v>
      </c>
      <c r="D1763" t="s">
        <v>4099</v>
      </c>
      <c r="E1763" t="s">
        <v>4100</v>
      </c>
      <c r="F1763" t="s">
        <v>7</v>
      </c>
      <c r="G1763" t="s">
        <v>8</v>
      </c>
      <c r="H1763">
        <v>25000000</v>
      </c>
      <c r="I1763">
        <v>6.1</v>
      </c>
      <c r="J1763" t="s">
        <v>9058</v>
      </c>
    </row>
    <row r="1764" spans="1:10" x14ac:dyDescent="0.3">
      <c r="A1764">
        <v>121</v>
      </c>
      <c r="B1764">
        <v>37738400</v>
      </c>
      <c r="C1764" t="s">
        <v>1417</v>
      </c>
      <c r="D1764" t="s">
        <v>4101</v>
      </c>
      <c r="E1764" t="s">
        <v>4102</v>
      </c>
      <c r="F1764" t="s">
        <v>7</v>
      </c>
      <c r="G1764" t="s">
        <v>8</v>
      </c>
      <c r="H1764">
        <v>25000000</v>
      </c>
      <c r="I1764">
        <v>5.7</v>
      </c>
      <c r="J1764" t="s">
        <v>9059</v>
      </c>
    </row>
    <row r="1765" spans="1:10" x14ac:dyDescent="0.3">
      <c r="A1765">
        <v>107</v>
      </c>
      <c r="B1765">
        <v>21835784</v>
      </c>
      <c r="C1765" t="s">
        <v>561</v>
      </c>
      <c r="D1765" t="s">
        <v>4103</v>
      </c>
      <c r="E1765" t="s">
        <v>4104</v>
      </c>
      <c r="F1765" t="s">
        <v>7</v>
      </c>
      <c r="G1765" t="s">
        <v>8</v>
      </c>
      <c r="H1765">
        <v>30000000</v>
      </c>
      <c r="I1765">
        <v>6.6</v>
      </c>
      <c r="J1765" t="s">
        <v>8826</v>
      </c>
    </row>
    <row r="1766" spans="1:10" x14ac:dyDescent="0.3">
      <c r="A1766">
        <v>106</v>
      </c>
      <c r="B1766">
        <v>15785632</v>
      </c>
      <c r="C1766" t="s">
        <v>4105</v>
      </c>
      <c r="D1766" t="s">
        <v>4106</v>
      </c>
      <c r="E1766" t="s">
        <v>4107</v>
      </c>
      <c r="F1766" t="s">
        <v>7</v>
      </c>
      <c r="G1766" t="s">
        <v>15</v>
      </c>
      <c r="H1766">
        <v>23000000</v>
      </c>
      <c r="I1766">
        <v>7</v>
      </c>
      <c r="J1766" t="s">
        <v>8580</v>
      </c>
    </row>
    <row r="1767" spans="1:10" x14ac:dyDescent="0.3">
      <c r="A1767">
        <v>136</v>
      </c>
      <c r="B1767">
        <v>21554585</v>
      </c>
      <c r="C1767" t="s">
        <v>1578</v>
      </c>
      <c r="D1767" t="s">
        <v>4108</v>
      </c>
      <c r="E1767" t="s">
        <v>4109</v>
      </c>
      <c r="F1767" t="s">
        <v>7</v>
      </c>
      <c r="G1767" t="s">
        <v>8</v>
      </c>
      <c r="H1767">
        <v>25000000</v>
      </c>
      <c r="I1767">
        <v>7.4</v>
      </c>
      <c r="J1767" t="s">
        <v>8843</v>
      </c>
    </row>
    <row r="1768" spans="1:10" x14ac:dyDescent="0.3">
      <c r="A1768">
        <v>97</v>
      </c>
      <c r="B1768">
        <v>22200000</v>
      </c>
      <c r="C1768" t="s">
        <v>561</v>
      </c>
      <c r="D1768" t="s">
        <v>4110</v>
      </c>
      <c r="E1768" t="s">
        <v>4111</v>
      </c>
      <c r="F1768" t="s">
        <v>7</v>
      </c>
      <c r="G1768" t="s">
        <v>8</v>
      </c>
      <c r="H1768">
        <v>25000000</v>
      </c>
      <c r="I1768">
        <v>5.3</v>
      </c>
      <c r="J1768" t="s">
        <v>8872</v>
      </c>
    </row>
    <row r="1769" spans="1:10" x14ac:dyDescent="0.3">
      <c r="A1769">
        <v>108</v>
      </c>
      <c r="B1769">
        <v>80014842</v>
      </c>
      <c r="C1769" t="s">
        <v>2353</v>
      </c>
      <c r="D1769" t="s">
        <v>4112</v>
      </c>
      <c r="E1769" t="s">
        <v>4113</v>
      </c>
      <c r="F1769" t="s">
        <v>7</v>
      </c>
      <c r="G1769" t="s">
        <v>8</v>
      </c>
      <c r="H1769">
        <v>25000000</v>
      </c>
      <c r="I1769">
        <v>7.4</v>
      </c>
      <c r="J1769" t="s">
        <v>9060</v>
      </c>
    </row>
    <row r="1770" spans="1:10" x14ac:dyDescent="0.3">
      <c r="A1770">
        <v>97</v>
      </c>
      <c r="B1770">
        <v>23527955</v>
      </c>
      <c r="C1770" t="s">
        <v>436</v>
      </c>
      <c r="D1770" t="s">
        <v>4114</v>
      </c>
      <c r="E1770" t="s">
        <v>4115</v>
      </c>
      <c r="F1770" t="s">
        <v>7</v>
      </c>
      <c r="G1770" t="s">
        <v>8</v>
      </c>
      <c r="H1770">
        <v>25000000</v>
      </c>
      <c r="I1770">
        <v>7.4</v>
      </c>
      <c r="J1770" t="s">
        <v>9061</v>
      </c>
    </row>
    <row r="1771" spans="1:10" x14ac:dyDescent="0.3">
      <c r="A1771">
        <v>99</v>
      </c>
      <c r="B1771">
        <v>24042490</v>
      </c>
      <c r="C1771" t="s">
        <v>4116</v>
      </c>
      <c r="D1771" t="s">
        <v>4117</v>
      </c>
      <c r="E1771" t="s">
        <v>4118</v>
      </c>
      <c r="F1771" t="s">
        <v>7</v>
      </c>
      <c r="G1771" t="s">
        <v>8</v>
      </c>
      <c r="H1771">
        <v>25000000</v>
      </c>
      <c r="I1771">
        <v>6.8</v>
      </c>
      <c r="J1771" t="s">
        <v>8375</v>
      </c>
    </row>
    <row r="1772" spans="1:10" x14ac:dyDescent="0.3">
      <c r="A1772">
        <v>95</v>
      </c>
      <c r="B1772">
        <v>17791031</v>
      </c>
      <c r="C1772" t="s">
        <v>4119</v>
      </c>
      <c r="D1772" t="s">
        <v>4120</v>
      </c>
      <c r="E1772" t="s">
        <v>4121</v>
      </c>
      <c r="F1772" t="s">
        <v>7</v>
      </c>
      <c r="G1772" t="s">
        <v>8</v>
      </c>
      <c r="H1772">
        <v>25000000</v>
      </c>
      <c r="I1772">
        <v>7.2</v>
      </c>
      <c r="J1772" t="s">
        <v>9062</v>
      </c>
    </row>
    <row r="1773" spans="1:10" x14ac:dyDescent="0.3">
      <c r="A1773">
        <v>93</v>
      </c>
      <c r="B1773">
        <v>17718223</v>
      </c>
      <c r="C1773" t="s">
        <v>668</v>
      </c>
      <c r="D1773" t="s">
        <v>4122</v>
      </c>
      <c r="E1773" t="s">
        <v>4123</v>
      </c>
      <c r="F1773" t="s">
        <v>7</v>
      </c>
      <c r="G1773" t="s">
        <v>8</v>
      </c>
      <c r="H1773">
        <v>25000000</v>
      </c>
      <c r="I1773">
        <v>6</v>
      </c>
      <c r="J1773" t="s">
        <v>9063</v>
      </c>
    </row>
    <row r="1774" spans="1:10" x14ac:dyDescent="0.3">
      <c r="A1774">
        <v>98</v>
      </c>
      <c r="B1774">
        <v>15361537</v>
      </c>
      <c r="C1774" t="s">
        <v>118</v>
      </c>
      <c r="D1774" t="s">
        <v>4124</v>
      </c>
      <c r="E1774" t="s">
        <v>4125</v>
      </c>
      <c r="F1774" t="s">
        <v>7</v>
      </c>
      <c r="G1774" t="s">
        <v>284</v>
      </c>
      <c r="H1774">
        <v>13000000</v>
      </c>
      <c r="I1774">
        <v>7.8</v>
      </c>
      <c r="J1774" t="s">
        <v>8341</v>
      </c>
    </row>
    <row r="1775" spans="1:10" x14ac:dyDescent="0.3">
      <c r="A1775">
        <v>90</v>
      </c>
      <c r="B1775">
        <v>16647384</v>
      </c>
      <c r="C1775" t="s">
        <v>4126</v>
      </c>
      <c r="D1775" t="s">
        <v>4127</v>
      </c>
      <c r="E1775" t="s">
        <v>4128</v>
      </c>
      <c r="F1775" t="s">
        <v>7</v>
      </c>
      <c r="G1775" t="s">
        <v>8</v>
      </c>
      <c r="H1775">
        <v>26000000</v>
      </c>
      <c r="I1775">
        <v>6.6</v>
      </c>
      <c r="J1775" t="s">
        <v>8742</v>
      </c>
    </row>
    <row r="1776" spans="1:10" x14ac:dyDescent="0.3">
      <c r="A1776">
        <v>107</v>
      </c>
      <c r="B1776">
        <v>16118077</v>
      </c>
      <c r="C1776" t="s">
        <v>1417</v>
      </c>
      <c r="D1776" t="s">
        <v>4129</v>
      </c>
      <c r="E1776" t="s">
        <v>4130</v>
      </c>
      <c r="F1776" t="s">
        <v>7</v>
      </c>
      <c r="G1776" t="s">
        <v>8</v>
      </c>
      <c r="H1776">
        <v>25000000</v>
      </c>
      <c r="I1776">
        <v>7.9</v>
      </c>
      <c r="J1776" t="s">
        <v>8752</v>
      </c>
    </row>
    <row r="1777" spans="1:10" x14ac:dyDescent="0.3">
      <c r="A1777">
        <v>90</v>
      </c>
      <c r="B1777">
        <v>15091542</v>
      </c>
      <c r="C1777" t="s">
        <v>4131</v>
      </c>
      <c r="D1777" t="s">
        <v>4132</v>
      </c>
      <c r="E1777" t="s">
        <v>4133</v>
      </c>
      <c r="F1777" t="s">
        <v>4134</v>
      </c>
      <c r="G1777" t="s">
        <v>15</v>
      </c>
      <c r="H1777">
        <v>25000000</v>
      </c>
      <c r="I1777">
        <v>6.2</v>
      </c>
      <c r="J1777" t="s">
        <v>9064</v>
      </c>
    </row>
    <row r="1778" spans="1:10" x14ac:dyDescent="0.3">
      <c r="A1778">
        <v>115</v>
      </c>
      <c r="B1778">
        <v>15045676</v>
      </c>
      <c r="C1778" t="s">
        <v>1389</v>
      </c>
      <c r="D1778" t="s">
        <v>4135</v>
      </c>
      <c r="E1778" t="s">
        <v>4136</v>
      </c>
      <c r="F1778" t="s">
        <v>7</v>
      </c>
      <c r="G1778" t="s">
        <v>8</v>
      </c>
      <c r="H1778">
        <v>16000000</v>
      </c>
      <c r="I1778">
        <v>5.7</v>
      </c>
      <c r="J1778" t="s">
        <v>9065</v>
      </c>
    </row>
    <row r="1779" spans="1:10" x14ac:dyDescent="0.3">
      <c r="A1779">
        <v>93</v>
      </c>
      <c r="B1779">
        <v>17427926</v>
      </c>
      <c r="C1779" t="s">
        <v>2701</v>
      </c>
      <c r="D1779" t="s">
        <v>4137</v>
      </c>
      <c r="E1779" t="s">
        <v>4138</v>
      </c>
      <c r="F1779" t="s">
        <v>7</v>
      </c>
      <c r="G1779" t="s">
        <v>8</v>
      </c>
      <c r="H1779">
        <v>8000000</v>
      </c>
      <c r="I1779">
        <v>7.1</v>
      </c>
      <c r="J1779" t="s">
        <v>8313</v>
      </c>
    </row>
    <row r="1780" spans="1:10" x14ac:dyDescent="0.3">
      <c r="A1780">
        <v>99</v>
      </c>
      <c r="B1780">
        <v>14983572</v>
      </c>
      <c r="C1780" t="s">
        <v>561</v>
      </c>
      <c r="D1780" t="s">
        <v>4139</v>
      </c>
      <c r="E1780" t="s">
        <v>4140</v>
      </c>
      <c r="F1780" t="s">
        <v>7</v>
      </c>
      <c r="G1780" t="s">
        <v>8</v>
      </c>
      <c r="H1780">
        <v>25000000</v>
      </c>
      <c r="I1780">
        <v>5.6</v>
      </c>
      <c r="J1780" t="s">
        <v>8894</v>
      </c>
    </row>
    <row r="1781" spans="1:10" x14ac:dyDescent="0.3">
      <c r="A1781">
        <v>107</v>
      </c>
      <c r="B1781">
        <v>14637490</v>
      </c>
      <c r="C1781" t="s">
        <v>1249</v>
      </c>
      <c r="D1781" t="s">
        <v>4141</v>
      </c>
      <c r="E1781" t="s">
        <v>4142</v>
      </c>
      <c r="F1781" t="s">
        <v>7</v>
      </c>
      <c r="G1781" t="s">
        <v>8</v>
      </c>
      <c r="H1781">
        <v>25000000</v>
      </c>
      <c r="I1781">
        <v>7.8</v>
      </c>
      <c r="J1781" t="s">
        <v>8817</v>
      </c>
    </row>
    <row r="1782" spans="1:10" x14ac:dyDescent="0.3">
      <c r="A1782">
        <v>110</v>
      </c>
      <c r="B1782">
        <v>14589444</v>
      </c>
      <c r="C1782" t="s">
        <v>561</v>
      </c>
      <c r="D1782" t="s">
        <v>4143</v>
      </c>
      <c r="E1782" t="s">
        <v>4144</v>
      </c>
      <c r="F1782" t="s">
        <v>7</v>
      </c>
      <c r="G1782" t="s">
        <v>8</v>
      </c>
      <c r="H1782">
        <v>25000000</v>
      </c>
      <c r="I1782">
        <v>7.9</v>
      </c>
      <c r="J1782" t="s">
        <v>9066</v>
      </c>
    </row>
    <row r="1783" spans="1:10" x14ac:dyDescent="0.3">
      <c r="A1783">
        <v>101</v>
      </c>
      <c r="B1783">
        <v>14095303</v>
      </c>
      <c r="C1783" t="s">
        <v>1113</v>
      </c>
      <c r="D1783" t="s">
        <v>4145</v>
      </c>
      <c r="E1783" t="s">
        <v>4146</v>
      </c>
      <c r="F1783" t="s">
        <v>7</v>
      </c>
      <c r="G1783" t="s">
        <v>8</v>
      </c>
      <c r="H1783">
        <v>25000000</v>
      </c>
      <c r="I1783">
        <v>6.9</v>
      </c>
      <c r="J1783" t="s">
        <v>8336</v>
      </c>
    </row>
    <row r="1784" spans="1:10" x14ac:dyDescent="0.3">
      <c r="A1784">
        <v>85</v>
      </c>
      <c r="B1784">
        <v>13973532</v>
      </c>
      <c r="C1784" t="s">
        <v>386</v>
      </c>
      <c r="D1784" t="s">
        <v>4147</v>
      </c>
      <c r="E1784" t="s">
        <v>4148</v>
      </c>
      <c r="F1784" t="s">
        <v>7</v>
      </c>
      <c r="G1784" t="s">
        <v>8</v>
      </c>
      <c r="H1784">
        <v>25000000</v>
      </c>
      <c r="I1784">
        <v>7.4</v>
      </c>
      <c r="J1784" t="s">
        <v>8366</v>
      </c>
    </row>
    <row r="1785" spans="1:10" x14ac:dyDescent="0.3">
      <c r="A1785">
        <v>132</v>
      </c>
      <c r="B1785">
        <v>1865774</v>
      </c>
      <c r="C1785" t="s">
        <v>4149</v>
      </c>
      <c r="D1785" t="s">
        <v>4150</v>
      </c>
      <c r="E1785" t="s">
        <v>4151</v>
      </c>
      <c r="F1785" t="s">
        <v>7</v>
      </c>
      <c r="G1785" t="s">
        <v>15</v>
      </c>
      <c r="H1785">
        <v>30000000</v>
      </c>
      <c r="I1785">
        <v>7.7</v>
      </c>
      <c r="J1785" t="s">
        <v>8398</v>
      </c>
    </row>
    <row r="1786" spans="1:10" x14ac:dyDescent="0.3">
      <c r="A1786">
        <v>90</v>
      </c>
      <c r="B1786">
        <v>18860403</v>
      </c>
      <c r="C1786" t="s">
        <v>2324</v>
      </c>
      <c r="D1786" t="s">
        <v>4152</v>
      </c>
      <c r="E1786" t="s">
        <v>4153</v>
      </c>
      <c r="F1786" t="s">
        <v>7</v>
      </c>
      <c r="G1786" t="s">
        <v>8</v>
      </c>
      <c r="H1786">
        <v>25000000</v>
      </c>
      <c r="I1786">
        <v>6.9</v>
      </c>
      <c r="J1786" t="s">
        <v>9067</v>
      </c>
    </row>
    <row r="1787" spans="1:10" x14ac:dyDescent="0.3">
      <c r="A1787">
        <v>110</v>
      </c>
      <c r="B1787">
        <v>28831145</v>
      </c>
      <c r="C1787" t="s">
        <v>1578</v>
      </c>
      <c r="D1787" t="s">
        <v>4154</v>
      </c>
      <c r="E1787" t="s">
        <v>4155</v>
      </c>
      <c r="F1787" t="s">
        <v>7</v>
      </c>
      <c r="G1787" t="s">
        <v>8</v>
      </c>
      <c r="H1787">
        <v>25000000</v>
      </c>
      <c r="I1787">
        <v>6.7</v>
      </c>
      <c r="J1787" t="s">
        <v>9068</v>
      </c>
    </row>
    <row r="1788" spans="1:10" x14ac:dyDescent="0.3">
      <c r="A1788">
        <v>122</v>
      </c>
      <c r="B1788">
        <v>11538204</v>
      </c>
      <c r="C1788" t="s">
        <v>4156</v>
      </c>
      <c r="D1788" t="s">
        <v>4157</v>
      </c>
      <c r="E1788" t="s">
        <v>4158</v>
      </c>
      <c r="F1788" t="s">
        <v>7</v>
      </c>
      <c r="G1788" t="s">
        <v>8</v>
      </c>
      <c r="H1788">
        <v>25000000</v>
      </c>
      <c r="I1788">
        <v>6</v>
      </c>
      <c r="J1788" t="s">
        <v>9069</v>
      </c>
    </row>
    <row r="1789" spans="1:10" x14ac:dyDescent="0.3">
      <c r="A1789">
        <v>107</v>
      </c>
      <c r="B1789">
        <v>11008432</v>
      </c>
      <c r="C1789" t="s">
        <v>653</v>
      </c>
      <c r="D1789" t="s">
        <v>4159</v>
      </c>
      <c r="E1789" t="s">
        <v>4160</v>
      </c>
      <c r="F1789" t="s">
        <v>7</v>
      </c>
      <c r="G1789" t="s">
        <v>8</v>
      </c>
      <c r="H1789">
        <v>25000000</v>
      </c>
      <c r="I1789">
        <v>6.2</v>
      </c>
      <c r="J1789" t="s">
        <v>8875</v>
      </c>
    </row>
    <row r="1790" spans="1:10" x14ac:dyDescent="0.3">
      <c r="A1790">
        <v>127</v>
      </c>
      <c r="B1790">
        <v>12188642</v>
      </c>
      <c r="C1790" t="s">
        <v>2495</v>
      </c>
      <c r="D1790" t="s">
        <v>4161</v>
      </c>
      <c r="E1790" t="s">
        <v>4162</v>
      </c>
      <c r="F1790" t="s">
        <v>7</v>
      </c>
      <c r="G1790" t="s">
        <v>4163</v>
      </c>
      <c r="H1790">
        <v>26000000</v>
      </c>
      <c r="I1790">
        <v>5.9</v>
      </c>
      <c r="J1790" t="s">
        <v>9070</v>
      </c>
    </row>
    <row r="1791" spans="1:10" x14ac:dyDescent="0.3">
      <c r="A1791">
        <v>99</v>
      </c>
      <c r="B1791">
        <v>11100000</v>
      </c>
      <c r="C1791" t="s">
        <v>997</v>
      </c>
      <c r="D1791" t="s">
        <v>4164</v>
      </c>
      <c r="E1791" t="s">
        <v>4165</v>
      </c>
      <c r="F1791" t="s">
        <v>7</v>
      </c>
      <c r="G1791" t="s">
        <v>8</v>
      </c>
      <c r="H1791">
        <v>25000000</v>
      </c>
      <c r="I1791">
        <v>6.8</v>
      </c>
      <c r="J1791" t="s">
        <v>9071</v>
      </c>
    </row>
    <row r="1792" spans="1:10" x14ac:dyDescent="0.3">
      <c r="A1792">
        <v>140</v>
      </c>
      <c r="B1792">
        <v>13651662</v>
      </c>
      <c r="C1792" t="s">
        <v>1578</v>
      </c>
      <c r="D1792" t="s">
        <v>4166</v>
      </c>
      <c r="E1792" t="s">
        <v>4167</v>
      </c>
      <c r="F1792" t="s">
        <v>7</v>
      </c>
      <c r="G1792" t="s">
        <v>8</v>
      </c>
      <c r="H1792">
        <v>25000000</v>
      </c>
      <c r="I1792">
        <v>3.6</v>
      </c>
      <c r="J1792" t="s">
        <v>8716</v>
      </c>
    </row>
    <row r="1793" spans="1:10" x14ac:dyDescent="0.3">
      <c r="A1793">
        <v>133</v>
      </c>
      <c r="B1793">
        <v>11030963</v>
      </c>
      <c r="C1793" t="s">
        <v>4168</v>
      </c>
      <c r="D1793" t="s">
        <v>4169</v>
      </c>
      <c r="E1793" t="s">
        <v>4170</v>
      </c>
      <c r="F1793" t="s">
        <v>7</v>
      </c>
      <c r="G1793" t="s">
        <v>15</v>
      </c>
      <c r="H1793">
        <v>28000000</v>
      </c>
      <c r="I1793">
        <v>6.7</v>
      </c>
      <c r="J1793" t="s">
        <v>9072</v>
      </c>
    </row>
    <row r="1794" spans="1:10" x14ac:dyDescent="0.3">
      <c r="A1794">
        <v>271</v>
      </c>
      <c r="B1794">
        <v>10769960</v>
      </c>
      <c r="C1794" t="s">
        <v>799</v>
      </c>
      <c r="D1794" t="s">
        <v>4171</v>
      </c>
      <c r="E1794" t="s">
        <v>4172</v>
      </c>
      <c r="F1794" t="s">
        <v>7</v>
      </c>
      <c r="G1794" t="s">
        <v>8</v>
      </c>
      <c r="H1794">
        <v>25000000</v>
      </c>
      <c r="I1794">
        <v>6.3</v>
      </c>
      <c r="J1794" t="s">
        <v>8941</v>
      </c>
    </row>
    <row r="1795" spans="1:10" x14ac:dyDescent="0.3">
      <c r="A1795">
        <v>112</v>
      </c>
      <c r="B1795">
        <v>10911750</v>
      </c>
      <c r="C1795" t="s">
        <v>1410</v>
      </c>
      <c r="D1795" t="s">
        <v>4173</v>
      </c>
      <c r="E1795" t="s">
        <v>4174</v>
      </c>
      <c r="F1795" t="s">
        <v>7</v>
      </c>
      <c r="G1795" t="s">
        <v>8</v>
      </c>
      <c r="H1795">
        <v>25000000</v>
      </c>
      <c r="I1795">
        <v>6.4</v>
      </c>
      <c r="J1795" t="s">
        <v>8426</v>
      </c>
    </row>
    <row r="1796" spans="1:10" x14ac:dyDescent="0.3">
      <c r="A1796">
        <v>99</v>
      </c>
      <c r="B1796">
        <v>10719367</v>
      </c>
      <c r="C1796" t="s">
        <v>4175</v>
      </c>
      <c r="D1796" t="s">
        <v>4176</v>
      </c>
      <c r="E1796" t="s">
        <v>4177</v>
      </c>
      <c r="F1796" t="s">
        <v>7</v>
      </c>
      <c r="G1796" t="s">
        <v>8</v>
      </c>
      <c r="H1796">
        <v>25000000</v>
      </c>
      <c r="I1796">
        <v>6.4</v>
      </c>
      <c r="J1796" t="s">
        <v>8493</v>
      </c>
    </row>
    <row r="1797" spans="1:10" x14ac:dyDescent="0.3">
      <c r="A1797">
        <v>100</v>
      </c>
      <c r="B1797">
        <v>10114315</v>
      </c>
      <c r="C1797" t="s">
        <v>780</v>
      </c>
      <c r="D1797" t="s">
        <v>4178</v>
      </c>
      <c r="E1797" t="s">
        <v>4179</v>
      </c>
      <c r="F1797" t="s">
        <v>7</v>
      </c>
      <c r="G1797" t="s">
        <v>8</v>
      </c>
      <c r="H1797">
        <v>25000000</v>
      </c>
      <c r="I1797">
        <v>5.7</v>
      </c>
      <c r="J1797" t="s">
        <v>8570</v>
      </c>
    </row>
    <row r="1798" spans="1:10" x14ac:dyDescent="0.3">
      <c r="A1798">
        <v>92</v>
      </c>
      <c r="B1798">
        <v>49122319</v>
      </c>
      <c r="C1798" t="s">
        <v>2324</v>
      </c>
      <c r="D1798" t="s">
        <v>4180</v>
      </c>
      <c r="E1798" t="s">
        <v>4181</v>
      </c>
      <c r="F1798" t="s">
        <v>7</v>
      </c>
      <c r="G1798" t="s">
        <v>8</v>
      </c>
      <c r="H1798">
        <v>14000000</v>
      </c>
      <c r="I1798">
        <v>6.2</v>
      </c>
      <c r="J1798" t="s">
        <v>8889</v>
      </c>
    </row>
    <row r="1799" spans="1:10" x14ac:dyDescent="0.3">
      <c r="A1799">
        <v>105</v>
      </c>
      <c r="B1799">
        <v>10070000</v>
      </c>
      <c r="C1799" t="s">
        <v>561</v>
      </c>
      <c r="D1799" t="s">
        <v>4182</v>
      </c>
      <c r="E1799" t="s">
        <v>4183</v>
      </c>
      <c r="F1799" t="s">
        <v>7</v>
      </c>
      <c r="G1799" t="s">
        <v>8</v>
      </c>
      <c r="H1799">
        <v>25000000</v>
      </c>
      <c r="I1799">
        <v>6.6</v>
      </c>
      <c r="J1799" t="s">
        <v>8379</v>
      </c>
    </row>
    <row r="1800" spans="1:10" x14ac:dyDescent="0.3">
      <c r="A1800">
        <v>110</v>
      </c>
      <c r="B1800">
        <v>10324441</v>
      </c>
      <c r="C1800" t="s">
        <v>351</v>
      </c>
      <c r="D1800" t="s">
        <v>4184</v>
      </c>
      <c r="E1800" t="s">
        <v>4185</v>
      </c>
      <c r="F1800" t="s">
        <v>7</v>
      </c>
      <c r="G1800" t="s">
        <v>8</v>
      </c>
      <c r="H1800">
        <v>25000000</v>
      </c>
      <c r="I1800">
        <v>5.2</v>
      </c>
      <c r="J1800" t="s">
        <v>8581</v>
      </c>
    </row>
    <row r="1801" spans="1:10" x14ac:dyDescent="0.3">
      <c r="A1801">
        <v>116</v>
      </c>
      <c r="B1801">
        <v>7156933</v>
      </c>
      <c r="C1801" t="s">
        <v>1040</v>
      </c>
      <c r="D1801" t="s">
        <v>4186</v>
      </c>
      <c r="E1801" t="s">
        <v>4187</v>
      </c>
      <c r="F1801" t="s">
        <v>7</v>
      </c>
      <c r="G1801" t="s">
        <v>8</v>
      </c>
      <c r="H1801">
        <v>25000000</v>
      </c>
      <c r="I1801">
        <v>6.1</v>
      </c>
      <c r="J1801" t="s">
        <v>8490</v>
      </c>
    </row>
    <row r="1802" spans="1:10" x14ac:dyDescent="0.3">
      <c r="A1802">
        <v>88</v>
      </c>
      <c r="B1802">
        <v>9286314</v>
      </c>
      <c r="C1802" t="s">
        <v>164</v>
      </c>
      <c r="D1802" t="s">
        <v>4188</v>
      </c>
      <c r="E1802" t="s">
        <v>4189</v>
      </c>
      <c r="F1802" t="s">
        <v>7</v>
      </c>
      <c r="G1802" t="s">
        <v>8</v>
      </c>
      <c r="H1802">
        <v>17000000</v>
      </c>
      <c r="I1802">
        <v>7.1</v>
      </c>
      <c r="J1802" t="s">
        <v>8580</v>
      </c>
    </row>
    <row r="1803" spans="1:10" x14ac:dyDescent="0.3">
      <c r="A1803">
        <v>111</v>
      </c>
      <c r="B1803">
        <v>56692</v>
      </c>
      <c r="C1803" t="s">
        <v>2975</v>
      </c>
      <c r="D1803" t="s">
        <v>4190</v>
      </c>
      <c r="E1803" t="s">
        <v>4191</v>
      </c>
      <c r="F1803" t="s">
        <v>7</v>
      </c>
      <c r="G1803" t="s">
        <v>8</v>
      </c>
      <c r="H1803">
        <v>25000000</v>
      </c>
      <c r="I1803">
        <v>7.2</v>
      </c>
      <c r="J1803" t="s">
        <v>8690</v>
      </c>
    </row>
    <row r="1804" spans="1:10" x14ac:dyDescent="0.3">
      <c r="A1804">
        <v>95</v>
      </c>
      <c r="B1804">
        <v>5654777</v>
      </c>
      <c r="C1804" t="s">
        <v>1480</v>
      </c>
      <c r="D1804" t="s">
        <v>4192</v>
      </c>
      <c r="E1804" t="s">
        <v>4193</v>
      </c>
      <c r="F1804" t="s">
        <v>7</v>
      </c>
      <c r="G1804" t="s">
        <v>8</v>
      </c>
      <c r="H1804">
        <v>25000000</v>
      </c>
      <c r="I1804">
        <v>6.5</v>
      </c>
      <c r="J1804" t="s">
        <v>9073</v>
      </c>
    </row>
    <row r="1805" spans="1:10" x14ac:dyDescent="0.3">
      <c r="A1805">
        <v>95</v>
      </c>
      <c r="B1805">
        <v>5516708</v>
      </c>
      <c r="C1805" t="s">
        <v>672</v>
      </c>
      <c r="D1805" t="s">
        <v>4194</v>
      </c>
      <c r="E1805" t="s">
        <v>4195</v>
      </c>
      <c r="F1805" t="s">
        <v>7</v>
      </c>
      <c r="G1805" t="s">
        <v>8</v>
      </c>
      <c r="H1805">
        <v>25000000</v>
      </c>
      <c r="I1805">
        <v>6</v>
      </c>
      <c r="J1805" t="s">
        <v>8539</v>
      </c>
    </row>
    <row r="1806" spans="1:10" x14ac:dyDescent="0.3">
      <c r="A1806">
        <v>127</v>
      </c>
      <c r="B1806">
        <v>5128124</v>
      </c>
      <c r="C1806" t="s">
        <v>653</v>
      </c>
      <c r="D1806" t="s">
        <v>4196</v>
      </c>
      <c r="E1806" t="s">
        <v>4197</v>
      </c>
      <c r="F1806" t="s">
        <v>7</v>
      </c>
      <c r="G1806" t="s">
        <v>59</v>
      </c>
      <c r="H1806">
        <v>25000000</v>
      </c>
      <c r="I1806">
        <v>7</v>
      </c>
      <c r="J1806" t="s">
        <v>8766</v>
      </c>
    </row>
    <row r="1807" spans="1:10" x14ac:dyDescent="0.3">
      <c r="A1807">
        <v>104</v>
      </c>
      <c r="B1807">
        <v>4064333</v>
      </c>
      <c r="C1807" t="s">
        <v>772</v>
      </c>
      <c r="D1807" t="s">
        <v>4198</v>
      </c>
      <c r="E1807" t="s">
        <v>4199</v>
      </c>
      <c r="F1807" t="s">
        <v>7</v>
      </c>
      <c r="G1807" t="s">
        <v>8</v>
      </c>
      <c r="H1807">
        <v>25000000</v>
      </c>
      <c r="I1807">
        <v>7</v>
      </c>
      <c r="J1807" t="s">
        <v>8572</v>
      </c>
    </row>
    <row r="1808" spans="1:10" x14ac:dyDescent="0.3">
      <c r="A1808">
        <v>95</v>
      </c>
      <c r="B1808">
        <v>4006906</v>
      </c>
      <c r="C1808" t="s">
        <v>386</v>
      </c>
      <c r="D1808" t="s">
        <v>4200</v>
      </c>
      <c r="E1808" t="s">
        <v>4201</v>
      </c>
      <c r="F1808" t="s">
        <v>7</v>
      </c>
      <c r="G1808" t="s">
        <v>8</v>
      </c>
      <c r="H1808">
        <v>15000000</v>
      </c>
      <c r="I1808">
        <v>7.5</v>
      </c>
      <c r="J1808" t="s">
        <v>8553</v>
      </c>
    </row>
    <row r="1809" spans="1:10" x14ac:dyDescent="0.3">
      <c r="A1809">
        <v>121</v>
      </c>
      <c r="B1809">
        <v>3073392</v>
      </c>
      <c r="C1809" t="s">
        <v>909</v>
      </c>
      <c r="D1809" t="s">
        <v>4202</v>
      </c>
      <c r="E1809" t="s">
        <v>4203</v>
      </c>
      <c r="F1809" t="s">
        <v>7</v>
      </c>
      <c r="G1809" t="s">
        <v>95</v>
      </c>
      <c r="H1809">
        <v>25000000</v>
      </c>
      <c r="I1809">
        <v>6.6</v>
      </c>
      <c r="J1809" t="s">
        <v>8426</v>
      </c>
    </row>
    <row r="1810" spans="1:10" x14ac:dyDescent="0.3">
      <c r="A1810">
        <v>107</v>
      </c>
      <c r="B1810">
        <v>871527</v>
      </c>
      <c r="C1810" t="s">
        <v>882</v>
      </c>
      <c r="D1810" t="s">
        <v>4204</v>
      </c>
      <c r="E1810" t="s">
        <v>4205</v>
      </c>
      <c r="F1810" t="s">
        <v>7</v>
      </c>
      <c r="G1810" t="s">
        <v>95</v>
      </c>
      <c r="H1810">
        <v>25000000</v>
      </c>
      <c r="I1810">
        <v>7.4</v>
      </c>
      <c r="J1810" t="s">
        <v>9048</v>
      </c>
    </row>
    <row r="1811" spans="1:10" x14ac:dyDescent="0.3">
      <c r="A1811">
        <v>117</v>
      </c>
      <c r="B1811">
        <v>777423</v>
      </c>
      <c r="C1811" t="s">
        <v>653</v>
      </c>
      <c r="D1811" t="s">
        <v>4206</v>
      </c>
      <c r="E1811" t="s">
        <v>4207</v>
      </c>
      <c r="F1811" t="s">
        <v>7</v>
      </c>
      <c r="G1811" t="s">
        <v>8</v>
      </c>
      <c r="H1811">
        <v>25000000</v>
      </c>
      <c r="I1811">
        <v>6.5</v>
      </c>
      <c r="J1811" t="s">
        <v>8841</v>
      </c>
    </row>
    <row r="1812" spans="1:10" x14ac:dyDescent="0.3">
      <c r="A1812">
        <v>107</v>
      </c>
      <c r="B1812">
        <v>1186957</v>
      </c>
      <c r="C1812" t="s">
        <v>1417</v>
      </c>
      <c r="D1812" t="s">
        <v>4208</v>
      </c>
      <c r="E1812" t="s">
        <v>4209</v>
      </c>
      <c r="F1812" t="s">
        <v>7</v>
      </c>
      <c r="G1812" t="s">
        <v>15</v>
      </c>
      <c r="H1812">
        <v>25000000</v>
      </c>
      <c r="I1812">
        <v>6.2</v>
      </c>
      <c r="J1812" t="s">
        <v>8797</v>
      </c>
    </row>
    <row r="1813" spans="1:10" x14ac:dyDescent="0.3">
      <c r="A1813">
        <v>131</v>
      </c>
      <c r="B1813">
        <v>85433</v>
      </c>
      <c r="C1813" t="s">
        <v>4210</v>
      </c>
      <c r="D1813" t="s">
        <v>4211</v>
      </c>
      <c r="E1813" t="s">
        <v>4212</v>
      </c>
      <c r="F1813" t="s">
        <v>7</v>
      </c>
      <c r="G1813" t="s">
        <v>2993</v>
      </c>
      <c r="H1813">
        <v>13500000</v>
      </c>
      <c r="I1813">
        <v>7.8</v>
      </c>
      <c r="J1813" t="s">
        <v>8668</v>
      </c>
    </row>
    <row r="1814" spans="1:10" x14ac:dyDescent="0.3">
      <c r="A1814">
        <v>122</v>
      </c>
      <c r="B1814">
        <v>1697956</v>
      </c>
      <c r="C1814" t="s">
        <v>786</v>
      </c>
      <c r="D1814" t="s">
        <v>4213</v>
      </c>
      <c r="E1814" t="s">
        <v>4214</v>
      </c>
      <c r="F1814" t="s">
        <v>7</v>
      </c>
      <c r="G1814" t="s">
        <v>8</v>
      </c>
      <c r="H1814">
        <v>20000000</v>
      </c>
      <c r="I1814">
        <v>5.2</v>
      </c>
      <c r="J1814" t="s">
        <v>8671</v>
      </c>
    </row>
    <row r="1815" spans="1:10" x14ac:dyDescent="0.3">
      <c r="A1815">
        <v>134</v>
      </c>
      <c r="B1815">
        <v>183662</v>
      </c>
      <c r="C1815" t="s">
        <v>1040</v>
      </c>
      <c r="D1815" t="s">
        <v>4215</v>
      </c>
      <c r="E1815" t="s">
        <v>4216</v>
      </c>
      <c r="F1815" t="s">
        <v>582</v>
      </c>
      <c r="G1815" t="s">
        <v>583</v>
      </c>
      <c r="H1815">
        <v>25000000</v>
      </c>
      <c r="I1815">
        <v>6.5</v>
      </c>
      <c r="J1815" t="s">
        <v>8321</v>
      </c>
    </row>
    <row r="1816" spans="1:10" x14ac:dyDescent="0.3">
      <c r="A1816">
        <v>117</v>
      </c>
      <c r="B1816">
        <v>134904</v>
      </c>
      <c r="C1816" t="s">
        <v>1872</v>
      </c>
      <c r="D1816" t="s">
        <v>4217</v>
      </c>
      <c r="E1816" t="s">
        <v>4218</v>
      </c>
      <c r="F1816" t="s">
        <v>7</v>
      </c>
      <c r="G1816" t="s">
        <v>8</v>
      </c>
      <c r="H1816">
        <v>25000000</v>
      </c>
      <c r="I1816">
        <v>6.5</v>
      </c>
      <c r="J1816" t="s">
        <v>8459</v>
      </c>
    </row>
    <row r="1817" spans="1:10" x14ac:dyDescent="0.3">
      <c r="A1817">
        <v>138</v>
      </c>
      <c r="B1817">
        <v>16969390</v>
      </c>
      <c r="C1817" t="s">
        <v>873</v>
      </c>
      <c r="D1817" t="s">
        <v>4219</v>
      </c>
      <c r="E1817" t="s">
        <v>4220</v>
      </c>
      <c r="F1817" t="s">
        <v>7</v>
      </c>
      <c r="G1817" t="s">
        <v>8</v>
      </c>
      <c r="H1817">
        <v>25000000</v>
      </c>
      <c r="I1817">
        <v>5.2</v>
      </c>
      <c r="J1817" t="s">
        <v>8591</v>
      </c>
    </row>
    <row r="1818" spans="1:10" x14ac:dyDescent="0.3">
      <c r="A1818">
        <v>100</v>
      </c>
      <c r="B1818">
        <v>129115</v>
      </c>
      <c r="C1818" t="s">
        <v>289</v>
      </c>
      <c r="D1818" t="s">
        <v>4221</v>
      </c>
      <c r="E1818" t="s">
        <v>4222</v>
      </c>
      <c r="F1818" t="s">
        <v>3064</v>
      </c>
      <c r="G1818" t="s">
        <v>339</v>
      </c>
      <c r="H1818">
        <v>25000000</v>
      </c>
      <c r="I1818">
        <v>7.2</v>
      </c>
      <c r="J1818" t="s">
        <v>8614</v>
      </c>
    </row>
    <row r="1819" spans="1:10" x14ac:dyDescent="0.3">
      <c r="A1819">
        <v>119</v>
      </c>
      <c r="B1819">
        <v>34700000</v>
      </c>
      <c r="C1819" t="s">
        <v>73</v>
      </c>
      <c r="D1819" t="s">
        <v>4223</v>
      </c>
      <c r="E1819" t="s">
        <v>4224</v>
      </c>
      <c r="F1819" t="s">
        <v>7</v>
      </c>
      <c r="G1819" t="s">
        <v>8</v>
      </c>
      <c r="H1819">
        <v>14000000</v>
      </c>
      <c r="I1819">
        <v>7.1</v>
      </c>
      <c r="J1819" t="s">
        <v>8767</v>
      </c>
    </row>
    <row r="1820" spans="1:10" x14ac:dyDescent="0.3">
      <c r="A1820">
        <v>137</v>
      </c>
      <c r="B1820">
        <v>717753</v>
      </c>
      <c r="C1820" t="s">
        <v>2975</v>
      </c>
      <c r="D1820" t="s">
        <v>4225</v>
      </c>
      <c r="E1820" t="s">
        <v>4226</v>
      </c>
      <c r="F1820" t="s">
        <v>7</v>
      </c>
      <c r="G1820" t="s">
        <v>583</v>
      </c>
      <c r="H1820">
        <v>25000000</v>
      </c>
      <c r="I1820">
        <v>4.5</v>
      </c>
      <c r="J1820" t="s">
        <v>9074</v>
      </c>
    </row>
    <row r="1821" spans="1:10" x14ac:dyDescent="0.3">
      <c r="A1821">
        <v>119</v>
      </c>
      <c r="B1821">
        <v>109713132</v>
      </c>
      <c r="C1821" t="s">
        <v>759</v>
      </c>
      <c r="D1821" t="s">
        <v>4227</v>
      </c>
      <c r="E1821" t="s">
        <v>4228</v>
      </c>
      <c r="F1821" t="s">
        <v>7</v>
      </c>
      <c r="G1821" t="s">
        <v>8</v>
      </c>
      <c r="H1821">
        <v>25000000</v>
      </c>
      <c r="I1821">
        <v>5.7</v>
      </c>
      <c r="J1821" t="s">
        <v>8586</v>
      </c>
    </row>
    <row r="1822" spans="1:10" x14ac:dyDescent="0.3">
      <c r="A1822">
        <v>139</v>
      </c>
      <c r="B1822">
        <v>70269171</v>
      </c>
      <c r="C1822" t="s">
        <v>1578</v>
      </c>
      <c r="D1822" t="s">
        <v>4229</v>
      </c>
      <c r="E1822" t="s">
        <v>4230</v>
      </c>
      <c r="F1822" t="s">
        <v>7</v>
      </c>
      <c r="G1822" t="s">
        <v>8</v>
      </c>
      <c r="H1822">
        <v>24000000</v>
      </c>
      <c r="I1822">
        <v>6</v>
      </c>
      <c r="J1822" t="s">
        <v>9075</v>
      </c>
    </row>
    <row r="1823" spans="1:10" x14ac:dyDescent="0.3">
      <c r="A1823">
        <v>120</v>
      </c>
      <c r="B1823">
        <v>101334374</v>
      </c>
      <c r="C1823" t="s">
        <v>2141</v>
      </c>
      <c r="D1823" t="s">
        <v>4231</v>
      </c>
      <c r="E1823" t="s">
        <v>4232</v>
      </c>
      <c r="F1823" t="s">
        <v>7</v>
      </c>
      <c r="G1823" t="s">
        <v>8</v>
      </c>
      <c r="H1823">
        <v>24000000</v>
      </c>
      <c r="I1823">
        <v>6.4</v>
      </c>
      <c r="J1823" t="s">
        <v>8739</v>
      </c>
    </row>
    <row r="1824" spans="1:10" x14ac:dyDescent="0.3">
      <c r="A1824">
        <v>98</v>
      </c>
      <c r="B1824">
        <v>1512815</v>
      </c>
      <c r="C1824" t="s">
        <v>4233</v>
      </c>
      <c r="D1824" t="s">
        <v>4234</v>
      </c>
      <c r="E1824" t="s">
        <v>4235</v>
      </c>
      <c r="F1824" t="s">
        <v>7</v>
      </c>
      <c r="G1824" t="s">
        <v>8</v>
      </c>
      <c r="H1824">
        <v>25000000</v>
      </c>
      <c r="I1824">
        <v>5.2</v>
      </c>
      <c r="J1824" t="s">
        <v>8665</v>
      </c>
    </row>
    <row r="1825" spans="1:10" x14ac:dyDescent="0.3">
      <c r="A1825">
        <v>106</v>
      </c>
      <c r="B1825">
        <v>65182182</v>
      </c>
      <c r="C1825" t="s">
        <v>672</v>
      </c>
      <c r="D1825" t="s">
        <v>4236</v>
      </c>
      <c r="E1825" t="s">
        <v>4237</v>
      </c>
      <c r="F1825" t="s">
        <v>7</v>
      </c>
      <c r="G1825" t="s">
        <v>8</v>
      </c>
      <c r="H1825">
        <v>24000000</v>
      </c>
      <c r="I1825">
        <v>4.3</v>
      </c>
      <c r="J1825" t="s">
        <v>9076</v>
      </c>
    </row>
    <row r="1826" spans="1:10" x14ac:dyDescent="0.3">
      <c r="A1826">
        <v>98</v>
      </c>
      <c r="B1826">
        <v>57262492</v>
      </c>
      <c r="C1826" t="s">
        <v>386</v>
      </c>
      <c r="D1826" t="s">
        <v>4238</v>
      </c>
      <c r="E1826" t="s">
        <v>4239</v>
      </c>
      <c r="F1826" t="s">
        <v>7</v>
      </c>
      <c r="G1826" t="s">
        <v>8</v>
      </c>
      <c r="H1826">
        <v>24000000</v>
      </c>
      <c r="I1826">
        <v>6.1</v>
      </c>
      <c r="J1826" t="s">
        <v>9077</v>
      </c>
    </row>
    <row r="1827" spans="1:10" x14ac:dyDescent="0.3">
      <c r="A1827">
        <v>107</v>
      </c>
      <c r="B1827">
        <v>80000000</v>
      </c>
      <c r="C1827" t="s">
        <v>3307</v>
      </c>
      <c r="D1827" t="s">
        <v>4240</v>
      </c>
      <c r="E1827" t="s">
        <v>4241</v>
      </c>
      <c r="F1827" t="s">
        <v>7</v>
      </c>
      <c r="G1827" t="s">
        <v>8</v>
      </c>
      <c r="H1827">
        <v>8200000</v>
      </c>
      <c r="I1827">
        <v>6.3</v>
      </c>
      <c r="J1827" t="s">
        <v>9078</v>
      </c>
    </row>
    <row r="1828" spans="1:10" x14ac:dyDescent="0.3">
      <c r="A1828">
        <v>88</v>
      </c>
      <c r="B1828">
        <v>74608545</v>
      </c>
      <c r="C1828" t="s">
        <v>668</v>
      </c>
      <c r="D1828" t="s">
        <v>4242</v>
      </c>
      <c r="E1828" t="s">
        <v>4243</v>
      </c>
      <c r="F1828" t="s">
        <v>7</v>
      </c>
      <c r="G1828" t="s">
        <v>8</v>
      </c>
      <c r="H1828">
        <v>24000000</v>
      </c>
      <c r="I1828">
        <v>6.8</v>
      </c>
      <c r="J1828" t="s">
        <v>8989</v>
      </c>
    </row>
    <row r="1829" spans="1:10" x14ac:dyDescent="0.3">
      <c r="A1829">
        <v>137</v>
      </c>
      <c r="B1829">
        <v>41895491</v>
      </c>
      <c r="C1829" t="s">
        <v>3336</v>
      </c>
      <c r="D1829" t="s">
        <v>4244</v>
      </c>
      <c r="E1829" t="s">
        <v>4245</v>
      </c>
      <c r="F1829" t="s">
        <v>7</v>
      </c>
      <c r="G1829" t="s">
        <v>8</v>
      </c>
      <c r="H1829">
        <v>24000000</v>
      </c>
      <c r="I1829">
        <v>4</v>
      </c>
      <c r="J1829" t="s">
        <v>8656</v>
      </c>
    </row>
    <row r="1830" spans="1:10" x14ac:dyDescent="0.3">
      <c r="A1830">
        <v>100</v>
      </c>
      <c r="B1830">
        <v>39989008</v>
      </c>
      <c r="C1830" t="s">
        <v>2141</v>
      </c>
      <c r="D1830" t="s">
        <v>4246</v>
      </c>
      <c r="E1830" t="s">
        <v>4247</v>
      </c>
      <c r="F1830" t="s">
        <v>7</v>
      </c>
      <c r="G1830" t="s">
        <v>8</v>
      </c>
      <c r="H1830">
        <v>24000000</v>
      </c>
      <c r="I1830">
        <v>5.2</v>
      </c>
      <c r="J1830" t="s">
        <v>9079</v>
      </c>
    </row>
    <row r="1831" spans="1:10" x14ac:dyDescent="0.3">
      <c r="A1831">
        <v>115</v>
      </c>
      <c r="B1831">
        <v>32662299</v>
      </c>
      <c r="C1831" t="s">
        <v>561</v>
      </c>
      <c r="D1831" t="s">
        <v>4248</v>
      </c>
      <c r="E1831" t="s">
        <v>4249</v>
      </c>
      <c r="F1831" t="s">
        <v>7</v>
      </c>
      <c r="G1831" t="s">
        <v>8</v>
      </c>
      <c r="H1831">
        <v>24000000</v>
      </c>
      <c r="I1831">
        <v>6.5</v>
      </c>
      <c r="J1831" t="s">
        <v>8521</v>
      </c>
    </row>
    <row r="1832" spans="1:10" x14ac:dyDescent="0.3">
      <c r="A1832">
        <v>101</v>
      </c>
      <c r="B1832">
        <v>31452765</v>
      </c>
      <c r="C1832" t="s">
        <v>672</v>
      </c>
      <c r="D1832" t="s">
        <v>4250</v>
      </c>
      <c r="E1832" t="s">
        <v>4251</v>
      </c>
      <c r="F1832" t="s">
        <v>7</v>
      </c>
      <c r="G1832" t="s">
        <v>8</v>
      </c>
      <c r="H1832">
        <v>24000000</v>
      </c>
      <c r="I1832">
        <v>7.5</v>
      </c>
      <c r="J1832" t="s">
        <v>9080</v>
      </c>
    </row>
    <row r="1833" spans="1:10" x14ac:dyDescent="0.3">
      <c r="A1833">
        <v>110</v>
      </c>
      <c r="B1833">
        <v>25167270</v>
      </c>
      <c r="C1833" t="s">
        <v>3876</v>
      </c>
      <c r="D1833" t="s">
        <v>4252</v>
      </c>
      <c r="E1833" t="s">
        <v>4253</v>
      </c>
      <c r="F1833" t="s">
        <v>7</v>
      </c>
      <c r="G1833" t="s">
        <v>284</v>
      </c>
      <c r="H1833">
        <v>24000000</v>
      </c>
      <c r="I1833">
        <v>7.1</v>
      </c>
      <c r="J1833" t="s">
        <v>8582</v>
      </c>
    </row>
    <row r="1834" spans="1:10" x14ac:dyDescent="0.3">
      <c r="A1834">
        <v>94</v>
      </c>
      <c r="B1834">
        <v>32416109</v>
      </c>
      <c r="C1834" t="s">
        <v>2602</v>
      </c>
      <c r="D1834" t="s">
        <v>4254</v>
      </c>
      <c r="E1834" t="s">
        <v>4255</v>
      </c>
      <c r="F1834" t="s">
        <v>7</v>
      </c>
      <c r="G1834" t="s">
        <v>8</v>
      </c>
      <c r="H1834">
        <v>25000000</v>
      </c>
      <c r="I1834">
        <v>6.9</v>
      </c>
      <c r="J1834" t="s">
        <v>8419</v>
      </c>
    </row>
    <row r="1835" spans="1:10" x14ac:dyDescent="0.3">
      <c r="A1835">
        <v>88</v>
      </c>
      <c r="B1835">
        <v>20218</v>
      </c>
      <c r="C1835" t="s">
        <v>148</v>
      </c>
      <c r="D1835" t="s">
        <v>4256</v>
      </c>
      <c r="E1835" t="s">
        <v>4257</v>
      </c>
      <c r="F1835" t="s">
        <v>7</v>
      </c>
      <c r="G1835" t="s">
        <v>8</v>
      </c>
      <c r="H1835">
        <v>24000000</v>
      </c>
      <c r="I1835">
        <v>8</v>
      </c>
      <c r="J1835" t="s">
        <v>8570</v>
      </c>
    </row>
    <row r="1836" spans="1:10" x14ac:dyDescent="0.3">
      <c r="A1836">
        <v>127</v>
      </c>
      <c r="B1836">
        <v>28871190</v>
      </c>
      <c r="C1836" t="s">
        <v>617</v>
      </c>
      <c r="D1836" t="s">
        <v>4258</v>
      </c>
      <c r="E1836" t="s">
        <v>4259</v>
      </c>
      <c r="F1836" t="s">
        <v>7</v>
      </c>
      <c r="G1836" t="s">
        <v>8</v>
      </c>
      <c r="H1836">
        <v>24000000</v>
      </c>
      <c r="I1836">
        <v>8.1999999999999993</v>
      </c>
      <c r="J1836" t="s">
        <v>8619</v>
      </c>
    </row>
    <row r="1837" spans="1:10" x14ac:dyDescent="0.3">
      <c r="A1837">
        <v>95</v>
      </c>
      <c r="B1837">
        <v>16964743</v>
      </c>
      <c r="C1837" t="s">
        <v>672</v>
      </c>
      <c r="D1837" t="s">
        <v>4260</v>
      </c>
      <c r="E1837" t="s">
        <v>4261</v>
      </c>
      <c r="F1837" t="s">
        <v>7</v>
      </c>
      <c r="G1837" t="s">
        <v>8</v>
      </c>
      <c r="H1837">
        <v>24000000</v>
      </c>
      <c r="I1837">
        <v>6.4</v>
      </c>
      <c r="J1837" t="s">
        <v>8372</v>
      </c>
    </row>
    <row r="1838" spans="1:10" x14ac:dyDescent="0.3">
      <c r="A1838">
        <v>87</v>
      </c>
      <c r="B1838">
        <v>16290976</v>
      </c>
      <c r="C1838" t="s">
        <v>4262</v>
      </c>
      <c r="D1838" t="s">
        <v>4263</v>
      </c>
      <c r="E1838" t="s">
        <v>4264</v>
      </c>
      <c r="F1838" t="s">
        <v>7</v>
      </c>
      <c r="G1838" t="s">
        <v>8</v>
      </c>
      <c r="H1838">
        <v>24000000</v>
      </c>
      <c r="I1838">
        <v>7.9</v>
      </c>
      <c r="J1838" t="s">
        <v>8723</v>
      </c>
    </row>
    <row r="1839" spans="1:10" x14ac:dyDescent="0.3">
      <c r="A1839">
        <v>118</v>
      </c>
      <c r="B1839">
        <v>13000000</v>
      </c>
      <c r="C1839" t="s">
        <v>4265</v>
      </c>
      <c r="D1839" t="s">
        <v>4266</v>
      </c>
      <c r="E1839" t="s">
        <v>4267</v>
      </c>
      <c r="F1839" t="s">
        <v>7</v>
      </c>
      <c r="G1839" t="s">
        <v>8</v>
      </c>
      <c r="H1839">
        <v>24000000</v>
      </c>
      <c r="I1839">
        <v>6.7</v>
      </c>
      <c r="J1839" t="s">
        <v>9081</v>
      </c>
    </row>
    <row r="1840" spans="1:10" x14ac:dyDescent="0.3">
      <c r="A1840">
        <v>107</v>
      </c>
      <c r="B1840">
        <v>12372410</v>
      </c>
      <c r="C1840" t="s">
        <v>1632</v>
      </c>
      <c r="D1840" t="s">
        <v>4268</v>
      </c>
      <c r="E1840" t="s">
        <v>4269</v>
      </c>
      <c r="F1840" t="s">
        <v>7</v>
      </c>
      <c r="G1840" t="s">
        <v>8</v>
      </c>
      <c r="H1840">
        <v>24000000</v>
      </c>
      <c r="I1840">
        <v>6.1</v>
      </c>
      <c r="J1840" t="s">
        <v>8503</v>
      </c>
    </row>
    <row r="1841" spans="1:10" x14ac:dyDescent="0.3">
      <c r="A1841">
        <v>124</v>
      </c>
      <c r="B1841">
        <v>8427204</v>
      </c>
      <c r="C1841" t="s">
        <v>2642</v>
      </c>
      <c r="D1841" t="s">
        <v>4270</v>
      </c>
      <c r="E1841" t="s">
        <v>4271</v>
      </c>
      <c r="F1841" t="s">
        <v>7</v>
      </c>
      <c r="G1841" t="s">
        <v>8</v>
      </c>
      <c r="H1841">
        <v>24000000</v>
      </c>
      <c r="I1841">
        <v>8.9</v>
      </c>
      <c r="J1841" t="s">
        <v>8332</v>
      </c>
    </row>
    <row r="1842" spans="1:10" x14ac:dyDescent="0.3">
      <c r="A1842">
        <v>89</v>
      </c>
      <c r="B1842">
        <v>9639242</v>
      </c>
      <c r="C1842" t="s">
        <v>672</v>
      </c>
      <c r="D1842" t="s">
        <v>4272</v>
      </c>
      <c r="E1842" t="s">
        <v>4273</v>
      </c>
      <c r="F1842" t="s">
        <v>7</v>
      </c>
      <c r="G1842" t="s">
        <v>8</v>
      </c>
      <c r="H1842">
        <v>24000000</v>
      </c>
      <c r="I1842">
        <v>8.1</v>
      </c>
      <c r="J1842" t="s">
        <v>9009</v>
      </c>
    </row>
    <row r="1843" spans="1:10" x14ac:dyDescent="0.3">
      <c r="A1843">
        <v>88</v>
      </c>
      <c r="B1843">
        <v>25003072</v>
      </c>
      <c r="C1843" t="s">
        <v>3210</v>
      </c>
      <c r="D1843" t="s">
        <v>4274</v>
      </c>
      <c r="E1843" t="s">
        <v>4275</v>
      </c>
      <c r="F1843" t="s">
        <v>7</v>
      </c>
      <c r="G1843" t="s">
        <v>8</v>
      </c>
      <c r="H1843">
        <v>24000000</v>
      </c>
      <c r="I1843">
        <v>6.2</v>
      </c>
      <c r="J1843" t="s">
        <v>8405</v>
      </c>
    </row>
    <row r="1844" spans="1:10" x14ac:dyDescent="0.3">
      <c r="A1844">
        <v>118</v>
      </c>
      <c r="B1844">
        <v>6144806</v>
      </c>
      <c r="C1844" t="s">
        <v>2747</v>
      </c>
      <c r="D1844" t="s">
        <v>4276</v>
      </c>
      <c r="E1844" t="s">
        <v>4277</v>
      </c>
      <c r="F1844" t="s">
        <v>7</v>
      </c>
      <c r="G1844" t="s">
        <v>8</v>
      </c>
      <c r="H1844">
        <v>23000000</v>
      </c>
      <c r="I1844">
        <v>4.9000000000000004</v>
      </c>
      <c r="J1844" t="s">
        <v>8447</v>
      </c>
    </row>
    <row r="1845" spans="1:10" x14ac:dyDescent="0.3">
      <c r="A1845">
        <v>93</v>
      </c>
      <c r="B1845">
        <v>4308981</v>
      </c>
      <c r="C1845" t="s">
        <v>1261</v>
      </c>
      <c r="D1845" t="s">
        <v>4278</v>
      </c>
      <c r="E1845" t="s">
        <v>4279</v>
      </c>
      <c r="F1845" t="s">
        <v>7</v>
      </c>
      <c r="G1845" t="s">
        <v>8</v>
      </c>
      <c r="H1845">
        <v>24000000</v>
      </c>
      <c r="I1845">
        <v>5.4</v>
      </c>
      <c r="J1845" t="s">
        <v>9082</v>
      </c>
    </row>
    <row r="1846" spans="1:10" x14ac:dyDescent="0.3">
      <c r="A1846">
        <v>80</v>
      </c>
      <c r="B1846">
        <v>669276</v>
      </c>
      <c r="C1846" t="s">
        <v>4280</v>
      </c>
      <c r="D1846" t="s">
        <v>4281</v>
      </c>
      <c r="E1846" t="s">
        <v>4282</v>
      </c>
      <c r="F1846" t="s">
        <v>7</v>
      </c>
      <c r="G1846" t="s">
        <v>15</v>
      </c>
      <c r="H1846">
        <v>28000000</v>
      </c>
      <c r="I1846">
        <v>5.8</v>
      </c>
      <c r="J1846" t="s">
        <v>8941</v>
      </c>
    </row>
    <row r="1847" spans="1:10" x14ac:dyDescent="0.3">
      <c r="A1847">
        <v>120</v>
      </c>
      <c r="B1847">
        <v>42880</v>
      </c>
      <c r="C1847" t="s">
        <v>73</v>
      </c>
      <c r="D1847" t="s">
        <v>4283</v>
      </c>
      <c r="E1847" t="s">
        <v>4284</v>
      </c>
      <c r="F1847" t="s">
        <v>7</v>
      </c>
      <c r="G1847" t="s">
        <v>15</v>
      </c>
      <c r="H1847">
        <v>24000000</v>
      </c>
      <c r="I1847">
        <v>4.7</v>
      </c>
      <c r="J1847" t="s">
        <v>9083</v>
      </c>
    </row>
    <row r="1848" spans="1:10" x14ac:dyDescent="0.3">
      <c r="A1848">
        <v>98</v>
      </c>
      <c r="B1848">
        <v>23225911</v>
      </c>
      <c r="C1848" t="s">
        <v>164</v>
      </c>
      <c r="D1848" t="s">
        <v>4285</v>
      </c>
      <c r="E1848" t="s">
        <v>4286</v>
      </c>
      <c r="F1848" t="s">
        <v>7</v>
      </c>
      <c r="G1848" t="s">
        <v>8</v>
      </c>
      <c r="H1848">
        <v>24000000</v>
      </c>
      <c r="I1848">
        <v>6</v>
      </c>
      <c r="J1848" t="s">
        <v>8799</v>
      </c>
    </row>
    <row r="1849" spans="1:10" x14ac:dyDescent="0.3">
      <c r="A1849">
        <v>119</v>
      </c>
      <c r="B1849">
        <v>4710455</v>
      </c>
      <c r="C1849" t="s">
        <v>230</v>
      </c>
      <c r="D1849" t="s">
        <v>4287</v>
      </c>
      <c r="E1849" t="s">
        <v>4288</v>
      </c>
      <c r="F1849" t="s">
        <v>247</v>
      </c>
      <c r="G1849" t="s">
        <v>248</v>
      </c>
      <c r="H1849">
        <v>24000000</v>
      </c>
      <c r="I1849">
        <v>7</v>
      </c>
      <c r="J1849" t="s">
        <v>8351</v>
      </c>
    </row>
    <row r="1850" spans="1:10" x14ac:dyDescent="0.3">
      <c r="A1850">
        <v>88</v>
      </c>
      <c r="B1850">
        <v>75590286</v>
      </c>
      <c r="C1850" t="s">
        <v>4289</v>
      </c>
      <c r="D1850" t="s">
        <v>4290</v>
      </c>
      <c r="E1850" t="s">
        <v>4291</v>
      </c>
      <c r="F1850" t="s">
        <v>7</v>
      </c>
      <c r="G1850" t="s">
        <v>8</v>
      </c>
      <c r="H1850">
        <v>23600000</v>
      </c>
      <c r="I1850">
        <v>6</v>
      </c>
      <c r="J1850" t="s">
        <v>9084</v>
      </c>
    </row>
    <row r="1851" spans="1:10" x14ac:dyDescent="0.3">
      <c r="A1851">
        <v>90</v>
      </c>
      <c r="B1851">
        <v>161487252</v>
      </c>
      <c r="C1851" t="s">
        <v>1632</v>
      </c>
      <c r="D1851" t="s">
        <v>4292</v>
      </c>
      <c r="E1851" t="s">
        <v>4293</v>
      </c>
      <c r="F1851" t="s">
        <v>7</v>
      </c>
      <c r="G1851" t="s">
        <v>8</v>
      </c>
      <c r="H1851">
        <v>20000000</v>
      </c>
      <c r="I1851">
        <v>7.9</v>
      </c>
      <c r="J1851" t="s">
        <v>8502</v>
      </c>
    </row>
    <row r="1852" spans="1:10" x14ac:dyDescent="0.3">
      <c r="A1852">
        <v>127</v>
      </c>
      <c r="B1852">
        <v>290158751</v>
      </c>
      <c r="C1852" t="s">
        <v>4</v>
      </c>
      <c r="D1852" t="s">
        <v>4294</v>
      </c>
      <c r="E1852" t="s">
        <v>4295</v>
      </c>
      <c r="F1852" t="s">
        <v>7</v>
      </c>
      <c r="G1852" t="s">
        <v>8</v>
      </c>
      <c r="H1852">
        <v>18000000</v>
      </c>
      <c r="I1852">
        <v>8.1</v>
      </c>
      <c r="J1852" t="s">
        <v>8900</v>
      </c>
    </row>
    <row r="1853" spans="1:10" x14ac:dyDescent="0.3">
      <c r="A1853">
        <v>119</v>
      </c>
      <c r="B1853">
        <v>65807024</v>
      </c>
      <c r="C1853" t="s">
        <v>1480</v>
      </c>
      <c r="D1853" t="s">
        <v>4296</v>
      </c>
      <c r="E1853" t="s">
        <v>4297</v>
      </c>
      <c r="F1853" t="s">
        <v>7</v>
      </c>
      <c r="G1853" t="s">
        <v>8</v>
      </c>
      <c r="H1853">
        <v>19000000</v>
      </c>
      <c r="I1853">
        <v>6.2</v>
      </c>
      <c r="J1853" t="s">
        <v>8428</v>
      </c>
    </row>
    <row r="1854" spans="1:10" x14ac:dyDescent="0.3">
      <c r="A1854">
        <v>85</v>
      </c>
      <c r="B1854">
        <v>86930411</v>
      </c>
      <c r="C1854" t="s">
        <v>386</v>
      </c>
      <c r="D1854" t="s">
        <v>4298</v>
      </c>
      <c r="E1854" t="s">
        <v>4299</v>
      </c>
      <c r="F1854" t="s">
        <v>7</v>
      </c>
      <c r="G1854" t="s">
        <v>8</v>
      </c>
      <c r="H1854">
        <v>23000000</v>
      </c>
      <c r="I1854">
        <v>6.7</v>
      </c>
      <c r="J1854" t="s">
        <v>9085</v>
      </c>
    </row>
    <row r="1855" spans="1:10" x14ac:dyDescent="0.3">
      <c r="A1855">
        <v>98</v>
      </c>
      <c r="B1855">
        <v>53302314</v>
      </c>
      <c r="C1855" t="s">
        <v>2324</v>
      </c>
      <c r="D1855" t="s">
        <v>4300</v>
      </c>
      <c r="E1855" t="s">
        <v>4301</v>
      </c>
      <c r="F1855" t="s">
        <v>7</v>
      </c>
      <c r="G1855" t="s">
        <v>8</v>
      </c>
      <c r="H1855">
        <v>23000000</v>
      </c>
      <c r="I1855">
        <v>7.3</v>
      </c>
      <c r="J1855" t="s">
        <v>8937</v>
      </c>
    </row>
    <row r="1856" spans="1:10" x14ac:dyDescent="0.3">
      <c r="A1856">
        <v>101</v>
      </c>
      <c r="B1856">
        <v>40962534</v>
      </c>
      <c r="C1856" t="s">
        <v>1417</v>
      </c>
      <c r="D1856" t="s">
        <v>4302</v>
      </c>
      <c r="E1856" t="s">
        <v>4303</v>
      </c>
      <c r="F1856" t="s">
        <v>7</v>
      </c>
      <c r="G1856" t="s">
        <v>8</v>
      </c>
      <c r="H1856">
        <v>12500000</v>
      </c>
      <c r="I1856">
        <v>4.5999999999999996</v>
      </c>
      <c r="J1856" t="s">
        <v>9086</v>
      </c>
    </row>
    <row r="1857" spans="1:10" x14ac:dyDescent="0.3">
      <c r="A1857">
        <v>112</v>
      </c>
      <c r="B1857">
        <v>39235088</v>
      </c>
      <c r="C1857" t="s">
        <v>4304</v>
      </c>
      <c r="D1857" t="s">
        <v>4305</v>
      </c>
      <c r="E1857" t="s">
        <v>4306</v>
      </c>
      <c r="F1857" t="s">
        <v>7</v>
      </c>
      <c r="G1857" t="s">
        <v>8</v>
      </c>
      <c r="H1857">
        <v>23000000</v>
      </c>
      <c r="I1857">
        <v>6.1</v>
      </c>
      <c r="J1857" t="s">
        <v>8738</v>
      </c>
    </row>
    <row r="1858" spans="1:10" x14ac:dyDescent="0.3">
      <c r="A1858">
        <v>97</v>
      </c>
      <c r="B1858">
        <v>27338033</v>
      </c>
      <c r="C1858" t="s">
        <v>672</v>
      </c>
      <c r="D1858" t="s">
        <v>4307</v>
      </c>
      <c r="E1858" t="s">
        <v>4308</v>
      </c>
      <c r="F1858" t="s">
        <v>7</v>
      </c>
      <c r="G1858" t="s">
        <v>8</v>
      </c>
      <c r="H1858">
        <v>23000000</v>
      </c>
      <c r="I1858">
        <v>6.2</v>
      </c>
      <c r="J1858" t="s">
        <v>8539</v>
      </c>
    </row>
    <row r="1859" spans="1:10" x14ac:dyDescent="0.3">
      <c r="A1859">
        <v>126</v>
      </c>
      <c r="B1859">
        <v>25556065</v>
      </c>
      <c r="C1859" t="s">
        <v>2308</v>
      </c>
      <c r="D1859" t="s">
        <v>4309</v>
      </c>
      <c r="E1859" t="s">
        <v>4310</v>
      </c>
      <c r="F1859" t="s">
        <v>7</v>
      </c>
      <c r="G1859" t="s">
        <v>8</v>
      </c>
      <c r="H1859">
        <v>23000000</v>
      </c>
      <c r="I1859">
        <v>7.8</v>
      </c>
      <c r="J1859" t="s">
        <v>8810</v>
      </c>
    </row>
    <row r="1860" spans="1:10" x14ac:dyDescent="0.3">
      <c r="A1860">
        <v>97</v>
      </c>
      <c r="B1860">
        <v>21973182</v>
      </c>
      <c r="C1860" t="s">
        <v>321</v>
      </c>
      <c r="D1860" t="s">
        <v>4311</v>
      </c>
      <c r="E1860" t="s">
        <v>4312</v>
      </c>
      <c r="F1860" t="s">
        <v>7</v>
      </c>
      <c r="G1860" t="s">
        <v>8</v>
      </c>
      <c r="H1860">
        <v>23000000</v>
      </c>
      <c r="I1860">
        <v>6.1</v>
      </c>
      <c r="J1860" t="s">
        <v>8594</v>
      </c>
    </row>
    <row r="1861" spans="1:10" x14ac:dyDescent="0.3">
      <c r="A1861">
        <v>100</v>
      </c>
      <c r="B1861">
        <v>4756</v>
      </c>
      <c r="C1861" t="s">
        <v>67</v>
      </c>
      <c r="D1861" t="s">
        <v>4313</v>
      </c>
      <c r="E1861" t="s">
        <v>4314</v>
      </c>
      <c r="F1861" t="s">
        <v>7</v>
      </c>
      <c r="G1861" t="s">
        <v>15</v>
      </c>
      <c r="H1861">
        <v>25000000</v>
      </c>
      <c r="I1861">
        <v>7.6</v>
      </c>
      <c r="J1861" t="s">
        <v>8399</v>
      </c>
    </row>
    <row r="1862" spans="1:10" x14ac:dyDescent="0.3">
      <c r="A1862">
        <v>114</v>
      </c>
      <c r="B1862">
        <v>18653615</v>
      </c>
      <c r="C1862" t="s">
        <v>1040</v>
      </c>
      <c r="D1862" t="s">
        <v>4315</v>
      </c>
      <c r="E1862" t="s">
        <v>4316</v>
      </c>
      <c r="F1862" t="s">
        <v>7</v>
      </c>
      <c r="G1862" t="s">
        <v>8</v>
      </c>
      <c r="H1862">
        <v>23000000</v>
      </c>
      <c r="I1862">
        <v>5.8</v>
      </c>
      <c r="J1862" t="s">
        <v>8774</v>
      </c>
    </row>
    <row r="1863" spans="1:10" x14ac:dyDescent="0.3">
      <c r="A1863">
        <v>88</v>
      </c>
      <c r="B1863">
        <v>13019253</v>
      </c>
      <c r="C1863" t="s">
        <v>386</v>
      </c>
      <c r="D1863" t="s">
        <v>4317</v>
      </c>
      <c r="E1863" t="s">
        <v>4318</v>
      </c>
      <c r="F1863" t="s">
        <v>7</v>
      </c>
      <c r="G1863" t="s">
        <v>8</v>
      </c>
      <c r="H1863">
        <v>23000000</v>
      </c>
      <c r="I1863">
        <v>6.5</v>
      </c>
      <c r="J1863" t="s">
        <v>8908</v>
      </c>
    </row>
    <row r="1864" spans="1:10" x14ac:dyDescent="0.3">
      <c r="A1864">
        <v>93</v>
      </c>
      <c r="B1864">
        <v>18934858</v>
      </c>
      <c r="C1864" t="s">
        <v>16</v>
      </c>
      <c r="D1864" t="s">
        <v>4319</v>
      </c>
      <c r="E1864" t="s">
        <v>4320</v>
      </c>
      <c r="F1864" t="s">
        <v>7</v>
      </c>
      <c r="G1864" t="s">
        <v>3376</v>
      </c>
      <c r="H1864">
        <v>23000000</v>
      </c>
      <c r="I1864">
        <v>7.2</v>
      </c>
      <c r="J1864" t="s">
        <v>9087</v>
      </c>
    </row>
    <row r="1865" spans="1:10" x14ac:dyDescent="0.3">
      <c r="A1865">
        <v>92</v>
      </c>
      <c r="B1865">
        <v>20763013</v>
      </c>
      <c r="C1865" t="s">
        <v>3642</v>
      </c>
      <c r="D1865" t="s">
        <v>4321</v>
      </c>
      <c r="E1865" t="s">
        <v>4322</v>
      </c>
      <c r="F1865" t="s">
        <v>7</v>
      </c>
      <c r="G1865" t="s">
        <v>8</v>
      </c>
      <c r="H1865">
        <v>23000000</v>
      </c>
      <c r="I1865">
        <v>7.8</v>
      </c>
      <c r="J1865" t="s">
        <v>8306</v>
      </c>
    </row>
    <row r="1866" spans="1:10" x14ac:dyDescent="0.3">
      <c r="A1866">
        <v>98</v>
      </c>
      <c r="B1866">
        <v>12782508</v>
      </c>
      <c r="C1866" t="s">
        <v>1417</v>
      </c>
      <c r="D1866" t="s">
        <v>4323</v>
      </c>
      <c r="E1866" t="s">
        <v>4324</v>
      </c>
      <c r="F1866" t="s">
        <v>7</v>
      </c>
      <c r="G1866" t="s">
        <v>8</v>
      </c>
      <c r="H1866">
        <v>23000000</v>
      </c>
      <c r="I1866">
        <v>4.7</v>
      </c>
      <c r="J1866" t="s">
        <v>9088</v>
      </c>
    </row>
    <row r="1867" spans="1:10" x14ac:dyDescent="0.3">
      <c r="A1867">
        <v>94</v>
      </c>
      <c r="B1867">
        <v>11508423</v>
      </c>
      <c r="C1867" t="s">
        <v>4325</v>
      </c>
      <c r="D1867" t="s">
        <v>4326</v>
      </c>
      <c r="E1867" t="s">
        <v>4327</v>
      </c>
      <c r="F1867" t="s">
        <v>7</v>
      </c>
      <c r="G1867" t="s">
        <v>8</v>
      </c>
      <c r="H1867">
        <v>23000000</v>
      </c>
      <c r="I1867">
        <v>6.8</v>
      </c>
      <c r="J1867" t="s">
        <v>9089</v>
      </c>
    </row>
    <row r="1868" spans="1:10" x14ac:dyDescent="0.3">
      <c r="A1868">
        <v>102</v>
      </c>
      <c r="B1868">
        <v>10660147</v>
      </c>
      <c r="C1868" t="s">
        <v>73</v>
      </c>
      <c r="D1868" t="s">
        <v>4328</v>
      </c>
      <c r="E1868" t="s">
        <v>4329</v>
      </c>
      <c r="F1868" t="s">
        <v>7</v>
      </c>
      <c r="G1868" t="s">
        <v>15</v>
      </c>
      <c r="H1868">
        <v>23000000</v>
      </c>
      <c r="I1868">
        <v>5.9</v>
      </c>
      <c r="J1868" t="s">
        <v>9090</v>
      </c>
    </row>
    <row r="1869" spans="1:10" x14ac:dyDescent="0.3">
      <c r="A1869">
        <v>98</v>
      </c>
      <c r="B1869">
        <v>7434726</v>
      </c>
      <c r="C1869" t="s">
        <v>4330</v>
      </c>
      <c r="D1869" t="s">
        <v>4331</v>
      </c>
      <c r="E1869" t="s">
        <v>4332</v>
      </c>
      <c r="F1869" t="s">
        <v>7</v>
      </c>
      <c r="G1869" t="s">
        <v>8</v>
      </c>
      <c r="H1869">
        <v>23000000</v>
      </c>
      <c r="I1869">
        <v>7.2</v>
      </c>
      <c r="J1869" t="s">
        <v>8460</v>
      </c>
    </row>
    <row r="1870" spans="1:10" x14ac:dyDescent="0.3">
      <c r="A1870">
        <v>111</v>
      </c>
      <c r="B1870">
        <v>6109075</v>
      </c>
      <c r="C1870" t="s">
        <v>617</v>
      </c>
      <c r="D1870" t="s">
        <v>4333</v>
      </c>
      <c r="E1870" t="s">
        <v>4334</v>
      </c>
      <c r="F1870" t="s">
        <v>582</v>
      </c>
      <c r="G1870" t="s">
        <v>583</v>
      </c>
      <c r="H1870">
        <v>19430000</v>
      </c>
      <c r="I1870">
        <v>8.6999999999999993</v>
      </c>
      <c r="J1870" t="s">
        <v>8342</v>
      </c>
    </row>
    <row r="1871" spans="1:10" x14ac:dyDescent="0.3">
      <c r="A1871">
        <v>100</v>
      </c>
      <c r="B1871">
        <v>2708188</v>
      </c>
      <c r="C1871" t="s">
        <v>561</v>
      </c>
      <c r="D1871" t="s">
        <v>4335</v>
      </c>
      <c r="E1871" t="s">
        <v>4336</v>
      </c>
      <c r="F1871" t="s">
        <v>7</v>
      </c>
      <c r="G1871" t="s">
        <v>15</v>
      </c>
      <c r="H1871">
        <v>23000000</v>
      </c>
      <c r="I1871">
        <v>5</v>
      </c>
      <c r="J1871" t="s">
        <v>8677</v>
      </c>
    </row>
    <row r="1872" spans="1:10" x14ac:dyDescent="0.3">
      <c r="A1872">
        <v>141</v>
      </c>
      <c r="B1872">
        <v>16123851</v>
      </c>
      <c r="C1872" t="s">
        <v>1417</v>
      </c>
      <c r="D1872" t="s">
        <v>4337</v>
      </c>
      <c r="E1872" t="s">
        <v>4338</v>
      </c>
      <c r="F1872" t="s">
        <v>7</v>
      </c>
      <c r="G1872" t="s">
        <v>8</v>
      </c>
      <c r="H1872">
        <v>23000000</v>
      </c>
      <c r="I1872">
        <v>6.6</v>
      </c>
      <c r="J1872" t="s">
        <v>8899</v>
      </c>
    </row>
    <row r="1873" spans="1:10" x14ac:dyDescent="0.3">
      <c r="A1873">
        <v>114</v>
      </c>
      <c r="B1873">
        <v>71975611</v>
      </c>
      <c r="C1873" t="s">
        <v>3143</v>
      </c>
      <c r="D1873" t="s">
        <v>4339</v>
      </c>
      <c r="E1873" t="s">
        <v>4340</v>
      </c>
      <c r="F1873" t="s">
        <v>7</v>
      </c>
      <c r="G1873" t="s">
        <v>8</v>
      </c>
      <c r="H1873">
        <v>25000000</v>
      </c>
      <c r="I1873">
        <v>8.3000000000000007</v>
      </c>
      <c r="J1873" t="s">
        <v>8502</v>
      </c>
    </row>
    <row r="1874" spans="1:10" x14ac:dyDescent="0.3">
      <c r="A1874">
        <v>96</v>
      </c>
      <c r="B1874">
        <v>38119483</v>
      </c>
      <c r="C1874" t="s">
        <v>759</v>
      </c>
      <c r="D1874" t="s">
        <v>4341</v>
      </c>
      <c r="E1874" t="s">
        <v>4342</v>
      </c>
      <c r="F1874" t="s">
        <v>7</v>
      </c>
      <c r="G1874" t="s">
        <v>8</v>
      </c>
      <c r="H1874">
        <v>22700000</v>
      </c>
      <c r="I1874">
        <v>6.7</v>
      </c>
      <c r="J1874" t="s">
        <v>8725</v>
      </c>
    </row>
    <row r="1875" spans="1:10" x14ac:dyDescent="0.3">
      <c r="A1875">
        <v>111</v>
      </c>
      <c r="B1875">
        <v>4190530</v>
      </c>
      <c r="C1875" t="s">
        <v>1410</v>
      </c>
      <c r="D1875" t="s">
        <v>4343</v>
      </c>
      <c r="E1875" t="s">
        <v>4344</v>
      </c>
      <c r="F1875" t="s">
        <v>7</v>
      </c>
      <c r="G1875" t="s">
        <v>132</v>
      </c>
      <c r="H1875">
        <v>22500000</v>
      </c>
      <c r="I1875">
        <v>7.8</v>
      </c>
      <c r="J1875" t="s">
        <v>9091</v>
      </c>
    </row>
    <row r="1876" spans="1:10" x14ac:dyDescent="0.3">
      <c r="A1876">
        <v>127</v>
      </c>
      <c r="B1876">
        <v>217631306</v>
      </c>
      <c r="C1876" t="s">
        <v>4345</v>
      </c>
      <c r="D1876" t="s">
        <v>4346</v>
      </c>
      <c r="E1876" t="s">
        <v>4347</v>
      </c>
      <c r="F1876" t="s">
        <v>7</v>
      </c>
      <c r="G1876" t="s">
        <v>8</v>
      </c>
      <c r="H1876">
        <v>22000000</v>
      </c>
      <c r="I1876">
        <v>6.5</v>
      </c>
      <c r="J1876" t="s">
        <v>8630</v>
      </c>
    </row>
    <row r="1877" spans="1:10" x14ac:dyDescent="0.3">
      <c r="A1877">
        <v>107</v>
      </c>
      <c r="B1877">
        <v>176483808</v>
      </c>
      <c r="C1877" t="s">
        <v>672</v>
      </c>
      <c r="D1877" t="s">
        <v>4348</v>
      </c>
      <c r="E1877" t="s">
        <v>4349</v>
      </c>
      <c r="F1877" t="s">
        <v>7</v>
      </c>
      <c r="G1877" t="s">
        <v>8</v>
      </c>
      <c r="H1877">
        <v>23000000</v>
      </c>
      <c r="I1877">
        <v>6.1</v>
      </c>
      <c r="J1877" t="s">
        <v>8319</v>
      </c>
    </row>
    <row r="1878" spans="1:10" x14ac:dyDescent="0.3">
      <c r="A1878">
        <v>97</v>
      </c>
      <c r="B1878">
        <v>144833357</v>
      </c>
      <c r="C1878" t="s">
        <v>2001</v>
      </c>
      <c r="D1878" t="s">
        <v>4350</v>
      </c>
      <c r="E1878" t="s">
        <v>4351</v>
      </c>
      <c r="F1878" t="s">
        <v>7</v>
      </c>
      <c r="G1878" t="s">
        <v>8</v>
      </c>
      <c r="H1878">
        <v>22000000</v>
      </c>
      <c r="I1878">
        <v>8.1</v>
      </c>
      <c r="J1878" t="s">
        <v>8895</v>
      </c>
    </row>
    <row r="1879" spans="1:10" x14ac:dyDescent="0.3">
      <c r="A1879">
        <v>127</v>
      </c>
      <c r="B1879">
        <v>75597042</v>
      </c>
      <c r="C1879" t="s">
        <v>3364</v>
      </c>
      <c r="D1879" t="s">
        <v>4352</v>
      </c>
      <c r="E1879" t="s">
        <v>4353</v>
      </c>
      <c r="F1879" t="s">
        <v>7</v>
      </c>
      <c r="G1879" t="s">
        <v>8</v>
      </c>
      <c r="H1879">
        <v>20000000</v>
      </c>
      <c r="I1879">
        <v>5.2</v>
      </c>
      <c r="J1879" t="s">
        <v>9092</v>
      </c>
    </row>
    <row r="1880" spans="1:10" x14ac:dyDescent="0.3">
      <c r="A1880">
        <v>110</v>
      </c>
      <c r="B1880">
        <v>90636983</v>
      </c>
      <c r="C1880" t="s">
        <v>3339</v>
      </c>
      <c r="D1880" t="s">
        <v>4354</v>
      </c>
      <c r="E1880" t="s">
        <v>4355</v>
      </c>
      <c r="F1880" t="s">
        <v>7</v>
      </c>
      <c r="G1880" t="s">
        <v>8</v>
      </c>
      <c r="H1880">
        <v>22000000</v>
      </c>
      <c r="I1880">
        <v>5.6</v>
      </c>
      <c r="J1880" t="s">
        <v>9093</v>
      </c>
    </row>
    <row r="1881" spans="1:10" x14ac:dyDescent="0.3">
      <c r="A1881">
        <v>135</v>
      </c>
      <c r="B1881">
        <v>70960517</v>
      </c>
      <c r="C1881" t="s">
        <v>73</v>
      </c>
      <c r="D1881" t="s">
        <v>4356</v>
      </c>
      <c r="E1881" t="s">
        <v>4357</v>
      </c>
      <c r="F1881" t="s">
        <v>7</v>
      </c>
      <c r="G1881" t="s">
        <v>8</v>
      </c>
      <c r="H1881">
        <v>35000000</v>
      </c>
      <c r="I1881">
        <v>5.8</v>
      </c>
      <c r="J1881" t="s">
        <v>8872</v>
      </c>
    </row>
    <row r="1882" spans="1:10" x14ac:dyDescent="0.3">
      <c r="A1882">
        <v>84</v>
      </c>
      <c r="B1882">
        <v>55762229</v>
      </c>
      <c r="C1882" t="s">
        <v>2299</v>
      </c>
      <c r="D1882" t="s">
        <v>4358</v>
      </c>
      <c r="E1882" t="s">
        <v>4359</v>
      </c>
      <c r="F1882" t="s">
        <v>7</v>
      </c>
      <c r="G1882" t="s">
        <v>8</v>
      </c>
      <c r="H1882">
        <v>22000000</v>
      </c>
      <c r="I1882">
        <v>6.6</v>
      </c>
      <c r="J1882" t="s">
        <v>8840</v>
      </c>
    </row>
    <row r="1883" spans="1:10" x14ac:dyDescent="0.3">
      <c r="A1883">
        <v>122</v>
      </c>
      <c r="B1883">
        <v>54235441</v>
      </c>
      <c r="C1883" t="s">
        <v>1040</v>
      </c>
      <c r="D1883" t="s">
        <v>4360</v>
      </c>
      <c r="E1883" t="s">
        <v>4361</v>
      </c>
      <c r="F1883" t="s">
        <v>7</v>
      </c>
      <c r="G1883" t="s">
        <v>8</v>
      </c>
      <c r="H1883">
        <v>22000000</v>
      </c>
      <c r="I1883">
        <v>6.6</v>
      </c>
      <c r="J1883" t="s">
        <v>9094</v>
      </c>
    </row>
    <row r="1884" spans="1:10" x14ac:dyDescent="0.3">
      <c r="A1884">
        <v>114</v>
      </c>
      <c r="B1884">
        <v>50728000</v>
      </c>
      <c r="C1884" t="s">
        <v>436</v>
      </c>
      <c r="D1884" t="s">
        <v>4362</v>
      </c>
      <c r="E1884" t="s">
        <v>4363</v>
      </c>
      <c r="F1884" t="s">
        <v>7</v>
      </c>
      <c r="G1884" t="s">
        <v>8</v>
      </c>
      <c r="H1884">
        <v>22000000</v>
      </c>
      <c r="I1884">
        <v>5.5</v>
      </c>
      <c r="J1884" t="s">
        <v>9095</v>
      </c>
    </row>
    <row r="1885" spans="1:10" x14ac:dyDescent="0.3">
      <c r="A1885">
        <v>132</v>
      </c>
      <c r="B1885">
        <v>40270895</v>
      </c>
      <c r="C1885" t="s">
        <v>1417</v>
      </c>
      <c r="D1885" t="s">
        <v>4364</v>
      </c>
      <c r="E1885" t="s">
        <v>4365</v>
      </c>
      <c r="F1885" t="s">
        <v>7</v>
      </c>
      <c r="G1885" t="s">
        <v>8</v>
      </c>
      <c r="H1885">
        <v>22000000</v>
      </c>
      <c r="I1885">
        <v>5.5</v>
      </c>
      <c r="J1885" t="s">
        <v>9096</v>
      </c>
    </row>
    <row r="1886" spans="1:10" x14ac:dyDescent="0.3">
      <c r="A1886">
        <v>170</v>
      </c>
      <c r="B1886">
        <v>59696176</v>
      </c>
      <c r="C1886" t="s">
        <v>2495</v>
      </c>
      <c r="D1886" t="s">
        <v>4366</v>
      </c>
      <c r="E1886" t="s">
        <v>4367</v>
      </c>
      <c r="F1886" t="s">
        <v>7</v>
      </c>
      <c r="G1886" t="s">
        <v>8</v>
      </c>
      <c r="H1886">
        <v>22000000</v>
      </c>
      <c r="I1886">
        <v>7</v>
      </c>
      <c r="J1886" t="s">
        <v>8610</v>
      </c>
    </row>
    <row r="1887" spans="1:10" x14ac:dyDescent="0.3">
      <c r="A1887">
        <v>133</v>
      </c>
      <c r="B1887">
        <v>51483949</v>
      </c>
      <c r="C1887" t="s">
        <v>537</v>
      </c>
      <c r="D1887" t="s">
        <v>4368</v>
      </c>
      <c r="E1887" t="s">
        <v>4369</v>
      </c>
      <c r="F1887" t="s">
        <v>7</v>
      </c>
      <c r="G1887" t="s">
        <v>15</v>
      </c>
      <c r="H1887">
        <v>22000000</v>
      </c>
      <c r="I1887">
        <v>6.5</v>
      </c>
      <c r="J1887" t="s">
        <v>8413</v>
      </c>
    </row>
    <row r="1888" spans="1:10" x14ac:dyDescent="0.3">
      <c r="A1888">
        <v>112</v>
      </c>
      <c r="B1888">
        <v>36020063</v>
      </c>
      <c r="C1888" t="s">
        <v>1704</v>
      </c>
      <c r="D1888" t="s">
        <v>4370</v>
      </c>
      <c r="E1888" t="s">
        <v>4371</v>
      </c>
      <c r="F1888" t="s">
        <v>7</v>
      </c>
      <c r="G1888" t="s">
        <v>8</v>
      </c>
      <c r="H1888">
        <v>22000000</v>
      </c>
      <c r="I1888">
        <v>5.8</v>
      </c>
      <c r="J1888" t="s">
        <v>8868</v>
      </c>
    </row>
    <row r="1889" spans="1:10" x14ac:dyDescent="0.3">
      <c r="A1889">
        <v>108</v>
      </c>
      <c r="B1889">
        <v>33313582</v>
      </c>
      <c r="C1889" t="s">
        <v>2226</v>
      </c>
      <c r="D1889" t="s">
        <v>4372</v>
      </c>
      <c r="E1889" t="s">
        <v>4373</v>
      </c>
      <c r="F1889" t="s">
        <v>7</v>
      </c>
      <c r="G1889" t="s">
        <v>8</v>
      </c>
      <c r="H1889">
        <v>21000000</v>
      </c>
      <c r="I1889">
        <v>5.6</v>
      </c>
      <c r="J1889" t="s">
        <v>9097</v>
      </c>
    </row>
    <row r="1890" spans="1:10" x14ac:dyDescent="0.3">
      <c r="A1890">
        <v>115</v>
      </c>
      <c r="B1890">
        <v>25842000</v>
      </c>
      <c r="C1890" t="s">
        <v>2663</v>
      </c>
      <c r="D1890" t="s">
        <v>4374</v>
      </c>
      <c r="E1890" t="s">
        <v>4375</v>
      </c>
      <c r="F1890" t="s">
        <v>7</v>
      </c>
      <c r="G1890" t="s">
        <v>15</v>
      </c>
      <c r="H1890">
        <v>22000000</v>
      </c>
      <c r="I1890">
        <v>5.6</v>
      </c>
      <c r="J1890" t="s">
        <v>9098</v>
      </c>
    </row>
    <row r="1891" spans="1:10" x14ac:dyDescent="0.3">
      <c r="A1891">
        <v>83</v>
      </c>
      <c r="B1891">
        <v>22264487</v>
      </c>
      <c r="C1891" t="s">
        <v>668</v>
      </c>
      <c r="D1891" t="s">
        <v>4376</v>
      </c>
      <c r="E1891" t="s">
        <v>4377</v>
      </c>
      <c r="F1891" t="s">
        <v>7</v>
      </c>
      <c r="G1891" t="s">
        <v>8</v>
      </c>
      <c r="H1891">
        <v>22000000</v>
      </c>
      <c r="I1891">
        <v>5.8</v>
      </c>
      <c r="J1891" t="s">
        <v>8594</v>
      </c>
    </row>
    <row r="1892" spans="1:10" x14ac:dyDescent="0.3">
      <c r="A1892">
        <v>105</v>
      </c>
      <c r="B1892">
        <v>30659817</v>
      </c>
      <c r="C1892" t="s">
        <v>1040</v>
      </c>
      <c r="D1892" t="s">
        <v>4378</v>
      </c>
      <c r="E1892" t="s">
        <v>4379</v>
      </c>
      <c r="F1892" t="s">
        <v>7</v>
      </c>
      <c r="G1892" t="s">
        <v>8</v>
      </c>
      <c r="H1892">
        <v>26000000</v>
      </c>
      <c r="I1892">
        <v>7.6</v>
      </c>
      <c r="J1892" t="s">
        <v>8857</v>
      </c>
    </row>
    <row r="1893" spans="1:10" x14ac:dyDescent="0.3">
      <c r="A1893">
        <v>96</v>
      </c>
      <c r="B1893">
        <v>19351569</v>
      </c>
      <c r="C1893" t="s">
        <v>1782</v>
      </c>
      <c r="D1893" t="s">
        <v>4381</v>
      </c>
      <c r="E1893" t="s">
        <v>4382</v>
      </c>
      <c r="F1893" t="s">
        <v>7</v>
      </c>
      <c r="G1893" t="s">
        <v>8</v>
      </c>
      <c r="H1893">
        <v>22000000</v>
      </c>
      <c r="I1893">
        <v>6.4</v>
      </c>
      <c r="J1893" t="s">
        <v>8738</v>
      </c>
    </row>
    <row r="1894" spans="1:10" x14ac:dyDescent="0.3">
      <c r="A1894">
        <v>94</v>
      </c>
      <c r="B1894">
        <v>49002815</v>
      </c>
      <c r="C1894" t="s">
        <v>1261</v>
      </c>
      <c r="D1894" t="s">
        <v>4383</v>
      </c>
      <c r="E1894" t="s">
        <v>4384</v>
      </c>
      <c r="F1894" t="s">
        <v>7</v>
      </c>
      <c r="G1894" t="s">
        <v>8</v>
      </c>
      <c r="H1894">
        <v>22000000</v>
      </c>
      <c r="I1894">
        <v>6.3</v>
      </c>
      <c r="J1894" t="s">
        <v>9099</v>
      </c>
    </row>
    <row r="1895" spans="1:10" x14ac:dyDescent="0.3">
      <c r="A1895">
        <v>142</v>
      </c>
      <c r="B1895">
        <v>19283782</v>
      </c>
      <c r="C1895" t="s">
        <v>2211</v>
      </c>
      <c r="D1895" t="s">
        <v>4385</v>
      </c>
      <c r="E1895" t="s">
        <v>4386</v>
      </c>
      <c r="F1895" t="s">
        <v>7</v>
      </c>
      <c r="G1895" t="s">
        <v>8</v>
      </c>
      <c r="H1895">
        <v>22000000</v>
      </c>
      <c r="I1895">
        <v>4.5999999999999996</v>
      </c>
      <c r="J1895" t="s">
        <v>9100</v>
      </c>
    </row>
    <row r="1896" spans="1:10" x14ac:dyDescent="0.3">
      <c r="A1896">
        <v>104</v>
      </c>
      <c r="B1896">
        <v>30059386</v>
      </c>
      <c r="C1896" t="s">
        <v>668</v>
      </c>
      <c r="D1896" t="s">
        <v>4387</v>
      </c>
      <c r="E1896" t="s">
        <v>4388</v>
      </c>
      <c r="F1896" t="s">
        <v>7</v>
      </c>
      <c r="G1896" t="s">
        <v>8</v>
      </c>
      <c r="H1896">
        <v>22000000</v>
      </c>
      <c r="I1896">
        <v>6.5</v>
      </c>
      <c r="J1896" t="s">
        <v>9101</v>
      </c>
    </row>
    <row r="1897" spans="1:10" x14ac:dyDescent="0.3">
      <c r="A1897">
        <v>106</v>
      </c>
      <c r="B1897">
        <v>17951431</v>
      </c>
      <c r="C1897" t="s">
        <v>882</v>
      </c>
      <c r="D1897" t="s">
        <v>4389</v>
      </c>
      <c r="E1897" t="s">
        <v>4390</v>
      </c>
      <c r="F1897" t="s">
        <v>7</v>
      </c>
      <c r="G1897" t="s">
        <v>8</v>
      </c>
      <c r="H1897">
        <v>30000000</v>
      </c>
      <c r="I1897">
        <v>7.5</v>
      </c>
      <c r="J1897" t="s">
        <v>9102</v>
      </c>
    </row>
    <row r="1898" spans="1:10" x14ac:dyDescent="0.3">
      <c r="A1898">
        <v>106</v>
      </c>
      <c r="B1898">
        <v>29997095</v>
      </c>
      <c r="C1898" t="s">
        <v>4391</v>
      </c>
      <c r="D1898" t="s">
        <v>4392</v>
      </c>
      <c r="E1898" t="s">
        <v>4393</v>
      </c>
      <c r="F1898" t="s">
        <v>7</v>
      </c>
      <c r="G1898" t="s">
        <v>15</v>
      </c>
      <c r="H1898">
        <v>22000000</v>
      </c>
      <c r="I1898">
        <v>7.5</v>
      </c>
      <c r="J1898" t="s">
        <v>8706</v>
      </c>
    </row>
    <row r="1899" spans="1:10" x14ac:dyDescent="0.3">
      <c r="A1899">
        <v>98</v>
      </c>
      <c r="B1899">
        <v>14252830</v>
      </c>
      <c r="C1899" t="s">
        <v>2708</v>
      </c>
      <c r="D1899" t="s">
        <v>4394</v>
      </c>
      <c r="E1899" t="s">
        <v>4395</v>
      </c>
      <c r="F1899" t="s">
        <v>7</v>
      </c>
      <c r="G1899" t="s">
        <v>95</v>
      </c>
      <c r="H1899">
        <v>22000000</v>
      </c>
      <c r="I1899">
        <v>5.3</v>
      </c>
      <c r="J1899" t="s">
        <v>8941</v>
      </c>
    </row>
    <row r="1900" spans="1:10" x14ac:dyDescent="0.3">
      <c r="A1900">
        <v>100</v>
      </c>
      <c r="B1900">
        <v>19783777</v>
      </c>
      <c r="C1900" t="s">
        <v>164</v>
      </c>
      <c r="D1900" t="s">
        <v>4396</v>
      </c>
      <c r="E1900" t="s">
        <v>4397</v>
      </c>
      <c r="F1900" t="s">
        <v>7</v>
      </c>
      <c r="G1900" t="s">
        <v>8</v>
      </c>
      <c r="H1900">
        <v>22000000</v>
      </c>
      <c r="I1900">
        <v>7.5</v>
      </c>
      <c r="J1900" t="s">
        <v>9103</v>
      </c>
    </row>
    <row r="1901" spans="1:10" x14ac:dyDescent="0.3">
      <c r="A1901">
        <v>95</v>
      </c>
      <c r="B1901">
        <v>13555988</v>
      </c>
      <c r="C1901" t="s">
        <v>295</v>
      </c>
      <c r="D1901" t="s">
        <v>4398</v>
      </c>
      <c r="E1901" t="s">
        <v>4399</v>
      </c>
      <c r="F1901" t="s">
        <v>7</v>
      </c>
      <c r="G1901" t="s">
        <v>284</v>
      </c>
      <c r="H1901">
        <v>22000000</v>
      </c>
      <c r="I1901">
        <v>3.3</v>
      </c>
      <c r="J1901" t="s">
        <v>9104</v>
      </c>
    </row>
    <row r="1902" spans="1:10" x14ac:dyDescent="0.3">
      <c r="A1902">
        <v>107</v>
      </c>
      <c r="B1902">
        <v>12784713</v>
      </c>
      <c r="C1902" t="s">
        <v>668</v>
      </c>
      <c r="D1902" t="s">
        <v>4400</v>
      </c>
      <c r="E1902" t="s">
        <v>4401</v>
      </c>
      <c r="F1902" t="s">
        <v>7</v>
      </c>
      <c r="G1902" t="s">
        <v>8</v>
      </c>
      <c r="H1902">
        <v>22000000</v>
      </c>
      <c r="I1902">
        <v>5.7</v>
      </c>
      <c r="J1902" t="s">
        <v>8766</v>
      </c>
    </row>
    <row r="1903" spans="1:10" x14ac:dyDescent="0.3">
      <c r="A1903">
        <v>104</v>
      </c>
      <c r="B1903">
        <v>10696210</v>
      </c>
      <c r="C1903" t="s">
        <v>555</v>
      </c>
      <c r="D1903" t="s">
        <v>4402</v>
      </c>
      <c r="E1903" t="s">
        <v>4403</v>
      </c>
      <c r="F1903" t="s">
        <v>7</v>
      </c>
      <c r="G1903" t="s">
        <v>8</v>
      </c>
      <c r="H1903">
        <v>23500000</v>
      </c>
      <c r="I1903">
        <v>3.5</v>
      </c>
      <c r="J1903" t="s">
        <v>9105</v>
      </c>
    </row>
    <row r="1904" spans="1:10" x14ac:dyDescent="0.3">
      <c r="A1904">
        <v>104</v>
      </c>
      <c r="B1904">
        <v>5974653</v>
      </c>
      <c r="C1904" t="s">
        <v>92</v>
      </c>
      <c r="D1904" t="s">
        <v>4404</v>
      </c>
      <c r="E1904" t="s">
        <v>4405</v>
      </c>
      <c r="F1904" t="s">
        <v>7</v>
      </c>
      <c r="G1904" t="s">
        <v>8</v>
      </c>
      <c r="H1904">
        <v>22000000</v>
      </c>
      <c r="I1904">
        <v>9.3000000000000007</v>
      </c>
      <c r="J1904" t="s">
        <v>8584</v>
      </c>
    </row>
    <row r="1905" spans="1:10" x14ac:dyDescent="0.3">
      <c r="A1905">
        <v>143</v>
      </c>
      <c r="B1905">
        <v>5000000</v>
      </c>
      <c r="C1905" t="s">
        <v>4406</v>
      </c>
      <c r="D1905" t="s">
        <v>4407</v>
      </c>
      <c r="E1905" t="s">
        <v>4408</v>
      </c>
      <c r="F1905" t="s">
        <v>7</v>
      </c>
      <c r="G1905" t="s">
        <v>8</v>
      </c>
      <c r="H1905">
        <v>25000000</v>
      </c>
      <c r="I1905">
        <v>4.8</v>
      </c>
      <c r="J1905" t="s">
        <v>8807</v>
      </c>
    </row>
    <row r="1906" spans="1:10" x14ac:dyDescent="0.3">
      <c r="A1906">
        <v>77</v>
      </c>
      <c r="B1906">
        <v>9694105</v>
      </c>
      <c r="C1906" t="s">
        <v>1126</v>
      </c>
      <c r="D1906" t="s">
        <v>4409</v>
      </c>
      <c r="E1906" t="s">
        <v>4410</v>
      </c>
      <c r="F1906" t="s">
        <v>7</v>
      </c>
      <c r="G1906" t="s">
        <v>8</v>
      </c>
      <c r="H1906">
        <v>22000000</v>
      </c>
      <c r="I1906">
        <v>6.9</v>
      </c>
      <c r="J1906" t="s">
        <v>8600</v>
      </c>
    </row>
    <row r="1907" spans="1:10" x14ac:dyDescent="0.3">
      <c r="A1907">
        <v>96</v>
      </c>
      <c r="B1907">
        <v>16027866</v>
      </c>
      <c r="C1907" t="s">
        <v>118</v>
      </c>
      <c r="D1907" t="s">
        <v>4411</v>
      </c>
      <c r="E1907" t="s">
        <v>4412</v>
      </c>
      <c r="F1907" t="s">
        <v>7</v>
      </c>
      <c r="G1907" t="s">
        <v>583</v>
      </c>
      <c r="H1907">
        <v>25000000</v>
      </c>
      <c r="I1907">
        <v>6</v>
      </c>
      <c r="J1907" t="s">
        <v>8489</v>
      </c>
    </row>
    <row r="1908" spans="1:10" x14ac:dyDescent="0.3">
      <c r="A1908">
        <v>145</v>
      </c>
      <c r="B1908">
        <v>4398392</v>
      </c>
      <c r="C1908" t="s">
        <v>3225</v>
      </c>
      <c r="D1908" t="s">
        <v>4413</v>
      </c>
      <c r="E1908" t="s">
        <v>4414</v>
      </c>
      <c r="F1908" t="s">
        <v>4415</v>
      </c>
      <c r="G1908" t="s">
        <v>4416</v>
      </c>
      <c r="H1908">
        <v>21000000</v>
      </c>
      <c r="I1908">
        <v>7.3</v>
      </c>
      <c r="J1908" t="s">
        <v>9106</v>
      </c>
    </row>
    <row r="1909" spans="1:10" x14ac:dyDescent="0.3">
      <c r="A1909">
        <v>116</v>
      </c>
      <c r="B1909">
        <v>1050445</v>
      </c>
      <c r="C1909" t="s">
        <v>4417</v>
      </c>
      <c r="D1909" t="s">
        <v>4418</v>
      </c>
      <c r="E1909" t="s">
        <v>4419</v>
      </c>
      <c r="F1909" t="s">
        <v>582</v>
      </c>
      <c r="G1909" t="s">
        <v>583</v>
      </c>
      <c r="H1909">
        <v>22000000</v>
      </c>
      <c r="I1909">
        <v>6</v>
      </c>
      <c r="J1909" t="s">
        <v>9107</v>
      </c>
    </row>
    <row r="1910" spans="1:10" x14ac:dyDescent="0.3">
      <c r="A1910">
        <v>100</v>
      </c>
      <c r="B1910">
        <v>13746550</v>
      </c>
      <c r="C1910" t="s">
        <v>564</v>
      </c>
      <c r="D1910" t="s">
        <v>4420</v>
      </c>
      <c r="E1910" t="s">
        <v>4421</v>
      </c>
      <c r="F1910" t="s">
        <v>7</v>
      </c>
      <c r="G1910" t="s">
        <v>8</v>
      </c>
      <c r="H1910">
        <v>2000000</v>
      </c>
      <c r="I1910">
        <v>6.6</v>
      </c>
      <c r="J1910" t="s">
        <v>9108</v>
      </c>
    </row>
    <row r="1911" spans="1:10" x14ac:dyDescent="0.3">
      <c r="A1911">
        <v>104</v>
      </c>
      <c r="B1911">
        <v>20668843</v>
      </c>
      <c r="C1911" t="s">
        <v>2509</v>
      </c>
      <c r="D1911" t="s">
        <v>4422</v>
      </c>
      <c r="E1911" t="s">
        <v>4423</v>
      </c>
      <c r="F1911" t="s">
        <v>7</v>
      </c>
      <c r="G1911" t="s">
        <v>8</v>
      </c>
      <c r="H1911">
        <v>22000000</v>
      </c>
      <c r="I1911">
        <v>7.5</v>
      </c>
      <c r="J1911" t="s">
        <v>9109</v>
      </c>
    </row>
    <row r="1912" spans="1:10" x14ac:dyDescent="0.3">
      <c r="A1912">
        <v>92</v>
      </c>
      <c r="B1912">
        <v>2963012</v>
      </c>
      <c r="C1912" t="s">
        <v>780</v>
      </c>
      <c r="D1912" t="s">
        <v>4424</v>
      </c>
      <c r="E1912" t="s">
        <v>4425</v>
      </c>
      <c r="F1912" t="s">
        <v>7</v>
      </c>
      <c r="G1912" t="s">
        <v>15</v>
      </c>
      <c r="H1912">
        <v>22000000</v>
      </c>
      <c r="I1912">
        <v>6.9</v>
      </c>
      <c r="J1912" t="s">
        <v>8730</v>
      </c>
    </row>
    <row r="1913" spans="1:10" x14ac:dyDescent="0.3">
      <c r="A1913">
        <v>105</v>
      </c>
      <c r="B1913">
        <v>1796024</v>
      </c>
      <c r="C1913" t="s">
        <v>1704</v>
      </c>
      <c r="D1913" t="s">
        <v>4426</v>
      </c>
      <c r="E1913" t="s">
        <v>4427</v>
      </c>
      <c r="F1913" t="s">
        <v>7</v>
      </c>
      <c r="G1913" t="s">
        <v>8</v>
      </c>
      <c r="H1913">
        <v>22000000</v>
      </c>
      <c r="I1913">
        <v>6.8</v>
      </c>
      <c r="J1913" t="s">
        <v>9110</v>
      </c>
    </row>
    <row r="1914" spans="1:10" x14ac:dyDescent="0.3">
      <c r="A1914">
        <v>116</v>
      </c>
      <c r="B1914">
        <v>11326836</v>
      </c>
      <c r="C1914" t="s">
        <v>873</v>
      </c>
      <c r="D1914" t="s">
        <v>4428</v>
      </c>
      <c r="E1914" t="s">
        <v>4429</v>
      </c>
      <c r="F1914" t="s">
        <v>7</v>
      </c>
      <c r="G1914" t="s">
        <v>8</v>
      </c>
      <c r="H1914">
        <v>22000000</v>
      </c>
      <c r="I1914">
        <v>6.3</v>
      </c>
      <c r="J1914" t="s">
        <v>8937</v>
      </c>
    </row>
    <row r="1915" spans="1:10" x14ac:dyDescent="0.3">
      <c r="A1915">
        <v>119</v>
      </c>
      <c r="B1915">
        <v>49024969</v>
      </c>
      <c r="C1915" t="s">
        <v>882</v>
      </c>
      <c r="D1915" t="s">
        <v>4430</v>
      </c>
      <c r="E1915" t="s">
        <v>4431</v>
      </c>
      <c r="F1915" t="s">
        <v>7</v>
      </c>
      <c r="G1915" t="s">
        <v>8</v>
      </c>
      <c r="H1915">
        <v>25000000</v>
      </c>
      <c r="I1915">
        <v>6.4</v>
      </c>
      <c r="J1915" t="s">
        <v>9111</v>
      </c>
    </row>
    <row r="1916" spans="1:10" x14ac:dyDescent="0.3">
      <c r="A1916">
        <v>101</v>
      </c>
      <c r="B1916">
        <v>22294341</v>
      </c>
      <c r="C1916" t="s">
        <v>1765</v>
      </c>
      <c r="D1916" t="s">
        <v>4432</v>
      </c>
      <c r="E1916" t="s">
        <v>4433</v>
      </c>
      <c r="F1916" t="s">
        <v>7</v>
      </c>
      <c r="G1916" t="s">
        <v>8</v>
      </c>
      <c r="H1916">
        <v>21500000</v>
      </c>
      <c r="I1916">
        <v>5.6</v>
      </c>
      <c r="J1916" t="s">
        <v>9112</v>
      </c>
    </row>
    <row r="1917" spans="1:10" x14ac:dyDescent="0.3">
      <c r="A1917">
        <v>117</v>
      </c>
      <c r="B1917">
        <v>24362501</v>
      </c>
      <c r="C1917" t="s">
        <v>873</v>
      </c>
      <c r="D1917" t="s">
        <v>4434</v>
      </c>
      <c r="E1917" t="s">
        <v>4435</v>
      </c>
      <c r="F1917" t="s">
        <v>7</v>
      </c>
      <c r="G1917" t="s">
        <v>8</v>
      </c>
      <c r="H1917">
        <v>21500000</v>
      </c>
      <c r="I1917">
        <v>6.3</v>
      </c>
      <c r="J1917" t="s">
        <v>9113</v>
      </c>
    </row>
    <row r="1918" spans="1:10" x14ac:dyDescent="0.3">
      <c r="A1918">
        <v>112</v>
      </c>
      <c r="B1918">
        <v>16684352</v>
      </c>
      <c r="C1918" t="s">
        <v>672</v>
      </c>
      <c r="D1918" t="s">
        <v>4436</v>
      </c>
      <c r="E1918" t="s">
        <v>4437</v>
      </c>
      <c r="F1918" t="s">
        <v>7</v>
      </c>
      <c r="G1918" t="s">
        <v>8</v>
      </c>
      <c r="H1918">
        <v>17000000</v>
      </c>
      <c r="I1918">
        <v>7.3</v>
      </c>
      <c r="J1918" t="s">
        <v>8895</v>
      </c>
    </row>
    <row r="1919" spans="1:10" x14ac:dyDescent="0.3">
      <c r="A1919">
        <v>136</v>
      </c>
      <c r="B1919">
        <v>46700000</v>
      </c>
      <c r="C1919" t="s">
        <v>12</v>
      </c>
      <c r="D1919" t="s">
        <v>4438</v>
      </c>
      <c r="E1919" t="s">
        <v>4439</v>
      </c>
      <c r="F1919" t="s">
        <v>7</v>
      </c>
      <c r="G1919" t="s">
        <v>8</v>
      </c>
      <c r="H1919">
        <v>21000000</v>
      </c>
      <c r="I1919">
        <v>6.6</v>
      </c>
      <c r="J1919" t="s">
        <v>9114</v>
      </c>
    </row>
    <row r="1920" spans="1:10" x14ac:dyDescent="0.3">
      <c r="A1920">
        <v>81</v>
      </c>
      <c r="B1920">
        <v>52008288</v>
      </c>
      <c r="C1920" t="s">
        <v>4440</v>
      </c>
      <c r="D1920" t="s">
        <v>4441</v>
      </c>
      <c r="E1920" t="s">
        <v>4442</v>
      </c>
      <c r="F1920" t="s">
        <v>7</v>
      </c>
      <c r="G1920" t="s">
        <v>8</v>
      </c>
      <c r="H1920">
        <v>21000000</v>
      </c>
      <c r="I1920">
        <v>4.5999999999999996</v>
      </c>
      <c r="J1920" t="s">
        <v>9115</v>
      </c>
    </row>
    <row r="1921" spans="1:10" x14ac:dyDescent="0.3">
      <c r="A1921">
        <v>87</v>
      </c>
      <c r="B1921">
        <v>8579684</v>
      </c>
      <c r="C1921" t="s">
        <v>668</v>
      </c>
      <c r="D1921" t="s">
        <v>4443</v>
      </c>
      <c r="E1921" t="s">
        <v>4444</v>
      </c>
      <c r="F1921" t="s">
        <v>7</v>
      </c>
      <c r="G1921" t="s">
        <v>8</v>
      </c>
      <c r="H1921">
        <v>9000000</v>
      </c>
      <c r="I1921">
        <v>5.0999999999999996</v>
      </c>
      <c r="J1921" t="s">
        <v>8393</v>
      </c>
    </row>
    <row r="1922" spans="1:10" x14ac:dyDescent="0.3">
      <c r="A1922">
        <v>96</v>
      </c>
      <c r="B1922">
        <v>42660000</v>
      </c>
      <c r="C1922" t="s">
        <v>53</v>
      </c>
      <c r="D1922" t="s">
        <v>4445</v>
      </c>
      <c r="E1922" t="s">
        <v>4446</v>
      </c>
      <c r="F1922" t="s">
        <v>7</v>
      </c>
      <c r="G1922" t="s">
        <v>8</v>
      </c>
      <c r="H1922">
        <v>17000000</v>
      </c>
      <c r="I1922">
        <v>5.6</v>
      </c>
      <c r="J1922" t="s">
        <v>9116</v>
      </c>
    </row>
    <row r="1923" spans="1:10" x14ac:dyDescent="0.3">
      <c r="A1923">
        <v>106</v>
      </c>
      <c r="B1923">
        <v>40219708</v>
      </c>
      <c r="C1923" t="s">
        <v>1578</v>
      </c>
      <c r="D1923" t="s">
        <v>4447</v>
      </c>
      <c r="E1923" t="s">
        <v>4448</v>
      </c>
      <c r="F1923" t="s">
        <v>7</v>
      </c>
      <c r="G1923" t="s">
        <v>8</v>
      </c>
      <c r="H1923">
        <v>21000000</v>
      </c>
      <c r="I1923">
        <v>5.3</v>
      </c>
      <c r="J1923" t="s">
        <v>9117</v>
      </c>
    </row>
    <row r="1924" spans="1:10" x14ac:dyDescent="0.3">
      <c r="A1924">
        <v>122</v>
      </c>
      <c r="B1924">
        <v>132088910</v>
      </c>
      <c r="C1924" t="s">
        <v>561</v>
      </c>
      <c r="D1924" t="s">
        <v>4449</v>
      </c>
      <c r="E1924" t="s">
        <v>4450</v>
      </c>
      <c r="F1924" t="s">
        <v>7</v>
      </c>
      <c r="G1924" t="s">
        <v>8</v>
      </c>
      <c r="H1924">
        <v>21000000</v>
      </c>
      <c r="I1924">
        <v>7.5</v>
      </c>
      <c r="J1924" t="s">
        <v>9118</v>
      </c>
    </row>
    <row r="1925" spans="1:10" x14ac:dyDescent="0.3">
      <c r="A1925">
        <v>123</v>
      </c>
      <c r="B1925">
        <v>36581633</v>
      </c>
      <c r="C1925" t="s">
        <v>694</v>
      </c>
      <c r="D1925" t="s">
        <v>4451</v>
      </c>
      <c r="E1925" t="s">
        <v>4452</v>
      </c>
      <c r="F1925" t="s">
        <v>7</v>
      </c>
      <c r="G1925" t="s">
        <v>284</v>
      </c>
      <c r="H1925">
        <v>21000000</v>
      </c>
      <c r="I1925">
        <v>5.6</v>
      </c>
      <c r="J1925" t="s">
        <v>9119</v>
      </c>
    </row>
    <row r="1926" spans="1:10" x14ac:dyDescent="0.3">
      <c r="A1926">
        <v>92</v>
      </c>
      <c r="B1926">
        <v>25296447</v>
      </c>
      <c r="C1926" t="s">
        <v>118</v>
      </c>
      <c r="D1926" t="s">
        <v>4453</v>
      </c>
      <c r="E1926" t="s">
        <v>4454</v>
      </c>
      <c r="F1926" t="s">
        <v>7</v>
      </c>
      <c r="G1926" t="s">
        <v>583</v>
      </c>
      <c r="H1926">
        <v>21000000</v>
      </c>
      <c r="I1926">
        <v>5.9</v>
      </c>
      <c r="J1926" t="s">
        <v>9120</v>
      </c>
    </row>
    <row r="1927" spans="1:10" x14ac:dyDescent="0.3">
      <c r="A1927">
        <v>110</v>
      </c>
      <c r="B1927">
        <v>24848292</v>
      </c>
      <c r="C1927" t="s">
        <v>1350</v>
      </c>
      <c r="D1927" t="s">
        <v>4455</v>
      </c>
      <c r="E1927" t="s">
        <v>4456</v>
      </c>
      <c r="F1927" t="s">
        <v>7</v>
      </c>
      <c r="G1927" t="s">
        <v>8</v>
      </c>
      <c r="H1927">
        <v>20000000</v>
      </c>
      <c r="I1927">
        <v>4.7</v>
      </c>
      <c r="J1927" t="s">
        <v>9121</v>
      </c>
    </row>
    <row r="1928" spans="1:10" x14ac:dyDescent="0.3">
      <c r="A1928">
        <v>104</v>
      </c>
      <c r="B1928">
        <v>17757087</v>
      </c>
      <c r="C1928" t="s">
        <v>1813</v>
      </c>
      <c r="D1928" t="s">
        <v>4457</v>
      </c>
      <c r="E1928" t="s">
        <v>4458</v>
      </c>
      <c r="F1928" t="s">
        <v>7</v>
      </c>
      <c r="G1928" t="s">
        <v>8</v>
      </c>
      <c r="H1928">
        <v>21000000</v>
      </c>
      <c r="I1928">
        <v>4.8</v>
      </c>
      <c r="J1928" t="s">
        <v>8841</v>
      </c>
    </row>
    <row r="1929" spans="1:10" x14ac:dyDescent="0.3">
      <c r="A1929">
        <v>98</v>
      </c>
      <c r="B1929">
        <v>9430988</v>
      </c>
      <c r="C1929" t="s">
        <v>561</v>
      </c>
      <c r="D1929" t="s">
        <v>4459</v>
      </c>
      <c r="E1929" t="s">
        <v>4460</v>
      </c>
      <c r="F1929" t="s">
        <v>7</v>
      </c>
      <c r="G1929" t="s">
        <v>8</v>
      </c>
      <c r="H1929">
        <v>17000000</v>
      </c>
      <c r="I1929">
        <v>6.8</v>
      </c>
      <c r="J1929" t="s">
        <v>8919</v>
      </c>
    </row>
    <row r="1930" spans="1:10" x14ac:dyDescent="0.3">
      <c r="A1930">
        <v>120</v>
      </c>
      <c r="B1930">
        <v>16284360</v>
      </c>
      <c r="C1930" t="s">
        <v>1040</v>
      </c>
      <c r="D1930" t="s">
        <v>4461</v>
      </c>
      <c r="E1930" t="s">
        <v>4462</v>
      </c>
      <c r="F1930" t="s">
        <v>7</v>
      </c>
      <c r="G1930" t="s">
        <v>8</v>
      </c>
      <c r="H1930">
        <v>21000000</v>
      </c>
      <c r="I1930">
        <v>5.4</v>
      </c>
      <c r="J1930" t="s">
        <v>9122</v>
      </c>
    </row>
    <row r="1931" spans="1:10" x14ac:dyDescent="0.3">
      <c r="A1931">
        <v>112</v>
      </c>
      <c r="B1931">
        <v>6830957</v>
      </c>
      <c r="C1931" t="s">
        <v>73</v>
      </c>
      <c r="D1931" t="s">
        <v>4463</v>
      </c>
      <c r="E1931" t="s">
        <v>4464</v>
      </c>
      <c r="F1931" t="s">
        <v>7</v>
      </c>
      <c r="G1931" t="s">
        <v>8</v>
      </c>
      <c r="H1931">
        <v>21000000</v>
      </c>
      <c r="I1931">
        <v>5.0999999999999996</v>
      </c>
      <c r="J1931" t="s">
        <v>9123</v>
      </c>
    </row>
    <row r="1932" spans="1:10" x14ac:dyDescent="0.3">
      <c r="A1932">
        <v>127</v>
      </c>
      <c r="B1932">
        <v>24104113</v>
      </c>
      <c r="C1932" t="s">
        <v>780</v>
      </c>
      <c r="D1932" t="s">
        <v>4465</v>
      </c>
      <c r="E1932" t="s">
        <v>4466</v>
      </c>
      <c r="F1932" t="s">
        <v>7</v>
      </c>
      <c r="G1932" t="s">
        <v>583</v>
      </c>
      <c r="H1932">
        <v>20000000</v>
      </c>
      <c r="I1932">
        <v>7</v>
      </c>
      <c r="J1932" t="s">
        <v>8731</v>
      </c>
    </row>
    <row r="1933" spans="1:10" x14ac:dyDescent="0.3">
      <c r="A1933">
        <v>102</v>
      </c>
      <c r="B1933">
        <v>15593</v>
      </c>
      <c r="C1933" t="s">
        <v>561</v>
      </c>
      <c r="D1933" t="s">
        <v>4467</v>
      </c>
      <c r="E1933" t="s">
        <v>4468</v>
      </c>
      <c r="F1933" t="s">
        <v>7</v>
      </c>
      <c r="G1933" t="s">
        <v>8</v>
      </c>
      <c r="H1933">
        <v>21000000</v>
      </c>
      <c r="I1933">
        <v>6.7</v>
      </c>
      <c r="J1933" t="s">
        <v>8702</v>
      </c>
    </row>
    <row r="1934" spans="1:10" x14ac:dyDescent="0.3">
      <c r="A1934">
        <v>91</v>
      </c>
      <c r="B1934">
        <v>958319</v>
      </c>
      <c r="C1934" t="s">
        <v>1417</v>
      </c>
      <c r="D1934" t="s">
        <v>4469</v>
      </c>
      <c r="E1934" t="s">
        <v>4470</v>
      </c>
      <c r="F1934" t="s">
        <v>7</v>
      </c>
      <c r="G1934" t="s">
        <v>8</v>
      </c>
      <c r="H1934">
        <v>21000000</v>
      </c>
      <c r="I1934">
        <v>4</v>
      </c>
      <c r="J1934" t="s">
        <v>8797</v>
      </c>
    </row>
    <row r="1935" spans="1:10" x14ac:dyDescent="0.3">
      <c r="A1935">
        <v>114</v>
      </c>
      <c r="B1935">
        <v>69700000</v>
      </c>
      <c r="C1935" t="s">
        <v>2488</v>
      </c>
      <c r="D1935" t="s">
        <v>4471</v>
      </c>
      <c r="E1935" t="s">
        <v>4472</v>
      </c>
      <c r="F1935" t="s">
        <v>7</v>
      </c>
      <c r="G1935" t="s">
        <v>8</v>
      </c>
      <c r="H1935">
        <v>35000000</v>
      </c>
      <c r="I1935">
        <v>7.3</v>
      </c>
      <c r="J1935" t="s">
        <v>8699</v>
      </c>
    </row>
    <row r="1936" spans="1:10" x14ac:dyDescent="0.3">
      <c r="A1936">
        <v>115</v>
      </c>
      <c r="B1936">
        <v>2840417</v>
      </c>
      <c r="C1936" t="s">
        <v>1813</v>
      </c>
      <c r="D1936" t="s">
        <v>4473</v>
      </c>
      <c r="E1936" t="s">
        <v>4474</v>
      </c>
      <c r="F1936" t="s">
        <v>7</v>
      </c>
      <c r="G1936" t="s">
        <v>95</v>
      </c>
      <c r="H1936">
        <v>31000000</v>
      </c>
      <c r="I1936">
        <v>6.8</v>
      </c>
      <c r="J1936" t="s">
        <v>8539</v>
      </c>
    </row>
    <row r="1937" spans="1:10" x14ac:dyDescent="0.3">
      <c r="A1937">
        <v>115</v>
      </c>
      <c r="B1937">
        <v>242374454</v>
      </c>
      <c r="C1937" t="s">
        <v>36</v>
      </c>
      <c r="D1937" t="s">
        <v>4475</v>
      </c>
      <c r="E1937" t="s">
        <v>4476</v>
      </c>
      <c r="F1937" t="s">
        <v>7</v>
      </c>
      <c r="G1937" t="s">
        <v>8</v>
      </c>
      <c r="H1937">
        <v>18000000</v>
      </c>
      <c r="I1937">
        <v>6.1</v>
      </c>
      <c r="J1937" t="s">
        <v>8917</v>
      </c>
    </row>
    <row r="1938" spans="1:10" x14ac:dyDescent="0.3">
      <c r="A1938">
        <v>135</v>
      </c>
      <c r="B1938">
        <v>128300000</v>
      </c>
      <c r="C1938" t="s">
        <v>746</v>
      </c>
      <c r="D1938" t="s">
        <v>4477</v>
      </c>
      <c r="E1938" t="s">
        <v>4478</v>
      </c>
      <c r="F1938" t="s">
        <v>7</v>
      </c>
      <c r="G1938" t="s">
        <v>8</v>
      </c>
      <c r="H1938">
        <v>19400870</v>
      </c>
      <c r="I1938">
        <v>7</v>
      </c>
      <c r="J1938" t="s">
        <v>8644</v>
      </c>
    </row>
    <row r="1939" spans="1:10" x14ac:dyDescent="0.3">
      <c r="A1939">
        <v>90</v>
      </c>
      <c r="B1939">
        <v>20259297</v>
      </c>
      <c r="C1939" t="s">
        <v>1314</v>
      </c>
      <c r="D1939" t="s">
        <v>4479</v>
      </c>
      <c r="E1939" t="s">
        <v>4480</v>
      </c>
      <c r="F1939" t="s">
        <v>7</v>
      </c>
      <c r="G1939" t="s">
        <v>8</v>
      </c>
      <c r="H1939">
        <v>20000000</v>
      </c>
      <c r="I1939">
        <v>7.1</v>
      </c>
      <c r="J1939" t="s">
        <v>8827</v>
      </c>
    </row>
    <row r="1940" spans="1:10" x14ac:dyDescent="0.3">
      <c r="A1940">
        <v>100</v>
      </c>
      <c r="B1940">
        <v>153665036</v>
      </c>
      <c r="C1940" t="s">
        <v>148</v>
      </c>
      <c r="D1940" t="s">
        <v>4481</v>
      </c>
      <c r="E1940" t="s">
        <v>4482</v>
      </c>
      <c r="F1940" t="s">
        <v>7</v>
      </c>
      <c r="G1940" t="s">
        <v>8</v>
      </c>
      <c r="H1940">
        <v>28000000</v>
      </c>
      <c r="I1940">
        <v>6.9</v>
      </c>
      <c r="J1940" t="s">
        <v>9124</v>
      </c>
    </row>
    <row r="1941" spans="1:10" x14ac:dyDescent="0.3">
      <c r="A1941">
        <v>105</v>
      </c>
      <c r="B1941">
        <v>132541238</v>
      </c>
      <c r="C1941" t="s">
        <v>668</v>
      </c>
      <c r="D1941" t="s">
        <v>4483</v>
      </c>
      <c r="E1941" t="s">
        <v>4484</v>
      </c>
      <c r="F1941" t="s">
        <v>7</v>
      </c>
      <c r="G1941" t="s">
        <v>8</v>
      </c>
      <c r="H1941">
        <v>33000000</v>
      </c>
      <c r="I1941">
        <v>7.3</v>
      </c>
      <c r="J1941" t="s">
        <v>8762</v>
      </c>
    </row>
    <row r="1942" spans="1:10" x14ac:dyDescent="0.3">
      <c r="A1942">
        <v>138</v>
      </c>
      <c r="B1942">
        <v>130727000</v>
      </c>
      <c r="C1942" t="s">
        <v>2805</v>
      </c>
      <c r="D1942" t="s">
        <v>4485</v>
      </c>
      <c r="E1942" t="s">
        <v>4486</v>
      </c>
      <c r="F1942" t="s">
        <v>7</v>
      </c>
      <c r="G1942" t="s">
        <v>8</v>
      </c>
      <c r="H1942">
        <v>19000000</v>
      </c>
      <c r="I1942">
        <v>6.3</v>
      </c>
      <c r="J1942" t="s">
        <v>9125</v>
      </c>
    </row>
    <row r="1943" spans="1:10" x14ac:dyDescent="0.3">
      <c r="A1943">
        <v>94</v>
      </c>
      <c r="B1943">
        <v>121697350</v>
      </c>
      <c r="C1943" t="s">
        <v>2708</v>
      </c>
      <c r="D1943" t="s">
        <v>4487</v>
      </c>
      <c r="E1943" t="s">
        <v>4488</v>
      </c>
      <c r="F1943" t="s">
        <v>7</v>
      </c>
      <c r="G1943" t="s">
        <v>8</v>
      </c>
      <c r="H1943">
        <v>20000000</v>
      </c>
      <c r="I1943">
        <v>8.1999999999999993</v>
      </c>
      <c r="J1943" t="s">
        <v>9022</v>
      </c>
    </row>
    <row r="1944" spans="1:10" x14ac:dyDescent="0.3">
      <c r="A1944">
        <v>101</v>
      </c>
      <c r="B1944">
        <v>117224271</v>
      </c>
      <c r="C1944" t="s">
        <v>4489</v>
      </c>
      <c r="D1944" t="s">
        <v>4490</v>
      </c>
      <c r="E1944" t="s">
        <v>4491</v>
      </c>
      <c r="F1944" t="s">
        <v>7</v>
      </c>
      <c r="G1944" t="s">
        <v>8</v>
      </c>
      <c r="H1944">
        <v>20000000</v>
      </c>
      <c r="I1944">
        <v>7.1</v>
      </c>
      <c r="J1944" t="s">
        <v>8728</v>
      </c>
    </row>
    <row r="1945" spans="1:10" x14ac:dyDescent="0.3">
      <c r="A1945">
        <v>131</v>
      </c>
      <c r="B1945">
        <v>102922376</v>
      </c>
      <c r="C1945" t="s">
        <v>3642</v>
      </c>
      <c r="D1945" t="s">
        <v>4492</v>
      </c>
      <c r="E1945" t="s">
        <v>4493</v>
      </c>
      <c r="F1945" t="s">
        <v>7</v>
      </c>
      <c r="G1945" t="s">
        <v>8</v>
      </c>
      <c r="H1945">
        <v>20000000</v>
      </c>
      <c r="I1945">
        <v>7.7</v>
      </c>
      <c r="J1945" t="s">
        <v>8708</v>
      </c>
    </row>
    <row r="1946" spans="1:10" x14ac:dyDescent="0.3">
      <c r="A1946">
        <v>91</v>
      </c>
      <c r="B1946">
        <v>94497271</v>
      </c>
      <c r="C1946" t="s">
        <v>4494</v>
      </c>
      <c r="D1946" t="s">
        <v>4495</v>
      </c>
      <c r="E1946" t="s">
        <v>4496</v>
      </c>
      <c r="F1946" t="s">
        <v>7</v>
      </c>
      <c r="G1946" t="s">
        <v>8</v>
      </c>
      <c r="H1946">
        <v>20000000</v>
      </c>
      <c r="I1946">
        <v>6.5</v>
      </c>
      <c r="J1946" t="s">
        <v>9002</v>
      </c>
    </row>
    <row r="1947" spans="1:10" x14ac:dyDescent="0.3">
      <c r="A1947">
        <v>112</v>
      </c>
      <c r="B1947">
        <v>137387272</v>
      </c>
      <c r="C1947" t="s">
        <v>1249</v>
      </c>
      <c r="D1947" t="s">
        <v>4497</v>
      </c>
      <c r="E1947" t="s">
        <v>4498</v>
      </c>
      <c r="F1947" t="s">
        <v>7</v>
      </c>
      <c r="G1947" t="s">
        <v>8</v>
      </c>
      <c r="H1947">
        <v>20000000</v>
      </c>
      <c r="I1947">
        <v>4.9000000000000004</v>
      </c>
      <c r="J1947" t="s">
        <v>8745</v>
      </c>
    </row>
    <row r="1948" spans="1:10" x14ac:dyDescent="0.3">
      <c r="A1948">
        <v>95</v>
      </c>
      <c r="B1948">
        <v>82301521</v>
      </c>
      <c r="C1948" t="s">
        <v>4126</v>
      </c>
      <c r="D1948" t="s">
        <v>4499</v>
      </c>
      <c r="E1948" t="s">
        <v>4500</v>
      </c>
      <c r="F1948" t="s">
        <v>7</v>
      </c>
      <c r="G1948" t="s">
        <v>8</v>
      </c>
      <c r="H1948">
        <v>32000000</v>
      </c>
      <c r="I1948">
        <v>6.4</v>
      </c>
      <c r="J1948" t="s">
        <v>9126</v>
      </c>
    </row>
    <row r="1949" spans="1:10" x14ac:dyDescent="0.3">
      <c r="A1949">
        <v>100</v>
      </c>
      <c r="B1949">
        <v>84518155</v>
      </c>
      <c r="C1949" t="s">
        <v>668</v>
      </c>
      <c r="D1949" t="s">
        <v>4501</v>
      </c>
      <c r="E1949" t="s">
        <v>4502</v>
      </c>
      <c r="F1949" t="s">
        <v>7</v>
      </c>
      <c r="G1949" t="s">
        <v>8</v>
      </c>
      <c r="H1949">
        <v>20000000</v>
      </c>
      <c r="I1949">
        <v>5.9</v>
      </c>
      <c r="J1949" t="s">
        <v>9127</v>
      </c>
    </row>
    <row r="1950" spans="1:10" x14ac:dyDescent="0.3">
      <c r="A1950">
        <v>108</v>
      </c>
      <c r="B1950">
        <v>81257845</v>
      </c>
      <c r="C1950" t="s">
        <v>2708</v>
      </c>
      <c r="D1950" t="s">
        <v>4503</v>
      </c>
      <c r="E1950" t="s">
        <v>4504</v>
      </c>
      <c r="F1950" t="s">
        <v>7</v>
      </c>
      <c r="G1950" t="s">
        <v>8</v>
      </c>
      <c r="H1950">
        <v>35000000</v>
      </c>
      <c r="I1950">
        <v>6.2</v>
      </c>
      <c r="J1950" t="s">
        <v>9128</v>
      </c>
    </row>
    <row r="1951" spans="1:10" x14ac:dyDescent="0.3">
      <c r="A1951">
        <v>101</v>
      </c>
      <c r="B1951">
        <v>70360285</v>
      </c>
      <c r="C1951" t="s">
        <v>92</v>
      </c>
      <c r="D1951" t="s">
        <v>4505</v>
      </c>
      <c r="E1951" t="s">
        <v>4506</v>
      </c>
      <c r="F1951" t="s">
        <v>7</v>
      </c>
      <c r="G1951" t="s">
        <v>8</v>
      </c>
      <c r="H1951">
        <v>18000000</v>
      </c>
      <c r="I1951">
        <v>5.8</v>
      </c>
      <c r="J1951" t="s">
        <v>8674</v>
      </c>
    </row>
    <row r="1952" spans="1:10" x14ac:dyDescent="0.3">
      <c r="A1952">
        <v>109</v>
      </c>
      <c r="B1952">
        <v>69148997</v>
      </c>
      <c r="C1952" t="s">
        <v>386</v>
      </c>
      <c r="D1952" t="s">
        <v>4507</v>
      </c>
      <c r="E1952" t="s">
        <v>4508</v>
      </c>
      <c r="F1952" t="s">
        <v>7</v>
      </c>
      <c r="G1952" t="s">
        <v>8</v>
      </c>
      <c r="H1952">
        <v>37000000</v>
      </c>
      <c r="I1952">
        <v>6.7</v>
      </c>
      <c r="J1952" t="s">
        <v>8937</v>
      </c>
    </row>
    <row r="1953" spans="1:10" x14ac:dyDescent="0.3">
      <c r="A1953">
        <v>115</v>
      </c>
      <c r="B1953">
        <v>82624961</v>
      </c>
      <c r="C1953" t="s">
        <v>1040</v>
      </c>
      <c r="D1953" t="s">
        <v>4509</v>
      </c>
      <c r="E1953" t="s">
        <v>4510</v>
      </c>
      <c r="F1953" t="s">
        <v>7</v>
      </c>
      <c r="G1953" t="s">
        <v>8</v>
      </c>
      <c r="H1953">
        <v>20000000</v>
      </c>
      <c r="I1953">
        <v>5.9</v>
      </c>
      <c r="J1953" t="s">
        <v>9129</v>
      </c>
    </row>
    <row r="1954" spans="1:10" x14ac:dyDescent="0.3">
      <c r="A1954">
        <v>117</v>
      </c>
      <c r="B1954">
        <v>67325559</v>
      </c>
      <c r="C1954" t="s">
        <v>4511</v>
      </c>
      <c r="D1954" t="s">
        <v>4512</v>
      </c>
      <c r="E1954" t="s">
        <v>4513</v>
      </c>
      <c r="F1954" t="s">
        <v>7</v>
      </c>
      <c r="G1954" t="s">
        <v>8</v>
      </c>
      <c r="H1954">
        <v>20000000</v>
      </c>
      <c r="I1954">
        <v>7.3</v>
      </c>
      <c r="J1954" t="s">
        <v>9130</v>
      </c>
    </row>
    <row r="1955" spans="1:10" x14ac:dyDescent="0.3">
      <c r="A1955">
        <v>107</v>
      </c>
      <c r="B1955">
        <v>62933793</v>
      </c>
      <c r="C1955" t="s">
        <v>4514</v>
      </c>
      <c r="D1955" t="s">
        <v>4515</v>
      </c>
      <c r="E1955" t="s">
        <v>4516</v>
      </c>
      <c r="F1955" t="s">
        <v>7</v>
      </c>
      <c r="G1955" t="s">
        <v>8</v>
      </c>
      <c r="H1955">
        <v>20000000</v>
      </c>
      <c r="I1955">
        <v>4.8</v>
      </c>
      <c r="J1955" t="s">
        <v>9131</v>
      </c>
    </row>
    <row r="1956" spans="1:10" x14ac:dyDescent="0.3">
      <c r="A1956">
        <v>134</v>
      </c>
      <c r="B1956">
        <v>56667870</v>
      </c>
      <c r="C1956" t="s">
        <v>2495</v>
      </c>
      <c r="D1956" t="s">
        <v>4517</v>
      </c>
      <c r="E1956" t="s">
        <v>4518</v>
      </c>
      <c r="F1956" t="s">
        <v>7</v>
      </c>
      <c r="G1956" t="s">
        <v>8</v>
      </c>
      <c r="H1956">
        <v>20000000</v>
      </c>
      <c r="I1956">
        <v>4.0999999999999996</v>
      </c>
      <c r="J1956" t="s">
        <v>9132</v>
      </c>
    </row>
    <row r="1957" spans="1:10" x14ac:dyDescent="0.3">
      <c r="A1957">
        <v>118</v>
      </c>
      <c r="B1957">
        <v>56398162</v>
      </c>
      <c r="C1957" t="s">
        <v>2429</v>
      </c>
      <c r="D1957" t="s">
        <v>4519</v>
      </c>
      <c r="E1957" t="s">
        <v>4520</v>
      </c>
      <c r="F1957" t="s">
        <v>7</v>
      </c>
      <c r="G1957" t="s">
        <v>8</v>
      </c>
      <c r="H1957">
        <v>20000000</v>
      </c>
      <c r="I1957">
        <v>4.9000000000000004</v>
      </c>
      <c r="J1957" t="s">
        <v>8977</v>
      </c>
    </row>
    <row r="1958" spans="1:10" x14ac:dyDescent="0.3">
      <c r="A1958">
        <v>121</v>
      </c>
      <c r="B1958">
        <v>60072596</v>
      </c>
      <c r="C1958" t="s">
        <v>561</v>
      </c>
      <c r="D1958" t="s">
        <v>4521</v>
      </c>
      <c r="E1958" t="s">
        <v>4522</v>
      </c>
      <c r="F1958" t="s">
        <v>7</v>
      </c>
      <c r="G1958" t="s">
        <v>8</v>
      </c>
      <c r="H1958">
        <v>20000000</v>
      </c>
      <c r="I1958">
        <v>7.9</v>
      </c>
      <c r="J1958" t="s">
        <v>8439</v>
      </c>
    </row>
    <row r="1959" spans="1:10" x14ac:dyDescent="0.3">
      <c r="A1959">
        <v>105</v>
      </c>
      <c r="B1959">
        <v>56362352</v>
      </c>
      <c r="C1959" t="s">
        <v>4523</v>
      </c>
      <c r="D1959" t="s">
        <v>4524</v>
      </c>
      <c r="E1959" t="s">
        <v>4525</v>
      </c>
      <c r="F1959" t="s">
        <v>7</v>
      </c>
      <c r="G1959" t="s">
        <v>8</v>
      </c>
      <c r="H1959">
        <v>20000000</v>
      </c>
      <c r="I1959">
        <v>5.6</v>
      </c>
      <c r="J1959" t="s">
        <v>8797</v>
      </c>
    </row>
    <row r="1960" spans="1:10" x14ac:dyDescent="0.3">
      <c r="A1960">
        <v>110</v>
      </c>
      <c r="B1960">
        <v>56154094</v>
      </c>
      <c r="C1960" t="s">
        <v>73</v>
      </c>
      <c r="D1960" t="s">
        <v>4526</v>
      </c>
      <c r="E1960" t="s">
        <v>4527</v>
      </c>
      <c r="F1960" t="s">
        <v>7</v>
      </c>
      <c r="G1960" t="s">
        <v>15</v>
      </c>
      <c r="H1960">
        <v>20000000</v>
      </c>
      <c r="I1960">
        <v>5.2</v>
      </c>
      <c r="J1960" t="s">
        <v>9133</v>
      </c>
    </row>
    <row r="1961" spans="1:10" x14ac:dyDescent="0.3">
      <c r="A1961">
        <v>114</v>
      </c>
      <c r="B1961">
        <v>65623128</v>
      </c>
      <c r="C1961" t="s">
        <v>3876</v>
      </c>
      <c r="D1961" t="s">
        <v>4528</v>
      </c>
      <c r="E1961" t="s">
        <v>4529</v>
      </c>
      <c r="F1961" t="s">
        <v>7</v>
      </c>
      <c r="G1961" t="s">
        <v>8</v>
      </c>
      <c r="H1961">
        <v>20000000</v>
      </c>
      <c r="I1961">
        <v>4.0999999999999996</v>
      </c>
      <c r="J1961" t="s">
        <v>9134</v>
      </c>
    </row>
    <row r="1962" spans="1:10" x14ac:dyDescent="0.3">
      <c r="A1962">
        <v>100</v>
      </c>
      <c r="B1962">
        <v>55461307</v>
      </c>
      <c r="C1962" t="s">
        <v>668</v>
      </c>
      <c r="D1962" t="s">
        <v>4530</v>
      </c>
      <c r="E1962" t="s">
        <v>4531</v>
      </c>
      <c r="F1962" t="s">
        <v>7</v>
      </c>
      <c r="G1962" t="s">
        <v>8</v>
      </c>
      <c r="H1962">
        <v>20000000</v>
      </c>
      <c r="I1962">
        <v>6.6</v>
      </c>
      <c r="J1962" t="s">
        <v>9080</v>
      </c>
    </row>
    <row r="1963" spans="1:10" x14ac:dyDescent="0.3">
      <c r="A1963">
        <v>85</v>
      </c>
      <c r="B1963">
        <v>48546578</v>
      </c>
      <c r="C1963" t="s">
        <v>672</v>
      </c>
      <c r="D1963" t="s">
        <v>4532</v>
      </c>
      <c r="E1963" t="s">
        <v>4533</v>
      </c>
      <c r="F1963" t="s">
        <v>7</v>
      </c>
      <c r="G1963" t="s">
        <v>8</v>
      </c>
      <c r="H1963">
        <v>20000000</v>
      </c>
      <c r="I1963">
        <v>2.9</v>
      </c>
      <c r="J1963" t="s">
        <v>8681</v>
      </c>
    </row>
    <row r="1964" spans="1:10" x14ac:dyDescent="0.3">
      <c r="A1964">
        <v>72</v>
      </c>
      <c r="B1964">
        <v>48423368</v>
      </c>
      <c r="C1964" t="s">
        <v>230</v>
      </c>
      <c r="D1964" t="s">
        <v>4534</v>
      </c>
      <c r="E1964" t="s">
        <v>4535</v>
      </c>
      <c r="F1964" t="s">
        <v>7</v>
      </c>
      <c r="G1964" t="s">
        <v>8</v>
      </c>
      <c r="H1964">
        <v>20000000</v>
      </c>
      <c r="I1964">
        <v>7.2</v>
      </c>
      <c r="J1964" t="s">
        <v>8628</v>
      </c>
    </row>
    <row r="1965" spans="1:10" x14ac:dyDescent="0.3">
      <c r="A1965">
        <v>128</v>
      </c>
      <c r="B1965">
        <v>52066000</v>
      </c>
      <c r="C1965" t="s">
        <v>2495</v>
      </c>
      <c r="D1965" t="s">
        <v>4536</v>
      </c>
      <c r="E1965" t="s">
        <v>4537</v>
      </c>
      <c r="F1965" t="s">
        <v>7</v>
      </c>
      <c r="G1965" t="s">
        <v>15</v>
      </c>
      <c r="H1965">
        <v>20000000</v>
      </c>
      <c r="I1965">
        <v>6.5</v>
      </c>
      <c r="J1965" t="s">
        <v>9135</v>
      </c>
    </row>
    <row r="1966" spans="1:10" x14ac:dyDescent="0.3">
      <c r="A1966">
        <v>72</v>
      </c>
      <c r="B1966">
        <v>47887943</v>
      </c>
      <c r="C1966" t="s">
        <v>4538</v>
      </c>
      <c r="D1966" t="s">
        <v>4539</v>
      </c>
      <c r="E1966" t="s">
        <v>4540</v>
      </c>
      <c r="F1966" t="s">
        <v>7</v>
      </c>
      <c r="G1966" t="s">
        <v>8</v>
      </c>
      <c r="H1966">
        <v>20000000</v>
      </c>
      <c r="I1966">
        <v>6.8</v>
      </c>
      <c r="J1966" t="s">
        <v>8307</v>
      </c>
    </row>
    <row r="1967" spans="1:10" x14ac:dyDescent="0.3">
      <c r="A1967">
        <v>89</v>
      </c>
      <c r="B1967">
        <v>46363118</v>
      </c>
      <c r="C1967" t="s">
        <v>2578</v>
      </c>
      <c r="D1967" t="s">
        <v>4541</v>
      </c>
      <c r="E1967" t="s">
        <v>4542</v>
      </c>
      <c r="F1967" t="s">
        <v>7</v>
      </c>
      <c r="G1967" t="s">
        <v>8</v>
      </c>
      <c r="H1967">
        <v>20000000</v>
      </c>
      <c r="I1967">
        <v>7.2</v>
      </c>
      <c r="J1967" t="s">
        <v>9136</v>
      </c>
    </row>
    <row r="1968" spans="1:10" x14ac:dyDescent="0.3">
      <c r="A1968">
        <v>96</v>
      </c>
      <c r="B1968">
        <v>47852604</v>
      </c>
      <c r="C1968" t="s">
        <v>780</v>
      </c>
      <c r="D1968" t="s">
        <v>4543</v>
      </c>
      <c r="E1968" t="s">
        <v>4544</v>
      </c>
      <c r="F1968" t="s">
        <v>7</v>
      </c>
      <c r="G1968" t="s">
        <v>8</v>
      </c>
      <c r="H1968">
        <v>20000000</v>
      </c>
      <c r="I1968">
        <v>6.8</v>
      </c>
      <c r="J1968" t="s">
        <v>9069</v>
      </c>
    </row>
    <row r="1969" spans="1:10" x14ac:dyDescent="0.3">
      <c r="A1969">
        <v>77</v>
      </c>
      <c r="B1969">
        <v>45542421</v>
      </c>
      <c r="C1969" t="s">
        <v>4545</v>
      </c>
      <c r="D1969" t="s">
        <v>4546</v>
      </c>
      <c r="E1969" t="s">
        <v>4547</v>
      </c>
      <c r="F1969" t="s">
        <v>7</v>
      </c>
      <c r="G1969" t="s">
        <v>8</v>
      </c>
      <c r="H1969">
        <v>30000000</v>
      </c>
      <c r="I1969">
        <v>7.8</v>
      </c>
      <c r="J1969" t="s">
        <v>9137</v>
      </c>
    </row>
    <row r="1970" spans="1:10" x14ac:dyDescent="0.3">
      <c r="A1970">
        <v>111</v>
      </c>
      <c r="B1970">
        <v>42652003</v>
      </c>
      <c r="C1970" t="s">
        <v>3945</v>
      </c>
      <c r="D1970" t="s">
        <v>4548</v>
      </c>
      <c r="E1970" t="s">
        <v>4549</v>
      </c>
      <c r="F1970" t="s">
        <v>7</v>
      </c>
      <c r="G1970" t="s">
        <v>8</v>
      </c>
      <c r="H1970">
        <v>20000000</v>
      </c>
      <c r="I1970">
        <v>6.7</v>
      </c>
      <c r="J1970" t="s">
        <v>9138</v>
      </c>
    </row>
    <row r="1971" spans="1:10" x14ac:dyDescent="0.3">
      <c r="A1971">
        <v>93</v>
      </c>
      <c r="B1971">
        <v>39737645</v>
      </c>
      <c r="C1971" t="s">
        <v>1765</v>
      </c>
      <c r="D1971" t="s">
        <v>4550</v>
      </c>
      <c r="E1971" t="s">
        <v>4551</v>
      </c>
      <c r="F1971" t="s">
        <v>7</v>
      </c>
      <c r="G1971" t="s">
        <v>8</v>
      </c>
      <c r="H1971">
        <v>20000000</v>
      </c>
      <c r="I1971">
        <v>6.1</v>
      </c>
      <c r="J1971" t="s">
        <v>9139</v>
      </c>
    </row>
    <row r="1972" spans="1:10" x14ac:dyDescent="0.3">
      <c r="A1972">
        <v>128</v>
      </c>
      <c r="B1972">
        <v>44988180</v>
      </c>
      <c r="C1972" t="s">
        <v>4552</v>
      </c>
      <c r="D1972" t="s">
        <v>4553</v>
      </c>
      <c r="E1972" t="s">
        <v>4554</v>
      </c>
      <c r="F1972" t="s">
        <v>7</v>
      </c>
      <c r="G1972" t="s">
        <v>8</v>
      </c>
      <c r="H1972">
        <v>20000000</v>
      </c>
      <c r="I1972">
        <v>7.1</v>
      </c>
      <c r="J1972" t="s">
        <v>9101</v>
      </c>
    </row>
    <row r="1973" spans="1:10" x14ac:dyDescent="0.3">
      <c r="A1973">
        <v>110</v>
      </c>
      <c r="B1973">
        <v>39263506</v>
      </c>
      <c r="C1973" t="s">
        <v>873</v>
      </c>
      <c r="D1973" t="s">
        <v>4555</v>
      </c>
      <c r="E1973" t="s">
        <v>4556</v>
      </c>
      <c r="F1973" t="s">
        <v>7</v>
      </c>
      <c r="G1973" t="s">
        <v>8</v>
      </c>
      <c r="H1973">
        <v>22000000</v>
      </c>
      <c r="I1973">
        <v>5.7</v>
      </c>
      <c r="J1973" t="s">
        <v>8625</v>
      </c>
    </row>
    <row r="1974" spans="1:10" x14ac:dyDescent="0.3">
      <c r="A1974">
        <v>137</v>
      </c>
      <c r="B1974">
        <v>39143839</v>
      </c>
      <c r="C1974" t="s">
        <v>2324</v>
      </c>
      <c r="D1974" t="s">
        <v>4557</v>
      </c>
      <c r="E1974" t="s">
        <v>4558</v>
      </c>
      <c r="F1974" t="s">
        <v>7</v>
      </c>
      <c r="G1974" t="s">
        <v>8</v>
      </c>
      <c r="H1974">
        <v>20000000</v>
      </c>
      <c r="I1974">
        <v>2.9</v>
      </c>
      <c r="J1974" t="s">
        <v>9140</v>
      </c>
    </row>
    <row r="1975" spans="1:10" x14ac:dyDescent="0.3">
      <c r="A1975">
        <v>124</v>
      </c>
      <c r="B1975">
        <v>37672350</v>
      </c>
      <c r="C1975" t="s">
        <v>561</v>
      </c>
      <c r="D1975" t="s">
        <v>4559</v>
      </c>
      <c r="E1975" t="s">
        <v>4560</v>
      </c>
      <c r="F1975" t="s">
        <v>7</v>
      </c>
      <c r="G1975" t="s">
        <v>8</v>
      </c>
      <c r="H1975">
        <v>20000000</v>
      </c>
      <c r="I1975">
        <v>5.2</v>
      </c>
      <c r="J1975" t="s">
        <v>9141</v>
      </c>
    </row>
    <row r="1976" spans="1:10" x14ac:dyDescent="0.3">
      <c r="A1976">
        <v>93</v>
      </c>
      <c r="B1976">
        <v>38037513</v>
      </c>
      <c r="C1976" t="s">
        <v>4561</v>
      </c>
      <c r="D1976" t="s">
        <v>4562</v>
      </c>
      <c r="E1976" t="s">
        <v>4563</v>
      </c>
      <c r="F1976" t="s">
        <v>7</v>
      </c>
      <c r="G1976" t="s">
        <v>8</v>
      </c>
      <c r="H1976">
        <v>20000000</v>
      </c>
      <c r="I1976">
        <v>5.3</v>
      </c>
      <c r="J1976" t="s">
        <v>8312</v>
      </c>
    </row>
    <row r="1977" spans="1:10" x14ac:dyDescent="0.3">
      <c r="A1977">
        <v>115</v>
      </c>
      <c r="B1977">
        <v>37442180</v>
      </c>
      <c r="C1977" t="s">
        <v>4119</v>
      </c>
      <c r="D1977" t="s">
        <v>4564</v>
      </c>
      <c r="E1977" t="s">
        <v>4565</v>
      </c>
      <c r="F1977" t="s">
        <v>7</v>
      </c>
      <c r="G1977" t="s">
        <v>8</v>
      </c>
      <c r="H1977">
        <v>20000000</v>
      </c>
      <c r="I1977">
        <v>6.2</v>
      </c>
      <c r="J1977" t="s">
        <v>9142</v>
      </c>
    </row>
    <row r="1978" spans="1:10" x14ac:dyDescent="0.3">
      <c r="A1978">
        <v>105</v>
      </c>
      <c r="B1978">
        <v>35596227</v>
      </c>
      <c r="C1978" t="s">
        <v>873</v>
      </c>
      <c r="D1978" t="s">
        <v>4566</v>
      </c>
      <c r="E1978" t="s">
        <v>4567</v>
      </c>
      <c r="F1978" t="s">
        <v>7</v>
      </c>
      <c r="G1978" t="s">
        <v>8</v>
      </c>
      <c r="H1978">
        <v>20000000</v>
      </c>
      <c r="I1978">
        <v>7.3</v>
      </c>
      <c r="J1978" t="s">
        <v>9143</v>
      </c>
    </row>
    <row r="1979" spans="1:10" x14ac:dyDescent="0.3">
      <c r="A1979">
        <v>127</v>
      </c>
      <c r="B1979">
        <v>35422828</v>
      </c>
      <c r="C1979" t="s">
        <v>1796</v>
      </c>
      <c r="D1979" t="s">
        <v>4568</v>
      </c>
      <c r="E1979" t="s">
        <v>4569</v>
      </c>
      <c r="F1979" t="s">
        <v>7</v>
      </c>
      <c r="G1979" t="s">
        <v>8</v>
      </c>
      <c r="H1979">
        <v>20000000</v>
      </c>
      <c r="I1979">
        <v>6.5</v>
      </c>
      <c r="J1979" t="s">
        <v>9144</v>
      </c>
    </row>
    <row r="1980" spans="1:10" x14ac:dyDescent="0.3">
      <c r="A1980">
        <v>82</v>
      </c>
      <c r="B1980">
        <v>36658108</v>
      </c>
      <c r="C1980" t="s">
        <v>668</v>
      </c>
      <c r="D1980" t="s">
        <v>4570</v>
      </c>
      <c r="E1980" t="s">
        <v>4571</v>
      </c>
      <c r="F1980" t="s">
        <v>7</v>
      </c>
      <c r="G1980" t="s">
        <v>8</v>
      </c>
      <c r="H1980">
        <v>20000000</v>
      </c>
      <c r="I1980">
        <v>4.0999999999999996</v>
      </c>
      <c r="J1980" t="s">
        <v>9145</v>
      </c>
    </row>
    <row r="1981" spans="1:10" x14ac:dyDescent="0.3">
      <c r="A1981">
        <v>143</v>
      </c>
      <c r="B1981">
        <v>34300771</v>
      </c>
      <c r="C1981" t="s">
        <v>1417</v>
      </c>
      <c r="D1981" t="s">
        <v>4572</v>
      </c>
      <c r="E1981" t="s">
        <v>4573</v>
      </c>
      <c r="F1981" t="s">
        <v>7</v>
      </c>
      <c r="G1981" t="s">
        <v>583</v>
      </c>
      <c r="H1981">
        <v>25000000</v>
      </c>
      <c r="I1981">
        <v>7.7</v>
      </c>
      <c r="J1981" t="s">
        <v>8784</v>
      </c>
    </row>
    <row r="1982" spans="1:10" x14ac:dyDescent="0.3">
      <c r="A1982">
        <v>103</v>
      </c>
      <c r="B1982">
        <v>34290142</v>
      </c>
      <c r="C1982" t="s">
        <v>1040</v>
      </c>
      <c r="D1982" t="s">
        <v>4574</v>
      </c>
      <c r="E1982" t="s">
        <v>4575</v>
      </c>
      <c r="F1982" t="s">
        <v>7</v>
      </c>
      <c r="G1982" t="s">
        <v>8</v>
      </c>
      <c r="H1982">
        <v>19800000</v>
      </c>
      <c r="I1982">
        <v>6.1</v>
      </c>
      <c r="J1982" t="s">
        <v>8678</v>
      </c>
    </row>
    <row r="1983" spans="1:10" x14ac:dyDescent="0.3">
      <c r="A1983">
        <v>104</v>
      </c>
      <c r="B1983">
        <v>33422556</v>
      </c>
      <c r="C1983" t="s">
        <v>3413</v>
      </c>
      <c r="D1983" t="s">
        <v>4576</v>
      </c>
      <c r="E1983" t="s">
        <v>4577</v>
      </c>
      <c r="F1983" t="s">
        <v>7</v>
      </c>
      <c r="G1983" t="s">
        <v>8</v>
      </c>
      <c r="H1983">
        <v>20000000</v>
      </c>
      <c r="I1983">
        <v>7.3</v>
      </c>
      <c r="J1983" t="s">
        <v>9146</v>
      </c>
    </row>
    <row r="1984" spans="1:10" x14ac:dyDescent="0.3">
      <c r="A1984">
        <v>98</v>
      </c>
      <c r="B1984">
        <v>32774834</v>
      </c>
      <c r="C1984" t="s">
        <v>879</v>
      </c>
      <c r="D1984" t="s">
        <v>4578</v>
      </c>
      <c r="E1984" t="s">
        <v>4579</v>
      </c>
      <c r="F1984" t="s">
        <v>7</v>
      </c>
      <c r="G1984" t="s">
        <v>8</v>
      </c>
      <c r="H1984">
        <v>30000000</v>
      </c>
      <c r="I1984">
        <v>7.2</v>
      </c>
      <c r="J1984" t="s">
        <v>8527</v>
      </c>
    </row>
    <row r="1985" spans="1:10" x14ac:dyDescent="0.3">
      <c r="A1985">
        <v>92</v>
      </c>
      <c r="B1985">
        <v>34334256</v>
      </c>
      <c r="C1985" t="s">
        <v>2324</v>
      </c>
      <c r="D1985" t="s">
        <v>4580</v>
      </c>
      <c r="E1985" t="s">
        <v>4581</v>
      </c>
      <c r="F1985" t="s">
        <v>7</v>
      </c>
      <c r="G1985" t="s">
        <v>8</v>
      </c>
      <c r="H1985">
        <v>11000000</v>
      </c>
      <c r="I1985">
        <v>5.3</v>
      </c>
      <c r="J1985" t="s">
        <v>8475</v>
      </c>
    </row>
    <row r="1986" spans="1:10" x14ac:dyDescent="0.3">
      <c r="A1986">
        <v>123</v>
      </c>
      <c r="B1986">
        <v>32051917</v>
      </c>
      <c r="C1986" t="s">
        <v>882</v>
      </c>
      <c r="D1986" t="s">
        <v>4582</v>
      </c>
      <c r="E1986" t="s">
        <v>4583</v>
      </c>
      <c r="F1986" t="s">
        <v>7</v>
      </c>
      <c r="G1986" t="s">
        <v>8</v>
      </c>
      <c r="H1986">
        <v>20000000</v>
      </c>
      <c r="I1986">
        <v>6.1</v>
      </c>
      <c r="J1986" t="s">
        <v>8841</v>
      </c>
    </row>
    <row r="1987" spans="1:10" x14ac:dyDescent="0.3">
      <c r="A1987">
        <v>88</v>
      </c>
      <c r="B1987">
        <v>32014289</v>
      </c>
      <c r="C1987" t="s">
        <v>668</v>
      </c>
      <c r="D1987" t="s">
        <v>4584</v>
      </c>
      <c r="E1987" t="s">
        <v>4585</v>
      </c>
      <c r="F1987" t="s">
        <v>7</v>
      </c>
      <c r="G1987" t="s">
        <v>8</v>
      </c>
      <c r="H1987">
        <v>20000000</v>
      </c>
      <c r="I1987">
        <v>5.8</v>
      </c>
      <c r="J1987" t="s">
        <v>9022</v>
      </c>
    </row>
    <row r="1988" spans="1:10" x14ac:dyDescent="0.3">
      <c r="A1988">
        <v>128</v>
      </c>
      <c r="B1988">
        <v>31838002</v>
      </c>
      <c r="C1988" t="s">
        <v>2495</v>
      </c>
      <c r="D1988" t="s">
        <v>4586</v>
      </c>
      <c r="E1988" t="s">
        <v>4587</v>
      </c>
      <c r="F1988" t="s">
        <v>7</v>
      </c>
      <c r="G1988" t="s">
        <v>8</v>
      </c>
      <c r="H1988">
        <v>20000000</v>
      </c>
      <c r="I1988">
        <v>5.7</v>
      </c>
      <c r="J1988" t="s">
        <v>8428</v>
      </c>
    </row>
    <row r="1989" spans="1:10" x14ac:dyDescent="0.3">
      <c r="A1989">
        <v>107</v>
      </c>
      <c r="B1989">
        <v>36874745</v>
      </c>
      <c r="C1989" t="s">
        <v>4588</v>
      </c>
      <c r="D1989" t="s">
        <v>4589</v>
      </c>
      <c r="E1989" t="s">
        <v>4590</v>
      </c>
      <c r="F1989" t="s">
        <v>7</v>
      </c>
      <c r="G1989" t="s">
        <v>8</v>
      </c>
      <c r="H1989">
        <v>20000000</v>
      </c>
      <c r="I1989">
        <v>6.7</v>
      </c>
      <c r="J1989" t="s">
        <v>8885</v>
      </c>
    </row>
    <row r="1990" spans="1:10" x14ac:dyDescent="0.3">
      <c r="A1990">
        <v>91</v>
      </c>
      <c r="B1990">
        <v>30079316</v>
      </c>
      <c r="C1990" t="s">
        <v>2701</v>
      </c>
      <c r="D1990" t="s">
        <v>4591</v>
      </c>
      <c r="E1990" t="s">
        <v>4592</v>
      </c>
      <c r="F1990" t="s">
        <v>7</v>
      </c>
      <c r="G1990" t="s">
        <v>8</v>
      </c>
      <c r="H1990">
        <v>35000000</v>
      </c>
      <c r="I1990">
        <v>6.5</v>
      </c>
      <c r="J1990" t="s">
        <v>9147</v>
      </c>
    </row>
    <row r="1991" spans="1:10" x14ac:dyDescent="0.3">
      <c r="A1991">
        <v>90</v>
      </c>
      <c r="B1991">
        <v>35033759</v>
      </c>
      <c r="C1991" t="s">
        <v>1765</v>
      </c>
      <c r="D1991" t="s">
        <v>4593</v>
      </c>
      <c r="E1991" t="s">
        <v>4594</v>
      </c>
      <c r="F1991" t="s">
        <v>7</v>
      </c>
      <c r="G1991" t="s">
        <v>8</v>
      </c>
      <c r="H1991">
        <v>19000000</v>
      </c>
      <c r="I1991">
        <v>7.2</v>
      </c>
      <c r="J1991" t="s">
        <v>8528</v>
      </c>
    </row>
    <row r="1992" spans="1:10" x14ac:dyDescent="0.3">
      <c r="A1992">
        <v>115</v>
      </c>
      <c r="B1992">
        <v>29753944</v>
      </c>
      <c r="C1992" t="s">
        <v>882</v>
      </c>
      <c r="D1992" t="s">
        <v>4595</v>
      </c>
      <c r="E1992" t="s">
        <v>4596</v>
      </c>
      <c r="F1992" t="s">
        <v>7</v>
      </c>
      <c r="G1992" t="s">
        <v>8</v>
      </c>
      <c r="H1992">
        <v>20000000</v>
      </c>
      <c r="I1992">
        <v>7.6</v>
      </c>
      <c r="J1992" t="s">
        <v>8548</v>
      </c>
    </row>
    <row r="1993" spans="1:10" x14ac:dyDescent="0.3">
      <c r="A1993">
        <v>113</v>
      </c>
      <c r="B1993">
        <v>31146570</v>
      </c>
      <c r="C1993" t="s">
        <v>1704</v>
      </c>
      <c r="D1993" t="s">
        <v>4597</v>
      </c>
      <c r="E1993" t="s">
        <v>4598</v>
      </c>
      <c r="F1993" t="s">
        <v>7</v>
      </c>
      <c r="G1993" t="s">
        <v>8</v>
      </c>
      <c r="H1993">
        <v>20000000</v>
      </c>
      <c r="I1993">
        <v>4.5999999999999996</v>
      </c>
      <c r="J1993" t="s">
        <v>8958</v>
      </c>
    </row>
    <row r="1994" spans="1:10" x14ac:dyDescent="0.3">
      <c r="A1994">
        <v>113</v>
      </c>
      <c r="B1994">
        <v>27277055</v>
      </c>
      <c r="C1994" t="s">
        <v>2429</v>
      </c>
      <c r="D1994" t="s">
        <v>4599</v>
      </c>
      <c r="E1994" t="s">
        <v>4600</v>
      </c>
      <c r="F1994" t="s">
        <v>7</v>
      </c>
      <c r="G1994" t="s">
        <v>15</v>
      </c>
      <c r="H1994">
        <v>20000000</v>
      </c>
      <c r="I1994">
        <v>6.9</v>
      </c>
      <c r="J1994" t="s">
        <v>9148</v>
      </c>
    </row>
    <row r="1995" spans="1:10" x14ac:dyDescent="0.3">
      <c r="A1995">
        <v>87</v>
      </c>
      <c r="B1995">
        <v>26876529</v>
      </c>
      <c r="C1995" t="s">
        <v>2141</v>
      </c>
      <c r="D1995" t="s">
        <v>4601</v>
      </c>
      <c r="E1995" t="s">
        <v>4602</v>
      </c>
      <c r="F1995" t="s">
        <v>7</v>
      </c>
      <c r="G1995" t="s">
        <v>248</v>
      </c>
      <c r="H1995">
        <v>27000000</v>
      </c>
      <c r="I1995">
        <v>6.6</v>
      </c>
      <c r="J1995" t="s">
        <v>8902</v>
      </c>
    </row>
    <row r="1996" spans="1:10" x14ac:dyDescent="0.3">
      <c r="A1996">
        <v>101</v>
      </c>
      <c r="B1996">
        <v>53146000</v>
      </c>
      <c r="C1996" t="s">
        <v>873</v>
      </c>
      <c r="D1996" t="s">
        <v>4603</v>
      </c>
      <c r="E1996" t="s">
        <v>4604</v>
      </c>
      <c r="F1996" t="s">
        <v>7</v>
      </c>
      <c r="G1996" t="s">
        <v>8</v>
      </c>
      <c r="H1996">
        <v>20000000</v>
      </c>
      <c r="I1996">
        <v>6.3</v>
      </c>
      <c r="J1996" t="s">
        <v>9149</v>
      </c>
    </row>
    <row r="1997" spans="1:10" x14ac:dyDescent="0.3">
      <c r="A1997">
        <v>111</v>
      </c>
      <c r="B1997">
        <v>30028592</v>
      </c>
      <c r="C1997" t="s">
        <v>2211</v>
      </c>
      <c r="D1997" t="s">
        <v>4605</v>
      </c>
      <c r="E1997" t="s">
        <v>4606</v>
      </c>
      <c r="F1997" t="s">
        <v>7</v>
      </c>
      <c r="G1997" t="s">
        <v>15</v>
      </c>
      <c r="H1997">
        <v>20000000</v>
      </c>
      <c r="I1997">
        <v>6.2</v>
      </c>
      <c r="J1997" t="s">
        <v>9150</v>
      </c>
    </row>
    <row r="1998" spans="1:10" x14ac:dyDescent="0.3">
      <c r="A1998">
        <v>108</v>
      </c>
      <c r="B1998">
        <v>34126138</v>
      </c>
      <c r="C1998" t="s">
        <v>2925</v>
      </c>
      <c r="D1998" t="s">
        <v>4607</v>
      </c>
      <c r="E1998" t="s">
        <v>4608</v>
      </c>
      <c r="F1998" t="s">
        <v>7</v>
      </c>
      <c r="G1998" t="s">
        <v>8</v>
      </c>
      <c r="H1998">
        <v>20000000</v>
      </c>
      <c r="I1998">
        <v>5.3</v>
      </c>
      <c r="J1998" t="s">
        <v>9151</v>
      </c>
    </row>
    <row r="1999" spans="1:10" x14ac:dyDescent="0.3">
      <c r="A1999">
        <v>105</v>
      </c>
      <c r="B1999">
        <v>25677801</v>
      </c>
      <c r="C1999" t="s">
        <v>1126</v>
      </c>
      <c r="D1999" t="s">
        <v>4609</v>
      </c>
      <c r="E1999" t="s">
        <v>4610</v>
      </c>
      <c r="F1999" t="s">
        <v>7</v>
      </c>
      <c r="G1999" t="s">
        <v>8</v>
      </c>
      <c r="H1999">
        <v>20000000</v>
      </c>
      <c r="I1999">
        <v>7.3</v>
      </c>
      <c r="J1999" t="s">
        <v>8434</v>
      </c>
    </row>
    <row r="2000" spans="1:10" x14ac:dyDescent="0.3">
      <c r="A2000">
        <v>109</v>
      </c>
      <c r="B2000">
        <v>26415649</v>
      </c>
      <c r="C2000" t="s">
        <v>164</v>
      </c>
      <c r="D2000" t="s">
        <v>4611</v>
      </c>
      <c r="E2000" t="s">
        <v>4612</v>
      </c>
      <c r="F2000" t="s">
        <v>7</v>
      </c>
      <c r="G2000" t="s">
        <v>8</v>
      </c>
      <c r="H2000">
        <v>20000000</v>
      </c>
      <c r="I2000">
        <v>5.6</v>
      </c>
      <c r="J2000" t="s">
        <v>8568</v>
      </c>
    </row>
    <row r="2001" spans="1:10" x14ac:dyDescent="0.3">
      <c r="A2001">
        <v>109</v>
      </c>
      <c r="B2001">
        <v>26003149</v>
      </c>
      <c r="C2001" t="s">
        <v>772</v>
      </c>
      <c r="D2001" t="s">
        <v>4613</v>
      </c>
      <c r="E2001" t="s">
        <v>4614</v>
      </c>
      <c r="F2001" t="s">
        <v>7</v>
      </c>
      <c r="G2001" t="s">
        <v>15</v>
      </c>
      <c r="H2001">
        <v>20000000</v>
      </c>
      <c r="I2001">
        <v>6.2</v>
      </c>
      <c r="J2001" t="s">
        <v>8637</v>
      </c>
    </row>
    <row r="2002" spans="1:10" x14ac:dyDescent="0.3">
      <c r="A2002">
        <v>99</v>
      </c>
      <c r="B2002">
        <v>25584685</v>
      </c>
      <c r="C2002" t="s">
        <v>4615</v>
      </c>
      <c r="D2002" t="s">
        <v>4616</v>
      </c>
      <c r="E2002" t="s">
        <v>4617</v>
      </c>
      <c r="F2002" t="s">
        <v>7</v>
      </c>
      <c r="G2002" t="s">
        <v>8</v>
      </c>
      <c r="H2002">
        <v>20000000</v>
      </c>
      <c r="I2002">
        <v>5.2</v>
      </c>
      <c r="J2002" t="s">
        <v>9152</v>
      </c>
    </row>
    <row r="2003" spans="1:10" x14ac:dyDescent="0.3">
      <c r="A2003">
        <v>98</v>
      </c>
      <c r="B2003">
        <v>29975979</v>
      </c>
      <c r="C2003" t="s">
        <v>912</v>
      </c>
      <c r="D2003" t="s">
        <v>4618</v>
      </c>
      <c r="E2003" t="s">
        <v>4619</v>
      </c>
      <c r="F2003" t="s">
        <v>7</v>
      </c>
      <c r="G2003" t="s">
        <v>132</v>
      </c>
      <c r="H2003">
        <v>20000000</v>
      </c>
      <c r="I2003">
        <v>5.3</v>
      </c>
      <c r="J2003" t="s">
        <v>8648</v>
      </c>
    </row>
    <row r="2004" spans="1:10" x14ac:dyDescent="0.3">
      <c r="A2004">
        <v>104</v>
      </c>
      <c r="B2004">
        <v>31584722</v>
      </c>
      <c r="C2004" t="s">
        <v>672</v>
      </c>
      <c r="D2004" t="s">
        <v>4620</v>
      </c>
      <c r="E2004" t="s">
        <v>4621</v>
      </c>
      <c r="F2004" t="s">
        <v>7</v>
      </c>
      <c r="G2004" t="s">
        <v>8</v>
      </c>
      <c r="H2004">
        <v>20000000</v>
      </c>
      <c r="I2004">
        <v>5.4</v>
      </c>
      <c r="J2004" t="s">
        <v>8575</v>
      </c>
    </row>
    <row r="2005" spans="1:10" x14ac:dyDescent="0.3">
      <c r="A2005">
        <v>109</v>
      </c>
      <c r="B2005">
        <v>23179303</v>
      </c>
      <c r="C2005" t="s">
        <v>4126</v>
      </c>
      <c r="D2005" t="s">
        <v>4622</v>
      </c>
      <c r="E2005" t="s">
        <v>4623</v>
      </c>
      <c r="F2005" t="s">
        <v>7</v>
      </c>
      <c r="G2005" t="s">
        <v>4624</v>
      </c>
      <c r="H2005">
        <v>20000000</v>
      </c>
      <c r="I2005">
        <v>4.9000000000000004</v>
      </c>
      <c r="J2005" t="s">
        <v>9153</v>
      </c>
    </row>
    <row r="2006" spans="1:10" x14ac:dyDescent="0.3">
      <c r="A2006">
        <v>75</v>
      </c>
      <c r="B2006">
        <v>23078294</v>
      </c>
      <c r="C2006" t="s">
        <v>2324</v>
      </c>
      <c r="D2006" t="s">
        <v>4625</v>
      </c>
      <c r="E2006" t="s">
        <v>4626</v>
      </c>
      <c r="F2006" t="s">
        <v>7</v>
      </c>
      <c r="G2006" t="s">
        <v>8</v>
      </c>
      <c r="H2006">
        <v>9000000</v>
      </c>
      <c r="I2006">
        <v>5.5</v>
      </c>
      <c r="J2006" t="s">
        <v>8923</v>
      </c>
    </row>
    <row r="2007" spans="1:10" x14ac:dyDescent="0.3">
      <c r="A2007">
        <v>119</v>
      </c>
      <c r="B2007">
        <v>21413105</v>
      </c>
      <c r="C2007" t="s">
        <v>4627</v>
      </c>
      <c r="D2007" t="s">
        <v>4628</v>
      </c>
      <c r="E2007" t="s">
        <v>4629</v>
      </c>
      <c r="F2007" t="s">
        <v>7</v>
      </c>
      <c r="G2007" t="s">
        <v>132</v>
      </c>
      <c r="H2007">
        <v>20000000</v>
      </c>
      <c r="I2007">
        <v>6.7</v>
      </c>
      <c r="J2007" t="s">
        <v>9154</v>
      </c>
    </row>
    <row r="2008" spans="1:10" x14ac:dyDescent="0.3">
      <c r="A2008">
        <v>90</v>
      </c>
      <c r="B2008">
        <v>25077977</v>
      </c>
      <c r="C2008" t="s">
        <v>808</v>
      </c>
      <c r="D2008" t="s">
        <v>4630</v>
      </c>
      <c r="E2008" t="s">
        <v>4631</v>
      </c>
      <c r="F2008" t="s">
        <v>7</v>
      </c>
      <c r="G2008" t="s">
        <v>8</v>
      </c>
      <c r="H2008">
        <v>20000000</v>
      </c>
      <c r="I2008">
        <v>3.9</v>
      </c>
      <c r="J2008" t="s">
        <v>9033</v>
      </c>
    </row>
    <row r="2009" spans="1:10" x14ac:dyDescent="0.3">
      <c r="A2009">
        <v>97</v>
      </c>
      <c r="B2009">
        <v>23292105</v>
      </c>
      <c r="C2009" t="s">
        <v>3779</v>
      </c>
      <c r="D2009" t="s">
        <v>4632</v>
      </c>
      <c r="E2009" t="s">
        <v>4633</v>
      </c>
      <c r="F2009" t="s">
        <v>7</v>
      </c>
      <c r="G2009" t="s">
        <v>8</v>
      </c>
      <c r="H2009">
        <v>20000000</v>
      </c>
      <c r="I2009">
        <v>7.2</v>
      </c>
      <c r="J2009" t="s">
        <v>9155</v>
      </c>
    </row>
    <row r="2010" spans="1:10" x14ac:dyDescent="0.3">
      <c r="A2010">
        <v>89</v>
      </c>
      <c r="B2010">
        <v>20916309</v>
      </c>
      <c r="C2010" t="s">
        <v>187</v>
      </c>
      <c r="D2010" t="s">
        <v>4634</v>
      </c>
      <c r="E2010" t="s">
        <v>4635</v>
      </c>
      <c r="F2010" t="s">
        <v>7</v>
      </c>
      <c r="G2010" t="s">
        <v>8</v>
      </c>
      <c r="H2010">
        <v>40000000</v>
      </c>
      <c r="I2010">
        <v>5.0999999999999996</v>
      </c>
      <c r="J2010" t="s">
        <v>9156</v>
      </c>
    </row>
    <row r="2011" spans="1:10" x14ac:dyDescent="0.3">
      <c r="A2011">
        <v>106</v>
      </c>
      <c r="B2011">
        <v>21200000</v>
      </c>
      <c r="C2011" t="s">
        <v>3876</v>
      </c>
      <c r="D2011" t="s">
        <v>4636</v>
      </c>
      <c r="E2011" t="s">
        <v>4637</v>
      </c>
      <c r="F2011" t="s">
        <v>7</v>
      </c>
      <c r="G2011" t="s">
        <v>8</v>
      </c>
      <c r="H2011">
        <v>20000000</v>
      </c>
      <c r="I2011">
        <v>6.5</v>
      </c>
      <c r="J2011" t="s">
        <v>8950</v>
      </c>
    </row>
    <row r="2012" spans="1:10" x14ac:dyDescent="0.3">
      <c r="A2012">
        <v>96</v>
      </c>
      <c r="B2012">
        <v>28876924</v>
      </c>
      <c r="C2012" t="s">
        <v>4638</v>
      </c>
      <c r="D2012" t="s">
        <v>4639</v>
      </c>
      <c r="E2012" t="s">
        <v>4640</v>
      </c>
      <c r="F2012" t="s">
        <v>7</v>
      </c>
      <c r="G2012" t="s">
        <v>8</v>
      </c>
      <c r="H2012">
        <v>20000000</v>
      </c>
      <c r="I2012">
        <v>8.1999999999999993</v>
      </c>
      <c r="J2012" t="s">
        <v>8949</v>
      </c>
    </row>
    <row r="2013" spans="1:10" x14ac:dyDescent="0.3">
      <c r="A2013">
        <v>104</v>
      </c>
      <c r="B2013">
        <v>20241395</v>
      </c>
      <c r="C2013" t="s">
        <v>2050</v>
      </c>
      <c r="D2013" t="s">
        <v>4642</v>
      </c>
      <c r="E2013" t="s">
        <v>4643</v>
      </c>
      <c r="F2013" t="s">
        <v>7</v>
      </c>
      <c r="G2013" t="s">
        <v>8</v>
      </c>
      <c r="H2013">
        <v>20000000</v>
      </c>
      <c r="I2013">
        <v>7.7</v>
      </c>
      <c r="J2013" t="s">
        <v>8662</v>
      </c>
    </row>
    <row r="2014" spans="1:10" x14ac:dyDescent="0.3">
      <c r="A2014">
        <v>108</v>
      </c>
      <c r="B2014">
        <v>32000000</v>
      </c>
      <c r="C2014" t="s">
        <v>1249</v>
      </c>
      <c r="D2014" t="s">
        <v>4644</v>
      </c>
      <c r="E2014" t="s">
        <v>4645</v>
      </c>
      <c r="F2014" t="s">
        <v>7</v>
      </c>
      <c r="G2014" t="s">
        <v>8</v>
      </c>
      <c r="H2014">
        <v>806947</v>
      </c>
      <c r="I2014">
        <v>7.2</v>
      </c>
      <c r="J2014" t="s">
        <v>8310</v>
      </c>
    </row>
    <row r="2015" spans="1:10" x14ac:dyDescent="0.3">
      <c r="A2015">
        <v>112</v>
      </c>
      <c r="B2015">
        <v>19151864</v>
      </c>
      <c r="C2015" t="s">
        <v>672</v>
      </c>
      <c r="D2015" t="s">
        <v>4646</v>
      </c>
      <c r="E2015" t="s">
        <v>4647</v>
      </c>
      <c r="F2015" t="s">
        <v>7</v>
      </c>
      <c r="G2015" t="s">
        <v>8</v>
      </c>
      <c r="H2015">
        <v>40000000</v>
      </c>
      <c r="I2015">
        <v>6.1</v>
      </c>
      <c r="J2015" t="s">
        <v>8451</v>
      </c>
    </row>
    <row r="2016" spans="1:10" x14ac:dyDescent="0.3">
      <c r="A2016">
        <v>104</v>
      </c>
      <c r="B2016">
        <v>23393765</v>
      </c>
      <c r="C2016" t="s">
        <v>73</v>
      </c>
      <c r="D2016" t="s">
        <v>4648</v>
      </c>
      <c r="E2016" t="s">
        <v>4649</v>
      </c>
      <c r="F2016" t="s">
        <v>7</v>
      </c>
      <c r="G2016" t="s">
        <v>8</v>
      </c>
      <c r="H2016">
        <v>20000000</v>
      </c>
      <c r="I2016">
        <v>8.8000000000000007</v>
      </c>
      <c r="J2016" t="s">
        <v>8906</v>
      </c>
    </row>
    <row r="2017" spans="1:10" x14ac:dyDescent="0.3">
      <c r="A2017">
        <v>113</v>
      </c>
      <c r="B2017">
        <v>18882880</v>
      </c>
      <c r="C2017" t="s">
        <v>1040</v>
      </c>
      <c r="D2017" t="s">
        <v>4650</v>
      </c>
      <c r="E2017" t="s">
        <v>4651</v>
      </c>
      <c r="F2017" t="s">
        <v>7</v>
      </c>
      <c r="G2017" t="s">
        <v>8</v>
      </c>
      <c r="H2017">
        <v>20000000</v>
      </c>
      <c r="I2017">
        <v>6.8</v>
      </c>
      <c r="J2017" t="s">
        <v>8321</v>
      </c>
    </row>
    <row r="2018" spans="1:10" x14ac:dyDescent="0.3">
      <c r="A2018">
        <v>98</v>
      </c>
      <c r="B2018">
        <v>8500000</v>
      </c>
      <c r="C2018" t="s">
        <v>668</v>
      </c>
      <c r="D2018" t="s">
        <v>4652</v>
      </c>
      <c r="E2018" t="s">
        <v>4653</v>
      </c>
      <c r="F2018" t="s">
        <v>7</v>
      </c>
      <c r="G2018" t="s">
        <v>8</v>
      </c>
      <c r="H2018">
        <v>20000000</v>
      </c>
      <c r="I2018">
        <v>6.8</v>
      </c>
      <c r="J2018" t="s">
        <v>8788</v>
      </c>
    </row>
    <row r="2019" spans="1:10" x14ac:dyDescent="0.3">
      <c r="A2019">
        <v>114</v>
      </c>
      <c r="B2019">
        <v>18252684</v>
      </c>
      <c r="C2019" t="s">
        <v>1641</v>
      </c>
      <c r="D2019" t="s">
        <v>4655</v>
      </c>
      <c r="E2019" t="s">
        <v>4656</v>
      </c>
      <c r="F2019" t="s">
        <v>7</v>
      </c>
      <c r="G2019" t="s">
        <v>8</v>
      </c>
      <c r="H2019">
        <v>30000000</v>
      </c>
      <c r="I2019">
        <v>6.7</v>
      </c>
      <c r="J2019" t="s">
        <v>8774</v>
      </c>
    </row>
    <row r="2020" spans="1:10" x14ac:dyDescent="0.3">
      <c r="A2020">
        <v>124</v>
      </c>
      <c r="B2020">
        <v>19661987</v>
      </c>
      <c r="C2020" t="s">
        <v>1417</v>
      </c>
      <c r="D2020" t="s">
        <v>4657</v>
      </c>
      <c r="E2020" t="s">
        <v>4658</v>
      </c>
      <c r="F2020" t="s">
        <v>7</v>
      </c>
      <c r="G2020" t="s">
        <v>8</v>
      </c>
      <c r="H2020">
        <v>20000000</v>
      </c>
      <c r="I2020">
        <v>7.1</v>
      </c>
      <c r="J2020" t="s">
        <v>8592</v>
      </c>
    </row>
    <row r="2021" spans="1:10" x14ac:dyDescent="0.3">
      <c r="A2021">
        <v>148</v>
      </c>
      <c r="B2021">
        <v>18352454</v>
      </c>
      <c r="C2021" t="s">
        <v>4659</v>
      </c>
      <c r="D2021" t="s">
        <v>4660</v>
      </c>
      <c r="E2021" t="s">
        <v>4661</v>
      </c>
      <c r="F2021" t="s">
        <v>7</v>
      </c>
      <c r="G2021" t="s">
        <v>8</v>
      </c>
      <c r="H2021">
        <v>15000000</v>
      </c>
      <c r="I2021">
        <v>7.1</v>
      </c>
      <c r="J2021" t="s">
        <v>8431</v>
      </c>
    </row>
    <row r="2022" spans="1:10" x14ac:dyDescent="0.3">
      <c r="A2022">
        <v>108</v>
      </c>
      <c r="B2022">
        <v>17803796</v>
      </c>
      <c r="C2022" t="s">
        <v>668</v>
      </c>
      <c r="D2022" t="s">
        <v>4662</v>
      </c>
      <c r="E2022" t="s">
        <v>4663</v>
      </c>
      <c r="F2022" t="s">
        <v>7</v>
      </c>
      <c r="G2022" t="s">
        <v>8</v>
      </c>
      <c r="H2022">
        <v>20000000</v>
      </c>
      <c r="I2022">
        <v>6.1</v>
      </c>
      <c r="J2022" t="s">
        <v>9157</v>
      </c>
    </row>
    <row r="2023" spans="1:10" x14ac:dyDescent="0.3">
      <c r="A2023">
        <v>95</v>
      </c>
      <c r="B2023">
        <v>17529157</v>
      </c>
      <c r="C2023" t="s">
        <v>4664</v>
      </c>
      <c r="D2023" t="s">
        <v>4665</v>
      </c>
      <c r="E2023" t="s">
        <v>4666</v>
      </c>
      <c r="F2023" t="s">
        <v>7</v>
      </c>
      <c r="G2023" t="s">
        <v>583</v>
      </c>
      <c r="H2023">
        <v>20000000</v>
      </c>
      <c r="I2023">
        <v>8</v>
      </c>
      <c r="J2023" t="s">
        <v>8467</v>
      </c>
    </row>
    <row r="2024" spans="1:10" x14ac:dyDescent="0.3">
      <c r="A2024">
        <v>108</v>
      </c>
      <c r="B2024">
        <v>25753840</v>
      </c>
      <c r="C2024" t="s">
        <v>4667</v>
      </c>
      <c r="D2024" t="s">
        <v>4668</v>
      </c>
      <c r="E2024" t="s">
        <v>4669</v>
      </c>
      <c r="F2024" t="s">
        <v>7</v>
      </c>
      <c r="G2024" t="s">
        <v>8</v>
      </c>
      <c r="H2024">
        <v>19000000</v>
      </c>
      <c r="I2024">
        <v>7.5</v>
      </c>
      <c r="J2024" t="s">
        <v>9109</v>
      </c>
    </row>
    <row r="2025" spans="1:10" x14ac:dyDescent="0.3">
      <c r="A2025">
        <v>68</v>
      </c>
      <c r="B2025">
        <v>18081626</v>
      </c>
      <c r="C2025" t="s">
        <v>4670</v>
      </c>
      <c r="D2025" t="s">
        <v>4671</v>
      </c>
      <c r="E2025" t="s">
        <v>4672</v>
      </c>
      <c r="F2025" t="s">
        <v>7</v>
      </c>
      <c r="G2025" t="s">
        <v>8</v>
      </c>
      <c r="H2025">
        <v>20000000</v>
      </c>
      <c r="I2025">
        <v>6.6</v>
      </c>
      <c r="J2025" t="s">
        <v>8683</v>
      </c>
    </row>
    <row r="2026" spans="1:10" x14ac:dyDescent="0.3">
      <c r="A2026">
        <v>103</v>
      </c>
      <c r="B2026">
        <v>17518220</v>
      </c>
      <c r="C2026" t="s">
        <v>561</v>
      </c>
      <c r="D2026" t="s">
        <v>4673</v>
      </c>
      <c r="E2026" t="s">
        <v>4674</v>
      </c>
      <c r="F2026" t="s">
        <v>7</v>
      </c>
      <c r="G2026" t="s">
        <v>8</v>
      </c>
      <c r="H2026">
        <v>20000000</v>
      </c>
      <c r="I2026">
        <v>5.4</v>
      </c>
      <c r="J2026" t="s">
        <v>9158</v>
      </c>
    </row>
    <row r="2027" spans="1:10" x14ac:dyDescent="0.3">
      <c r="A2027">
        <v>99</v>
      </c>
      <c r="B2027">
        <v>17104669</v>
      </c>
      <c r="C2027" t="s">
        <v>4675</v>
      </c>
      <c r="D2027" t="s">
        <v>4676</v>
      </c>
      <c r="E2027" t="s">
        <v>4677</v>
      </c>
      <c r="F2027" t="s">
        <v>3064</v>
      </c>
      <c r="G2027" t="s">
        <v>1607</v>
      </c>
      <c r="H2027">
        <v>20000000</v>
      </c>
      <c r="I2027">
        <v>6.1</v>
      </c>
      <c r="J2027" t="s">
        <v>8695</v>
      </c>
    </row>
    <row r="2028" spans="1:10" x14ac:dyDescent="0.3">
      <c r="A2028">
        <v>88</v>
      </c>
      <c r="B2028">
        <v>16988996</v>
      </c>
      <c r="C2028" t="s">
        <v>4678</v>
      </c>
      <c r="D2028" t="s">
        <v>4679</v>
      </c>
      <c r="E2028" t="s">
        <v>4680</v>
      </c>
      <c r="F2028" t="s">
        <v>7</v>
      </c>
      <c r="G2028" t="s">
        <v>8</v>
      </c>
      <c r="H2028">
        <v>35000000</v>
      </c>
      <c r="I2028">
        <v>6.1</v>
      </c>
      <c r="J2028" t="s">
        <v>9027</v>
      </c>
    </row>
    <row r="2029" spans="1:10" x14ac:dyDescent="0.3">
      <c r="A2029">
        <v>128</v>
      </c>
      <c r="B2029">
        <v>15797907</v>
      </c>
      <c r="C2029" t="s">
        <v>1417</v>
      </c>
      <c r="D2029" t="s">
        <v>4681</v>
      </c>
      <c r="E2029" t="s">
        <v>4682</v>
      </c>
      <c r="F2029" t="s">
        <v>4683</v>
      </c>
      <c r="G2029" t="s">
        <v>8</v>
      </c>
      <c r="H2029">
        <v>20000000</v>
      </c>
      <c r="I2029">
        <v>5.6</v>
      </c>
      <c r="J2029" t="s">
        <v>9159</v>
      </c>
    </row>
    <row r="2030" spans="1:10" x14ac:dyDescent="0.3">
      <c r="A2030">
        <v>124</v>
      </c>
      <c r="B2030">
        <v>16248701</v>
      </c>
      <c r="C2030" t="s">
        <v>1417</v>
      </c>
      <c r="D2030" t="s">
        <v>4684</v>
      </c>
      <c r="E2030" t="s">
        <v>4685</v>
      </c>
      <c r="F2030" t="s">
        <v>7</v>
      </c>
      <c r="G2030" t="s">
        <v>8</v>
      </c>
      <c r="H2030">
        <v>20000000</v>
      </c>
      <c r="I2030">
        <v>5.8</v>
      </c>
      <c r="J2030" t="s">
        <v>8444</v>
      </c>
    </row>
    <row r="2031" spans="1:10" x14ac:dyDescent="0.3">
      <c r="A2031">
        <v>84</v>
      </c>
      <c r="B2031">
        <v>15712072</v>
      </c>
      <c r="C2031" t="s">
        <v>164</v>
      </c>
      <c r="D2031" t="s">
        <v>4686</v>
      </c>
      <c r="E2031" t="s">
        <v>4687</v>
      </c>
      <c r="F2031" t="s">
        <v>7</v>
      </c>
      <c r="G2031" t="s">
        <v>8</v>
      </c>
      <c r="H2031">
        <v>20000000</v>
      </c>
      <c r="I2031">
        <v>2.8</v>
      </c>
      <c r="J2031" t="s">
        <v>9160</v>
      </c>
    </row>
    <row r="2032" spans="1:10" x14ac:dyDescent="0.3">
      <c r="A2032">
        <v>101</v>
      </c>
      <c r="B2032">
        <v>15408822</v>
      </c>
      <c r="C2032" t="s">
        <v>672</v>
      </c>
      <c r="D2032" t="s">
        <v>4688</v>
      </c>
      <c r="E2032" t="s">
        <v>4689</v>
      </c>
      <c r="F2032" t="s">
        <v>7</v>
      </c>
      <c r="G2032" t="s">
        <v>8</v>
      </c>
      <c r="H2032">
        <v>20000000</v>
      </c>
      <c r="I2032">
        <v>6.7</v>
      </c>
      <c r="J2032" t="s">
        <v>9161</v>
      </c>
    </row>
    <row r="2033" spans="1:10" x14ac:dyDescent="0.3">
      <c r="A2033">
        <v>98</v>
      </c>
      <c r="B2033">
        <v>15464026</v>
      </c>
      <c r="C2033" t="s">
        <v>672</v>
      </c>
      <c r="D2033" t="s">
        <v>4690</v>
      </c>
      <c r="E2033" t="s">
        <v>4691</v>
      </c>
      <c r="F2033" t="s">
        <v>7</v>
      </c>
      <c r="G2033" t="s">
        <v>8</v>
      </c>
      <c r="H2033">
        <v>20000000</v>
      </c>
      <c r="I2033">
        <v>5.0999999999999996</v>
      </c>
      <c r="J2033" t="s">
        <v>9162</v>
      </c>
    </row>
    <row r="2034" spans="1:10" x14ac:dyDescent="0.3">
      <c r="A2034">
        <v>225</v>
      </c>
      <c r="B2034">
        <v>8000000</v>
      </c>
      <c r="C2034" t="s">
        <v>2495</v>
      </c>
      <c r="D2034" t="s">
        <v>4692</v>
      </c>
      <c r="E2034" t="s">
        <v>4693</v>
      </c>
      <c r="F2034" t="s">
        <v>7</v>
      </c>
      <c r="G2034" t="s">
        <v>8</v>
      </c>
      <c r="H2034">
        <v>20000000</v>
      </c>
      <c r="I2034">
        <v>7.2</v>
      </c>
      <c r="J2034" t="s">
        <v>8728</v>
      </c>
    </row>
    <row r="2035" spans="1:10" x14ac:dyDescent="0.3">
      <c r="A2035">
        <v>88</v>
      </c>
      <c r="B2035">
        <v>14174654</v>
      </c>
      <c r="C2035" t="s">
        <v>668</v>
      </c>
      <c r="D2035" t="s">
        <v>4694</v>
      </c>
      <c r="E2035" t="s">
        <v>4695</v>
      </c>
      <c r="F2035" t="s">
        <v>7</v>
      </c>
      <c r="G2035" t="s">
        <v>8</v>
      </c>
      <c r="H2035">
        <v>25000000</v>
      </c>
      <c r="I2035">
        <v>6</v>
      </c>
      <c r="J2035" t="s">
        <v>8807</v>
      </c>
    </row>
    <row r="2036" spans="1:10" x14ac:dyDescent="0.3">
      <c r="A2036">
        <v>88</v>
      </c>
      <c r="B2036">
        <v>15988876</v>
      </c>
      <c r="C2036" t="s">
        <v>118</v>
      </c>
      <c r="D2036" t="s">
        <v>4696</v>
      </c>
      <c r="E2036" t="s">
        <v>4697</v>
      </c>
      <c r="F2036" t="s">
        <v>7</v>
      </c>
      <c r="G2036" t="s">
        <v>8</v>
      </c>
      <c r="H2036">
        <v>27000000</v>
      </c>
      <c r="I2036">
        <v>7.2</v>
      </c>
      <c r="J2036" t="s">
        <v>9014</v>
      </c>
    </row>
    <row r="2037" spans="1:10" x14ac:dyDescent="0.3">
      <c r="A2037">
        <v>94</v>
      </c>
      <c r="B2037">
        <v>13801755</v>
      </c>
      <c r="C2037" t="s">
        <v>148</v>
      </c>
      <c r="D2037" t="s">
        <v>4698</v>
      </c>
      <c r="E2037" t="s">
        <v>4699</v>
      </c>
      <c r="F2037" t="s">
        <v>7</v>
      </c>
      <c r="G2037" t="s">
        <v>8</v>
      </c>
      <c r="H2037">
        <v>20000000</v>
      </c>
      <c r="I2037">
        <v>6.7</v>
      </c>
      <c r="J2037" t="s">
        <v>9163</v>
      </c>
    </row>
    <row r="2038" spans="1:10" x14ac:dyDescent="0.3">
      <c r="A2038">
        <v>117</v>
      </c>
      <c r="B2038">
        <v>13987482</v>
      </c>
      <c r="C2038" t="s">
        <v>672</v>
      </c>
      <c r="D2038" t="s">
        <v>4700</v>
      </c>
      <c r="E2038" t="s">
        <v>4701</v>
      </c>
      <c r="F2038" t="s">
        <v>7</v>
      </c>
      <c r="G2038" t="s">
        <v>8</v>
      </c>
      <c r="H2038">
        <v>20000000</v>
      </c>
      <c r="I2038">
        <v>6.3</v>
      </c>
      <c r="J2038" t="s">
        <v>9164</v>
      </c>
    </row>
    <row r="2039" spans="1:10" x14ac:dyDescent="0.3">
      <c r="A2039">
        <v>95</v>
      </c>
      <c r="B2039">
        <v>14291570</v>
      </c>
      <c r="C2039" t="s">
        <v>78</v>
      </c>
      <c r="D2039" t="s">
        <v>4702</v>
      </c>
      <c r="E2039" t="s">
        <v>4703</v>
      </c>
      <c r="F2039" t="s">
        <v>7</v>
      </c>
      <c r="G2039" t="s">
        <v>583</v>
      </c>
      <c r="H2039">
        <v>20000000</v>
      </c>
      <c r="I2039">
        <v>6.2</v>
      </c>
      <c r="J2039" t="s">
        <v>8784</v>
      </c>
    </row>
    <row r="2040" spans="1:10" x14ac:dyDescent="0.3">
      <c r="A2040">
        <v>96</v>
      </c>
      <c r="B2040">
        <v>13630226</v>
      </c>
      <c r="C2040" t="s">
        <v>555</v>
      </c>
      <c r="D2040" t="s">
        <v>4704</v>
      </c>
      <c r="E2040" t="s">
        <v>4705</v>
      </c>
      <c r="F2040" t="s">
        <v>7</v>
      </c>
      <c r="G2040" t="s">
        <v>8</v>
      </c>
      <c r="H2040">
        <v>20000000</v>
      </c>
      <c r="I2040">
        <v>6.2</v>
      </c>
      <c r="J2040" t="s">
        <v>9165</v>
      </c>
    </row>
    <row r="2041" spans="1:10" x14ac:dyDescent="0.3">
      <c r="A2041">
        <v>98</v>
      </c>
      <c r="B2041">
        <v>13383737</v>
      </c>
      <c r="C2041" t="s">
        <v>386</v>
      </c>
      <c r="D2041" t="s">
        <v>4706</v>
      </c>
      <c r="E2041" t="s">
        <v>4707</v>
      </c>
      <c r="F2041" t="s">
        <v>7</v>
      </c>
      <c r="G2041" t="s">
        <v>8</v>
      </c>
      <c r="H2041">
        <v>20000000</v>
      </c>
      <c r="I2041">
        <v>6.9</v>
      </c>
      <c r="J2041" t="s">
        <v>9144</v>
      </c>
    </row>
    <row r="2042" spans="1:10" x14ac:dyDescent="0.3">
      <c r="A2042">
        <v>123</v>
      </c>
      <c r="B2042">
        <v>13391174</v>
      </c>
      <c r="C2042" t="s">
        <v>2495</v>
      </c>
      <c r="D2042" t="s">
        <v>4708</v>
      </c>
      <c r="E2042" t="s">
        <v>4709</v>
      </c>
      <c r="F2042" t="s">
        <v>7</v>
      </c>
      <c r="G2042" t="s">
        <v>8</v>
      </c>
      <c r="H2042">
        <v>20000000</v>
      </c>
      <c r="I2042">
        <v>6.8</v>
      </c>
      <c r="J2042" t="s">
        <v>8603</v>
      </c>
    </row>
    <row r="2043" spans="1:10" x14ac:dyDescent="0.3">
      <c r="A2043">
        <v>101</v>
      </c>
      <c r="B2043">
        <v>12987647</v>
      </c>
      <c r="C2043" t="s">
        <v>4710</v>
      </c>
      <c r="D2043" t="s">
        <v>4711</v>
      </c>
      <c r="E2043" t="s">
        <v>4712</v>
      </c>
      <c r="F2043" t="s">
        <v>7</v>
      </c>
      <c r="G2043" t="s">
        <v>15</v>
      </c>
      <c r="H2043">
        <v>30000000</v>
      </c>
      <c r="I2043">
        <v>7.1</v>
      </c>
      <c r="J2043" t="s">
        <v>9166</v>
      </c>
    </row>
    <row r="2044" spans="1:10" x14ac:dyDescent="0.3">
      <c r="A2044">
        <v>102</v>
      </c>
      <c r="B2044">
        <v>12469811</v>
      </c>
      <c r="C2044" t="s">
        <v>1040</v>
      </c>
      <c r="D2044" t="s">
        <v>4713</v>
      </c>
      <c r="E2044" t="s">
        <v>4714</v>
      </c>
      <c r="F2044" t="s">
        <v>7</v>
      </c>
      <c r="G2044" t="s">
        <v>8</v>
      </c>
      <c r="H2044">
        <v>22000000</v>
      </c>
      <c r="I2044">
        <v>7.1</v>
      </c>
      <c r="J2044" t="s">
        <v>9167</v>
      </c>
    </row>
    <row r="2045" spans="1:10" x14ac:dyDescent="0.3">
      <c r="A2045">
        <v>94</v>
      </c>
      <c r="B2045">
        <v>12398628</v>
      </c>
      <c r="C2045" t="s">
        <v>4715</v>
      </c>
      <c r="D2045" t="s">
        <v>4716</v>
      </c>
      <c r="E2045" t="s">
        <v>4717</v>
      </c>
      <c r="F2045" t="s">
        <v>7</v>
      </c>
      <c r="G2045" t="s">
        <v>8</v>
      </c>
      <c r="H2045">
        <v>20000000</v>
      </c>
      <c r="I2045">
        <v>7</v>
      </c>
      <c r="J2045" t="s">
        <v>8571</v>
      </c>
    </row>
    <row r="2046" spans="1:10" x14ac:dyDescent="0.3">
      <c r="A2046">
        <v>102</v>
      </c>
      <c r="B2046">
        <v>13214030</v>
      </c>
      <c r="C2046" t="s">
        <v>1024</v>
      </c>
      <c r="D2046" t="s">
        <v>4718</v>
      </c>
      <c r="E2046" t="s">
        <v>4719</v>
      </c>
      <c r="F2046" t="s">
        <v>7</v>
      </c>
      <c r="G2046" t="s">
        <v>8</v>
      </c>
      <c r="H2046">
        <v>20000000</v>
      </c>
      <c r="I2046">
        <v>7.1</v>
      </c>
      <c r="J2046" t="s">
        <v>8600</v>
      </c>
    </row>
    <row r="2047" spans="1:10" x14ac:dyDescent="0.3">
      <c r="A2047">
        <v>108</v>
      </c>
      <c r="B2047">
        <v>12232937</v>
      </c>
      <c r="C2047" t="s">
        <v>118</v>
      </c>
      <c r="D2047" t="s">
        <v>4720</v>
      </c>
      <c r="E2047" t="s">
        <v>4721</v>
      </c>
      <c r="F2047" t="s">
        <v>7</v>
      </c>
      <c r="G2047" t="s">
        <v>8</v>
      </c>
      <c r="H2047">
        <v>22000000</v>
      </c>
      <c r="I2047">
        <v>6.4</v>
      </c>
      <c r="J2047" t="s">
        <v>8661</v>
      </c>
    </row>
    <row r="2048" spans="1:10" x14ac:dyDescent="0.3">
      <c r="A2048">
        <v>116</v>
      </c>
      <c r="B2048">
        <v>12134420</v>
      </c>
      <c r="C2048" t="s">
        <v>2514</v>
      </c>
      <c r="D2048" t="s">
        <v>4722</v>
      </c>
      <c r="E2048" t="s">
        <v>4723</v>
      </c>
      <c r="F2048" t="s">
        <v>7</v>
      </c>
      <c r="G2048" t="s">
        <v>15</v>
      </c>
      <c r="H2048">
        <v>20000000</v>
      </c>
      <c r="I2048">
        <v>7</v>
      </c>
      <c r="J2048" t="s">
        <v>8492</v>
      </c>
    </row>
    <row r="2049" spans="1:10" x14ac:dyDescent="0.3">
      <c r="A2049">
        <v>93</v>
      </c>
      <c r="B2049">
        <v>11784000</v>
      </c>
      <c r="C2049" t="s">
        <v>3803</v>
      </c>
      <c r="D2049" t="s">
        <v>4724</v>
      </c>
      <c r="E2049" t="s">
        <v>4725</v>
      </c>
      <c r="F2049" t="s">
        <v>7</v>
      </c>
      <c r="G2049" t="s">
        <v>8</v>
      </c>
      <c r="H2049">
        <v>20000000</v>
      </c>
      <c r="I2049">
        <v>6.2</v>
      </c>
      <c r="J2049" t="s">
        <v>8738</v>
      </c>
    </row>
    <row r="2050" spans="1:10" x14ac:dyDescent="0.3">
      <c r="A2050">
        <v>102</v>
      </c>
      <c r="B2050">
        <v>11169531</v>
      </c>
      <c r="C2050" t="s">
        <v>668</v>
      </c>
      <c r="D2050" t="s">
        <v>4726</v>
      </c>
      <c r="E2050" t="s">
        <v>4727</v>
      </c>
      <c r="F2050" t="s">
        <v>7</v>
      </c>
      <c r="G2050" t="s">
        <v>15</v>
      </c>
      <c r="H2050">
        <v>20000000</v>
      </c>
      <c r="I2050">
        <v>7.5</v>
      </c>
      <c r="J2050" t="s">
        <v>8619</v>
      </c>
    </row>
    <row r="2051" spans="1:10" x14ac:dyDescent="0.3">
      <c r="A2051">
        <v>103</v>
      </c>
      <c r="B2051">
        <v>11034436</v>
      </c>
      <c r="C2051" t="s">
        <v>4728</v>
      </c>
      <c r="D2051" t="s">
        <v>4729</v>
      </c>
      <c r="E2051" t="s">
        <v>4730</v>
      </c>
      <c r="F2051" t="s">
        <v>7</v>
      </c>
      <c r="G2051" t="s">
        <v>15</v>
      </c>
      <c r="H2051">
        <v>20000000</v>
      </c>
      <c r="I2051">
        <v>4.8</v>
      </c>
      <c r="J2051" t="s">
        <v>8919</v>
      </c>
    </row>
    <row r="2052" spans="1:10" x14ac:dyDescent="0.3">
      <c r="A2052">
        <v>115</v>
      </c>
      <c r="B2052">
        <v>12626905</v>
      </c>
      <c r="C2052" t="s">
        <v>164</v>
      </c>
      <c r="D2052" t="s">
        <v>4731</v>
      </c>
      <c r="E2052" t="s">
        <v>4732</v>
      </c>
      <c r="F2052" t="s">
        <v>7</v>
      </c>
      <c r="G2052" t="s">
        <v>8</v>
      </c>
      <c r="H2052">
        <v>20000000</v>
      </c>
      <c r="I2052">
        <v>8.1</v>
      </c>
      <c r="J2052" t="s">
        <v>9048</v>
      </c>
    </row>
    <row r="2053" spans="1:10" x14ac:dyDescent="0.3">
      <c r="A2053">
        <v>96</v>
      </c>
      <c r="B2053">
        <v>10569071</v>
      </c>
      <c r="C2053" t="s">
        <v>668</v>
      </c>
      <c r="D2053" t="s">
        <v>4733</v>
      </c>
      <c r="E2053" t="s">
        <v>4734</v>
      </c>
      <c r="F2053" t="s">
        <v>7</v>
      </c>
      <c r="G2053" t="s">
        <v>8</v>
      </c>
      <c r="H2053">
        <v>20000000</v>
      </c>
      <c r="I2053">
        <v>7.3</v>
      </c>
      <c r="J2053" t="s">
        <v>8937</v>
      </c>
    </row>
    <row r="2054" spans="1:10" x14ac:dyDescent="0.3">
      <c r="A2054">
        <v>98</v>
      </c>
      <c r="B2054">
        <v>10544143</v>
      </c>
      <c r="C2054" t="s">
        <v>672</v>
      </c>
      <c r="D2054" t="s">
        <v>4735</v>
      </c>
      <c r="E2054" t="s">
        <v>4736</v>
      </c>
      <c r="F2054" t="s">
        <v>7</v>
      </c>
      <c r="G2054" t="s">
        <v>132</v>
      </c>
      <c r="H2054">
        <v>20000000</v>
      </c>
      <c r="I2054">
        <v>5.8</v>
      </c>
      <c r="J2054" t="s">
        <v>8862</v>
      </c>
    </row>
    <row r="2055" spans="1:10" x14ac:dyDescent="0.3">
      <c r="A2055">
        <v>101</v>
      </c>
      <c r="B2055">
        <v>13650738</v>
      </c>
      <c r="C2055" t="s">
        <v>1040</v>
      </c>
      <c r="D2055" t="s">
        <v>4737</v>
      </c>
      <c r="E2055" t="s">
        <v>4738</v>
      </c>
      <c r="F2055" t="s">
        <v>7</v>
      </c>
      <c r="G2055" t="s">
        <v>8</v>
      </c>
      <c r="H2055">
        <v>20000000</v>
      </c>
      <c r="I2055">
        <v>7.6</v>
      </c>
      <c r="J2055" t="s">
        <v>9168</v>
      </c>
    </row>
    <row r="2056" spans="1:10" x14ac:dyDescent="0.3">
      <c r="A2056">
        <v>106</v>
      </c>
      <c r="B2056">
        <v>10555348</v>
      </c>
      <c r="C2056" t="s">
        <v>386</v>
      </c>
      <c r="D2056" t="s">
        <v>4739</v>
      </c>
      <c r="E2056" t="s">
        <v>4740</v>
      </c>
      <c r="F2056" t="s">
        <v>7</v>
      </c>
      <c r="G2056" t="s">
        <v>8</v>
      </c>
      <c r="H2056">
        <v>20000000</v>
      </c>
      <c r="I2056">
        <v>5.6</v>
      </c>
      <c r="J2056" t="s">
        <v>9169</v>
      </c>
    </row>
    <row r="2057" spans="1:10" x14ac:dyDescent="0.3">
      <c r="A2057">
        <v>101</v>
      </c>
      <c r="B2057">
        <v>9714482</v>
      </c>
      <c r="C2057" t="s">
        <v>4741</v>
      </c>
      <c r="D2057" t="s">
        <v>4742</v>
      </c>
      <c r="E2057" t="s">
        <v>4743</v>
      </c>
      <c r="F2057" t="s">
        <v>7</v>
      </c>
      <c r="G2057" t="s">
        <v>8</v>
      </c>
      <c r="H2057">
        <v>20000000</v>
      </c>
      <c r="I2057">
        <v>7</v>
      </c>
      <c r="J2057" t="s">
        <v>8450</v>
      </c>
    </row>
    <row r="2058" spans="1:10" x14ac:dyDescent="0.3">
      <c r="A2058">
        <v>111</v>
      </c>
      <c r="B2058">
        <v>9525276</v>
      </c>
      <c r="C2058" t="s">
        <v>118</v>
      </c>
      <c r="D2058" t="s">
        <v>4744</v>
      </c>
      <c r="E2058" t="s">
        <v>4745</v>
      </c>
      <c r="F2058" t="s">
        <v>7</v>
      </c>
      <c r="G2058" t="s">
        <v>8</v>
      </c>
      <c r="H2058">
        <v>20000000</v>
      </c>
      <c r="I2058">
        <v>6.6</v>
      </c>
      <c r="J2058" t="s">
        <v>8603</v>
      </c>
    </row>
    <row r="2059" spans="1:10" x14ac:dyDescent="0.3">
      <c r="A2059">
        <v>99</v>
      </c>
      <c r="B2059">
        <v>8855646</v>
      </c>
      <c r="C2059" t="s">
        <v>2975</v>
      </c>
      <c r="D2059" t="s">
        <v>4746</v>
      </c>
      <c r="E2059" t="s">
        <v>4747</v>
      </c>
      <c r="F2059" t="s">
        <v>7</v>
      </c>
      <c r="G2059" t="s">
        <v>8</v>
      </c>
      <c r="H2059">
        <v>21000000</v>
      </c>
      <c r="I2059">
        <v>6.5</v>
      </c>
      <c r="J2059" t="s">
        <v>8444</v>
      </c>
    </row>
    <row r="2060" spans="1:10" x14ac:dyDescent="0.3">
      <c r="A2060">
        <v>88</v>
      </c>
      <c r="B2060">
        <v>9109322</v>
      </c>
      <c r="C2060" t="s">
        <v>1098</v>
      </c>
      <c r="D2060" t="s">
        <v>4748</v>
      </c>
      <c r="E2060" t="s">
        <v>4749</v>
      </c>
      <c r="F2060" t="s">
        <v>7</v>
      </c>
      <c r="G2060" t="s">
        <v>284</v>
      </c>
      <c r="H2060">
        <v>20000000</v>
      </c>
      <c r="I2060">
        <v>7.4</v>
      </c>
      <c r="J2060" t="s">
        <v>9048</v>
      </c>
    </row>
    <row r="2061" spans="1:10" x14ac:dyDescent="0.3">
      <c r="A2061">
        <v>83</v>
      </c>
      <c r="B2061">
        <v>8326035</v>
      </c>
      <c r="C2061" t="s">
        <v>704</v>
      </c>
      <c r="D2061" t="s">
        <v>4750</v>
      </c>
      <c r="E2061" t="s">
        <v>4751</v>
      </c>
      <c r="F2061" t="s">
        <v>7</v>
      </c>
      <c r="G2061" t="s">
        <v>284</v>
      </c>
      <c r="H2061">
        <v>33000000</v>
      </c>
      <c r="I2061">
        <v>4.5999999999999996</v>
      </c>
      <c r="J2061" t="s">
        <v>9170</v>
      </c>
    </row>
    <row r="2062" spans="1:10" x14ac:dyDescent="0.3">
      <c r="A2062">
        <v>91</v>
      </c>
      <c r="B2062">
        <v>8104069</v>
      </c>
      <c r="C2062" t="s">
        <v>704</v>
      </c>
      <c r="D2062" t="s">
        <v>4752</v>
      </c>
      <c r="E2062" t="s">
        <v>4753</v>
      </c>
      <c r="F2062" t="s">
        <v>7</v>
      </c>
      <c r="G2062" t="s">
        <v>8</v>
      </c>
      <c r="H2062">
        <v>20000000</v>
      </c>
      <c r="I2062">
        <v>6.4</v>
      </c>
      <c r="J2062" t="s">
        <v>8947</v>
      </c>
    </row>
    <row r="2063" spans="1:10" x14ac:dyDescent="0.3">
      <c r="A2063">
        <v>108</v>
      </c>
      <c r="B2063">
        <v>8054280</v>
      </c>
      <c r="C2063" t="s">
        <v>1275</v>
      </c>
      <c r="D2063" t="s">
        <v>4754</v>
      </c>
      <c r="E2063" t="s">
        <v>4755</v>
      </c>
      <c r="F2063" t="s">
        <v>7</v>
      </c>
      <c r="G2063" t="s">
        <v>8</v>
      </c>
      <c r="H2063">
        <v>20000000</v>
      </c>
      <c r="I2063">
        <v>6</v>
      </c>
      <c r="J2063" t="s">
        <v>8817</v>
      </c>
    </row>
    <row r="2064" spans="1:10" x14ac:dyDescent="0.3">
      <c r="A2064">
        <v>148</v>
      </c>
      <c r="B2064">
        <v>8093318</v>
      </c>
      <c r="C2064" t="s">
        <v>4756</v>
      </c>
      <c r="D2064" t="s">
        <v>4757</v>
      </c>
      <c r="E2064" t="s">
        <v>4758</v>
      </c>
      <c r="F2064" t="s">
        <v>7</v>
      </c>
      <c r="G2064" t="s">
        <v>8</v>
      </c>
      <c r="H2064">
        <v>20000000</v>
      </c>
      <c r="I2064">
        <v>6.4</v>
      </c>
      <c r="J2064" t="s">
        <v>8928</v>
      </c>
    </row>
    <row r="2065" spans="1:10" x14ac:dyDescent="0.3">
      <c r="A2065">
        <v>77</v>
      </c>
      <c r="B2065">
        <v>7382993</v>
      </c>
      <c r="C2065" t="s">
        <v>96</v>
      </c>
      <c r="D2065" t="s">
        <v>4759</v>
      </c>
      <c r="E2065" t="s">
        <v>4760</v>
      </c>
      <c r="F2065" t="s">
        <v>7</v>
      </c>
      <c r="G2065" t="s">
        <v>8</v>
      </c>
      <c r="H2065">
        <v>20000000</v>
      </c>
      <c r="I2065">
        <v>5.9</v>
      </c>
      <c r="J2065" t="s">
        <v>8499</v>
      </c>
    </row>
    <row r="2066" spans="1:10" x14ac:dyDescent="0.3">
      <c r="A2066">
        <v>110</v>
      </c>
      <c r="B2066">
        <v>8888355</v>
      </c>
      <c r="C2066" t="s">
        <v>2605</v>
      </c>
      <c r="D2066" t="s">
        <v>4761</v>
      </c>
      <c r="E2066" t="s">
        <v>4762</v>
      </c>
      <c r="F2066" t="s">
        <v>7</v>
      </c>
      <c r="G2066" t="s">
        <v>8</v>
      </c>
      <c r="H2066">
        <v>20000000</v>
      </c>
      <c r="I2066">
        <v>6.4</v>
      </c>
      <c r="J2066" t="s">
        <v>8389</v>
      </c>
    </row>
    <row r="2067" spans="1:10" x14ac:dyDescent="0.3">
      <c r="A2067">
        <v>83</v>
      </c>
      <c r="B2067">
        <v>7001720</v>
      </c>
      <c r="C2067" t="s">
        <v>1149</v>
      </c>
      <c r="D2067" t="s">
        <v>4763</v>
      </c>
      <c r="E2067" t="s">
        <v>4764</v>
      </c>
      <c r="F2067" t="s">
        <v>7</v>
      </c>
      <c r="G2067" t="s">
        <v>8</v>
      </c>
      <c r="H2067">
        <v>12000000</v>
      </c>
      <c r="I2067">
        <v>6.6</v>
      </c>
      <c r="J2067" t="s">
        <v>8730</v>
      </c>
    </row>
    <row r="2068" spans="1:10" x14ac:dyDescent="0.3">
      <c r="A2068">
        <v>107</v>
      </c>
      <c r="B2068">
        <v>7268659</v>
      </c>
      <c r="C2068" t="s">
        <v>148</v>
      </c>
      <c r="D2068" t="s">
        <v>4765</v>
      </c>
      <c r="E2068" t="s">
        <v>4766</v>
      </c>
      <c r="F2068" t="s">
        <v>7</v>
      </c>
      <c r="G2068" t="s">
        <v>3028</v>
      </c>
      <c r="H2068">
        <v>20000000</v>
      </c>
      <c r="I2068">
        <v>6.9</v>
      </c>
      <c r="J2068" t="s">
        <v>8902</v>
      </c>
    </row>
    <row r="2069" spans="1:10" x14ac:dyDescent="0.3">
      <c r="A2069">
        <v>100</v>
      </c>
      <c r="B2069">
        <v>6852144</v>
      </c>
      <c r="C2069" t="s">
        <v>1314</v>
      </c>
      <c r="D2069" t="s">
        <v>4767</v>
      </c>
      <c r="E2069" t="s">
        <v>4768</v>
      </c>
      <c r="F2069" t="s">
        <v>7</v>
      </c>
      <c r="G2069" t="s">
        <v>95</v>
      </c>
      <c r="H2069">
        <v>22000000</v>
      </c>
      <c r="I2069">
        <v>6.9</v>
      </c>
      <c r="J2069" t="s">
        <v>8321</v>
      </c>
    </row>
    <row r="2070" spans="1:10" x14ac:dyDescent="0.3">
      <c r="A2070">
        <v>87</v>
      </c>
      <c r="B2070">
        <v>6563357</v>
      </c>
      <c r="C2070" t="s">
        <v>1765</v>
      </c>
      <c r="D2070" t="s">
        <v>4769</v>
      </c>
      <c r="E2070" t="s">
        <v>4770</v>
      </c>
      <c r="F2070" t="s">
        <v>7</v>
      </c>
      <c r="G2070" t="s">
        <v>8</v>
      </c>
      <c r="H2070">
        <v>20000000</v>
      </c>
      <c r="I2070">
        <v>5.8</v>
      </c>
      <c r="J2070" t="s">
        <v>9171</v>
      </c>
    </row>
    <row r="2071" spans="1:10" x14ac:dyDescent="0.3">
      <c r="A2071">
        <v>154</v>
      </c>
      <c r="B2071">
        <v>6201757</v>
      </c>
      <c r="C2071" t="s">
        <v>4771</v>
      </c>
      <c r="D2071" t="s">
        <v>4772</v>
      </c>
      <c r="E2071" t="s">
        <v>4773</v>
      </c>
      <c r="F2071" t="s">
        <v>7</v>
      </c>
      <c r="G2071" t="s">
        <v>15</v>
      </c>
      <c r="H2071">
        <v>10000000</v>
      </c>
      <c r="I2071">
        <v>6.4</v>
      </c>
      <c r="J2071" t="s">
        <v>8900</v>
      </c>
    </row>
    <row r="2072" spans="1:10" x14ac:dyDescent="0.3">
      <c r="A2072">
        <v>106</v>
      </c>
      <c r="B2072">
        <v>6420319</v>
      </c>
      <c r="C2072" t="s">
        <v>1410</v>
      </c>
      <c r="D2072" t="s">
        <v>4774</v>
      </c>
      <c r="E2072" t="s">
        <v>4775</v>
      </c>
      <c r="F2072" t="s">
        <v>7</v>
      </c>
      <c r="G2072" t="s">
        <v>1193</v>
      </c>
      <c r="H2072">
        <v>20000000</v>
      </c>
      <c r="I2072">
        <v>5.3</v>
      </c>
      <c r="J2072" t="s">
        <v>9172</v>
      </c>
    </row>
    <row r="2073" spans="1:10" x14ac:dyDescent="0.3">
      <c r="A2073">
        <v>99</v>
      </c>
      <c r="B2073">
        <v>5702083</v>
      </c>
      <c r="C2073" t="s">
        <v>1493</v>
      </c>
      <c r="D2073" t="s">
        <v>4776</v>
      </c>
      <c r="E2073" t="s">
        <v>4777</v>
      </c>
      <c r="F2073" t="s">
        <v>7</v>
      </c>
      <c r="G2073" t="s">
        <v>15</v>
      </c>
      <c r="H2073">
        <v>15000000</v>
      </c>
      <c r="I2073">
        <v>6.5</v>
      </c>
      <c r="J2073" t="s">
        <v>8742</v>
      </c>
    </row>
    <row r="2074" spans="1:10" x14ac:dyDescent="0.3">
      <c r="A2074">
        <v>100</v>
      </c>
      <c r="B2074">
        <v>5480996</v>
      </c>
      <c r="C2074" t="s">
        <v>4778</v>
      </c>
      <c r="D2074" t="s">
        <v>4779</v>
      </c>
      <c r="E2074" t="s">
        <v>4780</v>
      </c>
      <c r="F2074" t="s">
        <v>7</v>
      </c>
      <c r="G2074" t="s">
        <v>8</v>
      </c>
      <c r="H2074">
        <v>8700000</v>
      </c>
      <c r="I2074">
        <v>5.7</v>
      </c>
      <c r="J2074" t="s">
        <v>9173</v>
      </c>
    </row>
    <row r="2075" spans="1:10" x14ac:dyDescent="0.3">
      <c r="A2075">
        <v>116</v>
      </c>
      <c r="B2075">
        <v>6002756</v>
      </c>
      <c r="C2075" t="s">
        <v>653</v>
      </c>
      <c r="D2075" t="s">
        <v>4781</v>
      </c>
      <c r="E2075" t="s">
        <v>4782</v>
      </c>
      <c r="F2075" t="s">
        <v>7</v>
      </c>
      <c r="G2075" t="s">
        <v>8</v>
      </c>
      <c r="H2075">
        <v>20000000</v>
      </c>
      <c r="I2075">
        <v>6.7</v>
      </c>
      <c r="J2075" t="s">
        <v>8656</v>
      </c>
    </row>
    <row r="2076" spans="1:10" x14ac:dyDescent="0.3">
      <c r="A2076">
        <v>94</v>
      </c>
      <c r="B2076">
        <v>5132655</v>
      </c>
      <c r="C2076" t="s">
        <v>4304</v>
      </c>
      <c r="D2076" t="s">
        <v>4783</v>
      </c>
      <c r="E2076" t="s">
        <v>4784</v>
      </c>
      <c r="F2076" t="s">
        <v>7</v>
      </c>
      <c r="G2076" t="s">
        <v>95</v>
      </c>
      <c r="H2076">
        <v>20000000</v>
      </c>
      <c r="I2076">
        <v>3.9</v>
      </c>
      <c r="J2076" t="s">
        <v>9174</v>
      </c>
    </row>
    <row r="2077" spans="1:10" x14ac:dyDescent="0.3">
      <c r="A2077">
        <v>111</v>
      </c>
      <c r="B2077">
        <v>5205343</v>
      </c>
      <c r="C2077" t="s">
        <v>3472</v>
      </c>
      <c r="D2077" t="s">
        <v>4785</v>
      </c>
      <c r="E2077" t="s">
        <v>4786</v>
      </c>
      <c r="F2077" t="s">
        <v>7</v>
      </c>
      <c r="G2077" t="s">
        <v>8</v>
      </c>
      <c r="H2077">
        <v>20000000</v>
      </c>
      <c r="I2077">
        <v>4.0999999999999996</v>
      </c>
      <c r="J2077" t="s">
        <v>9175</v>
      </c>
    </row>
    <row r="2078" spans="1:10" x14ac:dyDescent="0.3">
      <c r="A2078">
        <v>100</v>
      </c>
      <c r="B2078">
        <v>5005883</v>
      </c>
      <c r="C2078" t="s">
        <v>1356</v>
      </c>
      <c r="D2078" t="s">
        <v>4787</v>
      </c>
      <c r="E2078" t="s">
        <v>4788</v>
      </c>
      <c r="F2078" t="s">
        <v>7</v>
      </c>
      <c r="G2078" t="s">
        <v>8</v>
      </c>
      <c r="H2078">
        <v>20000000</v>
      </c>
      <c r="I2078">
        <v>6.2</v>
      </c>
      <c r="J2078" t="s">
        <v>9176</v>
      </c>
    </row>
    <row r="2079" spans="1:10" x14ac:dyDescent="0.3">
      <c r="A2079">
        <v>125</v>
      </c>
      <c r="B2079">
        <v>5749134</v>
      </c>
      <c r="C2079" t="s">
        <v>164</v>
      </c>
      <c r="D2079" t="s">
        <v>4789</v>
      </c>
      <c r="E2079" t="s">
        <v>4790</v>
      </c>
      <c r="F2079" t="s">
        <v>7</v>
      </c>
      <c r="G2079" t="s">
        <v>8</v>
      </c>
      <c r="H2079">
        <v>20000000</v>
      </c>
      <c r="I2079">
        <v>3.8</v>
      </c>
      <c r="J2079" t="s">
        <v>8925</v>
      </c>
    </row>
    <row r="2080" spans="1:10" x14ac:dyDescent="0.3">
      <c r="A2080">
        <v>119</v>
      </c>
      <c r="B2080">
        <v>4234040</v>
      </c>
      <c r="C2080" t="s">
        <v>617</v>
      </c>
      <c r="D2080" t="s">
        <v>4791</v>
      </c>
      <c r="E2080" t="s">
        <v>4792</v>
      </c>
      <c r="F2080" t="s">
        <v>7</v>
      </c>
      <c r="G2080" t="s">
        <v>8</v>
      </c>
      <c r="H2080">
        <v>20000000</v>
      </c>
      <c r="I2080">
        <v>5.0999999999999996</v>
      </c>
      <c r="J2080" t="s">
        <v>9059</v>
      </c>
    </row>
    <row r="2081" spans="1:10" x14ac:dyDescent="0.3">
      <c r="A2081">
        <v>135</v>
      </c>
      <c r="B2081">
        <v>4001121</v>
      </c>
      <c r="C2081" t="s">
        <v>1796</v>
      </c>
      <c r="D2081" t="s">
        <v>4793</v>
      </c>
      <c r="E2081" t="s">
        <v>4794</v>
      </c>
      <c r="F2081" t="s">
        <v>7</v>
      </c>
      <c r="G2081" t="s">
        <v>8</v>
      </c>
      <c r="H2081">
        <v>20000000</v>
      </c>
      <c r="I2081">
        <v>6.4</v>
      </c>
      <c r="J2081" t="s">
        <v>9177</v>
      </c>
    </row>
    <row r="2082" spans="1:10" x14ac:dyDescent="0.3">
      <c r="A2082">
        <v>93</v>
      </c>
      <c r="B2082">
        <v>3749061</v>
      </c>
      <c r="C2082" t="s">
        <v>16</v>
      </c>
      <c r="D2082" t="s">
        <v>4795</v>
      </c>
      <c r="E2082" t="s">
        <v>4796</v>
      </c>
      <c r="F2082" t="s">
        <v>7</v>
      </c>
      <c r="G2082" t="s">
        <v>8</v>
      </c>
      <c r="H2082">
        <v>20000000</v>
      </c>
      <c r="I2082">
        <v>7.8</v>
      </c>
      <c r="J2082" t="s">
        <v>8423</v>
      </c>
    </row>
    <row r="2083" spans="1:10" x14ac:dyDescent="0.3">
      <c r="A2083">
        <v>114</v>
      </c>
      <c r="B2083">
        <v>3519627</v>
      </c>
      <c r="C2083" t="s">
        <v>4797</v>
      </c>
      <c r="D2083" t="s">
        <v>4798</v>
      </c>
      <c r="E2083" t="s">
        <v>4799</v>
      </c>
      <c r="F2083" t="s">
        <v>7</v>
      </c>
      <c r="G2083" t="s">
        <v>8</v>
      </c>
      <c r="H2083">
        <v>20000000</v>
      </c>
      <c r="I2083">
        <v>7.8</v>
      </c>
      <c r="J2083" t="s">
        <v>9178</v>
      </c>
    </row>
    <row r="2084" spans="1:10" x14ac:dyDescent="0.3">
      <c r="A2084">
        <v>124</v>
      </c>
      <c r="B2084">
        <v>3081925</v>
      </c>
      <c r="C2084" t="s">
        <v>561</v>
      </c>
      <c r="D2084" t="s">
        <v>4800</v>
      </c>
      <c r="E2084" t="s">
        <v>4801</v>
      </c>
      <c r="F2084" t="s">
        <v>7</v>
      </c>
      <c r="G2084" t="s">
        <v>8</v>
      </c>
      <c r="H2084">
        <v>21000000</v>
      </c>
      <c r="I2084">
        <v>6.1</v>
      </c>
      <c r="J2084" t="s">
        <v>9179</v>
      </c>
    </row>
    <row r="2085" spans="1:10" x14ac:dyDescent="0.3">
      <c r="A2085">
        <v>134</v>
      </c>
      <c r="B2085">
        <v>2298191</v>
      </c>
      <c r="C2085" t="s">
        <v>3703</v>
      </c>
      <c r="D2085" t="s">
        <v>4802</v>
      </c>
      <c r="E2085" t="s">
        <v>4803</v>
      </c>
      <c r="F2085" t="s">
        <v>247</v>
      </c>
      <c r="G2085" t="s">
        <v>248</v>
      </c>
      <c r="H2085">
        <v>2400000000</v>
      </c>
      <c r="I2085">
        <v>5.8</v>
      </c>
      <c r="J2085" t="s">
        <v>9063</v>
      </c>
    </row>
    <row r="2086" spans="1:10" x14ac:dyDescent="0.3">
      <c r="A2086">
        <v>114</v>
      </c>
      <c r="B2086">
        <v>2353728</v>
      </c>
      <c r="C2086" t="s">
        <v>4804</v>
      </c>
      <c r="D2086" t="s">
        <v>4805</v>
      </c>
      <c r="E2086" t="s">
        <v>4806</v>
      </c>
      <c r="F2086" t="s">
        <v>582</v>
      </c>
      <c r="G2086" t="s">
        <v>583</v>
      </c>
      <c r="H2086">
        <v>20000000</v>
      </c>
      <c r="I2086">
        <v>6.3</v>
      </c>
      <c r="J2086" t="s">
        <v>9180</v>
      </c>
    </row>
    <row r="2087" spans="1:10" x14ac:dyDescent="0.3">
      <c r="A2087">
        <v>124</v>
      </c>
      <c r="B2087">
        <v>2000000</v>
      </c>
      <c r="C2087" t="s">
        <v>4807</v>
      </c>
      <c r="D2087" t="s">
        <v>4808</v>
      </c>
      <c r="E2087" t="s">
        <v>4809</v>
      </c>
      <c r="F2087" t="s">
        <v>7</v>
      </c>
      <c r="G2087" t="s">
        <v>8</v>
      </c>
      <c r="H2087">
        <v>20000000</v>
      </c>
      <c r="I2087">
        <v>7.7</v>
      </c>
      <c r="J2087" t="s">
        <v>8703</v>
      </c>
    </row>
    <row r="2088" spans="1:10" x14ac:dyDescent="0.3">
      <c r="A2088">
        <v>104</v>
      </c>
      <c r="B2088">
        <v>1900725</v>
      </c>
      <c r="C2088" t="s">
        <v>4641</v>
      </c>
      <c r="D2088" t="s">
        <v>4810</v>
      </c>
      <c r="E2088" t="s">
        <v>4811</v>
      </c>
      <c r="F2088" t="s">
        <v>7</v>
      </c>
      <c r="G2088" t="s">
        <v>132</v>
      </c>
      <c r="H2088">
        <v>2000000</v>
      </c>
      <c r="I2088">
        <v>5.4</v>
      </c>
      <c r="J2088" t="s">
        <v>9181</v>
      </c>
    </row>
    <row r="2089" spans="1:10" x14ac:dyDescent="0.3">
      <c r="A2089">
        <v>118</v>
      </c>
      <c r="B2089">
        <v>2246000</v>
      </c>
      <c r="C2089" t="s">
        <v>653</v>
      </c>
      <c r="D2089" t="s">
        <v>4812</v>
      </c>
      <c r="E2089" t="s">
        <v>4813</v>
      </c>
      <c r="F2089" t="s">
        <v>7</v>
      </c>
      <c r="G2089" t="s">
        <v>8</v>
      </c>
      <c r="H2089">
        <v>20000000</v>
      </c>
      <c r="I2089">
        <v>7.3</v>
      </c>
      <c r="J2089" t="s">
        <v>9038</v>
      </c>
    </row>
    <row r="2090" spans="1:10" x14ac:dyDescent="0.3">
      <c r="A2090">
        <v>80</v>
      </c>
      <c r="B2090">
        <v>1646664</v>
      </c>
      <c r="C2090" t="s">
        <v>2708</v>
      </c>
      <c r="D2090" t="s">
        <v>4814</v>
      </c>
      <c r="E2090" t="s">
        <v>4815</v>
      </c>
      <c r="F2090" t="s">
        <v>7</v>
      </c>
      <c r="G2090" t="s">
        <v>8</v>
      </c>
      <c r="H2090">
        <v>20000000</v>
      </c>
      <c r="I2090">
        <v>6.8</v>
      </c>
      <c r="J2090" t="s">
        <v>8715</v>
      </c>
    </row>
    <row r="2091" spans="1:10" x14ac:dyDescent="0.3">
      <c r="A2091">
        <v>107</v>
      </c>
      <c r="B2091">
        <v>1190018</v>
      </c>
      <c r="C2091" t="s">
        <v>550</v>
      </c>
      <c r="D2091" t="s">
        <v>4816</v>
      </c>
      <c r="E2091" t="s">
        <v>4817</v>
      </c>
      <c r="F2091" t="s">
        <v>7</v>
      </c>
      <c r="G2091" t="s">
        <v>8</v>
      </c>
      <c r="H2091">
        <v>20000000</v>
      </c>
      <c r="I2091">
        <v>7.3</v>
      </c>
      <c r="J2091" t="s">
        <v>8425</v>
      </c>
    </row>
    <row r="2092" spans="1:10" x14ac:dyDescent="0.3">
      <c r="A2092">
        <v>125</v>
      </c>
      <c r="B2092">
        <v>1027749</v>
      </c>
      <c r="C2092" t="s">
        <v>1410</v>
      </c>
      <c r="D2092" t="s">
        <v>4818</v>
      </c>
      <c r="E2092" t="s">
        <v>4819</v>
      </c>
      <c r="F2092" t="s">
        <v>7</v>
      </c>
      <c r="G2092" t="s">
        <v>132</v>
      </c>
      <c r="H2092">
        <v>40000000</v>
      </c>
      <c r="I2092">
        <v>6.5</v>
      </c>
      <c r="J2092" t="s">
        <v>8524</v>
      </c>
    </row>
    <row r="2093" spans="1:10" x14ac:dyDescent="0.3">
      <c r="A2093">
        <v>115</v>
      </c>
      <c r="B2093">
        <v>882710</v>
      </c>
      <c r="C2093" t="s">
        <v>2211</v>
      </c>
      <c r="D2093" t="s">
        <v>4820</v>
      </c>
      <c r="E2093" t="s">
        <v>4821</v>
      </c>
      <c r="F2093" t="s">
        <v>7</v>
      </c>
      <c r="G2093" t="s">
        <v>8</v>
      </c>
      <c r="H2093">
        <v>24000000</v>
      </c>
      <c r="I2093">
        <v>7.2</v>
      </c>
      <c r="J2093" t="s">
        <v>8825</v>
      </c>
    </row>
    <row r="2094" spans="1:10" x14ac:dyDescent="0.3">
      <c r="A2094">
        <v>88</v>
      </c>
      <c r="B2094">
        <v>1064277</v>
      </c>
      <c r="C2094" t="s">
        <v>4131</v>
      </c>
      <c r="D2094" t="s">
        <v>4822</v>
      </c>
      <c r="E2094" t="s">
        <v>4823</v>
      </c>
      <c r="F2094" t="s">
        <v>7</v>
      </c>
      <c r="G2094" t="s">
        <v>8</v>
      </c>
      <c r="H2094">
        <v>20000000</v>
      </c>
      <c r="I2094">
        <v>6.7</v>
      </c>
      <c r="J2094" t="s">
        <v>9182</v>
      </c>
    </row>
    <row r="2095" spans="1:10" x14ac:dyDescent="0.3">
      <c r="A2095">
        <v>122</v>
      </c>
      <c r="B2095">
        <v>531009</v>
      </c>
      <c r="C2095" t="s">
        <v>73</v>
      </c>
      <c r="D2095" t="s">
        <v>4824</v>
      </c>
      <c r="E2095" t="s">
        <v>4825</v>
      </c>
      <c r="F2095" t="s">
        <v>7</v>
      </c>
      <c r="G2095" t="s">
        <v>8</v>
      </c>
      <c r="H2095">
        <v>10000000</v>
      </c>
      <c r="I2095">
        <v>6.3</v>
      </c>
      <c r="J2095" t="s">
        <v>8989</v>
      </c>
    </row>
    <row r="2096" spans="1:10" x14ac:dyDescent="0.3">
      <c r="A2096">
        <v>103</v>
      </c>
      <c r="B2096">
        <v>410388</v>
      </c>
      <c r="C2096" t="s">
        <v>4826</v>
      </c>
      <c r="D2096" t="s">
        <v>4827</v>
      </c>
      <c r="E2096" t="s">
        <v>4828</v>
      </c>
      <c r="F2096" t="s">
        <v>247</v>
      </c>
      <c r="G2096" t="s">
        <v>248</v>
      </c>
      <c r="H2096">
        <v>2127519898</v>
      </c>
      <c r="I2096">
        <v>5.9</v>
      </c>
      <c r="J2096" t="s">
        <v>8619</v>
      </c>
    </row>
    <row r="2097" spans="1:10" x14ac:dyDescent="0.3">
      <c r="A2097">
        <v>101</v>
      </c>
      <c r="B2097">
        <v>375474</v>
      </c>
      <c r="C2097" t="s">
        <v>950</v>
      </c>
      <c r="D2097" t="s">
        <v>4829</v>
      </c>
      <c r="E2097" t="s">
        <v>4830</v>
      </c>
      <c r="F2097" t="s">
        <v>7</v>
      </c>
      <c r="G2097" t="s">
        <v>8</v>
      </c>
      <c r="H2097">
        <v>20000000</v>
      </c>
      <c r="I2097">
        <v>7.8</v>
      </c>
      <c r="J2097" t="s">
        <v>9183</v>
      </c>
    </row>
    <row r="2098" spans="1:10" x14ac:dyDescent="0.3">
      <c r="A2098">
        <v>107</v>
      </c>
      <c r="B2098">
        <v>305070</v>
      </c>
      <c r="C2098" t="s">
        <v>1192</v>
      </c>
      <c r="D2098" t="s">
        <v>4831</v>
      </c>
      <c r="E2098" t="s">
        <v>4832</v>
      </c>
      <c r="F2098" t="s">
        <v>7</v>
      </c>
      <c r="G2098" t="s">
        <v>8</v>
      </c>
      <c r="H2098">
        <v>20000000</v>
      </c>
      <c r="I2098">
        <v>7.4</v>
      </c>
      <c r="J2098" t="s">
        <v>8482</v>
      </c>
    </row>
    <row r="2099" spans="1:10" x14ac:dyDescent="0.3">
      <c r="A2099">
        <v>118</v>
      </c>
      <c r="B2099">
        <v>146072</v>
      </c>
      <c r="C2099" t="s">
        <v>4833</v>
      </c>
      <c r="D2099" t="s">
        <v>4834</v>
      </c>
      <c r="E2099" t="s">
        <v>4835</v>
      </c>
      <c r="F2099" t="s">
        <v>582</v>
      </c>
      <c r="G2099" t="s">
        <v>583</v>
      </c>
      <c r="H2099">
        <v>140000000</v>
      </c>
      <c r="I2099">
        <v>4.8</v>
      </c>
      <c r="J2099" t="s">
        <v>9184</v>
      </c>
    </row>
    <row r="2100" spans="1:10" x14ac:dyDescent="0.3">
      <c r="A2100">
        <v>107</v>
      </c>
      <c r="B2100">
        <v>1183354</v>
      </c>
      <c r="C2100" t="s">
        <v>4836</v>
      </c>
      <c r="D2100" t="s">
        <v>4837</v>
      </c>
      <c r="E2100" t="s">
        <v>4838</v>
      </c>
      <c r="F2100" t="s">
        <v>7</v>
      </c>
      <c r="G2100" t="s">
        <v>8</v>
      </c>
      <c r="H2100">
        <v>20000000</v>
      </c>
      <c r="I2100">
        <v>6.3</v>
      </c>
      <c r="J2100" t="s">
        <v>8648</v>
      </c>
    </row>
    <row r="2101" spans="1:10" x14ac:dyDescent="0.3">
      <c r="A2101">
        <v>100</v>
      </c>
      <c r="B2101">
        <v>121972</v>
      </c>
      <c r="C2101" t="s">
        <v>1274</v>
      </c>
      <c r="D2101" t="s">
        <v>4839</v>
      </c>
      <c r="E2101" t="s">
        <v>4840</v>
      </c>
      <c r="F2101" t="s">
        <v>7</v>
      </c>
      <c r="G2101" t="s">
        <v>8</v>
      </c>
      <c r="H2101">
        <v>22000000</v>
      </c>
      <c r="I2101">
        <v>7.8</v>
      </c>
      <c r="J2101" t="s">
        <v>8656</v>
      </c>
    </row>
    <row r="2102" spans="1:10" x14ac:dyDescent="0.3">
      <c r="A2102">
        <v>110</v>
      </c>
      <c r="B2102">
        <v>263365</v>
      </c>
      <c r="C2102" t="s">
        <v>1024</v>
      </c>
      <c r="D2102" t="s">
        <v>4841</v>
      </c>
      <c r="E2102" t="s">
        <v>4842</v>
      </c>
      <c r="F2102" t="s">
        <v>7</v>
      </c>
      <c r="G2102" t="s">
        <v>8</v>
      </c>
      <c r="H2102">
        <v>20000000</v>
      </c>
      <c r="I2102">
        <v>7.5</v>
      </c>
      <c r="J2102" t="s">
        <v>8770</v>
      </c>
    </row>
    <row r="2103" spans="1:10" x14ac:dyDescent="0.3">
      <c r="A2103">
        <v>125</v>
      </c>
      <c r="B2103">
        <v>8047690</v>
      </c>
      <c r="C2103" t="s">
        <v>73</v>
      </c>
      <c r="D2103" t="s">
        <v>4844</v>
      </c>
      <c r="E2103" t="s">
        <v>4845</v>
      </c>
      <c r="F2103" t="s">
        <v>792</v>
      </c>
      <c r="G2103" t="s">
        <v>339</v>
      </c>
      <c r="H2103">
        <v>19400000</v>
      </c>
      <c r="I2103">
        <v>6</v>
      </c>
      <c r="J2103" t="s">
        <v>9088</v>
      </c>
    </row>
    <row r="2104" spans="1:10" x14ac:dyDescent="0.3">
      <c r="A2104">
        <v>184</v>
      </c>
      <c r="B2104">
        <v>476270</v>
      </c>
      <c r="C2104" t="s">
        <v>3699</v>
      </c>
      <c r="D2104" t="s">
        <v>4846</v>
      </c>
      <c r="E2104" t="s">
        <v>4847</v>
      </c>
      <c r="F2104" t="s">
        <v>3702</v>
      </c>
      <c r="G2104" t="s">
        <v>284</v>
      </c>
      <c r="H2104">
        <v>20000000</v>
      </c>
      <c r="I2104">
        <v>6.8</v>
      </c>
      <c r="J2104" t="s">
        <v>8406</v>
      </c>
    </row>
    <row r="2105" spans="1:10" x14ac:dyDescent="0.3">
      <c r="A2105">
        <v>236</v>
      </c>
      <c r="B2105">
        <v>184208848</v>
      </c>
      <c r="C2105" t="s">
        <v>2536</v>
      </c>
      <c r="D2105" t="s">
        <v>4848</v>
      </c>
      <c r="E2105" t="s">
        <v>4849</v>
      </c>
      <c r="F2105" t="s">
        <v>7</v>
      </c>
      <c r="G2105" t="s">
        <v>8</v>
      </c>
      <c r="H2105">
        <v>22000000</v>
      </c>
      <c r="I2105">
        <v>6.6</v>
      </c>
      <c r="J2105" t="s">
        <v>9057</v>
      </c>
    </row>
    <row r="2106" spans="1:10" x14ac:dyDescent="0.3">
      <c r="A2106">
        <v>97</v>
      </c>
      <c r="B2106">
        <v>100292856</v>
      </c>
      <c r="C2106" t="s">
        <v>668</v>
      </c>
      <c r="D2106" t="s">
        <v>4850</v>
      </c>
      <c r="E2106" t="s">
        <v>4851</v>
      </c>
      <c r="F2106" t="s">
        <v>7</v>
      </c>
      <c r="G2106" t="s">
        <v>8</v>
      </c>
      <c r="H2106">
        <v>20000000</v>
      </c>
      <c r="I2106">
        <v>4.5999999999999996</v>
      </c>
      <c r="J2106" t="s">
        <v>9185</v>
      </c>
    </row>
    <row r="2107" spans="1:10" x14ac:dyDescent="0.3">
      <c r="A2107">
        <v>95</v>
      </c>
      <c r="B2107">
        <v>51431160</v>
      </c>
      <c r="C2107" t="s">
        <v>1126</v>
      </c>
      <c r="D2107" t="s">
        <v>4852</v>
      </c>
      <c r="E2107" t="s">
        <v>4853</v>
      </c>
      <c r="F2107" t="s">
        <v>7</v>
      </c>
      <c r="G2107" t="s">
        <v>8</v>
      </c>
      <c r="H2107">
        <v>20000000</v>
      </c>
      <c r="I2107">
        <v>7.1</v>
      </c>
      <c r="J2107" t="s">
        <v>8296</v>
      </c>
    </row>
    <row r="2108" spans="1:10" x14ac:dyDescent="0.3">
      <c r="A2108">
        <v>103</v>
      </c>
      <c r="B2108">
        <v>103001286</v>
      </c>
      <c r="C2108" t="s">
        <v>2141</v>
      </c>
      <c r="D2108" t="s">
        <v>4854</v>
      </c>
      <c r="E2108" t="s">
        <v>4855</v>
      </c>
      <c r="F2108" t="s">
        <v>7</v>
      </c>
      <c r="G2108" t="s">
        <v>8</v>
      </c>
      <c r="H2108">
        <v>15000000</v>
      </c>
      <c r="I2108">
        <v>6.1</v>
      </c>
      <c r="J2108" t="s">
        <v>9186</v>
      </c>
    </row>
    <row r="2109" spans="1:10" x14ac:dyDescent="0.3">
      <c r="A2109">
        <v>91</v>
      </c>
      <c r="B2109">
        <v>41867960</v>
      </c>
      <c r="C2109" t="s">
        <v>2701</v>
      </c>
      <c r="D2109" t="s">
        <v>4856</v>
      </c>
      <c r="E2109" t="s">
        <v>4857</v>
      </c>
      <c r="F2109" t="s">
        <v>7</v>
      </c>
      <c r="G2109" t="s">
        <v>8</v>
      </c>
      <c r="H2109">
        <v>20000000</v>
      </c>
      <c r="I2109">
        <v>6.7</v>
      </c>
      <c r="J2109" t="s">
        <v>8473</v>
      </c>
    </row>
    <row r="2110" spans="1:10" x14ac:dyDescent="0.3">
      <c r="A2110">
        <v>116</v>
      </c>
      <c r="B2110">
        <v>210609762</v>
      </c>
      <c r="C2110" t="s">
        <v>759</v>
      </c>
      <c r="D2110" t="s">
        <v>4859</v>
      </c>
      <c r="E2110" t="s">
        <v>4860</v>
      </c>
      <c r="F2110" t="s">
        <v>7</v>
      </c>
      <c r="G2110" t="s">
        <v>8</v>
      </c>
      <c r="H2110">
        <v>19000000</v>
      </c>
      <c r="I2110">
        <v>7.1</v>
      </c>
      <c r="J2110" t="s">
        <v>9187</v>
      </c>
    </row>
    <row r="2111" spans="1:10" x14ac:dyDescent="0.3">
      <c r="A2111">
        <v>93</v>
      </c>
      <c r="B2111">
        <v>40846082</v>
      </c>
      <c r="C2111" t="s">
        <v>1249</v>
      </c>
      <c r="D2111" t="s">
        <v>4861</v>
      </c>
      <c r="E2111" t="s">
        <v>4862</v>
      </c>
      <c r="F2111" t="s">
        <v>7</v>
      </c>
      <c r="G2111" t="s">
        <v>8</v>
      </c>
      <c r="H2111">
        <v>19000000</v>
      </c>
      <c r="I2111">
        <v>5.8</v>
      </c>
      <c r="J2111" t="s">
        <v>9188</v>
      </c>
    </row>
    <row r="2112" spans="1:10" x14ac:dyDescent="0.3">
      <c r="A2112">
        <v>113</v>
      </c>
      <c r="B2112">
        <v>51697449</v>
      </c>
      <c r="C2112" t="s">
        <v>1040</v>
      </c>
      <c r="D2112" t="s">
        <v>4863</v>
      </c>
      <c r="E2112" t="s">
        <v>4864</v>
      </c>
      <c r="F2112" t="s">
        <v>7</v>
      </c>
      <c r="G2112" t="s">
        <v>8</v>
      </c>
      <c r="H2112">
        <v>13000000</v>
      </c>
      <c r="I2112">
        <v>6.7</v>
      </c>
      <c r="J2112" t="s">
        <v>9072</v>
      </c>
    </row>
    <row r="2113" spans="1:10" x14ac:dyDescent="0.3">
      <c r="A2113">
        <v>101</v>
      </c>
      <c r="B2113">
        <v>27758465</v>
      </c>
      <c r="C2113" t="s">
        <v>561</v>
      </c>
      <c r="D2113" t="s">
        <v>4865</v>
      </c>
      <c r="E2113" t="s">
        <v>4866</v>
      </c>
      <c r="F2113" t="s">
        <v>7</v>
      </c>
      <c r="G2113" t="s">
        <v>8</v>
      </c>
      <c r="H2113">
        <v>19000000</v>
      </c>
      <c r="I2113">
        <v>5.8</v>
      </c>
      <c r="J2113" t="s">
        <v>9189</v>
      </c>
    </row>
    <row r="2114" spans="1:10" x14ac:dyDescent="0.3">
      <c r="A2114">
        <v>95</v>
      </c>
      <c r="B2114">
        <v>56127162</v>
      </c>
      <c r="C2114" t="s">
        <v>672</v>
      </c>
      <c r="D2114" t="s">
        <v>4867</v>
      </c>
      <c r="E2114" t="s">
        <v>4868</v>
      </c>
      <c r="F2114" t="s">
        <v>7</v>
      </c>
      <c r="G2114" t="s">
        <v>8</v>
      </c>
      <c r="H2114">
        <v>18000000</v>
      </c>
      <c r="I2114">
        <v>6.8</v>
      </c>
      <c r="J2114" t="s">
        <v>8764</v>
      </c>
    </row>
    <row r="2115" spans="1:10" x14ac:dyDescent="0.3">
      <c r="A2115">
        <v>109</v>
      </c>
      <c r="B2115">
        <v>1357042</v>
      </c>
      <c r="C2115" t="s">
        <v>1493</v>
      </c>
      <c r="D2115" t="s">
        <v>4869</v>
      </c>
      <c r="E2115" t="s">
        <v>4870</v>
      </c>
      <c r="F2115" t="s">
        <v>7</v>
      </c>
      <c r="G2115" t="s">
        <v>214</v>
      </c>
      <c r="H2115">
        <v>15000000</v>
      </c>
      <c r="I2115">
        <v>8.5</v>
      </c>
      <c r="J2115" t="s">
        <v>8332</v>
      </c>
    </row>
    <row r="2116" spans="1:10" x14ac:dyDescent="0.3">
      <c r="A2116">
        <v>85</v>
      </c>
      <c r="B2116">
        <v>15911333</v>
      </c>
      <c r="C2116" t="s">
        <v>1011</v>
      </c>
      <c r="D2116" t="s">
        <v>4871</v>
      </c>
      <c r="E2116" t="s">
        <v>4872</v>
      </c>
      <c r="F2116" t="s">
        <v>7</v>
      </c>
      <c r="G2116" t="s">
        <v>15</v>
      </c>
      <c r="H2116">
        <v>19000000</v>
      </c>
      <c r="I2116">
        <v>6.6</v>
      </c>
      <c r="J2116" t="s">
        <v>8419</v>
      </c>
    </row>
    <row r="2117" spans="1:10" x14ac:dyDescent="0.3">
      <c r="A2117">
        <v>101</v>
      </c>
      <c r="B2117">
        <v>39103378</v>
      </c>
      <c r="C2117" t="s">
        <v>2324</v>
      </c>
      <c r="D2117" t="s">
        <v>4873</v>
      </c>
      <c r="E2117" t="s">
        <v>4874</v>
      </c>
      <c r="F2117" t="s">
        <v>7</v>
      </c>
      <c r="G2117" t="s">
        <v>8</v>
      </c>
      <c r="H2117">
        <v>20000000</v>
      </c>
      <c r="I2117">
        <v>7.7</v>
      </c>
      <c r="J2117" t="s">
        <v>8332</v>
      </c>
    </row>
    <row r="2118" spans="1:10" x14ac:dyDescent="0.3">
      <c r="A2118">
        <v>125</v>
      </c>
      <c r="B2118">
        <v>10049886</v>
      </c>
      <c r="C2118" t="s">
        <v>230</v>
      </c>
      <c r="D2118" t="s">
        <v>4875</v>
      </c>
      <c r="E2118" t="s">
        <v>4876</v>
      </c>
      <c r="F2118" t="s">
        <v>247</v>
      </c>
      <c r="G2118" t="s">
        <v>248</v>
      </c>
      <c r="H2118">
        <v>19000000</v>
      </c>
      <c r="I2118">
        <v>4.7</v>
      </c>
      <c r="J2118" t="s">
        <v>9190</v>
      </c>
    </row>
    <row r="2119" spans="1:10" x14ac:dyDescent="0.3">
      <c r="A2119">
        <v>132</v>
      </c>
      <c r="B2119">
        <v>8600000</v>
      </c>
      <c r="C2119" t="s">
        <v>1192</v>
      </c>
      <c r="D2119" t="s">
        <v>4877</v>
      </c>
      <c r="E2119" t="s">
        <v>4878</v>
      </c>
      <c r="F2119" t="s">
        <v>7</v>
      </c>
      <c r="G2119" t="s">
        <v>15</v>
      </c>
      <c r="H2119">
        <v>25000000</v>
      </c>
      <c r="I2119">
        <v>6.4</v>
      </c>
      <c r="J2119" t="s">
        <v>8458</v>
      </c>
    </row>
    <row r="2120" spans="1:10" x14ac:dyDescent="0.3">
      <c r="A2120">
        <v>131</v>
      </c>
      <c r="B2120">
        <v>21483154</v>
      </c>
      <c r="C2120" t="s">
        <v>1410</v>
      </c>
      <c r="D2120" t="s">
        <v>4879</v>
      </c>
      <c r="E2120" t="s">
        <v>4880</v>
      </c>
      <c r="F2120" t="s">
        <v>7</v>
      </c>
      <c r="G2120" t="s">
        <v>8</v>
      </c>
      <c r="H2120">
        <v>19000000</v>
      </c>
      <c r="I2120">
        <v>5.5</v>
      </c>
      <c r="J2120" t="s">
        <v>8532</v>
      </c>
    </row>
    <row r="2121" spans="1:10" x14ac:dyDescent="0.3">
      <c r="A2121">
        <v>129</v>
      </c>
      <c r="B2121">
        <v>8396942</v>
      </c>
      <c r="C2121" t="s">
        <v>4881</v>
      </c>
      <c r="D2121" t="s">
        <v>4882</v>
      </c>
      <c r="E2121" t="s">
        <v>4883</v>
      </c>
      <c r="F2121" t="s">
        <v>7</v>
      </c>
      <c r="G2121" t="s">
        <v>8</v>
      </c>
      <c r="H2121">
        <v>19000000</v>
      </c>
      <c r="I2121">
        <v>8.6</v>
      </c>
      <c r="J2121" t="s">
        <v>8543</v>
      </c>
    </row>
    <row r="2122" spans="1:10" x14ac:dyDescent="0.3">
      <c r="A2122">
        <v>100</v>
      </c>
      <c r="B2122">
        <v>12561</v>
      </c>
      <c r="C2122" t="s">
        <v>672</v>
      </c>
      <c r="D2122" t="s">
        <v>4884</v>
      </c>
      <c r="E2122" t="s">
        <v>4885</v>
      </c>
      <c r="F2122" t="s">
        <v>7</v>
      </c>
      <c r="G2122" t="s">
        <v>8</v>
      </c>
      <c r="H2122">
        <v>19000000</v>
      </c>
      <c r="I2122">
        <v>7</v>
      </c>
      <c r="J2122" t="s">
        <v>9191</v>
      </c>
    </row>
    <row r="2123" spans="1:10" x14ac:dyDescent="0.3">
      <c r="A2123">
        <v>97</v>
      </c>
      <c r="B2123">
        <v>6923891</v>
      </c>
      <c r="C2123" t="s">
        <v>561</v>
      </c>
      <c r="D2123" t="s">
        <v>4886</v>
      </c>
      <c r="E2123" t="s">
        <v>4887</v>
      </c>
      <c r="F2123" t="s">
        <v>7</v>
      </c>
      <c r="G2123" t="s">
        <v>8</v>
      </c>
      <c r="H2123">
        <v>23000000</v>
      </c>
      <c r="I2123">
        <v>7.1</v>
      </c>
      <c r="J2123" t="s">
        <v>9192</v>
      </c>
    </row>
    <row r="2124" spans="1:10" x14ac:dyDescent="0.3">
      <c r="A2124">
        <v>92</v>
      </c>
      <c r="B2124">
        <v>2119994</v>
      </c>
      <c r="C2124" t="s">
        <v>4888</v>
      </c>
      <c r="D2124" t="s">
        <v>4889</v>
      </c>
      <c r="E2124" t="s">
        <v>4890</v>
      </c>
      <c r="F2124" t="s">
        <v>7</v>
      </c>
      <c r="G2124" t="s">
        <v>8</v>
      </c>
      <c r="H2124">
        <v>19000000</v>
      </c>
      <c r="I2124">
        <v>5.7</v>
      </c>
      <c r="J2124" t="s">
        <v>9193</v>
      </c>
    </row>
    <row r="2125" spans="1:10" x14ac:dyDescent="0.3">
      <c r="A2125">
        <v>116</v>
      </c>
      <c r="B2125">
        <v>1292527</v>
      </c>
      <c r="C2125" t="s">
        <v>4891</v>
      </c>
      <c r="D2125" t="s">
        <v>4892</v>
      </c>
      <c r="E2125" t="s">
        <v>4893</v>
      </c>
      <c r="F2125" t="s">
        <v>7</v>
      </c>
      <c r="G2125" t="s">
        <v>583</v>
      </c>
      <c r="H2125">
        <v>19000000</v>
      </c>
      <c r="I2125">
        <v>3.7</v>
      </c>
      <c r="J2125" t="s">
        <v>8447</v>
      </c>
    </row>
    <row r="2126" spans="1:10" x14ac:dyDescent="0.3">
      <c r="A2126">
        <v>90</v>
      </c>
      <c r="B2126">
        <v>64255243</v>
      </c>
      <c r="C2126" t="s">
        <v>2578</v>
      </c>
      <c r="D2126" t="s">
        <v>4895</v>
      </c>
      <c r="E2126" t="s">
        <v>4896</v>
      </c>
      <c r="F2126" t="s">
        <v>7</v>
      </c>
      <c r="G2126" t="s">
        <v>8</v>
      </c>
      <c r="H2126">
        <v>19000000</v>
      </c>
      <c r="I2126">
        <v>7.5</v>
      </c>
      <c r="J2126" t="s">
        <v>8327</v>
      </c>
    </row>
    <row r="2127" spans="1:10" x14ac:dyDescent="0.3">
      <c r="A2127">
        <v>81</v>
      </c>
      <c r="B2127">
        <v>22245861</v>
      </c>
      <c r="C2127" t="s">
        <v>1040</v>
      </c>
      <c r="D2127" t="s">
        <v>4897</v>
      </c>
      <c r="E2127" t="s">
        <v>4898</v>
      </c>
      <c r="F2127" t="s">
        <v>7</v>
      </c>
      <c r="G2127" t="s">
        <v>8</v>
      </c>
      <c r="H2127">
        <v>19000000</v>
      </c>
      <c r="I2127">
        <v>4.5999999999999996</v>
      </c>
      <c r="J2127" t="s">
        <v>8649</v>
      </c>
    </row>
    <row r="2128" spans="1:10" x14ac:dyDescent="0.3">
      <c r="A2128">
        <v>97</v>
      </c>
      <c r="B2128">
        <v>20433940</v>
      </c>
      <c r="C2128" t="s">
        <v>2701</v>
      </c>
      <c r="D2128" t="s">
        <v>4899</v>
      </c>
      <c r="E2128" t="s">
        <v>4900</v>
      </c>
      <c r="F2128" t="s">
        <v>7</v>
      </c>
      <c r="G2128" t="s">
        <v>95</v>
      </c>
      <c r="H2128">
        <v>15000000</v>
      </c>
      <c r="I2128">
        <v>4.9000000000000004</v>
      </c>
      <c r="J2128" t="s">
        <v>9047</v>
      </c>
    </row>
    <row r="2129" spans="1:10" x14ac:dyDescent="0.3">
      <c r="A2129">
        <v>118</v>
      </c>
      <c r="B2129">
        <v>10562387</v>
      </c>
      <c r="C2129" t="s">
        <v>2254</v>
      </c>
      <c r="D2129" t="s">
        <v>4901</v>
      </c>
      <c r="E2129" t="s">
        <v>4902</v>
      </c>
      <c r="F2129" t="s">
        <v>7</v>
      </c>
      <c r="G2129" t="s">
        <v>8</v>
      </c>
      <c r="H2129">
        <v>18500000</v>
      </c>
      <c r="I2129">
        <v>6.9</v>
      </c>
      <c r="J2129" t="s">
        <v>8533</v>
      </c>
    </row>
    <row r="2130" spans="1:10" x14ac:dyDescent="0.3">
      <c r="A2130">
        <v>100</v>
      </c>
      <c r="B2130">
        <v>18439082</v>
      </c>
      <c r="C2130" t="s">
        <v>1511</v>
      </c>
      <c r="D2130" t="s">
        <v>4903</v>
      </c>
      <c r="E2130" t="s">
        <v>4904</v>
      </c>
      <c r="F2130" t="s">
        <v>7</v>
      </c>
      <c r="G2130" t="s">
        <v>8</v>
      </c>
      <c r="H2130">
        <v>18500000</v>
      </c>
      <c r="I2130">
        <v>7.1</v>
      </c>
      <c r="J2130" t="s">
        <v>9069</v>
      </c>
    </row>
    <row r="2131" spans="1:10" x14ac:dyDescent="0.3">
      <c r="A2131">
        <v>97</v>
      </c>
      <c r="B2131">
        <v>150056505</v>
      </c>
      <c r="C2131" t="s">
        <v>668</v>
      </c>
      <c r="D2131" t="s">
        <v>4905</v>
      </c>
      <c r="E2131" t="s">
        <v>4906</v>
      </c>
      <c r="F2131" t="s">
        <v>7</v>
      </c>
      <c r="G2131" t="s">
        <v>8</v>
      </c>
      <c r="H2131">
        <v>18000000</v>
      </c>
      <c r="I2131">
        <v>5.8</v>
      </c>
      <c r="J2131" t="s">
        <v>8509</v>
      </c>
    </row>
    <row r="2132" spans="1:10" x14ac:dyDescent="0.3">
      <c r="A2132">
        <v>114</v>
      </c>
      <c r="B2132">
        <v>119938730</v>
      </c>
      <c r="C2132" t="s">
        <v>4675</v>
      </c>
      <c r="D2132" t="s">
        <v>4907</v>
      </c>
      <c r="E2132" t="s">
        <v>4908</v>
      </c>
      <c r="F2132" t="s">
        <v>7</v>
      </c>
      <c r="G2132" t="s">
        <v>8</v>
      </c>
      <c r="H2132">
        <v>18000000</v>
      </c>
      <c r="I2132">
        <v>7</v>
      </c>
      <c r="J2132" t="s">
        <v>8817</v>
      </c>
    </row>
    <row r="2133" spans="1:10" x14ac:dyDescent="0.3">
      <c r="A2133">
        <v>130</v>
      </c>
      <c r="B2133">
        <v>114968774</v>
      </c>
      <c r="C2133" t="s">
        <v>2696</v>
      </c>
      <c r="D2133" t="s">
        <v>4909</v>
      </c>
      <c r="E2133" t="s">
        <v>4910</v>
      </c>
      <c r="F2133" t="s">
        <v>7</v>
      </c>
      <c r="G2133" t="s">
        <v>8</v>
      </c>
      <c r="H2133">
        <v>18000000</v>
      </c>
      <c r="I2133">
        <v>5.4</v>
      </c>
      <c r="J2133" t="s">
        <v>8632</v>
      </c>
    </row>
    <row r="2134" spans="1:10" x14ac:dyDescent="0.3">
      <c r="A2134">
        <v>82</v>
      </c>
      <c r="B2134">
        <v>128505958</v>
      </c>
      <c r="C2134" t="s">
        <v>668</v>
      </c>
      <c r="D2134" t="s">
        <v>4911</v>
      </c>
      <c r="E2134" t="s">
        <v>4912</v>
      </c>
      <c r="F2134" t="s">
        <v>7</v>
      </c>
      <c r="G2134" t="s">
        <v>8</v>
      </c>
      <c r="H2134">
        <v>18000000</v>
      </c>
      <c r="I2134">
        <v>7.3</v>
      </c>
      <c r="J2134" t="s">
        <v>8983</v>
      </c>
    </row>
    <row r="2135" spans="1:10" x14ac:dyDescent="0.3">
      <c r="A2135">
        <v>96</v>
      </c>
      <c r="B2135">
        <v>95001351</v>
      </c>
      <c r="C2135" t="s">
        <v>672</v>
      </c>
      <c r="D2135" t="s">
        <v>4913</v>
      </c>
      <c r="E2135" t="s">
        <v>4914</v>
      </c>
      <c r="F2135" t="s">
        <v>7</v>
      </c>
      <c r="G2135" t="s">
        <v>8</v>
      </c>
      <c r="H2135">
        <v>18000000</v>
      </c>
      <c r="I2135">
        <v>7.1</v>
      </c>
      <c r="J2135" t="s">
        <v>8519</v>
      </c>
    </row>
    <row r="2136" spans="1:10" x14ac:dyDescent="0.3">
      <c r="A2136">
        <v>105</v>
      </c>
      <c r="B2136">
        <v>76400000</v>
      </c>
      <c r="C2136" t="s">
        <v>20</v>
      </c>
      <c r="D2136" t="s">
        <v>4915</v>
      </c>
      <c r="E2136" t="s">
        <v>4916</v>
      </c>
      <c r="F2136" t="s">
        <v>7</v>
      </c>
      <c r="G2136" t="s">
        <v>8</v>
      </c>
      <c r="H2136">
        <v>17000000</v>
      </c>
      <c r="I2136">
        <v>5.8</v>
      </c>
      <c r="J2136" t="s">
        <v>8830</v>
      </c>
    </row>
    <row r="2137" spans="1:10" x14ac:dyDescent="0.3">
      <c r="A2137">
        <v>122</v>
      </c>
      <c r="B2137">
        <v>75072454</v>
      </c>
      <c r="C2137" t="s">
        <v>1834</v>
      </c>
      <c r="D2137" t="s">
        <v>4917</v>
      </c>
      <c r="E2137" t="s">
        <v>4918</v>
      </c>
      <c r="F2137" t="s">
        <v>7</v>
      </c>
      <c r="G2137" t="s">
        <v>8</v>
      </c>
      <c r="H2137">
        <v>20000000</v>
      </c>
      <c r="I2137">
        <v>8.1</v>
      </c>
      <c r="J2137" t="s">
        <v>9194</v>
      </c>
    </row>
    <row r="2138" spans="1:10" x14ac:dyDescent="0.3">
      <c r="A2138">
        <v>88</v>
      </c>
      <c r="B2138">
        <v>65535067</v>
      </c>
      <c r="C2138" t="s">
        <v>672</v>
      </c>
      <c r="D2138" t="s">
        <v>4919</v>
      </c>
      <c r="E2138" t="s">
        <v>4920</v>
      </c>
      <c r="F2138" t="s">
        <v>7</v>
      </c>
      <c r="G2138" t="s">
        <v>8</v>
      </c>
      <c r="H2138">
        <v>17000000</v>
      </c>
      <c r="I2138">
        <v>5.7</v>
      </c>
      <c r="J2138" t="s">
        <v>9013</v>
      </c>
    </row>
    <row r="2139" spans="1:10" x14ac:dyDescent="0.3">
      <c r="A2139">
        <v>110</v>
      </c>
      <c r="B2139">
        <v>13998282</v>
      </c>
      <c r="C2139" t="s">
        <v>4921</v>
      </c>
      <c r="D2139" t="s">
        <v>4922</v>
      </c>
      <c r="E2139" t="s">
        <v>4923</v>
      </c>
      <c r="F2139" t="s">
        <v>7</v>
      </c>
      <c r="G2139" t="s">
        <v>8</v>
      </c>
      <c r="H2139">
        <v>16000000</v>
      </c>
      <c r="I2139">
        <v>4.4000000000000004</v>
      </c>
      <c r="J2139" t="s">
        <v>9088</v>
      </c>
    </row>
    <row r="2140" spans="1:10" x14ac:dyDescent="0.3">
      <c r="A2140">
        <v>103</v>
      </c>
      <c r="B2140">
        <v>6061759</v>
      </c>
      <c r="C2140" t="s">
        <v>561</v>
      </c>
      <c r="D2140" t="s">
        <v>4924</v>
      </c>
      <c r="E2140" t="s">
        <v>4925</v>
      </c>
      <c r="F2140" t="s">
        <v>7</v>
      </c>
      <c r="G2140" t="s">
        <v>8</v>
      </c>
      <c r="H2140">
        <v>17000000</v>
      </c>
      <c r="I2140">
        <v>7.9</v>
      </c>
      <c r="J2140" t="s">
        <v>8318</v>
      </c>
    </row>
    <row r="2141" spans="1:10" x14ac:dyDescent="0.3">
      <c r="A2141">
        <v>106</v>
      </c>
      <c r="B2141">
        <v>64955956</v>
      </c>
      <c r="C2141" t="s">
        <v>1040</v>
      </c>
      <c r="D2141" t="s">
        <v>4926</v>
      </c>
      <c r="E2141" t="s">
        <v>4927</v>
      </c>
      <c r="F2141" t="s">
        <v>7</v>
      </c>
      <c r="G2141" t="s">
        <v>8</v>
      </c>
      <c r="H2141">
        <v>18000000</v>
      </c>
      <c r="I2141">
        <v>7.6</v>
      </c>
      <c r="J2141" t="s">
        <v>9195</v>
      </c>
    </row>
    <row r="2142" spans="1:10" x14ac:dyDescent="0.3">
      <c r="A2142">
        <v>98</v>
      </c>
      <c r="B2142">
        <v>60057639</v>
      </c>
      <c r="C2142" t="s">
        <v>3876</v>
      </c>
      <c r="D2142" t="s">
        <v>4928</v>
      </c>
      <c r="E2142" t="s">
        <v>4929</v>
      </c>
      <c r="F2142" t="s">
        <v>7</v>
      </c>
      <c r="G2142" t="s">
        <v>8</v>
      </c>
      <c r="H2142">
        <v>18000000</v>
      </c>
      <c r="I2142">
        <v>4.8</v>
      </c>
      <c r="J2142" t="s">
        <v>9088</v>
      </c>
    </row>
    <row r="2143" spans="1:10" x14ac:dyDescent="0.3">
      <c r="A2143">
        <v>68</v>
      </c>
      <c r="B2143">
        <v>53868030</v>
      </c>
      <c r="C2143" t="s">
        <v>386</v>
      </c>
      <c r="D2143" t="s">
        <v>4930</v>
      </c>
      <c r="E2143" t="s">
        <v>4931</v>
      </c>
      <c r="F2143" t="s">
        <v>7</v>
      </c>
      <c r="G2143" t="s">
        <v>8</v>
      </c>
      <c r="H2143">
        <v>17000000</v>
      </c>
      <c r="I2143">
        <v>7.8</v>
      </c>
      <c r="J2143" t="s">
        <v>8703</v>
      </c>
    </row>
    <row r="2144" spans="1:10" x14ac:dyDescent="0.3">
      <c r="A2144">
        <v>94</v>
      </c>
      <c r="B2144">
        <v>59573085</v>
      </c>
      <c r="C2144" t="s">
        <v>1126</v>
      </c>
      <c r="D2144" t="s">
        <v>4932</v>
      </c>
      <c r="E2144" t="s">
        <v>4933</v>
      </c>
      <c r="F2144" t="s">
        <v>7</v>
      </c>
      <c r="G2144" t="s">
        <v>8</v>
      </c>
      <c r="H2144">
        <v>18000000</v>
      </c>
      <c r="I2144">
        <v>6.7</v>
      </c>
      <c r="J2144" t="s">
        <v>9196</v>
      </c>
    </row>
    <row r="2145" spans="1:10" x14ac:dyDescent="0.3">
      <c r="A2145">
        <v>99</v>
      </c>
      <c r="B2145">
        <v>52691009</v>
      </c>
      <c r="C2145" t="s">
        <v>1261</v>
      </c>
      <c r="D2145" t="s">
        <v>4934</v>
      </c>
      <c r="E2145" t="s">
        <v>4935</v>
      </c>
      <c r="F2145" t="s">
        <v>7</v>
      </c>
      <c r="G2145" t="s">
        <v>8</v>
      </c>
      <c r="H2145">
        <v>21000000</v>
      </c>
      <c r="I2145">
        <v>2.7</v>
      </c>
      <c r="J2145" t="s">
        <v>9197</v>
      </c>
    </row>
    <row r="2146" spans="1:10" x14ac:dyDescent="0.3">
      <c r="A2146">
        <v>107</v>
      </c>
      <c r="B2146">
        <v>59735548</v>
      </c>
      <c r="C2146" t="s">
        <v>1748</v>
      </c>
      <c r="D2146" t="s">
        <v>4936</v>
      </c>
      <c r="E2146" t="s">
        <v>4937</v>
      </c>
      <c r="F2146" t="s">
        <v>7</v>
      </c>
      <c r="G2146" t="s">
        <v>8</v>
      </c>
      <c r="H2146">
        <v>15000000</v>
      </c>
      <c r="I2146">
        <v>5.8</v>
      </c>
      <c r="J2146" t="s">
        <v>9198</v>
      </c>
    </row>
    <row r="2147" spans="1:10" x14ac:dyDescent="0.3">
      <c r="A2147">
        <v>180</v>
      </c>
      <c r="B2147">
        <v>51600000</v>
      </c>
      <c r="C2147" t="s">
        <v>4938</v>
      </c>
      <c r="D2147" t="s">
        <v>4939</v>
      </c>
      <c r="E2147" t="s">
        <v>4940</v>
      </c>
      <c r="F2147" t="s">
        <v>7</v>
      </c>
      <c r="G2147" t="s">
        <v>8</v>
      </c>
      <c r="H2147">
        <v>18000000</v>
      </c>
      <c r="I2147">
        <v>7.5</v>
      </c>
      <c r="J2147" t="s">
        <v>9199</v>
      </c>
    </row>
    <row r="2148" spans="1:10" x14ac:dyDescent="0.3">
      <c r="A2148">
        <v>89</v>
      </c>
      <c r="B2148">
        <v>43818159</v>
      </c>
      <c r="C2148" t="s">
        <v>2141</v>
      </c>
      <c r="D2148" t="s">
        <v>4941</v>
      </c>
      <c r="E2148" t="s">
        <v>4942</v>
      </c>
      <c r="F2148" t="s">
        <v>7</v>
      </c>
      <c r="G2148" t="s">
        <v>8</v>
      </c>
      <c r="H2148">
        <v>20000000</v>
      </c>
      <c r="I2148">
        <v>5.4</v>
      </c>
      <c r="J2148" t="s">
        <v>9200</v>
      </c>
    </row>
    <row r="2149" spans="1:10" x14ac:dyDescent="0.3">
      <c r="A2149">
        <v>97</v>
      </c>
      <c r="B2149">
        <v>86049418</v>
      </c>
      <c r="C2149" t="s">
        <v>668</v>
      </c>
      <c r="D2149" t="s">
        <v>4943</v>
      </c>
      <c r="E2149" t="s">
        <v>4944</v>
      </c>
      <c r="F2149" t="s">
        <v>7</v>
      </c>
      <c r="G2149" t="s">
        <v>8</v>
      </c>
      <c r="H2149">
        <v>17000000</v>
      </c>
      <c r="I2149">
        <v>4.0999999999999996</v>
      </c>
      <c r="J2149" t="s">
        <v>8865</v>
      </c>
    </row>
    <row r="2150" spans="1:10" x14ac:dyDescent="0.3">
      <c r="A2150">
        <v>113</v>
      </c>
      <c r="B2150">
        <v>43601508</v>
      </c>
      <c r="C2150" t="s">
        <v>561</v>
      </c>
      <c r="D2150" t="s">
        <v>4945</v>
      </c>
      <c r="E2150" t="s">
        <v>4946</v>
      </c>
      <c r="F2150" t="s">
        <v>7</v>
      </c>
      <c r="G2150" t="s">
        <v>8</v>
      </c>
      <c r="H2150">
        <v>18000000</v>
      </c>
      <c r="I2150">
        <v>5.9</v>
      </c>
      <c r="J2150" t="s">
        <v>9201</v>
      </c>
    </row>
    <row r="2151" spans="1:10" x14ac:dyDescent="0.3">
      <c r="A2151">
        <v>131</v>
      </c>
      <c r="B2151">
        <v>41300105</v>
      </c>
      <c r="C2151" t="s">
        <v>3413</v>
      </c>
      <c r="D2151" t="s">
        <v>4947</v>
      </c>
      <c r="E2151" t="s">
        <v>4948</v>
      </c>
      <c r="F2151" t="s">
        <v>7</v>
      </c>
      <c r="G2151" t="s">
        <v>15</v>
      </c>
      <c r="H2151">
        <v>19800000</v>
      </c>
      <c r="I2151">
        <v>6.3</v>
      </c>
      <c r="J2151" t="s">
        <v>9202</v>
      </c>
    </row>
    <row r="2152" spans="1:10" x14ac:dyDescent="0.3">
      <c r="A2152">
        <v>103</v>
      </c>
      <c r="B2152">
        <v>41382841</v>
      </c>
      <c r="C2152" t="s">
        <v>1024</v>
      </c>
      <c r="D2152" t="s">
        <v>4949</v>
      </c>
      <c r="E2152" t="s">
        <v>4950</v>
      </c>
      <c r="F2152" t="s">
        <v>7</v>
      </c>
      <c r="G2152" t="s">
        <v>8</v>
      </c>
      <c r="H2152">
        <v>18000000</v>
      </c>
      <c r="I2152">
        <v>7</v>
      </c>
      <c r="J2152" t="s">
        <v>8737</v>
      </c>
    </row>
    <row r="2153" spans="1:10" x14ac:dyDescent="0.3">
      <c r="A2153">
        <v>119</v>
      </c>
      <c r="B2153">
        <v>42335698</v>
      </c>
      <c r="C2153" t="s">
        <v>561</v>
      </c>
      <c r="D2153" t="s">
        <v>4951</v>
      </c>
      <c r="E2153" t="s">
        <v>4952</v>
      </c>
      <c r="F2153" t="s">
        <v>7</v>
      </c>
      <c r="G2153" t="s">
        <v>8</v>
      </c>
      <c r="H2153">
        <v>18000000</v>
      </c>
      <c r="I2153">
        <v>6.8</v>
      </c>
      <c r="J2153" t="s">
        <v>8959</v>
      </c>
    </row>
    <row r="2154" spans="1:10" x14ac:dyDescent="0.3">
      <c r="A2154">
        <v>111</v>
      </c>
      <c r="B2154">
        <v>31471430</v>
      </c>
      <c r="C2154" t="s">
        <v>1160</v>
      </c>
      <c r="D2154" t="s">
        <v>4953</v>
      </c>
      <c r="E2154" t="s">
        <v>4954</v>
      </c>
      <c r="F2154" t="s">
        <v>7</v>
      </c>
      <c r="G2154" t="s">
        <v>8</v>
      </c>
      <c r="H2154">
        <v>15000000</v>
      </c>
      <c r="I2154">
        <v>2.2999999999999998</v>
      </c>
      <c r="J2154" t="s">
        <v>8998</v>
      </c>
    </row>
    <row r="2155" spans="1:10" x14ac:dyDescent="0.3">
      <c r="A2155">
        <v>94</v>
      </c>
      <c r="B2155">
        <v>30222640</v>
      </c>
      <c r="C2155" t="s">
        <v>3307</v>
      </c>
      <c r="D2155" t="s">
        <v>4955</v>
      </c>
      <c r="E2155" t="s">
        <v>4956</v>
      </c>
      <c r="F2155" t="s">
        <v>7</v>
      </c>
      <c r="G2155" t="s">
        <v>8</v>
      </c>
      <c r="H2155">
        <v>25000000</v>
      </c>
      <c r="I2155">
        <v>6.9</v>
      </c>
      <c r="J2155" t="s">
        <v>8506</v>
      </c>
    </row>
    <row r="2156" spans="1:10" x14ac:dyDescent="0.3">
      <c r="A2156">
        <v>81</v>
      </c>
      <c r="B2156">
        <v>26906039</v>
      </c>
      <c r="C2156" t="s">
        <v>879</v>
      </c>
      <c r="D2156" t="s">
        <v>4957</v>
      </c>
      <c r="E2156" t="s">
        <v>4958</v>
      </c>
      <c r="F2156" t="s">
        <v>7</v>
      </c>
      <c r="G2156" t="s">
        <v>8</v>
      </c>
      <c r="H2156">
        <v>18000000</v>
      </c>
      <c r="I2156">
        <v>8.1</v>
      </c>
      <c r="J2156" t="s">
        <v>9203</v>
      </c>
    </row>
    <row r="2157" spans="1:10" x14ac:dyDescent="0.3">
      <c r="A2157">
        <v>89</v>
      </c>
      <c r="B2157">
        <v>21378000</v>
      </c>
      <c r="C2157" t="s">
        <v>3143</v>
      </c>
      <c r="D2157" t="s">
        <v>4959</v>
      </c>
      <c r="E2157" t="s">
        <v>4960</v>
      </c>
      <c r="F2157" t="s">
        <v>7</v>
      </c>
      <c r="G2157" t="s">
        <v>8</v>
      </c>
      <c r="H2157">
        <v>1000000</v>
      </c>
      <c r="I2157">
        <v>6.1</v>
      </c>
      <c r="J2157" t="s">
        <v>9149</v>
      </c>
    </row>
    <row r="2158" spans="1:10" x14ac:dyDescent="0.3">
      <c r="A2158">
        <v>106</v>
      </c>
      <c r="B2158">
        <v>43853424</v>
      </c>
      <c r="C2158" t="s">
        <v>4961</v>
      </c>
      <c r="D2158" t="s">
        <v>4962</v>
      </c>
      <c r="E2158" t="s">
        <v>4963</v>
      </c>
      <c r="F2158" t="s">
        <v>7</v>
      </c>
      <c r="G2158" t="s">
        <v>8</v>
      </c>
      <c r="H2158">
        <v>18000000</v>
      </c>
      <c r="I2158">
        <v>5</v>
      </c>
      <c r="J2158" t="s">
        <v>9204</v>
      </c>
    </row>
    <row r="2159" spans="1:10" x14ac:dyDescent="0.3">
      <c r="A2159">
        <v>86</v>
      </c>
      <c r="B2159">
        <v>23993605</v>
      </c>
      <c r="C2159" t="s">
        <v>3876</v>
      </c>
      <c r="D2159" t="s">
        <v>4965</v>
      </c>
      <c r="E2159" t="s">
        <v>4966</v>
      </c>
      <c r="F2159" t="s">
        <v>7</v>
      </c>
      <c r="G2159" t="s">
        <v>8</v>
      </c>
      <c r="H2159">
        <v>18000000</v>
      </c>
      <c r="I2159">
        <v>5.5</v>
      </c>
      <c r="J2159" t="s">
        <v>8912</v>
      </c>
    </row>
    <row r="2160" spans="1:10" x14ac:dyDescent="0.3">
      <c r="A2160">
        <v>103</v>
      </c>
      <c r="B2160">
        <v>26400000</v>
      </c>
      <c r="C2160" t="s">
        <v>9</v>
      </c>
      <c r="D2160" t="s">
        <v>4967</v>
      </c>
      <c r="E2160" t="s">
        <v>4968</v>
      </c>
      <c r="F2160" t="s">
        <v>7</v>
      </c>
      <c r="G2160" t="s">
        <v>8</v>
      </c>
      <c r="H2160">
        <v>18000000</v>
      </c>
      <c r="I2160">
        <v>6.2</v>
      </c>
      <c r="J2160" t="s">
        <v>8734</v>
      </c>
    </row>
    <row r="2161" spans="1:10" x14ac:dyDescent="0.3">
      <c r="A2161">
        <v>121</v>
      </c>
      <c r="B2161">
        <v>45250</v>
      </c>
      <c r="C2161" t="s">
        <v>653</v>
      </c>
      <c r="D2161" t="s">
        <v>4969</v>
      </c>
      <c r="E2161" t="s">
        <v>4970</v>
      </c>
      <c r="F2161" t="s">
        <v>7</v>
      </c>
      <c r="G2161" t="s">
        <v>8</v>
      </c>
      <c r="H2161">
        <v>18000000</v>
      </c>
      <c r="I2161">
        <v>6.2</v>
      </c>
      <c r="J2161" t="s">
        <v>8570</v>
      </c>
    </row>
    <row r="2162" spans="1:10" x14ac:dyDescent="0.3">
      <c r="A2162">
        <v>109</v>
      </c>
      <c r="B2162">
        <v>22927390</v>
      </c>
      <c r="C2162" t="s">
        <v>73</v>
      </c>
      <c r="D2162" t="s">
        <v>4971</v>
      </c>
      <c r="E2162" t="s">
        <v>4972</v>
      </c>
      <c r="F2162" t="s">
        <v>7</v>
      </c>
      <c r="G2162" t="s">
        <v>8</v>
      </c>
      <c r="H2162">
        <v>18000000</v>
      </c>
      <c r="I2162">
        <v>5.9</v>
      </c>
      <c r="J2162" t="s">
        <v>9205</v>
      </c>
    </row>
    <row r="2163" spans="1:10" x14ac:dyDescent="0.3">
      <c r="A2163">
        <v>109</v>
      </c>
      <c r="B2163">
        <v>4250320</v>
      </c>
      <c r="C2163" t="s">
        <v>3979</v>
      </c>
      <c r="D2163" t="s">
        <v>4973</v>
      </c>
      <c r="E2163" t="s">
        <v>4974</v>
      </c>
      <c r="F2163" t="s">
        <v>7</v>
      </c>
      <c r="G2163" t="s">
        <v>8</v>
      </c>
      <c r="H2163">
        <v>18000000</v>
      </c>
      <c r="I2163">
        <v>6.3</v>
      </c>
      <c r="J2163" t="s">
        <v>9206</v>
      </c>
    </row>
    <row r="2164" spans="1:10" x14ac:dyDescent="0.3">
      <c r="A2164">
        <v>123</v>
      </c>
      <c r="B2164">
        <v>22452209</v>
      </c>
      <c r="C2164" t="s">
        <v>1443</v>
      </c>
      <c r="D2164" t="s">
        <v>4975</v>
      </c>
      <c r="E2164" t="s">
        <v>4976</v>
      </c>
      <c r="F2164" t="s">
        <v>7</v>
      </c>
      <c r="G2164" t="s">
        <v>8</v>
      </c>
      <c r="H2164">
        <v>18000000</v>
      </c>
      <c r="I2164">
        <v>6.7</v>
      </c>
      <c r="J2164" t="s">
        <v>9207</v>
      </c>
    </row>
    <row r="2165" spans="1:10" x14ac:dyDescent="0.3">
      <c r="A2165">
        <v>94</v>
      </c>
      <c r="B2165">
        <v>18329466</v>
      </c>
      <c r="C2165" t="s">
        <v>3255</v>
      </c>
      <c r="D2165" t="s">
        <v>4977</v>
      </c>
      <c r="E2165" t="s">
        <v>4978</v>
      </c>
      <c r="F2165" t="s">
        <v>7</v>
      </c>
      <c r="G2165" t="s">
        <v>8</v>
      </c>
      <c r="H2165">
        <v>18000000</v>
      </c>
      <c r="I2165">
        <v>3.5</v>
      </c>
      <c r="J2165" t="s">
        <v>8998</v>
      </c>
    </row>
    <row r="2166" spans="1:10" x14ac:dyDescent="0.3">
      <c r="A2166">
        <v>94</v>
      </c>
      <c r="B2166">
        <v>17071230</v>
      </c>
      <c r="C2166" t="s">
        <v>386</v>
      </c>
      <c r="D2166" t="s">
        <v>4979</v>
      </c>
      <c r="E2166" t="s">
        <v>4980</v>
      </c>
      <c r="F2166" t="s">
        <v>7</v>
      </c>
      <c r="G2166" t="s">
        <v>8</v>
      </c>
      <c r="H2166">
        <v>18000000</v>
      </c>
      <c r="I2166">
        <v>7.5</v>
      </c>
      <c r="J2166" t="s">
        <v>8407</v>
      </c>
    </row>
    <row r="2167" spans="1:10" x14ac:dyDescent="0.3">
      <c r="A2167">
        <v>115</v>
      </c>
      <c r="B2167">
        <v>17174870</v>
      </c>
      <c r="C2167" t="s">
        <v>3307</v>
      </c>
      <c r="D2167" t="s">
        <v>4981</v>
      </c>
      <c r="E2167" t="s">
        <v>4982</v>
      </c>
      <c r="F2167" t="s">
        <v>7</v>
      </c>
      <c r="G2167" t="s">
        <v>8</v>
      </c>
      <c r="H2167">
        <v>18000000</v>
      </c>
      <c r="I2167">
        <v>6.6</v>
      </c>
      <c r="J2167" t="s">
        <v>8374</v>
      </c>
    </row>
    <row r="2168" spans="1:10" x14ac:dyDescent="0.3">
      <c r="A2168">
        <v>107</v>
      </c>
      <c r="B2168">
        <v>26284475</v>
      </c>
      <c r="C2168" t="s">
        <v>668</v>
      </c>
      <c r="D2168" t="s">
        <v>4983</v>
      </c>
      <c r="E2168" t="s">
        <v>4984</v>
      </c>
      <c r="F2168" t="s">
        <v>7</v>
      </c>
      <c r="G2168" t="s">
        <v>8</v>
      </c>
      <c r="H2168">
        <v>17000000</v>
      </c>
      <c r="I2168">
        <v>7.5</v>
      </c>
      <c r="J2168" t="s">
        <v>9208</v>
      </c>
    </row>
    <row r="2169" spans="1:10" x14ac:dyDescent="0.3">
      <c r="A2169">
        <v>91</v>
      </c>
      <c r="B2169">
        <v>16702864</v>
      </c>
      <c r="C2169" t="s">
        <v>386</v>
      </c>
      <c r="D2169" t="s">
        <v>4985</v>
      </c>
      <c r="E2169" t="s">
        <v>4986</v>
      </c>
      <c r="F2169" t="s">
        <v>7</v>
      </c>
      <c r="G2169" t="s">
        <v>8</v>
      </c>
      <c r="H2169">
        <v>18000000</v>
      </c>
      <c r="I2169">
        <v>7.2</v>
      </c>
      <c r="J2169" t="s">
        <v>9183</v>
      </c>
    </row>
    <row r="2170" spans="1:10" x14ac:dyDescent="0.3">
      <c r="A2170">
        <v>125</v>
      </c>
      <c r="B2170">
        <v>15561627</v>
      </c>
      <c r="C2170" t="s">
        <v>1417</v>
      </c>
      <c r="D2170" t="s">
        <v>4987</v>
      </c>
      <c r="E2170" t="s">
        <v>4988</v>
      </c>
      <c r="F2170" t="s">
        <v>7</v>
      </c>
      <c r="G2170" t="s">
        <v>8</v>
      </c>
      <c r="H2170">
        <v>18000000</v>
      </c>
      <c r="I2170">
        <v>4.8</v>
      </c>
      <c r="J2170" t="s">
        <v>8965</v>
      </c>
    </row>
    <row r="2171" spans="1:10" x14ac:dyDescent="0.3">
      <c r="A2171">
        <v>122</v>
      </c>
      <c r="B2171">
        <v>17750583</v>
      </c>
      <c r="C2171" t="s">
        <v>617</v>
      </c>
      <c r="D2171" t="s">
        <v>4989</v>
      </c>
      <c r="E2171" t="s">
        <v>4990</v>
      </c>
      <c r="F2171" t="s">
        <v>7</v>
      </c>
      <c r="G2171" t="s">
        <v>15</v>
      </c>
      <c r="H2171">
        <v>30000000</v>
      </c>
      <c r="I2171">
        <v>6.6</v>
      </c>
      <c r="J2171" t="s">
        <v>8523</v>
      </c>
    </row>
    <row r="2172" spans="1:10" x14ac:dyDescent="0.3">
      <c r="A2172">
        <v>102</v>
      </c>
      <c r="B2172">
        <v>14793904</v>
      </c>
      <c r="C2172" t="s">
        <v>672</v>
      </c>
      <c r="D2172" t="s">
        <v>4991</v>
      </c>
      <c r="E2172" t="s">
        <v>4992</v>
      </c>
      <c r="F2172" t="s">
        <v>7</v>
      </c>
      <c r="G2172" t="s">
        <v>95</v>
      </c>
      <c r="H2172">
        <v>18000000</v>
      </c>
      <c r="I2172">
        <v>3.5</v>
      </c>
      <c r="J2172" t="s">
        <v>8872</v>
      </c>
    </row>
    <row r="2173" spans="1:10" x14ac:dyDescent="0.3">
      <c r="A2173">
        <v>90</v>
      </c>
      <c r="B2173">
        <v>15281286</v>
      </c>
      <c r="C2173" t="s">
        <v>561</v>
      </c>
      <c r="D2173" t="s">
        <v>4993</v>
      </c>
      <c r="E2173" t="s">
        <v>4994</v>
      </c>
      <c r="F2173" t="s">
        <v>7</v>
      </c>
      <c r="G2173" t="s">
        <v>8</v>
      </c>
      <c r="H2173">
        <v>18000000</v>
      </c>
      <c r="I2173">
        <v>6.7</v>
      </c>
      <c r="J2173" t="s">
        <v>9209</v>
      </c>
    </row>
    <row r="2174" spans="1:10" x14ac:dyDescent="0.3">
      <c r="A2174">
        <v>98</v>
      </c>
      <c r="B2174">
        <v>8000000</v>
      </c>
      <c r="C2174" t="s">
        <v>41</v>
      </c>
      <c r="D2174" t="s">
        <v>4995</v>
      </c>
      <c r="E2174" t="s">
        <v>4996</v>
      </c>
      <c r="F2174" t="s">
        <v>7</v>
      </c>
      <c r="G2174" t="s">
        <v>8</v>
      </c>
      <c r="H2174">
        <v>18000000</v>
      </c>
      <c r="I2174">
        <v>7.6</v>
      </c>
      <c r="J2174" t="s">
        <v>8818</v>
      </c>
    </row>
    <row r="2175" spans="1:10" x14ac:dyDescent="0.3">
      <c r="A2175">
        <v>109</v>
      </c>
      <c r="B2175">
        <v>13491653</v>
      </c>
      <c r="C2175" t="s">
        <v>1704</v>
      </c>
      <c r="D2175" t="s">
        <v>4997</v>
      </c>
      <c r="E2175" t="s">
        <v>4998</v>
      </c>
      <c r="F2175" t="s">
        <v>7</v>
      </c>
      <c r="G2175" t="s">
        <v>8</v>
      </c>
      <c r="H2175">
        <v>18000000</v>
      </c>
      <c r="I2175">
        <v>6.3</v>
      </c>
      <c r="J2175" t="s">
        <v>8347</v>
      </c>
    </row>
    <row r="2176" spans="1:10" x14ac:dyDescent="0.3">
      <c r="A2176">
        <v>90</v>
      </c>
      <c r="B2176">
        <v>10494494</v>
      </c>
      <c r="C2176" t="s">
        <v>118</v>
      </c>
      <c r="D2176" t="s">
        <v>4999</v>
      </c>
      <c r="E2176" t="s">
        <v>5000</v>
      </c>
      <c r="F2176" t="s">
        <v>7</v>
      </c>
      <c r="G2176" t="s">
        <v>8</v>
      </c>
      <c r="H2176">
        <v>18000000</v>
      </c>
      <c r="I2176">
        <v>5.5</v>
      </c>
      <c r="J2176" t="s">
        <v>9210</v>
      </c>
    </row>
    <row r="2177" spans="1:10" x14ac:dyDescent="0.3">
      <c r="A2177">
        <v>112</v>
      </c>
      <c r="B2177">
        <v>7837632</v>
      </c>
      <c r="C2177" t="s">
        <v>1417</v>
      </c>
      <c r="D2177" t="s">
        <v>5001</v>
      </c>
      <c r="E2177" t="s">
        <v>5002</v>
      </c>
      <c r="F2177" t="s">
        <v>7</v>
      </c>
      <c r="G2177" t="s">
        <v>8</v>
      </c>
      <c r="H2177">
        <v>18000000</v>
      </c>
      <c r="I2177">
        <v>6.3</v>
      </c>
      <c r="J2177" t="s">
        <v>9211</v>
      </c>
    </row>
    <row r="2178" spans="1:10" x14ac:dyDescent="0.3">
      <c r="A2178">
        <v>94</v>
      </c>
      <c r="B2178">
        <v>15155772</v>
      </c>
      <c r="C2178" t="s">
        <v>561</v>
      </c>
      <c r="D2178" t="s">
        <v>5003</v>
      </c>
      <c r="E2178" t="s">
        <v>5004</v>
      </c>
      <c r="F2178" t="s">
        <v>7</v>
      </c>
      <c r="G2178" t="s">
        <v>8</v>
      </c>
      <c r="H2178">
        <v>18000000</v>
      </c>
      <c r="I2178">
        <v>6.5</v>
      </c>
      <c r="J2178" t="s">
        <v>9212</v>
      </c>
    </row>
    <row r="2179" spans="1:10" x14ac:dyDescent="0.3">
      <c r="A2179">
        <v>105</v>
      </c>
      <c r="B2179">
        <v>8508843</v>
      </c>
      <c r="C2179" t="s">
        <v>1765</v>
      </c>
      <c r="D2179" t="s">
        <v>5005</v>
      </c>
      <c r="E2179" t="s">
        <v>5006</v>
      </c>
      <c r="F2179" t="s">
        <v>7</v>
      </c>
      <c r="G2179" t="s">
        <v>8</v>
      </c>
      <c r="H2179">
        <v>18000000</v>
      </c>
      <c r="I2179">
        <v>5.6</v>
      </c>
      <c r="J2179" t="s">
        <v>9213</v>
      </c>
    </row>
    <row r="2180" spans="1:10" x14ac:dyDescent="0.3">
      <c r="A2180">
        <v>104</v>
      </c>
      <c r="B2180">
        <v>7739049</v>
      </c>
      <c r="C2180" t="s">
        <v>561</v>
      </c>
      <c r="D2180" t="s">
        <v>5007</v>
      </c>
      <c r="E2180" t="s">
        <v>5008</v>
      </c>
      <c r="F2180" t="s">
        <v>7</v>
      </c>
      <c r="G2180" t="s">
        <v>95</v>
      </c>
      <c r="H2180">
        <v>18000000</v>
      </c>
      <c r="I2180">
        <v>6.9</v>
      </c>
      <c r="J2180" t="s">
        <v>8690</v>
      </c>
    </row>
    <row r="2181" spans="1:10" x14ac:dyDescent="0.3">
      <c r="A2181">
        <v>112</v>
      </c>
      <c r="B2181">
        <v>6734844</v>
      </c>
      <c r="C2181" t="s">
        <v>73</v>
      </c>
      <c r="D2181" t="s">
        <v>5009</v>
      </c>
      <c r="E2181" t="s">
        <v>5010</v>
      </c>
      <c r="F2181" t="s">
        <v>7</v>
      </c>
      <c r="G2181" t="s">
        <v>8</v>
      </c>
      <c r="H2181">
        <v>17000000</v>
      </c>
      <c r="I2181">
        <v>7.6</v>
      </c>
      <c r="J2181" t="s">
        <v>8784</v>
      </c>
    </row>
    <row r="2182" spans="1:10" x14ac:dyDescent="0.3">
      <c r="A2182">
        <v>108</v>
      </c>
      <c r="B2182">
        <v>6000000</v>
      </c>
      <c r="C2182" t="s">
        <v>9</v>
      </c>
      <c r="D2182" t="s">
        <v>5011</v>
      </c>
      <c r="E2182" t="s">
        <v>5012</v>
      </c>
      <c r="F2182" t="s">
        <v>7</v>
      </c>
      <c r="G2182" t="s">
        <v>8</v>
      </c>
      <c r="H2182">
        <v>18000000</v>
      </c>
      <c r="I2182">
        <v>3.9</v>
      </c>
      <c r="J2182" t="s">
        <v>9214</v>
      </c>
    </row>
    <row r="2183" spans="1:10" x14ac:dyDescent="0.3">
      <c r="A2183">
        <v>112</v>
      </c>
      <c r="B2183">
        <v>6615578</v>
      </c>
      <c r="C2183" t="s">
        <v>2663</v>
      </c>
      <c r="D2183" t="s">
        <v>5013</v>
      </c>
      <c r="E2183" t="s">
        <v>5014</v>
      </c>
      <c r="F2183" t="s">
        <v>7</v>
      </c>
      <c r="G2183" t="s">
        <v>284</v>
      </c>
      <c r="H2183">
        <v>13000000</v>
      </c>
      <c r="I2183">
        <v>6.1</v>
      </c>
      <c r="J2183" t="s">
        <v>9121</v>
      </c>
    </row>
    <row r="2184" spans="1:10" x14ac:dyDescent="0.3">
      <c r="A2184">
        <v>127</v>
      </c>
      <c r="B2184">
        <v>5887457</v>
      </c>
      <c r="C2184" t="s">
        <v>1743</v>
      </c>
      <c r="D2184" t="s">
        <v>5015</v>
      </c>
      <c r="E2184" t="s">
        <v>5016</v>
      </c>
      <c r="F2184" t="s">
        <v>7</v>
      </c>
      <c r="G2184" t="s">
        <v>8</v>
      </c>
      <c r="H2184">
        <v>18000000</v>
      </c>
      <c r="I2184">
        <v>7.3</v>
      </c>
      <c r="J2184" t="s">
        <v>8439</v>
      </c>
    </row>
    <row r="2185" spans="1:10" x14ac:dyDescent="0.3">
      <c r="A2185">
        <v>111</v>
      </c>
      <c r="B2185">
        <v>13362308</v>
      </c>
      <c r="C2185" t="s">
        <v>1417</v>
      </c>
      <c r="D2185" t="s">
        <v>5017</v>
      </c>
      <c r="E2185" t="s">
        <v>5018</v>
      </c>
      <c r="F2185" t="s">
        <v>7</v>
      </c>
      <c r="G2185" t="s">
        <v>8</v>
      </c>
      <c r="H2185">
        <v>18000000</v>
      </c>
      <c r="I2185">
        <v>8.3000000000000007</v>
      </c>
      <c r="J2185" t="s">
        <v>8445</v>
      </c>
    </row>
    <row r="2186" spans="1:10" x14ac:dyDescent="0.3">
      <c r="A2186">
        <v>126</v>
      </c>
      <c r="B2186">
        <v>5701643</v>
      </c>
      <c r="C2186" t="s">
        <v>1428</v>
      </c>
      <c r="D2186" t="s">
        <v>5019</v>
      </c>
      <c r="E2186" t="s">
        <v>5020</v>
      </c>
      <c r="F2186" t="s">
        <v>5021</v>
      </c>
      <c r="G2186" t="s">
        <v>3028</v>
      </c>
      <c r="H2186">
        <v>20000000</v>
      </c>
      <c r="I2186">
        <v>5.8</v>
      </c>
      <c r="J2186" t="s">
        <v>8738</v>
      </c>
    </row>
    <row r="2187" spans="1:10" x14ac:dyDescent="0.3">
      <c r="A2187">
        <v>114</v>
      </c>
      <c r="B2187">
        <v>5694401</v>
      </c>
      <c r="C2187" t="s">
        <v>118</v>
      </c>
      <c r="D2187" t="s">
        <v>5022</v>
      </c>
      <c r="E2187" t="s">
        <v>5023</v>
      </c>
      <c r="F2187" t="s">
        <v>7</v>
      </c>
      <c r="G2187" t="s">
        <v>15</v>
      </c>
      <c r="H2187">
        <v>18000000</v>
      </c>
      <c r="I2187">
        <v>6.8</v>
      </c>
      <c r="J2187" t="s">
        <v>8344</v>
      </c>
    </row>
    <row r="2188" spans="1:10" x14ac:dyDescent="0.3">
      <c r="A2188">
        <v>99</v>
      </c>
      <c r="B2188">
        <v>5333658</v>
      </c>
      <c r="C2188" t="s">
        <v>237</v>
      </c>
      <c r="D2188" t="s">
        <v>5024</v>
      </c>
      <c r="E2188" t="s">
        <v>5025</v>
      </c>
      <c r="F2188" t="s">
        <v>7</v>
      </c>
      <c r="G2188" t="s">
        <v>8</v>
      </c>
      <c r="H2188">
        <v>20000000</v>
      </c>
      <c r="I2188">
        <v>7</v>
      </c>
      <c r="J2188" t="s">
        <v>8522</v>
      </c>
    </row>
    <row r="2189" spans="1:10" x14ac:dyDescent="0.3">
      <c r="A2189">
        <v>150</v>
      </c>
      <c r="B2189">
        <v>4414535</v>
      </c>
      <c r="C2189" t="s">
        <v>1417</v>
      </c>
      <c r="D2189" t="s">
        <v>5026</v>
      </c>
      <c r="E2189" t="s">
        <v>5027</v>
      </c>
      <c r="F2189" t="s">
        <v>7</v>
      </c>
      <c r="G2189" t="s">
        <v>15</v>
      </c>
      <c r="H2189">
        <v>18000000</v>
      </c>
      <c r="I2189">
        <v>5.9</v>
      </c>
      <c r="J2189" t="s">
        <v>9215</v>
      </c>
    </row>
    <row r="2190" spans="1:10" x14ac:dyDescent="0.3">
      <c r="A2190">
        <v>112</v>
      </c>
      <c r="B2190">
        <v>3707794</v>
      </c>
      <c r="C2190" t="s">
        <v>591</v>
      </c>
      <c r="D2190" t="s">
        <v>5028</v>
      </c>
      <c r="E2190" t="s">
        <v>5029</v>
      </c>
      <c r="F2190" t="s">
        <v>7</v>
      </c>
      <c r="G2190" t="s">
        <v>5030</v>
      </c>
      <c r="H2190">
        <v>18000000</v>
      </c>
      <c r="I2190">
        <v>6.5</v>
      </c>
      <c r="J2190" t="s">
        <v>9216</v>
      </c>
    </row>
    <row r="2191" spans="1:10" x14ac:dyDescent="0.3">
      <c r="A2191">
        <v>108</v>
      </c>
      <c r="B2191">
        <v>3203044</v>
      </c>
      <c r="C2191" t="s">
        <v>672</v>
      </c>
      <c r="D2191" t="s">
        <v>5031</v>
      </c>
      <c r="E2191" t="s">
        <v>5032</v>
      </c>
      <c r="F2191" t="s">
        <v>7</v>
      </c>
      <c r="G2191" t="s">
        <v>8</v>
      </c>
      <c r="H2191">
        <v>18000000</v>
      </c>
      <c r="I2191">
        <v>6.4</v>
      </c>
      <c r="J2191" t="s">
        <v>9217</v>
      </c>
    </row>
    <row r="2192" spans="1:10" x14ac:dyDescent="0.3">
      <c r="A2192">
        <v>116</v>
      </c>
      <c r="B2192">
        <v>4435083</v>
      </c>
      <c r="C2192" t="s">
        <v>5033</v>
      </c>
      <c r="D2192" t="s">
        <v>5034</v>
      </c>
      <c r="E2192" t="s">
        <v>5035</v>
      </c>
      <c r="F2192" t="s">
        <v>7</v>
      </c>
      <c r="G2192" t="s">
        <v>132</v>
      </c>
      <c r="H2192">
        <v>18000000</v>
      </c>
      <c r="I2192">
        <v>5.8</v>
      </c>
      <c r="J2192" t="s">
        <v>9218</v>
      </c>
    </row>
    <row r="2193" spans="1:10" x14ac:dyDescent="0.3">
      <c r="A2193">
        <v>144</v>
      </c>
      <c r="B2193">
        <v>2222647</v>
      </c>
      <c r="C2193" t="s">
        <v>3413</v>
      </c>
      <c r="D2193" t="s">
        <v>5036</v>
      </c>
      <c r="E2193" t="s">
        <v>5037</v>
      </c>
      <c r="F2193" t="s">
        <v>3702</v>
      </c>
      <c r="G2193" t="s">
        <v>284</v>
      </c>
      <c r="H2193">
        <v>12000000</v>
      </c>
      <c r="I2193">
        <v>5.0999999999999996</v>
      </c>
      <c r="J2193" t="s">
        <v>9219</v>
      </c>
    </row>
    <row r="2194" spans="1:10" x14ac:dyDescent="0.3">
      <c r="A2194">
        <v>93</v>
      </c>
      <c r="B2194">
        <v>3500000</v>
      </c>
      <c r="C2194" t="s">
        <v>5038</v>
      </c>
      <c r="D2194" t="s">
        <v>5039</v>
      </c>
      <c r="E2194" t="s">
        <v>5040</v>
      </c>
      <c r="F2194" t="s">
        <v>7</v>
      </c>
      <c r="G2194" t="s">
        <v>8</v>
      </c>
      <c r="H2194">
        <v>2700000</v>
      </c>
      <c r="I2194">
        <v>6.8</v>
      </c>
      <c r="J2194" t="s">
        <v>8807</v>
      </c>
    </row>
    <row r="2195" spans="1:10" x14ac:dyDescent="0.3">
      <c r="A2195">
        <v>103</v>
      </c>
      <c r="B2195">
        <v>676698</v>
      </c>
      <c r="C2195" t="s">
        <v>882</v>
      </c>
      <c r="D2195" t="s">
        <v>5041</v>
      </c>
      <c r="E2195" t="s">
        <v>5042</v>
      </c>
      <c r="F2195" t="s">
        <v>7</v>
      </c>
      <c r="G2195" t="s">
        <v>8</v>
      </c>
      <c r="H2195">
        <v>18000000</v>
      </c>
      <c r="I2195">
        <v>5.3</v>
      </c>
      <c r="J2195" t="s">
        <v>9220</v>
      </c>
    </row>
    <row r="2196" spans="1:10" x14ac:dyDescent="0.3">
      <c r="A2196">
        <v>121</v>
      </c>
      <c r="B2196">
        <v>229311</v>
      </c>
      <c r="C2196" t="s">
        <v>5044</v>
      </c>
      <c r="D2196" t="s">
        <v>5045</v>
      </c>
      <c r="E2196" t="s">
        <v>5046</v>
      </c>
      <c r="F2196" t="s">
        <v>7</v>
      </c>
      <c r="G2196" t="s">
        <v>1488</v>
      </c>
      <c r="H2196">
        <v>11350000</v>
      </c>
      <c r="I2196">
        <v>5.3</v>
      </c>
      <c r="J2196" t="s">
        <v>8493</v>
      </c>
    </row>
    <row r="2197" spans="1:10" x14ac:dyDescent="0.3">
      <c r="A2197">
        <v>105</v>
      </c>
      <c r="B2197">
        <v>63260</v>
      </c>
      <c r="C2197" t="s">
        <v>5047</v>
      </c>
      <c r="D2197" t="s">
        <v>5048</v>
      </c>
      <c r="E2197" t="s">
        <v>5049</v>
      </c>
      <c r="F2197" t="s">
        <v>7</v>
      </c>
      <c r="G2197" t="s">
        <v>583</v>
      </c>
      <c r="H2197">
        <v>14000000</v>
      </c>
      <c r="I2197">
        <v>6.4</v>
      </c>
      <c r="J2197" t="s">
        <v>9221</v>
      </c>
    </row>
    <row r="2198" spans="1:10" x14ac:dyDescent="0.3">
      <c r="A2198">
        <v>119</v>
      </c>
      <c r="B2198">
        <v>121463226</v>
      </c>
      <c r="C2198" t="s">
        <v>668</v>
      </c>
      <c r="D2198" t="s">
        <v>5050</v>
      </c>
      <c r="E2198" t="s">
        <v>5051</v>
      </c>
      <c r="F2198" t="s">
        <v>7</v>
      </c>
      <c r="G2198" t="s">
        <v>8</v>
      </c>
      <c r="H2198">
        <v>20000000</v>
      </c>
      <c r="I2198">
        <v>4.9000000000000004</v>
      </c>
      <c r="J2198" t="s">
        <v>8716</v>
      </c>
    </row>
    <row r="2199" spans="1:10" x14ac:dyDescent="0.3">
      <c r="A2199">
        <v>98</v>
      </c>
      <c r="B2199">
        <v>58006147</v>
      </c>
      <c r="C2199" t="s">
        <v>2009</v>
      </c>
      <c r="D2199" t="s">
        <v>5052</v>
      </c>
      <c r="E2199" t="s">
        <v>5053</v>
      </c>
      <c r="F2199" t="s">
        <v>7</v>
      </c>
      <c r="G2199" t="s">
        <v>8</v>
      </c>
      <c r="H2199">
        <v>23000000</v>
      </c>
      <c r="I2199">
        <v>6.8</v>
      </c>
      <c r="J2199" t="s">
        <v>8818</v>
      </c>
    </row>
    <row r="2200" spans="1:10" x14ac:dyDescent="0.3">
      <c r="A2200">
        <v>80</v>
      </c>
      <c r="B2200">
        <v>51053787</v>
      </c>
      <c r="C2200" t="s">
        <v>5054</v>
      </c>
      <c r="D2200" t="s">
        <v>5055</v>
      </c>
      <c r="E2200" t="s">
        <v>5056</v>
      </c>
      <c r="F2200" t="s">
        <v>7</v>
      </c>
      <c r="G2200" t="s">
        <v>8</v>
      </c>
      <c r="H2200">
        <v>17500000</v>
      </c>
      <c r="I2200">
        <v>7.1</v>
      </c>
      <c r="J2200" t="s">
        <v>9222</v>
      </c>
    </row>
    <row r="2201" spans="1:10" x14ac:dyDescent="0.3">
      <c r="A2201">
        <v>121</v>
      </c>
      <c r="B2201">
        <v>23472900</v>
      </c>
      <c r="C2201" t="s">
        <v>799</v>
      </c>
      <c r="D2201" t="s">
        <v>5057</v>
      </c>
      <c r="E2201" t="s">
        <v>5058</v>
      </c>
      <c r="F2201" t="s">
        <v>7</v>
      </c>
      <c r="G2201" t="s">
        <v>15</v>
      </c>
      <c r="H2201">
        <v>17500000</v>
      </c>
      <c r="I2201">
        <v>6.8</v>
      </c>
      <c r="J2201" t="s">
        <v>9223</v>
      </c>
    </row>
    <row r="2202" spans="1:10" x14ac:dyDescent="0.3">
      <c r="A2202">
        <v>94</v>
      </c>
      <c r="B2202">
        <v>39687528</v>
      </c>
      <c r="C2202" t="s">
        <v>164</v>
      </c>
      <c r="D2202" t="s">
        <v>5059</v>
      </c>
      <c r="E2202" t="s">
        <v>5060</v>
      </c>
      <c r="F2202" t="s">
        <v>7</v>
      </c>
      <c r="G2202" t="s">
        <v>583</v>
      </c>
      <c r="H2202">
        <v>24000000</v>
      </c>
      <c r="I2202">
        <v>6.1</v>
      </c>
      <c r="J2202" t="s">
        <v>8762</v>
      </c>
    </row>
    <row r="2203" spans="1:10" x14ac:dyDescent="0.3">
      <c r="A2203">
        <v>116</v>
      </c>
      <c r="B2203">
        <v>325491</v>
      </c>
      <c r="C2203" t="s">
        <v>873</v>
      </c>
      <c r="D2203" t="s">
        <v>5061</v>
      </c>
      <c r="E2203" t="s">
        <v>5062</v>
      </c>
      <c r="F2203" t="s">
        <v>7</v>
      </c>
      <c r="G2203" t="s">
        <v>8</v>
      </c>
      <c r="H2203">
        <v>17500000</v>
      </c>
      <c r="I2203">
        <v>8.5</v>
      </c>
      <c r="J2203" t="s">
        <v>9224</v>
      </c>
    </row>
    <row r="2204" spans="1:10" x14ac:dyDescent="0.3">
      <c r="A2204">
        <v>101</v>
      </c>
      <c r="B2204">
        <v>96471845</v>
      </c>
      <c r="C2204" t="s">
        <v>4116</v>
      </c>
      <c r="D2204" t="s">
        <v>5063</v>
      </c>
      <c r="E2204" t="s">
        <v>5064</v>
      </c>
      <c r="F2204" t="s">
        <v>7</v>
      </c>
      <c r="G2204" t="s">
        <v>8</v>
      </c>
      <c r="H2204">
        <v>17000000</v>
      </c>
      <c r="I2204">
        <v>5.9</v>
      </c>
      <c r="J2204" t="s">
        <v>8749</v>
      </c>
    </row>
    <row r="2205" spans="1:10" x14ac:dyDescent="0.3">
      <c r="A2205">
        <v>154</v>
      </c>
      <c r="B2205">
        <v>85200000</v>
      </c>
      <c r="C2205" t="s">
        <v>20</v>
      </c>
      <c r="D2205" t="s">
        <v>5065</v>
      </c>
      <c r="E2205" t="s">
        <v>5066</v>
      </c>
      <c r="F2205" t="s">
        <v>7</v>
      </c>
      <c r="G2205" t="s">
        <v>8</v>
      </c>
      <c r="H2205">
        <v>18500000</v>
      </c>
      <c r="I2205">
        <v>6.3</v>
      </c>
      <c r="J2205" t="s">
        <v>9225</v>
      </c>
    </row>
    <row r="2206" spans="1:10" x14ac:dyDescent="0.3">
      <c r="A2206">
        <v>170</v>
      </c>
      <c r="B2206">
        <v>72000000</v>
      </c>
      <c r="C2206" t="s">
        <v>5067</v>
      </c>
      <c r="D2206" t="s">
        <v>5068</v>
      </c>
      <c r="E2206" t="s">
        <v>5069</v>
      </c>
      <c r="F2206" t="s">
        <v>7</v>
      </c>
      <c r="G2206" t="s">
        <v>8</v>
      </c>
      <c r="H2206">
        <v>17000000</v>
      </c>
      <c r="I2206">
        <v>5.9</v>
      </c>
      <c r="J2206" t="s">
        <v>8586</v>
      </c>
    </row>
    <row r="2207" spans="1:10" x14ac:dyDescent="0.3">
      <c r="A2207">
        <v>99</v>
      </c>
      <c r="B2207">
        <v>72219395</v>
      </c>
      <c r="C2207" t="s">
        <v>1249</v>
      </c>
      <c r="D2207" t="s">
        <v>5070</v>
      </c>
      <c r="E2207" t="s">
        <v>5071</v>
      </c>
      <c r="F2207" t="s">
        <v>7</v>
      </c>
      <c r="G2207" t="s">
        <v>8</v>
      </c>
      <c r="H2207">
        <v>17000000</v>
      </c>
      <c r="I2207">
        <v>5.4</v>
      </c>
      <c r="J2207" t="s">
        <v>9226</v>
      </c>
    </row>
    <row r="2208" spans="1:10" x14ac:dyDescent="0.3">
      <c r="A2208">
        <v>104</v>
      </c>
      <c r="B2208">
        <v>82389560</v>
      </c>
      <c r="C2208" t="s">
        <v>668</v>
      </c>
      <c r="D2208" t="s">
        <v>5072</v>
      </c>
      <c r="E2208" t="s">
        <v>5073</v>
      </c>
      <c r="F2208" t="s">
        <v>7</v>
      </c>
      <c r="G2208" t="s">
        <v>8</v>
      </c>
      <c r="H2208">
        <v>17000000</v>
      </c>
      <c r="I2208">
        <v>7</v>
      </c>
      <c r="J2208" t="s">
        <v>8399</v>
      </c>
    </row>
    <row r="2209" spans="1:10" x14ac:dyDescent="0.3">
      <c r="A2209">
        <v>126</v>
      </c>
      <c r="B2209">
        <v>71502303</v>
      </c>
      <c r="C2209" t="s">
        <v>4797</v>
      </c>
      <c r="D2209" t="s">
        <v>5074</v>
      </c>
      <c r="E2209" t="s">
        <v>5075</v>
      </c>
      <c r="F2209" t="s">
        <v>7</v>
      </c>
      <c r="G2209" t="s">
        <v>8</v>
      </c>
      <c r="H2209">
        <v>12000000</v>
      </c>
      <c r="I2209">
        <v>6.9</v>
      </c>
      <c r="J2209" t="s">
        <v>8429</v>
      </c>
    </row>
    <row r="2210" spans="1:10" x14ac:dyDescent="0.3">
      <c r="A2210">
        <v>110</v>
      </c>
      <c r="B2210">
        <v>19179969</v>
      </c>
      <c r="C2210" t="s">
        <v>668</v>
      </c>
      <c r="D2210" t="s">
        <v>5076</v>
      </c>
      <c r="E2210" t="s">
        <v>5077</v>
      </c>
      <c r="F2210" t="s">
        <v>7</v>
      </c>
      <c r="G2210" t="s">
        <v>8</v>
      </c>
      <c r="H2210">
        <v>17500000</v>
      </c>
      <c r="I2210">
        <v>7.5</v>
      </c>
      <c r="J2210" t="s">
        <v>9227</v>
      </c>
    </row>
    <row r="2211" spans="1:10" x14ac:dyDescent="0.3">
      <c r="A2211">
        <v>101</v>
      </c>
      <c r="B2211">
        <v>47000000</v>
      </c>
      <c r="C2211" t="s">
        <v>2324</v>
      </c>
      <c r="D2211" t="s">
        <v>5078</v>
      </c>
      <c r="E2211" t="s">
        <v>5079</v>
      </c>
      <c r="F2211" t="s">
        <v>7</v>
      </c>
      <c r="G2211" t="s">
        <v>8</v>
      </c>
      <c r="H2211">
        <v>300000</v>
      </c>
      <c r="I2211">
        <v>8.1999999999999993</v>
      </c>
      <c r="J2211" t="s">
        <v>8805</v>
      </c>
    </row>
    <row r="2212" spans="1:10" x14ac:dyDescent="0.3">
      <c r="A2212">
        <v>87</v>
      </c>
      <c r="B2212">
        <v>37566230</v>
      </c>
      <c r="C2212" t="s">
        <v>5080</v>
      </c>
      <c r="D2212" t="s">
        <v>5081</v>
      </c>
      <c r="E2212" t="s">
        <v>5082</v>
      </c>
      <c r="F2212" t="s">
        <v>7</v>
      </c>
      <c r="G2212" t="s">
        <v>8</v>
      </c>
      <c r="H2212">
        <v>17000000</v>
      </c>
      <c r="I2212">
        <v>5.9</v>
      </c>
      <c r="J2212" t="s">
        <v>8528</v>
      </c>
    </row>
    <row r="2213" spans="1:10" x14ac:dyDescent="0.3">
      <c r="A2213">
        <v>123</v>
      </c>
      <c r="B2213">
        <v>70492685</v>
      </c>
      <c r="C2213" t="s">
        <v>1040</v>
      </c>
      <c r="D2213" t="s">
        <v>5083</v>
      </c>
      <c r="E2213" t="s">
        <v>5084</v>
      </c>
      <c r="F2213" t="s">
        <v>7</v>
      </c>
      <c r="G2213" t="s">
        <v>8</v>
      </c>
      <c r="H2213">
        <v>17000000</v>
      </c>
      <c r="I2213">
        <v>5</v>
      </c>
      <c r="J2213" t="s">
        <v>9228</v>
      </c>
    </row>
    <row r="2214" spans="1:10" x14ac:dyDescent="0.3">
      <c r="A2214">
        <v>109</v>
      </c>
      <c r="B2214">
        <v>35635046</v>
      </c>
      <c r="C2214" t="s">
        <v>164</v>
      </c>
      <c r="D2214" t="s">
        <v>5085</v>
      </c>
      <c r="E2214" t="s">
        <v>5086</v>
      </c>
      <c r="F2214" t="s">
        <v>7</v>
      </c>
      <c r="G2214" t="s">
        <v>15</v>
      </c>
      <c r="H2214">
        <v>17000000</v>
      </c>
      <c r="I2214">
        <v>7.3</v>
      </c>
      <c r="J2214" t="s">
        <v>8716</v>
      </c>
    </row>
    <row r="2215" spans="1:10" x14ac:dyDescent="0.3">
      <c r="A2215">
        <v>90</v>
      </c>
      <c r="B2215">
        <v>45670855</v>
      </c>
      <c r="C2215" t="s">
        <v>2141</v>
      </c>
      <c r="D2215" t="s">
        <v>5087</v>
      </c>
      <c r="E2215" t="s">
        <v>5088</v>
      </c>
      <c r="F2215" t="s">
        <v>7</v>
      </c>
      <c r="G2215" t="s">
        <v>95</v>
      </c>
      <c r="H2215">
        <v>20000000</v>
      </c>
      <c r="I2215">
        <v>6.4</v>
      </c>
      <c r="J2215" t="s">
        <v>9229</v>
      </c>
    </row>
    <row r="2216" spans="1:10" x14ac:dyDescent="0.3">
      <c r="A2216">
        <v>96</v>
      </c>
      <c r="B2216">
        <v>37939782</v>
      </c>
      <c r="C2216" t="s">
        <v>672</v>
      </c>
      <c r="D2216" t="s">
        <v>5089</v>
      </c>
      <c r="E2216" t="s">
        <v>5090</v>
      </c>
      <c r="F2216" t="s">
        <v>7</v>
      </c>
      <c r="G2216" t="s">
        <v>8</v>
      </c>
      <c r="H2216">
        <v>17000000</v>
      </c>
      <c r="I2216">
        <v>6.6</v>
      </c>
      <c r="J2216" t="s">
        <v>9072</v>
      </c>
    </row>
    <row r="2217" spans="1:10" x14ac:dyDescent="0.3">
      <c r="A2217">
        <v>82</v>
      </c>
      <c r="B2217">
        <v>30324946</v>
      </c>
      <c r="C2217" t="s">
        <v>2763</v>
      </c>
      <c r="D2217" t="s">
        <v>5091</v>
      </c>
      <c r="E2217" t="s">
        <v>5092</v>
      </c>
      <c r="F2217" t="s">
        <v>7</v>
      </c>
      <c r="G2217" t="s">
        <v>8</v>
      </c>
      <c r="H2217">
        <v>17000000</v>
      </c>
      <c r="I2217">
        <v>7.8</v>
      </c>
      <c r="J2217" t="s">
        <v>9230</v>
      </c>
    </row>
    <row r="2218" spans="1:10" x14ac:dyDescent="0.3">
      <c r="A2218">
        <v>108</v>
      </c>
      <c r="B2218">
        <v>41777564</v>
      </c>
      <c r="C2218" t="s">
        <v>2701</v>
      </c>
      <c r="D2218" t="s">
        <v>5093</v>
      </c>
      <c r="E2218" t="s">
        <v>5094</v>
      </c>
      <c r="F2218" t="s">
        <v>7</v>
      </c>
      <c r="G2218" t="s">
        <v>8</v>
      </c>
      <c r="H2218">
        <v>15000000</v>
      </c>
      <c r="I2218">
        <v>4</v>
      </c>
      <c r="J2218" t="s">
        <v>9231</v>
      </c>
    </row>
    <row r="2219" spans="1:10" x14ac:dyDescent="0.3">
      <c r="A2219">
        <v>98</v>
      </c>
      <c r="B2219">
        <v>22734486</v>
      </c>
      <c r="C2219" t="s">
        <v>668</v>
      </c>
      <c r="D2219" t="s">
        <v>5095</v>
      </c>
      <c r="E2219" t="s">
        <v>5096</v>
      </c>
      <c r="F2219" t="s">
        <v>7</v>
      </c>
      <c r="G2219" t="s">
        <v>8</v>
      </c>
      <c r="H2219">
        <v>17000000</v>
      </c>
      <c r="I2219">
        <v>7.6</v>
      </c>
      <c r="J2219" t="s">
        <v>8306</v>
      </c>
    </row>
    <row r="2220" spans="1:10" x14ac:dyDescent="0.3">
      <c r="A2220">
        <v>129</v>
      </c>
      <c r="B2220">
        <v>44469602</v>
      </c>
      <c r="C2220" t="s">
        <v>653</v>
      </c>
      <c r="D2220" t="s">
        <v>5097</v>
      </c>
      <c r="E2220" t="s">
        <v>5098</v>
      </c>
      <c r="F2220" t="s">
        <v>7</v>
      </c>
      <c r="G2220" t="s">
        <v>8</v>
      </c>
      <c r="H2220">
        <v>17000000</v>
      </c>
      <c r="I2220">
        <v>7.7</v>
      </c>
      <c r="J2220" t="s">
        <v>8407</v>
      </c>
    </row>
    <row r="2221" spans="1:10" x14ac:dyDescent="0.3">
      <c r="A2221">
        <v>112</v>
      </c>
      <c r="B2221">
        <v>64998368</v>
      </c>
      <c r="C2221" t="s">
        <v>2763</v>
      </c>
      <c r="D2221" t="s">
        <v>5099</v>
      </c>
      <c r="E2221" t="s">
        <v>5100</v>
      </c>
      <c r="F2221" t="s">
        <v>7</v>
      </c>
      <c r="G2221" t="s">
        <v>8</v>
      </c>
      <c r="H2221">
        <v>17000000</v>
      </c>
      <c r="I2221">
        <v>5.8</v>
      </c>
      <c r="J2221" t="s">
        <v>9232</v>
      </c>
    </row>
    <row r="2222" spans="1:10" x14ac:dyDescent="0.3">
      <c r="A2222">
        <v>108</v>
      </c>
      <c r="B2222">
        <v>19693891</v>
      </c>
      <c r="C2222" t="s">
        <v>1872</v>
      </c>
      <c r="D2222" t="s">
        <v>5101</v>
      </c>
      <c r="E2222" t="s">
        <v>5102</v>
      </c>
      <c r="F2222" t="s">
        <v>7</v>
      </c>
      <c r="G2222" t="s">
        <v>8</v>
      </c>
      <c r="H2222">
        <v>34000000</v>
      </c>
      <c r="I2222">
        <v>5.2</v>
      </c>
      <c r="J2222" t="s">
        <v>8827</v>
      </c>
    </row>
    <row r="2223" spans="1:10" x14ac:dyDescent="0.3">
      <c r="A2223">
        <v>121</v>
      </c>
      <c r="B2223">
        <v>16311763</v>
      </c>
      <c r="C2223" t="s">
        <v>873</v>
      </c>
      <c r="D2223" t="s">
        <v>5103</v>
      </c>
      <c r="E2223" t="s">
        <v>5104</v>
      </c>
      <c r="F2223" t="s">
        <v>7</v>
      </c>
      <c r="G2223" t="s">
        <v>15</v>
      </c>
      <c r="H2223">
        <v>17000000</v>
      </c>
      <c r="I2223">
        <v>5.6</v>
      </c>
      <c r="J2223" t="s">
        <v>9233</v>
      </c>
    </row>
    <row r="2224" spans="1:10" x14ac:dyDescent="0.3">
      <c r="A2224">
        <v>89</v>
      </c>
      <c r="B2224">
        <v>12693621</v>
      </c>
      <c r="C2224" t="s">
        <v>1249</v>
      </c>
      <c r="D2224" t="s">
        <v>5105</v>
      </c>
      <c r="E2224" t="s">
        <v>5106</v>
      </c>
      <c r="F2224" t="s">
        <v>7</v>
      </c>
      <c r="G2224" t="s">
        <v>8</v>
      </c>
      <c r="H2224">
        <v>17000000</v>
      </c>
      <c r="I2224">
        <v>5.3</v>
      </c>
      <c r="J2224" t="s">
        <v>9234</v>
      </c>
    </row>
    <row r="2225" spans="1:10" x14ac:dyDescent="0.3">
      <c r="A2225">
        <v>89</v>
      </c>
      <c r="B2225">
        <v>15655665</v>
      </c>
      <c r="C2225" t="s">
        <v>672</v>
      </c>
      <c r="D2225" t="s">
        <v>5107</v>
      </c>
      <c r="E2225" t="s">
        <v>5108</v>
      </c>
      <c r="F2225" t="s">
        <v>7</v>
      </c>
      <c r="G2225" t="s">
        <v>8</v>
      </c>
      <c r="H2225">
        <v>4000000</v>
      </c>
      <c r="I2225">
        <v>7.4</v>
      </c>
      <c r="J2225" t="s">
        <v>9235</v>
      </c>
    </row>
    <row r="2226" spans="1:10" x14ac:dyDescent="0.3">
      <c r="A2226">
        <v>73</v>
      </c>
      <c r="B2226">
        <v>11634458</v>
      </c>
      <c r="C2226" t="s">
        <v>5109</v>
      </c>
      <c r="D2226" t="s">
        <v>5110</v>
      </c>
      <c r="E2226" t="s">
        <v>5111</v>
      </c>
      <c r="F2226" t="s">
        <v>7</v>
      </c>
      <c r="G2226" t="s">
        <v>8</v>
      </c>
      <c r="H2226">
        <v>17000000</v>
      </c>
      <c r="I2226">
        <v>6.6</v>
      </c>
      <c r="J2226" t="s">
        <v>9236</v>
      </c>
    </row>
    <row r="2227" spans="1:10" x14ac:dyDescent="0.3">
      <c r="A2227">
        <v>132</v>
      </c>
      <c r="B2227">
        <v>27154426</v>
      </c>
      <c r="C2227" t="s">
        <v>873</v>
      </c>
      <c r="D2227" t="s">
        <v>5112</v>
      </c>
      <c r="E2227" t="s">
        <v>5113</v>
      </c>
      <c r="F2227" t="s">
        <v>7</v>
      </c>
      <c r="G2227" t="s">
        <v>8</v>
      </c>
      <c r="H2227">
        <v>17000000</v>
      </c>
      <c r="I2227">
        <v>6.2</v>
      </c>
      <c r="J2227" t="s">
        <v>9237</v>
      </c>
    </row>
    <row r="2228" spans="1:10" x14ac:dyDescent="0.3">
      <c r="A2228">
        <v>96</v>
      </c>
      <c r="B2228">
        <v>54239856</v>
      </c>
      <c r="C2228" t="s">
        <v>2701</v>
      </c>
      <c r="D2228" t="s">
        <v>5114</v>
      </c>
      <c r="E2228" t="s">
        <v>5115</v>
      </c>
      <c r="F2228" t="s">
        <v>7</v>
      </c>
      <c r="G2228" t="s">
        <v>8</v>
      </c>
      <c r="H2228">
        <v>17000000</v>
      </c>
      <c r="I2228">
        <v>1.9</v>
      </c>
      <c r="J2228" t="s">
        <v>8998</v>
      </c>
    </row>
    <row r="2229" spans="1:10" x14ac:dyDescent="0.3">
      <c r="A2229">
        <v>98</v>
      </c>
      <c r="B2229">
        <v>8662318</v>
      </c>
      <c r="C2229" t="s">
        <v>672</v>
      </c>
      <c r="D2229" t="s">
        <v>5116</v>
      </c>
      <c r="E2229" t="s">
        <v>5117</v>
      </c>
      <c r="F2229" t="s">
        <v>7</v>
      </c>
      <c r="G2229" t="s">
        <v>8</v>
      </c>
      <c r="H2229">
        <v>17000000</v>
      </c>
      <c r="I2229">
        <v>5.7</v>
      </c>
      <c r="J2229" t="s">
        <v>8847</v>
      </c>
    </row>
    <row r="2230" spans="1:10" x14ac:dyDescent="0.3">
      <c r="A2230">
        <v>107</v>
      </c>
      <c r="B2230">
        <v>7156725</v>
      </c>
      <c r="C2230" t="s">
        <v>2708</v>
      </c>
      <c r="D2230" t="s">
        <v>5118</v>
      </c>
      <c r="E2230" t="s">
        <v>5119</v>
      </c>
      <c r="F2230" t="s">
        <v>7</v>
      </c>
      <c r="G2230" t="s">
        <v>8</v>
      </c>
      <c r="H2230">
        <v>19000000</v>
      </c>
      <c r="I2230">
        <v>6.6</v>
      </c>
      <c r="J2230" t="s">
        <v>8523</v>
      </c>
    </row>
    <row r="2231" spans="1:10" x14ac:dyDescent="0.3">
      <c r="A2231">
        <v>134</v>
      </c>
      <c r="B2231">
        <v>15681020</v>
      </c>
      <c r="C2231" t="s">
        <v>3252</v>
      </c>
      <c r="D2231" t="s">
        <v>5120</v>
      </c>
      <c r="E2231" t="s">
        <v>5121</v>
      </c>
      <c r="F2231" t="s">
        <v>7</v>
      </c>
      <c r="G2231" t="s">
        <v>15</v>
      </c>
      <c r="H2231">
        <v>17000000</v>
      </c>
      <c r="I2231">
        <v>6</v>
      </c>
      <c r="J2231" t="s">
        <v>9238</v>
      </c>
    </row>
    <row r="2232" spans="1:10" x14ac:dyDescent="0.3">
      <c r="A2232">
        <v>122</v>
      </c>
      <c r="B2232">
        <v>6855137</v>
      </c>
      <c r="C2232" t="s">
        <v>164</v>
      </c>
      <c r="D2232" t="s">
        <v>5122</v>
      </c>
      <c r="E2232" t="s">
        <v>5123</v>
      </c>
      <c r="F2232" t="s">
        <v>7</v>
      </c>
      <c r="G2232" t="s">
        <v>284</v>
      </c>
      <c r="H2232">
        <v>17000000</v>
      </c>
      <c r="I2232">
        <v>6.1</v>
      </c>
      <c r="J2232" t="s">
        <v>9239</v>
      </c>
    </row>
    <row r="2233" spans="1:10" x14ac:dyDescent="0.3">
      <c r="A2233">
        <v>97</v>
      </c>
      <c r="B2233">
        <v>2315683</v>
      </c>
      <c r="C2233" t="s">
        <v>5124</v>
      </c>
      <c r="D2233" t="s">
        <v>5125</v>
      </c>
      <c r="E2233" t="s">
        <v>5126</v>
      </c>
      <c r="F2233" t="s">
        <v>7</v>
      </c>
      <c r="G2233" t="s">
        <v>15</v>
      </c>
      <c r="H2233">
        <v>17000000</v>
      </c>
      <c r="I2233">
        <v>4.8</v>
      </c>
      <c r="J2233" t="s">
        <v>8570</v>
      </c>
    </row>
    <row r="2234" spans="1:10" x14ac:dyDescent="0.3">
      <c r="A2234">
        <v>110</v>
      </c>
      <c r="B2234">
        <v>39825798</v>
      </c>
      <c r="C2234" t="s">
        <v>1356</v>
      </c>
      <c r="D2234" t="s">
        <v>5127</v>
      </c>
      <c r="E2234" t="s">
        <v>5128</v>
      </c>
      <c r="F2234" t="s">
        <v>7</v>
      </c>
      <c r="G2234" t="s">
        <v>8</v>
      </c>
      <c r="H2234">
        <v>16000000</v>
      </c>
      <c r="I2234">
        <v>6.2</v>
      </c>
      <c r="J2234" t="s">
        <v>8689</v>
      </c>
    </row>
    <row r="2235" spans="1:10" x14ac:dyDescent="0.3">
      <c r="A2235">
        <v>102</v>
      </c>
      <c r="B2235">
        <v>2000000</v>
      </c>
      <c r="C2235" t="s">
        <v>3642</v>
      </c>
      <c r="D2235" t="s">
        <v>5129</v>
      </c>
      <c r="E2235" t="s">
        <v>5130</v>
      </c>
      <c r="F2235" t="s">
        <v>7</v>
      </c>
      <c r="G2235" t="s">
        <v>8</v>
      </c>
      <c r="H2235">
        <v>17000000</v>
      </c>
      <c r="I2235">
        <v>7.5</v>
      </c>
      <c r="J2235" t="s">
        <v>8989</v>
      </c>
    </row>
    <row r="2236" spans="1:10" x14ac:dyDescent="0.3">
      <c r="A2236">
        <v>98</v>
      </c>
      <c r="B2236">
        <v>1569918</v>
      </c>
      <c r="C2236" t="s">
        <v>2384</v>
      </c>
      <c r="D2236" t="s">
        <v>5131</v>
      </c>
      <c r="E2236" t="s">
        <v>5132</v>
      </c>
      <c r="F2236" t="s">
        <v>7</v>
      </c>
      <c r="G2236" t="s">
        <v>3376</v>
      </c>
      <c r="H2236">
        <v>17000000</v>
      </c>
      <c r="I2236">
        <v>6.3</v>
      </c>
      <c r="J2236" t="s">
        <v>9240</v>
      </c>
    </row>
    <row r="2237" spans="1:10" x14ac:dyDescent="0.3">
      <c r="A2237">
        <v>120</v>
      </c>
      <c r="B2237">
        <v>106869</v>
      </c>
      <c r="C2237" t="s">
        <v>2211</v>
      </c>
      <c r="D2237" t="s">
        <v>5133</v>
      </c>
      <c r="E2237" t="s">
        <v>5134</v>
      </c>
      <c r="F2237" t="s">
        <v>7</v>
      </c>
      <c r="G2237" t="s">
        <v>583</v>
      </c>
      <c r="H2237">
        <v>17000000</v>
      </c>
      <c r="I2237">
        <v>7.1</v>
      </c>
      <c r="J2237" t="s">
        <v>8413</v>
      </c>
    </row>
    <row r="2238" spans="1:10" x14ac:dyDescent="0.3">
      <c r="A2238">
        <v>160</v>
      </c>
      <c r="B2238">
        <v>273420</v>
      </c>
      <c r="C2238" t="s">
        <v>5135</v>
      </c>
      <c r="D2238" t="s">
        <v>5136</v>
      </c>
      <c r="E2238" t="s">
        <v>5137</v>
      </c>
      <c r="F2238" t="s">
        <v>7</v>
      </c>
      <c r="G2238" t="s">
        <v>583</v>
      </c>
      <c r="H2238">
        <v>17000000</v>
      </c>
      <c r="I2238">
        <v>6.6</v>
      </c>
      <c r="J2238" t="s">
        <v>8295</v>
      </c>
    </row>
    <row r="2239" spans="1:10" x14ac:dyDescent="0.3">
      <c r="A2239">
        <v>83</v>
      </c>
      <c r="B2239">
        <v>4930798</v>
      </c>
      <c r="C2239" t="s">
        <v>2324</v>
      </c>
      <c r="D2239" t="s">
        <v>5139</v>
      </c>
      <c r="E2239" t="s">
        <v>5140</v>
      </c>
      <c r="F2239" t="s">
        <v>7</v>
      </c>
      <c r="G2239" t="s">
        <v>8</v>
      </c>
      <c r="H2239">
        <v>17000000</v>
      </c>
      <c r="I2239">
        <v>6.1</v>
      </c>
      <c r="J2239" t="s">
        <v>8675</v>
      </c>
    </row>
    <row r="2240" spans="1:10" x14ac:dyDescent="0.3">
      <c r="A2240">
        <v>102</v>
      </c>
      <c r="B2240">
        <v>59847242</v>
      </c>
      <c r="C2240" t="s">
        <v>3842</v>
      </c>
      <c r="D2240" t="s">
        <v>5141</v>
      </c>
      <c r="E2240" t="s">
        <v>5142</v>
      </c>
      <c r="F2240" t="s">
        <v>7</v>
      </c>
      <c r="G2240" t="s">
        <v>8</v>
      </c>
      <c r="H2240">
        <v>16500000</v>
      </c>
      <c r="I2240">
        <v>6.7</v>
      </c>
      <c r="J2240" t="s">
        <v>8680</v>
      </c>
    </row>
    <row r="2241" spans="1:10" x14ac:dyDescent="0.3">
      <c r="A2241">
        <v>122</v>
      </c>
      <c r="B2241">
        <v>220914</v>
      </c>
      <c r="C2241" t="s">
        <v>2663</v>
      </c>
      <c r="D2241" t="s">
        <v>5143</v>
      </c>
      <c r="E2241" t="s">
        <v>5144</v>
      </c>
      <c r="F2241" t="s">
        <v>7</v>
      </c>
      <c r="G2241" t="s">
        <v>8</v>
      </c>
      <c r="H2241">
        <v>16800000</v>
      </c>
      <c r="I2241">
        <v>5.6</v>
      </c>
      <c r="J2241" t="s">
        <v>8493</v>
      </c>
    </row>
    <row r="2242" spans="1:10" x14ac:dyDescent="0.3">
      <c r="A2242">
        <v>126</v>
      </c>
      <c r="B2242">
        <v>43848100</v>
      </c>
      <c r="C2242" t="s">
        <v>786</v>
      </c>
      <c r="D2242" t="s">
        <v>5145</v>
      </c>
      <c r="E2242" t="s">
        <v>5146</v>
      </c>
      <c r="F2242" t="s">
        <v>7</v>
      </c>
      <c r="G2242" t="s">
        <v>8</v>
      </c>
      <c r="H2242">
        <v>15000000</v>
      </c>
      <c r="I2242">
        <v>7.2</v>
      </c>
      <c r="J2242" t="s">
        <v>8351</v>
      </c>
    </row>
    <row r="2243" spans="1:10" x14ac:dyDescent="0.3">
      <c r="A2243">
        <v>136</v>
      </c>
      <c r="B2243">
        <v>42700000</v>
      </c>
      <c r="C2243" t="s">
        <v>73</v>
      </c>
      <c r="D2243" t="s">
        <v>5147</v>
      </c>
      <c r="E2243" t="s">
        <v>5148</v>
      </c>
      <c r="F2243" t="s">
        <v>7</v>
      </c>
      <c r="G2243" t="s">
        <v>8</v>
      </c>
      <c r="H2243">
        <v>16500000</v>
      </c>
      <c r="I2243">
        <v>4.3</v>
      </c>
      <c r="J2243" t="s">
        <v>9241</v>
      </c>
    </row>
    <row r="2244" spans="1:10" x14ac:dyDescent="0.3">
      <c r="A2244">
        <v>120</v>
      </c>
      <c r="B2244">
        <v>18663911</v>
      </c>
      <c r="C2244" t="s">
        <v>2663</v>
      </c>
      <c r="D2244" t="s">
        <v>5149</v>
      </c>
      <c r="E2244" t="s">
        <v>5150</v>
      </c>
      <c r="F2244" t="s">
        <v>7</v>
      </c>
      <c r="G2244" t="s">
        <v>15</v>
      </c>
      <c r="H2244">
        <v>16500000</v>
      </c>
      <c r="I2244">
        <v>6.4</v>
      </c>
      <c r="J2244" t="s">
        <v>8445</v>
      </c>
    </row>
    <row r="2245" spans="1:10" x14ac:dyDescent="0.3">
      <c r="A2245">
        <v>108</v>
      </c>
      <c r="B2245">
        <v>11702090</v>
      </c>
      <c r="C2245" t="s">
        <v>672</v>
      </c>
      <c r="D2245" t="s">
        <v>5151</v>
      </c>
      <c r="E2245" t="s">
        <v>5152</v>
      </c>
      <c r="F2245" t="s">
        <v>7</v>
      </c>
      <c r="G2245" t="s">
        <v>8</v>
      </c>
      <c r="H2245">
        <v>16500000</v>
      </c>
      <c r="I2245">
        <v>7.1</v>
      </c>
      <c r="J2245" t="s">
        <v>8784</v>
      </c>
    </row>
    <row r="2246" spans="1:10" x14ac:dyDescent="0.3">
      <c r="A2246">
        <v>126</v>
      </c>
      <c r="B2246">
        <v>13005485</v>
      </c>
      <c r="C2246" t="s">
        <v>1417</v>
      </c>
      <c r="D2246" t="s">
        <v>5153</v>
      </c>
      <c r="E2246" t="s">
        <v>5154</v>
      </c>
      <c r="F2246" t="s">
        <v>7</v>
      </c>
      <c r="G2246" t="s">
        <v>8</v>
      </c>
      <c r="H2246">
        <v>15000000</v>
      </c>
      <c r="I2246">
        <v>6.3</v>
      </c>
      <c r="J2246" t="s">
        <v>9130</v>
      </c>
    </row>
    <row r="2247" spans="1:10" x14ac:dyDescent="0.3">
      <c r="A2247">
        <v>128</v>
      </c>
      <c r="B2247">
        <v>95860116</v>
      </c>
      <c r="C2247" t="s">
        <v>1040</v>
      </c>
      <c r="D2247" t="s">
        <v>5155</v>
      </c>
      <c r="E2247" t="s">
        <v>5156</v>
      </c>
      <c r="F2247" t="s">
        <v>7</v>
      </c>
      <c r="G2247" t="s">
        <v>8</v>
      </c>
      <c r="H2247">
        <v>16400000</v>
      </c>
      <c r="I2247">
        <v>7.4</v>
      </c>
      <c r="J2247" t="s">
        <v>8989</v>
      </c>
    </row>
    <row r="2248" spans="1:10" x14ac:dyDescent="0.3">
      <c r="A2248">
        <v>113</v>
      </c>
      <c r="B2248">
        <v>127175354</v>
      </c>
      <c r="C2248" t="s">
        <v>668</v>
      </c>
      <c r="D2248" t="s">
        <v>5157</v>
      </c>
      <c r="E2248" t="s">
        <v>5158</v>
      </c>
      <c r="F2248" t="s">
        <v>7</v>
      </c>
      <c r="G2248" t="s">
        <v>8</v>
      </c>
      <c r="H2248">
        <v>16000000</v>
      </c>
      <c r="I2248">
        <v>6.1</v>
      </c>
      <c r="J2248" t="s">
        <v>9242</v>
      </c>
    </row>
    <row r="2249" spans="1:10" x14ac:dyDescent="0.3">
      <c r="A2249">
        <v>89</v>
      </c>
      <c r="B2249">
        <v>92823600</v>
      </c>
      <c r="C2249" t="s">
        <v>561</v>
      </c>
      <c r="D2249" t="s">
        <v>5159</v>
      </c>
      <c r="E2249" t="s">
        <v>5160</v>
      </c>
      <c r="F2249" t="s">
        <v>7</v>
      </c>
      <c r="G2249" t="s">
        <v>8</v>
      </c>
      <c r="H2249">
        <v>16000000</v>
      </c>
      <c r="I2249">
        <v>6.6</v>
      </c>
      <c r="J2249" t="s">
        <v>9106</v>
      </c>
    </row>
    <row r="2250" spans="1:10" x14ac:dyDescent="0.3">
      <c r="A2250">
        <v>129</v>
      </c>
      <c r="B2250">
        <v>54000000</v>
      </c>
      <c r="C2250" t="s">
        <v>1417</v>
      </c>
      <c r="D2250" t="s">
        <v>5161</v>
      </c>
      <c r="E2250" t="s">
        <v>5162</v>
      </c>
      <c r="F2250" t="s">
        <v>7</v>
      </c>
      <c r="G2250" t="s">
        <v>8</v>
      </c>
      <c r="H2250">
        <v>16000000</v>
      </c>
      <c r="I2250">
        <v>6</v>
      </c>
      <c r="J2250" t="s">
        <v>8728</v>
      </c>
    </row>
    <row r="2251" spans="1:10" x14ac:dyDescent="0.3">
      <c r="A2251">
        <v>94</v>
      </c>
      <c r="B2251">
        <v>68525609</v>
      </c>
      <c r="C2251" t="s">
        <v>668</v>
      </c>
      <c r="D2251" t="s">
        <v>5163</v>
      </c>
      <c r="E2251" t="s">
        <v>5164</v>
      </c>
      <c r="F2251" t="s">
        <v>7</v>
      </c>
      <c r="G2251" t="s">
        <v>8</v>
      </c>
      <c r="H2251">
        <v>15600000</v>
      </c>
      <c r="I2251">
        <v>6.8</v>
      </c>
      <c r="J2251" t="s">
        <v>8989</v>
      </c>
    </row>
    <row r="2252" spans="1:10" x14ac:dyDescent="0.3">
      <c r="A2252">
        <v>106</v>
      </c>
      <c r="B2252">
        <v>52885587</v>
      </c>
      <c r="C2252" t="s">
        <v>1872</v>
      </c>
      <c r="D2252" t="s">
        <v>5165</v>
      </c>
      <c r="E2252" t="s">
        <v>5166</v>
      </c>
      <c r="F2252" t="s">
        <v>7</v>
      </c>
      <c r="G2252" t="s">
        <v>8</v>
      </c>
      <c r="H2252">
        <v>16000000</v>
      </c>
      <c r="I2252">
        <v>7.4</v>
      </c>
      <c r="J2252" t="s">
        <v>8482</v>
      </c>
    </row>
    <row r="2253" spans="1:10" x14ac:dyDescent="0.3">
      <c r="A2253">
        <v>100</v>
      </c>
      <c r="B2253">
        <v>44667095</v>
      </c>
      <c r="C2253" t="s">
        <v>561</v>
      </c>
      <c r="D2253" t="s">
        <v>5167</v>
      </c>
      <c r="E2253" t="s">
        <v>5168</v>
      </c>
      <c r="F2253" t="s">
        <v>7</v>
      </c>
      <c r="G2253" t="s">
        <v>583</v>
      </c>
      <c r="H2253">
        <v>15000000</v>
      </c>
      <c r="I2253">
        <v>6.8</v>
      </c>
      <c r="J2253" t="s">
        <v>8327</v>
      </c>
    </row>
    <row r="2254" spans="1:10" x14ac:dyDescent="0.3">
      <c r="A2254">
        <v>89</v>
      </c>
      <c r="B2254">
        <v>42638165</v>
      </c>
      <c r="C2254" t="s">
        <v>859</v>
      </c>
      <c r="D2254" t="s">
        <v>5169</v>
      </c>
      <c r="E2254" t="s">
        <v>5170</v>
      </c>
      <c r="F2254" t="s">
        <v>7</v>
      </c>
      <c r="G2254" t="s">
        <v>8</v>
      </c>
      <c r="H2254">
        <v>16000000</v>
      </c>
      <c r="I2254">
        <v>7.2</v>
      </c>
      <c r="J2254" t="s">
        <v>8899</v>
      </c>
    </row>
    <row r="2255" spans="1:10" x14ac:dyDescent="0.3">
      <c r="A2255">
        <v>94</v>
      </c>
      <c r="B2255">
        <v>45507053</v>
      </c>
      <c r="C2255" t="s">
        <v>4797</v>
      </c>
      <c r="D2255" t="s">
        <v>5171</v>
      </c>
      <c r="E2255" t="s">
        <v>5172</v>
      </c>
      <c r="F2255" t="s">
        <v>7</v>
      </c>
      <c r="G2255" t="s">
        <v>8</v>
      </c>
      <c r="H2255">
        <v>16000000</v>
      </c>
      <c r="I2255">
        <v>1.9</v>
      </c>
      <c r="J2255" t="s">
        <v>9243</v>
      </c>
    </row>
    <row r="2256" spans="1:10" x14ac:dyDescent="0.3">
      <c r="A2256">
        <v>83</v>
      </c>
      <c r="B2256">
        <v>39511038</v>
      </c>
      <c r="C2256" t="s">
        <v>2701</v>
      </c>
      <c r="D2256" t="s">
        <v>5173</v>
      </c>
      <c r="E2256" t="s">
        <v>5174</v>
      </c>
      <c r="F2256" t="s">
        <v>7</v>
      </c>
      <c r="G2256" t="s">
        <v>8</v>
      </c>
      <c r="H2256">
        <v>16000000</v>
      </c>
      <c r="I2256">
        <v>5.5</v>
      </c>
      <c r="J2256" t="s">
        <v>8536</v>
      </c>
    </row>
    <row r="2257" spans="1:10" x14ac:dyDescent="0.3">
      <c r="A2257">
        <v>111</v>
      </c>
      <c r="B2257">
        <v>6462576</v>
      </c>
      <c r="C2257" t="s">
        <v>1417</v>
      </c>
      <c r="D2257" t="s">
        <v>5175</v>
      </c>
      <c r="E2257" t="s">
        <v>5176</v>
      </c>
      <c r="F2257" t="s">
        <v>7</v>
      </c>
      <c r="G2257" t="s">
        <v>8</v>
      </c>
      <c r="H2257">
        <v>18500000</v>
      </c>
      <c r="I2257">
        <v>4.5</v>
      </c>
      <c r="J2257" t="s">
        <v>8536</v>
      </c>
    </row>
    <row r="2258" spans="1:10" x14ac:dyDescent="0.3">
      <c r="A2258">
        <v>80</v>
      </c>
      <c r="B2258">
        <v>40363530</v>
      </c>
      <c r="C2258" t="s">
        <v>1261</v>
      </c>
      <c r="D2258" t="s">
        <v>5177</v>
      </c>
      <c r="E2258" t="s">
        <v>5178</v>
      </c>
      <c r="F2258" t="s">
        <v>7</v>
      </c>
      <c r="G2258" t="s">
        <v>8</v>
      </c>
      <c r="H2258">
        <v>16000000</v>
      </c>
      <c r="I2258">
        <v>6.3</v>
      </c>
      <c r="J2258" t="s">
        <v>8615</v>
      </c>
    </row>
    <row r="2259" spans="1:10" x14ac:dyDescent="0.3">
      <c r="A2259">
        <v>112</v>
      </c>
      <c r="B2259">
        <v>37623143</v>
      </c>
      <c r="C2259" t="s">
        <v>5179</v>
      </c>
      <c r="D2259" t="s">
        <v>5180</v>
      </c>
      <c r="E2259" t="s">
        <v>5181</v>
      </c>
      <c r="F2259" t="s">
        <v>1146</v>
      </c>
      <c r="G2259" t="s">
        <v>1488</v>
      </c>
      <c r="H2259">
        <v>13500000</v>
      </c>
      <c r="I2259">
        <v>7</v>
      </c>
      <c r="J2259" t="s">
        <v>8520</v>
      </c>
    </row>
    <row r="2260" spans="1:10" x14ac:dyDescent="0.3">
      <c r="A2260">
        <v>94</v>
      </c>
      <c r="B2260">
        <v>33357476</v>
      </c>
      <c r="C2260" t="s">
        <v>5182</v>
      </c>
      <c r="D2260" t="s">
        <v>5183</v>
      </c>
      <c r="E2260" t="s">
        <v>5184</v>
      </c>
      <c r="F2260" t="s">
        <v>7</v>
      </c>
      <c r="G2260" t="s">
        <v>8</v>
      </c>
      <c r="H2260">
        <v>35000000</v>
      </c>
      <c r="I2260">
        <v>6.7</v>
      </c>
      <c r="J2260" t="s">
        <v>8895</v>
      </c>
    </row>
    <row r="2261" spans="1:10" x14ac:dyDescent="0.3">
      <c r="A2261">
        <v>130</v>
      </c>
      <c r="B2261">
        <v>28734552</v>
      </c>
      <c r="C2261" t="s">
        <v>2211</v>
      </c>
      <c r="D2261" t="s">
        <v>5185</v>
      </c>
      <c r="E2261" t="s">
        <v>5186</v>
      </c>
      <c r="F2261" t="s">
        <v>7</v>
      </c>
      <c r="G2261" t="s">
        <v>8</v>
      </c>
      <c r="H2261">
        <v>16000000</v>
      </c>
      <c r="I2261">
        <v>2.8</v>
      </c>
      <c r="J2261" t="s">
        <v>9244</v>
      </c>
    </row>
    <row r="2262" spans="1:10" x14ac:dyDescent="0.3">
      <c r="A2262">
        <v>91</v>
      </c>
      <c r="B2262">
        <v>37300107</v>
      </c>
      <c r="C2262" t="s">
        <v>1834</v>
      </c>
      <c r="D2262" t="s">
        <v>5187</v>
      </c>
      <c r="E2262" t="s">
        <v>5188</v>
      </c>
      <c r="F2262" t="s">
        <v>7</v>
      </c>
      <c r="G2262" t="s">
        <v>8</v>
      </c>
      <c r="H2262">
        <v>16000000</v>
      </c>
      <c r="I2262">
        <v>5</v>
      </c>
      <c r="J2262" t="s">
        <v>9245</v>
      </c>
    </row>
    <row r="2263" spans="1:10" x14ac:dyDescent="0.3">
      <c r="A2263">
        <v>110</v>
      </c>
      <c r="B2263">
        <v>30102717</v>
      </c>
      <c r="C2263" t="s">
        <v>1901</v>
      </c>
      <c r="D2263" t="s">
        <v>5189</v>
      </c>
      <c r="E2263" t="s">
        <v>5190</v>
      </c>
      <c r="F2263" t="s">
        <v>7</v>
      </c>
      <c r="G2263" t="s">
        <v>8</v>
      </c>
      <c r="H2263">
        <v>15000000</v>
      </c>
      <c r="I2263">
        <v>4.3</v>
      </c>
      <c r="J2263" t="s">
        <v>8788</v>
      </c>
    </row>
    <row r="2264" spans="1:10" x14ac:dyDescent="0.3">
      <c r="A2264">
        <v>121</v>
      </c>
      <c r="B2264">
        <v>23618786</v>
      </c>
      <c r="C2264" t="s">
        <v>5191</v>
      </c>
      <c r="D2264" t="s">
        <v>5192</v>
      </c>
      <c r="E2264" t="s">
        <v>5193</v>
      </c>
      <c r="F2264" t="s">
        <v>7</v>
      </c>
      <c r="G2264" t="s">
        <v>15</v>
      </c>
      <c r="H2264">
        <v>8000000</v>
      </c>
      <c r="I2264">
        <v>5.6</v>
      </c>
      <c r="J2264" t="s">
        <v>8716</v>
      </c>
    </row>
    <row r="2265" spans="1:10" x14ac:dyDescent="0.3">
      <c r="A2265">
        <v>114</v>
      </c>
      <c r="B2265">
        <v>26896744</v>
      </c>
      <c r="C2265" t="s">
        <v>1040</v>
      </c>
      <c r="D2265" t="s">
        <v>5194</v>
      </c>
      <c r="E2265" t="s">
        <v>5195</v>
      </c>
      <c r="F2265" t="s">
        <v>7</v>
      </c>
      <c r="G2265" t="s">
        <v>8</v>
      </c>
      <c r="H2265">
        <v>16500000</v>
      </c>
      <c r="I2265">
        <v>6.2</v>
      </c>
      <c r="J2265" t="s">
        <v>9246</v>
      </c>
    </row>
    <row r="2266" spans="1:10" x14ac:dyDescent="0.3">
      <c r="A2266">
        <v>96</v>
      </c>
      <c r="B2266">
        <v>23213577</v>
      </c>
      <c r="C2266" t="s">
        <v>73</v>
      </c>
      <c r="D2266" t="s">
        <v>5196</v>
      </c>
      <c r="E2266" t="s">
        <v>5197</v>
      </c>
      <c r="F2266" t="s">
        <v>7</v>
      </c>
      <c r="G2266" t="s">
        <v>1488</v>
      </c>
      <c r="H2266">
        <v>15500000</v>
      </c>
      <c r="I2266">
        <v>5.3</v>
      </c>
      <c r="J2266" t="s">
        <v>9095</v>
      </c>
    </row>
    <row r="2267" spans="1:10" x14ac:dyDescent="0.3">
      <c r="A2267">
        <v>94</v>
      </c>
      <c r="B2267">
        <v>20627372</v>
      </c>
      <c r="C2267" t="s">
        <v>561</v>
      </c>
      <c r="D2267" t="s">
        <v>5200</v>
      </c>
      <c r="E2267" t="s">
        <v>5201</v>
      </c>
      <c r="F2267" t="s">
        <v>7</v>
      </c>
      <c r="G2267" t="s">
        <v>8</v>
      </c>
      <c r="H2267">
        <v>16000000</v>
      </c>
      <c r="I2267">
        <v>7.4</v>
      </c>
      <c r="J2267" t="s">
        <v>9247</v>
      </c>
    </row>
    <row r="2268" spans="1:10" x14ac:dyDescent="0.3">
      <c r="A2268">
        <v>109</v>
      </c>
      <c r="B2268">
        <v>16346122</v>
      </c>
      <c r="C2268" t="s">
        <v>1417</v>
      </c>
      <c r="D2268" t="s">
        <v>5202</v>
      </c>
      <c r="E2268" t="s">
        <v>5203</v>
      </c>
      <c r="F2268" t="s">
        <v>7</v>
      </c>
      <c r="G2268" t="s">
        <v>8</v>
      </c>
      <c r="H2268">
        <v>16000000</v>
      </c>
      <c r="I2268">
        <v>7.4</v>
      </c>
      <c r="J2268" t="s">
        <v>9248</v>
      </c>
    </row>
    <row r="2269" spans="1:10" x14ac:dyDescent="0.3">
      <c r="A2269">
        <v>107</v>
      </c>
      <c r="B2269">
        <v>16204793</v>
      </c>
      <c r="C2269" t="s">
        <v>334</v>
      </c>
      <c r="D2269" t="s">
        <v>5204</v>
      </c>
      <c r="E2269" t="s">
        <v>5205</v>
      </c>
      <c r="F2269" t="s">
        <v>7</v>
      </c>
      <c r="G2269" t="s">
        <v>8</v>
      </c>
      <c r="H2269">
        <v>16000000</v>
      </c>
      <c r="I2269">
        <v>6.5</v>
      </c>
      <c r="J2269" t="s">
        <v>8764</v>
      </c>
    </row>
    <row r="2270" spans="1:10" x14ac:dyDescent="0.3">
      <c r="A2270">
        <v>96</v>
      </c>
      <c r="B2270">
        <v>15427192</v>
      </c>
      <c r="C2270" t="s">
        <v>5206</v>
      </c>
      <c r="D2270" t="s">
        <v>5207</v>
      </c>
      <c r="E2270" t="s">
        <v>5208</v>
      </c>
      <c r="F2270" t="s">
        <v>7</v>
      </c>
      <c r="G2270" t="s">
        <v>8</v>
      </c>
      <c r="H2270">
        <v>16000000</v>
      </c>
      <c r="I2270">
        <v>7.1</v>
      </c>
      <c r="J2270" t="s">
        <v>9069</v>
      </c>
    </row>
    <row r="2271" spans="1:10" x14ac:dyDescent="0.3">
      <c r="A2271">
        <v>88</v>
      </c>
      <c r="B2271">
        <v>14792779</v>
      </c>
      <c r="C2271" t="s">
        <v>668</v>
      </c>
      <c r="D2271" t="s">
        <v>5209</v>
      </c>
      <c r="E2271" t="s">
        <v>5210</v>
      </c>
      <c r="F2271" t="s">
        <v>7</v>
      </c>
      <c r="G2271" t="s">
        <v>8</v>
      </c>
      <c r="H2271">
        <v>16000000</v>
      </c>
      <c r="I2271">
        <v>7.2</v>
      </c>
      <c r="J2271" t="s">
        <v>8371</v>
      </c>
    </row>
    <row r="2272" spans="1:10" x14ac:dyDescent="0.3">
      <c r="A2272">
        <v>113</v>
      </c>
      <c r="B2272">
        <v>19057024</v>
      </c>
      <c r="C2272" t="s">
        <v>73</v>
      </c>
      <c r="D2272" t="s">
        <v>5211</v>
      </c>
      <c r="E2272" t="s">
        <v>5212</v>
      </c>
      <c r="F2272" t="s">
        <v>7</v>
      </c>
      <c r="G2272" t="s">
        <v>8</v>
      </c>
      <c r="H2272">
        <v>16000000</v>
      </c>
      <c r="I2272">
        <v>2.2999999999999998</v>
      </c>
      <c r="J2272" t="s">
        <v>8681</v>
      </c>
    </row>
    <row r="2273" spans="1:10" x14ac:dyDescent="0.3">
      <c r="A2273">
        <v>101</v>
      </c>
      <c r="B2273">
        <v>14108518</v>
      </c>
      <c r="C2273" t="s">
        <v>561</v>
      </c>
      <c r="D2273" t="s">
        <v>5213</v>
      </c>
      <c r="E2273" t="s">
        <v>5214</v>
      </c>
      <c r="F2273" t="s">
        <v>7</v>
      </c>
      <c r="G2273" t="s">
        <v>8</v>
      </c>
      <c r="H2273">
        <v>16000000</v>
      </c>
      <c r="I2273">
        <v>6.4</v>
      </c>
      <c r="J2273" t="s">
        <v>9065</v>
      </c>
    </row>
    <row r="2274" spans="1:10" x14ac:dyDescent="0.3">
      <c r="A2274">
        <v>105</v>
      </c>
      <c r="B2274">
        <v>13854000</v>
      </c>
      <c r="C2274" t="s">
        <v>1016</v>
      </c>
      <c r="D2274" t="s">
        <v>5215</v>
      </c>
      <c r="E2274" t="s">
        <v>5216</v>
      </c>
      <c r="F2274" t="s">
        <v>7</v>
      </c>
      <c r="G2274" t="s">
        <v>8</v>
      </c>
      <c r="H2274">
        <v>20000000</v>
      </c>
      <c r="I2274">
        <v>6.1</v>
      </c>
      <c r="J2274" t="s">
        <v>9249</v>
      </c>
    </row>
    <row r="2275" spans="1:10" x14ac:dyDescent="0.3">
      <c r="A2275">
        <v>125</v>
      </c>
      <c r="B2275">
        <v>77324422</v>
      </c>
      <c r="C2275" t="s">
        <v>1417</v>
      </c>
      <c r="D2275" t="s">
        <v>5217</v>
      </c>
      <c r="E2275" t="s">
        <v>5218</v>
      </c>
      <c r="F2275" t="s">
        <v>7</v>
      </c>
      <c r="G2275" t="s">
        <v>8</v>
      </c>
      <c r="H2275">
        <v>26000000</v>
      </c>
      <c r="I2275">
        <v>7</v>
      </c>
      <c r="J2275" t="s">
        <v>9250</v>
      </c>
    </row>
    <row r="2276" spans="1:10" x14ac:dyDescent="0.3">
      <c r="A2276">
        <v>100</v>
      </c>
      <c r="B2276">
        <v>15500000</v>
      </c>
      <c r="C2276" t="s">
        <v>2108</v>
      </c>
      <c r="D2276" t="s">
        <v>5219</v>
      </c>
      <c r="E2276" t="s">
        <v>5220</v>
      </c>
      <c r="F2276" t="s">
        <v>7</v>
      </c>
      <c r="G2276" t="s">
        <v>284</v>
      </c>
      <c r="H2276">
        <v>16000000</v>
      </c>
      <c r="I2276">
        <v>6.5</v>
      </c>
      <c r="J2276" t="s">
        <v>9251</v>
      </c>
    </row>
    <row r="2277" spans="1:10" x14ac:dyDescent="0.3">
      <c r="A2277">
        <v>112</v>
      </c>
      <c r="B2277">
        <v>4734235</v>
      </c>
      <c r="C2277" t="s">
        <v>2312</v>
      </c>
      <c r="D2277" t="s">
        <v>5221</v>
      </c>
      <c r="E2277" t="s">
        <v>5222</v>
      </c>
      <c r="F2277" t="s">
        <v>7</v>
      </c>
      <c r="G2277" t="s">
        <v>8</v>
      </c>
      <c r="H2277">
        <v>15000000</v>
      </c>
      <c r="I2277">
        <v>7</v>
      </c>
      <c r="J2277" t="s">
        <v>9252</v>
      </c>
    </row>
    <row r="2278" spans="1:10" x14ac:dyDescent="0.3">
      <c r="A2278">
        <v>112</v>
      </c>
      <c r="B2278">
        <v>4839383</v>
      </c>
      <c r="C2278" t="s">
        <v>672</v>
      </c>
      <c r="D2278" t="s">
        <v>5223</v>
      </c>
      <c r="E2278" t="s">
        <v>5224</v>
      </c>
      <c r="F2278" t="s">
        <v>7</v>
      </c>
      <c r="G2278" t="s">
        <v>8</v>
      </c>
      <c r="H2278">
        <v>16000000</v>
      </c>
      <c r="I2278">
        <v>7</v>
      </c>
      <c r="J2278" t="s">
        <v>9253</v>
      </c>
    </row>
    <row r="2279" spans="1:10" x14ac:dyDescent="0.3">
      <c r="A2279">
        <v>95</v>
      </c>
      <c r="B2279">
        <v>4193025</v>
      </c>
      <c r="C2279" t="s">
        <v>2708</v>
      </c>
      <c r="D2279" t="s">
        <v>5225</v>
      </c>
      <c r="E2279" t="s">
        <v>5226</v>
      </c>
      <c r="F2279" t="s">
        <v>7</v>
      </c>
      <c r="G2279" t="s">
        <v>8</v>
      </c>
      <c r="H2279">
        <v>15000000</v>
      </c>
      <c r="I2279">
        <v>4.9000000000000004</v>
      </c>
      <c r="J2279" t="s">
        <v>9254</v>
      </c>
    </row>
    <row r="2280" spans="1:10" x14ac:dyDescent="0.3">
      <c r="A2280">
        <v>110</v>
      </c>
      <c r="B2280">
        <v>5900000</v>
      </c>
      <c r="C2280" t="s">
        <v>9</v>
      </c>
      <c r="D2280" t="s">
        <v>5227</v>
      </c>
      <c r="E2280" t="s">
        <v>5228</v>
      </c>
      <c r="F2280" t="s">
        <v>7</v>
      </c>
      <c r="G2280" t="s">
        <v>15</v>
      </c>
      <c r="H2280">
        <v>16000000</v>
      </c>
      <c r="I2280">
        <v>6.9</v>
      </c>
      <c r="J2280" t="s">
        <v>8985</v>
      </c>
    </row>
    <row r="2281" spans="1:10" x14ac:dyDescent="0.3">
      <c r="A2281">
        <v>118</v>
      </c>
      <c r="B2281">
        <v>2849142</v>
      </c>
      <c r="C2281" t="s">
        <v>1417</v>
      </c>
      <c r="D2281" t="s">
        <v>5229</v>
      </c>
      <c r="E2281" t="s">
        <v>5230</v>
      </c>
      <c r="F2281" t="s">
        <v>7</v>
      </c>
      <c r="G2281" t="s">
        <v>8</v>
      </c>
      <c r="H2281">
        <v>16000000</v>
      </c>
      <c r="I2281">
        <v>7.5</v>
      </c>
      <c r="J2281" t="s">
        <v>9255</v>
      </c>
    </row>
    <row r="2282" spans="1:10" x14ac:dyDescent="0.3">
      <c r="A2282">
        <v>97</v>
      </c>
      <c r="B2282">
        <v>1686429</v>
      </c>
      <c r="C2282" t="s">
        <v>5231</v>
      </c>
      <c r="D2282" t="s">
        <v>5232</v>
      </c>
      <c r="E2282" t="s">
        <v>5233</v>
      </c>
      <c r="F2282" t="s">
        <v>7</v>
      </c>
      <c r="G2282" t="s">
        <v>8</v>
      </c>
      <c r="H2282">
        <v>16000000</v>
      </c>
      <c r="I2282">
        <v>8.4</v>
      </c>
      <c r="J2282" t="s">
        <v>8949</v>
      </c>
    </row>
    <row r="2283" spans="1:10" x14ac:dyDescent="0.3">
      <c r="A2283">
        <v>120</v>
      </c>
      <c r="B2283">
        <v>1984743</v>
      </c>
      <c r="C2283" t="s">
        <v>73</v>
      </c>
      <c r="D2283" t="s">
        <v>5234</v>
      </c>
      <c r="E2283" t="s">
        <v>5235</v>
      </c>
      <c r="F2283" t="s">
        <v>7</v>
      </c>
      <c r="G2283" t="s">
        <v>8</v>
      </c>
      <c r="H2283">
        <v>16000000</v>
      </c>
      <c r="I2283">
        <v>6.9</v>
      </c>
      <c r="J2283" t="s">
        <v>8944</v>
      </c>
    </row>
    <row r="2284" spans="1:10" x14ac:dyDescent="0.3">
      <c r="A2284">
        <v>135</v>
      </c>
      <c r="B2284">
        <v>1666262</v>
      </c>
      <c r="C2284" t="s">
        <v>789</v>
      </c>
      <c r="D2284" t="s">
        <v>5236</v>
      </c>
      <c r="E2284" t="s">
        <v>5237</v>
      </c>
      <c r="F2284" t="s">
        <v>7</v>
      </c>
      <c r="G2284" t="s">
        <v>15</v>
      </c>
      <c r="H2284">
        <v>16000000</v>
      </c>
      <c r="I2284">
        <v>4.5</v>
      </c>
      <c r="J2284" t="s">
        <v>9256</v>
      </c>
    </row>
    <row r="2285" spans="1:10" x14ac:dyDescent="0.3">
      <c r="A2285">
        <v>101</v>
      </c>
      <c r="B2285">
        <v>2319187</v>
      </c>
      <c r="C2285" t="s">
        <v>882</v>
      </c>
      <c r="D2285" t="s">
        <v>5238</v>
      </c>
      <c r="E2285" t="s">
        <v>5239</v>
      </c>
      <c r="F2285" t="s">
        <v>7</v>
      </c>
      <c r="G2285" t="s">
        <v>15</v>
      </c>
      <c r="H2285">
        <v>20000000</v>
      </c>
      <c r="I2285">
        <v>7.4</v>
      </c>
      <c r="J2285" t="s">
        <v>9130</v>
      </c>
    </row>
    <row r="2286" spans="1:10" x14ac:dyDescent="0.3">
      <c r="A2286">
        <v>92</v>
      </c>
      <c r="B2286">
        <v>13922211</v>
      </c>
      <c r="C2286" t="s">
        <v>668</v>
      </c>
      <c r="D2286" t="s">
        <v>5240</v>
      </c>
      <c r="E2286" t="s">
        <v>5241</v>
      </c>
      <c r="F2286" t="s">
        <v>7</v>
      </c>
      <c r="G2286" t="s">
        <v>8</v>
      </c>
      <c r="H2286">
        <v>16000000</v>
      </c>
      <c r="I2286">
        <v>7</v>
      </c>
      <c r="J2286" t="s">
        <v>9257</v>
      </c>
    </row>
    <row r="2287" spans="1:10" x14ac:dyDescent="0.3">
      <c r="A2287">
        <v>92</v>
      </c>
      <c r="B2287">
        <v>23091</v>
      </c>
      <c r="C2287" t="s">
        <v>2353</v>
      </c>
      <c r="D2287" t="s">
        <v>5242</v>
      </c>
      <c r="E2287" t="s">
        <v>5243</v>
      </c>
      <c r="F2287" t="s">
        <v>7</v>
      </c>
      <c r="G2287" t="s">
        <v>15</v>
      </c>
      <c r="H2287">
        <v>15000000</v>
      </c>
      <c r="I2287">
        <v>2.8</v>
      </c>
      <c r="J2287" t="s">
        <v>9128</v>
      </c>
    </row>
    <row r="2288" spans="1:10" x14ac:dyDescent="0.3">
      <c r="A2288">
        <v>161</v>
      </c>
      <c r="B2288">
        <v>336467</v>
      </c>
      <c r="C2288" t="s">
        <v>2231</v>
      </c>
      <c r="D2288" t="s">
        <v>5244</v>
      </c>
      <c r="E2288" t="s">
        <v>5245</v>
      </c>
      <c r="F2288" t="s">
        <v>7</v>
      </c>
      <c r="G2288" t="s">
        <v>583</v>
      </c>
      <c r="H2288">
        <v>13000000</v>
      </c>
      <c r="I2288">
        <v>7.5</v>
      </c>
      <c r="J2288" t="s">
        <v>9015</v>
      </c>
    </row>
    <row r="2289" spans="1:10" x14ac:dyDescent="0.3">
      <c r="A2289">
        <v>92</v>
      </c>
      <c r="B2289">
        <v>2964</v>
      </c>
      <c r="C2289" t="s">
        <v>3485</v>
      </c>
      <c r="D2289" t="s">
        <v>5246</v>
      </c>
      <c r="E2289" t="s">
        <v>5247</v>
      </c>
      <c r="F2289" t="s">
        <v>7</v>
      </c>
      <c r="G2289" t="s">
        <v>8</v>
      </c>
      <c r="H2289">
        <v>16000000</v>
      </c>
      <c r="I2289">
        <v>7.1</v>
      </c>
      <c r="J2289" t="s">
        <v>8443</v>
      </c>
    </row>
    <row r="2290" spans="1:10" x14ac:dyDescent="0.3">
      <c r="A2290">
        <v>122</v>
      </c>
      <c r="B2290">
        <v>2428883</v>
      </c>
      <c r="C2290" t="s">
        <v>710</v>
      </c>
      <c r="D2290" t="s">
        <v>5248</v>
      </c>
      <c r="E2290" t="s">
        <v>5249</v>
      </c>
      <c r="F2290" t="s">
        <v>7</v>
      </c>
      <c r="G2290" t="s">
        <v>8</v>
      </c>
      <c r="H2290">
        <v>16000000</v>
      </c>
      <c r="I2290">
        <v>6.4</v>
      </c>
      <c r="J2290" t="s">
        <v>9054</v>
      </c>
    </row>
    <row r="2291" spans="1:10" x14ac:dyDescent="0.3">
      <c r="A2291">
        <v>91</v>
      </c>
      <c r="B2291">
        <v>13571817</v>
      </c>
      <c r="C2291" t="s">
        <v>1872</v>
      </c>
      <c r="D2291" t="s">
        <v>5250</v>
      </c>
      <c r="E2291" t="s">
        <v>5251</v>
      </c>
      <c r="F2291" t="s">
        <v>7</v>
      </c>
      <c r="G2291" t="s">
        <v>8</v>
      </c>
      <c r="H2291">
        <v>15600000</v>
      </c>
      <c r="I2291">
        <v>6.7</v>
      </c>
      <c r="J2291" t="s">
        <v>9258</v>
      </c>
    </row>
    <row r="2292" spans="1:10" x14ac:dyDescent="0.3">
      <c r="A2292">
        <v>93</v>
      </c>
      <c r="B2292">
        <v>1181197</v>
      </c>
      <c r="C2292" t="s">
        <v>780</v>
      </c>
      <c r="D2292" t="s">
        <v>5253</v>
      </c>
      <c r="E2292" t="s">
        <v>5254</v>
      </c>
      <c r="F2292" t="s">
        <v>7</v>
      </c>
      <c r="G2292" t="s">
        <v>8</v>
      </c>
      <c r="H2292">
        <v>15500000</v>
      </c>
      <c r="I2292">
        <v>5.3</v>
      </c>
      <c r="J2292" t="s">
        <v>8618</v>
      </c>
    </row>
    <row r="2293" spans="1:10" x14ac:dyDescent="0.3">
      <c r="A2293">
        <v>94</v>
      </c>
      <c r="B2293">
        <v>81525</v>
      </c>
      <c r="C2293" t="s">
        <v>1480</v>
      </c>
      <c r="D2293" t="s">
        <v>5255</v>
      </c>
      <c r="E2293" t="s">
        <v>5256</v>
      </c>
      <c r="F2293" t="s">
        <v>582</v>
      </c>
      <c r="G2293" t="s">
        <v>583</v>
      </c>
      <c r="H2293">
        <v>15300000</v>
      </c>
      <c r="I2293">
        <v>6.9</v>
      </c>
      <c r="J2293" t="s">
        <v>9259</v>
      </c>
    </row>
    <row r="2294" spans="1:10" x14ac:dyDescent="0.3">
      <c r="A2294">
        <v>95</v>
      </c>
      <c r="B2294">
        <v>7774730</v>
      </c>
      <c r="C2294" t="s">
        <v>5257</v>
      </c>
      <c r="D2294" t="s">
        <v>5258</v>
      </c>
      <c r="E2294" t="s">
        <v>5259</v>
      </c>
      <c r="F2294" t="s">
        <v>7</v>
      </c>
      <c r="G2294" t="s">
        <v>95</v>
      </c>
      <c r="H2294">
        <v>15500000</v>
      </c>
      <c r="I2294">
        <v>6.2</v>
      </c>
      <c r="J2294" t="s">
        <v>9260</v>
      </c>
    </row>
    <row r="2295" spans="1:10" x14ac:dyDescent="0.3">
      <c r="A2295">
        <v>105</v>
      </c>
      <c r="B2295">
        <v>234760500</v>
      </c>
      <c r="C2295" t="s">
        <v>704</v>
      </c>
      <c r="D2295" t="s">
        <v>5260</v>
      </c>
      <c r="E2295" t="s">
        <v>5261</v>
      </c>
      <c r="F2295" t="s">
        <v>7</v>
      </c>
      <c r="G2295" t="s">
        <v>8</v>
      </c>
      <c r="H2295">
        <v>14000000</v>
      </c>
      <c r="I2295">
        <v>6.3</v>
      </c>
      <c r="J2295" t="s">
        <v>9261</v>
      </c>
    </row>
    <row r="2296" spans="1:10" x14ac:dyDescent="0.3">
      <c r="A2296">
        <v>103</v>
      </c>
      <c r="B2296">
        <v>285761243</v>
      </c>
      <c r="C2296" t="s">
        <v>1261</v>
      </c>
      <c r="D2296" t="s">
        <v>5262</v>
      </c>
      <c r="E2296" t="s">
        <v>5263</v>
      </c>
      <c r="F2296" t="s">
        <v>7</v>
      </c>
      <c r="G2296" t="s">
        <v>8</v>
      </c>
      <c r="H2296">
        <v>18000000</v>
      </c>
      <c r="I2296">
        <v>6.4</v>
      </c>
      <c r="J2296" t="s">
        <v>8347</v>
      </c>
    </row>
    <row r="2297" spans="1:10" x14ac:dyDescent="0.3">
      <c r="A2297">
        <v>102</v>
      </c>
      <c r="B2297">
        <v>167780960</v>
      </c>
      <c r="C2297" t="s">
        <v>1641</v>
      </c>
      <c r="D2297" t="s">
        <v>5264</v>
      </c>
      <c r="E2297" t="s">
        <v>5265</v>
      </c>
      <c r="F2297" t="s">
        <v>7</v>
      </c>
      <c r="G2297" t="s">
        <v>8</v>
      </c>
      <c r="H2297">
        <v>11000000</v>
      </c>
      <c r="I2297">
        <v>6.5</v>
      </c>
      <c r="J2297" t="s">
        <v>9230</v>
      </c>
    </row>
    <row r="2298" spans="1:10" x14ac:dyDescent="0.3">
      <c r="A2298">
        <v>116</v>
      </c>
      <c r="B2298">
        <v>177200000</v>
      </c>
      <c r="C2298" t="s">
        <v>561</v>
      </c>
      <c r="D2298" t="s">
        <v>5266</v>
      </c>
      <c r="E2298" t="s">
        <v>5267</v>
      </c>
      <c r="F2298" t="s">
        <v>7</v>
      </c>
      <c r="G2298" t="s">
        <v>8</v>
      </c>
      <c r="H2298">
        <v>22000000</v>
      </c>
      <c r="I2298">
        <v>6</v>
      </c>
      <c r="J2298" t="s">
        <v>8876</v>
      </c>
    </row>
    <row r="2299" spans="1:10" x14ac:dyDescent="0.3">
      <c r="A2299">
        <v>110</v>
      </c>
      <c r="B2299">
        <v>176781728</v>
      </c>
      <c r="C2299" t="s">
        <v>678</v>
      </c>
      <c r="D2299" t="s">
        <v>5268</v>
      </c>
      <c r="E2299" t="s">
        <v>5269</v>
      </c>
      <c r="F2299" t="s">
        <v>7</v>
      </c>
      <c r="G2299" t="s">
        <v>8</v>
      </c>
      <c r="H2299">
        <v>15000000</v>
      </c>
      <c r="I2299">
        <v>5.0999999999999996</v>
      </c>
      <c r="J2299" t="s">
        <v>8913</v>
      </c>
    </row>
    <row r="2300" spans="1:10" x14ac:dyDescent="0.3">
      <c r="A2300">
        <v>120</v>
      </c>
      <c r="B2300">
        <v>128067808</v>
      </c>
      <c r="C2300" t="s">
        <v>678</v>
      </c>
      <c r="D2300" t="s">
        <v>5270</v>
      </c>
      <c r="E2300" t="s">
        <v>5271</v>
      </c>
      <c r="F2300" t="s">
        <v>792</v>
      </c>
      <c r="G2300" t="s">
        <v>5272</v>
      </c>
      <c r="H2300">
        <v>15000000</v>
      </c>
      <c r="I2300">
        <v>5.5</v>
      </c>
      <c r="J2300" t="s">
        <v>9262</v>
      </c>
    </row>
    <row r="2301" spans="1:10" x14ac:dyDescent="0.3">
      <c r="A2301">
        <v>118</v>
      </c>
      <c r="B2301">
        <v>138795342</v>
      </c>
      <c r="C2301" t="s">
        <v>2569</v>
      </c>
      <c r="D2301" t="s">
        <v>5273</v>
      </c>
      <c r="E2301" t="s">
        <v>5274</v>
      </c>
      <c r="F2301" t="s">
        <v>7</v>
      </c>
      <c r="G2301" t="s">
        <v>15</v>
      </c>
      <c r="H2301">
        <v>15000000</v>
      </c>
      <c r="I2301">
        <v>5.4</v>
      </c>
      <c r="J2301" t="s">
        <v>8801</v>
      </c>
    </row>
    <row r="2302" spans="1:10" x14ac:dyDescent="0.3">
      <c r="A2302">
        <v>107</v>
      </c>
      <c r="B2302">
        <v>111936400</v>
      </c>
      <c r="C2302" t="s">
        <v>386</v>
      </c>
      <c r="D2302" t="s">
        <v>5275</v>
      </c>
      <c r="E2302" t="s">
        <v>5276</v>
      </c>
      <c r="F2302" t="s">
        <v>7</v>
      </c>
      <c r="G2302" t="s">
        <v>8</v>
      </c>
      <c r="H2302">
        <v>15000000</v>
      </c>
      <c r="I2302">
        <v>5.7</v>
      </c>
      <c r="J2302" t="s">
        <v>8608</v>
      </c>
    </row>
    <row r="2303" spans="1:10" x14ac:dyDescent="0.3">
      <c r="A2303">
        <v>102</v>
      </c>
      <c r="B2303">
        <v>317040</v>
      </c>
      <c r="C2303" t="s">
        <v>73</v>
      </c>
      <c r="D2303" t="s">
        <v>5277</v>
      </c>
      <c r="E2303" t="s">
        <v>5278</v>
      </c>
      <c r="F2303" t="s">
        <v>7</v>
      </c>
      <c r="G2303" t="s">
        <v>8</v>
      </c>
      <c r="H2303">
        <v>15500000</v>
      </c>
      <c r="I2303">
        <v>5.2</v>
      </c>
      <c r="J2303" t="s">
        <v>9263</v>
      </c>
    </row>
    <row r="2304" spans="1:10" x14ac:dyDescent="0.3">
      <c r="A2304">
        <v>154</v>
      </c>
      <c r="B2304">
        <v>94175854</v>
      </c>
      <c r="C2304" t="s">
        <v>1417</v>
      </c>
      <c r="D2304" t="s">
        <v>5279</v>
      </c>
      <c r="E2304" t="s">
        <v>5280</v>
      </c>
      <c r="F2304" t="s">
        <v>7</v>
      </c>
      <c r="G2304" t="s">
        <v>8</v>
      </c>
      <c r="H2304">
        <v>15000000</v>
      </c>
      <c r="I2304">
        <v>6.2</v>
      </c>
      <c r="J2304" t="s">
        <v>8631</v>
      </c>
    </row>
    <row r="2305" spans="1:10" x14ac:dyDescent="0.3">
      <c r="A2305">
        <v>114</v>
      </c>
      <c r="B2305">
        <v>91121452</v>
      </c>
      <c r="C2305" t="s">
        <v>4168</v>
      </c>
      <c r="D2305" t="s">
        <v>5283</v>
      </c>
      <c r="E2305" t="s">
        <v>5284</v>
      </c>
      <c r="F2305" t="s">
        <v>7</v>
      </c>
      <c r="G2305" t="s">
        <v>15</v>
      </c>
      <c r="H2305">
        <v>14000000</v>
      </c>
      <c r="I2305">
        <v>6.7</v>
      </c>
      <c r="J2305" t="s">
        <v>9264</v>
      </c>
    </row>
    <row r="2306" spans="1:10" x14ac:dyDescent="0.3">
      <c r="A2306">
        <v>109</v>
      </c>
      <c r="B2306">
        <v>69800000</v>
      </c>
      <c r="C2306" t="s">
        <v>2602</v>
      </c>
      <c r="D2306" t="s">
        <v>5285</v>
      </c>
      <c r="E2306" t="s">
        <v>5286</v>
      </c>
      <c r="F2306" t="s">
        <v>7</v>
      </c>
      <c r="G2306" t="s">
        <v>8</v>
      </c>
      <c r="H2306">
        <v>10000000</v>
      </c>
      <c r="I2306">
        <v>5.8</v>
      </c>
      <c r="J2306" t="s">
        <v>9265</v>
      </c>
    </row>
    <row r="2307" spans="1:10" x14ac:dyDescent="0.3">
      <c r="A2307">
        <v>94</v>
      </c>
      <c r="B2307">
        <v>64001297</v>
      </c>
      <c r="C2307" t="s">
        <v>1261</v>
      </c>
      <c r="D2307" t="s">
        <v>5287</v>
      </c>
      <c r="E2307" t="s">
        <v>5288</v>
      </c>
      <c r="F2307" t="s">
        <v>7</v>
      </c>
      <c r="G2307" t="s">
        <v>8</v>
      </c>
      <c r="H2307">
        <v>15000000</v>
      </c>
      <c r="I2307">
        <v>7</v>
      </c>
      <c r="J2307" t="s">
        <v>9266</v>
      </c>
    </row>
    <row r="2308" spans="1:10" x14ac:dyDescent="0.3">
      <c r="A2308">
        <v>100</v>
      </c>
      <c r="B2308">
        <v>71588220</v>
      </c>
      <c r="C2308" t="s">
        <v>3143</v>
      </c>
      <c r="D2308" t="s">
        <v>5289</v>
      </c>
      <c r="E2308" t="s">
        <v>5290</v>
      </c>
      <c r="F2308" t="s">
        <v>7</v>
      </c>
      <c r="G2308" t="s">
        <v>95</v>
      </c>
      <c r="H2308">
        <v>20000000</v>
      </c>
      <c r="I2308">
        <v>4.8</v>
      </c>
      <c r="J2308" t="s">
        <v>9267</v>
      </c>
    </row>
    <row r="2309" spans="1:10" x14ac:dyDescent="0.3">
      <c r="A2309">
        <v>98</v>
      </c>
      <c r="B2309">
        <v>61400000</v>
      </c>
      <c r="C2309" t="s">
        <v>1765</v>
      </c>
      <c r="D2309" t="s">
        <v>5291</v>
      </c>
      <c r="E2309" t="s">
        <v>5292</v>
      </c>
      <c r="F2309" t="s">
        <v>7</v>
      </c>
      <c r="G2309" t="s">
        <v>8</v>
      </c>
      <c r="H2309">
        <v>15000000</v>
      </c>
      <c r="I2309">
        <v>7.2</v>
      </c>
      <c r="J2309" t="s">
        <v>9268</v>
      </c>
    </row>
    <row r="2310" spans="1:10" x14ac:dyDescent="0.3">
      <c r="A2310">
        <v>102</v>
      </c>
      <c r="B2310">
        <v>101978840</v>
      </c>
      <c r="C2310" t="s">
        <v>668</v>
      </c>
      <c r="D2310" t="s">
        <v>5293</v>
      </c>
      <c r="E2310" t="s">
        <v>5294</v>
      </c>
      <c r="F2310" t="s">
        <v>7</v>
      </c>
      <c r="G2310" t="s">
        <v>8</v>
      </c>
      <c r="H2310">
        <v>15000000</v>
      </c>
      <c r="I2310">
        <v>5.6</v>
      </c>
      <c r="J2310" t="s">
        <v>8739</v>
      </c>
    </row>
    <row r="2311" spans="1:10" x14ac:dyDescent="0.3">
      <c r="A2311">
        <v>94</v>
      </c>
      <c r="B2311">
        <v>56437947</v>
      </c>
      <c r="C2311" t="s">
        <v>617</v>
      </c>
      <c r="D2311" t="s">
        <v>5295</v>
      </c>
      <c r="E2311" t="s">
        <v>5296</v>
      </c>
      <c r="F2311" t="s">
        <v>7</v>
      </c>
      <c r="G2311" t="s">
        <v>15</v>
      </c>
      <c r="H2311">
        <v>9800000</v>
      </c>
      <c r="I2311">
        <v>6.4</v>
      </c>
      <c r="J2311" t="s">
        <v>9269</v>
      </c>
    </row>
    <row r="2312" spans="1:10" x14ac:dyDescent="0.3">
      <c r="A2312">
        <v>92</v>
      </c>
      <c r="B2312">
        <v>73326666</v>
      </c>
      <c r="C2312" t="s">
        <v>1149</v>
      </c>
      <c r="D2312" t="s">
        <v>5297</v>
      </c>
      <c r="E2312" t="s">
        <v>5298</v>
      </c>
      <c r="F2312" t="s">
        <v>7</v>
      </c>
      <c r="G2312" t="s">
        <v>8</v>
      </c>
      <c r="H2312">
        <v>15000000</v>
      </c>
      <c r="I2312">
        <v>7.5</v>
      </c>
      <c r="J2312" t="s">
        <v>9181</v>
      </c>
    </row>
    <row r="2313" spans="1:10" x14ac:dyDescent="0.3">
      <c r="A2313">
        <v>113</v>
      </c>
      <c r="B2313">
        <v>55184721</v>
      </c>
      <c r="C2313" t="s">
        <v>1040</v>
      </c>
      <c r="D2313" t="s">
        <v>5299</v>
      </c>
      <c r="E2313" t="s">
        <v>5300</v>
      </c>
      <c r="F2313" t="s">
        <v>7</v>
      </c>
      <c r="G2313" t="s">
        <v>8</v>
      </c>
      <c r="H2313">
        <v>15000000</v>
      </c>
      <c r="I2313">
        <v>7.4</v>
      </c>
      <c r="J2313" t="s">
        <v>9173</v>
      </c>
    </row>
    <row r="2314" spans="1:10" x14ac:dyDescent="0.3">
      <c r="A2314">
        <v>115</v>
      </c>
      <c r="B2314">
        <v>50003300</v>
      </c>
      <c r="C2314" t="s">
        <v>5301</v>
      </c>
      <c r="D2314" t="s">
        <v>5302</v>
      </c>
      <c r="E2314" t="s">
        <v>5303</v>
      </c>
      <c r="F2314" t="s">
        <v>7</v>
      </c>
      <c r="G2314" t="s">
        <v>8</v>
      </c>
      <c r="H2314">
        <v>15000000</v>
      </c>
      <c r="I2314">
        <v>8</v>
      </c>
      <c r="J2314" t="s">
        <v>8553</v>
      </c>
    </row>
    <row r="2315" spans="1:10" x14ac:dyDescent="0.3">
      <c r="A2315">
        <v>95</v>
      </c>
      <c r="B2315">
        <v>54322273</v>
      </c>
      <c r="C2315" t="s">
        <v>340</v>
      </c>
      <c r="D2315" t="s">
        <v>5304</v>
      </c>
      <c r="E2315" t="s">
        <v>5305</v>
      </c>
      <c r="F2315" t="s">
        <v>7</v>
      </c>
      <c r="G2315" t="s">
        <v>15</v>
      </c>
      <c r="H2315">
        <v>17000000</v>
      </c>
      <c r="I2315">
        <v>5.7</v>
      </c>
      <c r="J2315" t="s">
        <v>8854</v>
      </c>
    </row>
    <row r="2316" spans="1:10" x14ac:dyDescent="0.3">
      <c r="A2316">
        <v>87</v>
      </c>
      <c r="B2316">
        <v>47860214</v>
      </c>
      <c r="C2316" t="s">
        <v>2324</v>
      </c>
      <c r="D2316" t="s">
        <v>5306</v>
      </c>
      <c r="E2316" t="s">
        <v>5307</v>
      </c>
      <c r="F2316" t="s">
        <v>7</v>
      </c>
      <c r="G2316" t="s">
        <v>8</v>
      </c>
      <c r="H2316">
        <v>15000000</v>
      </c>
      <c r="I2316">
        <v>6.8</v>
      </c>
      <c r="J2316" t="s">
        <v>8670</v>
      </c>
    </row>
    <row r="2317" spans="1:10" x14ac:dyDescent="0.3">
      <c r="A2317">
        <v>88</v>
      </c>
      <c r="B2317">
        <v>47811275</v>
      </c>
      <c r="C2317" t="s">
        <v>976</v>
      </c>
      <c r="D2317" t="s">
        <v>5308</v>
      </c>
      <c r="E2317" t="s">
        <v>5309</v>
      </c>
      <c r="F2317" t="s">
        <v>7</v>
      </c>
      <c r="G2317" t="s">
        <v>8</v>
      </c>
      <c r="H2317">
        <v>15000000</v>
      </c>
      <c r="I2317">
        <v>5.9</v>
      </c>
      <c r="J2317" t="s">
        <v>9270</v>
      </c>
    </row>
    <row r="2318" spans="1:10" x14ac:dyDescent="0.3">
      <c r="A2318">
        <v>97</v>
      </c>
      <c r="B2318">
        <v>43022524</v>
      </c>
      <c r="C2318" t="s">
        <v>1040</v>
      </c>
      <c r="D2318" t="s">
        <v>5310</v>
      </c>
      <c r="E2318" t="s">
        <v>5311</v>
      </c>
      <c r="F2318" t="s">
        <v>7</v>
      </c>
      <c r="G2318" t="s">
        <v>8</v>
      </c>
      <c r="H2318">
        <v>15000000</v>
      </c>
      <c r="I2318">
        <v>7.2</v>
      </c>
      <c r="J2318" t="s">
        <v>8841</v>
      </c>
    </row>
    <row r="2319" spans="1:10" x14ac:dyDescent="0.3">
      <c r="A2319">
        <v>94</v>
      </c>
      <c r="B2319">
        <v>42672630</v>
      </c>
      <c r="C2319" t="s">
        <v>5312</v>
      </c>
      <c r="D2319" t="s">
        <v>5313</v>
      </c>
      <c r="E2319" t="s">
        <v>5314</v>
      </c>
      <c r="F2319" t="s">
        <v>7</v>
      </c>
      <c r="G2319" t="s">
        <v>8</v>
      </c>
      <c r="H2319">
        <v>17000000</v>
      </c>
      <c r="I2319">
        <v>5.5</v>
      </c>
      <c r="J2319" t="s">
        <v>9210</v>
      </c>
    </row>
    <row r="2320" spans="1:10" x14ac:dyDescent="0.3">
      <c r="A2320">
        <v>112</v>
      </c>
      <c r="B2320">
        <v>42919096</v>
      </c>
      <c r="C2320" t="s">
        <v>351</v>
      </c>
      <c r="D2320" t="s">
        <v>5315</v>
      </c>
      <c r="E2320" t="s">
        <v>5316</v>
      </c>
      <c r="F2320" t="s">
        <v>7</v>
      </c>
      <c r="G2320" t="s">
        <v>8</v>
      </c>
      <c r="H2320">
        <v>15000000</v>
      </c>
      <c r="I2320">
        <v>8.4</v>
      </c>
      <c r="J2320" t="s">
        <v>8621</v>
      </c>
    </row>
    <row r="2321" spans="1:10" x14ac:dyDescent="0.3">
      <c r="A2321">
        <v>98</v>
      </c>
      <c r="B2321">
        <v>42592530</v>
      </c>
      <c r="C2321" t="s">
        <v>334</v>
      </c>
      <c r="D2321" t="s">
        <v>5317</v>
      </c>
      <c r="E2321" t="s">
        <v>5318</v>
      </c>
      <c r="F2321" t="s">
        <v>7</v>
      </c>
      <c r="G2321" t="s">
        <v>8</v>
      </c>
      <c r="H2321">
        <v>15000000</v>
      </c>
      <c r="I2321">
        <v>8.5</v>
      </c>
      <c r="J2321" t="s">
        <v>8337</v>
      </c>
    </row>
    <row r="2322" spans="1:10" x14ac:dyDescent="0.3">
      <c r="A2322">
        <v>104</v>
      </c>
      <c r="B2322">
        <v>40064955</v>
      </c>
      <c r="C2322" t="s">
        <v>2978</v>
      </c>
      <c r="D2322" t="s">
        <v>5319</v>
      </c>
      <c r="E2322" t="s">
        <v>5320</v>
      </c>
      <c r="F2322" t="s">
        <v>7</v>
      </c>
      <c r="G2322" t="s">
        <v>8</v>
      </c>
      <c r="H2322">
        <v>15000000</v>
      </c>
      <c r="I2322">
        <v>5.6</v>
      </c>
      <c r="J2322" t="s">
        <v>8871</v>
      </c>
    </row>
    <row r="2323" spans="1:10" x14ac:dyDescent="0.3">
      <c r="A2323">
        <v>120</v>
      </c>
      <c r="B2323">
        <v>44886089</v>
      </c>
      <c r="C2323" t="s">
        <v>873</v>
      </c>
      <c r="D2323" t="s">
        <v>5321</v>
      </c>
      <c r="E2323" t="s">
        <v>5322</v>
      </c>
      <c r="F2323" t="s">
        <v>7</v>
      </c>
      <c r="G2323" t="s">
        <v>8</v>
      </c>
      <c r="H2323">
        <v>10000000</v>
      </c>
      <c r="I2323">
        <v>4.0999999999999996</v>
      </c>
      <c r="J2323" t="s">
        <v>9088</v>
      </c>
    </row>
    <row r="2324" spans="1:10" x14ac:dyDescent="0.3">
      <c r="A2324">
        <v>99</v>
      </c>
      <c r="B2324">
        <v>37882551</v>
      </c>
      <c r="C2324" t="s">
        <v>668</v>
      </c>
      <c r="D2324" t="s">
        <v>5323</v>
      </c>
      <c r="E2324" t="s">
        <v>5324</v>
      </c>
      <c r="F2324" t="s">
        <v>7</v>
      </c>
      <c r="G2324" t="s">
        <v>8</v>
      </c>
      <c r="H2324">
        <v>16000000</v>
      </c>
      <c r="I2324">
        <v>5</v>
      </c>
      <c r="J2324" t="s">
        <v>9271</v>
      </c>
    </row>
    <row r="2325" spans="1:10" x14ac:dyDescent="0.3">
      <c r="A2325">
        <v>109</v>
      </c>
      <c r="B2325">
        <v>40983001</v>
      </c>
      <c r="C2325" t="s">
        <v>873</v>
      </c>
      <c r="D2325" t="s">
        <v>5325</v>
      </c>
      <c r="E2325" t="s">
        <v>5326</v>
      </c>
      <c r="F2325" t="s">
        <v>7</v>
      </c>
      <c r="G2325" t="s">
        <v>8</v>
      </c>
      <c r="H2325">
        <v>7000000</v>
      </c>
      <c r="I2325">
        <v>6.1</v>
      </c>
      <c r="J2325" t="s">
        <v>8636</v>
      </c>
    </row>
    <row r="2326" spans="1:10" x14ac:dyDescent="0.3">
      <c r="A2326">
        <v>106</v>
      </c>
      <c r="B2326">
        <v>35007180</v>
      </c>
      <c r="C2326" t="s">
        <v>164</v>
      </c>
      <c r="D2326" t="s">
        <v>5327</v>
      </c>
      <c r="E2326" t="s">
        <v>5328</v>
      </c>
      <c r="F2326" t="s">
        <v>7</v>
      </c>
      <c r="G2326" t="s">
        <v>8</v>
      </c>
      <c r="H2326">
        <v>15000000</v>
      </c>
      <c r="I2326">
        <v>5.4</v>
      </c>
      <c r="J2326" t="s">
        <v>8374</v>
      </c>
    </row>
    <row r="2327" spans="1:10" x14ac:dyDescent="0.3">
      <c r="A2327">
        <v>123</v>
      </c>
      <c r="B2327">
        <v>35887263</v>
      </c>
      <c r="C2327" t="s">
        <v>2663</v>
      </c>
      <c r="D2327" t="s">
        <v>5329</v>
      </c>
      <c r="E2327" t="s">
        <v>5330</v>
      </c>
      <c r="F2327" t="s">
        <v>7</v>
      </c>
      <c r="G2327" t="s">
        <v>15</v>
      </c>
      <c r="H2327">
        <v>15000000</v>
      </c>
      <c r="I2327">
        <v>7.1</v>
      </c>
      <c r="J2327" t="s">
        <v>8392</v>
      </c>
    </row>
    <row r="2328" spans="1:10" x14ac:dyDescent="0.3">
      <c r="A2328">
        <v>120</v>
      </c>
      <c r="B2328">
        <v>33771174</v>
      </c>
      <c r="C2328" t="s">
        <v>561</v>
      </c>
      <c r="D2328" t="s">
        <v>5331</v>
      </c>
      <c r="E2328" t="s">
        <v>5332</v>
      </c>
      <c r="F2328" t="s">
        <v>7</v>
      </c>
      <c r="G2328" t="s">
        <v>8</v>
      </c>
      <c r="H2328">
        <v>15000000</v>
      </c>
      <c r="I2328">
        <v>3.6</v>
      </c>
      <c r="J2328" t="s">
        <v>9272</v>
      </c>
    </row>
    <row r="2329" spans="1:10" x14ac:dyDescent="0.3">
      <c r="A2329">
        <v>227</v>
      </c>
      <c r="B2329">
        <v>6000000</v>
      </c>
      <c r="C2329" t="s">
        <v>1428</v>
      </c>
      <c r="D2329" t="s">
        <v>5333</v>
      </c>
      <c r="E2329" t="s">
        <v>5334</v>
      </c>
      <c r="F2329" t="s">
        <v>7</v>
      </c>
      <c r="G2329" t="s">
        <v>15</v>
      </c>
      <c r="H2329">
        <v>15000000</v>
      </c>
      <c r="I2329">
        <v>6.5</v>
      </c>
      <c r="J2329" t="s">
        <v>8402</v>
      </c>
    </row>
    <row r="2330" spans="1:10" x14ac:dyDescent="0.3">
      <c r="A2330">
        <v>119</v>
      </c>
      <c r="B2330">
        <v>33386128</v>
      </c>
      <c r="C2330" t="s">
        <v>2701</v>
      </c>
      <c r="D2330" t="s">
        <v>5335</v>
      </c>
      <c r="E2330" t="s">
        <v>5336</v>
      </c>
      <c r="F2330" t="s">
        <v>7</v>
      </c>
      <c r="G2330" t="s">
        <v>8</v>
      </c>
      <c r="H2330">
        <v>15000000</v>
      </c>
      <c r="I2330">
        <v>8.6</v>
      </c>
      <c r="J2330" t="s">
        <v>8949</v>
      </c>
    </row>
    <row r="2331" spans="1:10" x14ac:dyDescent="0.3">
      <c r="A2331">
        <v>115</v>
      </c>
      <c r="B2331">
        <v>37877959</v>
      </c>
      <c r="C2331" t="s">
        <v>4659</v>
      </c>
      <c r="D2331" t="s">
        <v>5337</v>
      </c>
      <c r="E2331" t="s">
        <v>5338</v>
      </c>
      <c r="F2331" t="s">
        <v>7</v>
      </c>
      <c r="G2331" t="s">
        <v>8</v>
      </c>
      <c r="H2331">
        <v>15000000</v>
      </c>
      <c r="I2331">
        <v>6.2</v>
      </c>
      <c r="J2331" t="s">
        <v>9273</v>
      </c>
    </row>
    <row r="2332" spans="1:10" x14ac:dyDescent="0.3">
      <c r="A2332">
        <v>114</v>
      </c>
      <c r="B2332">
        <v>32721635</v>
      </c>
      <c r="C2332" t="s">
        <v>2869</v>
      </c>
      <c r="D2332" t="s">
        <v>5339</v>
      </c>
      <c r="E2332" t="s">
        <v>5340</v>
      </c>
      <c r="F2332" t="s">
        <v>7</v>
      </c>
      <c r="G2332" t="s">
        <v>8</v>
      </c>
      <c r="H2332">
        <v>15000000</v>
      </c>
      <c r="I2332">
        <v>7</v>
      </c>
      <c r="J2332" t="s">
        <v>8439</v>
      </c>
    </row>
    <row r="2333" spans="1:10" x14ac:dyDescent="0.3">
      <c r="A2333">
        <v>90</v>
      </c>
      <c r="B2333">
        <v>31585300</v>
      </c>
      <c r="C2333" t="s">
        <v>672</v>
      </c>
      <c r="D2333" t="s">
        <v>5341</v>
      </c>
      <c r="E2333" t="s">
        <v>5342</v>
      </c>
      <c r="F2333" t="s">
        <v>7</v>
      </c>
      <c r="G2333" t="s">
        <v>8</v>
      </c>
      <c r="H2333">
        <v>15000000</v>
      </c>
      <c r="I2333">
        <v>7.6</v>
      </c>
      <c r="J2333" t="s">
        <v>9274</v>
      </c>
    </row>
    <row r="2334" spans="1:10" x14ac:dyDescent="0.3">
      <c r="A2334">
        <v>94</v>
      </c>
      <c r="B2334">
        <v>30259652</v>
      </c>
      <c r="C2334" t="s">
        <v>5343</v>
      </c>
      <c r="D2334" t="s">
        <v>5344</v>
      </c>
      <c r="E2334" t="s">
        <v>5345</v>
      </c>
      <c r="F2334" t="s">
        <v>7</v>
      </c>
      <c r="G2334" t="s">
        <v>8</v>
      </c>
      <c r="H2334">
        <v>15000000</v>
      </c>
      <c r="I2334">
        <v>6.5</v>
      </c>
      <c r="J2334" t="s">
        <v>8688</v>
      </c>
    </row>
    <row r="2335" spans="1:10" x14ac:dyDescent="0.3">
      <c r="A2335">
        <v>98</v>
      </c>
      <c r="B2335">
        <v>30857814</v>
      </c>
      <c r="C2335" t="s">
        <v>1425</v>
      </c>
      <c r="D2335" t="s">
        <v>5346</v>
      </c>
      <c r="E2335" t="s">
        <v>5347</v>
      </c>
      <c r="F2335" t="s">
        <v>7</v>
      </c>
      <c r="G2335" t="s">
        <v>8</v>
      </c>
      <c r="H2335">
        <v>16000000</v>
      </c>
      <c r="I2335">
        <v>6.4</v>
      </c>
      <c r="J2335" t="s">
        <v>9275</v>
      </c>
    </row>
    <row r="2336" spans="1:10" x14ac:dyDescent="0.3">
      <c r="A2336">
        <v>126</v>
      </c>
      <c r="B2336">
        <v>30226144</v>
      </c>
      <c r="C2336" t="s">
        <v>617</v>
      </c>
      <c r="D2336" t="s">
        <v>5348</v>
      </c>
      <c r="E2336" t="s">
        <v>5349</v>
      </c>
      <c r="F2336" t="s">
        <v>7</v>
      </c>
      <c r="G2336" t="s">
        <v>8</v>
      </c>
      <c r="H2336">
        <v>15000000</v>
      </c>
      <c r="I2336">
        <v>6.7</v>
      </c>
      <c r="J2336" t="s">
        <v>9276</v>
      </c>
    </row>
    <row r="2337" spans="1:10" x14ac:dyDescent="0.3">
      <c r="A2337">
        <v>100</v>
      </c>
      <c r="B2337">
        <v>35054909</v>
      </c>
      <c r="C2337" t="s">
        <v>786</v>
      </c>
      <c r="D2337" t="s">
        <v>5350</v>
      </c>
      <c r="E2337" t="s">
        <v>5351</v>
      </c>
      <c r="F2337" t="s">
        <v>7</v>
      </c>
      <c r="G2337" t="s">
        <v>8</v>
      </c>
      <c r="H2337">
        <v>15000000</v>
      </c>
      <c r="I2337">
        <v>6.3</v>
      </c>
      <c r="J2337" t="s">
        <v>9277</v>
      </c>
    </row>
    <row r="2338" spans="1:10" x14ac:dyDescent="0.3">
      <c r="A2338">
        <v>89</v>
      </c>
      <c r="B2338">
        <v>29302097</v>
      </c>
      <c r="C2338" t="s">
        <v>5352</v>
      </c>
      <c r="D2338" t="s">
        <v>5353</v>
      </c>
      <c r="E2338" t="s">
        <v>5354</v>
      </c>
      <c r="F2338" t="s">
        <v>7</v>
      </c>
      <c r="G2338" t="s">
        <v>284</v>
      </c>
      <c r="H2338">
        <v>15000000</v>
      </c>
      <c r="I2338">
        <v>6.4</v>
      </c>
      <c r="J2338" t="s">
        <v>9278</v>
      </c>
    </row>
    <row r="2339" spans="1:10" x14ac:dyDescent="0.3">
      <c r="A2339">
        <v>111</v>
      </c>
      <c r="B2339">
        <v>29106737</v>
      </c>
      <c r="C2339" t="s">
        <v>561</v>
      </c>
      <c r="D2339" t="s">
        <v>5355</v>
      </c>
      <c r="E2339" t="s">
        <v>5356</v>
      </c>
      <c r="F2339" t="s">
        <v>7</v>
      </c>
      <c r="G2339" t="s">
        <v>8</v>
      </c>
      <c r="H2339">
        <v>15000000</v>
      </c>
      <c r="I2339">
        <v>5.7</v>
      </c>
      <c r="J2339" t="s">
        <v>9279</v>
      </c>
    </row>
    <row r="2340" spans="1:10" x14ac:dyDescent="0.3">
      <c r="A2340">
        <v>100</v>
      </c>
      <c r="B2340">
        <v>28637507</v>
      </c>
      <c r="C2340" t="s">
        <v>292</v>
      </c>
      <c r="D2340" t="s">
        <v>5357</v>
      </c>
      <c r="E2340" t="s">
        <v>5358</v>
      </c>
      <c r="F2340" t="s">
        <v>7</v>
      </c>
      <c r="G2340" t="s">
        <v>15</v>
      </c>
      <c r="H2340">
        <v>15000000</v>
      </c>
      <c r="I2340">
        <v>6.3</v>
      </c>
      <c r="J2340" t="s">
        <v>9280</v>
      </c>
    </row>
    <row r="2341" spans="1:10" x14ac:dyDescent="0.3">
      <c r="A2341">
        <v>115</v>
      </c>
      <c r="B2341">
        <v>30127963</v>
      </c>
      <c r="C2341" t="s">
        <v>3364</v>
      </c>
      <c r="D2341" t="s">
        <v>5359</v>
      </c>
      <c r="E2341" t="s">
        <v>5360</v>
      </c>
      <c r="F2341" t="s">
        <v>7</v>
      </c>
      <c r="G2341" t="s">
        <v>8</v>
      </c>
      <c r="H2341">
        <v>15000000</v>
      </c>
      <c r="I2341">
        <v>7.8</v>
      </c>
      <c r="J2341" t="s">
        <v>9281</v>
      </c>
    </row>
    <row r="2342" spans="1:10" x14ac:dyDescent="0.3">
      <c r="A2342">
        <v>106</v>
      </c>
      <c r="B2342">
        <v>32645546</v>
      </c>
      <c r="C2342" t="s">
        <v>1641</v>
      </c>
      <c r="D2342" t="s">
        <v>5361</v>
      </c>
      <c r="E2342" t="s">
        <v>5362</v>
      </c>
      <c r="F2342" t="s">
        <v>7</v>
      </c>
      <c r="G2342" t="s">
        <v>8</v>
      </c>
      <c r="H2342">
        <v>14000000</v>
      </c>
      <c r="I2342">
        <v>6</v>
      </c>
      <c r="J2342" t="s">
        <v>9282</v>
      </c>
    </row>
    <row r="2343" spans="1:10" x14ac:dyDescent="0.3">
      <c r="A2343">
        <v>124</v>
      </c>
      <c r="B2343">
        <v>27441122</v>
      </c>
      <c r="C2343" t="s">
        <v>2056</v>
      </c>
      <c r="D2343" t="s">
        <v>5363</v>
      </c>
      <c r="E2343" t="s">
        <v>5364</v>
      </c>
      <c r="F2343" t="s">
        <v>7</v>
      </c>
      <c r="G2343" t="s">
        <v>8</v>
      </c>
      <c r="H2343">
        <v>15000000</v>
      </c>
      <c r="I2343">
        <v>7.7</v>
      </c>
      <c r="J2343" t="s">
        <v>8467</v>
      </c>
    </row>
    <row r="2344" spans="1:10" x14ac:dyDescent="0.3">
      <c r="A2344">
        <v>107</v>
      </c>
      <c r="B2344">
        <v>28014536</v>
      </c>
      <c r="C2344" t="s">
        <v>612</v>
      </c>
      <c r="D2344" t="s">
        <v>5365</v>
      </c>
      <c r="E2344" t="s">
        <v>5366</v>
      </c>
      <c r="F2344" t="s">
        <v>7</v>
      </c>
      <c r="G2344" t="s">
        <v>8</v>
      </c>
      <c r="H2344">
        <v>15000000</v>
      </c>
      <c r="I2344">
        <v>6.2</v>
      </c>
      <c r="J2344" t="s">
        <v>8526</v>
      </c>
    </row>
    <row r="2345" spans="1:10" x14ac:dyDescent="0.3">
      <c r="A2345">
        <v>99</v>
      </c>
      <c r="B2345">
        <v>33860010</v>
      </c>
      <c r="C2345" t="s">
        <v>672</v>
      </c>
      <c r="D2345" t="s">
        <v>5367</v>
      </c>
      <c r="E2345" t="s">
        <v>5368</v>
      </c>
      <c r="F2345" t="s">
        <v>7</v>
      </c>
      <c r="G2345" t="s">
        <v>8</v>
      </c>
      <c r="H2345">
        <v>15000000</v>
      </c>
      <c r="I2345">
        <v>5.7</v>
      </c>
      <c r="J2345" t="s">
        <v>8809</v>
      </c>
    </row>
    <row r="2346" spans="1:10" x14ac:dyDescent="0.3">
      <c r="A2346">
        <v>90</v>
      </c>
      <c r="B2346">
        <v>26421314</v>
      </c>
      <c r="C2346" t="s">
        <v>5369</v>
      </c>
      <c r="D2346" t="s">
        <v>5370</v>
      </c>
      <c r="E2346" t="s">
        <v>5371</v>
      </c>
      <c r="F2346" t="s">
        <v>7</v>
      </c>
      <c r="G2346" t="s">
        <v>8</v>
      </c>
      <c r="H2346">
        <v>15000000</v>
      </c>
      <c r="I2346">
        <v>7.7</v>
      </c>
      <c r="J2346" t="s">
        <v>8548</v>
      </c>
    </row>
    <row r="2347" spans="1:10" x14ac:dyDescent="0.3">
      <c r="A2347">
        <v>101</v>
      </c>
      <c r="B2347">
        <v>24881000</v>
      </c>
      <c r="C2347" t="s">
        <v>340</v>
      </c>
      <c r="D2347" t="s">
        <v>5372</v>
      </c>
      <c r="E2347" t="s">
        <v>5373</v>
      </c>
      <c r="F2347" t="s">
        <v>7</v>
      </c>
      <c r="G2347" t="s">
        <v>8</v>
      </c>
      <c r="H2347">
        <v>15000000</v>
      </c>
      <c r="I2347">
        <v>6.4</v>
      </c>
      <c r="J2347" t="s">
        <v>9283</v>
      </c>
    </row>
    <row r="2348" spans="1:10" x14ac:dyDescent="0.3">
      <c r="A2348">
        <v>119</v>
      </c>
      <c r="B2348">
        <v>23089926</v>
      </c>
      <c r="C2348" t="s">
        <v>3768</v>
      </c>
      <c r="D2348" t="s">
        <v>5374</v>
      </c>
      <c r="E2348" t="s">
        <v>5375</v>
      </c>
      <c r="F2348" t="s">
        <v>7</v>
      </c>
      <c r="G2348" t="s">
        <v>15</v>
      </c>
      <c r="H2348">
        <v>15000000</v>
      </c>
      <c r="I2348">
        <v>6.4</v>
      </c>
      <c r="J2348" t="s">
        <v>8844</v>
      </c>
    </row>
    <row r="2349" spans="1:10" x14ac:dyDescent="0.3">
      <c r="A2349">
        <v>103</v>
      </c>
      <c r="B2349">
        <v>26161406</v>
      </c>
      <c r="C2349" t="s">
        <v>295</v>
      </c>
      <c r="D2349" t="s">
        <v>5376</v>
      </c>
      <c r="E2349" t="s">
        <v>5377</v>
      </c>
      <c r="F2349" t="s">
        <v>7</v>
      </c>
      <c r="G2349" t="s">
        <v>8</v>
      </c>
      <c r="H2349">
        <v>15000000</v>
      </c>
      <c r="I2349">
        <v>6.9</v>
      </c>
      <c r="J2349" t="s">
        <v>8461</v>
      </c>
    </row>
    <row r="2350" spans="1:10" x14ac:dyDescent="0.3">
      <c r="A2350">
        <v>134</v>
      </c>
      <c r="B2350">
        <v>22954968</v>
      </c>
      <c r="C2350" t="s">
        <v>73</v>
      </c>
      <c r="D2350" t="s">
        <v>5378</v>
      </c>
      <c r="E2350" t="s">
        <v>5379</v>
      </c>
      <c r="F2350" t="s">
        <v>7</v>
      </c>
      <c r="G2350" t="s">
        <v>15</v>
      </c>
      <c r="H2350">
        <v>11500000</v>
      </c>
      <c r="I2350">
        <v>7.3</v>
      </c>
      <c r="J2350" t="s">
        <v>8780</v>
      </c>
    </row>
    <row r="2351" spans="1:10" x14ac:dyDescent="0.3">
      <c r="A2351">
        <v>155</v>
      </c>
      <c r="B2351">
        <v>26384919</v>
      </c>
      <c r="C2351" t="s">
        <v>1417</v>
      </c>
      <c r="D2351" t="s">
        <v>5380</v>
      </c>
      <c r="E2351" t="s">
        <v>5381</v>
      </c>
      <c r="F2351" t="s">
        <v>7</v>
      </c>
      <c r="G2351" t="s">
        <v>8</v>
      </c>
      <c r="H2351">
        <v>15000000</v>
      </c>
      <c r="I2351">
        <v>7.3</v>
      </c>
      <c r="J2351" t="s">
        <v>8620</v>
      </c>
    </row>
    <row r="2352" spans="1:10" x14ac:dyDescent="0.3">
      <c r="A2352">
        <v>94</v>
      </c>
      <c r="B2352">
        <v>22189039</v>
      </c>
      <c r="C2352" t="s">
        <v>2438</v>
      </c>
      <c r="D2352" t="s">
        <v>5382</v>
      </c>
      <c r="E2352" t="s">
        <v>5383</v>
      </c>
      <c r="F2352" t="s">
        <v>7</v>
      </c>
      <c r="G2352" t="s">
        <v>8</v>
      </c>
      <c r="H2352">
        <v>15000000</v>
      </c>
      <c r="I2352">
        <v>6.2</v>
      </c>
      <c r="J2352" t="s">
        <v>8568</v>
      </c>
    </row>
    <row r="2353" spans="1:10" x14ac:dyDescent="0.3">
      <c r="A2353">
        <v>95</v>
      </c>
      <c r="B2353">
        <v>20998709</v>
      </c>
      <c r="C2353" t="s">
        <v>1353</v>
      </c>
      <c r="D2353" t="s">
        <v>5384</v>
      </c>
      <c r="E2353" t="s">
        <v>5385</v>
      </c>
      <c r="F2353" t="s">
        <v>7</v>
      </c>
      <c r="G2353" t="s">
        <v>8</v>
      </c>
      <c r="H2353">
        <v>15000000</v>
      </c>
      <c r="I2353">
        <v>6.6</v>
      </c>
      <c r="J2353" t="s">
        <v>9146</v>
      </c>
    </row>
    <row r="2354" spans="1:10" x14ac:dyDescent="0.3">
      <c r="A2354">
        <v>89</v>
      </c>
      <c r="B2354">
        <v>20801344</v>
      </c>
      <c r="C2354" t="s">
        <v>2701</v>
      </c>
      <c r="D2354" t="s">
        <v>5386</v>
      </c>
      <c r="E2354" t="s">
        <v>5387</v>
      </c>
      <c r="F2354" t="s">
        <v>7</v>
      </c>
      <c r="G2354" t="s">
        <v>8</v>
      </c>
      <c r="H2354">
        <v>15000000</v>
      </c>
      <c r="I2354">
        <v>6.7</v>
      </c>
      <c r="J2354" t="s">
        <v>8538</v>
      </c>
    </row>
    <row r="2355" spans="1:10" x14ac:dyDescent="0.3">
      <c r="A2355">
        <v>97</v>
      </c>
      <c r="B2355">
        <v>21468807</v>
      </c>
      <c r="C2355" t="s">
        <v>1249</v>
      </c>
      <c r="D2355" t="s">
        <v>5388</v>
      </c>
      <c r="E2355" t="s">
        <v>5389</v>
      </c>
      <c r="F2355" t="s">
        <v>7</v>
      </c>
      <c r="G2355" t="s">
        <v>8</v>
      </c>
      <c r="H2355">
        <v>14000000</v>
      </c>
      <c r="I2355">
        <v>5.7</v>
      </c>
      <c r="J2355" t="s">
        <v>8354</v>
      </c>
    </row>
    <row r="2356" spans="1:10" x14ac:dyDescent="0.3">
      <c r="A2356">
        <v>90</v>
      </c>
      <c r="B2356">
        <v>19158074</v>
      </c>
      <c r="C2356" t="s">
        <v>813</v>
      </c>
      <c r="D2356" t="s">
        <v>5390</v>
      </c>
      <c r="E2356" t="s">
        <v>5391</v>
      </c>
      <c r="F2356" t="s">
        <v>7</v>
      </c>
      <c r="G2356" t="s">
        <v>8</v>
      </c>
      <c r="H2356">
        <v>15000000</v>
      </c>
      <c r="I2356">
        <v>3.1</v>
      </c>
      <c r="J2356" t="s">
        <v>9284</v>
      </c>
    </row>
    <row r="2357" spans="1:10" x14ac:dyDescent="0.3">
      <c r="A2357">
        <v>92</v>
      </c>
      <c r="B2357">
        <v>18843314</v>
      </c>
      <c r="C2357" t="s">
        <v>351</v>
      </c>
      <c r="D2357" t="s">
        <v>5392</v>
      </c>
      <c r="E2357" t="s">
        <v>5393</v>
      </c>
      <c r="F2357" t="s">
        <v>7</v>
      </c>
      <c r="G2357" t="s">
        <v>8</v>
      </c>
      <c r="H2357">
        <v>20000000</v>
      </c>
      <c r="I2357">
        <v>6.3</v>
      </c>
      <c r="J2357" t="s">
        <v>9218</v>
      </c>
    </row>
    <row r="2358" spans="1:10" x14ac:dyDescent="0.3">
      <c r="A2358">
        <v>100</v>
      </c>
      <c r="B2358">
        <v>20566327</v>
      </c>
      <c r="C2358" t="s">
        <v>879</v>
      </c>
      <c r="D2358" t="s">
        <v>5394</v>
      </c>
      <c r="E2358" t="s">
        <v>5395</v>
      </c>
      <c r="F2358" t="s">
        <v>7</v>
      </c>
      <c r="G2358" t="s">
        <v>8</v>
      </c>
      <c r="H2358">
        <v>15000000</v>
      </c>
      <c r="I2358">
        <v>5.7</v>
      </c>
      <c r="J2358" t="s">
        <v>8912</v>
      </c>
    </row>
    <row r="2359" spans="1:10" x14ac:dyDescent="0.3">
      <c r="A2359">
        <v>117</v>
      </c>
      <c r="B2359">
        <v>20218921</v>
      </c>
      <c r="C2359" t="s">
        <v>2605</v>
      </c>
      <c r="D2359" t="s">
        <v>5396</v>
      </c>
      <c r="E2359" t="s">
        <v>5397</v>
      </c>
      <c r="F2359" t="s">
        <v>7</v>
      </c>
      <c r="G2359" t="s">
        <v>5398</v>
      </c>
      <c r="H2359">
        <v>15000000</v>
      </c>
      <c r="I2359">
        <v>7.1</v>
      </c>
      <c r="J2359" t="s">
        <v>9285</v>
      </c>
    </row>
    <row r="2360" spans="1:10" x14ac:dyDescent="0.3">
      <c r="A2360">
        <v>84</v>
      </c>
      <c r="B2360">
        <v>17411331</v>
      </c>
      <c r="C2360" t="s">
        <v>1787</v>
      </c>
      <c r="D2360" t="s">
        <v>5399</v>
      </c>
      <c r="E2360" t="s">
        <v>5400</v>
      </c>
      <c r="F2360" t="s">
        <v>7</v>
      </c>
      <c r="G2360" t="s">
        <v>132</v>
      </c>
      <c r="H2360">
        <v>15000000</v>
      </c>
      <c r="I2360">
        <v>7</v>
      </c>
      <c r="J2360" t="s">
        <v>8483</v>
      </c>
    </row>
    <row r="2361" spans="1:10" x14ac:dyDescent="0.3">
      <c r="A2361">
        <v>140</v>
      </c>
      <c r="B2361">
        <v>21383298</v>
      </c>
      <c r="C2361" t="s">
        <v>873</v>
      </c>
      <c r="D2361" t="s">
        <v>5401</v>
      </c>
      <c r="E2361" t="s">
        <v>5402</v>
      </c>
      <c r="F2361" t="s">
        <v>7</v>
      </c>
      <c r="G2361" t="s">
        <v>8</v>
      </c>
      <c r="H2361">
        <v>15000000</v>
      </c>
      <c r="I2361">
        <v>6.1</v>
      </c>
      <c r="J2361" t="s">
        <v>8899</v>
      </c>
    </row>
    <row r="2362" spans="1:10" x14ac:dyDescent="0.3">
      <c r="A2362">
        <v>108</v>
      </c>
      <c r="B2362">
        <v>24984868</v>
      </c>
      <c r="C2362" t="s">
        <v>118</v>
      </c>
      <c r="D2362" t="s">
        <v>5403</v>
      </c>
      <c r="E2362" t="s">
        <v>5404</v>
      </c>
      <c r="F2362" t="s">
        <v>7</v>
      </c>
      <c r="G2362" t="s">
        <v>8</v>
      </c>
      <c r="H2362">
        <v>15000000</v>
      </c>
      <c r="I2362">
        <v>6.6</v>
      </c>
      <c r="J2362" t="s">
        <v>8389</v>
      </c>
    </row>
    <row r="2363" spans="1:10" x14ac:dyDescent="0.3">
      <c r="A2363">
        <v>109</v>
      </c>
      <c r="B2363">
        <v>16459004</v>
      </c>
      <c r="C2363" t="s">
        <v>780</v>
      </c>
      <c r="D2363" t="s">
        <v>5405</v>
      </c>
      <c r="E2363" t="s">
        <v>5406</v>
      </c>
      <c r="F2363" t="s">
        <v>7</v>
      </c>
      <c r="G2363" t="s">
        <v>95</v>
      </c>
      <c r="H2363">
        <v>15000000</v>
      </c>
      <c r="I2363">
        <v>7.8</v>
      </c>
      <c r="J2363" t="s">
        <v>8424</v>
      </c>
    </row>
    <row r="2364" spans="1:10" x14ac:dyDescent="0.3">
      <c r="A2364">
        <v>131</v>
      </c>
      <c r="B2364">
        <v>15700000</v>
      </c>
      <c r="C2364" t="s">
        <v>896</v>
      </c>
      <c r="D2364" t="s">
        <v>5407</v>
      </c>
      <c r="E2364" t="s">
        <v>5408</v>
      </c>
      <c r="F2364" t="s">
        <v>7</v>
      </c>
      <c r="G2364" t="s">
        <v>8</v>
      </c>
      <c r="H2364">
        <v>15000000</v>
      </c>
      <c r="I2364">
        <v>8.3000000000000007</v>
      </c>
      <c r="J2364" t="s">
        <v>8722</v>
      </c>
    </row>
    <row r="2365" spans="1:10" x14ac:dyDescent="0.3">
      <c r="A2365">
        <v>114</v>
      </c>
      <c r="B2365">
        <v>15100000</v>
      </c>
      <c r="C2365" t="s">
        <v>912</v>
      </c>
      <c r="D2365" t="s">
        <v>5409</v>
      </c>
      <c r="E2365" t="s">
        <v>5410</v>
      </c>
      <c r="F2365" t="s">
        <v>7</v>
      </c>
      <c r="G2365" t="s">
        <v>8</v>
      </c>
      <c r="H2365">
        <v>15000000</v>
      </c>
      <c r="I2365">
        <v>3.9</v>
      </c>
      <c r="J2365" t="s">
        <v>9213</v>
      </c>
    </row>
    <row r="2366" spans="1:10" x14ac:dyDescent="0.3">
      <c r="A2366">
        <v>97</v>
      </c>
      <c r="B2366">
        <v>14938570</v>
      </c>
      <c r="C2366" t="s">
        <v>609</v>
      </c>
      <c r="D2366" t="s">
        <v>5411</v>
      </c>
      <c r="E2366" t="s">
        <v>5412</v>
      </c>
      <c r="F2366" t="s">
        <v>7</v>
      </c>
      <c r="G2366" t="s">
        <v>8</v>
      </c>
      <c r="H2366">
        <v>15000000</v>
      </c>
      <c r="I2366">
        <v>7</v>
      </c>
      <c r="J2366" t="s">
        <v>8490</v>
      </c>
    </row>
    <row r="2367" spans="1:10" x14ac:dyDescent="0.3">
      <c r="A2367">
        <v>122</v>
      </c>
      <c r="B2367">
        <v>17237244</v>
      </c>
      <c r="C2367" t="s">
        <v>873</v>
      </c>
      <c r="D2367" t="s">
        <v>5413</v>
      </c>
      <c r="E2367" t="s">
        <v>5414</v>
      </c>
      <c r="F2367" t="s">
        <v>7</v>
      </c>
      <c r="G2367" t="s">
        <v>15</v>
      </c>
      <c r="H2367">
        <v>15000000</v>
      </c>
      <c r="I2367">
        <v>6.7</v>
      </c>
      <c r="J2367" t="s">
        <v>9286</v>
      </c>
    </row>
    <row r="2368" spans="1:10" x14ac:dyDescent="0.3">
      <c r="A2368">
        <v>87</v>
      </c>
      <c r="B2368">
        <v>14249005</v>
      </c>
      <c r="C2368" t="s">
        <v>668</v>
      </c>
      <c r="D2368" t="s">
        <v>5415</v>
      </c>
      <c r="E2368" t="s">
        <v>5416</v>
      </c>
      <c r="F2368" t="s">
        <v>7</v>
      </c>
      <c r="G2368" t="s">
        <v>8</v>
      </c>
      <c r="H2368">
        <v>15000000</v>
      </c>
      <c r="I2368">
        <v>7.3</v>
      </c>
      <c r="J2368" t="s">
        <v>9280</v>
      </c>
    </row>
    <row r="2369" spans="1:10" x14ac:dyDescent="0.3">
      <c r="A2369">
        <v>101</v>
      </c>
      <c r="B2369">
        <v>12801190</v>
      </c>
      <c r="C2369" t="s">
        <v>4</v>
      </c>
      <c r="D2369" t="s">
        <v>5417</v>
      </c>
      <c r="E2369" t="s">
        <v>5418</v>
      </c>
      <c r="F2369" t="s">
        <v>7</v>
      </c>
      <c r="G2369" t="s">
        <v>8</v>
      </c>
      <c r="H2369">
        <v>15000000</v>
      </c>
      <c r="I2369">
        <v>6.3</v>
      </c>
      <c r="J2369" t="s">
        <v>8713</v>
      </c>
    </row>
    <row r="2370" spans="1:10" x14ac:dyDescent="0.3">
      <c r="A2370">
        <v>121</v>
      </c>
      <c r="B2370">
        <v>12549485</v>
      </c>
      <c r="C2370" t="s">
        <v>5419</v>
      </c>
      <c r="D2370" t="s">
        <v>5420</v>
      </c>
      <c r="E2370" t="s">
        <v>5421</v>
      </c>
      <c r="F2370" t="s">
        <v>7</v>
      </c>
      <c r="G2370" t="s">
        <v>8</v>
      </c>
      <c r="H2370">
        <v>15000000</v>
      </c>
      <c r="I2370">
        <v>7.8</v>
      </c>
      <c r="J2370" t="s">
        <v>8407</v>
      </c>
    </row>
    <row r="2371" spans="1:10" x14ac:dyDescent="0.3">
      <c r="A2371">
        <v>107</v>
      </c>
      <c r="B2371">
        <v>13766014</v>
      </c>
      <c r="C2371" t="s">
        <v>73</v>
      </c>
      <c r="D2371" t="s">
        <v>5422</v>
      </c>
      <c r="E2371" t="s">
        <v>5423</v>
      </c>
      <c r="F2371" t="s">
        <v>7</v>
      </c>
      <c r="G2371" t="s">
        <v>8</v>
      </c>
      <c r="H2371">
        <v>15000000</v>
      </c>
      <c r="I2371">
        <v>7.3</v>
      </c>
      <c r="J2371" t="s">
        <v>8989</v>
      </c>
    </row>
    <row r="2372" spans="1:10" x14ac:dyDescent="0.3">
      <c r="A2372">
        <v>111</v>
      </c>
      <c r="B2372">
        <v>13034417</v>
      </c>
      <c r="C2372" t="s">
        <v>1578</v>
      </c>
      <c r="D2372" t="s">
        <v>5424</v>
      </c>
      <c r="E2372" t="s">
        <v>5425</v>
      </c>
      <c r="F2372" t="s">
        <v>7</v>
      </c>
      <c r="G2372" t="s">
        <v>8</v>
      </c>
      <c r="H2372">
        <v>15000000</v>
      </c>
      <c r="I2372">
        <v>7.6</v>
      </c>
      <c r="J2372" t="s">
        <v>8409</v>
      </c>
    </row>
    <row r="2373" spans="1:10" x14ac:dyDescent="0.3">
      <c r="A2373">
        <v>97</v>
      </c>
      <c r="B2373">
        <v>12212417</v>
      </c>
      <c r="C2373" t="s">
        <v>609</v>
      </c>
      <c r="D2373" t="s">
        <v>5426</v>
      </c>
      <c r="E2373" t="s">
        <v>5427</v>
      </c>
      <c r="F2373" t="s">
        <v>7</v>
      </c>
      <c r="G2373" t="s">
        <v>8</v>
      </c>
      <c r="H2373">
        <v>15000000</v>
      </c>
      <c r="I2373">
        <v>5.3</v>
      </c>
      <c r="J2373" t="s">
        <v>9096</v>
      </c>
    </row>
    <row r="2374" spans="1:10" x14ac:dyDescent="0.3">
      <c r="A2374">
        <v>97</v>
      </c>
      <c r="B2374">
        <v>11614236</v>
      </c>
      <c r="C2374" t="s">
        <v>668</v>
      </c>
      <c r="D2374" t="s">
        <v>5428</v>
      </c>
      <c r="E2374" t="s">
        <v>5429</v>
      </c>
      <c r="F2374" t="s">
        <v>7</v>
      </c>
      <c r="G2374" t="s">
        <v>8</v>
      </c>
      <c r="H2374">
        <v>15000000</v>
      </c>
      <c r="I2374">
        <v>7.9</v>
      </c>
      <c r="J2374" t="s">
        <v>8397</v>
      </c>
    </row>
    <row r="2375" spans="1:10" x14ac:dyDescent="0.3">
      <c r="A2375">
        <v>125</v>
      </c>
      <c r="B2375">
        <v>13337299</v>
      </c>
      <c r="C2375" t="s">
        <v>2747</v>
      </c>
      <c r="D2375" t="s">
        <v>5430</v>
      </c>
      <c r="E2375" t="s">
        <v>5431</v>
      </c>
      <c r="F2375" t="s">
        <v>7</v>
      </c>
      <c r="G2375" t="s">
        <v>8</v>
      </c>
      <c r="H2375">
        <v>20000000</v>
      </c>
      <c r="I2375">
        <v>5.3</v>
      </c>
      <c r="J2375" t="s">
        <v>9287</v>
      </c>
    </row>
    <row r="2376" spans="1:10" x14ac:dyDescent="0.3">
      <c r="A2376">
        <v>124</v>
      </c>
      <c r="B2376">
        <v>10763469</v>
      </c>
      <c r="C2376" t="s">
        <v>561</v>
      </c>
      <c r="D2376" t="s">
        <v>5432</v>
      </c>
      <c r="E2376" t="s">
        <v>5433</v>
      </c>
      <c r="F2376" t="s">
        <v>7</v>
      </c>
      <c r="G2376" t="s">
        <v>8</v>
      </c>
      <c r="H2376">
        <v>15000000</v>
      </c>
      <c r="I2376">
        <v>6.8</v>
      </c>
      <c r="J2376" t="s">
        <v>8762</v>
      </c>
    </row>
    <row r="2377" spans="1:10" x14ac:dyDescent="0.3">
      <c r="A2377">
        <v>76</v>
      </c>
      <c r="B2377">
        <v>11144518</v>
      </c>
      <c r="C2377" t="s">
        <v>3945</v>
      </c>
      <c r="D2377" t="s">
        <v>5434</v>
      </c>
      <c r="E2377" t="s">
        <v>5435</v>
      </c>
      <c r="F2377" t="s">
        <v>7</v>
      </c>
      <c r="G2377" t="s">
        <v>95</v>
      </c>
      <c r="H2377">
        <v>15000000</v>
      </c>
      <c r="I2377">
        <v>7.1</v>
      </c>
      <c r="J2377" t="s">
        <v>9288</v>
      </c>
    </row>
    <row r="2378" spans="1:10" x14ac:dyDescent="0.3">
      <c r="A2378">
        <v>107</v>
      </c>
      <c r="B2378">
        <v>15608545</v>
      </c>
      <c r="C2378" t="s">
        <v>521</v>
      </c>
      <c r="D2378" t="s">
        <v>5436</v>
      </c>
      <c r="E2378" t="s">
        <v>5437</v>
      </c>
      <c r="F2378" t="s">
        <v>7</v>
      </c>
      <c r="G2378" t="s">
        <v>8</v>
      </c>
      <c r="H2378">
        <v>15000000</v>
      </c>
      <c r="I2378">
        <v>7.2</v>
      </c>
      <c r="J2378" t="s">
        <v>8565</v>
      </c>
    </row>
    <row r="2379" spans="1:10" x14ac:dyDescent="0.3">
      <c r="A2379">
        <v>91</v>
      </c>
      <c r="B2379">
        <v>10443316</v>
      </c>
      <c r="C2379" t="s">
        <v>561</v>
      </c>
      <c r="D2379" t="s">
        <v>5438</v>
      </c>
      <c r="E2379" t="s">
        <v>5439</v>
      </c>
      <c r="F2379" t="s">
        <v>7</v>
      </c>
      <c r="G2379" t="s">
        <v>8</v>
      </c>
      <c r="H2379">
        <v>15000000</v>
      </c>
      <c r="I2379">
        <v>5.8</v>
      </c>
      <c r="J2379" t="s">
        <v>9289</v>
      </c>
    </row>
    <row r="2380" spans="1:10" x14ac:dyDescent="0.3">
      <c r="A2380">
        <v>96</v>
      </c>
      <c r="B2380">
        <v>10494147</v>
      </c>
      <c r="C2380" t="s">
        <v>73</v>
      </c>
      <c r="D2380" t="s">
        <v>5440</v>
      </c>
      <c r="E2380" t="s">
        <v>5441</v>
      </c>
      <c r="F2380" t="s">
        <v>7</v>
      </c>
      <c r="G2380" t="s">
        <v>8</v>
      </c>
      <c r="H2380">
        <v>15000000</v>
      </c>
      <c r="I2380">
        <v>5.8</v>
      </c>
      <c r="J2380" t="s">
        <v>9103</v>
      </c>
    </row>
    <row r="2381" spans="1:10" x14ac:dyDescent="0.3">
      <c r="A2381">
        <v>142</v>
      </c>
      <c r="B2381">
        <v>9929000</v>
      </c>
      <c r="C2381" t="s">
        <v>746</v>
      </c>
      <c r="D2381" t="s">
        <v>5442</v>
      </c>
      <c r="E2381" t="s">
        <v>5443</v>
      </c>
      <c r="F2381" t="s">
        <v>7</v>
      </c>
      <c r="G2381" t="s">
        <v>15</v>
      </c>
      <c r="H2381">
        <v>15000000</v>
      </c>
      <c r="I2381">
        <v>8.3000000000000007</v>
      </c>
      <c r="J2381" t="s">
        <v>8342</v>
      </c>
    </row>
    <row r="2382" spans="1:10" x14ac:dyDescent="0.3">
      <c r="A2382">
        <v>103</v>
      </c>
      <c r="B2382">
        <v>10411980</v>
      </c>
      <c r="C2382" t="s">
        <v>5444</v>
      </c>
      <c r="D2382" t="s">
        <v>5445</v>
      </c>
      <c r="E2382" t="s">
        <v>5446</v>
      </c>
      <c r="F2382" t="s">
        <v>7</v>
      </c>
      <c r="G2382" t="s">
        <v>8</v>
      </c>
      <c r="H2382">
        <v>15000000</v>
      </c>
      <c r="I2382">
        <v>5.6</v>
      </c>
      <c r="J2382" t="s">
        <v>9290</v>
      </c>
    </row>
    <row r="2383" spans="1:10" x14ac:dyDescent="0.3">
      <c r="A2383">
        <v>117</v>
      </c>
      <c r="B2383">
        <v>17439163</v>
      </c>
      <c r="C2383" t="s">
        <v>386</v>
      </c>
      <c r="D2383" t="s">
        <v>5447</v>
      </c>
      <c r="E2383" t="s">
        <v>5448</v>
      </c>
      <c r="F2383" t="s">
        <v>7</v>
      </c>
      <c r="G2383" t="s">
        <v>8</v>
      </c>
      <c r="H2383">
        <v>15000000</v>
      </c>
      <c r="I2383">
        <v>6.8</v>
      </c>
      <c r="J2383" t="s">
        <v>8570</v>
      </c>
    </row>
    <row r="2384" spans="1:10" x14ac:dyDescent="0.3">
      <c r="A2384">
        <v>116</v>
      </c>
      <c r="B2384">
        <v>9396487</v>
      </c>
      <c r="C2384" t="s">
        <v>2605</v>
      </c>
      <c r="D2384" t="s">
        <v>5449</v>
      </c>
      <c r="E2384" t="s">
        <v>5450</v>
      </c>
      <c r="F2384" t="s">
        <v>7</v>
      </c>
      <c r="G2384" t="s">
        <v>8</v>
      </c>
      <c r="H2384">
        <v>15000000</v>
      </c>
      <c r="I2384">
        <v>5</v>
      </c>
      <c r="J2384" t="s">
        <v>9291</v>
      </c>
    </row>
    <row r="2385" spans="1:10" x14ac:dyDescent="0.3">
      <c r="A2385">
        <v>118</v>
      </c>
      <c r="B2385">
        <v>9059588</v>
      </c>
      <c r="C2385" t="s">
        <v>2211</v>
      </c>
      <c r="D2385" t="s">
        <v>5451</v>
      </c>
      <c r="E2385" t="s">
        <v>5452</v>
      </c>
      <c r="F2385" t="s">
        <v>7</v>
      </c>
      <c r="G2385" t="s">
        <v>8</v>
      </c>
      <c r="H2385">
        <v>15000000</v>
      </c>
      <c r="I2385">
        <v>7.6</v>
      </c>
      <c r="J2385" t="s">
        <v>8757</v>
      </c>
    </row>
    <row r="2386" spans="1:10" x14ac:dyDescent="0.3">
      <c r="A2386">
        <v>108</v>
      </c>
      <c r="B2386">
        <v>9172810</v>
      </c>
      <c r="C2386" t="s">
        <v>5453</v>
      </c>
      <c r="D2386" t="s">
        <v>5454</v>
      </c>
      <c r="E2386" t="s">
        <v>5455</v>
      </c>
      <c r="F2386" t="s">
        <v>7</v>
      </c>
      <c r="G2386" t="s">
        <v>8</v>
      </c>
      <c r="H2386">
        <v>16000000</v>
      </c>
      <c r="I2386">
        <v>6.7</v>
      </c>
      <c r="J2386" t="s">
        <v>8989</v>
      </c>
    </row>
    <row r="2387" spans="1:10" x14ac:dyDescent="0.3">
      <c r="A2387">
        <v>94</v>
      </c>
      <c r="B2387">
        <v>8735529</v>
      </c>
      <c r="C2387" t="s">
        <v>561</v>
      </c>
      <c r="D2387" t="s">
        <v>5456</v>
      </c>
      <c r="E2387" t="s">
        <v>5457</v>
      </c>
      <c r="F2387" t="s">
        <v>7</v>
      </c>
      <c r="G2387" t="s">
        <v>8</v>
      </c>
      <c r="H2387">
        <v>15000000</v>
      </c>
      <c r="I2387">
        <v>6.7</v>
      </c>
      <c r="J2387" t="s">
        <v>9292</v>
      </c>
    </row>
    <row r="2388" spans="1:10" x14ac:dyDescent="0.3">
      <c r="A2388">
        <v>97</v>
      </c>
      <c r="B2388">
        <v>8586376</v>
      </c>
      <c r="C2388" t="s">
        <v>668</v>
      </c>
      <c r="D2388" t="s">
        <v>5458</v>
      </c>
      <c r="E2388" t="s">
        <v>5459</v>
      </c>
      <c r="F2388" t="s">
        <v>7</v>
      </c>
      <c r="G2388" t="s">
        <v>8</v>
      </c>
      <c r="H2388">
        <v>20000000</v>
      </c>
      <c r="I2388">
        <v>5.7</v>
      </c>
      <c r="J2388" t="s">
        <v>9168</v>
      </c>
    </row>
    <row r="2389" spans="1:10" x14ac:dyDescent="0.3">
      <c r="A2389">
        <v>97</v>
      </c>
      <c r="B2389">
        <v>8378141</v>
      </c>
      <c r="C2389" t="s">
        <v>561</v>
      </c>
      <c r="D2389" t="s">
        <v>5460</v>
      </c>
      <c r="E2389" t="s">
        <v>5461</v>
      </c>
      <c r="F2389" t="s">
        <v>7</v>
      </c>
      <c r="G2389" t="s">
        <v>15</v>
      </c>
      <c r="H2389">
        <v>15000000</v>
      </c>
      <c r="I2389">
        <v>5.2</v>
      </c>
      <c r="J2389" t="s">
        <v>9293</v>
      </c>
    </row>
    <row r="2390" spans="1:10" x14ac:dyDescent="0.3">
      <c r="A2390">
        <v>91</v>
      </c>
      <c r="B2390">
        <v>8080116</v>
      </c>
      <c r="C2390" t="s">
        <v>976</v>
      </c>
      <c r="D2390" t="s">
        <v>5462</v>
      </c>
      <c r="E2390" t="s">
        <v>5463</v>
      </c>
      <c r="F2390" t="s">
        <v>7</v>
      </c>
      <c r="G2390" t="s">
        <v>8</v>
      </c>
      <c r="H2390">
        <v>15000000</v>
      </c>
      <c r="I2390">
        <v>7.5</v>
      </c>
      <c r="J2390" t="s">
        <v>8862</v>
      </c>
    </row>
    <row r="2391" spans="1:10" x14ac:dyDescent="0.3">
      <c r="A2391">
        <v>107</v>
      </c>
      <c r="B2391">
        <v>7757130</v>
      </c>
      <c r="C2391" t="s">
        <v>3876</v>
      </c>
      <c r="D2391" t="s">
        <v>5464</v>
      </c>
      <c r="E2391" t="s">
        <v>5465</v>
      </c>
      <c r="F2391" t="s">
        <v>7</v>
      </c>
      <c r="G2391" t="s">
        <v>15</v>
      </c>
      <c r="H2391">
        <v>15000000</v>
      </c>
      <c r="I2391">
        <v>7.2</v>
      </c>
      <c r="J2391" t="s">
        <v>8757</v>
      </c>
    </row>
    <row r="2392" spans="1:10" x14ac:dyDescent="0.3">
      <c r="A2392">
        <v>95</v>
      </c>
      <c r="B2392">
        <v>9123834</v>
      </c>
      <c r="C2392" t="s">
        <v>672</v>
      </c>
      <c r="D2392" t="s">
        <v>5466</v>
      </c>
      <c r="E2392" t="s">
        <v>5467</v>
      </c>
      <c r="F2392" t="s">
        <v>7</v>
      </c>
      <c r="G2392" t="s">
        <v>8</v>
      </c>
      <c r="H2392">
        <v>15000000</v>
      </c>
      <c r="I2392">
        <v>5.3</v>
      </c>
      <c r="J2392" t="s">
        <v>8419</v>
      </c>
    </row>
    <row r="2393" spans="1:10" x14ac:dyDescent="0.3">
      <c r="A2393">
        <v>102</v>
      </c>
      <c r="B2393">
        <v>6409206</v>
      </c>
      <c r="C2393" t="s">
        <v>2708</v>
      </c>
      <c r="D2393" t="s">
        <v>5468</v>
      </c>
      <c r="E2393" t="s">
        <v>5469</v>
      </c>
      <c r="F2393" t="s">
        <v>7</v>
      </c>
      <c r="G2393" t="s">
        <v>8</v>
      </c>
      <c r="H2393">
        <v>15000000</v>
      </c>
      <c r="I2393">
        <v>6.5</v>
      </c>
      <c r="J2393" t="s">
        <v>9053</v>
      </c>
    </row>
    <row r="2394" spans="1:10" x14ac:dyDescent="0.3">
      <c r="A2394">
        <v>88</v>
      </c>
      <c r="B2394">
        <v>6373693</v>
      </c>
      <c r="C2394" t="s">
        <v>672</v>
      </c>
      <c r="D2394" t="s">
        <v>5470</v>
      </c>
      <c r="E2394" t="s">
        <v>5471</v>
      </c>
      <c r="F2394" t="s">
        <v>7</v>
      </c>
      <c r="G2394" t="s">
        <v>8</v>
      </c>
      <c r="H2394">
        <v>15000000</v>
      </c>
      <c r="I2394">
        <v>5</v>
      </c>
      <c r="J2394" t="s">
        <v>9294</v>
      </c>
    </row>
    <row r="2395" spans="1:10" x14ac:dyDescent="0.3">
      <c r="A2395">
        <v>106</v>
      </c>
      <c r="B2395">
        <v>7556708</v>
      </c>
      <c r="C2395" t="s">
        <v>1417</v>
      </c>
      <c r="D2395" t="s">
        <v>5472</v>
      </c>
      <c r="E2395" t="s">
        <v>5473</v>
      </c>
      <c r="F2395" t="s">
        <v>7</v>
      </c>
      <c r="G2395" t="s">
        <v>8</v>
      </c>
      <c r="H2395">
        <v>15000000</v>
      </c>
      <c r="I2395">
        <v>6.1</v>
      </c>
      <c r="J2395" t="s">
        <v>9295</v>
      </c>
    </row>
    <row r="2396" spans="1:10" x14ac:dyDescent="0.3">
      <c r="A2396">
        <v>92</v>
      </c>
      <c r="B2396">
        <v>5306447</v>
      </c>
      <c r="C2396" t="s">
        <v>672</v>
      </c>
      <c r="D2396" t="s">
        <v>5474</v>
      </c>
      <c r="E2396" t="s">
        <v>5475</v>
      </c>
      <c r="F2396" t="s">
        <v>7</v>
      </c>
      <c r="G2396" t="s">
        <v>8</v>
      </c>
      <c r="H2396">
        <v>15000000</v>
      </c>
      <c r="I2396">
        <v>7.4</v>
      </c>
      <c r="J2396" t="s">
        <v>8502</v>
      </c>
    </row>
    <row r="2397" spans="1:10" x14ac:dyDescent="0.3">
      <c r="A2397">
        <v>105</v>
      </c>
      <c r="B2397">
        <v>5217498</v>
      </c>
      <c r="C2397" t="s">
        <v>780</v>
      </c>
      <c r="D2397" t="s">
        <v>5476</v>
      </c>
      <c r="E2397" t="s">
        <v>5477</v>
      </c>
      <c r="F2397" t="s">
        <v>7</v>
      </c>
      <c r="G2397" t="s">
        <v>8</v>
      </c>
      <c r="H2397">
        <v>15000000</v>
      </c>
      <c r="I2397">
        <v>4.4000000000000004</v>
      </c>
      <c r="J2397" t="s">
        <v>9296</v>
      </c>
    </row>
    <row r="2398" spans="1:10" x14ac:dyDescent="0.3">
      <c r="A2398">
        <v>107</v>
      </c>
      <c r="B2398">
        <v>5023275</v>
      </c>
      <c r="C2398" t="s">
        <v>5478</v>
      </c>
      <c r="D2398" t="s">
        <v>5479</v>
      </c>
      <c r="E2398" t="s">
        <v>5480</v>
      </c>
      <c r="F2398" t="s">
        <v>7</v>
      </c>
      <c r="G2398" t="s">
        <v>583</v>
      </c>
      <c r="H2398">
        <v>15000000</v>
      </c>
      <c r="I2398">
        <v>7.5</v>
      </c>
      <c r="J2398" t="s">
        <v>8400</v>
      </c>
    </row>
    <row r="2399" spans="1:10" x14ac:dyDescent="0.3">
      <c r="A2399">
        <v>120</v>
      </c>
      <c r="B2399">
        <v>4956401</v>
      </c>
      <c r="C2399" t="s">
        <v>1410</v>
      </c>
      <c r="D2399" t="s">
        <v>5481</v>
      </c>
      <c r="E2399" t="s">
        <v>5482</v>
      </c>
      <c r="F2399" t="s">
        <v>7</v>
      </c>
      <c r="G2399" t="s">
        <v>583</v>
      </c>
      <c r="H2399">
        <v>15000000</v>
      </c>
      <c r="I2399">
        <v>5.7</v>
      </c>
      <c r="J2399" t="s">
        <v>8633</v>
      </c>
    </row>
    <row r="2400" spans="1:10" x14ac:dyDescent="0.3">
      <c r="A2400">
        <v>103</v>
      </c>
      <c r="B2400">
        <v>4235837</v>
      </c>
      <c r="C2400" t="s">
        <v>5206</v>
      </c>
      <c r="D2400" t="s">
        <v>5483</v>
      </c>
      <c r="E2400" t="s">
        <v>5484</v>
      </c>
      <c r="F2400" t="s">
        <v>7</v>
      </c>
      <c r="G2400" t="s">
        <v>8</v>
      </c>
      <c r="H2400">
        <v>15000000</v>
      </c>
      <c r="I2400">
        <v>5.5</v>
      </c>
      <c r="J2400" t="s">
        <v>9297</v>
      </c>
    </row>
    <row r="2401" spans="1:10" x14ac:dyDescent="0.3">
      <c r="A2401">
        <v>92</v>
      </c>
      <c r="B2401">
        <v>4002955</v>
      </c>
      <c r="C2401" t="s">
        <v>3416</v>
      </c>
      <c r="D2401" t="s">
        <v>5485</v>
      </c>
      <c r="E2401" t="s">
        <v>5486</v>
      </c>
      <c r="F2401" t="s">
        <v>7</v>
      </c>
      <c r="G2401" t="s">
        <v>8</v>
      </c>
      <c r="H2401">
        <v>20000000</v>
      </c>
      <c r="I2401">
        <v>7.1</v>
      </c>
      <c r="J2401" t="s">
        <v>9298</v>
      </c>
    </row>
    <row r="2402" spans="1:10" x14ac:dyDescent="0.3">
      <c r="A2402">
        <v>147</v>
      </c>
      <c r="B2402">
        <v>7219578</v>
      </c>
      <c r="C2402" t="s">
        <v>780</v>
      </c>
      <c r="D2402" t="s">
        <v>5487</v>
      </c>
      <c r="E2402" t="s">
        <v>5488</v>
      </c>
      <c r="F2402" t="s">
        <v>7</v>
      </c>
      <c r="G2402" t="s">
        <v>583</v>
      </c>
      <c r="H2402">
        <v>15000000</v>
      </c>
      <c r="I2402">
        <v>5.9</v>
      </c>
      <c r="J2402" t="s">
        <v>8744</v>
      </c>
    </row>
    <row r="2403" spans="1:10" x14ac:dyDescent="0.3">
      <c r="A2403">
        <v>98</v>
      </c>
      <c r="B2403">
        <v>3247816</v>
      </c>
      <c r="C2403" t="s">
        <v>561</v>
      </c>
      <c r="D2403" t="s">
        <v>5489</v>
      </c>
      <c r="E2403" t="s">
        <v>5490</v>
      </c>
      <c r="F2403" t="s">
        <v>7</v>
      </c>
      <c r="G2403" t="s">
        <v>8</v>
      </c>
      <c r="H2403">
        <v>22000000</v>
      </c>
      <c r="I2403">
        <v>6.7</v>
      </c>
      <c r="J2403" t="s">
        <v>9299</v>
      </c>
    </row>
    <row r="2404" spans="1:10" x14ac:dyDescent="0.3">
      <c r="A2404">
        <v>103</v>
      </c>
      <c r="B2404">
        <v>2412045</v>
      </c>
      <c r="C2404" t="s">
        <v>2308</v>
      </c>
      <c r="D2404" t="s">
        <v>5491</v>
      </c>
      <c r="E2404" t="s">
        <v>5492</v>
      </c>
      <c r="F2404" t="s">
        <v>7</v>
      </c>
      <c r="G2404" t="s">
        <v>15</v>
      </c>
      <c r="H2404">
        <v>15000000</v>
      </c>
      <c r="I2404">
        <v>7</v>
      </c>
      <c r="J2404" t="s">
        <v>9081</v>
      </c>
    </row>
    <row r="2405" spans="1:10" x14ac:dyDescent="0.3">
      <c r="A2405">
        <v>111</v>
      </c>
      <c r="B2405">
        <v>2203641</v>
      </c>
      <c r="C2405" t="s">
        <v>882</v>
      </c>
      <c r="D2405" t="s">
        <v>5493</v>
      </c>
      <c r="E2405" t="s">
        <v>5494</v>
      </c>
      <c r="F2405" t="s">
        <v>7</v>
      </c>
      <c r="G2405" t="s">
        <v>1488</v>
      </c>
      <c r="H2405">
        <v>15000000</v>
      </c>
      <c r="I2405">
        <v>7.9</v>
      </c>
      <c r="J2405" t="s">
        <v>8318</v>
      </c>
    </row>
    <row r="2406" spans="1:10" x14ac:dyDescent="0.3">
      <c r="A2406">
        <v>98</v>
      </c>
      <c r="B2406">
        <v>1953732</v>
      </c>
      <c r="C2406" t="s">
        <v>534</v>
      </c>
      <c r="D2406" t="s">
        <v>5495</v>
      </c>
      <c r="E2406" t="s">
        <v>5496</v>
      </c>
      <c r="F2406" t="s">
        <v>7</v>
      </c>
      <c r="G2406" t="s">
        <v>8</v>
      </c>
      <c r="H2406">
        <v>15000000</v>
      </c>
      <c r="I2406">
        <v>6.9</v>
      </c>
      <c r="J2406" t="s">
        <v>8982</v>
      </c>
    </row>
    <row r="2407" spans="1:10" x14ac:dyDescent="0.3">
      <c r="A2407">
        <v>111</v>
      </c>
      <c r="B2407">
        <v>1954202</v>
      </c>
      <c r="C2407" t="s">
        <v>3876</v>
      </c>
      <c r="D2407" t="s">
        <v>5497</v>
      </c>
      <c r="E2407" t="s">
        <v>5498</v>
      </c>
      <c r="F2407" t="s">
        <v>7</v>
      </c>
      <c r="G2407" t="s">
        <v>8</v>
      </c>
      <c r="H2407">
        <v>15000000</v>
      </c>
      <c r="I2407">
        <v>7.3</v>
      </c>
      <c r="J2407" t="s">
        <v>8487</v>
      </c>
    </row>
    <row r="2408" spans="1:10" x14ac:dyDescent="0.3">
      <c r="A2408">
        <v>111</v>
      </c>
      <c r="B2408">
        <v>1294640</v>
      </c>
      <c r="C2408" t="s">
        <v>2805</v>
      </c>
      <c r="D2408" t="s">
        <v>5499</v>
      </c>
      <c r="E2408" t="s">
        <v>5500</v>
      </c>
      <c r="F2408" t="s">
        <v>7</v>
      </c>
      <c r="G2408" t="s">
        <v>8</v>
      </c>
      <c r="H2408">
        <v>15000000</v>
      </c>
      <c r="I2408">
        <v>7.3</v>
      </c>
      <c r="J2408" t="s">
        <v>8422</v>
      </c>
    </row>
    <row r="2409" spans="1:10" x14ac:dyDescent="0.3">
      <c r="A2409">
        <v>145</v>
      </c>
      <c r="B2409">
        <v>26435</v>
      </c>
      <c r="C2409" t="s">
        <v>746</v>
      </c>
      <c r="D2409" t="s">
        <v>5501</v>
      </c>
      <c r="E2409" t="s">
        <v>5502</v>
      </c>
      <c r="F2409" t="s">
        <v>3702</v>
      </c>
      <c r="G2409" t="s">
        <v>284</v>
      </c>
      <c r="H2409">
        <v>6000000</v>
      </c>
      <c r="I2409">
        <v>3.5</v>
      </c>
      <c r="J2409" t="s">
        <v>9300</v>
      </c>
    </row>
    <row r="2410" spans="1:10" x14ac:dyDescent="0.3">
      <c r="A2410">
        <v>84</v>
      </c>
      <c r="B2410">
        <v>1197786</v>
      </c>
      <c r="C2410" t="s">
        <v>118</v>
      </c>
      <c r="D2410" t="s">
        <v>5503</v>
      </c>
      <c r="E2410" t="s">
        <v>5504</v>
      </c>
      <c r="F2410" t="s">
        <v>582</v>
      </c>
      <c r="G2410" t="s">
        <v>583</v>
      </c>
      <c r="H2410">
        <v>12000000</v>
      </c>
      <c r="I2410">
        <v>7.8</v>
      </c>
      <c r="J2410" t="s">
        <v>8379</v>
      </c>
    </row>
    <row r="2411" spans="1:10" x14ac:dyDescent="0.3">
      <c r="A2411">
        <v>115</v>
      </c>
      <c r="B2411">
        <v>529766</v>
      </c>
      <c r="C2411" t="s">
        <v>786</v>
      </c>
      <c r="D2411" t="s">
        <v>5505</v>
      </c>
      <c r="E2411" t="s">
        <v>5506</v>
      </c>
      <c r="F2411" t="s">
        <v>7</v>
      </c>
      <c r="G2411" t="s">
        <v>8</v>
      </c>
      <c r="H2411">
        <v>7000000</v>
      </c>
      <c r="I2411">
        <v>7.4</v>
      </c>
      <c r="J2411" t="s">
        <v>8838</v>
      </c>
    </row>
    <row r="2412" spans="1:10" x14ac:dyDescent="0.3">
      <c r="A2412">
        <v>105</v>
      </c>
      <c r="B2412">
        <v>613556</v>
      </c>
      <c r="C2412" t="s">
        <v>289</v>
      </c>
      <c r="D2412" t="s">
        <v>5507</v>
      </c>
      <c r="E2412" t="s">
        <v>5508</v>
      </c>
      <c r="F2412" t="s">
        <v>792</v>
      </c>
      <c r="G2412" t="s">
        <v>5272</v>
      </c>
      <c r="H2412">
        <v>15000000</v>
      </c>
      <c r="I2412">
        <v>6.7</v>
      </c>
      <c r="J2412" t="s">
        <v>9301</v>
      </c>
    </row>
    <row r="2413" spans="1:10" x14ac:dyDescent="0.3">
      <c r="A2413">
        <v>98</v>
      </c>
      <c r="B2413">
        <v>353743</v>
      </c>
      <c r="C2413" t="s">
        <v>5509</v>
      </c>
      <c r="D2413" t="s">
        <v>5510</v>
      </c>
      <c r="E2413" t="s">
        <v>5511</v>
      </c>
      <c r="F2413" t="s">
        <v>7</v>
      </c>
      <c r="G2413" t="s">
        <v>15</v>
      </c>
      <c r="H2413">
        <v>15000000</v>
      </c>
      <c r="I2413">
        <v>6.4</v>
      </c>
      <c r="J2413" t="s">
        <v>8989</v>
      </c>
    </row>
    <row r="2414" spans="1:10" x14ac:dyDescent="0.3">
      <c r="A2414">
        <v>110</v>
      </c>
      <c r="B2414">
        <v>102055</v>
      </c>
      <c r="C2414" t="s">
        <v>521</v>
      </c>
      <c r="D2414" t="s">
        <v>5512</v>
      </c>
      <c r="E2414" t="s">
        <v>5513</v>
      </c>
      <c r="F2414" t="s">
        <v>5514</v>
      </c>
      <c r="G2414" t="s">
        <v>5515</v>
      </c>
      <c r="H2414">
        <v>300000000</v>
      </c>
      <c r="I2414">
        <v>7.1</v>
      </c>
      <c r="J2414" t="s">
        <v>9302</v>
      </c>
    </row>
    <row r="2415" spans="1:10" x14ac:dyDescent="0.3">
      <c r="A2415">
        <v>90</v>
      </c>
      <c r="B2415">
        <v>28870</v>
      </c>
      <c r="C2415" t="s">
        <v>873</v>
      </c>
      <c r="D2415" t="s">
        <v>5516</v>
      </c>
      <c r="E2415" t="s">
        <v>5517</v>
      </c>
      <c r="F2415" t="s">
        <v>7</v>
      </c>
      <c r="G2415" t="s">
        <v>8</v>
      </c>
      <c r="H2415">
        <v>15000000</v>
      </c>
      <c r="I2415">
        <v>7.8</v>
      </c>
      <c r="J2415" t="s">
        <v>9303</v>
      </c>
    </row>
    <row r="2416" spans="1:10" x14ac:dyDescent="0.3">
      <c r="A2416">
        <v>105</v>
      </c>
      <c r="B2416">
        <v>22723</v>
      </c>
      <c r="C2416" t="s">
        <v>5518</v>
      </c>
      <c r="D2416" t="s">
        <v>5519</v>
      </c>
      <c r="E2416" t="s">
        <v>5520</v>
      </c>
      <c r="F2416" t="s">
        <v>7</v>
      </c>
      <c r="G2416" t="s">
        <v>284</v>
      </c>
      <c r="H2416">
        <v>25000000</v>
      </c>
      <c r="I2416">
        <v>4</v>
      </c>
      <c r="J2416" t="s">
        <v>9304</v>
      </c>
    </row>
    <row r="2417" spans="1:10" x14ac:dyDescent="0.3">
      <c r="A2417">
        <v>93</v>
      </c>
      <c r="B2417">
        <v>20380</v>
      </c>
      <c r="C2417" t="s">
        <v>5521</v>
      </c>
      <c r="D2417" t="s">
        <v>5522</v>
      </c>
      <c r="E2417" t="s">
        <v>5523</v>
      </c>
      <c r="F2417" t="s">
        <v>7</v>
      </c>
      <c r="G2417" t="s">
        <v>8</v>
      </c>
      <c r="H2417">
        <v>15000000</v>
      </c>
      <c r="I2417">
        <v>5.9</v>
      </c>
      <c r="J2417" t="s">
        <v>9305</v>
      </c>
    </row>
    <row r="2418" spans="1:10" x14ac:dyDescent="0.3">
      <c r="A2418">
        <v>101</v>
      </c>
      <c r="B2418">
        <v>70906973</v>
      </c>
      <c r="C2418" t="s">
        <v>1511</v>
      </c>
      <c r="D2418" t="s">
        <v>5525</v>
      </c>
      <c r="E2418" t="s">
        <v>5526</v>
      </c>
      <c r="F2418" t="s">
        <v>7</v>
      </c>
      <c r="G2418" t="s">
        <v>8</v>
      </c>
      <c r="H2418">
        <v>14600000</v>
      </c>
      <c r="I2418">
        <v>7.2</v>
      </c>
      <c r="J2418" t="s">
        <v>8533</v>
      </c>
    </row>
    <row r="2419" spans="1:10" x14ac:dyDescent="0.3">
      <c r="A2419">
        <v>115</v>
      </c>
      <c r="B2419">
        <v>66009973</v>
      </c>
      <c r="C2419" t="s">
        <v>2312</v>
      </c>
      <c r="D2419" t="s">
        <v>5527</v>
      </c>
      <c r="E2419" t="s">
        <v>5528</v>
      </c>
      <c r="F2419" t="s">
        <v>7</v>
      </c>
      <c r="G2419" t="s">
        <v>8</v>
      </c>
      <c r="H2419">
        <v>14800000</v>
      </c>
      <c r="I2419">
        <v>7.2</v>
      </c>
      <c r="J2419" t="s">
        <v>8847</v>
      </c>
    </row>
    <row r="2420" spans="1:10" x14ac:dyDescent="0.3">
      <c r="A2420">
        <v>120</v>
      </c>
      <c r="B2420">
        <v>46338728</v>
      </c>
      <c r="C2420" t="s">
        <v>73</v>
      </c>
      <c r="D2420" t="s">
        <v>5529</v>
      </c>
      <c r="E2420" t="s">
        <v>5530</v>
      </c>
      <c r="F2420" t="s">
        <v>7</v>
      </c>
      <c r="G2420" t="s">
        <v>8</v>
      </c>
      <c r="H2420">
        <v>14500000</v>
      </c>
      <c r="I2420">
        <v>5.0999999999999996</v>
      </c>
      <c r="J2420" t="s">
        <v>9306</v>
      </c>
    </row>
    <row r="2421" spans="1:10" x14ac:dyDescent="0.3">
      <c r="A2421">
        <v>131</v>
      </c>
      <c r="B2421">
        <v>101157447</v>
      </c>
      <c r="C2421" t="s">
        <v>710</v>
      </c>
      <c r="D2421" t="s">
        <v>5531</v>
      </c>
      <c r="E2421" t="s">
        <v>5532</v>
      </c>
      <c r="F2421" t="s">
        <v>7</v>
      </c>
      <c r="G2421" t="s">
        <v>8</v>
      </c>
      <c r="H2421">
        <v>14400000</v>
      </c>
      <c r="I2421">
        <v>5.5</v>
      </c>
      <c r="J2421" t="s">
        <v>9307</v>
      </c>
    </row>
    <row r="2422" spans="1:10" x14ac:dyDescent="0.3">
      <c r="A2422">
        <v>139</v>
      </c>
      <c r="B2422">
        <v>74205</v>
      </c>
      <c r="C2422" t="s">
        <v>1417</v>
      </c>
      <c r="D2422" t="s">
        <v>5533</v>
      </c>
      <c r="E2422" t="s">
        <v>5534</v>
      </c>
      <c r="F2422" t="s">
        <v>7</v>
      </c>
      <c r="G2422" t="s">
        <v>3266</v>
      </c>
      <c r="H2422">
        <v>14200000</v>
      </c>
      <c r="I2422">
        <v>6.2</v>
      </c>
      <c r="J2422" t="s">
        <v>9308</v>
      </c>
    </row>
    <row r="2423" spans="1:10" x14ac:dyDescent="0.3">
      <c r="A2423">
        <v>120</v>
      </c>
      <c r="B2423">
        <v>141319195</v>
      </c>
      <c r="C2423" t="s">
        <v>73</v>
      </c>
      <c r="D2423" t="s">
        <v>5535</v>
      </c>
      <c r="E2423" t="s">
        <v>5536</v>
      </c>
      <c r="F2423" t="s">
        <v>7</v>
      </c>
      <c r="G2423" t="s">
        <v>15</v>
      </c>
      <c r="H2423">
        <v>15000000</v>
      </c>
      <c r="I2423">
        <v>7.2</v>
      </c>
      <c r="J2423" t="s">
        <v>8526</v>
      </c>
    </row>
    <row r="2424" spans="1:10" x14ac:dyDescent="0.3">
      <c r="A2424">
        <v>119</v>
      </c>
      <c r="B2424">
        <v>156645693</v>
      </c>
      <c r="C2424" t="s">
        <v>3768</v>
      </c>
      <c r="D2424" t="s">
        <v>5537</v>
      </c>
      <c r="E2424" t="s">
        <v>5538</v>
      </c>
      <c r="F2424" t="s">
        <v>7</v>
      </c>
      <c r="G2424" t="s">
        <v>8</v>
      </c>
      <c r="H2424">
        <v>14000000</v>
      </c>
      <c r="I2424">
        <v>5.2</v>
      </c>
      <c r="J2424" t="s">
        <v>8461</v>
      </c>
    </row>
    <row r="2425" spans="1:10" x14ac:dyDescent="0.3">
      <c r="A2425">
        <v>125</v>
      </c>
      <c r="B2425">
        <v>178406268</v>
      </c>
      <c r="C2425" t="s">
        <v>672</v>
      </c>
      <c r="D2425" t="s">
        <v>5539</v>
      </c>
      <c r="E2425" t="s">
        <v>5540</v>
      </c>
      <c r="F2425" t="s">
        <v>7</v>
      </c>
      <c r="G2425" t="s">
        <v>8</v>
      </c>
      <c r="H2425">
        <v>14000000</v>
      </c>
      <c r="I2425">
        <v>6.7</v>
      </c>
      <c r="J2425" t="s">
        <v>9309</v>
      </c>
    </row>
    <row r="2426" spans="1:10" x14ac:dyDescent="0.3">
      <c r="A2426">
        <v>108</v>
      </c>
      <c r="B2426">
        <v>109306210</v>
      </c>
      <c r="C2426" t="s">
        <v>650</v>
      </c>
      <c r="D2426" t="s">
        <v>5541</v>
      </c>
      <c r="E2426" t="s">
        <v>5542</v>
      </c>
      <c r="F2426" t="s">
        <v>7</v>
      </c>
      <c r="G2426" t="s">
        <v>132</v>
      </c>
      <c r="H2426">
        <v>15800000</v>
      </c>
      <c r="I2426">
        <v>6.3</v>
      </c>
      <c r="J2426" t="s">
        <v>9164</v>
      </c>
    </row>
    <row r="2427" spans="1:10" x14ac:dyDescent="0.3">
      <c r="A2427">
        <v>145</v>
      </c>
      <c r="B2427">
        <v>70001698</v>
      </c>
      <c r="C2427" t="s">
        <v>3069</v>
      </c>
      <c r="D2427" t="s">
        <v>5543</v>
      </c>
      <c r="E2427" t="s">
        <v>5544</v>
      </c>
      <c r="F2427" t="s">
        <v>7</v>
      </c>
      <c r="G2427" t="s">
        <v>8</v>
      </c>
      <c r="H2427">
        <v>14000000</v>
      </c>
      <c r="I2427">
        <v>5</v>
      </c>
      <c r="J2427" t="s">
        <v>9103</v>
      </c>
    </row>
    <row r="2428" spans="1:10" x14ac:dyDescent="0.3">
      <c r="A2428">
        <v>98</v>
      </c>
      <c r="B2428">
        <v>68856263</v>
      </c>
      <c r="C2428" t="s">
        <v>3333</v>
      </c>
      <c r="D2428" t="s">
        <v>5545</v>
      </c>
      <c r="E2428" t="s">
        <v>5546</v>
      </c>
      <c r="F2428" t="s">
        <v>7</v>
      </c>
      <c r="G2428" t="s">
        <v>8</v>
      </c>
      <c r="H2428">
        <v>15000000</v>
      </c>
      <c r="I2428">
        <v>6.2</v>
      </c>
      <c r="J2428" t="s">
        <v>9310</v>
      </c>
    </row>
    <row r="2429" spans="1:10" x14ac:dyDescent="0.3">
      <c r="A2429">
        <v>101</v>
      </c>
      <c r="B2429">
        <v>51527787</v>
      </c>
      <c r="C2429" t="s">
        <v>2324</v>
      </c>
      <c r="D2429" t="s">
        <v>5547</v>
      </c>
      <c r="E2429" t="s">
        <v>5548</v>
      </c>
      <c r="F2429" t="s">
        <v>7</v>
      </c>
      <c r="G2429" t="s">
        <v>8</v>
      </c>
      <c r="H2429">
        <v>15000000</v>
      </c>
      <c r="I2429">
        <v>7.6</v>
      </c>
      <c r="J2429" t="s">
        <v>8853</v>
      </c>
    </row>
    <row r="2430" spans="1:10" x14ac:dyDescent="0.3">
      <c r="A2430">
        <v>109</v>
      </c>
      <c r="B2430">
        <v>61356221</v>
      </c>
      <c r="C2430" t="s">
        <v>3307</v>
      </c>
      <c r="D2430" t="s">
        <v>5549</v>
      </c>
      <c r="E2430" t="s">
        <v>5550</v>
      </c>
      <c r="F2430" t="s">
        <v>7</v>
      </c>
      <c r="G2430" t="s">
        <v>8</v>
      </c>
      <c r="H2430">
        <v>14000000</v>
      </c>
      <c r="I2430">
        <v>4.0999999999999996</v>
      </c>
      <c r="J2430" t="s">
        <v>9088</v>
      </c>
    </row>
    <row r="2431" spans="1:10" x14ac:dyDescent="0.3">
      <c r="A2431">
        <v>123</v>
      </c>
      <c r="B2431">
        <v>46800000</v>
      </c>
      <c r="C2431" t="s">
        <v>78</v>
      </c>
      <c r="D2431" t="s">
        <v>5551</v>
      </c>
      <c r="E2431" t="s">
        <v>5552</v>
      </c>
      <c r="F2431" t="s">
        <v>7</v>
      </c>
      <c r="G2431" t="s">
        <v>15</v>
      </c>
      <c r="H2431">
        <v>14000000</v>
      </c>
      <c r="I2431">
        <v>5.3</v>
      </c>
      <c r="J2431" t="s">
        <v>9311</v>
      </c>
    </row>
    <row r="2432" spans="1:10" x14ac:dyDescent="0.3">
      <c r="A2432">
        <v>99</v>
      </c>
      <c r="B2432">
        <v>38048637</v>
      </c>
      <c r="C2432" t="s">
        <v>1249</v>
      </c>
      <c r="D2432" t="s">
        <v>5553</v>
      </c>
      <c r="E2432" t="s">
        <v>5554</v>
      </c>
      <c r="F2432" t="s">
        <v>7</v>
      </c>
      <c r="G2432" t="s">
        <v>8</v>
      </c>
      <c r="H2432">
        <v>14000000</v>
      </c>
      <c r="I2432">
        <v>6.2</v>
      </c>
      <c r="J2432" t="s">
        <v>8401</v>
      </c>
    </row>
    <row r="2433" spans="1:10" x14ac:dyDescent="0.3">
      <c r="A2433">
        <v>107</v>
      </c>
      <c r="B2433">
        <v>34793160</v>
      </c>
      <c r="C2433" t="s">
        <v>2975</v>
      </c>
      <c r="D2433" t="s">
        <v>5555</v>
      </c>
      <c r="E2433" t="s">
        <v>5556</v>
      </c>
      <c r="F2433" t="s">
        <v>7</v>
      </c>
      <c r="G2433" t="s">
        <v>8</v>
      </c>
      <c r="H2433">
        <v>14000000</v>
      </c>
      <c r="I2433">
        <v>6.5</v>
      </c>
      <c r="J2433" t="s">
        <v>9312</v>
      </c>
    </row>
    <row r="2434" spans="1:10" x14ac:dyDescent="0.3">
      <c r="A2434">
        <v>81</v>
      </c>
      <c r="B2434">
        <v>30628981</v>
      </c>
      <c r="C2434" t="s">
        <v>672</v>
      </c>
      <c r="D2434" t="s">
        <v>5557</v>
      </c>
      <c r="E2434" t="s">
        <v>5558</v>
      </c>
      <c r="F2434" t="s">
        <v>7</v>
      </c>
      <c r="G2434" t="s">
        <v>8</v>
      </c>
      <c r="H2434">
        <v>14000000</v>
      </c>
      <c r="I2434">
        <v>8.1</v>
      </c>
      <c r="J2434" t="s">
        <v>9313</v>
      </c>
    </row>
    <row r="2435" spans="1:10" x14ac:dyDescent="0.3">
      <c r="A2435">
        <v>105</v>
      </c>
      <c r="B2435">
        <v>29959436</v>
      </c>
      <c r="C2435" t="s">
        <v>2495</v>
      </c>
      <c r="D2435" t="s">
        <v>5559</v>
      </c>
      <c r="E2435" t="s">
        <v>5560</v>
      </c>
      <c r="F2435" t="s">
        <v>7</v>
      </c>
      <c r="G2435" t="s">
        <v>15</v>
      </c>
      <c r="H2435">
        <v>13000000</v>
      </c>
      <c r="I2435">
        <v>6.3</v>
      </c>
      <c r="J2435" t="s">
        <v>9314</v>
      </c>
    </row>
    <row r="2436" spans="1:10" x14ac:dyDescent="0.3">
      <c r="A2436">
        <v>82</v>
      </c>
      <c r="B2436">
        <v>25571351</v>
      </c>
      <c r="C2436" t="s">
        <v>3733</v>
      </c>
      <c r="D2436" t="s">
        <v>5561</v>
      </c>
      <c r="E2436" t="s">
        <v>5562</v>
      </c>
      <c r="F2436" t="s">
        <v>7</v>
      </c>
      <c r="G2436" t="s">
        <v>8</v>
      </c>
      <c r="H2436">
        <v>14000000</v>
      </c>
      <c r="I2436">
        <v>4.4000000000000004</v>
      </c>
      <c r="J2436" t="s">
        <v>9315</v>
      </c>
    </row>
    <row r="2437" spans="1:10" x14ac:dyDescent="0.3">
      <c r="A2437">
        <v>109</v>
      </c>
      <c r="B2437">
        <v>27515786</v>
      </c>
      <c r="C2437" t="s">
        <v>73</v>
      </c>
      <c r="D2437" t="s">
        <v>5563</v>
      </c>
      <c r="E2437" t="s">
        <v>5564</v>
      </c>
      <c r="F2437" t="s">
        <v>7</v>
      </c>
      <c r="G2437" t="s">
        <v>8</v>
      </c>
      <c r="H2437">
        <v>14000000</v>
      </c>
      <c r="I2437">
        <v>4.5999999999999996</v>
      </c>
      <c r="J2437" t="s">
        <v>9316</v>
      </c>
    </row>
    <row r="2438" spans="1:10" x14ac:dyDescent="0.3">
      <c r="A2438">
        <v>95</v>
      </c>
      <c r="B2438">
        <v>25482931</v>
      </c>
      <c r="C2438" t="s">
        <v>148</v>
      </c>
      <c r="D2438" t="s">
        <v>5565</v>
      </c>
      <c r="E2438" t="s">
        <v>5566</v>
      </c>
      <c r="F2438" t="s">
        <v>7</v>
      </c>
      <c r="G2438" t="s">
        <v>8</v>
      </c>
      <c r="H2438">
        <v>14000000</v>
      </c>
      <c r="I2438">
        <v>6</v>
      </c>
      <c r="J2438" t="s">
        <v>9317</v>
      </c>
    </row>
    <row r="2439" spans="1:10" x14ac:dyDescent="0.3">
      <c r="A2439">
        <v>100</v>
      </c>
      <c r="B2439">
        <v>19900000</v>
      </c>
      <c r="C2439" t="s">
        <v>4081</v>
      </c>
      <c r="D2439" t="s">
        <v>5567</v>
      </c>
      <c r="E2439" t="s">
        <v>5568</v>
      </c>
      <c r="F2439" t="s">
        <v>7</v>
      </c>
      <c r="G2439" t="s">
        <v>8</v>
      </c>
      <c r="H2439">
        <v>20000000</v>
      </c>
      <c r="I2439">
        <v>7.6</v>
      </c>
      <c r="J2439" t="s">
        <v>8608</v>
      </c>
    </row>
    <row r="2440" spans="1:10" x14ac:dyDescent="0.3">
      <c r="A2440">
        <v>91</v>
      </c>
      <c r="B2440">
        <v>16298046</v>
      </c>
      <c r="C2440" t="s">
        <v>1249</v>
      </c>
      <c r="D2440" t="s">
        <v>5569</v>
      </c>
      <c r="E2440" t="s">
        <v>5570</v>
      </c>
      <c r="F2440" t="s">
        <v>7</v>
      </c>
      <c r="G2440" t="s">
        <v>15</v>
      </c>
      <c r="H2440">
        <v>14000000</v>
      </c>
      <c r="I2440">
        <v>8.4</v>
      </c>
      <c r="J2440" t="s">
        <v>8294</v>
      </c>
    </row>
    <row r="2441" spans="1:10" x14ac:dyDescent="0.3">
      <c r="A2441">
        <v>90</v>
      </c>
      <c r="B2441">
        <v>15549702</v>
      </c>
      <c r="C2441" t="s">
        <v>672</v>
      </c>
      <c r="D2441" t="s">
        <v>5571</v>
      </c>
      <c r="E2441" t="s">
        <v>5572</v>
      </c>
      <c r="F2441" t="s">
        <v>7</v>
      </c>
      <c r="G2441" t="s">
        <v>8</v>
      </c>
      <c r="H2441">
        <v>14000000</v>
      </c>
      <c r="I2441">
        <v>7.9</v>
      </c>
      <c r="J2441" t="s">
        <v>9318</v>
      </c>
    </row>
    <row r="2442" spans="1:10" x14ac:dyDescent="0.3">
      <c r="A2442">
        <v>108</v>
      </c>
      <c r="B2442">
        <v>15483540</v>
      </c>
      <c r="C2442" t="s">
        <v>5573</v>
      </c>
      <c r="D2442" t="s">
        <v>5574</v>
      </c>
      <c r="E2442" t="s">
        <v>5575</v>
      </c>
      <c r="F2442" t="s">
        <v>7</v>
      </c>
      <c r="G2442" t="s">
        <v>8</v>
      </c>
      <c r="H2442">
        <v>14000000</v>
      </c>
      <c r="I2442">
        <v>5.6</v>
      </c>
      <c r="J2442" t="s">
        <v>8712</v>
      </c>
    </row>
    <row r="2443" spans="1:10" x14ac:dyDescent="0.3">
      <c r="A2443">
        <v>103</v>
      </c>
      <c r="B2443">
        <v>20246959</v>
      </c>
      <c r="C2443" t="s">
        <v>672</v>
      </c>
      <c r="D2443" t="s">
        <v>5576</v>
      </c>
      <c r="E2443" t="s">
        <v>5577</v>
      </c>
      <c r="F2443" t="s">
        <v>7</v>
      </c>
      <c r="G2443" t="s">
        <v>8</v>
      </c>
      <c r="H2443">
        <v>14000000</v>
      </c>
      <c r="I2443">
        <v>6.5</v>
      </c>
      <c r="J2443" t="s">
        <v>8919</v>
      </c>
    </row>
    <row r="2444" spans="1:10" x14ac:dyDescent="0.3">
      <c r="A2444">
        <v>96</v>
      </c>
      <c r="B2444">
        <v>15062898</v>
      </c>
      <c r="C2444" t="s">
        <v>668</v>
      </c>
      <c r="D2444" t="s">
        <v>5578</v>
      </c>
      <c r="E2444" t="s">
        <v>5579</v>
      </c>
      <c r="F2444" t="s">
        <v>7</v>
      </c>
      <c r="G2444" t="s">
        <v>8</v>
      </c>
      <c r="H2444">
        <v>14000000</v>
      </c>
      <c r="I2444">
        <v>7.5</v>
      </c>
      <c r="J2444" t="s">
        <v>8983</v>
      </c>
    </row>
    <row r="2445" spans="1:10" x14ac:dyDescent="0.3">
      <c r="A2445">
        <v>117</v>
      </c>
      <c r="B2445">
        <v>14348123</v>
      </c>
      <c r="C2445" t="s">
        <v>4964</v>
      </c>
      <c r="D2445" t="s">
        <v>5580</v>
      </c>
      <c r="E2445" t="s">
        <v>5581</v>
      </c>
      <c r="F2445" t="s">
        <v>7</v>
      </c>
      <c r="G2445" t="s">
        <v>2993</v>
      </c>
      <c r="H2445">
        <v>12000000</v>
      </c>
      <c r="I2445">
        <v>6.3</v>
      </c>
      <c r="J2445" t="s">
        <v>8719</v>
      </c>
    </row>
    <row r="2446" spans="1:10" x14ac:dyDescent="0.3">
      <c r="A2446">
        <v>93</v>
      </c>
      <c r="B2446">
        <v>15171475</v>
      </c>
      <c r="C2446" t="s">
        <v>3143</v>
      </c>
      <c r="D2446" t="s">
        <v>5582</v>
      </c>
      <c r="E2446" t="s">
        <v>5583</v>
      </c>
      <c r="F2446" t="s">
        <v>7</v>
      </c>
      <c r="G2446" t="s">
        <v>8</v>
      </c>
      <c r="H2446">
        <v>8500000</v>
      </c>
      <c r="I2446">
        <v>7.9</v>
      </c>
      <c r="J2446" t="s">
        <v>8762</v>
      </c>
    </row>
    <row r="2447" spans="1:10" x14ac:dyDescent="0.3">
      <c r="A2447">
        <v>115</v>
      </c>
      <c r="B2447">
        <v>13640000</v>
      </c>
      <c r="C2447" t="s">
        <v>1040</v>
      </c>
      <c r="D2447" t="s">
        <v>5584</v>
      </c>
      <c r="E2447" t="s">
        <v>5585</v>
      </c>
      <c r="F2447" t="s">
        <v>7</v>
      </c>
      <c r="G2447" t="s">
        <v>8</v>
      </c>
      <c r="H2447">
        <v>14000000</v>
      </c>
      <c r="I2447">
        <v>7.9</v>
      </c>
      <c r="J2447" t="s">
        <v>8480</v>
      </c>
    </row>
    <row r="2448" spans="1:10" x14ac:dyDescent="0.3">
      <c r="A2448">
        <v>85</v>
      </c>
      <c r="B2448">
        <v>12610731</v>
      </c>
      <c r="C2448" t="s">
        <v>912</v>
      </c>
      <c r="D2448" t="s">
        <v>5586</v>
      </c>
      <c r="E2448" t="s">
        <v>5587</v>
      </c>
      <c r="F2448" t="s">
        <v>7</v>
      </c>
      <c r="G2448" t="s">
        <v>8</v>
      </c>
      <c r="H2448">
        <v>11000000</v>
      </c>
      <c r="I2448">
        <v>5.0999999999999996</v>
      </c>
      <c r="J2448" t="s">
        <v>9319</v>
      </c>
    </row>
    <row r="2449" spans="1:10" x14ac:dyDescent="0.3">
      <c r="A2449">
        <v>112</v>
      </c>
      <c r="B2449">
        <v>11204499</v>
      </c>
      <c r="C2449" t="s">
        <v>2754</v>
      </c>
      <c r="D2449" t="s">
        <v>5588</v>
      </c>
      <c r="E2449" t="s">
        <v>5589</v>
      </c>
      <c r="F2449" t="s">
        <v>7</v>
      </c>
      <c r="G2449" t="s">
        <v>8</v>
      </c>
      <c r="H2449">
        <v>14000000</v>
      </c>
      <c r="I2449">
        <v>6.7</v>
      </c>
      <c r="J2449" t="s">
        <v>8872</v>
      </c>
    </row>
    <row r="2450" spans="1:10" x14ac:dyDescent="0.3">
      <c r="A2450">
        <v>86</v>
      </c>
      <c r="B2450">
        <v>10397365</v>
      </c>
      <c r="C2450" t="s">
        <v>5590</v>
      </c>
      <c r="D2450" t="s">
        <v>5591</v>
      </c>
      <c r="E2450" t="s">
        <v>5592</v>
      </c>
      <c r="F2450" t="s">
        <v>7</v>
      </c>
      <c r="G2450" t="s">
        <v>8</v>
      </c>
      <c r="H2450">
        <v>14000000</v>
      </c>
      <c r="I2450">
        <v>6.7</v>
      </c>
      <c r="J2450" t="s">
        <v>9089</v>
      </c>
    </row>
    <row r="2451" spans="1:10" x14ac:dyDescent="0.3">
      <c r="A2451">
        <v>86</v>
      </c>
      <c r="B2451">
        <v>9402410</v>
      </c>
      <c r="C2451" t="s">
        <v>1765</v>
      </c>
      <c r="D2451" t="s">
        <v>5593</v>
      </c>
      <c r="E2451" t="s">
        <v>5594</v>
      </c>
      <c r="F2451" t="s">
        <v>7</v>
      </c>
      <c r="G2451" t="s">
        <v>8</v>
      </c>
      <c r="H2451">
        <v>14000000</v>
      </c>
      <c r="I2451">
        <v>5.6</v>
      </c>
      <c r="J2451" t="s">
        <v>9320</v>
      </c>
    </row>
    <row r="2452" spans="1:10" x14ac:dyDescent="0.3">
      <c r="A2452">
        <v>137</v>
      </c>
      <c r="B2452">
        <v>5459824</v>
      </c>
      <c r="C2452" t="s">
        <v>73</v>
      </c>
      <c r="D2452" t="s">
        <v>5595</v>
      </c>
      <c r="E2452" t="s">
        <v>5596</v>
      </c>
      <c r="F2452" t="s">
        <v>7</v>
      </c>
      <c r="G2452" t="s">
        <v>8</v>
      </c>
      <c r="H2452">
        <v>26000000</v>
      </c>
      <c r="I2452">
        <v>5.6</v>
      </c>
      <c r="J2452" t="s">
        <v>8626</v>
      </c>
    </row>
    <row r="2453" spans="1:10" x14ac:dyDescent="0.3">
      <c r="A2453">
        <v>90</v>
      </c>
      <c r="B2453">
        <v>5108820</v>
      </c>
      <c r="C2453" t="s">
        <v>780</v>
      </c>
      <c r="D2453" t="s">
        <v>5597</v>
      </c>
      <c r="E2453" t="s">
        <v>5598</v>
      </c>
      <c r="F2453" t="s">
        <v>7</v>
      </c>
      <c r="G2453" t="s">
        <v>8</v>
      </c>
      <c r="H2453">
        <v>24000000</v>
      </c>
      <c r="I2453">
        <v>6.8</v>
      </c>
      <c r="J2453" t="s">
        <v>8322</v>
      </c>
    </row>
    <row r="2454" spans="1:10" x14ac:dyDescent="0.3">
      <c r="A2454">
        <v>107</v>
      </c>
      <c r="B2454">
        <v>4741987</v>
      </c>
      <c r="C2454" t="s">
        <v>1417</v>
      </c>
      <c r="D2454" t="s">
        <v>5599</v>
      </c>
      <c r="E2454" t="s">
        <v>5600</v>
      </c>
      <c r="F2454" t="s">
        <v>7</v>
      </c>
      <c r="G2454" t="s">
        <v>8</v>
      </c>
      <c r="H2454">
        <v>14000000</v>
      </c>
      <c r="I2454">
        <v>6.2</v>
      </c>
      <c r="J2454" t="s">
        <v>9321</v>
      </c>
    </row>
    <row r="2455" spans="1:10" x14ac:dyDescent="0.3">
      <c r="A2455">
        <v>98</v>
      </c>
      <c r="B2455">
        <v>4291965</v>
      </c>
      <c r="C2455" t="s">
        <v>2495</v>
      </c>
      <c r="D2455" t="s">
        <v>5601</v>
      </c>
      <c r="E2455" t="s">
        <v>5602</v>
      </c>
      <c r="F2455" t="s">
        <v>7</v>
      </c>
      <c r="G2455" t="s">
        <v>583</v>
      </c>
      <c r="H2455">
        <v>14000000</v>
      </c>
      <c r="I2455">
        <v>5.6</v>
      </c>
      <c r="J2455" t="s">
        <v>9278</v>
      </c>
    </row>
    <row r="2456" spans="1:10" x14ac:dyDescent="0.3">
      <c r="A2456">
        <v>84</v>
      </c>
      <c r="B2456">
        <v>3100650</v>
      </c>
      <c r="C2456" t="s">
        <v>2578</v>
      </c>
      <c r="D2456" t="s">
        <v>5603</v>
      </c>
      <c r="E2456" t="s">
        <v>5604</v>
      </c>
      <c r="F2456" t="s">
        <v>7</v>
      </c>
      <c r="G2456" t="s">
        <v>8</v>
      </c>
      <c r="H2456">
        <v>14000000</v>
      </c>
      <c r="I2456">
        <v>6.4</v>
      </c>
      <c r="J2456" t="s">
        <v>8923</v>
      </c>
    </row>
    <row r="2457" spans="1:10" x14ac:dyDescent="0.3">
      <c r="A2457">
        <v>139</v>
      </c>
      <c r="B2457">
        <v>2474000</v>
      </c>
      <c r="C2457" t="s">
        <v>2569</v>
      </c>
      <c r="D2457" t="s">
        <v>5605</v>
      </c>
      <c r="E2457" t="s">
        <v>5606</v>
      </c>
      <c r="F2457" t="s">
        <v>7</v>
      </c>
      <c r="G2457" t="s">
        <v>583</v>
      </c>
      <c r="H2457">
        <v>14000000</v>
      </c>
      <c r="I2457">
        <v>5.6</v>
      </c>
      <c r="J2457" t="s">
        <v>8693</v>
      </c>
    </row>
    <row r="2458" spans="1:10" x14ac:dyDescent="0.3">
      <c r="A2458">
        <v>127</v>
      </c>
      <c r="B2458">
        <v>1000000</v>
      </c>
      <c r="C2458" t="s">
        <v>516</v>
      </c>
      <c r="D2458" t="s">
        <v>5607</v>
      </c>
      <c r="E2458" t="s">
        <v>5608</v>
      </c>
      <c r="F2458" t="s">
        <v>7</v>
      </c>
      <c r="G2458" t="s">
        <v>5609</v>
      </c>
      <c r="H2458">
        <v>14000000</v>
      </c>
      <c r="I2458">
        <v>7.4</v>
      </c>
      <c r="J2458" t="s">
        <v>9019</v>
      </c>
    </row>
    <row r="2459" spans="1:10" x14ac:dyDescent="0.3">
      <c r="A2459">
        <v>150</v>
      </c>
      <c r="B2459">
        <v>3958500</v>
      </c>
      <c r="C2459" t="s">
        <v>2495</v>
      </c>
      <c r="D2459" t="s">
        <v>5610</v>
      </c>
      <c r="E2459" t="s">
        <v>5611</v>
      </c>
      <c r="F2459" t="s">
        <v>7</v>
      </c>
      <c r="G2459" t="s">
        <v>15</v>
      </c>
      <c r="H2459">
        <v>8200000</v>
      </c>
      <c r="I2459">
        <v>4.9000000000000004</v>
      </c>
      <c r="J2459" t="s">
        <v>9322</v>
      </c>
    </row>
    <row r="2460" spans="1:10" x14ac:dyDescent="0.3">
      <c r="A2460">
        <v>132</v>
      </c>
      <c r="B2460">
        <v>274299</v>
      </c>
      <c r="C2460" t="s">
        <v>5612</v>
      </c>
      <c r="D2460" t="s">
        <v>5613</v>
      </c>
      <c r="E2460" t="s">
        <v>5614</v>
      </c>
      <c r="F2460" t="s">
        <v>7</v>
      </c>
      <c r="G2460" t="s">
        <v>583</v>
      </c>
      <c r="H2460">
        <v>103000000</v>
      </c>
      <c r="I2460">
        <v>6</v>
      </c>
      <c r="J2460" t="s">
        <v>9323</v>
      </c>
    </row>
    <row r="2461" spans="1:10" x14ac:dyDescent="0.3">
      <c r="A2461">
        <v>115</v>
      </c>
      <c r="B2461">
        <v>183088</v>
      </c>
      <c r="C2461" t="s">
        <v>4964</v>
      </c>
      <c r="D2461" t="s">
        <v>5615</v>
      </c>
      <c r="E2461" t="s">
        <v>5616</v>
      </c>
      <c r="F2461" t="s">
        <v>7</v>
      </c>
      <c r="G2461" t="s">
        <v>8</v>
      </c>
      <c r="H2461">
        <v>15000000</v>
      </c>
      <c r="I2461">
        <v>7.2</v>
      </c>
      <c r="J2461" t="s">
        <v>9324</v>
      </c>
    </row>
    <row r="2462" spans="1:10" x14ac:dyDescent="0.3">
      <c r="A2462">
        <v>186</v>
      </c>
      <c r="B2462">
        <v>46495</v>
      </c>
      <c r="C2462" t="s">
        <v>1417</v>
      </c>
      <c r="D2462" t="s">
        <v>5617</v>
      </c>
      <c r="E2462" t="s">
        <v>5618</v>
      </c>
      <c r="F2462" t="s">
        <v>7</v>
      </c>
      <c r="G2462" t="s">
        <v>8</v>
      </c>
      <c r="H2462">
        <v>14000000</v>
      </c>
      <c r="I2462">
        <v>4.9000000000000004</v>
      </c>
      <c r="J2462" t="s">
        <v>8914</v>
      </c>
    </row>
    <row r="2463" spans="1:10" x14ac:dyDescent="0.3">
      <c r="A2463">
        <v>90</v>
      </c>
      <c r="B2463">
        <v>1752214</v>
      </c>
      <c r="C2463" t="s">
        <v>561</v>
      </c>
      <c r="D2463" t="s">
        <v>5619</v>
      </c>
      <c r="E2463" t="s">
        <v>5620</v>
      </c>
      <c r="F2463" t="s">
        <v>7</v>
      </c>
      <c r="G2463" t="s">
        <v>8</v>
      </c>
      <c r="H2463">
        <v>14000000</v>
      </c>
      <c r="I2463">
        <v>7.5</v>
      </c>
      <c r="J2463" t="s">
        <v>8300</v>
      </c>
    </row>
    <row r="2464" spans="1:10" x14ac:dyDescent="0.3">
      <c r="A2464">
        <v>134</v>
      </c>
      <c r="B2464">
        <v>83025853</v>
      </c>
      <c r="C2464" t="s">
        <v>73</v>
      </c>
      <c r="D2464" t="s">
        <v>5621</v>
      </c>
      <c r="E2464" t="s">
        <v>5622</v>
      </c>
      <c r="F2464" t="s">
        <v>7</v>
      </c>
      <c r="G2464" t="s">
        <v>8</v>
      </c>
      <c r="H2464">
        <v>14000000</v>
      </c>
      <c r="I2464">
        <v>4.8</v>
      </c>
      <c r="J2464" t="s">
        <v>9325</v>
      </c>
    </row>
    <row r="2465" spans="1:10" x14ac:dyDescent="0.3">
      <c r="A2465">
        <v>97</v>
      </c>
      <c r="B2465">
        <v>56631572</v>
      </c>
      <c r="C2465" t="s">
        <v>672</v>
      </c>
      <c r="D2465" t="s">
        <v>5623</v>
      </c>
      <c r="E2465" t="s">
        <v>5624</v>
      </c>
      <c r="F2465" t="s">
        <v>7</v>
      </c>
      <c r="G2465" t="s">
        <v>8</v>
      </c>
      <c r="H2465">
        <v>12000000</v>
      </c>
      <c r="I2465">
        <v>3.1</v>
      </c>
      <c r="J2465" t="s">
        <v>9326</v>
      </c>
    </row>
    <row r="2466" spans="1:10" x14ac:dyDescent="0.3">
      <c r="A2466">
        <v>107</v>
      </c>
      <c r="B2466">
        <v>15854988</v>
      </c>
      <c r="C2466" t="s">
        <v>73</v>
      </c>
      <c r="D2466" t="s">
        <v>5625</v>
      </c>
      <c r="E2466" t="s">
        <v>5626</v>
      </c>
      <c r="F2466" t="s">
        <v>7</v>
      </c>
      <c r="G2466" t="s">
        <v>8</v>
      </c>
      <c r="H2466">
        <v>13500000</v>
      </c>
      <c r="I2466">
        <v>5.8</v>
      </c>
      <c r="J2466" t="s">
        <v>9327</v>
      </c>
    </row>
    <row r="2467" spans="1:10" x14ac:dyDescent="0.3">
      <c r="A2467">
        <v>99</v>
      </c>
      <c r="B2467">
        <v>12282677</v>
      </c>
      <c r="C2467" t="s">
        <v>2299</v>
      </c>
      <c r="D2467" t="s">
        <v>5627</v>
      </c>
      <c r="E2467" t="s">
        <v>5628</v>
      </c>
      <c r="F2467" t="s">
        <v>7</v>
      </c>
      <c r="G2467" t="s">
        <v>8</v>
      </c>
      <c r="H2467">
        <v>14000000</v>
      </c>
      <c r="I2467">
        <v>6.7</v>
      </c>
      <c r="J2467" t="s">
        <v>8567</v>
      </c>
    </row>
    <row r="2468" spans="1:10" x14ac:dyDescent="0.3">
      <c r="A2468">
        <v>124</v>
      </c>
      <c r="B2468">
        <v>7060876</v>
      </c>
      <c r="C2468" t="s">
        <v>617</v>
      </c>
      <c r="D2468" t="s">
        <v>5630</v>
      </c>
      <c r="E2468" t="s">
        <v>5631</v>
      </c>
      <c r="F2468" t="s">
        <v>7</v>
      </c>
      <c r="G2468" t="s">
        <v>15</v>
      </c>
      <c r="H2468">
        <v>13500000</v>
      </c>
      <c r="I2468">
        <v>6.8</v>
      </c>
      <c r="J2468" t="s">
        <v>9328</v>
      </c>
    </row>
    <row r="2469" spans="1:10" x14ac:dyDescent="0.3">
      <c r="A2469">
        <v>110</v>
      </c>
      <c r="B2469">
        <v>14989761</v>
      </c>
      <c r="C2469" t="s">
        <v>386</v>
      </c>
      <c r="D2469" t="s">
        <v>5632</v>
      </c>
      <c r="E2469" t="s">
        <v>5633</v>
      </c>
      <c r="F2469" t="s">
        <v>7</v>
      </c>
      <c r="G2469" t="s">
        <v>15</v>
      </c>
      <c r="H2469">
        <v>15000000</v>
      </c>
      <c r="I2469">
        <v>6.5</v>
      </c>
      <c r="J2469" t="s">
        <v>9329</v>
      </c>
    </row>
    <row r="2470" spans="1:10" x14ac:dyDescent="0.3">
      <c r="A2470">
        <v>178</v>
      </c>
      <c r="B2470">
        <v>5501940</v>
      </c>
      <c r="C2470" t="s">
        <v>1342</v>
      </c>
      <c r="D2470" t="s">
        <v>5634</v>
      </c>
      <c r="E2470" t="s">
        <v>5635</v>
      </c>
      <c r="F2470" t="s">
        <v>3702</v>
      </c>
      <c r="G2470" t="s">
        <v>284</v>
      </c>
      <c r="H2470">
        <v>13500000</v>
      </c>
      <c r="I2470">
        <v>5.9</v>
      </c>
      <c r="J2470" t="s">
        <v>8665</v>
      </c>
    </row>
    <row r="2471" spans="1:10" x14ac:dyDescent="0.3">
      <c r="A2471">
        <v>125</v>
      </c>
      <c r="B2471">
        <v>2086345</v>
      </c>
      <c r="C2471" t="s">
        <v>2663</v>
      </c>
      <c r="D2471" t="s">
        <v>5636</v>
      </c>
      <c r="E2471" t="s">
        <v>5637</v>
      </c>
      <c r="F2471" t="s">
        <v>1146</v>
      </c>
      <c r="G2471" t="s">
        <v>1488</v>
      </c>
      <c r="H2471">
        <v>10000000</v>
      </c>
      <c r="I2471">
        <v>5.5</v>
      </c>
      <c r="J2471" t="s">
        <v>8459</v>
      </c>
    </row>
    <row r="2472" spans="1:10" x14ac:dyDescent="0.3">
      <c r="A2472">
        <v>121</v>
      </c>
      <c r="B2472">
        <v>123922370</v>
      </c>
      <c r="C2472" t="s">
        <v>5638</v>
      </c>
      <c r="D2472" t="s">
        <v>5639</v>
      </c>
      <c r="E2472" t="s">
        <v>5640</v>
      </c>
      <c r="F2472" t="s">
        <v>7</v>
      </c>
      <c r="G2472" t="s">
        <v>8</v>
      </c>
      <c r="H2472">
        <v>13000000</v>
      </c>
      <c r="I2472">
        <v>3.6</v>
      </c>
      <c r="J2472" t="s">
        <v>9330</v>
      </c>
    </row>
    <row r="2473" spans="1:10" x14ac:dyDescent="0.3">
      <c r="A2473">
        <v>100</v>
      </c>
      <c r="B2473">
        <v>163591</v>
      </c>
      <c r="C2473" t="s">
        <v>668</v>
      </c>
      <c r="D2473" t="s">
        <v>5641</v>
      </c>
      <c r="E2473" t="s">
        <v>5642</v>
      </c>
      <c r="F2473" t="s">
        <v>7</v>
      </c>
      <c r="G2473" t="s">
        <v>2387</v>
      </c>
      <c r="H2473">
        <v>13400000</v>
      </c>
      <c r="I2473">
        <v>3.3</v>
      </c>
      <c r="J2473" t="s">
        <v>9331</v>
      </c>
    </row>
    <row r="2474" spans="1:10" x14ac:dyDescent="0.3">
      <c r="A2474">
        <v>115</v>
      </c>
      <c r="B2474">
        <v>73000942</v>
      </c>
      <c r="C2474" t="s">
        <v>1701</v>
      </c>
      <c r="D2474" t="s">
        <v>5643</v>
      </c>
      <c r="E2474" t="s">
        <v>5644</v>
      </c>
      <c r="F2474" t="s">
        <v>7</v>
      </c>
      <c r="G2474" t="s">
        <v>8</v>
      </c>
      <c r="H2474">
        <v>13000000</v>
      </c>
      <c r="I2474">
        <v>7.4</v>
      </c>
      <c r="J2474" t="s">
        <v>9332</v>
      </c>
    </row>
    <row r="2475" spans="1:10" x14ac:dyDescent="0.3">
      <c r="A2475">
        <v>108</v>
      </c>
      <c r="B2475">
        <v>106952327</v>
      </c>
      <c r="C2475" t="s">
        <v>1704</v>
      </c>
      <c r="D2475" t="s">
        <v>5645</v>
      </c>
      <c r="E2475" t="s">
        <v>5646</v>
      </c>
      <c r="F2475" t="s">
        <v>7</v>
      </c>
      <c r="G2475" t="s">
        <v>8</v>
      </c>
      <c r="H2475">
        <v>13000000</v>
      </c>
      <c r="I2475">
        <v>6.7</v>
      </c>
      <c r="J2475" t="s">
        <v>9333</v>
      </c>
    </row>
    <row r="2476" spans="1:10" x14ac:dyDescent="0.3">
      <c r="A2476">
        <v>220</v>
      </c>
      <c r="B2476">
        <v>57300000</v>
      </c>
      <c r="C2476" t="s">
        <v>786</v>
      </c>
      <c r="D2476" t="s">
        <v>5647</v>
      </c>
      <c r="E2476" t="s">
        <v>5648</v>
      </c>
      <c r="F2476" t="s">
        <v>7</v>
      </c>
      <c r="G2476" t="s">
        <v>8</v>
      </c>
      <c r="H2476">
        <v>13000000</v>
      </c>
      <c r="I2476">
        <v>3</v>
      </c>
      <c r="J2476" t="s">
        <v>9334</v>
      </c>
    </row>
    <row r="2477" spans="1:10" x14ac:dyDescent="0.3">
      <c r="A2477">
        <v>112</v>
      </c>
      <c r="B2477">
        <v>91038276</v>
      </c>
      <c r="C2477" t="s">
        <v>3307</v>
      </c>
      <c r="D2477" t="s">
        <v>5649</v>
      </c>
      <c r="E2477" t="s">
        <v>5650</v>
      </c>
      <c r="F2477" t="s">
        <v>7</v>
      </c>
      <c r="G2477" t="s">
        <v>8</v>
      </c>
      <c r="H2477">
        <v>13000000</v>
      </c>
      <c r="I2477">
        <v>7.6</v>
      </c>
      <c r="J2477" t="s">
        <v>8515</v>
      </c>
    </row>
    <row r="2478" spans="1:10" x14ac:dyDescent="0.3">
      <c r="A2478">
        <v>99</v>
      </c>
      <c r="B2478">
        <v>49369900</v>
      </c>
      <c r="C2478" t="s">
        <v>4116</v>
      </c>
      <c r="D2478" t="s">
        <v>5651</v>
      </c>
      <c r="E2478" t="s">
        <v>5652</v>
      </c>
      <c r="F2478" t="s">
        <v>7</v>
      </c>
      <c r="G2478" t="s">
        <v>8</v>
      </c>
      <c r="H2478">
        <v>7000000</v>
      </c>
      <c r="I2478">
        <v>6.4</v>
      </c>
      <c r="J2478" t="s">
        <v>9335</v>
      </c>
    </row>
    <row r="2479" spans="1:10" x14ac:dyDescent="0.3">
      <c r="A2479">
        <v>109</v>
      </c>
      <c r="B2479">
        <v>61693523</v>
      </c>
      <c r="C2479" t="s">
        <v>1417</v>
      </c>
      <c r="D2479" t="s">
        <v>5653</v>
      </c>
      <c r="E2479" t="s">
        <v>5654</v>
      </c>
      <c r="F2479" t="s">
        <v>7</v>
      </c>
      <c r="G2479" t="s">
        <v>8</v>
      </c>
      <c r="H2479">
        <v>13000000</v>
      </c>
      <c r="I2479">
        <v>6.9</v>
      </c>
      <c r="J2479" t="s">
        <v>8426</v>
      </c>
    </row>
    <row r="2480" spans="1:10" x14ac:dyDescent="0.3">
      <c r="A2480">
        <v>83</v>
      </c>
      <c r="B2480">
        <v>46729374</v>
      </c>
      <c r="C2480" t="s">
        <v>4391</v>
      </c>
      <c r="D2480" t="s">
        <v>5655</v>
      </c>
      <c r="E2480" t="s">
        <v>5656</v>
      </c>
      <c r="F2480" t="s">
        <v>7</v>
      </c>
      <c r="G2480" t="s">
        <v>8</v>
      </c>
      <c r="H2480">
        <v>13000000</v>
      </c>
      <c r="I2480">
        <v>6.6</v>
      </c>
      <c r="J2480" t="s">
        <v>9336</v>
      </c>
    </row>
    <row r="2481" spans="1:10" x14ac:dyDescent="0.3">
      <c r="A2481">
        <v>107</v>
      </c>
      <c r="B2481">
        <v>44726644</v>
      </c>
      <c r="C2481" t="s">
        <v>4330</v>
      </c>
      <c r="D2481" t="s">
        <v>5657</v>
      </c>
      <c r="E2481" t="s">
        <v>5658</v>
      </c>
      <c r="F2481" t="s">
        <v>7</v>
      </c>
      <c r="G2481" t="s">
        <v>8</v>
      </c>
      <c r="H2481">
        <v>13000000</v>
      </c>
      <c r="I2481">
        <v>5.5</v>
      </c>
      <c r="J2481" t="s">
        <v>9119</v>
      </c>
    </row>
    <row r="2482" spans="1:10" x14ac:dyDescent="0.3">
      <c r="A2482">
        <v>102</v>
      </c>
      <c r="B2482">
        <v>44134898</v>
      </c>
      <c r="C2482" t="s">
        <v>1040</v>
      </c>
      <c r="D2482" t="s">
        <v>5659</v>
      </c>
      <c r="E2482" t="s">
        <v>5660</v>
      </c>
      <c r="F2482" t="s">
        <v>7</v>
      </c>
      <c r="G2482" t="s">
        <v>8</v>
      </c>
      <c r="H2482">
        <v>13000000</v>
      </c>
      <c r="I2482">
        <v>6.6</v>
      </c>
      <c r="J2482" t="s">
        <v>9337</v>
      </c>
    </row>
    <row r="2483" spans="1:10" x14ac:dyDescent="0.3">
      <c r="A2483">
        <v>100</v>
      </c>
      <c r="B2483">
        <v>48637684</v>
      </c>
      <c r="C2483" t="s">
        <v>672</v>
      </c>
      <c r="D2483" t="s">
        <v>5661</v>
      </c>
      <c r="E2483" t="s">
        <v>5662</v>
      </c>
      <c r="F2483" t="s">
        <v>7</v>
      </c>
      <c r="G2483" t="s">
        <v>8</v>
      </c>
      <c r="H2483">
        <v>12500000</v>
      </c>
      <c r="I2483">
        <v>5.2</v>
      </c>
      <c r="J2483" t="s">
        <v>9338</v>
      </c>
    </row>
    <row r="2484" spans="1:10" x14ac:dyDescent="0.3">
      <c r="A2484">
        <v>97</v>
      </c>
      <c r="B2484">
        <v>38176108</v>
      </c>
      <c r="C2484" t="s">
        <v>561</v>
      </c>
      <c r="D2484" t="s">
        <v>5663</v>
      </c>
      <c r="E2484" t="s">
        <v>5664</v>
      </c>
      <c r="F2484" t="s">
        <v>7</v>
      </c>
      <c r="G2484" t="s">
        <v>8</v>
      </c>
      <c r="H2484">
        <v>16000000</v>
      </c>
      <c r="I2484">
        <v>4.0999999999999996</v>
      </c>
      <c r="J2484" t="s">
        <v>9339</v>
      </c>
    </row>
    <row r="2485" spans="1:10" x14ac:dyDescent="0.3">
      <c r="A2485">
        <v>92</v>
      </c>
      <c r="B2485">
        <v>28972187</v>
      </c>
      <c r="C2485" t="s">
        <v>668</v>
      </c>
      <c r="D2485" t="s">
        <v>5665</v>
      </c>
      <c r="E2485" t="s">
        <v>5666</v>
      </c>
      <c r="F2485" t="s">
        <v>7</v>
      </c>
      <c r="G2485" t="s">
        <v>8</v>
      </c>
      <c r="H2485">
        <v>13000000</v>
      </c>
      <c r="I2485">
        <v>6.8</v>
      </c>
      <c r="J2485" t="s">
        <v>9340</v>
      </c>
    </row>
    <row r="2486" spans="1:10" x14ac:dyDescent="0.3">
      <c r="A2486">
        <v>84</v>
      </c>
      <c r="B2486">
        <v>27979400</v>
      </c>
      <c r="C2486" t="s">
        <v>704</v>
      </c>
      <c r="D2486" t="s">
        <v>5667</v>
      </c>
      <c r="E2486" t="s">
        <v>5668</v>
      </c>
      <c r="F2486" t="s">
        <v>7</v>
      </c>
      <c r="G2486" t="s">
        <v>8</v>
      </c>
      <c r="H2486">
        <v>8200000</v>
      </c>
      <c r="I2486">
        <v>6.5</v>
      </c>
      <c r="J2486" t="s">
        <v>9341</v>
      </c>
    </row>
    <row r="2487" spans="1:10" x14ac:dyDescent="0.3">
      <c r="A2487">
        <v>86</v>
      </c>
      <c r="B2487">
        <v>54257433</v>
      </c>
      <c r="C2487" t="s">
        <v>1834</v>
      </c>
      <c r="D2487" t="s">
        <v>5669</v>
      </c>
      <c r="E2487" t="s">
        <v>5670</v>
      </c>
      <c r="F2487" t="s">
        <v>7</v>
      </c>
      <c r="G2487" t="s">
        <v>8</v>
      </c>
      <c r="H2487">
        <v>17000000</v>
      </c>
      <c r="I2487">
        <v>7.6</v>
      </c>
      <c r="J2487" t="s">
        <v>8515</v>
      </c>
    </row>
    <row r="2488" spans="1:10" x14ac:dyDescent="0.3">
      <c r="A2488">
        <v>120</v>
      </c>
      <c r="B2488">
        <v>23947</v>
      </c>
      <c r="C2488" t="s">
        <v>1215</v>
      </c>
      <c r="D2488" t="s">
        <v>5671</v>
      </c>
      <c r="E2488" t="s">
        <v>5672</v>
      </c>
      <c r="F2488" t="s">
        <v>7</v>
      </c>
      <c r="G2488" t="s">
        <v>8</v>
      </c>
      <c r="H2488">
        <v>13000000</v>
      </c>
      <c r="I2488">
        <v>7.4</v>
      </c>
      <c r="J2488" t="s">
        <v>8372</v>
      </c>
    </row>
    <row r="2489" spans="1:10" x14ac:dyDescent="0.3">
      <c r="A2489">
        <v>89</v>
      </c>
      <c r="B2489">
        <v>60008303</v>
      </c>
      <c r="C2489" t="s">
        <v>976</v>
      </c>
      <c r="D2489" t="s">
        <v>5673</v>
      </c>
      <c r="E2489" t="s">
        <v>5674</v>
      </c>
      <c r="F2489" t="s">
        <v>7</v>
      </c>
      <c r="G2489" t="s">
        <v>8</v>
      </c>
      <c r="H2489">
        <v>13000000</v>
      </c>
      <c r="I2489">
        <v>7.7</v>
      </c>
      <c r="J2489" t="s">
        <v>8400</v>
      </c>
    </row>
    <row r="2490" spans="1:10" x14ac:dyDescent="0.3">
      <c r="A2490">
        <v>117</v>
      </c>
      <c r="B2490">
        <v>49121934</v>
      </c>
      <c r="C2490" t="s">
        <v>561</v>
      </c>
      <c r="D2490" t="s">
        <v>5675</v>
      </c>
      <c r="E2490" t="s">
        <v>5676</v>
      </c>
      <c r="F2490" t="s">
        <v>7</v>
      </c>
      <c r="G2490" t="s">
        <v>8</v>
      </c>
      <c r="H2490">
        <v>13000000</v>
      </c>
      <c r="I2490">
        <v>7.1</v>
      </c>
      <c r="J2490" t="s">
        <v>9342</v>
      </c>
    </row>
    <row r="2491" spans="1:10" x14ac:dyDescent="0.3">
      <c r="A2491">
        <v>97</v>
      </c>
      <c r="B2491">
        <v>27141959</v>
      </c>
      <c r="C2491" t="s">
        <v>5677</v>
      </c>
      <c r="D2491" t="s">
        <v>5678</v>
      </c>
      <c r="E2491" t="s">
        <v>5679</v>
      </c>
      <c r="F2491" t="s">
        <v>7</v>
      </c>
      <c r="G2491" t="s">
        <v>8</v>
      </c>
      <c r="H2491">
        <v>18000000</v>
      </c>
      <c r="I2491">
        <v>6.3</v>
      </c>
      <c r="J2491" t="s">
        <v>9343</v>
      </c>
    </row>
    <row r="2492" spans="1:10" x14ac:dyDescent="0.3">
      <c r="A2492">
        <v>91</v>
      </c>
      <c r="B2492">
        <v>27052167</v>
      </c>
      <c r="C2492" t="s">
        <v>148</v>
      </c>
      <c r="D2492" t="s">
        <v>5680</v>
      </c>
      <c r="E2492" t="s">
        <v>5681</v>
      </c>
      <c r="F2492" t="s">
        <v>7</v>
      </c>
      <c r="G2492" t="s">
        <v>8</v>
      </c>
      <c r="H2492">
        <v>13000000</v>
      </c>
      <c r="I2492">
        <v>7.6</v>
      </c>
      <c r="J2492" t="s">
        <v>9344</v>
      </c>
    </row>
    <row r="2493" spans="1:10" x14ac:dyDescent="0.3">
      <c r="A2493">
        <v>100</v>
      </c>
      <c r="B2493">
        <v>26539321</v>
      </c>
      <c r="C2493" t="s">
        <v>1641</v>
      </c>
      <c r="D2493" t="s">
        <v>5682</v>
      </c>
      <c r="E2493" t="s">
        <v>5683</v>
      </c>
      <c r="F2493" t="s">
        <v>7</v>
      </c>
      <c r="G2493" t="s">
        <v>8</v>
      </c>
      <c r="H2493">
        <v>13000000</v>
      </c>
      <c r="I2493">
        <v>8</v>
      </c>
      <c r="J2493" t="s">
        <v>8404</v>
      </c>
    </row>
    <row r="2494" spans="1:10" x14ac:dyDescent="0.3">
      <c r="A2494">
        <v>72</v>
      </c>
      <c r="B2494">
        <v>28501605</v>
      </c>
      <c r="C2494" t="s">
        <v>3143</v>
      </c>
      <c r="D2494" t="s">
        <v>5684</v>
      </c>
      <c r="E2494" t="s">
        <v>5685</v>
      </c>
      <c r="F2494" t="s">
        <v>7</v>
      </c>
      <c r="G2494" t="s">
        <v>8</v>
      </c>
      <c r="H2494">
        <v>13000000</v>
      </c>
      <c r="I2494">
        <v>7.3</v>
      </c>
      <c r="J2494" t="s">
        <v>9345</v>
      </c>
    </row>
    <row r="2495" spans="1:10" x14ac:dyDescent="0.3">
      <c r="A2495">
        <v>84</v>
      </c>
      <c r="B2495">
        <v>52543632</v>
      </c>
      <c r="C2495" t="s">
        <v>609</v>
      </c>
      <c r="D2495" t="s">
        <v>5686</v>
      </c>
      <c r="E2495" t="s">
        <v>5687</v>
      </c>
      <c r="F2495" t="s">
        <v>7</v>
      </c>
      <c r="G2495" t="s">
        <v>8</v>
      </c>
      <c r="H2495">
        <v>13200000</v>
      </c>
      <c r="I2495">
        <v>7.6</v>
      </c>
      <c r="J2495" t="s">
        <v>8633</v>
      </c>
    </row>
    <row r="2496" spans="1:10" x14ac:dyDescent="0.3">
      <c r="A2496">
        <v>126</v>
      </c>
      <c r="B2496">
        <v>25592632</v>
      </c>
      <c r="C2496" t="s">
        <v>2701</v>
      </c>
      <c r="D2496" t="s">
        <v>5688</v>
      </c>
      <c r="E2496" t="s">
        <v>5689</v>
      </c>
      <c r="F2496" t="s">
        <v>7</v>
      </c>
      <c r="G2496" t="s">
        <v>8</v>
      </c>
      <c r="H2496">
        <v>18000000</v>
      </c>
      <c r="I2496">
        <v>7.8</v>
      </c>
      <c r="J2496" t="s">
        <v>9152</v>
      </c>
    </row>
    <row r="2497" spans="1:10" x14ac:dyDescent="0.3">
      <c r="A2497">
        <v>108</v>
      </c>
      <c r="B2497">
        <v>25440971</v>
      </c>
      <c r="C2497" t="s">
        <v>909</v>
      </c>
      <c r="D2497" t="s">
        <v>5690</v>
      </c>
      <c r="E2497" t="s">
        <v>5691</v>
      </c>
      <c r="F2497" t="s">
        <v>7</v>
      </c>
      <c r="G2497" t="s">
        <v>15</v>
      </c>
      <c r="H2497">
        <v>15000000</v>
      </c>
      <c r="I2497">
        <v>6.5</v>
      </c>
      <c r="J2497" t="s">
        <v>8528</v>
      </c>
    </row>
    <row r="2498" spans="1:10" x14ac:dyDescent="0.3">
      <c r="A2498">
        <v>112</v>
      </c>
      <c r="B2498">
        <v>22858926</v>
      </c>
      <c r="C2498" t="s">
        <v>3336</v>
      </c>
      <c r="D2498" t="s">
        <v>5692</v>
      </c>
      <c r="E2498" t="s">
        <v>5693</v>
      </c>
      <c r="F2498" t="s">
        <v>7</v>
      </c>
      <c r="G2498" t="s">
        <v>8</v>
      </c>
      <c r="H2498">
        <v>13000000</v>
      </c>
      <c r="I2498">
        <v>6.4</v>
      </c>
      <c r="J2498" t="s">
        <v>8648</v>
      </c>
    </row>
    <row r="2499" spans="1:10" x14ac:dyDescent="0.3">
      <c r="A2499">
        <v>90</v>
      </c>
      <c r="B2499">
        <v>22235901</v>
      </c>
      <c r="C2499" t="s">
        <v>672</v>
      </c>
      <c r="D2499" t="s">
        <v>5694</v>
      </c>
      <c r="E2499" t="s">
        <v>5695</v>
      </c>
      <c r="F2499" t="s">
        <v>7</v>
      </c>
      <c r="G2499" t="s">
        <v>8</v>
      </c>
      <c r="H2499">
        <v>6000000</v>
      </c>
      <c r="I2499">
        <v>8</v>
      </c>
      <c r="J2499" t="s">
        <v>9346</v>
      </c>
    </row>
    <row r="2500" spans="1:10" x14ac:dyDescent="0.3">
      <c r="A2500">
        <v>91</v>
      </c>
      <c r="B2500">
        <v>38916903</v>
      </c>
      <c r="C2500" t="s">
        <v>5696</v>
      </c>
      <c r="D2500" t="s">
        <v>5697</v>
      </c>
      <c r="E2500" t="s">
        <v>5698</v>
      </c>
      <c r="F2500" t="s">
        <v>7</v>
      </c>
      <c r="G2500" t="s">
        <v>8</v>
      </c>
      <c r="H2500">
        <v>13000000</v>
      </c>
      <c r="I2500">
        <v>4.8</v>
      </c>
      <c r="J2500" t="s">
        <v>8624</v>
      </c>
    </row>
    <row r="2501" spans="1:10" x14ac:dyDescent="0.3">
      <c r="A2501">
        <v>135</v>
      </c>
      <c r="B2501">
        <v>16929123</v>
      </c>
      <c r="C2501" t="s">
        <v>73</v>
      </c>
      <c r="D2501" t="s">
        <v>5699</v>
      </c>
      <c r="E2501" t="s">
        <v>5700</v>
      </c>
      <c r="F2501" t="s">
        <v>7</v>
      </c>
      <c r="G2501" t="s">
        <v>8</v>
      </c>
      <c r="H2501">
        <v>14000000</v>
      </c>
      <c r="I2501">
        <v>7.8</v>
      </c>
      <c r="J2501" t="s">
        <v>8763</v>
      </c>
    </row>
    <row r="2502" spans="1:10" x14ac:dyDescent="0.3">
      <c r="A2502">
        <v>141</v>
      </c>
      <c r="B2502">
        <v>13753931</v>
      </c>
      <c r="C2502" t="s">
        <v>799</v>
      </c>
      <c r="D2502" t="s">
        <v>5701</v>
      </c>
      <c r="E2502" t="s">
        <v>5702</v>
      </c>
      <c r="F2502" t="s">
        <v>247</v>
      </c>
      <c r="G2502" t="s">
        <v>8</v>
      </c>
      <c r="H2502">
        <v>19000000</v>
      </c>
      <c r="I2502">
        <v>5.9</v>
      </c>
      <c r="J2502" t="s">
        <v>8382</v>
      </c>
    </row>
    <row r="2503" spans="1:10" x14ac:dyDescent="0.3">
      <c r="A2503">
        <v>104</v>
      </c>
      <c r="B2503">
        <v>10996440</v>
      </c>
      <c r="C2503" t="s">
        <v>242</v>
      </c>
      <c r="D2503" t="s">
        <v>5703</v>
      </c>
      <c r="E2503" t="s">
        <v>5704</v>
      </c>
      <c r="F2503" t="s">
        <v>7</v>
      </c>
      <c r="G2503" t="s">
        <v>8</v>
      </c>
      <c r="H2503">
        <v>13000000</v>
      </c>
      <c r="I2503">
        <v>5.4</v>
      </c>
      <c r="J2503" t="s">
        <v>9347</v>
      </c>
    </row>
    <row r="2504" spans="1:10" x14ac:dyDescent="0.3">
      <c r="A2504">
        <v>84</v>
      </c>
      <c r="B2504">
        <v>8026971</v>
      </c>
      <c r="C2504" t="s">
        <v>672</v>
      </c>
      <c r="D2504" t="s">
        <v>5705</v>
      </c>
      <c r="E2504" t="s">
        <v>5706</v>
      </c>
      <c r="F2504" t="s">
        <v>7</v>
      </c>
      <c r="G2504" t="s">
        <v>8</v>
      </c>
      <c r="H2504">
        <v>13000000</v>
      </c>
      <c r="I2504">
        <v>3.3</v>
      </c>
      <c r="J2504" t="s">
        <v>9348</v>
      </c>
    </row>
    <row r="2505" spans="1:10" x14ac:dyDescent="0.3">
      <c r="A2505">
        <v>118</v>
      </c>
      <c r="B2505">
        <v>14677654</v>
      </c>
      <c r="C2505" t="s">
        <v>1417</v>
      </c>
      <c r="D2505" t="s">
        <v>5707</v>
      </c>
      <c r="E2505" t="s">
        <v>5708</v>
      </c>
      <c r="F2505" t="s">
        <v>7</v>
      </c>
      <c r="G2505" t="s">
        <v>3376</v>
      </c>
      <c r="H2505">
        <v>13000000</v>
      </c>
      <c r="I2505">
        <v>8.1999999999999993</v>
      </c>
      <c r="J2505" t="s">
        <v>8331</v>
      </c>
    </row>
    <row r="2506" spans="1:10" x14ac:dyDescent="0.3">
      <c r="A2506">
        <v>95</v>
      </c>
      <c r="B2506">
        <v>7881335</v>
      </c>
      <c r="C2506" t="s">
        <v>2509</v>
      </c>
      <c r="D2506" t="s">
        <v>5709</v>
      </c>
      <c r="E2506" t="s">
        <v>5710</v>
      </c>
      <c r="F2506" t="s">
        <v>7</v>
      </c>
      <c r="G2506" t="s">
        <v>8</v>
      </c>
      <c r="H2506">
        <v>13000000</v>
      </c>
      <c r="I2506">
        <v>5.4</v>
      </c>
      <c r="J2506" t="s">
        <v>8726</v>
      </c>
    </row>
    <row r="2507" spans="1:10" x14ac:dyDescent="0.3">
      <c r="A2507">
        <v>94</v>
      </c>
      <c r="B2507">
        <v>6241697</v>
      </c>
      <c r="C2507" t="s">
        <v>668</v>
      </c>
      <c r="D2507" t="s">
        <v>5711</v>
      </c>
      <c r="E2507" t="s">
        <v>5712</v>
      </c>
      <c r="F2507" t="s">
        <v>7</v>
      </c>
      <c r="G2507" t="s">
        <v>583</v>
      </c>
      <c r="H2507">
        <v>13000000</v>
      </c>
      <c r="I2507">
        <v>6.4</v>
      </c>
      <c r="J2507" t="s">
        <v>8558</v>
      </c>
    </row>
    <row r="2508" spans="1:10" x14ac:dyDescent="0.3">
      <c r="A2508">
        <v>99</v>
      </c>
      <c r="B2508">
        <v>5871603</v>
      </c>
      <c r="C2508" t="s">
        <v>1704</v>
      </c>
      <c r="D2508" t="s">
        <v>5713</v>
      </c>
      <c r="E2508" t="s">
        <v>5714</v>
      </c>
      <c r="F2508" t="s">
        <v>7</v>
      </c>
      <c r="G2508" t="s">
        <v>8</v>
      </c>
      <c r="H2508">
        <v>13000000</v>
      </c>
      <c r="I2508">
        <v>4.8</v>
      </c>
      <c r="J2508" t="s">
        <v>9349</v>
      </c>
    </row>
    <row r="2509" spans="1:10" x14ac:dyDescent="0.3">
      <c r="A2509">
        <v>121</v>
      </c>
      <c r="B2509">
        <v>16574731</v>
      </c>
      <c r="C2509" t="s">
        <v>2605</v>
      </c>
      <c r="D2509" t="s">
        <v>5715</v>
      </c>
      <c r="E2509" t="s">
        <v>5716</v>
      </c>
      <c r="F2509" t="s">
        <v>7</v>
      </c>
      <c r="G2509" t="s">
        <v>8</v>
      </c>
      <c r="H2509">
        <v>13000000</v>
      </c>
      <c r="I2509">
        <v>5.9</v>
      </c>
      <c r="J2509" t="s">
        <v>8868</v>
      </c>
    </row>
    <row r="2510" spans="1:10" x14ac:dyDescent="0.3">
      <c r="A2510">
        <v>84</v>
      </c>
      <c r="B2510">
        <v>5002310</v>
      </c>
      <c r="C2510" t="s">
        <v>5717</v>
      </c>
      <c r="D2510" t="s">
        <v>5718</v>
      </c>
      <c r="E2510" t="s">
        <v>5719</v>
      </c>
      <c r="F2510" t="s">
        <v>7</v>
      </c>
      <c r="G2510" t="s">
        <v>8</v>
      </c>
      <c r="H2510">
        <v>13000000</v>
      </c>
      <c r="I2510">
        <v>5.5</v>
      </c>
      <c r="J2510" t="s">
        <v>9350</v>
      </c>
    </row>
    <row r="2511" spans="1:10" x14ac:dyDescent="0.3">
      <c r="A2511">
        <v>93</v>
      </c>
      <c r="B2511">
        <v>4919896</v>
      </c>
      <c r="C2511" t="s">
        <v>2509</v>
      </c>
      <c r="D2511" t="s">
        <v>5720</v>
      </c>
      <c r="E2511" t="s">
        <v>5721</v>
      </c>
      <c r="F2511" t="s">
        <v>7</v>
      </c>
      <c r="G2511" t="s">
        <v>15</v>
      </c>
      <c r="H2511">
        <v>13000000</v>
      </c>
      <c r="I2511">
        <v>7.9</v>
      </c>
      <c r="J2511" t="s">
        <v>8522</v>
      </c>
    </row>
    <row r="2512" spans="1:10" x14ac:dyDescent="0.3">
      <c r="A2512">
        <v>93</v>
      </c>
      <c r="B2512">
        <v>25675765</v>
      </c>
      <c r="C2512" t="s">
        <v>668</v>
      </c>
      <c r="D2512" t="s">
        <v>5722</v>
      </c>
      <c r="E2512" t="s">
        <v>5723</v>
      </c>
      <c r="F2512" t="s">
        <v>7</v>
      </c>
      <c r="G2512" t="s">
        <v>8</v>
      </c>
      <c r="H2512">
        <v>13000000</v>
      </c>
      <c r="I2512">
        <v>4.9000000000000004</v>
      </c>
      <c r="J2512" t="s">
        <v>9351</v>
      </c>
    </row>
    <row r="2513" spans="1:10" x14ac:dyDescent="0.3">
      <c r="A2513">
        <v>120</v>
      </c>
      <c r="B2513">
        <v>4857376</v>
      </c>
      <c r="C2513" t="s">
        <v>561</v>
      </c>
      <c r="D2513" t="s">
        <v>5724</v>
      </c>
      <c r="E2513" t="s">
        <v>5725</v>
      </c>
      <c r="F2513" t="s">
        <v>582</v>
      </c>
      <c r="G2513" t="s">
        <v>583</v>
      </c>
      <c r="H2513">
        <v>13000000</v>
      </c>
      <c r="I2513">
        <v>7.2</v>
      </c>
      <c r="J2513" t="s">
        <v>8989</v>
      </c>
    </row>
    <row r="2514" spans="1:10" x14ac:dyDescent="0.3">
      <c r="A2514">
        <v>112</v>
      </c>
      <c r="B2514">
        <v>3169424</v>
      </c>
      <c r="C2514" t="s">
        <v>1578</v>
      </c>
      <c r="D2514" t="s">
        <v>5726</v>
      </c>
      <c r="E2514" t="s">
        <v>5727</v>
      </c>
      <c r="F2514" t="s">
        <v>7</v>
      </c>
      <c r="G2514" t="s">
        <v>8</v>
      </c>
      <c r="H2514">
        <v>13000000</v>
      </c>
      <c r="I2514">
        <v>6.6</v>
      </c>
      <c r="J2514" t="s">
        <v>9352</v>
      </c>
    </row>
    <row r="2515" spans="1:10" x14ac:dyDescent="0.3">
      <c r="A2515">
        <v>107</v>
      </c>
      <c r="B2515">
        <v>18004225</v>
      </c>
      <c r="C2515" t="s">
        <v>561</v>
      </c>
      <c r="D2515" t="s">
        <v>5728</v>
      </c>
      <c r="E2515" t="s">
        <v>5729</v>
      </c>
      <c r="F2515" t="s">
        <v>7</v>
      </c>
      <c r="G2515" t="s">
        <v>8</v>
      </c>
      <c r="H2515">
        <v>13000000</v>
      </c>
      <c r="I2515">
        <v>6.7</v>
      </c>
      <c r="J2515" t="s">
        <v>9196</v>
      </c>
    </row>
    <row r="2516" spans="1:10" x14ac:dyDescent="0.3">
      <c r="A2516">
        <v>112</v>
      </c>
      <c r="B2516">
        <v>3058380</v>
      </c>
      <c r="C2516" t="s">
        <v>73</v>
      </c>
      <c r="D2516" t="s">
        <v>5730</v>
      </c>
      <c r="E2516" t="s">
        <v>5731</v>
      </c>
      <c r="F2516" t="s">
        <v>582</v>
      </c>
      <c r="G2516" t="s">
        <v>583</v>
      </c>
      <c r="H2516">
        <v>100000000</v>
      </c>
      <c r="I2516">
        <v>5.3</v>
      </c>
      <c r="J2516" t="s">
        <v>9353</v>
      </c>
    </row>
    <row r="2517" spans="1:10" x14ac:dyDescent="0.3">
      <c r="A2517">
        <v>96</v>
      </c>
      <c r="B2517">
        <v>3074838</v>
      </c>
      <c r="C2517" t="s">
        <v>1356</v>
      </c>
      <c r="D2517" t="s">
        <v>5732</v>
      </c>
      <c r="E2517" t="s">
        <v>5733</v>
      </c>
      <c r="F2517" t="s">
        <v>7</v>
      </c>
      <c r="G2517" t="s">
        <v>8</v>
      </c>
      <c r="H2517">
        <v>11000000</v>
      </c>
      <c r="I2517">
        <v>7.2</v>
      </c>
      <c r="J2517" t="s">
        <v>9354</v>
      </c>
    </row>
    <row r="2518" spans="1:10" x14ac:dyDescent="0.3">
      <c r="A2518">
        <v>91</v>
      </c>
      <c r="B2518">
        <v>2104000</v>
      </c>
      <c r="C2518" t="s">
        <v>3876</v>
      </c>
      <c r="D2518" t="s">
        <v>5734</v>
      </c>
      <c r="E2518" t="s">
        <v>5735</v>
      </c>
      <c r="F2518" t="s">
        <v>7</v>
      </c>
      <c r="G2518" t="s">
        <v>8</v>
      </c>
      <c r="H2518">
        <v>13000000</v>
      </c>
      <c r="I2518">
        <v>5.0999999999999996</v>
      </c>
      <c r="J2518" t="s">
        <v>8707</v>
      </c>
    </row>
    <row r="2519" spans="1:10" x14ac:dyDescent="0.3">
      <c r="A2519">
        <v>125</v>
      </c>
      <c r="B2519">
        <v>1172769</v>
      </c>
      <c r="C2519" t="s">
        <v>738</v>
      </c>
      <c r="D2519" t="s">
        <v>5736</v>
      </c>
      <c r="E2519" t="s">
        <v>5737</v>
      </c>
      <c r="F2519" t="s">
        <v>7</v>
      </c>
      <c r="G2519" t="s">
        <v>284</v>
      </c>
      <c r="H2519">
        <v>13000000</v>
      </c>
      <c r="I2519">
        <v>5.6</v>
      </c>
      <c r="J2519" t="s">
        <v>9355</v>
      </c>
    </row>
    <row r="2520" spans="1:10" x14ac:dyDescent="0.3">
      <c r="A2520">
        <v>102</v>
      </c>
      <c r="B2520">
        <v>17738570</v>
      </c>
      <c r="C2520" t="s">
        <v>73</v>
      </c>
      <c r="D2520" t="s">
        <v>5738</v>
      </c>
      <c r="E2520" t="s">
        <v>5739</v>
      </c>
      <c r="F2520" t="s">
        <v>7</v>
      </c>
      <c r="G2520" t="s">
        <v>8</v>
      </c>
      <c r="H2520">
        <v>13000000</v>
      </c>
      <c r="I2520">
        <v>7.6</v>
      </c>
      <c r="J2520" t="s">
        <v>8989</v>
      </c>
    </row>
    <row r="2521" spans="1:10" x14ac:dyDescent="0.3">
      <c r="A2521">
        <v>87</v>
      </c>
      <c r="B2521">
        <v>1200000</v>
      </c>
      <c r="C2521" t="s">
        <v>521</v>
      </c>
      <c r="D2521" t="s">
        <v>5740</v>
      </c>
      <c r="E2521" t="s">
        <v>5741</v>
      </c>
      <c r="F2521" t="s">
        <v>7</v>
      </c>
      <c r="G2521" t="s">
        <v>8</v>
      </c>
      <c r="H2521">
        <v>3000000</v>
      </c>
      <c r="I2521">
        <v>3.1</v>
      </c>
      <c r="J2521" t="s">
        <v>9284</v>
      </c>
    </row>
    <row r="2522" spans="1:10" x14ac:dyDescent="0.3">
      <c r="A2522">
        <v>118</v>
      </c>
      <c r="B2522">
        <v>1150403</v>
      </c>
      <c r="C2522" t="s">
        <v>694</v>
      </c>
      <c r="D2522" t="s">
        <v>5742</v>
      </c>
      <c r="E2522" t="s">
        <v>5743</v>
      </c>
      <c r="F2522" t="s">
        <v>7</v>
      </c>
      <c r="G2522" t="s">
        <v>8</v>
      </c>
      <c r="H2522">
        <v>13000000</v>
      </c>
      <c r="I2522">
        <v>7.2</v>
      </c>
      <c r="J2522" t="s">
        <v>9356</v>
      </c>
    </row>
    <row r="2523" spans="1:10" x14ac:dyDescent="0.3">
      <c r="A2523">
        <v>115</v>
      </c>
      <c r="B2523">
        <v>403932</v>
      </c>
      <c r="C2523" t="s">
        <v>1688</v>
      </c>
      <c r="D2523" t="s">
        <v>5744</v>
      </c>
      <c r="E2523" t="s">
        <v>5745</v>
      </c>
      <c r="F2523" t="s">
        <v>7</v>
      </c>
      <c r="G2523" t="s">
        <v>15</v>
      </c>
      <c r="H2523">
        <v>20000000</v>
      </c>
      <c r="I2523">
        <v>5.7</v>
      </c>
      <c r="J2523" t="s">
        <v>9357</v>
      </c>
    </row>
    <row r="2524" spans="1:10" x14ac:dyDescent="0.3">
      <c r="A2524">
        <v>91</v>
      </c>
      <c r="B2524">
        <v>1712111</v>
      </c>
      <c r="C2524" t="s">
        <v>2324</v>
      </c>
      <c r="D2524" t="s">
        <v>5746</v>
      </c>
      <c r="E2524" t="s">
        <v>5747</v>
      </c>
      <c r="F2524" t="s">
        <v>7</v>
      </c>
      <c r="G2524" t="s">
        <v>8</v>
      </c>
      <c r="H2524">
        <v>8495000</v>
      </c>
      <c r="I2524">
        <v>5.2</v>
      </c>
      <c r="J2524" t="s">
        <v>9128</v>
      </c>
    </row>
    <row r="2525" spans="1:10" x14ac:dyDescent="0.3">
      <c r="A2525">
        <v>88</v>
      </c>
      <c r="B2525">
        <v>1024175</v>
      </c>
      <c r="C2525" t="s">
        <v>3205</v>
      </c>
      <c r="D2525" t="s">
        <v>5748</v>
      </c>
      <c r="E2525" t="s">
        <v>5749</v>
      </c>
      <c r="F2525" t="s">
        <v>7</v>
      </c>
      <c r="G2525" t="s">
        <v>15</v>
      </c>
      <c r="H2525">
        <v>13000000</v>
      </c>
      <c r="I2525">
        <v>7.7</v>
      </c>
      <c r="J2525" t="s">
        <v>8543</v>
      </c>
    </row>
    <row r="2526" spans="1:10" x14ac:dyDescent="0.3">
      <c r="A2526">
        <v>127</v>
      </c>
      <c r="B2526">
        <v>301305</v>
      </c>
      <c r="C2526" t="s">
        <v>2353</v>
      </c>
      <c r="D2526" t="s">
        <v>5750</v>
      </c>
      <c r="E2526" t="s">
        <v>5751</v>
      </c>
      <c r="F2526" t="s">
        <v>5752</v>
      </c>
      <c r="G2526" t="s">
        <v>8</v>
      </c>
      <c r="H2526">
        <v>13000000</v>
      </c>
      <c r="I2526">
        <v>7</v>
      </c>
      <c r="J2526" t="s">
        <v>9358</v>
      </c>
    </row>
    <row r="2527" spans="1:10" x14ac:dyDescent="0.3">
      <c r="A2527">
        <v>94</v>
      </c>
      <c r="B2527">
        <v>51872378</v>
      </c>
      <c r="C2527" t="s">
        <v>609</v>
      </c>
      <c r="D2527" t="s">
        <v>5753</v>
      </c>
      <c r="E2527" t="s">
        <v>5754</v>
      </c>
      <c r="F2527" t="s">
        <v>7</v>
      </c>
      <c r="G2527" t="s">
        <v>8</v>
      </c>
      <c r="H2527">
        <v>13000000</v>
      </c>
      <c r="I2527">
        <v>3.6</v>
      </c>
      <c r="J2527" t="s">
        <v>9359</v>
      </c>
    </row>
    <row r="2528" spans="1:10" x14ac:dyDescent="0.3">
      <c r="A2528">
        <v>115</v>
      </c>
      <c r="B2528">
        <v>31662</v>
      </c>
      <c r="C2528" t="s">
        <v>389</v>
      </c>
      <c r="D2528" t="s">
        <v>5755</v>
      </c>
      <c r="E2528" t="s">
        <v>5756</v>
      </c>
      <c r="F2528" t="s">
        <v>7</v>
      </c>
      <c r="G2528" t="s">
        <v>2387</v>
      </c>
      <c r="H2528">
        <v>12620000</v>
      </c>
      <c r="I2528">
        <v>4.9000000000000004</v>
      </c>
      <c r="J2528" t="s">
        <v>9360</v>
      </c>
    </row>
    <row r="2529" spans="1:10" x14ac:dyDescent="0.3">
      <c r="A2529">
        <v>90</v>
      </c>
      <c r="B2529">
        <v>28399192</v>
      </c>
      <c r="C2529" t="s">
        <v>5757</v>
      </c>
      <c r="D2529" t="s">
        <v>5758</v>
      </c>
      <c r="E2529" t="s">
        <v>5759</v>
      </c>
      <c r="F2529" t="s">
        <v>7</v>
      </c>
      <c r="G2529" t="s">
        <v>132</v>
      </c>
      <c r="H2529">
        <v>13000000</v>
      </c>
      <c r="I2529">
        <v>6</v>
      </c>
      <c r="J2529" t="s">
        <v>9361</v>
      </c>
    </row>
    <row r="2530" spans="1:10" x14ac:dyDescent="0.3">
      <c r="A2530">
        <v>102</v>
      </c>
      <c r="B2530">
        <v>2035566</v>
      </c>
      <c r="C2530" t="s">
        <v>5760</v>
      </c>
      <c r="D2530" t="s">
        <v>5761</v>
      </c>
      <c r="E2530" t="s">
        <v>5762</v>
      </c>
      <c r="F2530" t="s">
        <v>7</v>
      </c>
      <c r="G2530" t="s">
        <v>583</v>
      </c>
      <c r="H2530">
        <v>13000000</v>
      </c>
      <c r="I2530">
        <v>6.6</v>
      </c>
      <c r="J2530" t="s">
        <v>8989</v>
      </c>
    </row>
    <row r="2531" spans="1:10" x14ac:dyDescent="0.3">
      <c r="A2531">
        <v>117</v>
      </c>
      <c r="B2531">
        <v>21078145</v>
      </c>
      <c r="C2531" t="s">
        <v>617</v>
      </c>
      <c r="D2531" t="s">
        <v>5764</v>
      </c>
      <c r="E2531" t="s">
        <v>5765</v>
      </c>
      <c r="F2531" t="s">
        <v>7</v>
      </c>
      <c r="G2531" t="s">
        <v>8</v>
      </c>
      <c r="H2531">
        <v>12500000</v>
      </c>
      <c r="I2531">
        <v>6.8</v>
      </c>
      <c r="J2531" t="s">
        <v>9362</v>
      </c>
    </row>
    <row r="2532" spans="1:10" x14ac:dyDescent="0.3">
      <c r="A2532">
        <v>109</v>
      </c>
      <c r="B2532">
        <v>14060950</v>
      </c>
      <c r="C2532" t="s">
        <v>1417</v>
      </c>
      <c r="D2532" t="s">
        <v>5766</v>
      </c>
      <c r="E2532" t="s">
        <v>5767</v>
      </c>
      <c r="F2532" t="s">
        <v>7</v>
      </c>
      <c r="G2532" t="s">
        <v>8</v>
      </c>
      <c r="H2532">
        <v>12500000</v>
      </c>
      <c r="I2532">
        <v>7.2</v>
      </c>
      <c r="J2532" t="s">
        <v>8796</v>
      </c>
    </row>
    <row r="2533" spans="1:10" x14ac:dyDescent="0.3">
      <c r="A2533">
        <v>121</v>
      </c>
      <c r="B2533">
        <v>12281500</v>
      </c>
      <c r="C2533" t="s">
        <v>2438</v>
      </c>
      <c r="D2533" t="s">
        <v>5768</v>
      </c>
      <c r="E2533" t="s">
        <v>5769</v>
      </c>
      <c r="F2533" t="s">
        <v>7</v>
      </c>
      <c r="G2533" t="s">
        <v>8</v>
      </c>
      <c r="H2533">
        <v>13000000</v>
      </c>
      <c r="I2533">
        <v>7.2</v>
      </c>
      <c r="J2533" t="s">
        <v>9363</v>
      </c>
    </row>
    <row r="2534" spans="1:10" x14ac:dyDescent="0.3">
      <c r="A2534">
        <v>100</v>
      </c>
      <c r="B2534">
        <v>10725228</v>
      </c>
      <c r="C2534" t="s">
        <v>1274</v>
      </c>
      <c r="D2534" t="s">
        <v>5770</v>
      </c>
      <c r="E2534" t="s">
        <v>5771</v>
      </c>
      <c r="F2534" t="s">
        <v>7</v>
      </c>
      <c r="G2534" t="s">
        <v>8</v>
      </c>
      <c r="H2534">
        <v>12500000</v>
      </c>
      <c r="I2534">
        <v>2.8</v>
      </c>
      <c r="J2534" t="s">
        <v>9364</v>
      </c>
    </row>
    <row r="2535" spans="1:10" x14ac:dyDescent="0.3">
      <c r="A2535">
        <v>109</v>
      </c>
      <c r="B2535">
        <v>214966</v>
      </c>
      <c r="C2535" t="s">
        <v>873</v>
      </c>
      <c r="D2535" t="s">
        <v>5772</v>
      </c>
      <c r="E2535" t="s">
        <v>5773</v>
      </c>
      <c r="F2535" t="s">
        <v>7</v>
      </c>
      <c r="G2535" t="s">
        <v>8</v>
      </c>
      <c r="H2535">
        <v>13000000</v>
      </c>
      <c r="I2535">
        <v>6.6</v>
      </c>
      <c r="J2535" t="s">
        <v>9054</v>
      </c>
    </row>
    <row r="2536" spans="1:10" x14ac:dyDescent="0.3">
      <c r="A2536">
        <v>101</v>
      </c>
      <c r="B2536">
        <v>11956207</v>
      </c>
      <c r="C2536" t="s">
        <v>2141</v>
      </c>
      <c r="D2536" t="s">
        <v>5774</v>
      </c>
      <c r="E2536" t="s">
        <v>5775</v>
      </c>
      <c r="F2536" t="s">
        <v>7</v>
      </c>
      <c r="G2536" t="s">
        <v>8</v>
      </c>
      <c r="H2536">
        <v>16000000</v>
      </c>
      <c r="I2536">
        <v>6.7</v>
      </c>
      <c r="J2536" t="s">
        <v>9365</v>
      </c>
    </row>
    <row r="2537" spans="1:10" x14ac:dyDescent="0.3">
      <c r="A2537">
        <v>106</v>
      </c>
      <c r="B2537">
        <v>5949693</v>
      </c>
      <c r="C2537" t="s">
        <v>561</v>
      </c>
      <c r="D2537" t="s">
        <v>5776</v>
      </c>
      <c r="E2537" t="s">
        <v>5777</v>
      </c>
      <c r="F2537" t="s">
        <v>7</v>
      </c>
      <c r="G2537" t="s">
        <v>8</v>
      </c>
      <c r="H2537">
        <v>12000000</v>
      </c>
      <c r="I2537">
        <v>7</v>
      </c>
      <c r="J2537" t="s">
        <v>8757</v>
      </c>
    </row>
    <row r="2538" spans="1:10" x14ac:dyDescent="0.3">
      <c r="A2538">
        <v>94</v>
      </c>
      <c r="B2538">
        <v>9030581</v>
      </c>
      <c r="C2538" t="s">
        <v>1410</v>
      </c>
      <c r="D2538" t="s">
        <v>5778</v>
      </c>
      <c r="E2538" t="s">
        <v>5779</v>
      </c>
      <c r="F2538" t="s">
        <v>7</v>
      </c>
      <c r="G2538" t="s">
        <v>15</v>
      </c>
      <c r="H2538">
        <v>12500000</v>
      </c>
      <c r="I2538">
        <v>4.4000000000000004</v>
      </c>
      <c r="J2538" t="s">
        <v>9366</v>
      </c>
    </row>
    <row r="2539" spans="1:10" x14ac:dyDescent="0.3">
      <c r="A2539">
        <v>140</v>
      </c>
      <c r="B2539">
        <v>4157491</v>
      </c>
      <c r="C2539" t="s">
        <v>5780</v>
      </c>
      <c r="D2539" t="s">
        <v>5781</v>
      </c>
      <c r="E2539" t="s">
        <v>5782</v>
      </c>
      <c r="F2539" t="s">
        <v>7</v>
      </c>
      <c r="G2539" t="s">
        <v>3266</v>
      </c>
      <c r="H2539">
        <v>12800000</v>
      </c>
      <c r="I2539">
        <v>7.1</v>
      </c>
      <c r="J2539" t="s">
        <v>9367</v>
      </c>
    </row>
    <row r="2540" spans="1:10" x14ac:dyDescent="0.3">
      <c r="A2540">
        <v>132</v>
      </c>
      <c r="B2540">
        <v>1508689</v>
      </c>
      <c r="C2540" t="s">
        <v>73</v>
      </c>
      <c r="D2540" t="s">
        <v>5783</v>
      </c>
      <c r="E2540" t="s">
        <v>5784</v>
      </c>
      <c r="F2540" t="s">
        <v>7</v>
      </c>
      <c r="G2540" t="s">
        <v>8</v>
      </c>
      <c r="H2540">
        <v>16000000</v>
      </c>
      <c r="I2540">
        <v>6.2</v>
      </c>
      <c r="J2540" t="s">
        <v>9368</v>
      </c>
    </row>
    <row r="2541" spans="1:10" x14ac:dyDescent="0.3">
      <c r="A2541">
        <v>99</v>
      </c>
      <c r="B2541">
        <v>1227324</v>
      </c>
      <c r="C2541" t="s">
        <v>786</v>
      </c>
      <c r="D2541" t="s">
        <v>5785</v>
      </c>
      <c r="E2541" t="s">
        <v>5786</v>
      </c>
      <c r="F2541" t="s">
        <v>7</v>
      </c>
      <c r="G2541" t="s">
        <v>8</v>
      </c>
      <c r="H2541">
        <v>12500000</v>
      </c>
      <c r="I2541">
        <v>7.3</v>
      </c>
      <c r="J2541" t="s">
        <v>9369</v>
      </c>
    </row>
    <row r="2542" spans="1:10" x14ac:dyDescent="0.3">
      <c r="A2542">
        <v>90</v>
      </c>
      <c r="B2542">
        <v>4360548</v>
      </c>
      <c r="C2542" t="s">
        <v>561</v>
      </c>
      <c r="D2542" t="s">
        <v>5787</v>
      </c>
      <c r="E2542" t="s">
        <v>5788</v>
      </c>
      <c r="F2542" t="s">
        <v>7</v>
      </c>
      <c r="G2542" t="s">
        <v>8</v>
      </c>
      <c r="H2542">
        <v>15000000</v>
      </c>
      <c r="I2542">
        <v>5.0999999999999996</v>
      </c>
      <c r="J2542" t="s">
        <v>9234</v>
      </c>
    </row>
    <row r="2543" spans="1:10" x14ac:dyDescent="0.3">
      <c r="A2543">
        <v>105</v>
      </c>
      <c r="B2543">
        <v>26589953</v>
      </c>
      <c r="C2543" t="s">
        <v>118</v>
      </c>
      <c r="D2543" t="s">
        <v>5789</v>
      </c>
      <c r="E2543" t="s">
        <v>5790</v>
      </c>
      <c r="F2543" t="s">
        <v>7</v>
      </c>
      <c r="G2543" t="s">
        <v>8</v>
      </c>
      <c r="H2543">
        <v>10500000</v>
      </c>
      <c r="I2543">
        <v>8.1</v>
      </c>
      <c r="J2543" t="s">
        <v>8937</v>
      </c>
    </row>
    <row r="2544" spans="1:10" x14ac:dyDescent="0.3">
      <c r="A2544">
        <v>108</v>
      </c>
      <c r="B2544">
        <v>1039869</v>
      </c>
      <c r="C2544" t="s">
        <v>738</v>
      </c>
      <c r="D2544" t="s">
        <v>5791</v>
      </c>
      <c r="E2544" t="s">
        <v>5792</v>
      </c>
      <c r="F2544" t="s">
        <v>7</v>
      </c>
      <c r="G2544" t="s">
        <v>95</v>
      </c>
      <c r="H2544">
        <v>15000000</v>
      </c>
      <c r="I2544">
        <v>6.7</v>
      </c>
      <c r="J2544" t="s">
        <v>9370</v>
      </c>
    </row>
    <row r="2545" spans="1:10" x14ac:dyDescent="0.3">
      <c r="A2545">
        <v>69</v>
      </c>
      <c r="B2545">
        <v>48092846</v>
      </c>
      <c r="C2545" t="s">
        <v>1165</v>
      </c>
      <c r="D2545" t="s">
        <v>5793</v>
      </c>
      <c r="E2545" t="s">
        <v>5794</v>
      </c>
      <c r="F2545" t="s">
        <v>7</v>
      </c>
      <c r="G2545" t="s">
        <v>8</v>
      </c>
      <c r="H2545">
        <v>12500000</v>
      </c>
      <c r="I2545">
        <v>6.6</v>
      </c>
      <c r="J2545" t="s">
        <v>9371</v>
      </c>
    </row>
    <row r="2546" spans="1:10" x14ac:dyDescent="0.3">
      <c r="A2546">
        <v>148</v>
      </c>
      <c r="B2546">
        <v>1110186</v>
      </c>
      <c r="C2546" t="s">
        <v>584</v>
      </c>
      <c r="D2546" t="s">
        <v>5795</v>
      </c>
      <c r="E2546" t="s">
        <v>5796</v>
      </c>
      <c r="F2546" t="s">
        <v>5282</v>
      </c>
      <c r="G2546" t="s">
        <v>2387</v>
      </c>
      <c r="H2546">
        <v>12800000</v>
      </c>
      <c r="I2546">
        <v>4.5</v>
      </c>
      <c r="J2546" t="s">
        <v>9372</v>
      </c>
    </row>
    <row r="2547" spans="1:10" x14ac:dyDescent="0.3">
      <c r="A2547">
        <v>132</v>
      </c>
      <c r="B2547">
        <v>204565000</v>
      </c>
      <c r="C2547" t="s">
        <v>2701</v>
      </c>
      <c r="D2547" t="s">
        <v>5797</v>
      </c>
      <c r="E2547" t="s">
        <v>5798</v>
      </c>
      <c r="F2547" t="s">
        <v>7</v>
      </c>
      <c r="G2547" t="s">
        <v>8</v>
      </c>
      <c r="H2547">
        <v>8000000</v>
      </c>
      <c r="I2547">
        <v>6.6</v>
      </c>
      <c r="J2547" t="s">
        <v>9135</v>
      </c>
    </row>
    <row r="2548" spans="1:10" x14ac:dyDescent="0.3">
      <c r="A2548">
        <v>130</v>
      </c>
      <c r="B2548">
        <v>260000000</v>
      </c>
      <c r="C2548" t="s">
        <v>735</v>
      </c>
      <c r="D2548" t="s">
        <v>5799</v>
      </c>
      <c r="E2548" t="s">
        <v>5800</v>
      </c>
      <c r="F2548" t="s">
        <v>7</v>
      </c>
      <c r="G2548" t="s">
        <v>8</v>
      </c>
      <c r="H2548">
        <v>8000000</v>
      </c>
      <c r="I2548">
        <v>6.5</v>
      </c>
      <c r="J2548" t="s">
        <v>9373</v>
      </c>
    </row>
    <row r="2549" spans="1:10" x14ac:dyDescent="0.3">
      <c r="A2549">
        <v>95</v>
      </c>
      <c r="B2549">
        <v>101736215</v>
      </c>
      <c r="C2549" t="s">
        <v>668</v>
      </c>
      <c r="D2549" t="s">
        <v>5801</v>
      </c>
      <c r="E2549" t="s">
        <v>5802</v>
      </c>
      <c r="F2549" t="s">
        <v>7</v>
      </c>
      <c r="G2549" t="s">
        <v>8</v>
      </c>
      <c r="H2549">
        <v>11000000</v>
      </c>
      <c r="I2549">
        <v>5.9</v>
      </c>
      <c r="J2549" t="s">
        <v>9374</v>
      </c>
    </row>
    <row r="2550" spans="1:10" x14ac:dyDescent="0.3">
      <c r="A2550">
        <v>80</v>
      </c>
      <c r="B2550">
        <v>71442</v>
      </c>
      <c r="C2550" t="s">
        <v>5803</v>
      </c>
      <c r="D2550" t="s">
        <v>5804</v>
      </c>
      <c r="E2550" t="s">
        <v>5805</v>
      </c>
      <c r="F2550" t="s">
        <v>582</v>
      </c>
      <c r="G2550" t="s">
        <v>583</v>
      </c>
      <c r="H2550">
        <v>9600000</v>
      </c>
      <c r="I2550">
        <v>6.6</v>
      </c>
      <c r="J2550" t="s">
        <v>9375</v>
      </c>
    </row>
    <row r="2551" spans="1:10" x14ac:dyDescent="0.3">
      <c r="A2551">
        <v>94</v>
      </c>
      <c r="B2551">
        <v>79817937</v>
      </c>
      <c r="C2551" t="s">
        <v>5806</v>
      </c>
      <c r="D2551" t="s">
        <v>5807</v>
      </c>
      <c r="E2551" t="s">
        <v>5808</v>
      </c>
      <c r="F2551" t="s">
        <v>7</v>
      </c>
      <c r="G2551" t="s">
        <v>8</v>
      </c>
      <c r="H2551">
        <v>25000000</v>
      </c>
      <c r="I2551">
        <v>6.5</v>
      </c>
      <c r="J2551" t="s">
        <v>8360</v>
      </c>
    </row>
    <row r="2552" spans="1:10" x14ac:dyDescent="0.3">
      <c r="A2552">
        <v>122</v>
      </c>
      <c r="B2552">
        <v>91547205</v>
      </c>
      <c r="C2552" t="s">
        <v>672</v>
      </c>
      <c r="D2552" t="s">
        <v>5809</v>
      </c>
      <c r="E2552" t="s">
        <v>5810</v>
      </c>
      <c r="F2552" t="s">
        <v>7</v>
      </c>
      <c r="G2552" t="s">
        <v>8</v>
      </c>
      <c r="H2552">
        <v>12000000</v>
      </c>
      <c r="I2552">
        <v>7.3</v>
      </c>
      <c r="J2552" t="s">
        <v>8518</v>
      </c>
    </row>
    <row r="2553" spans="1:10" x14ac:dyDescent="0.3">
      <c r="A2553">
        <v>102</v>
      </c>
      <c r="B2553">
        <v>75074950</v>
      </c>
      <c r="C2553" t="s">
        <v>1040</v>
      </c>
      <c r="D2553" t="s">
        <v>5811</v>
      </c>
      <c r="E2553" t="s">
        <v>5812</v>
      </c>
      <c r="F2553" t="s">
        <v>7</v>
      </c>
      <c r="G2553" t="s">
        <v>8</v>
      </c>
      <c r="H2553">
        <v>12000000</v>
      </c>
      <c r="I2553">
        <v>7.5</v>
      </c>
      <c r="J2553" t="s">
        <v>8419</v>
      </c>
    </row>
    <row r="2554" spans="1:10" x14ac:dyDescent="0.3">
      <c r="A2554">
        <v>116</v>
      </c>
      <c r="B2554">
        <v>78900000</v>
      </c>
      <c r="C2554" t="s">
        <v>20</v>
      </c>
      <c r="D2554" t="s">
        <v>5813</v>
      </c>
      <c r="E2554" t="s">
        <v>5814</v>
      </c>
      <c r="F2554" t="s">
        <v>7</v>
      </c>
      <c r="G2554" t="s">
        <v>8</v>
      </c>
      <c r="H2554">
        <v>11000000</v>
      </c>
      <c r="I2554">
        <v>5.9</v>
      </c>
      <c r="J2554" t="s">
        <v>9146</v>
      </c>
    </row>
    <row r="2555" spans="1:10" x14ac:dyDescent="0.3">
      <c r="A2555">
        <v>78</v>
      </c>
      <c r="B2555">
        <v>72217000</v>
      </c>
      <c r="C2555" t="s">
        <v>668</v>
      </c>
      <c r="D2555" t="s">
        <v>5815</v>
      </c>
      <c r="E2555" t="s">
        <v>5816</v>
      </c>
      <c r="F2555" t="s">
        <v>7</v>
      </c>
      <c r="G2555" t="s">
        <v>8</v>
      </c>
      <c r="H2555">
        <v>12000000</v>
      </c>
      <c r="I2555">
        <v>7.4</v>
      </c>
      <c r="J2555" t="s">
        <v>8500</v>
      </c>
    </row>
    <row r="2556" spans="1:10" x14ac:dyDescent="0.3">
      <c r="A2556">
        <v>114</v>
      </c>
      <c r="B2556">
        <v>79568000</v>
      </c>
      <c r="C2556" t="s">
        <v>1215</v>
      </c>
      <c r="D2556" t="s">
        <v>5817</v>
      </c>
      <c r="E2556" t="s">
        <v>5818</v>
      </c>
      <c r="F2556" t="s">
        <v>7</v>
      </c>
      <c r="G2556" t="s">
        <v>8</v>
      </c>
      <c r="H2556">
        <v>12000000</v>
      </c>
      <c r="I2556">
        <v>6.9</v>
      </c>
      <c r="J2556" t="s">
        <v>8458</v>
      </c>
    </row>
    <row r="2557" spans="1:10" x14ac:dyDescent="0.3">
      <c r="A2557">
        <v>112</v>
      </c>
      <c r="B2557">
        <v>65500000</v>
      </c>
      <c r="C2557" t="s">
        <v>2211</v>
      </c>
      <c r="D2557" t="s">
        <v>5819</v>
      </c>
      <c r="E2557" t="s">
        <v>5820</v>
      </c>
      <c r="F2557" t="s">
        <v>7</v>
      </c>
      <c r="G2557" t="s">
        <v>8</v>
      </c>
      <c r="H2557">
        <v>12000000</v>
      </c>
      <c r="I2557">
        <v>7.9</v>
      </c>
      <c r="J2557" t="s">
        <v>8400</v>
      </c>
    </row>
    <row r="2558" spans="1:10" x14ac:dyDescent="0.3">
      <c r="A2558">
        <v>110</v>
      </c>
      <c r="B2558">
        <v>70011073</v>
      </c>
      <c r="C2558" t="s">
        <v>5821</v>
      </c>
      <c r="D2558" t="s">
        <v>5822</v>
      </c>
      <c r="E2558" t="s">
        <v>5823</v>
      </c>
      <c r="F2558" t="s">
        <v>7</v>
      </c>
      <c r="G2558" t="s">
        <v>8</v>
      </c>
      <c r="H2558">
        <v>12000000</v>
      </c>
      <c r="I2558">
        <v>8.4</v>
      </c>
      <c r="J2558" t="s">
        <v>8296</v>
      </c>
    </row>
    <row r="2559" spans="1:10" x14ac:dyDescent="0.3">
      <c r="A2559">
        <v>104</v>
      </c>
      <c r="B2559">
        <v>65269010</v>
      </c>
      <c r="C2559" t="s">
        <v>5824</v>
      </c>
      <c r="D2559" t="s">
        <v>5825</v>
      </c>
      <c r="E2559" t="s">
        <v>5826</v>
      </c>
      <c r="F2559" t="s">
        <v>7</v>
      </c>
      <c r="G2559" t="s">
        <v>8</v>
      </c>
      <c r="H2559">
        <v>12000000</v>
      </c>
      <c r="I2559">
        <v>8</v>
      </c>
      <c r="J2559" t="s">
        <v>8616</v>
      </c>
    </row>
    <row r="2560" spans="1:10" x14ac:dyDescent="0.3">
      <c r="A2560">
        <v>81</v>
      </c>
      <c r="B2560">
        <v>63071133</v>
      </c>
      <c r="C2560" t="s">
        <v>5827</v>
      </c>
      <c r="D2560" t="s">
        <v>5828</v>
      </c>
      <c r="E2560" t="s">
        <v>5829</v>
      </c>
      <c r="F2560" t="s">
        <v>7</v>
      </c>
      <c r="G2560" t="s">
        <v>8</v>
      </c>
      <c r="H2560">
        <v>12000000</v>
      </c>
      <c r="I2560">
        <v>6</v>
      </c>
      <c r="J2560" t="s">
        <v>8539</v>
      </c>
    </row>
    <row r="2561" spans="1:10" x14ac:dyDescent="0.3">
      <c r="A2561">
        <v>102</v>
      </c>
      <c r="B2561">
        <v>38087366</v>
      </c>
      <c r="C2561" t="s">
        <v>1765</v>
      </c>
      <c r="D2561" t="s">
        <v>5830</v>
      </c>
      <c r="E2561" t="s">
        <v>5831</v>
      </c>
      <c r="F2561" t="s">
        <v>7</v>
      </c>
      <c r="G2561" t="s">
        <v>8</v>
      </c>
      <c r="H2561">
        <v>12000000</v>
      </c>
      <c r="I2561">
        <v>6.8</v>
      </c>
      <c r="J2561" t="s">
        <v>9376</v>
      </c>
    </row>
    <row r="2562" spans="1:10" x14ac:dyDescent="0.3">
      <c r="A2562">
        <v>89</v>
      </c>
      <c r="B2562">
        <v>64572496</v>
      </c>
      <c r="C2562" t="s">
        <v>1110</v>
      </c>
      <c r="D2562" t="s">
        <v>5832</v>
      </c>
      <c r="E2562" t="s">
        <v>5833</v>
      </c>
      <c r="F2562" t="s">
        <v>7</v>
      </c>
      <c r="G2562" t="s">
        <v>8</v>
      </c>
      <c r="H2562">
        <v>12000000</v>
      </c>
      <c r="I2562">
        <v>7.8</v>
      </c>
      <c r="J2562" t="s">
        <v>8332</v>
      </c>
    </row>
    <row r="2563" spans="1:10" x14ac:dyDescent="0.3">
      <c r="A2563">
        <v>132</v>
      </c>
      <c r="B2563">
        <v>30400000</v>
      </c>
      <c r="C2563" t="s">
        <v>1172</v>
      </c>
      <c r="D2563" t="s">
        <v>5834</v>
      </c>
      <c r="E2563" t="s">
        <v>5835</v>
      </c>
      <c r="F2563" t="s">
        <v>7</v>
      </c>
      <c r="G2563" t="s">
        <v>15</v>
      </c>
      <c r="H2563">
        <v>12000000</v>
      </c>
      <c r="I2563">
        <v>5.7</v>
      </c>
      <c r="J2563" t="s">
        <v>9377</v>
      </c>
    </row>
    <row r="2564" spans="1:10" x14ac:dyDescent="0.3">
      <c r="A2564">
        <v>103</v>
      </c>
      <c r="B2564">
        <v>42365600</v>
      </c>
      <c r="C2564" t="s">
        <v>5836</v>
      </c>
      <c r="D2564" t="s">
        <v>5837</v>
      </c>
      <c r="E2564" t="s">
        <v>5838</v>
      </c>
      <c r="F2564" t="s">
        <v>7</v>
      </c>
      <c r="G2564" t="s">
        <v>15</v>
      </c>
      <c r="H2564">
        <v>5000000</v>
      </c>
      <c r="I2564">
        <v>6.1</v>
      </c>
      <c r="J2564" t="s">
        <v>8497</v>
      </c>
    </row>
    <row r="2565" spans="1:10" x14ac:dyDescent="0.3">
      <c r="A2565">
        <v>93</v>
      </c>
      <c r="B2565">
        <v>37188667</v>
      </c>
      <c r="C2565" t="s">
        <v>1040</v>
      </c>
      <c r="D2565" t="s">
        <v>5839</v>
      </c>
      <c r="E2565" t="s">
        <v>5840</v>
      </c>
      <c r="F2565" t="s">
        <v>7</v>
      </c>
      <c r="G2565" t="s">
        <v>8</v>
      </c>
      <c r="H2565">
        <v>12000000</v>
      </c>
      <c r="I2565">
        <v>8.1</v>
      </c>
      <c r="J2565" t="s">
        <v>9378</v>
      </c>
    </row>
    <row r="2566" spans="1:10" x14ac:dyDescent="0.3">
      <c r="A2566">
        <v>93</v>
      </c>
      <c r="B2566">
        <v>54724272</v>
      </c>
      <c r="C2566" t="s">
        <v>386</v>
      </c>
      <c r="D2566" t="s">
        <v>5841</v>
      </c>
      <c r="E2566" t="s">
        <v>5842</v>
      </c>
      <c r="F2566" t="s">
        <v>7</v>
      </c>
      <c r="G2566" t="s">
        <v>8</v>
      </c>
      <c r="H2566">
        <v>12000000</v>
      </c>
      <c r="I2566">
        <v>6.1</v>
      </c>
      <c r="J2566" t="s">
        <v>9340</v>
      </c>
    </row>
    <row r="2567" spans="1:10" x14ac:dyDescent="0.3">
      <c r="A2567">
        <v>96</v>
      </c>
      <c r="B2567">
        <v>31597131</v>
      </c>
      <c r="C2567" t="s">
        <v>1704</v>
      </c>
      <c r="D2567" t="s">
        <v>5843</v>
      </c>
      <c r="E2567" t="s">
        <v>5844</v>
      </c>
      <c r="F2567" t="s">
        <v>7</v>
      </c>
      <c r="G2567" t="s">
        <v>8</v>
      </c>
      <c r="H2567">
        <v>12000000</v>
      </c>
      <c r="I2567">
        <v>7.5</v>
      </c>
      <c r="J2567" t="s">
        <v>8371</v>
      </c>
    </row>
    <row r="2568" spans="1:10" x14ac:dyDescent="0.3">
      <c r="A2568">
        <v>89</v>
      </c>
      <c r="B2568">
        <v>31691811</v>
      </c>
      <c r="C2568" t="s">
        <v>1813</v>
      </c>
      <c r="D2568" t="s">
        <v>5845</v>
      </c>
      <c r="E2568" t="s">
        <v>5846</v>
      </c>
      <c r="F2568" t="s">
        <v>7</v>
      </c>
      <c r="G2568" t="s">
        <v>8</v>
      </c>
      <c r="H2568">
        <v>12000000</v>
      </c>
      <c r="I2568">
        <v>6.2</v>
      </c>
      <c r="J2568" t="s">
        <v>8501</v>
      </c>
    </row>
    <row r="2569" spans="1:10" x14ac:dyDescent="0.3">
      <c r="A2569">
        <v>92</v>
      </c>
      <c r="B2569">
        <v>31397498</v>
      </c>
      <c r="C2569" t="s">
        <v>2141</v>
      </c>
      <c r="D2569" t="s">
        <v>5847</v>
      </c>
      <c r="E2569" t="s">
        <v>5848</v>
      </c>
      <c r="F2569" t="s">
        <v>7</v>
      </c>
      <c r="G2569" t="s">
        <v>8</v>
      </c>
      <c r="H2569">
        <v>12000000</v>
      </c>
      <c r="I2569">
        <v>6.2</v>
      </c>
      <c r="J2569" t="s">
        <v>9379</v>
      </c>
    </row>
    <row r="2570" spans="1:10" x14ac:dyDescent="0.3">
      <c r="A2570">
        <v>97</v>
      </c>
      <c r="B2570">
        <v>31179516</v>
      </c>
      <c r="C2570" t="s">
        <v>668</v>
      </c>
      <c r="D2570" t="s">
        <v>5849</v>
      </c>
      <c r="E2570" t="s">
        <v>5850</v>
      </c>
      <c r="F2570" t="s">
        <v>7</v>
      </c>
      <c r="G2570" t="s">
        <v>8</v>
      </c>
      <c r="H2570">
        <v>12000000</v>
      </c>
      <c r="I2570">
        <v>7.9</v>
      </c>
      <c r="J2570" t="s">
        <v>8762</v>
      </c>
    </row>
    <row r="2571" spans="1:10" x14ac:dyDescent="0.3">
      <c r="A2571">
        <v>93</v>
      </c>
      <c r="B2571">
        <v>31155435</v>
      </c>
      <c r="C2571" t="s">
        <v>1149</v>
      </c>
      <c r="D2571" t="s">
        <v>5851</v>
      </c>
      <c r="E2571" t="s">
        <v>5852</v>
      </c>
      <c r="F2571" t="s">
        <v>7</v>
      </c>
      <c r="G2571" t="s">
        <v>8</v>
      </c>
      <c r="H2571">
        <v>12000000</v>
      </c>
      <c r="I2571">
        <v>7.4</v>
      </c>
      <c r="J2571" t="s">
        <v>8663</v>
      </c>
    </row>
    <row r="2572" spans="1:10" x14ac:dyDescent="0.3">
      <c r="A2572">
        <v>89</v>
      </c>
      <c r="B2572">
        <v>27281507</v>
      </c>
      <c r="C2572" t="s">
        <v>5853</v>
      </c>
      <c r="D2572" t="s">
        <v>5854</v>
      </c>
      <c r="E2572" t="s">
        <v>5855</v>
      </c>
      <c r="F2572" t="s">
        <v>7</v>
      </c>
      <c r="G2572" t="s">
        <v>8</v>
      </c>
      <c r="H2572">
        <v>12000000</v>
      </c>
      <c r="I2572">
        <v>6.6</v>
      </c>
      <c r="J2572" t="s">
        <v>9192</v>
      </c>
    </row>
    <row r="2573" spans="1:10" x14ac:dyDescent="0.3">
      <c r="A2573">
        <v>123</v>
      </c>
      <c r="B2573">
        <v>25776062</v>
      </c>
      <c r="C2573" t="s">
        <v>2663</v>
      </c>
      <c r="D2573" t="s">
        <v>5856</v>
      </c>
      <c r="E2573" t="s">
        <v>5857</v>
      </c>
      <c r="F2573" t="s">
        <v>7</v>
      </c>
      <c r="G2573" t="s">
        <v>8</v>
      </c>
      <c r="H2573">
        <v>12000000</v>
      </c>
      <c r="I2573">
        <v>7.3</v>
      </c>
      <c r="J2573" t="s">
        <v>8784</v>
      </c>
    </row>
    <row r="2574" spans="1:10" x14ac:dyDescent="0.3">
      <c r="A2574">
        <v>93</v>
      </c>
      <c r="B2574">
        <v>25240988</v>
      </c>
      <c r="C2574" t="s">
        <v>1701</v>
      </c>
      <c r="D2574" t="s">
        <v>5858</v>
      </c>
      <c r="E2574" t="s">
        <v>5859</v>
      </c>
      <c r="F2574" t="s">
        <v>7</v>
      </c>
      <c r="G2574" t="s">
        <v>8</v>
      </c>
      <c r="H2574">
        <v>12000000</v>
      </c>
      <c r="I2574">
        <v>7.5</v>
      </c>
      <c r="J2574" t="s">
        <v>8318</v>
      </c>
    </row>
    <row r="2575" spans="1:10" x14ac:dyDescent="0.3">
      <c r="A2575">
        <v>133</v>
      </c>
      <c r="B2575">
        <v>124868837</v>
      </c>
      <c r="C2575" t="s">
        <v>73</v>
      </c>
      <c r="D2575" t="s">
        <v>5860</v>
      </c>
      <c r="E2575" t="s">
        <v>5861</v>
      </c>
      <c r="F2575" t="s">
        <v>7</v>
      </c>
      <c r="G2575" t="s">
        <v>8</v>
      </c>
      <c r="H2575">
        <v>12000000</v>
      </c>
      <c r="I2575">
        <v>5.6</v>
      </c>
      <c r="J2575" t="s">
        <v>9088</v>
      </c>
    </row>
    <row r="2576" spans="1:10" x14ac:dyDescent="0.3">
      <c r="A2576">
        <v>121</v>
      </c>
      <c r="B2576">
        <v>22905674</v>
      </c>
      <c r="C2576" t="s">
        <v>786</v>
      </c>
      <c r="D2576" t="s">
        <v>5862</v>
      </c>
      <c r="E2576" t="s">
        <v>5863</v>
      </c>
      <c r="F2576" t="s">
        <v>7</v>
      </c>
      <c r="G2576" t="s">
        <v>8</v>
      </c>
      <c r="H2576">
        <v>12000000</v>
      </c>
      <c r="I2576">
        <v>7.3</v>
      </c>
      <c r="J2576" t="s">
        <v>9380</v>
      </c>
    </row>
    <row r="2577" spans="1:10" x14ac:dyDescent="0.3">
      <c r="A2577">
        <v>102</v>
      </c>
      <c r="B2577">
        <v>25277561</v>
      </c>
      <c r="C2577" t="s">
        <v>672</v>
      </c>
      <c r="D2577" t="s">
        <v>5864</v>
      </c>
      <c r="E2577" t="s">
        <v>5865</v>
      </c>
      <c r="F2577" t="s">
        <v>7</v>
      </c>
      <c r="G2577" t="s">
        <v>8</v>
      </c>
      <c r="H2577">
        <v>12000000</v>
      </c>
      <c r="I2577">
        <v>6.4</v>
      </c>
      <c r="J2577" t="s">
        <v>9381</v>
      </c>
    </row>
    <row r="2578" spans="1:10" x14ac:dyDescent="0.3">
      <c r="A2578">
        <v>99</v>
      </c>
      <c r="B2578">
        <v>21133087</v>
      </c>
      <c r="C2578" t="s">
        <v>1249</v>
      </c>
      <c r="D2578" t="s">
        <v>5866</v>
      </c>
      <c r="E2578" t="s">
        <v>5867</v>
      </c>
      <c r="F2578" t="s">
        <v>7</v>
      </c>
      <c r="G2578" t="s">
        <v>8</v>
      </c>
      <c r="H2578">
        <v>12000000</v>
      </c>
      <c r="I2578">
        <v>5</v>
      </c>
      <c r="J2578" t="s">
        <v>8465</v>
      </c>
    </row>
    <row r="2579" spans="1:10" x14ac:dyDescent="0.3">
      <c r="A2579">
        <v>98</v>
      </c>
      <c r="B2579">
        <v>37707719</v>
      </c>
      <c r="C2579" t="s">
        <v>617</v>
      </c>
      <c r="D2579" t="s">
        <v>5868</v>
      </c>
      <c r="E2579" t="s">
        <v>5869</v>
      </c>
      <c r="F2579" t="s">
        <v>7</v>
      </c>
      <c r="G2579" t="s">
        <v>15</v>
      </c>
      <c r="H2579">
        <v>12000000</v>
      </c>
      <c r="I2579">
        <v>5.4</v>
      </c>
      <c r="J2579" t="s">
        <v>8374</v>
      </c>
    </row>
    <row r="2580" spans="1:10" x14ac:dyDescent="0.3">
      <c r="A2580">
        <v>118</v>
      </c>
      <c r="B2580">
        <v>18761993</v>
      </c>
      <c r="C2580" t="s">
        <v>1040</v>
      </c>
      <c r="D2580" t="s">
        <v>5870</v>
      </c>
      <c r="E2580" t="s">
        <v>5871</v>
      </c>
      <c r="F2580" t="s">
        <v>7</v>
      </c>
      <c r="G2580" t="s">
        <v>8</v>
      </c>
      <c r="H2580">
        <v>9000000</v>
      </c>
      <c r="I2580">
        <v>8.1999999999999993</v>
      </c>
      <c r="J2580" t="s">
        <v>8816</v>
      </c>
    </row>
    <row r="2581" spans="1:10" x14ac:dyDescent="0.3">
      <c r="A2581">
        <v>104</v>
      </c>
      <c r="B2581">
        <v>18595716</v>
      </c>
      <c r="C2581" t="s">
        <v>1082</v>
      </c>
      <c r="D2581" t="s">
        <v>5872</v>
      </c>
      <c r="E2581" t="s">
        <v>5873</v>
      </c>
      <c r="F2581" t="s">
        <v>7</v>
      </c>
      <c r="G2581" t="s">
        <v>8</v>
      </c>
      <c r="H2581">
        <v>12000000</v>
      </c>
      <c r="I2581">
        <v>7.1</v>
      </c>
      <c r="J2581" t="s">
        <v>8570</v>
      </c>
    </row>
    <row r="2582" spans="1:10" x14ac:dyDescent="0.3">
      <c r="A2582">
        <v>109</v>
      </c>
      <c r="B2582">
        <v>31990064</v>
      </c>
      <c r="C2582" t="s">
        <v>1594</v>
      </c>
      <c r="D2582" t="s">
        <v>5874</v>
      </c>
      <c r="E2582" t="s">
        <v>5875</v>
      </c>
      <c r="F2582" t="s">
        <v>7</v>
      </c>
      <c r="G2582" t="s">
        <v>8</v>
      </c>
      <c r="H2582">
        <v>12000000</v>
      </c>
      <c r="I2582">
        <v>5.3</v>
      </c>
      <c r="J2582" t="s">
        <v>9382</v>
      </c>
    </row>
    <row r="2583" spans="1:10" x14ac:dyDescent="0.3">
      <c r="A2583">
        <v>115</v>
      </c>
      <c r="B2583">
        <v>17613460</v>
      </c>
      <c r="C2583" t="s">
        <v>2254</v>
      </c>
      <c r="D2583" t="s">
        <v>5876</v>
      </c>
      <c r="E2583" t="s">
        <v>5877</v>
      </c>
      <c r="F2583" t="s">
        <v>7</v>
      </c>
      <c r="G2583" t="s">
        <v>8</v>
      </c>
      <c r="H2583">
        <v>12000000</v>
      </c>
      <c r="I2583">
        <v>6.5</v>
      </c>
      <c r="J2583" t="s">
        <v>9383</v>
      </c>
    </row>
    <row r="2584" spans="1:10" x14ac:dyDescent="0.3">
      <c r="A2584">
        <v>92</v>
      </c>
      <c r="B2584">
        <v>21088568</v>
      </c>
      <c r="C2584" t="s">
        <v>3779</v>
      </c>
      <c r="D2584" t="s">
        <v>5878</v>
      </c>
      <c r="E2584" t="s">
        <v>5879</v>
      </c>
      <c r="F2584" t="s">
        <v>7</v>
      </c>
      <c r="G2584" t="s">
        <v>8</v>
      </c>
      <c r="H2584">
        <v>13000000</v>
      </c>
      <c r="I2584">
        <v>6.2</v>
      </c>
      <c r="J2584" t="s">
        <v>9384</v>
      </c>
    </row>
    <row r="2585" spans="1:10" x14ac:dyDescent="0.3">
      <c r="A2585">
        <v>91</v>
      </c>
      <c r="B2585">
        <v>17292381</v>
      </c>
      <c r="C2585" t="s">
        <v>5880</v>
      </c>
      <c r="D2585" t="s">
        <v>5881</v>
      </c>
      <c r="E2585" t="s">
        <v>5882</v>
      </c>
      <c r="F2585" t="s">
        <v>7</v>
      </c>
      <c r="G2585" t="s">
        <v>8</v>
      </c>
      <c r="H2585">
        <v>12000000</v>
      </c>
      <c r="I2585">
        <v>6.4</v>
      </c>
      <c r="J2585" t="s">
        <v>8716</v>
      </c>
    </row>
    <row r="2586" spans="1:10" x14ac:dyDescent="0.3">
      <c r="A2586">
        <v>94</v>
      </c>
      <c r="B2586">
        <v>16300302</v>
      </c>
      <c r="C2586" t="s">
        <v>1040</v>
      </c>
      <c r="D2586" t="s">
        <v>5883</v>
      </c>
      <c r="E2586" t="s">
        <v>5884</v>
      </c>
      <c r="F2586" t="s">
        <v>7</v>
      </c>
      <c r="G2586" t="s">
        <v>8</v>
      </c>
      <c r="H2586">
        <v>12000000</v>
      </c>
      <c r="I2586">
        <v>7.2</v>
      </c>
      <c r="J2586" t="s">
        <v>8814</v>
      </c>
    </row>
    <row r="2587" spans="1:10" x14ac:dyDescent="0.3">
      <c r="A2587">
        <v>93</v>
      </c>
      <c r="B2587">
        <v>27829874</v>
      </c>
      <c r="C2587" t="s">
        <v>118</v>
      </c>
      <c r="D2587" t="s">
        <v>5885</v>
      </c>
      <c r="E2587" t="s">
        <v>5886</v>
      </c>
      <c r="F2587" t="s">
        <v>7</v>
      </c>
      <c r="G2587" t="s">
        <v>8</v>
      </c>
      <c r="H2587">
        <v>12000000</v>
      </c>
      <c r="I2587">
        <v>6.9</v>
      </c>
      <c r="J2587" t="s">
        <v>8434</v>
      </c>
    </row>
    <row r="2588" spans="1:10" x14ac:dyDescent="0.3">
      <c r="A2588">
        <v>100</v>
      </c>
      <c r="B2588">
        <v>12902790</v>
      </c>
      <c r="C2588" t="s">
        <v>561</v>
      </c>
      <c r="D2588" t="s">
        <v>5887</v>
      </c>
      <c r="E2588" t="s">
        <v>5888</v>
      </c>
      <c r="F2588" t="s">
        <v>7</v>
      </c>
      <c r="G2588" t="s">
        <v>8</v>
      </c>
      <c r="H2588">
        <v>12000000</v>
      </c>
      <c r="I2588">
        <v>5.7</v>
      </c>
      <c r="J2588" t="s">
        <v>9385</v>
      </c>
    </row>
    <row r="2589" spans="1:10" x14ac:dyDescent="0.3">
      <c r="A2589">
        <v>293</v>
      </c>
      <c r="B2589">
        <v>11433134</v>
      </c>
      <c r="C2589" t="s">
        <v>5889</v>
      </c>
      <c r="D2589" t="s">
        <v>5890</v>
      </c>
      <c r="E2589" t="s">
        <v>5891</v>
      </c>
      <c r="F2589" t="s">
        <v>3702</v>
      </c>
      <c r="G2589" t="s">
        <v>3855</v>
      </c>
      <c r="H2589">
        <v>14000000</v>
      </c>
      <c r="I2589">
        <v>7.7</v>
      </c>
      <c r="J2589" t="s">
        <v>8344</v>
      </c>
    </row>
    <row r="2590" spans="1:10" x14ac:dyDescent="0.3">
      <c r="A2590">
        <v>93</v>
      </c>
      <c r="B2590">
        <v>10198766</v>
      </c>
      <c r="C2590" t="s">
        <v>668</v>
      </c>
      <c r="D2590" t="s">
        <v>5892</v>
      </c>
      <c r="E2590" t="s">
        <v>5893</v>
      </c>
      <c r="F2590" t="s">
        <v>7</v>
      </c>
      <c r="G2590" t="s">
        <v>8</v>
      </c>
      <c r="H2590">
        <v>12000000</v>
      </c>
      <c r="I2590">
        <v>5.4</v>
      </c>
      <c r="J2590" t="s">
        <v>8589</v>
      </c>
    </row>
    <row r="2591" spans="1:10" x14ac:dyDescent="0.3">
      <c r="A2591">
        <v>123</v>
      </c>
      <c r="B2591">
        <v>15294553</v>
      </c>
      <c r="C2591" t="s">
        <v>253</v>
      </c>
      <c r="D2591" t="s">
        <v>5894</v>
      </c>
      <c r="E2591" t="s">
        <v>5895</v>
      </c>
      <c r="F2591" t="s">
        <v>7</v>
      </c>
      <c r="G2591" t="s">
        <v>15</v>
      </c>
      <c r="H2591">
        <v>12000000</v>
      </c>
      <c r="I2591">
        <v>5.6</v>
      </c>
      <c r="J2591" t="s">
        <v>8343</v>
      </c>
    </row>
    <row r="2592" spans="1:10" x14ac:dyDescent="0.3">
      <c r="A2592">
        <v>119</v>
      </c>
      <c r="B2592">
        <v>11041228</v>
      </c>
      <c r="C2592" t="s">
        <v>70</v>
      </c>
      <c r="D2592" t="s">
        <v>5896</v>
      </c>
      <c r="E2592" t="s">
        <v>5897</v>
      </c>
      <c r="F2592" t="s">
        <v>792</v>
      </c>
      <c r="G2592" t="s">
        <v>339</v>
      </c>
      <c r="H2592">
        <v>100000000</v>
      </c>
      <c r="I2592">
        <v>7.7</v>
      </c>
      <c r="J2592" t="s">
        <v>9386</v>
      </c>
    </row>
    <row r="2593" spans="1:10" x14ac:dyDescent="0.3">
      <c r="A2593">
        <v>107</v>
      </c>
      <c r="B2593">
        <v>7918283</v>
      </c>
      <c r="C2593" t="s">
        <v>1704</v>
      </c>
      <c r="D2593" t="s">
        <v>5898</v>
      </c>
      <c r="E2593" t="s">
        <v>5899</v>
      </c>
      <c r="F2593" t="s">
        <v>7</v>
      </c>
      <c r="G2593" t="s">
        <v>8</v>
      </c>
      <c r="H2593">
        <v>12000000</v>
      </c>
      <c r="I2593">
        <v>5.0999999999999996</v>
      </c>
      <c r="J2593" t="s">
        <v>8726</v>
      </c>
    </row>
    <row r="2594" spans="1:10" x14ac:dyDescent="0.3">
      <c r="A2594">
        <v>106</v>
      </c>
      <c r="B2594">
        <v>22331028</v>
      </c>
      <c r="C2594" t="s">
        <v>1215</v>
      </c>
      <c r="D2594" t="s">
        <v>5900</v>
      </c>
      <c r="E2594" t="s">
        <v>5901</v>
      </c>
      <c r="F2594" t="s">
        <v>7</v>
      </c>
      <c r="G2594" t="s">
        <v>8</v>
      </c>
      <c r="H2594">
        <v>12000000</v>
      </c>
      <c r="I2594">
        <v>6.8</v>
      </c>
      <c r="J2594" t="s">
        <v>9387</v>
      </c>
    </row>
    <row r="2595" spans="1:10" x14ac:dyDescent="0.3">
      <c r="A2595">
        <v>109</v>
      </c>
      <c r="B2595">
        <v>8134217</v>
      </c>
      <c r="C2595" t="s">
        <v>1796</v>
      </c>
      <c r="D2595" t="s">
        <v>5902</v>
      </c>
      <c r="E2595" t="s">
        <v>5903</v>
      </c>
      <c r="F2595" t="s">
        <v>7</v>
      </c>
      <c r="G2595" t="s">
        <v>8</v>
      </c>
      <c r="H2595">
        <v>12000000</v>
      </c>
      <c r="I2595">
        <v>8.4</v>
      </c>
      <c r="J2595" t="s">
        <v>9060</v>
      </c>
    </row>
    <row r="2596" spans="1:10" x14ac:dyDescent="0.3">
      <c r="A2596">
        <v>81</v>
      </c>
      <c r="B2596">
        <v>6982680</v>
      </c>
      <c r="C2596" t="s">
        <v>386</v>
      </c>
      <c r="D2596" t="s">
        <v>5904</v>
      </c>
      <c r="E2596" t="s">
        <v>5905</v>
      </c>
      <c r="F2596" t="s">
        <v>7</v>
      </c>
      <c r="G2596" t="s">
        <v>8</v>
      </c>
      <c r="H2596">
        <v>10000000</v>
      </c>
      <c r="I2596">
        <v>4.9000000000000004</v>
      </c>
      <c r="J2596" t="s">
        <v>9388</v>
      </c>
    </row>
    <row r="2597" spans="1:10" x14ac:dyDescent="0.3">
      <c r="A2597">
        <v>95</v>
      </c>
      <c r="B2597">
        <v>6739141</v>
      </c>
      <c r="C2597" t="s">
        <v>555</v>
      </c>
      <c r="D2597" t="s">
        <v>5906</v>
      </c>
      <c r="E2597" t="s">
        <v>5907</v>
      </c>
      <c r="F2597" t="s">
        <v>7</v>
      </c>
      <c r="G2597" t="s">
        <v>132</v>
      </c>
      <c r="H2597">
        <v>8000000</v>
      </c>
      <c r="I2597">
        <v>7.1</v>
      </c>
      <c r="J2597" t="s">
        <v>8938</v>
      </c>
    </row>
    <row r="2598" spans="1:10" x14ac:dyDescent="0.3">
      <c r="A2598">
        <v>86</v>
      </c>
      <c r="B2598">
        <v>5542025</v>
      </c>
      <c r="C2598" t="s">
        <v>668</v>
      </c>
      <c r="D2598" t="s">
        <v>5908</v>
      </c>
      <c r="E2598" t="s">
        <v>5909</v>
      </c>
      <c r="F2598" t="s">
        <v>7</v>
      </c>
      <c r="G2598" t="s">
        <v>8</v>
      </c>
      <c r="H2598">
        <v>12000000</v>
      </c>
      <c r="I2598">
        <v>6.6</v>
      </c>
      <c r="J2598" t="s">
        <v>9389</v>
      </c>
    </row>
    <row r="2599" spans="1:10" x14ac:dyDescent="0.3">
      <c r="A2599">
        <v>113</v>
      </c>
      <c r="B2599">
        <v>5032496</v>
      </c>
      <c r="C2599" t="s">
        <v>1040</v>
      </c>
      <c r="D2599" t="s">
        <v>5910</v>
      </c>
      <c r="E2599" t="s">
        <v>5911</v>
      </c>
      <c r="F2599" t="s">
        <v>7</v>
      </c>
      <c r="G2599" t="s">
        <v>8</v>
      </c>
      <c r="H2599">
        <v>12000000</v>
      </c>
      <c r="I2599">
        <v>6.1</v>
      </c>
      <c r="J2599" t="s">
        <v>9357</v>
      </c>
    </row>
    <row r="2600" spans="1:10" x14ac:dyDescent="0.3">
      <c r="A2600">
        <v>122</v>
      </c>
      <c r="B2600">
        <v>6754898</v>
      </c>
      <c r="C2600" t="s">
        <v>1040</v>
      </c>
      <c r="D2600" t="s">
        <v>5912</v>
      </c>
      <c r="E2600" t="s">
        <v>5913</v>
      </c>
      <c r="F2600" t="s">
        <v>7</v>
      </c>
      <c r="G2600" t="s">
        <v>8</v>
      </c>
      <c r="H2600">
        <v>12000000</v>
      </c>
      <c r="I2600">
        <v>4.0999999999999996</v>
      </c>
      <c r="J2600" t="s">
        <v>9390</v>
      </c>
    </row>
    <row r="2601" spans="1:10" x14ac:dyDescent="0.3">
      <c r="A2601">
        <v>90</v>
      </c>
      <c r="B2601">
        <v>4922166</v>
      </c>
      <c r="C2601" t="s">
        <v>4741</v>
      </c>
      <c r="D2601" t="s">
        <v>5914</v>
      </c>
      <c r="E2601" t="s">
        <v>5915</v>
      </c>
      <c r="F2601" t="s">
        <v>7</v>
      </c>
      <c r="G2601" t="s">
        <v>8</v>
      </c>
      <c r="H2601">
        <v>12000000</v>
      </c>
      <c r="I2601">
        <v>5.8</v>
      </c>
      <c r="J2601" t="s">
        <v>8406</v>
      </c>
    </row>
    <row r="2602" spans="1:10" x14ac:dyDescent="0.3">
      <c r="A2602">
        <v>108</v>
      </c>
      <c r="B2602">
        <v>4903000</v>
      </c>
      <c r="C2602" t="s">
        <v>1040</v>
      </c>
      <c r="D2602" t="s">
        <v>5916</v>
      </c>
      <c r="E2602" t="s">
        <v>5917</v>
      </c>
      <c r="F2602" t="s">
        <v>7</v>
      </c>
      <c r="G2602" t="s">
        <v>8</v>
      </c>
      <c r="H2602">
        <v>12000000</v>
      </c>
      <c r="I2602">
        <v>8.1</v>
      </c>
      <c r="J2602" t="s">
        <v>8633</v>
      </c>
    </row>
    <row r="2603" spans="1:10" x14ac:dyDescent="0.3">
      <c r="A2603">
        <v>113</v>
      </c>
      <c r="B2603">
        <v>4717455</v>
      </c>
      <c r="C2603" t="s">
        <v>321</v>
      </c>
      <c r="D2603" t="s">
        <v>5918</v>
      </c>
      <c r="E2603" t="s">
        <v>5919</v>
      </c>
      <c r="F2603" t="s">
        <v>7</v>
      </c>
      <c r="G2603" t="s">
        <v>132</v>
      </c>
      <c r="H2603">
        <v>12000000</v>
      </c>
      <c r="I2603">
        <v>7.6</v>
      </c>
      <c r="J2603" t="s">
        <v>9391</v>
      </c>
    </row>
    <row r="2604" spans="1:10" x14ac:dyDescent="0.3">
      <c r="A2604">
        <v>110</v>
      </c>
      <c r="B2604">
        <v>3148482</v>
      </c>
      <c r="C2604" t="s">
        <v>73</v>
      </c>
      <c r="D2604" t="s">
        <v>5920</v>
      </c>
      <c r="E2604" t="s">
        <v>5921</v>
      </c>
      <c r="F2604" t="s">
        <v>7</v>
      </c>
      <c r="G2604" t="s">
        <v>8</v>
      </c>
      <c r="H2604">
        <v>12000000</v>
      </c>
      <c r="I2604">
        <v>7.8</v>
      </c>
      <c r="J2604" t="s">
        <v>9392</v>
      </c>
    </row>
    <row r="2605" spans="1:10" x14ac:dyDescent="0.3">
      <c r="A2605">
        <v>109</v>
      </c>
      <c r="B2605">
        <v>2326407</v>
      </c>
      <c r="C2605" t="s">
        <v>1417</v>
      </c>
      <c r="D2605" t="s">
        <v>5922</v>
      </c>
      <c r="E2605" t="s">
        <v>5923</v>
      </c>
      <c r="F2605" t="s">
        <v>7</v>
      </c>
      <c r="G2605" t="s">
        <v>15</v>
      </c>
      <c r="H2605">
        <v>12000000</v>
      </c>
      <c r="I2605">
        <v>4.5999999999999996</v>
      </c>
      <c r="J2605" t="s">
        <v>9393</v>
      </c>
    </row>
    <row r="2606" spans="1:10" x14ac:dyDescent="0.3">
      <c r="A2606">
        <v>110</v>
      </c>
      <c r="B2606">
        <v>2201412</v>
      </c>
      <c r="C2606" t="s">
        <v>5924</v>
      </c>
      <c r="D2606" t="s">
        <v>2242</v>
      </c>
      <c r="E2606" t="s">
        <v>5925</v>
      </c>
      <c r="F2606" t="s">
        <v>5282</v>
      </c>
      <c r="G2606" t="s">
        <v>2387</v>
      </c>
      <c r="H2606">
        <v>12215500000</v>
      </c>
      <c r="I2606">
        <v>6</v>
      </c>
      <c r="J2606" t="s">
        <v>9292</v>
      </c>
    </row>
    <row r="2607" spans="1:10" x14ac:dyDescent="0.3">
      <c r="A2607">
        <v>101</v>
      </c>
      <c r="B2607">
        <v>2060953</v>
      </c>
      <c r="C2607" t="s">
        <v>4116</v>
      </c>
      <c r="D2607" t="s">
        <v>5926</v>
      </c>
      <c r="E2607" t="s">
        <v>5927</v>
      </c>
      <c r="F2607" t="s">
        <v>7</v>
      </c>
      <c r="G2607" t="s">
        <v>2330</v>
      </c>
      <c r="H2607">
        <v>12000000</v>
      </c>
      <c r="I2607">
        <v>7</v>
      </c>
      <c r="J2607" t="s">
        <v>9394</v>
      </c>
    </row>
    <row r="2608" spans="1:10" x14ac:dyDescent="0.3">
      <c r="A2608">
        <v>97</v>
      </c>
      <c r="B2608">
        <v>3950294</v>
      </c>
      <c r="C2608" t="s">
        <v>561</v>
      </c>
      <c r="D2608" t="s">
        <v>5928</v>
      </c>
      <c r="E2608" t="s">
        <v>5929</v>
      </c>
      <c r="F2608" t="s">
        <v>7</v>
      </c>
      <c r="G2608" t="s">
        <v>8</v>
      </c>
      <c r="H2608">
        <v>12000000</v>
      </c>
      <c r="I2608">
        <v>6.7</v>
      </c>
      <c r="J2608" t="s">
        <v>8790</v>
      </c>
    </row>
    <row r="2609" spans="1:10" x14ac:dyDescent="0.3">
      <c r="A2609">
        <v>172</v>
      </c>
      <c r="B2609">
        <v>2835886</v>
      </c>
      <c r="C2609" t="s">
        <v>1417</v>
      </c>
      <c r="D2609" t="s">
        <v>5930</v>
      </c>
      <c r="E2609" t="s">
        <v>5931</v>
      </c>
      <c r="F2609" t="s">
        <v>4134</v>
      </c>
      <c r="G2609" t="s">
        <v>2993</v>
      </c>
      <c r="H2609">
        <v>9200000</v>
      </c>
      <c r="I2609">
        <v>6.4</v>
      </c>
      <c r="J2609" t="s">
        <v>8695</v>
      </c>
    </row>
    <row r="2610" spans="1:10" x14ac:dyDescent="0.3">
      <c r="A2610">
        <v>104</v>
      </c>
      <c r="B2610">
        <v>1779284</v>
      </c>
      <c r="C2610" t="s">
        <v>1040</v>
      </c>
      <c r="D2610" t="s">
        <v>5932</v>
      </c>
      <c r="E2610" t="s">
        <v>5933</v>
      </c>
      <c r="F2610" t="s">
        <v>7</v>
      </c>
      <c r="G2610" t="s">
        <v>8</v>
      </c>
      <c r="H2610">
        <v>12000000</v>
      </c>
      <c r="I2610">
        <v>7.2</v>
      </c>
      <c r="J2610" t="s">
        <v>9395</v>
      </c>
    </row>
    <row r="2611" spans="1:10" x14ac:dyDescent="0.3">
      <c r="A2611">
        <v>99</v>
      </c>
      <c r="B2611">
        <v>1702277</v>
      </c>
      <c r="C2611" t="s">
        <v>1704</v>
      </c>
      <c r="D2611" t="s">
        <v>5934</v>
      </c>
      <c r="E2611" t="s">
        <v>5935</v>
      </c>
      <c r="F2611" t="s">
        <v>7</v>
      </c>
      <c r="G2611" t="s">
        <v>15</v>
      </c>
      <c r="H2611">
        <v>12000000</v>
      </c>
      <c r="I2611">
        <v>7.4</v>
      </c>
      <c r="J2611" t="s">
        <v>8772</v>
      </c>
    </row>
    <row r="2612" spans="1:10" x14ac:dyDescent="0.3">
      <c r="A2612">
        <v>129</v>
      </c>
      <c r="B2612">
        <v>261481</v>
      </c>
      <c r="C2612" t="s">
        <v>2308</v>
      </c>
      <c r="D2612" t="s">
        <v>5936</v>
      </c>
      <c r="E2612" t="s">
        <v>5937</v>
      </c>
      <c r="F2612" t="s">
        <v>3064</v>
      </c>
      <c r="G2612" t="s">
        <v>1607</v>
      </c>
      <c r="H2612">
        <v>12000000</v>
      </c>
      <c r="I2612">
        <v>4.8</v>
      </c>
      <c r="J2612" t="s">
        <v>9396</v>
      </c>
    </row>
    <row r="2613" spans="1:10" x14ac:dyDescent="0.3">
      <c r="A2613">
        <v>91</v>
      </c>
      <c r="B2613">
        <v>1506998</v>
      </c>
      <c r="C2613" t="s">
        <v>2015</v>
      </c>
      <c r="D2613" t="s">
        <v>5938</v>
      </c>
      <c r="E2613" t="s">
        <v>5939</v>
      </c>
      <c r="F2613" t="s">
        <v>7</v>
      </c>
      <c r="G2613" t="s">
        <v>8</v>
      </c>
      <c r="H2613">
        <v>12000000</v>
      </c>
      <c r="I2613">
        <v>4</v>
      </c>
      <c r="J2613" t="s">
        <v>9397</v>
      </c>
    </row>
    <row r="2614" spans="1:10" x14ac:dyDescent="0.3">
      <c r="A2614">
        <v>100</v>
      </c>
      <c r="B2614">
        <v>860002</v>
      </c>
      <c r="C2614" t="s">
        <v>1353</v>
      </c>
      <c r="D2614" t="s">
        <v>5940</v>
      </c>
      <c r="E2614" t="s">
        <v>5941</v>
      </c>
      <c r="F2614" t="s">
        <v>7</v>
      </c>
      <c r="G2614" t="s">
        <v>8</v>
      </c>
      <c r="H2614">
        <v>12000000</v>
      </c>
      <c r="I2614">
        <v>6.2</v>
      </c>
      <c r="J2614" t="s">
        <v>9215</v>
      </c>
    </row>
    <row r="2615" spans="1:10" x14ac:dyDescent="0.3">
      <c r="A2615">
        <v>111</v>
      </c>
      <c r="B2615">
        <v>548934</v>
      </c>
      <c r="C2615" t="s">
        <v>1594</v>
      </c>
      <c r="D2615" t="s">
        <v>5942</v>
      </c>
      <c r="E2615" t="s">
        <v>5943</v>
      </c>
      <c r="F2615" t="s">
        <v>7</v>
      </c>
      <c r="G2615" t="s">
        <v>3376</v>
      </c>
      <c r="H2615">
        <v>12000000</v>
      </c>
      <c r="I2615">
        <v>7.7</v>
      </c>
      <c r="J2615" t="s">
        <v>8989</v>
      </c>
    </row>
    <row r="2616" spans="1:10" x14ac:dyDescent="0.3">
      <c r="A2616">
        <v>114</v>
      </c>
      <c r="B2616">
        <v>447750</v>
      </c>
      <c r="C2616" t="s">
        <v>873</v>
      </c>
      <c r="D2616" t="s">
        <v>5944</v>
      </c>
      <c r="E2616" t="s">
        <v>5945</v>
      </c>
      <c r="F2616" t="s">
        <v>7</v>
      </c>
      <c r="G2616" t="s">
        <v>8</v>
      </c>
      <c r="H2616">
        <v>10000000</v>
      </c>
      <c r="I2616">
        <v>6.7</v>
      </c>
      <c r="J2616" t="s">
        <v>9398</v>
      </c>
    </row>
    <row r="2617" spans="1:10" x14ac:dyDescent="0.3">
      <c r="A2617">
        <v>86</v>
      </c>
      <c r="B2617">
        <v>333976</v>
      </c>
      <c r="C2617" t="s">
        <v>386</v>
      </c>
      <c r="D2617" t="s">
        <v>5946</v>
      </c>
      <c r="E2617" t="s">
        <v>5947</v>
      </c>
      <c r="F2617" t="s">
        <v>7</v>
      </c>
      <c r="G2617" t="s">
        <v>8</v>
      </c>
      <c r="H2617">
        <v>12000000</v>
      </c>
      <c r="I2617">
        <v>7.9</v>
      </c>
      <c r="J2617" t="s">
        <v>9365</v>
      </c>
    </row>
    <row r="2618" spans="1:10" x14ac:dyDescent="0.3">
      <c r="A2618">
        <v>107</v>
      </c>
      <c r="B2618">
        <v>141853</v>
      </c>
      <c r="C2618" t="s">
        <v>1040</v>
      </c>
      <c r="D2618" t="s">
        <v>5948</v>
      </c>
      <c r="E2618" t="s">
        <v>5949</v>
      </c>
      <c r="F2618" t="s">
        <v>7</v>
      </c>
      <c r="G2618" t="s">
        <v>132</v>
      </c>
      <c r="H2618">
        <v>12000000</v>
      </c>
      <c r="I2618">
        <v>7.9</v>
      </c>
      <c r="J2618" t="s">
        <v>8895</v>
      </c>
    </row>
    <row r="2619" spans="1:10" x14ac:dyDescent="0.3">
      <c r="A2619">
        <v>90</v>
      </c>
      <c r="B2619">
        <v>303439</v>
      </c>
      <c r="C2619" t="s">
        <v>780</v>
      </c>
      <c r="D2619" t="s">
        <v>5950</v>
      </c>
      <c r="E2619" t="s">
        <v>5951</v>
      </c>
      <c r="F2619" t="s">
        <v>7</v>
      </c>
      <c r="G2619" t="s">
        <v>8</v>
      </c>
      <c r="H2619">
        <v>8000000</v>
      </c>
      <c r="I2619">
        <v>5.5</v>
      </c>
      <c r="J2619" t="s">
        <v>9325</v>
      </c>
    </row>
    <row r="2620" spans="1:10" x14ac:dyDescent="0.3">
      <c r="A2620">
        <v>120</v>
      </c>
      <c r="B2620">
        <v>214202</v>
      </c>
      <c r="C2620" t="s">
        <v>873</v>
      </c>
      <c r="D2620" t="s">
        <v>5952</v>
      </c>
      <c r="E2620" t="s">
        <v>5953</v>
      </c>
      <c r="F2620" t="s">
        <v>7</v>
      </c>
      <c r="G2620" t="s">
        <v>284</v>
      </c>
      <c r="H2620">
        <v>12000000</v>
      </c>
      <c r="I2620">
        <v>6.2</v>
      </c>
      <c r="J2620" t="s">
        <v>9399</v>
      </c>
    </row>
    <row r="2621" spans="1:10" x14ac:dyDescent="0.3">
      <c r="A2621">
        <v>134</v>
      </c>
      <c r="B2621">
        <v>195888</v>
      </c>
      <c r="C2621" t="s">
        <v>2353</v>
      </c>
      <c r="D2621" t="s">
        <v>5954</v>
      </c>
      <c r="E2621" t="s">
        <v>5955</v>
      </c>
      <c r="F2621" t="s">
        <v>5956</v>
      </c>
      <c r="G2621" t="s">
        <v>4624</v>
      </c>
      <c r="H2621">
        <v>2500000000</v>
      </c>
      <c r="I2621">
        <v>5.0999999999999996</v>
      </c>
      <c r="J2621" t="s">
        <v>9400</v>
      </c>
    </row>
    <row r="2622" spans="1:10" x14ac:dyDescent="0.3">
      <c r="A2622">
        <v>110</v>
      </c>
      <c r="B2622">
        <v>175370</v>
      </c>
      <c r="C2622" t="s">
        <v>668</v>
      </c>
      <c r="D2622" t="s">
        <v>5957</v>
      </c>
      <c r="E2622" t="s">
        <v>5958</v>
      </c>
      <c r="F2622" t="s">
        <v>7</v>
      </c>
      <c r="G2622" t="s">
        <v>8</v>
      </c>
      <c r="H2622">
        <v>12000000</v>
      </c>
      <c r="I2622">
        <v>4.0999999999999996</v>
      </c>
      <c r="J2622" t="s">
        <v>9401</v>
      </c>
    </row>
    <row r="2623" spans="1:10" x14ac:dyDescent="0.3">
      <c r="A2623">
        <v>132</v>
      </c>
      <c r="B2623">
        <v>119922</v>
      </c>
      <c r="C2623" t="s">
        <v>799</v>
      </c>
      <c r="D2623" t="s">
        <v>5959</v>
      </c>
      <c r="E2623" t="s">
        <v>5960</v>
      </c>
      <c r="F2623" t="s">
        <v>792</v>
      </c>
      <c r="G2623" t="s">
        <v>339</v>
      </c>
      <c r="H2623">
        <v>12000000</v>
      </c>
      <c r="I2623">
        <v>6.7</v>
      </c>
      <c r="J2623" t="s">
        <v>8645</v>
      </c>
    </row>
    <row r="2624" spans="1:10" x14ac:dyDescent="0.3">
      <c r="A2624">
        <v>113</v>
      </c>
      <c r="B2624">
        <v>17149</v>
      </c>
      <c r="C2624" t="s">
        <v>584</v>
      </c>
      <c r="D2624" t="s">
        <v>5961</v>
      </c>
      <c r="E2624" t="s">
        <v>5962</v>
      </c>
      <c r="F2624" t="s">
        <v>7</v>
      </c>
      <c r="G2624" t="s">
        <v>5963</v>
      </c>
      <c r="H2624">
        <v>20000000</v>
      </c>
      <c r="I2624">
        <v>4.7</v>
      </c>
      <c r="J2624" t="s">
        <v>9402</v>
      </c>
    </row>
    <row r="2625" spans="1:10" x14ac:dyDescent="0.3">
      <c r="A2625">
        <v>111</v>
      </c>
      <c r="B2625">
        <v>14616</v>
      </c>
      <c r="C2625" t="s">
        <v>1417</v>
      </c>
      <c r="D2625" t="s">
        <v>5964</v>
      </c>
      <c r="E2625" t="s">
        <v>5965</v>
      </c>
      <c r="F2625" t="s">
        <v>7</v>
      </c>
      <c r="G2625" t="s">
        <v>8</v>
      </c>
      <c r="H2625">
        <v>12000000</v>
      </c>
      <c r="I2625">
        <v>6.4</v>
      </c>
      <c r="J2625" t="s">
        <v>9403</v>
      </c>
    </row>
    <row r="2626" spans="1:10" x14ac:dyDescent="0.3">
      <c r="A2626">
        <v>99</v>
      </c>
      <c r="B2626">
        <v>91443253</v>
      </c>
      <c r="C2626" t="s">
        <v>617</v>
      </c>
      <c r="D2626" t="s">
        <v>5966</v>
      </c>
      <c r="E2626" t="s">
        <v>5967</v>
      </c>
      <c r="F2626" t="s">
        <v>7</v>
      </c>
      <c r="G2626" t="s">
        <v>8</v>
      </c>
      <c r="H2626">
        <v>12000000</v>
      </c>
      <c r="I2626">
        <v>6.3</v>
      </c>
      <c r="J2626" t="s">
        <v>9225</v>
      </c>
    </row>
    <row r="2627" spans="1:10" x14ac:dyDescent="0.3">
      <c r="A2627">
        <v>104</v>
      </c>
      <c r="B2627">
        <v>30093107</v>
      </c>
      <c r="C2627" t="s">
        <v>386</v>
      </c>
      <c r="D2627" t="s">
        <v>5968</v>
      </c>
      <c r="E2627" t="s">
        <v>5969</v>
      </c>
      <c r="F2627" t="s">
        <v>7</v>
      </c>
      <c r="G2627" t="s">
        <v>15</v>
      </c>
      <c r="H2627">
        <v>6000000</v>
      </c>
      <c r="I2627">
        <v>5.5</v>
      </c>
      <c r="J2627" t="s">
        <v>9404</v>
      </c>
    </row>
    <row r="2628" spans="1:10" x14ac:dyDescent="0.3">
      <c r="A2628">
        <v>103</v>
      </c>
      <c r="B2628">
        <v>57469179</v>
      </c>
      <c r="C2628" t="s">
        <v>3143</v>
      </c>
      <c r="D2628" t="s">
        <v>5970</v>
      </c>
      <c r="E2628" t="s">
        <v>5971</v>
      </c>
      <c r="F2628" t="s">
        <v>7</v>
      </c>
      <c r="G2628" t="s">
        <v>8</v>
      </c>
      <c r="H2628">
        <v>11500000</v>
      </c>
      <c r="I2628">
        <v>7.3</v>
      </c>
      <c r="J2628" t="s">
        <v>9405</v>
      </c>
    </row>
    <row r="2629" spans="1:10" x14ac:dyDescent="0.3">
      <c r="A2629">
        <v>134</v>
      </c>
      <c r="B2629">
        <v>48856</v>
      </c>
      <c r="C2629" t="s">
        <v>1417</v>
      </c>
      <c r="D2629" t="s">
        <v>5972</v>
      </c>
      <c r="E2629" t="s">
        <v>5973</v>
      </c>
      <c r="F2629" t="s">
        <v>247</v>
      </c>
      <c r="G2629" t="s">
        <v>248</v>
      </c>
      <c r="H2629">
        <v>11900000</v>
      </c>
      <c r="I2629">
        <v>6.3</v>
      </c>
      <c r="J2629" t="s">
        <v>8439</v>
      </c>
    </row>
    <row r="2630" spans="1:10" x14ac:dyDescent="0.3">
      <c r="A2630">
        <v>106</v>
      </c>
      <c r="B2630">
        <v>148170000</v>
      </c>
      <c r="C2630" t="s">
        <v>334</v>
      </c>
      <c r="D2630" t="s">
        <v>5974</v>
      </c>
      <c r="E2630" t="s">
        <v>5975</v>
      </c>
      <c r="F2630" t="s">
        <v>7</v>
      </c>
      <c r="G2630" t="s">
        <v>8</v>
      </c>
      <c r="H2630">
        <v>11000000</v>
      </c>
      <c r="I2630">
        <v>4.9000000000000004</v>
      </c>
      <c r="J2630" t="s">
        <v>9406</v>
      </c>
    </row>
    <row r="2631" spans="1:10" x14ac:dyDescent="0.3">
      <c r="A2631">
        <v>125</v>
      </c>
      <c r="B2631">
        <v>460935665</v>
      </c>
      <c r="C2631" t="s">
        <v>4</v>
      </c>
      <c r="D2631" t="s">
        <v>5976</v>
      </c>
      <c r="E2631" t="s">
        <v>5977</v>
      </c>
      <c r="F2631" t="s">
        <v>7</v>
      </c>
      <c r="G2631" t="s">
        <v>8</v>
      </c>
      <c r="H2631">
        <v>11000000</v>
      </c>
      <c r="I2631">
        <v>7.6</v>
      </c>
      <c r="J2631" t="s">
        <v>8505</v>
      </c>
    </row>
    <row r="2632" spans="1:10" x14ac:dyDescent="0.3">
      <c r="A2632">
        <v>109</v>
      </c>
      <c r="B2632">
        <v>35537564</v>
      </c>
      <c r="C2632" t="s">
        <v>668</v>
      </c>
      <c r="D2632" t="s">
        <v>5978</v>
      </c>
      <c r="E2632" t="s">
        <v>5979</v>
      </c>
      <c r="F2632" t="s">
        <v>7</v>
      </c>
      <c r="G2632" t="s">
        <v>8</v>
      </c>
      <c r="H2632">
        <v>11500000</v>
      </c>
      <c r="I2632">
        <v>6</v>
      </c>
      <c r="J2632" t="s">
        <v>9407</v>
      </c>
    </row>
    <row r="2633" spans="1:10" x14ac:dyDescent="0.3">
      <c r="A2633">
        <v>200</v>
      </c>
      <c r="B2633">
        <v>111722000</v>
      </c>
      <c r="C2633" t="s">
        <v>2353</v>
      </c>
      <c r="D2633" t="s">
        <v>5980</v>
      </c>
      <c r="E2633" t="s">
        <v>5981</v>
      </c>
      <c r="F2633" t="s">
        <v>7</v>
      </c>
      <c r="G2633" t="s">
        <v>8</v>
      </c>
      <c r="H2633">
        <v>11000000</v>
      </c>
      <c r="I2633">
        <v>6.2</v>
      </c>
      <c r="J2633" t="s">
        <v>9036</v>
      </c>
    </row>
    <row r="2634" spans="1:10" x14ac:dyDescent="0.3">
      <c r="A2634">
        <v>112</v>
      </c>
      <c r="B2634">
        <v>90556401</v>
      </c>
      <c r="C2634" t="s">
        <v>1246</v>
      </c>
      <c r="D2634" t="s">
        <v>5983</v>
      </c>
      <c r="E2634" t="s">
        <v>5984</v>
      </c>
      <c r="F2634" t="s">
        <v>7</v>
      </c>
      <c r="G2634" t="s">
        <v>8</v>
      </c>
      <c r="H2634">
        <v>11000000</v>
      </c>
      <c r="I2634">
        <v>6.8</v>
      </c>
      <c r="J2634" t="s">
        <v>9206</v>
      </c>
    </row>
    <row r="2635" spans="1:10" x14ac:dyDescent="0.3">
      <c r="A2635">
        <v>116</v>
      </c>
      <c r="B2635">
        <v>93571803</v>
      </c>
      <c r="C2635" t="s">
        <v>653</v>
      </c>
      <c r="D2635" t="s">
        <v>5985</v>
      </c>
      <c r="E2635" t="s">
        <v>5986</v>
      </c>
      <c r="F2635" t="s">
        <v>7</v>
      </c>
      <c r="G2635" t="s">
        <v>8</v>
      </c>
      <c r="H2635">
        <v>25000000</v>
      </c>
      <c r="I2635">
        <v>4.5</v>
      </c>
      <c r="J2635" t="s">
        <v>9408</v>
      </c>
    </row>
    <row r="2636" spans="1:10" x14ac:dyDescent="0.3">
      <c r="A2636">
        <v>120</v>
      </c>
      <c r="B2636">
        <v>52929168</v>
      </c>
      <c r="C2636" t="s">
        <v>386</v>
      </c>
      <c r="D2636" t="s">
        <v>5987</v>
      </c>
      <c r="E2636" t="s">
        <v>5988</v>
      </c>
      <c r="F2636" t="s">
        <v>7</v>
      </c>
      <c r="G2636" t="s">
        <v>8</v>
      </c>
      <c r="H2636">
        <v>11000000</v>
      </c>
      <c r="I2636">
        <v>5.7</v>
      </c>
      <c r="J2636" t="s">
        <v>9409</v>
      </c>
    </row>
    <row r="2637" spans="1:10" x14ac:dyDescent="0.3">
      <c r="A2637">
        <v>107</v>
      </c>
      <c r="B2637">
        <v>50461335</v>
      </c>
      <c r="C2637" t="s">
        <v>5989</v>
      </c>
      <c r="D2637" t="s">
        <v>5990</v>
      </c>
      <c r="E2637" t="s">
        <v>5991</v>
      </c>
      <c r="F2637" t="s">
        <v>7</v>
      </c>
      <c r="G2637" t="s">
        <v>8</v>
      </c>
      <c r="H2637">
        <v>11000000</v>
      </c>
      <c r="I2637">
        <v>8.4</v>
      </c>
      <c r="J2637" t="s">
        <v>9410</v>
      </c>
    </row>
    <row r="2638" spans="1:10" x14ac:dyDescent="0.3">
      <c r="A2638">
        <v>107</v>
      </c>
      <c r="B2638">
        <v>49797148</v>
      </c>
      <c r="C2638" t="s">
        <v>1632</v>
      </c>
      <c r="D2638" t="s">
        <v>5992</v>
      </c>
      <c r="E2638" t="s">
        <v>5993</v>
      </c>
      <c r="F2638" t="s">
        <v>7</v>
      </c>
      <c r="G2638" t="s">
        <v>8</v>
      </c>
      <c r="H2638">
        <v>11000000</v>
      </c>
      <c r="I2638">
        <v>4.5999999999999996</v>
      </c>
      <c r="J2638" t="s">
        <v>9411</v>
      </c>
    </row>
    <row r="2639" spans="1:10" x14ac:dyDescent="0.3">
      <c r="A2639">
        <v>81</v>
      </c>
      <c r="B2639">
        <v>46563158</v>
      </c>
      <c r="C2639" t="s">
        <v>609</v>
      </c>
      <c r="D2639" t="s">
        <v>5994</v>
      </c>
      <c r="E2639" t="s">
        <v>5995</v>
      </c>
      <c r="F2639" t="s">
        <v>7</v>
      </c>
      <c r="G2639" t="s">
        <v>8</v>
      </c>
      <c r="H2639">
        <v>13000000</v>
      </c>
      <c r="I2639">
        <v>6.2</v>
      </c>
      <c r="J2639" t="s">
        <v>9412</v>
      </c>
    </row>
    <row r="2640" spans="1:10" x14ac:dyDescent="0.3">
      <c r="A2640">
        <v>101</v>
      </c>
      <c r="B2640">
        <v>41227069</v>
      </c>
      <c r="C2640" t="s">
        <v>73</v>
      </c>
      <c r="D2640" t="s">
        <v>5996</v>
      </c>
      <c r="E2640" t="s">
        <v>5997</v>
      </c>
      <c r="F2640" t="s">
        <v>7</v>
      </c>
      <c r="G2640" t="s">
        <v>8</v>
      </c>
      <c r="H2640">
        <v>11000000</v>
      </c>
      <c r="I2640">
        <v>7</v>
      </c>
      <c r="J2640" t="s">
        <v>9413</v>
      </c>
    </row>
    <row r="2641" spans="1:10" x14ac:dyDescent="0.3">
      <c r="A2641">
        <v>122</v>
      </c>
      <c r="B2641">
        <v>39025000</v>
      </c>
      <c r="C2641" t="s">
        <v>786</v>
      </c>
      <c r="D2641" t="s">
        <v>5998</v>
      </c>
      <c r="E2641" t="s">
        <v>5999</v>
      </c>
      <c r="F2641" t="s">
        <v>7</v>
      </c>
      <c r="G2641" t="s">
        <v>15</v>
      </c>
      <c r="H2641">
        <v>11000000</v>
      </c>
      <c r="I2641">
        <v>6.9</v>
      </c>
      <c r="J2641" t="s">
        <v>9414</v>
      </c>
    </row>
    <row r="2642" spans="1:10" x14ac:dyDescent="0.3">
      <c r="A2642">
        <v>97</v>
      </c>
      <c r="B2642">
        <v>38201895</v>
      </c>
      <c r="C2642" t="s">
        <v>73</v>
      </c>
      <c r="D2642" t="s">
        <v>6000</v>
      </c>
      <c r="E2642" t="s">
        <v>6001</v>
      </c>
      <c r="F2642" t="s">
        <v>7</v>
      </c>
      <c r="G2642" t="s">
        <v>8</v>
      </c>
      <c r="H2642">
        <v>10500000</v>
      </c>
      <c r="I2642">
        <v>6.1</v>
      </c>
      <c r="J2642" t="s">
        <v>9415</v>
      </c>
    </row>
    <row r="2643" spans="1:10" x14ac:dyDescent="0.3">
      <c r="A2643">
        <v>92</v>
      </c>
      <c r="B2643">
        <v>27669413</v>
      </c>
      <c r="C2643" t="s">
        <v>2141</v>
      </c>
      <c r="D2643" t="s">
        <v>6002</v>
      </c>
      <c r="E2643" t="s">
        <v>6003</v>
      </c>
      <c r="F2643" t="s">
        <v>7</v>
      </c>
      <c r="G2643" t="s">
        <v>95</v>
      </c>
      <c r="H2643">
        <v>11000000</v>
      </c>
      <c r="I2643">
        <v>6.7</v>
      </c>
      <c r="J2643" t="s">
        <v>9416</v>
      </c>
    </row>
    <row r="2644" spans="1:10" x14ac:dyDescent="0.3">
      <c r="A2644">
        <v>110</v>
      </c>
      <c r="B2644">
        <v>37766350</v>
      </c>
      <c r="C2644" t="s">
        <v>1417</v>
      </c>
      <c r="D2644" t="s">
        <v>6004</v>
      </c>
      <c r="E2644" t="s">
        <v>6005</v>
      </c>
      <c r="F2644" t="s">
        <v>7</v>
      </c>
      <c r="G2644" t="s">
        <v>8</v>
      </c>
      <c r="H2644">
        <v>11000000</v>
      </c>
      <c r="I2644">
        <v>5.6</v>
      </c>
      <c r="J2644" t="s">
        <v>9417</v>
      </c>
    </row>
    <row r="2645" spans="1:10" x14ac:dyDescent="0.3">
      <c r="A2645">
        <v>86</v>
      </c>
      <c r="B2645">
        <v>23978402</v>
      </c>
      <c r="C2645" t="s">
        <v>386</v>
      </c>
      <c r="D2645" t="s">
        <v>6006</v>
      </c>
      <c r="E2645" t="s">
        <v>6007</v>
      </c>
      <c r="F2645" t="s">
        <v>7</v>
      </c>
      <c r="G2645" t="s">
        <v>8</v>
      </c>
      <c r="H2645">
        <v>11000000</v>
      </c>
      <c r="I2645">
        <v>6.6</v>
      </c>
      <c r="J2645" t="s">
        <v>8862</v>
      </c>
    </row>
    <row r="2646" spans="1:10" x14ac:dyDescent="0.3">
      <c r="A2646">
        <v>91</v>
      </c>
      <c r="B2646">
        <v>21370057</v>
      </c>
      <c r="C2646" t="s">
        <v>873</v>
      </c>
      <c r="D2646" t="s">
        <v>6008</v>
      </c>
      <c r="E2646" t="s">
        <v>6009</v>
      </c>
      <c r="F2646" t="s">
        <v>7</v>
      </c>
      <c r="G2646" t="s">
        <v>8</v>
      </c>
      <c r="H2646">
        <v>12000000</v>
      </c>
      <c r="I2646">
        <v>6.4</v>
      </c>
      <c r="J2646" t="s">
        <v>8989</v>
      </c>
    </row>
    <row r="2647" spans="1:10" x14ac:dyDescent="0.3">
      <c r="A2647">
        <v>100</v>
      </c>
      <c r="B2647">
        <v>4884663</v>
      </c>
      <c r="C2647" t="s">
        <v>4304</v>
      </c>
      <c r="D2647" t="s">
        <v>6010</v>
      </c>
      <c r="E2647" t="s">
        <v>6011</v>
      </c>
      <c r="F2647" t="s">
        <v>7</v>
      </c>
      <c r="G2647" t="s">
        <v>8</v>
      </c>
      <c r="H2647">
        <v>12000000</v>
      </c>
      <c r="I2647">
        <v>2.8</v>
      </c>
      <c r="J2647" t="s">
        <v>9418</v>
      </c>
    </row>
    <row r="2648" spans="1:10" x14ac:dyDescent="0.3">
      <c r="A2648">
        <v>111</v>
      </c>
      <c r="B2648">
        <v>38317535</v>
      </c>
      <c r="C2648" t="s">
        <v>73</v>
      </c>
      <c r="D2648" t="s">
        <v>6012</v>
      </c>
      <c r="E2648" t="s">
        <v>6013</v>
      </c>
      <c r="F2648" t="s">
        <v>7</v>
      </c>
      <c r="G2648" t="s">
        <v>15</v>
      </c>
      <c r="H2648">
        <v>11000000</v>
      </c>
      <c r="I2648">
        <v>5.4</v>
      </c>
      <c r="J2648" t="s">
        <v>9419</v>
      </c>
    </row>
    <row r="2649" spans="1:10" x14ac:dyDescent="0.3">
      <c r="A2649">
        <v>89</v>
      </c>
      <c r="B2649">
        <v>13903262</v>
      </c>
      <c r="C2649" t="s">
        <v>1632</v>
      </c>
      <c r="D2649" t="s">
        <v>6014</v>
      </c>
      <c r="E2649" t="s">
        <v>6015</v>
      </c>
      <c r="F2649" t="s">
        <v>7</v>
      </c>
      <c r="G2649" t="s">
        <v>8</v>
      </c>
      <c r="H2649">
        <v>11000000</v>
      </c>
      <c r="I2649">
        <v>5</v>
      </c>
      <c r="J2649" t="s">
        <v>8396</v>
      </c>
    </row>
    <row r="2650" spans="1:10" x14ac:dyDescent="0.3">
      <c r="A2650">
        <v>84</v>
      </c>
      <c r="B2650">
        <v>13592872</v>
      </c>
      <c r="C2650" t="s">
        <v>668</v>
      </c>
      <c r="D2650" t="s">
        <v>6016</v>
      </c>
      <c r="E2650" t="s">
        <v>6017</v>
      </c>
      <c r="F2650" t="s">
        <v>7</v>
      </c>
      <c r="G2650" t="s">
        <v>8</v>
      </c>
      <c r="H2650">
        <v>11000000</v>
      </c>
      <c r="I2650">
        <v>5.0999999999999996</v>
      </c>
      <c r="J2650" t="s">
        <v>9420</v>
      </c>
    </row>
    <row r="2651" spans="1:10" x14ac:dyDescent="0.3">
      <c r="A2651">
        <v>98</v>
      </c>
      <c r="B2651">
        <v>18381787</v>
      </c>
      <c r="C2651" t="s">
        <v>1040</v>
      </c>
      <c r="D2651" t="s">
        <v>6018</v>
      </c>
      <c r="E2651" t="s">
        <v>6019</v>
      </c>
      <c r="F2651" t="s">
        <v>7</v>
      </c>
      <c r="G2651" t="s">
        <v>15</v>
      </c>
      <c r="H2651">
        <v>11000000</v>
      </c>
      <c r="I2651">
        <v>8</v>
      </c>
      <c r="J2651" t="s">
        <v>8548</v>
      </c>
    </row>
    <row r="2652" spans="1:10" x14ac:dyDescent="0.3">
      <c r="A2652">
        <v>95</v>
      </c>
      <c r="B2652">
        <v>13558739</v>
      </c>
      <c r="C2652" t="s">
        <v>668</v>
      </c>
      <c r="D2652" t="s">
        <v>6020</v>
      </c>
      <c r="E2652" t="s">
        <v>6021</v>
      </c>
      <c r="F2652" t="s">
        <v>7</v>
      </c>
      <c r="G2652" t="s">
        <v>8</v>
      </c>
      <c r="H2652">
        <v>11000000</v>
      </c>
      <c r="I2652">
        <v>5.9</v>
      </c>
      <c r="J2652" t="s">
        <v>9288</v>
      </c>
    </row>
    <row r="2653" spans="1:10" x14ac:dyDescent="0.3">
      <c r="A2653">
        <v>109</v>
      </c>
      <c r="B2653">
        <v>33305037</v>
      </c>
      <c r="C2653" t="s">
        <v>2495</v>
      </c>
      <c r="D2653" t="s">
        <v>6022</v>
      </c>
      <c r="E2653" t="s">
        <v>6023</v>
      </c>
      <c r="F2653" t="s">
        <v>7</v>
      </c>
      <c r="G2653" t="s">
        <v>15</v>
      </c>
      <c r="H2653">
        <v>11000000</v>
      </c>
      <c r="I2653">
        <v>8.1999999999999993</v>
      </c>
      <c r="J2653" t="s">
        <v>8668</v>
      </c>
    </row>
    <row r="2654" spans="1:10" x14ac:dyDescent="0.3">
      <c r="A2654">
        <v>118</v>
      </c>
      <c r="B2654">
        <v>10214647</v>
      </c>
      <c r="C2654" t="s">
        <v>617</v>
      </c>
      <c r="D2654" t="s">
        <v>6024</v>
      </c>
      <c r="E2654" t="s">
        <v>6025</v>
      </c>
      <c r="F2654" t="s">
        <v>7</v>
      </c>
      <c r="G2654" t="s">
        <v>8</v>
      </c>
      <c r="H2654">
        <v>11000000</v>
      </c>
      <c r="I2654">
        <v>7</v>
      </c>
      <c r="J2654" t="s">
        <v>9421</v>
      </c>
    </row>
    <row r="2655" spans="1:10" x14ac:dyDescent="0.3">
      <c r="A2655">
        <v>88</v>
      </c>
      <c r="B2655">
        <v>11501093</v>
      </c>
      <c r="C2655" t="s">
        <v>334</v>
      </c>
      <c r="D2655" t="s">
        <v>6026</v>
      </c>
      <c r="E2655" t="s">
        <v>6027</v>
      </c>
      <c r="F2655" t="s">
        <v>7</v>
      </c>
      <c r="G2655" t="s">
        <v>8</v>
      </c>
      <c r="H2655">
        <v>13000000</v>
      </c>
      <c r="I2655">
        <v>6.6</v>
      </c>
      <c r="J2655" t="s">
        <v>8575</v>
      </c>
    </row>
    <row r="2656" spans="1:10" x14ac:dyDescent="0.3">
      <c r="A2656">
        <v>86</v>
      </c>
      <c r="B2656">
        <v>4814244</v>
      </c>
      <c r="C2656" t="s">
        <v>672</v>
      </c>
      <c r="D2656" t="s">
        <v>6028</v>
      </c>
      <c r="E2656" t="s">
        <v>6029</v>
      </c>
      <c r="F2656" t="s">
        <v>7</v>
      </c>
      <c r="G2656" t="s">
        <v>95</v>
      </c>
      <c r="H2656">
        <v>11000000</v>
      </c>
      <c r="I2656">
        <v>6.7</v>
      </c>
      <c r="J2656" t="s">
        <v>9083</v>
      </c>
    </row>
    <row r="2657" spans="1:10" x14ac:dyDescent="0.3">
      <c r="A2657">
        <v>118</v>
      </c>
      <c r="B2657">
        <v>9170214</v>
      </c>
      <c r="C2657" t="s">
        <v>73</v>
      </c>
      <c r="D2657" t="s">
        <v>6030</v>
      </c>
      <c r="E2657" t="s">
        <v>6031</v>
      </c>
      <c r="F2657" t="s">
        <v>7</v>
      </c>
      <c r="G2657" t="s">
        <v>8</v>
      </c>
      <c r="H2657">
        <v>11000000</v>
      </c>
      <c r="I2657">
        <v>5.5</v>
      </c>
      <c r="J2657" t="s">
        <v>9422</v>
      </c>
    </row>
    <row r="2658" spans="1:10" x14ac:dyDescent="0.3">
      <c r="A2658">
        <v>125</v>
      </c>
      <c r="B2658">
        <v>4068087</v>
      </c>
      <c r="C2658" t="s">
        <v>2495</v>
      </c>
      <c r="D2658" t="s">
        <v>6032</v>
      </c>
      <c r="E2658" t="s">
        <v>6033</v>
      </c>
      <c r="F2658" t="s">
        <v>7</v>
      </c>
      <c r="G2658" t="s">
        <v>95</v>
      </c>
      <c r="H2658">
        <v>17000000</v>
      </c>
      <c r="I2658">
        <v>4.9000000000000004</v>
      </c>
      <c r="J2658" t="s">
        <v>9423</v>
      </c>
    </row>
    <row r="2659" spans="1:10" x14ac:dyDescent="0.3">
      <c r="A2659">
        <v>125</v>
      </c>
      <c r="B2659">
        <v>3753806</v>
      </c>
      <c r="C2659" t="s">
        <v>786</v>
      </c>
      <c r="D2659" t="s">
        <v>6034</v>
      </c>
      <c r="E2659" t="s">
        <v>6035</v>
      </c>
      <c r="F2659" t="s">
        <v>7</v>
      </c>
      <c r="G2659" t="s">
        <v>15</v>
      </c>
      <c r="H2659">
        <v>11000000</v>
      </c>
      <c r="I2659">
        <v>6.9</v>
      </c>
      <c r="J2659" t="s">
        <v>8811</v>
      </c>
    </row>
    <row r="2660" spans="1:10" x14ac:dyDescent="0.3">
      <c r="A2660">
        <v>94</v>
      </c>
      <c r="B2660">
        <v>3034181</v>
      </c>
      <c r="C2660" t="s">
        <v>2763</v>
      </c>
      <c r="D2660" t="s">
        <v>6036</v>
      </c>
      <c r="E2660" t="s">
        <v>6037</v>
      </c>
      <c r="F2660" t="s">
        <v>7</v>
      </c>
      <c r="G2660" t="s">
        <v>15</v>
      </c>
      <c r="H2660">
        <v>11000000</v>
      </c>
      <c r="I2660">
        <v>7.4</v>
      </c>
      <c r="J2660" t="s">
        <v>9424</v>
      </c>
    </row>
    <row r="2661" spans="1:10" x14ac:dyDescent="0.3">
      <c r="A2661">
        <v>113</v>
      </c>
      <c r="B2661">
        <v>2832826</v>
      </c>
      <c r="C2661" t="s">
        <v>561</v>
      </c>
      <c r="D2661" t="s">
        <v>6038</v>
      </c>
      <c r="E2661" t="s">
        <v>6039</v>
      </c>
      <c r="F2661" t="s">
        <v>7</v>
      </c>
      <c r="G2661" t="s">
        <v>8</v>
      </c>
      <c r="H2661">
        <v>11000000</v>
      </c>
      <c r="I2661">
        <v>5.6</v>
      </c>
      <c r="J2661" t="s">
        <v>9425</v>
      </c>
    </row>
    <row r="2662" spans="1:10" x14ac:dyDescent="0.3">
      <c r="A2662">
        <v>104</v>
      </c>
      <c r="B2662">
        <v>13214255</v>
      </c>
      <c r="C2662" t="s">
        <v>2605</v>
      </c>
      <c r="D2662" t="s">
        <v>6040</v>
      </c>
      <c r="E2662" t="s">
        <v>6041</v>
      </c>
      <c r="F2662" t="s">
        <v>7</v>
      </c>
      <c r="G2662" t="s">
        <v>8</v>
      </c>
      <c r="H2662">
        <v>11000000</v>
      </c>
      <c r="I2662">
        <v>8</v>
      </c>
      <c r="J2662" t="s">
        <v>9426</v>
      </c>
    </row>
    <row r="2663" spans="1:10" x14ac:dyDescent="0.3">
      <c r="A2663">
        <v>95</v>
      </c>
      <c r="B2663">
        <v>16017403</v>
      </c>
      <c r="C2663" t="s">
        <v>3768</v>
      </c>
      <c r="D2663" t="s">
        <v>6042</v>
      </c>
      <c r="E2663" t="s">
        <v>6043</v>
      </c>
      <c r="F2663" t="s">
        <v>7</v>
      </c>
      <c r="G2663" t="s">
        <v>8</v>
      </c>
      <c r="H2663">
        <v>5000000</v>
      </c>
      <c r="I2663">
        <v>5.3</v>
      </c>
      <c r="J2663" t="s">
        <v>9427</v>
      </c>
    </row>
    <row r="2664" spans="1:10" x14ac:dyDescent="0.3">
      <c r="A2664">
        <v>102</v>
      </c>
      <c r="B2664">
        <v>2807854</v>
      </c>
      <c r="C2664" t="s">
        <v>955</v>
      </c>
      <c r="D2664" t="s">
        <v>6044</v>
      </c>
      <c r="E2664" t="s">
        <v>6045</v>
      </c>
      <c r="F2664" t="s">
        <v>7</v>
      </c>
      <c r="G2664" t="s">
        <v>8</v>
      </c>
      <c r="H2664">
        <v>11000000</v>
      </c>
      <c r="I2664">
        <v>6.2</v>
      </c>
      <c r="J2664" t="s">
        <v>9428</v>
      </c>
    </row>
    <row r="2665" spans="1:10" x14ac:dyDescent="0.3">
      <c r="A2665">
        <v>104</v>
      </c>
      <c r="B2665">
        <v>352786</v>
      </c>
      <c r="C2665" t="s">
        <v>1796</v>
      </c>
      <c r="D2665" t="s">
        <v>6046</v>
      </c>
      <c r="E2665" t="s">
        <v>6047</v>
      </c>
      <c r="F2665" t="s">
        <v>7</v>
      </c>
      <c r="G2665" t="s">
        <v>8</v>
      </c>
      <c r="H2665">
        <v>11000000</v>
      </c>
      <c r="I2665">
        <v>5.3</v>
      </c>
      <c r="J2665" t="s">
        <v>9429</v>
      </c>
    </row>
    <row r="2666" spans="1:10" x14ac:dyDescent="0.3">
      <c r="A2666">
        <v>95</v>
      </c>
      <c r="B2666">
        <v>56729973</v>
      </c>
      <c r="C2666" t="s">
        <v>2141</v>
      </c>
      <c r="D2666" t="s">
        <v>6048</v>
      </c>
      <c r="E2666" t="s">
        <v>6049</v>
      </c>
      <c r="F2666" t="s">
        <v>7</v>
      </c>
      <c r="G2666" t="s">
        <v>8</v>
      </c>
      <c r="H2666">
        <v>10800000</v>
      </c>
      <c r="I2666">
        <v>6.6</v>
      </c>
      <c r="J2666" t="s">
        <v>8818</v>
      </c>
    </row>
    <row r="2667" spans="1:10" x14ac:dyDescent="0.3">
      <c r="A2667">
        <v>118</v>
      </c>
      <c r="B2667">
        <v>399879</v>
      </c>
      <c r="C2667" t="s">
        <v>882</v>
      </c>
      <c r="D2667" t="s">
        <v>6050</v>
      </c>
      <c r="E2667" t="s">
        <v>6051</v>
      </c>
      <c r="F2667" t="s">
        <v>7</v>
      </c>
      <c r="G2667" t="s">
        <v>132</v>
      </c>
      <c r="H2667">
        <v>15000000</v>
      </c>
      <c r="I2667">
        <v>7.2</v>
      </c>
      <c r="J2667" t="s">
        <v>8989</v>
      </c>
    </row>
    <row r="2668" spans="1:10" x14ac:dyDescent="0.3">
      <c r="A2668">
        <v>193</v>
      </c>
      <c r="B2668">
        <v>3275443</v>
      </c>
      <c r="C2668" t="s">
        <v>1417</v>
      </c>
      <c r="D2668" t="s">
        <v>6052</v>
      </c>
      <c r="E2668" t="s">
        <v>6053</v>
      </c>
      <c r="F2668" t="s">
        <v>2354</v>
      </c>
      <c r="G2668" t="s">
        <v>2355</v>
      </c>
      <c r="H2668">
        <v>700000000</v>
      </c>
      <c r="I2668">
        <v>4.5999999999999996</v>
      </c>
      <c r="J2668" t="s">
        <v>9430</v>
      </c>
    </row>
    <row r="2669" spans="1:10" x14ac:dyDescent="0.3">
      <c r="A2669">
        <v>97</v>
      </c>
      <c r="B2669">
        <v>18535191</v>
      </c>
      <c r="C2669" t="s">
        <v>672</v>
      </c>
      <c r="D2669" t="s">
        <v>6054</v>
      </c>
      <c r="E2669" t="s">
        <v>6055</v>
      </c>
      <c r="F2669" t="s">
        <v>7</v>
      </c>
      <c r="G2669" t="s">
        <v>15</v>
      </c>
      <c r="H2669">
        <v>14000000</v>
      </c>
      <c r="I2669">
        <v>7.5</v>
      </c>
      <c r="J2669" t="s">
        <v>9371</v>
      </c>
    </row>
    <row r="2670" spans="1:10" x14ac:dyDescent="0.3">
      <c r="A2670">
        <v>98</v>
      </c>
      <c r="B2670">
        <v>23838</v>
      </c>
      <c r="C2670" t="s">
        <v>1813</v>
      </c>
      <c r="D2670" t="s">
        <v>6056</v>
      </c>
      <c r="E2670" t="s">
        <v>6057</v>
      </c>
      <c r="F2670" t="s">
        <v>7</v>
      </c>
      <c r="G2670" t="s">
        <v>15</v>
      </c>
      <c r="H2670">
        <v>7000000</v>
      </c>
      <c r="I2670">
        <v>6.5</v>
      </c>
      <c r="J2670" t="s">
        <v>9431</v>
      </c>
    </row>
    <row r="2671" spans="1:10" x14ac:dyDescent="0.3">
      <c r="A2671">
        <v>103</v>
      </c>
      <c r="B2671">
        <v>22160085</v>
      </c>
      <c r="C2671" t="s">
        <v>2701</v>
      </c>
      <c r="D2671" t="s">
        <v>6058</v>
      </c>
      <c r="E2671" t="s">
        <v>6059</v>
      </c>
      <c r="F2671" t="s">
        <v>7</v>
      </c>
      <c r="G2671" t="s">
        <v>8</v>
      </c>
      <c r="H2671">
        <v>10600000</v>
      </c>
      <c r="I2671">
        <v>7.6</v>
      </c>
      <c r="J2671" t="s">
        <v>8317</v>
      </c>
    </row>
    <row r="2672" spans="1:10" x14ac:dyDescent="0.3">
      <c r="A2672">
        <v>161</v>
      </c>
      <c r="B2672">
        <v>56715371</v>
      </c>
      <c r="C2672" t="s">
        <v>545</v>
      </c>
      <c r="D2672" t="s">
        <v>6060</v>
      </c>
      <c r="E2672" t="s">
        <v>6061</v>
      </c>
      <c r="F2672" t="s">
        <v>7</v>
      </c>
      <c r="G2672" t="s">
        <v>15</v>
      </c>
      <c r="H2672">
        <v>12000000</v>
      </c>
      <c r="I2672">
        <v>6.2</v>
      </c>
      <c r="J2672" t="s">
        <v>9432</v>
      </c>
    </row>
    <row r="2673" spans="1:10" x14ac:dyDescent="0.3">
      <c r="A2673">
        <v>120</v>
      </c>
      <c r="B2673">
        <v>434949459</v>
      </c>
      <c r="C2673" t="s">
        <v>6062</v>
      </c>
      <c r="D2673" t="s">
        <v>6063</v>
      </c>
      <c r="E2673" t="s">
        <v>6064</v>
      </c>
      <c r="F2673" t="s">
        <v>7</v>
      </c>
      <c r="G2673" t="s">
        <v>8</v>
      </c>
      <c r="H2673">
        <v>10500000</v>
      </c>
      <c r="I2673">
        <v>8</v>
      </c>
      <c r="J2673" t="s">
        <v>8800</v>
      </c>
    </row>
    <row r="2674" spans="1:10" x14ac:dyDescent="0.3">
      <c r="A2674">
        <v>97</v>
      </c>
      <c r="B2674">
        <v>11043445</v>
      </c>
      <c r="C2674" t="s">
        <v>561</v>
      </c>
      <c r="D2674" t="s">
        <v>6065</v>
      </c>
      <c r="E2674" t="s">
        <v>6066</v>
      </c>
      <c r="F2674" t="s">
        <v>7</v>
      </c>
      <c r="G2674" t="s">
        <v>8</v>
      </c>
      <c r="H2674">
        <v>10000000</v>
      </c>
      <c r="I2674">
        <v>5.5</v>
      </c>
      <c r="J2674" t="s">
        <v>9433</v>
      </c>
    </row>
    <row r="2675" spans="1:10" x14ac:dyDescent="0.3">
      <c r="A2675">
        <v>99</v>
      </c>
      <c r="B2675">
        <v>125169</v>
      </c>
      <c r="C2675" t="s">
        <v>1040</v>
      </c>
      <c r="D2675" t="s">
        <v>6067</v>
      </c>
      <c r="E2675" t="s">
        <v>6068</v>
      </c>
      <c r="F2675" t="s">
        <v>7</v>
      </c>
      <c r="G2675" t="s">
        <v>8</v>
      </c>
      <c r="H2675">
        <v>10500000</v>
      </c>
      <c r="I2675">
        <v>6.3</v>
      </c>
      <c r="J2675" t="s">
        <v>8989</v>
      </c>
    </row>
    <row r="2676" spans="1:10" x14ac:dyDescent="0.3">
      <c r="A2676">
        <v>145</v>
      </c>
      <c r="B2676">
        <v>5669081</v>
      </c>
      <c r="C2676" t="s">
        <v>799</v>
      </c>
      <c r="D2676" t="s">
        <v>6069</v>
      </c>
      <c r="E2676" t="s">
        <v>6070</v>
      </c>
      <c r="F2676" t="s">
        <v>1146</v>
      </c>
      <c r="G2676" t="s">
        <v>1193</v>
      </c>
      <c r="H2676">
        <v>10818775</v>
      </c>
      <c r="I2676">
        <v>7.2</v>
      </c>
      <c r="J2676" t="s">
        <v>9434</v>
      </c>
    </row>
    <row r="2677" spans="1:10" x14ac:dyDescent="0.3">
      <c r="A2677">
        <v>121</v>
      </c>
      <c r="B2677">
        <v>80150343</v>
      </c>
      <c r="C2677" t="s">
        <v>2141</v>
      </c>
      <c r="D2677" t="s">
        <v>6071</v>
      </c>
      <c r="E2677" t="s">
        <v>6072</v>
      </c>
      <c r="F2677" t="s">
        <v>7</v>
      </c>
      <c r="G2677" t="s">
        <v>8</v>
      </c>
      <c r="H2677">
        <v>10000000</v>
      </c>
      <c r="I2677">
        <v>6.7</v>
      </c>
      <c r="J2677" t="s">
        <v>9435</v>
      </c>
    </row>
    <row r="2678" spans="1:10" x14ac:dyDescent="0.3">
      <c r="A2678">
        <v>117</v>
      </c>
      <c r="B2678">
        <v>85300000</v>
      </c>
      <c r="C2678" t="s">
        <v>3363</v>
      </c>
      <c r="D2678" t="s">
        <v>6073</v>
      </c>
      <c r="E2678" t="s">
        <v>6074</v>
      </c>
      <c r="F2678" t="s">
        <v>7</v>
      </c>
      <c r="G2678" t="s">
        <v>8</v>
      </c>
      <c r="H2678">
        <v>10000000</v>
      </c>
      <c r="I2678">
        <v>5.3</v>
      </c>
      <c r="J2678" t="s">
        <v>9436</v>
      </c>
    </row>
    <row r="2679" spans="1:10" x14ac:dyDescent="0.3">
      <c r="A2679">
        <v>98</v>
      </c>
      <c r="B2679">
        <v>68353550</v>
      </c>
      <c r="C2679" t="s">
        <v>1632</v>
      </c>
      <c r="D2679" t="s">
        <v>6075</v>
      </c>
      <c r="E2679" t="s">
        <v>6076</v>
      </c>
      <c r="F2679" t="s">
        <v>7</v>
      </c>
      <c r="G2679" t="s">
        <v>8</v>
      </c>
      <c r="H2679">
        <v>10000000</v>
      </c>
      <c r="I2679">
        <v>6.3</v>
      </c>
      <c r="J2679" t="s">
        <v>9437</v>
      </c>
    </row>
    <row r="2680" spans="1:10" x14ac:dyDescent="0.3">
      <c r="A2680">
        <v>109</v>
      </c>
      <c r="B2680">
        <v>78845130</v>
      </c>
      <c r="C2680" t="s">
        <v>912</v>
      </c>
      <c r="D2680" t="s">
        <v>6077</v>
      </c>
      <c r="E2680" t="s">
        <v>6078</v>
      </c>
      <c r="F2680" t="s">
        <v>7</v>
      </c>
      <c r="G2680" t="s">
        <v>583</v>
      </c>
      <c r="H2680">
        <v>10000000</v>
      </c>
      <c r="I2680">
        <v>6.5</v>
      </c>
      <c r="J2680" t="s">
        <v>9303</v>
      </c>
    </row>
    <row r="2681" spans="1:10" x14ac:dyDescent="0.3">
      <c r="A2681">
        <v>95</v>
      </c>
      <c r="B2681">
        <v>63319509</v>
      </c>
      <c r="C2681" t="s">
        <v>672</v>
      </c>
      <c r="D2681" t="s">
        <v>6079</v>
      </c>
      <c r="E2681" t="s">
        <v>6080</v>
      </c>
      <c r="F2681" t="s">
        <v>7</v>
      </c>
      <c r="G2681" t="s">
        <v>8</v>
      </c>
      <c r="H2681">
        <v>10000000</v>
      </c>
      <c r="I2681">
        <v>5.6</v>
      </c>
      <c r="J2681" t="s">
        <v>9438</v>
      </c>
    </row>
    <row r="2682" spans="1:10" x14ac:dyDescent="0.3">
      <c r="A2682">
        <v>96</v>
      </c>
      <c r="B2682">
        <v>63270259</v>
      </c>
      <c r="C2682" t="s">
        <v>2141</v>
      </c>
      <c r="D2682" t="s">
        <v>6081</v>
      </c>
      <c r="E2682" t="s">
        <v>6082</v>
      </c>
      <c r="F2682" t="s">
        <v>7</v>
      </c>
      <c r="G2682" t="s">
        <v>8</v>
      </c>
      <c r="H2682">
        <v>10000000</v>
      </c>
      <c r="I2682">
        <v>7</v>
      </c>
      <c r="J2682" t="s">
        <v>9135</v>
      </c>
    </row>
    <row r="2683" spans="1:10" x14ac:dyDescent="0.3">
      <c r="A2683">
        <v>101</v>
      </c>
      <c r="B2683">
        <v>55865715</v>
      </c>
      <c r="C2683" t="s">
        <v>2578</v>
      </c>
      <c r="D2683" t="s">
        <v>6083</v>
      </c>
      <c r="E2683" t="s">
        <v>6084</v>
      </c>
      <c r="F2683" t="s">
        <v>7</v>
      </c>
      <c r="G2683" t="s">
        <v>15</v>
      </c>
      <c r="H2683">
        <v>10000000</v>
      </c>
      <c r="I2683">
        <v>8.3000000000000007</v>
      </c>
      <c r="J2683" t="s">
        <v>9439</v>
      </c>
    </row>
    <row r="2684" spans="1:10" x14ac:dyDescent="0.3">
      <c r="A2684">
        <v>107</v>
      </c>
      <c r="B2684">
        <v>63231524</v>
      </c>
      <c r="C2684" t="s">
        <v>561</v>
      </c>
      <c r="D2684" t="s">
        <v>6085</v>
      </c>
      <c r="E2684" t="s">
        <v>6086</v>
      </c>
      <c r="F2684" t="s">
        <v>7</v>
      </c>
      <c r="G2684" t="s">
        <v>8</v>
      </c>
      <c r="H2684">
        <v>6000000</v>
      </c>
      <c r="I2684">
        <v>7.2</v>
      </c>
      <c r="J2684" t="s">
        <v>8723</v>
      </c>
    </row>
    <row r="2685" spans="1:10" x14ac:dyDescent="0.3">
      <c r="A2685">
        <v>119</v>
      </c>
      <c r="B2685">
        <v>52293982</v>
      </c>
      <c r="C2685" t="s">
        <v>1578</v>
      </c>
      <c r="D2685" t="s">
        <v>6087</v>
      </c>
      <c r="E2685" t="s">
        <v>6088</v>
      </c>
      <c r="F2685" t="s">
        <v>7</v>
      </c>
      <c r="G2685" t="s">
        <v>8</v>
      </c>
      <c r="H2685">
        <v>13800000</v>
      </c>
      <c r="I2685">
        <v>6.8</v>
      </c>
      <c r="J2685" t="s">
        <v>8742</v>
      </c>
    </row>
    <row r="2686" spans="1:10" x14ac:dyDescent="0.3">
      <c r="A2686">
        <v>100</v>
      </c>
      <c r="B2686">
        <v>50752337</v>
      </c>
      <c r="C2686" t="s">
        <v>3158</v>
      </c>
      <c r="D2686" t="s">
        <v>6089</v>
      </c>
      <c r="E2686" t="s">
        <v>6090</v>
      </c>
      <c r="F2686" t="s">
        <v>7</v>
      </c>
      <c r="G2686" t="s">
        <v>8</v>
      </c>
      <c r="H2686">
        <v>10000000</v>
      </c>
      <c r="I2686">
        <v>6.4</v>
      </c>
      <c r="J2686" t="s">
        <v>9440</v>
      </c>
    </row>
    <row r="2687" spans="1:10" x14ac:dyDescent="0.3">
      <c r="A2687">
        <v>98</v>
      </c>
      <c r="B2687">
        <v>110175871</v>
      </c>
      <c r="C2687" t="s">
        <v>1249</v>
      </c>
      <c r="D2687" t="s">
        <v>6091</v>
      </c>
      <c r="E2687" t="s">
        <v>6092</v>
      </c>
      <c r="F2687" t="s">
        <v>7</v>
      </c>
      <c r="G2687" t="s">
        <v>8</v>
      </c>
      <c r="H2687">
        <v>10000000</v>
      </c>
      <c r="I2687">
        <v>6.9</v>
      </c>
      <c r="J2687" t="s">
        <v>9306</v>
      </c>
    </row>
    <row r="2688" spans="1:10" x14ac:dyDescent="0.3">
      <c r="A2688">
        <v>92</v>
      </c>
      <c r="B2688">
        <v>38624000</v>
      </c>
      <c r="C2688" t="s">
        <v>1632</v>
      </c>
      <c r="D2688" t="s">
        <v>6093</v>
      </c>
      <c r="E2688" t="s">
        <v>6094</v>
      </c>
      <c r="F2688" t="s">
        <v>7</v>
      </c>
      <c r="G2688" t="s">
        <v>8</v>
      </c>
      <c r="H2688">
        <v>12000000</v>
      </c>
      <c r="I2688">
        <v>8</v>
      </c>
      <c r="J2688" t="s">
        <v>9441</v>
      </c>
    </row>
    <row r="2689" spans="1:10" x14ac:dyDescent="0.3">
      <c r="A2689">
        <v>90</v>
      </c>
      <c r="B2689">
        <v>37470017</v>
      </c>
      <c r="C2689" t="s">
        <v>2141</v>
      </c>
      <c r="D2689" t="s">
        <v>6095</v>
      </c>
      <c r="E2689" t="s">
        <v>6096</v>
      </c>
      <c r="F2689" t="s">
        <v>7</v>
      </c>
      <c r="G2689" t="s">
        <v>284</v>
      </c>
      <c r="H2689">
        <v>10000000</v>
      </c>
      <c r="I2689">
        <v>6.2</v>
      </c>
      <c r="J2689" t="s">
        <v>9442</v>
      </c>
    </row>
    <row r="2690" spans="1:10" x14ac:dyDescent="0.3">
      <c r="A2690">
        <v>90</v>
      </c>
      <c r="B2690">
        <v>40485039</v>
      </c>
      <c r="C2690" t="s">
        <v>6097</v>
      </c>
      <c r="D2690" t="s">
        <v>6098</v>
      </c>
      <c r="E2690" t="s">
        <v>6099</v>
      </c>
      <c r="F2690" t="s">
        <v>7</v>
      </c>
      <c r="G2690" t="s">
        <v>8</v>
      </c>
      <c r="H2690">
        <v>10000000</v>
      </c>
      <c r="I2690">
        <v>6.4</v>
      </c>
      <c r="J2690" t="s">
        <v>8961</v>
      </c>
    </row>
    <row r="2691" spans="1:10" x14ac:dyDescent="0.3">
      <c r="A2691">
        <v>153</v>
      </c>
      <c r="B2691">
        <v>16800000</v>
      </c>
      <c r="C2691" t="s">
        <v>6100</v>
      </c>
      <c r="D2691" t="s">
        <v>6101</v>
      </c>
      <c r="E2691" t="s">
        <v>6102</v>
      </c>
      <c r="F2691" t="s">
        <v>7</v>
      </c>
      <c r="G2691" t="s">
        <v>15</v>
      </c>
      <c r="H2691">
        <v>10000000</v>
      </c>
      <c r="I2691">
        <v>5.6</v>
      </c>
      <c r="J2691" t="s">
        <v>8796</v>
      </c>
    </row>
    <row r="2692" spans="1:10" x14ac:dyDescent="0.3">
      <c r="A2692">
        <v>124</v>
      </c>
      <c r="B2692">
        <v>46377022</v>
      </c>
      <c r="C2692" t="s">
        <v>1040</v>
      </c>
      <c r="D2692" t="s">
        <v>6103</v>
      </c>
      <c r="E2692" t="s">
        <v>6104</v>
      </c>
      <c r="F2692" t="s">
        <v>7</v>
      </c>
      <c r="G2692" t="s">
        <v>15</v>
      </c>
      <c r="H2692">
        <v>10000000</v>
      </c>
      <c r="I2692">
        <v>6.1</v>
      </c>
      <c r="J2692" t="s">
        <v>9443</v>
      </c>
    </row>
    <row r="2693" spans="1:10" x14ac:dyDescent="0.3">
      <c r="A2693">
        <v>82</v>
      </c>
      <c r="B2693">
        <v>36696761</v>
      </c>
      <c r="C2693" t="s">
        <v>3527</v>
      </c>
      <c r="D2693" t="s">
        <v>6105</v>
      </c>
      <c r="E2693" t="s">
        <v>6106</v>
      </c>
      <c r="F2693" t="s">
        <v>7</v>
      </c>
      <c r="G2693" t="s">
        <v>8</v>
      </c>
      <c r="H2693">
        <v>23000000</v>
      </c>
      <c r="I2693">
        <v>6</v>
      </c>
      <c r="J2693" t="s">
        <v>9444</v>
      </c>
    </row>
    <row r="2694" spans="1:10" x14ac:dyDescent="0.3">
      <c r="A2694">
        <v>107</v>
      </c>
      <c r="B2694">
        <v>36200000</v>
      </c>
      <c r="C2694" t="s">
        <v>78</v>
      </c>
      <c r="D2694" t="s">
        <v>6107</v>
      </c>
      <c r="E2694" t="s">
        <v>6108</v>
      </c>
      <c r="F2694" t="s">
        <v>7</v>
      </c>
      <c r="G2694" t="s">
        <v>132</v>
      </c>
      <c r="H2694">
        <v>12305523</v>
      </c>
      <c r="I2694">
        <v>5.0999999999999996</v>
      </c>
      <c r="J2694" t="s">
        <v>9445</v>
      </c>
    </row>
    <row r="2695" spans="1:10" x14ac:dyDescent="0.3">
      <c r="A2695">
        <v>97</v>
      </c>
      <c r="B2695">
        <v>35794166</v>
      </c>
      <c r="C2695" t="s">
        <v>1249</v>
      </c>
      <c r="D2695" t="s">
        <v>6109</v>
      </c>
      <c r="E2695" t="s">
        <v>6110</v>
      </c>
      <c r="F2695" t="s">
        <v>7</v>
      </c>
      <c r="G2695" t="s">
        <v>8</v>
      </c>
      <c r="H2695">
        <v>10000000</v>
      </c>
      <c r="I2695">
        <v>4.5</v>
      </c>
      <c r="J2695" t="s">
        <v>9446</v>
      </c>
    </row>
    <row r="2696" spans="1:10" x14ac:dyDescent="0.3">
      <c r="A2696">
        <v>80</v>
      </c>
      <c r="B2696">
        <v>33583175</v>
      </c>
      <c r="C2696" t="s">
        <v>1249</v>
      </c>
      <c r="D2696" t="s">
        <v>6111</v>
      </c>
      <c r="E2696" t="s">
        <v>6112</v>
      </c>
      <c r="F2696" t="s">
        <v>7</v>
      </c>
      <c r="G2696" t="s">
        <v>8</v>
      </c>
      <c r="H2696">
        <v>10000000</v>
      </c>
      <c r="I2696">
        <v>5.9</v>
      </c>
      <c r="J2696" t="s">
        <v>9447</v>
      </c>
    </row>
    <row r="2697" spans="1:10" x14ac:dyDescent="0.3">
      <c r="A2697">
        <v>85</v>
      </c>
      <c r="B2697">
        <v>32983713</v>
      </c>
      <c r="C2697" t="s">
        <v>1040</v>
      </c>
      <c r="D2697" t="s">
        <v>6113</v>
      </c>
      <c r="E2697" t="s">
        <v>6114</v>
      </c>
      <c r="F2697" t="s">
        <v>7</v>
      </c>
      <c r="G2697" t="s">
        <v>8</v>
      </c>
      <c r="H2697">
        <v>20000000</v>
      </c>
      <c r="I2697">
        <v>6</v>
      </c>
      <c r="J2697" t="s">
        <v>9448</v>
      </c>
    </row>
    <row r="2698" spans="1:10" x14ac:dyDescent="0.3">
      <c r="A2698">
        <v>97</v>
      </c>
      <c r="B2698">
        <v>52200504</v>
      </c>
      <c r="C2698" t="s">
        <v>4116</v>
      </c>
      <c r="D2698" t="s">
        <v>6115</v>
      </c>
      <c r="E2698" t="s">
        <v>6116</v>
      </c>
      <c r="F2698" t="s">
        <v>7</v>
      </c>
      <c r="G2698" t="s">
        <v>95</v>
      </c>
      <c r="H2698">
        <v>10000000</v>
      </c>
      <c r="I2698">
        <v>5.8</v>
      </c>
      <c r="J2698" t="s">
        <v>9449</v>
      </c>
    </row>
    <row r="2699" spans="1:10" x14ac:dyDescent="0.3">
      <c r="A2699">
        <v>109</v>
      </c>
      <c r="B2699">
        <v>33000000</v>
      </c>
      <c r="C2699" t="s">
        <v>6117</v>
      </c>
      <c r="D2699" t="s">
        <v>6118</v>
      </c>
      <c r="E2699" t="s">
        <v>6119</v>
      </c>
      <c r="F2699" t="s">
        <v>7</v>
      </c>
      <c r="G2699" t="s">
        <v>8</v>
      </c>
      <c r="H2699">
        <v>10000000</v>
      </c>
      <c r="I2699">
        <v>6.1</v>
      </c>
      <c r="J2699" t="s">
        <v>9450</v>
      </c>
    </row>
    <row r="2700" spans="1:10" x14ac:dyDescent="0.3">
      <c r="A2700">
        <v>140</v>
      </c>
      <c r="B2700">
        <v>32101000</v>
      </c>
      <c r="C2700" t="s">
        <v>4304</v>
      </c>
      <c r="D2700" t="s">
        <v>6120</v>
      </c>
      <c r="E2700" t="s">
        <v>6121</v>
      </c>
      <c r="F2700" t="s">
        <v>7</v>
      </c>
      <c r="G2700" t="s">
        <v>15</v>
      </c>
      <c r="H2700">
        <v>10000000</v>
      </c>
      <c r="I2700">
        <v>4.9000000000000004</v>
      </c>
      <c r="J2700" t="s">
        <v>9451</v>
      </c>
    </row>
    <row r="2701" spans="1:10" x14ac:dyDescent="0.3">
      <c r="A2701">
        <v>90</v>
      </c>
      <c r="B2701">
        <v>31487293</v>
      </c>
      <c r="C2701" t="s">
        <v>2429</v>
      </c>
      <c r="D2701" t="s">
        <v>6122</v>
      </c>
      <c r="E2701" t="s">
        <v>6123</v>
      </c>
      <c r="F2701" t="s">
        <v>7</v>
      </c>
      <c r="G2701" t="s">
        <v>8</v>
      </c>
      <c r="H2701">
        <v>9000000</v>
      </c>
      <c r="I2701">
        <v>5.7</v>
      </c>
      <c r="J2701" t="s">
        <v>9452</v>
      </c>
    </row>
    <row r="2702" spans="1:10" x14ac:dyDescent="0.3">
      <c r="A2702">
        <v>130</v>
      </c>
      <c r="B2702">
        <v>30651422</v>
      </c>
      <c r="C2702" t="s">
        <v>4654</v>
      </c>
      <c r="D2702" t="s">
        <v>6124</v>
      </c>
      <c r="E2702" t="s">
        <v>6125</v>
      </c>
      <c r="F2702" t="s">
        <v>7</v>
      </c>
      <c r="G2702" t="s">
        <v>8</v>
      </c>
      <c r="H2702">
        <v>10000000</v>
      </c>
      <c r="I2702">
        <v>7.1</v>
      </c>
      <c r="J2702" t="s">
        <v>9453</v>
      </c>
    </row>
    <row r="2703" spans="1:10" x14ac:dyDescent="0.3">
      <c r="A2703">
        <v>98</v>
      </c>
      <c r="B2703">
        <v>30306281</v>
      </c>
      <c r="C2703" t="s">
        <v>1040</v>
      </c>
      <c r="D2703" t="s">
        <v>6126</v>
      </c>
      <c r="E2703" t="s">
        <v>6127</v>
      </c>
      <c r="F2703" t="s">
        <v>7</v>
      </c>
      <c r="G2703" t="s">
        <v>8</v>
      </c>
      <c r="H2703">
        <v>10000000</v>
      </c>
      <c r="I2703">
        <v>6.6</v>
      </c>
      <c r="J2703" t="s">
        <v>9454</v>
      </c>
    </row>
    <row r="2704" spans="1:10" x14ac:dyDescent="0.3">
      <c r="A2704">
        <v>101</v>
      </c>
      <c r="B2704">
        <v>29500000</v>
      </c>
      <c r="C2704" t="s">
        <v>6128</v>
      </c>
      <c r="D2704" t="s">
        <v>6129</v>
      </c>
      <c r="E2704" t="s">
        <v>6130</v>
      </c>
      <c r="F2704" t="s">
        <v>7</v>
      </c>
      <c r="G2704" t="s">
        <v>8</v>
      </c>
      <c r="H2704">
        <v>10000000</v>
      </c>
      <c r="I2704">
        <v>8.1</v>
      </c>
      <c r="J2704" t="s">
        <v>8663</v>
      </c>
    </row>
    <row r="2705" spans="1:10" x14ac:dyDescent="0.3">
      <c r="A2705">
        <v>114</v>
      </c>
      <c r="B2705">
        <v>30050028</v>
      </c>
      <c r="C2705" t="s">
        <v>16</v>
      </c>
      <c r="D2705" t="s">
        <v>6131</v>
      </c>
      <c r="E2705" t="s">
        <v>6132</v>
      </c>
      <c r="F2705" t="s">
        <v>7</v>
      </c>
      <c r="G2705" t="s">
        <v>8</v>
      </c>
      <c r="H2705">
        <v>17000000</v>
      </c>
      <c r="I2705">
        <v>5.7</v>
      </c>
      <c r="J2705" t="s">
        <v>9455</v>
      </c>
    </row>
    <row r="2706" spans="1:10" x14ac:dyDescent="0.3">
      <c r="A2706">
        <v>100</v>
      </c>
      <c r="B2706">
        <v>29392418</v>
      </c>
      <c r="C2706" t="s">
        <v>704</v>
      </c>
      <c r="D2706" t="s">
        <v>6133</v>
      </c>
      <c r="E2706" t="s">
        <v>6134</v>
      </c>
      <c r="F2706" t="s">
        <v>7</v>
      </c>
      <c r="G2706" t="s">
        <v>8</v>
      </c>
      <c r="H2706">
        <v>10000000</v>
      </c>
      <c r="I2706">
        <v>6.8</v>
      </c>
      <c r="J2706" t="s">
        <v>8329</v>
      </c>
    </row>
    <row r="2707" spans="1:10" x14ac:dyDescent="0.3">
      <c r="A2707">
        <v>85</v>
      </c>
      <c r="B2707">
        <v>28563926</v>
      </c>
      <c r="C2707" t="s">
        <v>1704</v>
      </c>
      <c r="D2707" t="s">
        <v>6135</v>
      </c>
      <c r="E2707" t="s">
        <v>6136</v>
      </c>
      <c r="F2707" t="s">
        <v>7</v>
      </c>
      <c r="G2707" t="s">
        <v>8</v>
      </c>
      <c r="H2707">
        <v>8500000</v>
      </c>
      <c r="I2707">
        <v>7.5</v>
      </c>
      <c r="J2707" t="s">
        <v>9456</v>
      </c>
    </row>
    <row r="2708" spans="1:10" x14ac:dyDescent="0.3">
      <c r="A2708">
        <v>103</v>
      </c>
      <c r="B2708">
        <v>28435406</v>
      </c>
      <c r="C2708" t="s">
        <v>672</v>
      </c>
      <c r="D2708" t="s">
        <v>6137</v>
      </c>
      <c r="E2708" t="s">
        <v>6138</v>
      </c>
      <c r="F2708" t="s">
        <v>7</v>
      </c>
      <c r="G2708" t="s">
        <v>8</v>
      </c>
      <c r="H2708">
        <v>12000000</v>
      </c>
      <c r="I2708">
        <v>6.2</v>
      </c>
      <c r="J2708" t="s">
        <v>9457</v>
      </c>
    </row>
    <row r="2709" spans="1:10" x14ac:dyDescent="0.3">
      <c r="A2709">
        <v>100</v>
      </c>
      <c r="B2709">
        <v>25339117</v>
      </c>
      <c r="C2709" t="s">
        <v>672</v>
      </c>
      <c r="D2709" t="s">
        <v>6139</v>
      </c>
      <c r="E2709" t="s">
        <v>6140</v>
      </c>
      <c r="F2709" t="s">
        <v>7</v>
      </c>
      <c r="G2709" t="s">
        <v>8</v>
      </c>
      <c r="H2709">
        <v>10000000</v>
      </c>
      <c r="I2709">
        <v>8.3000000000000007</v>
      </c>
      <c r="J2709" t="s">
        <v>8619</v>
      </c>
    </row>
    <row r="2710" spans="1:10" x14ac:dyDescent="0.3">
      <c r="A2710">
        <v>114</v>
      </c>
      <c r="B2710">
        <v>25600000</v>
      </c>
      <c r="C2710" t="s">
        <v>786</v>
      </c>
      <c r="D2710" t="s">
        <v>6141</v>
      </c>
      <c r="E2710" t="s">
        <v>6142</v>
      </c>
      <c r="F2710" t="s">
        <v>7</v>
      </c>
      <c r="G2710" t="s">
        <v>8</v>
      </c>
      <c r="H2710">
        <v>10000000</v>
      </c>
      <c r="I2710">
        <v>7.4</v>
      </c>
      <c r="J2710" t="s">
        <v>9458</v>
      </c>
    </row>
    <row r="2711" spans="1:10" x14ac:dyDescent="0.3">
      <c r="A2711">
        <v>97</v>
      </c>
      <c r="B2711">
        <v>27736779</v>
      </c>
      <c r="C2711" t="s">
        <v>1249</v>
      </c>
      <c r="D2711" t="s">
        <v>6143</v>
      </c>
      <c r="E2711" t="s">
        <v>6144</v>
      </c>
      <c r="F2711" t="s">
        <v>7</v>
      </c>
      <c r="G2711" t="s">
        <v>8</v>
      </c>
      <c r="H2711">
        <v>10000000</v>
      </c>
      <c r="I2711">
        <v>8</v>
      </c>
      <c r="J2711" t="s">
        <v>8757</v>
      </c>
    </row>
    <row r="2712" spans="1:10" x14ac:dyDescent="0.3">
      <c r="A2712">
        <v>116</v>
      </c>
      <c r="B2712">
        <v>24397469</v>
      </c>
      <c r="C2712" t="s">
        <v>2605</v>
      </c>
      <c r="D2712" t="s">
        <v>6145</v>
      </c>
      <c r="E2712" t="s">
        <v>6146</v>
      </c>
      <c r="F2712" t="s">
        <v>7</v>
      </c>
      <c r="G2712" t="s">
        <v>8</v>
      </c>
      <c r="H2712">
        <v>17000000</v>
      </c>
      <c r="I2712">
        <v>6.9</v>
      </c>
      <c r="J2712" t="s">
        <v>8744</v>
      </c>
    </row>
    <row r="2713" spans="1:10" x14ac:dyDescent="0.3">
      <c r="A2713">
        <v>96</v>
      </c>
      <c r="B2713">
        <v>20384136</v>
      </c>
      <c r="C2713" t="s">
        <v>1249</v>
      </c>
      <c r="D2713" t="s">
        <v>6147</v>
      </c>
      <c r="E2713" t="s">
        <v>6148</v>
      </c>
      <c r="F2713" t="s">
        <v>7</v>
      </c>
      <c r="G2713" t="s">
        <v>8</v>
      </c>
      <c r="H2713">
        <v>10000000</v>
      </c>
      <c r="I2713">
        <v>6.9</v>
      </c>
      <c r="J2713" t="s">
        <v>8586</v>
      </c>
    </row>
    <row r="2714" spans="1:10" x14ac:dyDescent="0.3">
      <c r="A2714">
        <v>98</v>
      </c>
      <c r="B2714">
        <v>25464480</v>
      </c>
      <c r="C2714" t="s">
        <v>2108</v>
      </c>
      <c r="D2714" t="s">
        <v>6149</v>
      </c>
      <c r="E2714" t="s">
        <v>6150</v>
      </c>
      <c r="F2714" t="s">
        <v>7</v>
      </c>
      <c r="G2714" t="s">
        <v>8</v>
      </c>
      <c r="H2714">
        <v>10000000</v>
      </c>
      <c r="I2714">
        <v>9.5</v>
      </c>
      <c r="J2714" t="s">
        <v>9459</v>
      </c>
    </row>
    <row r="2715" spans="1:10" x14ac:dyDescent="0.3">
      <c r="A2715">
        <v>105</v>
      </c>
      <c r="B2715">
        <v>20338609</v>
      </c>
      <c r="C2715" t="s">
        <v>2312</v>
      </c>
      <c r="D2715" t="s">
        <v>6151</v>
      </c>
      <c r="E2715" t="s">
        <v>6152</v>
      </c>
      <c r="F2715" t="s">
        <v>7</v>
      </c>
      <c r="G2715" t="s">
        <v>8</v>
      </c>
      <c r="H2715">
        <v>10000000</v>
      </c>
      <c r="I2715">
        <v>5.5</v>
      </c>
      <c r="J2715" t="s">
        <v>9460</v>
      </c>
    </row>
    <row r="2716" spans="1:10" x14ac:dyDescent="0.3">
      <c r="A2716">
        <v>123</v>
      </c>
      <c r="B2716">
        <v>18272447</v>
      </c>
      <c r="C2716" t="s">
        <v>1704</v>
      </c>
      <c r="D2716" t="s">
        <v>6153</v>
      </c>
      <c r="E2716" t="s">
        <v>6154</v>
      </c>
      <c r="F2716" t="s">
        <v>7</v>
      </c>
      <c r="G2716" t="s">
        <v>8</v>
      </c>
      <c r="H2716">
        <v>10000000</v>
      </c>
      <c r="I2716">
        <v>5.7</v>
      </c>
      <c r="J2716" t="s">
        <v>9461</v>
      </c>
    </row>
    <row r="2717" spans="1:10" x14ac:dyDescent="0.3">
      <c r="A2717">
        <v>93</v>
      </c>
      <c r="B2717">
        <v>17096053</v>
      </c>
      <c r="C2717" t="s">
        <v>1040</v>
      </c>
      <c r="D2717" t="s">
        <v>6155</v>
      </c>
      <c r="E2717" t="s">
        <v>6156</v>
      </c>
      <c r="F2717" t="s">
        <v>7</v>
      </c>
      <c r="G2717" t="s">
        <v>8</v>
      </c>
      <c r="H2717">
        <v>9000000</v>
      </c>
      <c r="I2717">
        <v>7.2</v>
      </c>
      <c r="J2717" t="s">
        <v>8372</v>
      </c>
    </row>
    <row r="2718" spans="1:10" x14ac:dyDescent="0.3">
      <c r="A2718">
        <v>97</v>
      </c>
      <c r="B2718">
        <v>21371425</v>
      </c>
      <c r="C2718" t="s">
        <v>1157</v>
      </c>
      <c r="D2718" t="s">
        <v>6157</v>
      </c>
      <c r="E2718" t="s">
        <v>6158</v>
      </c>
      <c r="F2718" t="s">
        <v>7</v>
      </c>
      <c r="G2718" t="s">
        <v>8</v>
      </c>
      <c r="H2718">
        <v>10000000</v>
      </c>
      <c r="I2718">
        <v>6.9</v>
      </c>
      <c r="J2718" t="s">
        <v>8365</v>
      </c>
    </row>
    <row r="2719" spans="1:10" x14ac:dyDescent="0.3">
      <c r="A2719">
        <v>122</v>
      </c>
      <c r="B2719">
        <v>33071558</v>
      </c>
      <c r="C2719" t="s">
        <v>1040</v>
      </c>
      <c r="D2719" t="s">
        <v>6159</v>
      </c>
      <c r="E2719" t="s">
        <v>6160</v>
      </c>
      <c r="F2719" t="s">
        <v>7</v>
      </c>
      <c r="G2719" t="s">
        <v>15</v>
      </c>
      <c r="H2719">
        <v>10000000</v>
      </c>
      <c r="I2719">
        <v>5.5</v>
      </c>
      <c r="J2719" t="s">
        <v>8773</v>
      </c>
    </row>
    <row r="2720" spans="1:10" x14ac:dyDescent="0.3">
      <c r="A2720">
        <v>101</v>
      </c>
      <c r="B2720">
        <v>17655201</v>
      </c>
      <c r="C2720" t="s">
        <v>3017</v>
      </c>
      <c r="D2720" t="s">
        <v>6161</v>
      </c>
      <c r="E2720" t="s">
        <v>6162</v>
      </c>
      <c r="F2720" t="s">
        <v>7</v>
      </c>
      <c r="G2720" t="s">
        <v>8</v>
      </c>
      <c r="H2720">
        <v>10000000</v>
      </c>
      <c r="I2720">
        <v>5.9</v>
      </c>
      <c r="J2720" t="s">
        <v>9127</v>
      </c>
    </row>
    <row r="2721" spans="1:10" x14ac:dyDescent="0.3">
      <c r="A2721">
        <v>100</v>
      </c>
      <c r="B2721">
        <v>16247775</v>
      </c>
      <c r="C2721" t="s">
        <v>1126</v>
      </c>
      <c r="D2721" t="s">
        <v>6163</v>
      </c>
      <c r="E2721" t="s">
        <v>6164</v>
      </c>
      <c r="F2721" t="s">
        <v>7</v>
      </c>
      <c r="G2721" t="s">
        <v>8</v>
      </c>
      <c r="H2721">
        <v>25000000</v>
      </c>
      <c r="I2721">
        <v>7.7</v>
      </c>
      <c r="J2721" t="s">
        <v>8781</v>
      </c>
    </row>
    <row r="2722" spans="1:10" x14ac:dyDescent="0.3">
      <c r="A2722">
        <v>129</v>
      </c>
      <c r="B2722">
        <v>16153600</v>
      </c>
      <c r="C2722" t="s">
        <v>3307</v>
      </c>
      <c r="D2722" t="s">
        <v>6165</v>
      </c>
      <c r="E2722" t="s">
        <v>6166</v>
      </c>
      <c r="F2722" t="s">
        <v>7</v>
      </c>
      <c r="G2722" t="s">
        <v>8</v>
      </c>
      <c r="H2722">
        <v>10000000</v>
      </c>
      <c r="I2722">
        <v>5.2</v>
      </c>
      <c r="J2722" t="s">
        <v>9111</v>
      </c>
    </row>
    <row r="2723" spans="1:10" x14ac:dyDescent="0.3">
      <c r="A2723">
        <v>81</v>
      </c>
      <c r="B2723">
        <v>16033556</v>
      </c>
      <c r="C2723" t="s">
        <v>879</v>
      </c>
      <c r="D2723" t="s">
        <v>6167</v>
      </c>
      <c r="E2723" t="s">
        <v>6168</v>
      </c>
      <c r="F2723" t="s">
        <v>7</v>
      </c>
      <c r="G2723" t="s">
        <v>8</v>
      </c>
      <c r="H2723">
        <v>10000000</v>
      </c>
      <c r="I2723">
        <v>7.1</v>
      </c>
      <c r="J2723" t="s">
        <v>8975</v>
      </c>
    </row>
    <row r="2724" spans="1:10" x14ac:dyDescent="0.3">
      <c r="A2724">
        <v>84</v>
      </c>
      <c r="B2724">
        <v>15417771</v>
      </c>
      <c r="C2724" t="s">
        <v>2324</v>
      </c>
      <c r="D2724" t="s">
        <v>6169</v>
      </c>
      <c r="E2724" t="s">
        <v>6170</v>
      </c>
      <c r="F2724" t="s">
        <v>7</v>
      </c>
      <c r="G2724" t="s">
        <v>8</v>
      </c>
      <c r="H2724">
        <v>12600000</v>
      </c>
      <c r="I2724">
        <v>5.5</v>
      </c>
      <c r="J2724" t="s">
        <v>9462</v>
      </c>
    </row>
    <row r="2725" spans="1:10" x14ac:dyDescent="0.3">
      <c r="A2725">
        <v>110</v>
      </c>
      <c r="B2725">
        <v>15156200</v>
      </c>
      <c r="C2725" t="s">
        <v>436</v>
      </c>
      <c r="D2725" t="s">
        <v>6172</v>
      </c>
      <c r="E2725" t="s">
        <v>6173</v>
      </c>
      <c r="F2725" t="s">
        <v>7</v>
      </c>
      <c r="G2725" t="s">
        <v>8</v>
      </c>
      <c r="H2725">
        <v>30000000</v>
      </c>
      <c r="I2725">
        <v>7.7</v>
      </c>
      <c r="J2725" t="s">
        <v>8784</v>
      </c>
    </row>
    <row r="2726" spans="1:10" x14ac:dyDescent="0.3">
      <c r="A2726">
        <v>130</v>
      </c>
      <c r="B2726">
        <v>21589307</v>
      </c>
      <c r="C2726" t="s">
        <v>1417</v>
      </c>
      <c r="D2726" t="s">
        <v>6174</v>
      </c>
      <c r="E2726" t="s">
        <v>6175</v>
      </c>
      <c r="F2726" t="s">
        <v>7</v>
      </c>
      <c r="G2726" t="s">
        <v>8</v>
      </c>
      <c r="H2726">
        <v>10000000</v>
      </c>
      <c r="I2726">
        <v>5.4</v>
      </c>
      <c r="J2726" t="s">
        <v>9088</v>
      </c>
    </row>
    <row r="2727" spans="1:10" x14ac:dyDescent="0.3">
      <c r="A2727">
        <v>84</v>
      </c>
      <c r="B2727">
        <v>20339754</v>
      </c>
      <c r="C2727" t="s">
        <v>386</v>
      </c>
      <c r="D2727" t="s">
        <v>6176</v>
      </c>
      <c r="E2727" t="s">
        <v>6177</v>
      </c>
      <c r="F2727" t="s">
        <v>7</v>
      </c>
      <c r="G2727" t="s">
        <v>8</v>
      </c>
      <c r="H2727">
        <v>10000000</v>
      </c>
      <c r="I2727">
        <v>6.7</v>
      </c>
      <c r="J2727" t="s">
        <v>9463</v>
      </c>
    </row>
    <row r="2728" spans="1:10" x14ac:dyDescent="0.3">
      <c r="A2728">
        <v>106</v>
      </c>
      <c r="B2728">
        <v>28873374</v>
      </c>
      <c r="C2728" t="s">
        <v>1701</v>
      </c>
      <c r="D2728" t="s">
        <v>6178</v>
      </c>
      <c r="E2728" t="s">
        <v>6179</v>
      </c>
      <c r="F2728" t="s">
        <v>7</v>
      </c>
      <c r="G2728" t="s">
        <v>8</v>
      </c>
      <c r="H2728">
        <v>10000000</v>
      </c>
      <c r="I2728">
        <v>5</v>
      </c>
      <c r="J2728" t="s">
        <v>9123</v>
      </c>
    </row>
    <row r="2729" spans="1:10" x14ac:dyDescent="0.3">
      <c r="A2729">
        <v>76</v>
      </c>
      <c r="B2729">
        <v>13684949</v>
      </c>
      <c r="C2729" t="s">
        <v>167</v>
      </c>
      <c r="D2729" t="s">
        <v>6180</v>
      </c>
      <c r="E2729" t="s">
        <v>6181</v>
      </c>
      <c r="F2729" t="s">
        <v>7</v>
      </c>
      <c r="G2729" t="s">
        <v>8</v>
      </c>
      <c r="H2729">
        <v>3000000</v>
      </c>
      <c r="I2729">
        <v>6.4</v>
      </c>
      <c r="J2729" t="s">
        <v>8718</v>
      </c>
    </row>
    <row r="2730" spans="1:10" x14ac:dyDescent="0.3">
      <c r="A2730">
        <v>99</v>
      </c>
      <c r="B2730">
        <v>14597405</v>
      </c>
      <c r="C2730" t="s">
        <v>617</v>
      </c>
      <c r="D2730" t="s">
        <v>6182</v>
      </c>
      <c r="E2730" t="s">
        <v>6183</v>
      </c>
      <c r="F2730" t="s">
        <v>7</v>
      </c>
      <c r="G2730" t="s">
        <v>15</v>
      </c>
      <c r="H2730">
        <v>6400000</v>
      </c>
      <c r="I2730">
        <v>6.6</v>
      </c>
      <c r="J2730" t="s">
        <v>9409</v>
      </c>
    </row>
    <row r="2731" spans="1:10" x14ac:dyDescent="0.3">
      <c r="A2731">
        <v>96</v>
      </c>
      <c r="B2731">
        <v>12570442</v>
      </c>
      <c r="C2731" t="s">
        <v>2226</v>
      </c>
      <c r="D2731" t="s">
        <v>6184</v>
      </c>
      <c r="E2731" t="s">
        <v>6185</v>
      </c>
      <c r="F2731" t="s">
        <v>7</v>
      </c>
      <c r="G2731" t="s">
        <v>8</v>
      </c>
      <c r="H2731">
        <v>10000000</v>
      </c>
      <c r="I2731">
        <v>5.9</v>
      </c>
      <c r="J2731" t="s">
        <v>8558</v>
      </c>
    </row>
    <row r="2732" spans="1:10" x14ac:dyDescent="0.3">
      <c r="A2732">
        <v>104</v>
      </c>
      <c r="B2732">
        <v>12514138</v>
      </c>
      <c r="C2732" t="s">
        <v>73</v>
      </c>
      <c r="D2732" t="s">
        <v>6186</v>
      </c>
      <c r="E2732" t="s">
        <v>6187</v>
      </c>
      <c r="F2732" t="s">
        <v>7</v>
      </c>
      <c r="G2732" t="s">
        <v>8</v>
      </c>
      <c r="H2732">
        <v>10000000</v>
      </c>
      <c r="I2732">
        <v>5.7</v>
      </c>
      <c r="J2732" t="s">
        <v>8691</v>
      </c>
    </row>
    <row r="2733" spans="1:10" x14ac:dyDescent="0.3">
      <c r="A2733">
        <v>108</v>
      </c>
      <c r="B2733">
        <v>43771291</v>
      </c>
      <c r="C2733" t="s">
        <v>321</v>
      </c>
      <c r="D2733" t="s">
        <v>6188</v>
      </c>
      <c r="E2733" t="s">
        <v>6189</v>
      </c>
      <c r="F2733" t="s">
        <v>7</v>
      </c>
      <c r="G2733" t="s">
        <v>8</v>
      </c>
      <c r="H2733">
        <v>5000000</v>
      </c>
      <c r="I2733">
        <v>4.5</v>
      </c>
      <c r="J2733" t="s">
        <v>8841</v>
      </c>
    </row>
    <row r="2734" spans="1:10" x14ac:dyDescent="0.3">
      <c r="A2734">
        <v>108</v>
      </c>
      <c r="B2734">
        <v>11703287</v>
      </c>
      <c r="C2734" t="s">
        <v>2975</v>
      </c>
      <c r="D2734" t="s">
        <v>6190</v>
      </c>
      <c r="E2734" t="s">
        <v>6191</v>
      </c>
      <c r="F2734" t="s">
        <v>7</v>
      </c>
      <c r="G2734" t="s">
        <v>8</v>
      </c>
      <c r="H2734">
        <v>10000000</v>
      </c>
      <c r="I2734">
        <v>3.7</v>
      </c>
      <c r="J2734" t="s">
        <v>9295</v>
      </c>
    </row>
    <row r="2735" spans="1:10" x14ac:dyDescent="0.3">
      <c r="A2735">
        <v>87</v>
      </c>
      <c r="B2735">
        <v>11560259</v>
      </c>
      <c r="C2735" t="s">
        <v>672</v>
      </c>
      <c r="D2735" t="s">
        <v>6192</v>
      </c>
      <c r="E2735" t="s">
        <v>6193</v>
      </c>
      <c r="F2735" t="s">
        <v>7</v>
      </c>
      <c r="G2735" t="s">
        <v>8</v>
      </c>
      <c r="H2735">
        <v>22000000</v>
      </c>
      <c r="I2735">
        <v>5</v>
      </c>
      <c r="J2735" t="s">
        <v>9296</v>
      </c>
    </row>
    <row r="2736" spans="1:10" x14ac:dyDescent="0.3">
      <c r="A2736">
        <v>89</v>
      </c>
      <c r="B2736">
        <v>10824921</v>
      </c>
      <c r="C2736" t="s">
        <v>668</v>
      </c>
      <c r="D2736" t="s">
        <v>6194</v>
      </c>
      <c r="E2736" t="s">
        <v>6195</v>
      </c>
      <c r="F2736" t="s">
        <v>7</v>
      </c>
      <c r="G2736" t="s">
        <v>8</v>
      </c>
      <c r="H2736">
        <v>10000000</v>
      </c>
      <c r="I2736">
        <v>4.5999999999999996</v>
      </c>
      <c r="J2736" t="s">
        <v>8788</v>
      </c>
    </row>
    <row r="2737" spans="1:10" x14ac:dyDescent="0.3">
      <c r="A2737">
        <v>97</v>
      </c>
      <c r="B2737">
        <v>10561238</v>
      </c>
      <c r="C2737" t="s">
        <v>6196</v>
      </c>
      <c r="D2737" t="s">
        <v>6197</v>
      </c>
      <c r="E2737" t="s">
        <v>6198</v>
      </c>
      <c r="F2737" t="s">
        <v>7</v>
      </c>
      <c r="G2737" t="s">
        <v>284</v>
      </c>
      <c r="H2737">
        <v>10000000</v>
      </c>
      <c r="I2737">
        <v>6.5</v>
      </c>
      <c r="J2737" t="s">
        <v>8431</v>
      </c>
    </row>
    <row r="2738" spans="1:10" x14ac:dyDescent="0.3">
      <c r="A2738">
        <v>106</v>
      </c>
      <c r="B2738">
        <v>14479776</v>
      </c>
      <c r="C2738" t="s">
        <v>6199</v>
      </c>
      <c r="D2738" t="s">
        <v>6200</v>
      </c>
      <c r="E2738" t="s">
        <v>6201</v>
      </c>
      <c r="F2738" t="s">
        <v>7</v>
      </c>
      <c r="G2738" t="s">
        <v>8</v>
      </c>
      <c r="H2738">
        <v>10000000</v>
      </c>
      <c r="I2738">
        <v>4.9000000000000004</v>
      </c>
      <c r="J2738" t="s">
        <v>9464</v>
      </c>
    </row>
    <row r="2739" spans="1:10" x14ac:dyDescent="0.3">
      <c r="A2739">
        <v>100</v>
      </c>
      <c r="B2739">
        <v>9801782</v>
      </c>
      <c r="C2739" t="s">
        <v>2509</v>
      </c>
      <c r="D2739" t="s">
        <v>6202</v>
      </c>
      <c r="E2739" t="s">
        <v>6203</v>
      </c>
      <c r="F2739" t="s">
        <v>7</v>
      </c>
      <c r="G2739" t="s">
        <v>8</v>
      </c>
      <c r="H2739">
        <v>10000000</v>
      </c>
      <c r="I2739">
        <v>6</v>
      </c>
      <c r="J2739" t="s">
        <v>9465</v>
      </c>
    </row>
    <row r="2740" spans="1:10" x14ac:dyDescent="0.3">
      <c r="A2740">
        <v>89</v>
      </c>
      <c r="B2740">
        <v>8070311</v>
      </c>
      <c r="C2740" t="s">
        <v>672</v>
      </c>
      <c r="D2740" t="s">
        <v>6204</v>
      </c>
      <c r="E2740" t="s">
        <v>6205</v>
      </c>
      <c r="F2740" t="s">
        <v>7</v>
      </c>
      <c r="G2740" t="s">
        <v>8</v>
      </c>
      <c r="H2740">
        <v>10000000</v>
      </c>
      <c r="I2740">
        <v>6.9</v>
      </c>
      <c r="J2740" t="s">
        <v>9466</v>
      </c>
    </row>
    <row r="2741" spans="1:10" x14ac:dyDescent="0.3">
      <c r="A2741">
        <v>95</v>
      </c>
      <c r="B2741">
        <v>8460995</v>
      </c>
      <c r="C2741" t="s">
        <v>564</v>
      </c>
      <c r="D2741" t="s">
        <v>6206</v>
      </c>
      <c r="E2741" t="s">
        <v>6207</v>
      </c>
      <c r="F2741" t="s">
        <v>7</v>
      </c>
      <c r="G2741" t="s">
        <v>8</v>
      </c>
      <c r="H2741">
        <v>10000000</v>
      </c>
      <c r="I2741">
        <v>5.7</v>
      </c>
      <c r="J2741" t="s">
        <v>9467</v>
      </c>
    </row>
    <row r="2742" spans="1:10" x14ac:dyDescent="0.3">
      <c r="A2742">
        <v>97</v>
      </c>
      <c r="B2742">
        <v>8111360</v>
      </c>
      <c r="C2742" t="s">
        <v>873</v>
      </c>
      <c r="D2742" t="s">
        <v>6208</v>
      </c>
      <c r="E2742" t="s">
        <v>6209</v>
      </c>
      <c r="F2742" t="s">
        <v>7</v>
      </c>
      <c r="G2742" t="s">
        <v>15</v>
      </c>
      <c r="H2742">
        <v>10000000</v>
      </c>
      <c r="I2742">
        <v>6.7</v>
      </c>
      <c r="J2742" t="s">
        <v>8342</v>
      </c>
    </row>
    <row r="2743" spans="1:10" x14ac:dyDescent="0.3">
      <c r="A2743">
        <v>94</v>
      </c>
      <c r="B2743">
        <v>8828771</v>
      </c>
      <c r="C2743" t="s">
        <v>668</v>
      </c>
      <c r="D2743" t="s">
        <v>6210</v>
      </c>
      <c r="E2743" t="s">
        <v>6211</v>
      </c>
      <c r="F2743" t="s">
        <v>7</v>
      </c>
      <c r="G2743" t="s">
        <v>8</v>
      </c>
      <c r="H2743">
        <v>6000000</v>
      </c>
      <c r="I2743">
        <v>6.9</v>
      </c>
      <c r="J2743" t="s">
        <v>8730</v>
      </c>
    </row>
    <row r="2744" spans="1:10" x14ac:dyDescent="0.3">
      <c r="A2744">
        <v>95</v>
      </c>
      <c r="B2744">
        <v>7563670</v>
      </c>
      <c r="C2744" t="s">
        <v>1511</v>
      </c>
      <c r="D2744" t="s">
        <v>6212</v>
      </c>
      <c r="E2744" t="s">
        <v>6213</v>
      </c>
      <c r="F2744" t="s">
        <v>7</v>
      </c>
      <c r="G2744" t="s">
        <v>8</v>
      </c>
      <c r="H2744">
        <v>10000000</v>
      </c>
      <c r="I2744">
        <v>5.5</v>
      </c>
      <c r="J2744" t="s">
        <v>8909</v>
      </c>
    </row>
    <row r="2745" spans="1:10" x14ac:dyDescent="0.3">
      <c r="A2745">
        <v>101</v>
      </c>
      <c r="B2745">
        <v>6619173</v>
      </c>
      <c r="C2745" t="s">
        <v>6214</v>
      </c>
      <c r="D2745" t="s">
        <v>6215</v>
      </c>
      <c r="E2745" t="s">
        <v>6216</v>
      </c>
      <c r="F2745" t="s">
        <v>7</v>
      </c>
      <c r="G2745" t="s">
        <v>8</v>
      </c>
      <c r="H2745">
        <v>10000000</v>
      </c>
      <c r="I2745">
        <v>4.4000000000000004</v>
      </c>
      <c r="J2745" t="s">
        <v>9468</v>
      </c>
    </row>
    <row r="2746" spans="1:10" x14ac:dyDescent="0.3">
      <c r="A2746">
        <v>101</v>
      </c>
      <c r="B2746">
        <v>6712241</v>
      </c>
      <c r="C2746" t="s">
        <v>786</v>
      </c>
      <c r="D2746" t="s">
        <v>6217</v>
      </c>
      <c r="E2746" t="s">
        <v>6218</v>
      </c>
      <c r="F2746" t="s">
        <v>7</v>
      </c>
      <c r="G2746" t="s">
        <v>8</v>
      </c>
      <c r="H2746">
        <v>7500000</v>
      </c>
      <c r="I2746">
        <v>5.4</v>
      </c>
      <c r="J2746" t="s">
        <v>8374</v>
      </c>
    </row>
    <row r="2747" spans="1:10" x14ac:dyDescent="0.3">
      <c r="A2747">
        <v>82</v>
      </c>
      <c r="B2747">
        <v>6842058</v>
      </c>
      <c r="C2747" t="s">
        <v>2050</v>
      </c>
      <c r="D2747" t="s">
        <v>6219</v>
      </c>
      <c r="E2747" t="s">
        <v>6220</v>
      </c>
      <c r="F2747" t="s">
        <v>7</v>
      </c>
      <c r="G2747" t="s">
        <v>8</v>
      </c>
      <c r="H2747">
        <v>10000000</v>
      </c>
      <c r="I2747">
        <v>7</v>
      </c>
      <c r="J2747" t="s">
        <v>9469</v>
      </c>
    </row>
    <row r="2748" spans="1:10" x14ac:dyDescent="0.3">
      <c r="A2748">
        <v>74</v>
      </c>
      <c r="B2748">
        <v>6491350</v>
      </c>
      <c r="C2748" t="s">
        <v>3388</v>
      </c>
      <c r="D2748" t="s">
        <v>6221</v>
      </c>
      <c r="E2748" t="s">
        <v>6222</v>
      </c>
      <c r="F2748" t="s">
        <v>7</v>
      </c>
      <c r="G2748" t="s">
        <v>8</v>
      </c>
      <c r="H2748">
        <v>10000000</v>
      </c>
      <c r="I2748">
        <v>5.4</v>
      </c>
      <c r="J2748" t="s">
        <v>8490</v>
      </c>
    </row>
    <row r="2749" spans="1:10" x14ac:dyDescent="0.3">
      <c r="A2749">
        <v>130</v>
      </c>
      <c r="B2749">
        <v>9473382</v>
      </c>
      <c r="C2749" t="s">
        <v>6223</v>
      </c>
      <c r="D2749" t="s">
        <v>6224</v>
      </c>
      <c r="E2749" t="s">
        <v>6225</v>
      </c>
      <c r="F2749" t="s">
        <v>582</v>
      </c>
      <c r="G2749" t="s">
        <v>95</v>
      </c>
      <c r="H2749">
        <v>10000000</v>
      </c>
      <c r="I2749">
        <v>5.4</v>
      </c>
      <c r="J2749" t="s">
        <v>9470</v>
      </c>
    </row>
    <row r="2750" spans="1:10" x14ac:dyDescent="0.3">
      <c r="A2750">
        <v>112</v>
      </c>
      <c r="B2750">
        <v>6197866</v>
      </c>
      <c r="C2750" t="s">
        <v>617</v>
      </c>
      <c r="D2750" t="s">
        <v>6226</v>
      </c>
      <c r="E2750" t="s">
        <v>6227</v>
      </c>
      <c r="F2750" t="s">
        <v>7</v>
      </c>
      <c r="G2750" t="s">
        <v>583</v>
      </c>
      <c r="H2750">
        <v>10000000</v>
      </c>
      <c r="I2750">
        <v>8</v>
      </c>
      <c r="J2750" t="s">
        <v>9471</v>
      </c>
    </row>
    <row r="2751" spans="1:10" x14ac:dyDescent="0.3">
      <c r="A2751">
        <v>96</v>
      </c>
      <c r="B2751">
        <v>6044618</v>
      </c>
      <c r="C2751" t="s">
        <v>6228</v>
      </c>
      <c r="D2751" t="s">
        <v>6229</v>
      </c>
      <c r="E2751" t="s">
        <v>6230</v>
      </c>
      <c r="F2751" t="s">
        <v>7</v>
      </c>
      <c r="G2751" t="s">
        <v>8</v>
      </c>
      <c r="H2751">
        <v>10000000</v>
      </c>
      <c r="I2751">
        <v>7.6</v>
      </c>
      <c r="J2751" t="s">
        <v>9472</v>
      </c>
    </row>
    <row r="2752" spans="1:10" x14ac:dyDescent="0.3">
      <c r="A2752">
        <v>89</v>
      </c>
      <c r="B2752">
        <v>7764027</v>
      </c>
      <c r="C2752" t="s">
        <v>1040</v>
      </c>
      <c r="D2752" t="s">
        <v>6231</v>
      </c>
      <c r="E2752" t="s">
        <v>6232</v>
      </c>
      <c r="F2752" t="s">
        <v>7</v>
      </c>
      <c r="G2752" t="s">
        <v>8</v>
      </c>
      <c r="H2752">
        <v>10000000</v>
      </c>
      <c r="I2752">
        <v>5.9</v>
      </c>
      <c r="J2752" t="s">
        <v>9473</v>
      </c>
    </row>
    <row r="2753" spans="1:10" x14ac:dyDescent="0.3">
      <c r="A2753">
        <v>121</v>
      </c>
      <c r="B2753">
        <v>21569041</v>
      </c>
      <c r="C2753" t="s">
        <v>1417</v>
      </c>
      <c r="D2753" t="s">
        <v>6233</v>
      </c>
      <c r="E2753" t="s">
        <v>6234</v>
      </c>
      <c r="F2753" t="s">
        <v>7</v>
      </c>
      <c r="G2753" t="s">
        <v>8</v>
      </c>
      <c r="H2753">
        <v>9000000</v>
      </c>
      <c r="I2753">
        <v>6.6</v>
      </c>
      <c r="J2753" t="s">
        <v>9157</v>
      </c>
    </row>
    <row r="2754" spans="1:10" x14ac:dyDescent="0.3">
      <c r="A2754">
        <v>85</v>
      </c>
      <c r="B2754">
        <v>4356743</v>
      </c>
      <c r="C2754" t="s">
        <v>1126</v>
      </c>
      <c r="D2754" t="s">
        <v>6235</v>
      </c>
      <c r="E2754" t="s">
        <v>6236</v>
      </c>
      <c r="F2754" t="s">
        <v>7</v>
      </c>
      <c r="G2754" t="s">
        <v>8</v>
      </c>
      <c r="H2754">
        <v>16000000</v>
      </c>
      <c r="I2754">
        <v>6.7</v>
      </c>
      <c r="J2754" t="s">
        <v>8413</v>
      </c>
    </row>
    <row r="2755" spans="1:10" x14ac:dyDescent="0.3">
      <c r="A2755">
        <v>120</v>
      </c>
      <c r="B2755">
        <v>5484375</v>
      </c>
      <c r="C2755" t="s">
        <v>6237</v>
      </c>
      <c r="D2755" t="s">
        <v>6238</v>
      </c>
      <c r="E2755" t="s">
        <v>6239</v>
      </c>
      <c r="F2755" t="s">
        <v>7</v>
      </c>
      <c r="G2755" t="s">
        <v>8</v>
      </c>
      <c r="H2755">
        <v>10000000</v>
      </c>
      <c r="I2755">
        <v>3.9</v>
      </c>
      <c r="J2755" t="s">
        <v>9474</v>
      </c>
    </row>
    <row r="2756" spans="1:10" x14ac:dyDescent="0.3">
      <c r="A2756">
        <v>106</v>
      </c>
      <c r="B2756">
        <v>5348317</v>
      </c>
      <c r="C2756" t="s">
        <v>2312</v>
      </c>
      <c r="D2756" t="s">
        <v>6240</v>
      </c>
      <c r="E2756" t="s">
        <v>6241</v>
      </c>
      <c r="F2756" t="s">
        <v>7</v>
      </c>
      <c r="G2756" t="s">
        <v>8</v>
      </c>
      <c r="H2756">
        <v>10000000</v>
      </c>
      <c r="I2756">
        <v>5.7</v>
      </c>
      <c r="J2756" t="s">
        <v>9365</v>
      </c>
    </row>
    <row r="2757" spans="1:10" x14ac:dyDescent="0.3">
      <c r="A2757">
        <v>83</v>
      </c>
      <c r="B2757">
        <v>4244155</v>
      </c>
      <c r="C2757" t="s">
        <v>1040</v>
      </c>
      <c r="D2757" t="s">
        <v>6242</v>
      </c>
      <c r="E2757" t="s">
        <v>6243</v>
      </c>
      <c r="F2757" t="s">
        <v>7</v>
      </c>
      <c r="G2757" t="s">
        <v>8</v>
      </c>
      <c r="H2757">
        <v>10000000</v>
      </c>
      <c r="I2757">
        <v>6.7</v>
      </c>
      <c r="J2757" t="s">
        <v>9406</v>
      </c>
    </row>
    <row r="2758" spans="1:10" x14ac:dyDescent="0.3">
      <c r="A2758">
        <v>120</v>
      </c>
      <c r="B2758">
        <v>5004648</v>
      </c>
      <c r="C2758" t="s">
        <v>73</v>
      </c>
      <c r="D2758" t="s">
        <v>6244</v>
      </c>
      <c r="E2758" t="s">
        <v>6245</v>
      </c>
      <c r="F2758" t="s">
        <v>4134</v>
      </c>
      <c r="G2758" t="s">
        <v>2993</v>
      </c>
      <c r="H2758">
        <v>10000000</v>
      </c>
      <c r="I2758">
        <v>6.5</v>
      </c>
      <c r="J2758" t="s">
        <v>9475</v>
      </c>
    </row>
    <row r="2759" spans="1:10" x14ac:dyDescent="0.3">
      <c r="A2759">
        <v>111</v>
      </c>
      <c r="B2759">
        <v>3333823</v>
      </c>
      <c r="C2759" t="s">
        <v>2333</v>
      </c>
      <c r="D2759" t="s">
        <v>6246</v>
      </c>
      <c r="E2759" t="s">
        <v>6247</v>
      </c>
      <c r="F2759" t="s">
        <v>7</v>
      </c>
      <c r="G2759" t="s">
        <v>8</v>
      </c>
      <c r="H2759">
        <v>10000000</v>
      </c>
      <c r="I2759">
        <v>6.8</v>
      </c>
      <c r="J2759" t="s">
        <v>9247</v>
      </c>
    </row>
    <row r="2760" spans="1:10" x14ac:dyDescent="0.3">
      <c r="A2760">
        <v>100</v>
      </c>
      <c r="B2760">
        <v>3275585</v>
      </c>
      <c r="C2760" t="s">
        <v>164</v>
      </c>
      <c r="D2760" t="s">
        <v>6248</v>
      </c>
      <c r="E2760" t="s">
        <v>6249</v>
      </c>
      <c r="F2760" t="s">
        <v>7</v>
      </c>
      <c r="G2760" t="s">
        <v>15</v>
      </c>
      <c r="H2760">
        <v>11500000</v>
      </c>
      <c r="I2760">
        <v>6.3</v>
      </c>
      <c r="J2760" t="s">
        <v>9476</v>
      </c>
    </row>
    <row r="2761" spans="1:10" x14ac:dyDescent="0.3">
      <c r="A2761">
        <v>89</v>
      </c>
      <c r="B2761">
        <v>3193102</v>
      </c>
      <c r="C2761" t="s">
        <v>882</v>
      </c>
      <c r="D2761" t="s">
        <v>6250</v>
      </c>
      <c r="E2761" t="s">
        <v>6251</v>
      </c>
      <c r="F2761" t="s">
        <v>7</v>
      </c>
      <c r="G2761" t="s">
        <v>8</v>
      </c>
      <c r="H2761">
        <v>9000000</v>
      </c>
      <c r="I2761">
        <v>7.3</v>
      </c>
      <c r="J2761" t="s">
        <v>8768</v>
      </c>
    </row>
    <row r="2762" spans="1:10" x14ac:dyDescent="0.3">
      <c r="A2762">
        <v>115</v>
      </c>
      <c r="B2762">
        <v>54557348</v>
      </c>
      <c r="C2762" t="s">
        <v>873</v>
      </c>
      <c r="D2762" t="s">
        <v>6252</v>
      </c>
      <c r="E2762" t="s">
        <v>6253</v>
      </c>
      <c r="F2762" t="s">
        <v>7</v>
      </c>
      <c r="G2762" t="s">
        <v>284</v>
      </c>
      <c r="H2762">
        <v>6500000</v>
      </c>
      <c r="I2762">
        <v>6.9</v>
      </c>
      <c r="J2762" t="s">
        <v>9477</v>
      </c>
    </row>
    <row r="2763" spans="1:10" x14ac:dyDescent="0.3">
      <c r="A2763">
        <v>135</v>
      </c>
      <c r="B2763">
        <v>3041803</v>
      </c>
      <c r="C2763" t="s">
        <v>73</v>
      </c>
      <c r="D2763" t="s">
        <v>6254</v>
      </c>
      <c r="E2763" t="s">
        <v>6255</v>
      </c>
      <c r="F2763" t="s">
        <v>7</v>
      </c>
      <c r="G2763" t="s">
        <v>15</v>
      </c>
      <c r="H2763">
        <v>10000000</v>
      </c>
      <c r="I2763">
        <v>7</v>
      </c>
      <c r="J2763" t="s">
        <v>8515</v>
      </c>
    </row>
    <row r="2764" spans="1:10" x14ac:dyDescent="0.3">
      <c r="A2764">
        <v>92</v>
      </c>
      <c r="B2764">
        <v>3060858</v>
      </c>
      <c r="C2764" t="s">
        <v>351</v>
      </c>
      <c r="D2764" t="s">
        <v>6256</v>
      </c>
      <c r="E2764" t="s">
        <v>6257</v>
      </c>
      <c r="F2764" t="s">
        <v>7</v>
      </c>
      <c r="G2764" t="s">
        <v>8</v>
      </c>
      <c r="H2764">
        <v>10000000</v>
      </c>
      <c r="I2764">
        <v>6.5</v>
      </c>
      <c r="J2764" t="s">
        <v>9478</v>
      </c>
    </row>
    <row r="2765" spans="1:10" x14ac:dyDescent="0.3">
      <c r="A2765">
        <v>120</v>
      </c>
      <c r="B2765">
        <v>1055654</v>
      </c>
      <c r="C2765" t="s">
        <v>2056</v>
      </c>
      <c r="D2765" t="s">
        <v>6258</v>
      </c>
      <c r="E2765" t="s">
        <v>6259</v>
      </c>
      <c r="F2765" t="s">
        <v>7</v>
      </c>
      <c r="G2765" t="s">
        <v>284</v>
      </c>
      <c r="H2765">
        <v>10000000</v>
      </c>
      <c r="I2765">
        <v>3.6</v>
      </c>
      <c r="J2765" t="s">
        <v>9479</v>
      </c>
    </row>
    <row r="2766" spans="1:10" x14ac:dyDescent="0.3">
      <c r="A2766">
        <v>97</v>
      </c>
      <c r="B2766">
        <v>2331318</v>
      </c>
      <c r="C2766" t="s">
        <v>668</v>
      </c>
      <c r="D2766" t="s">
        <v>6260</v>
      </c>
      <c r="E2766" t="s">
        <v>6261</v>
      </c>
      <c r="F2766" t="s">
        <v>7</v>
      </c>
      <c r="G2766" t="s">
        <v>8</v>
      </c>
      <c r="H2766">
        <v>10000000</v>
      </c>
      <c r="I2766">
        <v>7.7</v>
      </c>
      <c r="J2766" t="s">
        <v>8633</v>
      </c>
    </row>
    <row r="2767" spans="1:10" x14ac:dyDescent="0.3">
      <c r="A2767">
        <v>135</v>
      </c>
      <c r="B2767">
        <v>2185266</v>
      </c>
      <c r="C2767" t="s">
        <v>2312</v>
      </c>
      <c r="D2767" t="s">
        <v>6262</v>
      </c>
      <c r="E2767" t="s">
        <v>6263</v>
      </c>
      <c r="F2767" t="s">
        <v>7</v>
      </c>
      <c r="G2767" t="s">
        <v>8</v>
      </c>
      <c r="H2767">
        <v>10000000</v>
      </c>
      <c r="I2767">
        <v>7.7</v>
      </c>
      <c r="J2767" t="s">
        <v>8400</v>
      </c>
    </row>
    <row r="2768" spans="1:10" x14ac:dyDescent="0.3">
      <c r="A2768">
        <v>93</v>
      </c>
      <c r="B2768">
        <v>26583369</v>
      </c>
      <c r="C2768" t="s">
        <v>1249</v>
      </c>
      <c r="D2768" t="s">
        <v>6264</v>
      </c>
      <c r="E2768" t="s">
        <v>6265</v>
      </c>
      <c r="F2768" t="s">
        <v>7</v>
      </c>
      <c r="G2768" t="s">
        <v>8</v>
      </c>
      <c r="H2768">
        <v>10000000</v>
      </c>
      <c r="I2768">
        <v>5.9</v>
      </c>
      <c r="J2768" t="s">
        <v>8382</v>
      </c>
    </row>
    <row r="2769" spans="1:10" x14ac:dyDescent="0.3">
      <c r="A2769">
        <v>118</v>
      </c>
      <c r="B2769">
        <v>800000</v>
      </c>
      <c r="C2769" t="s">
        <v>5573</v>
      </c>
      <c r="D2769" t="s">
        <v>6266</v>
      </c>
      <c r="E2769" t="s">
        <v>6267</v>
      </c>
      <c r="F2769" t="s">
        <v>7</v>
      </c>
      <c r="G2769" t="s">
        <v>8</v>
      </c>
      <c r="H2769">
        <v>14000000</v>
      </c>
      <c r="I2769">
        <v>6.8</v>
      </c>
      <c r="J2769" t="s">
        <v>9234</v>
      </c>
    </row>
    <row r="2770" spans="1:10" x14ac:dyDescent="0.3">
      <c r="A2770">
        <v>97</v>
      </c>
      <c r="B2770">
        <v>7574066</v>
      </c>
      <c r="C2770" t="s">
        <v>1040</v>
      </c>
      <c r="D2770" t="s">
        <v>6268</v>
      </c>
      <c r="E2770" t="s">
        <v>6269</v>
      </c>
      <c r="F2770" t="s">
        <v>7</v>
      </c>
      <c r="G2770" t="s">
        <v>8</v>
      </c>
      <c r="H2770">
        <v>10000000</v>
      </c>
      <c r="I2770">
        <v>7.4</v>
      </c>
      <c r="J2770" t="s">
        <v>9253</v>
      </c>
    </row>
    <row r="2771" spans="1:10" x14ac:dyDescent="0.3">
      <c r="A2771">
        <v>98</v>
      </c>
      <c r="B2771">
        <v>1754319</v>
      </c>
      <c r="C2771" t="s">
        <v>73</v>
      </c>
      <c r="D2771" t="s">
        <v>6270</v>
      </c>
      <c r="E2771" t="s">
        <v>6271</v>
      </c>
      <c r="F2771" t="s">
        <v>7</v>
      </c>
      <c r="G2771" t="s">
        <v>8</v>
      </c>
      <c r="H2771">
        <v>10000000</v>
      </c>
      <c r="I2771">
        <v>5.0999999999999996</v>
      </c>
      <c r="J2771" t="s">
        <v>8907</v>
      </c>
    </row>
    <row r="2772" spans="1:10" x14ac:dyDescent="0.3">
      <c r="A2772">
        <v>101</v>
      </c>
      <c r="B2772">
        <v>1631839</v>
      </c>
      <c r="C2772" t="s">
        <v>1782</v>
      </c>
      <c r="D2772" t="s">
        <v>6272</v>
      </c>
      <c r="E2772" t="s">
        <v>6273</v>
      </c>
      <c r="F2772" t="s">
        <v>7</v>
      </c>
      <c r="G2772" t="s">
        <v>8</v>
      </c>
      <c r="H2772">
        <v>10000000</v>
      </c>
      <c r="I2772">
        <v>7.4</v>
      </c>
      <c r="J2772" t="s">
        <v>9066</v>
      </c>
    </row>
    <row r="2773" spans="1:10" x14ac:dyDescent="0.3">
      <c r="A2773">
        <v>132</v>
      </c>
      <c r="B2773">
        <v>1309849</v>
      </c>
      <c r="C2773" t="s">
        <v>73</v>
      </c>
      <c r="D2773" t="s">
        <v>6274</v>
      </c>
      <c r="E2773" t="s">
        <v>6275</v>
      </c>
      <c r="F2773" t="s">
        <v>7</v>
      </c>
      <c r="G2773" t="s">
        <v>15</v>
      </c>
      <c r="H2773">
        <v>10000000</v>
      </c>
      <c r="I2773">
        <v>7.2</v>
      </c>
      <c r="J2773" t="s">
        <v>9426</v>
      </c>
    </row>
    <row r="2774" spans="1:10" x14ac:dyDescent="0.3">
      <c r="A2774">
        <v>106</v>
      </c>
      <c r="B2774">
        <v>1939441</v>
      </c>
      <c r="C2774" t="s">
        <v>694</v>
      </c>
      <c r="D2774" t="s">
        <v>6276</v>
      </c>
      <c r="E2774" t="s">
        <v>6277</v>
      </c>
      <c r="F2774" t="s">
        <v>7</v>
      </c>
      <c r="G2774" t="s">
        <v>8</v>
      </c>
      <c r="H2774">
        <v>10000000</v>
      </c>
      <c r="I2774">
        <v>6</v>
      </c>
      <c r="J2774" t="s">
        <v>9315</v>
      </c>
    </row>
    <row r="2775" spans="1:10" x14ac:dyDescent="0.3">
      <c r="A2775">
        <v>98</v>
      </c>
      <c r="B2775">
        <v>1987762</v>
      </c>
      <c r="C2775" t="s">
        <v>2211</v>
      </c>
      <c r="D2775" t="s">
        <v>6278</v>
      </c>
      <c r="E2775" t="s">
        <v>6279</v>
      </c>
      <c r="F2775" t="s">
        <v>7</v>
      </c>
      <c r="G2775" t="s">
        <v>8</v>
      </c>
      <c r="H2775">
        <v>11000000</v>
      </c>
      <c r="I2775">
        <v>8.3000000000000007</v>
      </c>
      <c r="J2775" t="s">
        <v>8559</v>
      </c>
    </row>
    <row r="2776" spans="1:10" x14ac:dyDescent="0.3">
      <c r="A2776">
        <v>96</v>
      </c>
      <c r="B2776">
        <v>1474508</v>
      </c>
      <c r="C2776" t="s">
        <v>1040</v>
      </c>
      <c r="D2776" t="s">
        <v>6280</v>
      </c>
      <c r="E2776" t="s">
        <v>6281</v>
      </c>
      <c r="F2776" t="s">
        <v>7</v>
      </c>
      <c r="G2776" t="s">
        <v>8</v>
      </c>
      <c r="H2776">
        <v>5000000</v>
      </c>
      <c r="I2776">
        <v>8.1</v>
      </c>
      <c r="J2776" t="s">
        <v>8608</v>
      </c>
    </row>
    <row r="2777" spans="1:10" x14ac:dyDescent="0.3">
      <c r="A2777">
        <v>104</v>
      </c>
      <c r="B2777">
        <v>1011054</v>
      </c>
      <c r="C2777" t="s">
        <v>873</v>
      </c>
      <c r="D2777" t="s">
        <v>6282</v>
      </c>
      <c r="E2777" t="s">
        <v>6283</v>
      </c>
      <c r="F2777" t="s">
        <v>7</v>
      </c>
      <c r="G2777" t="s">
        <v>95</v>
      </c>
      <c r="H2777">
        <v>10000000</v>
      </c>
      <c r="I2777">
        <v>6.3</v>
      </c>
      <c r="J2777" t="s">
        <v>9249</v>
      </c>
    </row>
    <row r="2778" spans="1:10" x14ac:dyDescent="0.3">
      <c r="A2778">
        <v>93</v>
      </c>
      <c r="B2778">
        <v>900926</v>
      </c>
      <c r="C2778" t="s">
        <v>668</v>
      </c>
      <c r="D2778" t="s">
        <v>6284</v>
      </c>
      <c r="E2778" t="s">
        <v>6285</v>
      </c>
      <c r="F2778" t="s">
        <v>7</v>
      </c>
      <c r="G2778" t="s">
        <v>8</v>
      </c>
      <c r="H2778">
        <v>10000000</v>
      </c>
      <c r="I2778">
        <v>7.3</v>
      </c>
      <c r="J2778" t="s">
        <v>8570</v>
      </c>
    </row>
    <row r="2779" spans="1:10" x14ac:dyDescent="0.3">
      <c r="A2779">
        <v>95</v>
      </c>
      <c r="B2779">
        <v>866778</v>
      </c>
      <c r="C2779" t="s">
        <v>73</v>
      </c>
      <c r="D2779" t="s">
        <v>6286</v>
      </c>
      <c r="E2779" t="s">
        <v>6287</v>
      </c>
      <c r="F2779" t="s">
        <v>7</v>
      </c>
      <c r="G2779" t="s">
        <v>1607</v>
      </c>
      <c r="H2779">
        <v>10000000</v>
      </c>
      <c r="I2779">
        <v>3.6</v>
      </c>
      <c r="J2779" t="s">
        <v>8969</v>
      </c>
    </row>
    <row r="2780" spans="1:10" x14ac:dyDescent="0.3">
      <c r="A2780">
        <v>89</v>
      </c>
      <c r="B2780">
        <v>598645</v>
      </c>
      <c r="C2780" t="s">
        <v>672</v>
      </c>
      <c r="D2780" t="s">
        <v>6288</v>
      </c>
      <c r="E2780" t="s">
        <v>6289</v>
      </c>
      <c r="F2780" t="s">
        <v>7</v>
      </c>
      <c r="G2780" t="s">
        <v>15</v>
      </c>
      <c r="H2780">
        <v>10000000</v>
      </c>
      <c r="I2780">
        <v>1.6</v>
      </c>
      <c r="J2780" t="s">
        <v>8401</v>
      </c>
    </row>
    <row r="2781" spans="1:10" x14ac:dyDescent="0.3">
      <c r="A2781">
        <v>107</v>
      </c>
      <c r="B2781">
        <v>578527</v>
      </c>
      <c r="C2781" t="s">
        <v>697</v>
      </c>
      <c r="D2781" t="s">
        <v>6290</v>
      </c>
      <c r="E2781" t="s">
        <v>6291</v>
      </c>
      <c r="F2781" t="s">
        <v>7</v>
      </c>
      <c r="G2781" t="s">
        <v>8</v>
      </c>
      <c r="H2781">
        <v>10000000</v>
      </c>
      <c r="I2781">
        <v>8</v>
      </c>
      <c r="J2781" t="s">
        <v>8414</v>
      </c>
    </row>
    <row r="2782" spans="1:10" x14ac:dyDescent="0.3">
      <c r="A2782">
        <v>85</v>
      </c>
      <c r="B2782">
        <v>488872</v>
      </c>
      <c r="C2782" t="s">
        <v>1337</v>
      </c>
      <c r="D2782" t="s">
        <v>6292</v>
      </c>
      <c r="E2782" t="s">
        <v>6293</v>
      </c>
      <c r="F2782" t="s">
        <v>3064</v>
      </c>
      <c r="G2782" t="s">
        <v>1607</v>
      </c>
      <c r="H2782">
        <v>10000000</v>
      </c>
      <c r="I2782">
        <v>6.2</v>
      </c>
      <c r="J2782" t="s">
        <v>8432</v>
      </c>
    </row>
    <row r="2783" spans="1:10" x14ac:dyDescent="0.3">
      <c r="A2783">
        <v>93</v>
      </c>
      <c r="B2783">
        <v>365734</v>
      </c>
      <c r="C2783" t="s">
        <v>1417</v>
      </c>
      <c r="D2783" t="s">
        <v>6294</v>
      </c>
      <c r="E2783" t="s">
        <v>6295</v>
      </c>
      <c r="F2783" t="s">
        <v>7</v>
      </c>
      <c r="G2783" t="s">
        <v>8</v>
      </c>
      <c r="H2783">
        <v>10000000</v>
      </c>
      <c r="I2783">
        <v>9</v>
      </c>
      <c r="J2783" t="s">
        <v>8713</v>
      </c>
    </row>
    <row r="2784" spans="1:10" x14ac:dyDescent="0.3">
      <c r="A2784">
        <v>101</v>
      </c>
      <c r="B2784">
        <v>231417</v>
      </c>
      <c r="C2784" t="s">
        <v>2509</v>
      </c>
      <c r="D2784" t="s">
        <v>6296</v>
      </c>
      <c r="E2784" t="s">
        <v>6297</v>
      </c>
      <c r="F2784" t="s">
        <v>582</v>
      </c>
      <c r="G2784" t="s">
        <v>583</v>
      </c>
      <c r="H2784">
        <v>60000000</v>
      </c>
      <c r="I2784">
        <v>6.1</v>
      </c>
      <c r="J2784" t="s">
        <v>8790</v>
      </c>
    </row>
    <row r="2785" spans="1:10" x14ac:dyDescent="0.3">
      <c r="A2785">
        <v>103</v>
      </c>
      <c r="B2785">
        <v>3093491</v>
      </c>
      <c r="C2785" t="s">
        <v>617</v>
      </c>
      <c r="D2785" t="s">
        <v>6298</v>
      </c>
      <c r="E2785" t="s">
        <v>6299</v>
      </c>
      <c r="F2785" t="s">
        <v>7</v>
      </c>
      <c r="G2785" t="s">
        <v>8</v>
      </c>
      <c r="H2785">
        <v>5000000</v>
      </c>
      <c r="I2785">
        <v>5.7</v>
      </c>
      <c r="J2785" t="s">
        <v>8493</v>
      </c>
    </row>
    <row r="2786" spans="1:10" x14ac:dyDescent="0.3">
      <c r="A2786">
        <v>111</v>
      </c>
      <c r="B2786">
        <v>228524</v>
      </c>
      <c r="C2786" t="s">
        <v>1040</v>
      </c>
      <c r="D2786" t="s">
        <v>6300</v>
      </c>
      <c r="E2786" t="s">
        <v>6301</v>
      </c>
      <c r="F2786" t="s">
        <v>7</v>
      </c>
      <c r="G2786" t="s">
        <v>8</v>
      </c>
      <c r="H2786">
        <v>4000000</v>
      </c>
      <c r="I2786">
        <v>6.8</v>
      </c>
      <c r="J2786" t="s">
        <v>9124</v>
      </c>
    </row>
    <row r="2787" spans="1:10" x14ac:dyDescent="0.3">
      <c r="A2787">
        <v>86</v>
      </c>
      <c r="B2787">
        <v>226792</v>
      </c>
      <c r="C2787" t="s">
        <v>6302</v>
      </c>
      <c r="D2787" t="s">
        <v>6303</v>
      </c>
      <c r="E2787" t="s">
        <v>6304</v>
      </c>
      <c r="F2787" t="s">
        <v>7</v>
      </c>
      <c r="G2787" t="s">
        <v>15</v>
      </c>
      <c r="H2787">
        <v>10000000</v>
      </c>
      <c r="I2787">
        <v>5.5</v>
      </c>
      <c r="J2787" t="s">
        <v>9480</v>
      </c>
    </row>
    <row r="2788" spans="1:10" x14ac:dyDescent="0.3">
      <c r="A2788">
        <v>90</v>
      </c>
      <c r="B2788">
        <v>136432</v>
      </c>
      <c r="C2788" t="s">
        <v>5343</v>
      </c>
      <c r="D2788" t="s">
        <v>6305</v>
      </c>
      <c r="E2788" t="s">
        <v>6306</v>
      </c>
      <c r="F2788" t="s">
        <v>7</v>
      </c>
      <c r="G2788" t="s">
        <v>15</v>
      </c>
      <c r="H2788">
        <v>5000000</v>
      </c>
      <c r="I2788">
        <v>6.8</v>
      </c>
      <c r="J2788" t="s">
        <v>9481</v>
      </c>
    </row>
    <row r="2789" spans="1:10" x14ac:dyDescent="0.3">
      <c r="A2789">
        <v>82</v>
      </c>
      <c r="B2789">
        <v>131617</v>
      </c>
      <c r="C2789" t="s">
        <v>1704</v>
      </c>
      <c r="D2789" t="s">
        <v>6307</v>
      </c>
      <c r="E2789" t="s">
        <v>6308</v>
      </c>
      <c r="F2789" t="s">
        <v>7</v>
      </c>
      <c r="G2789" t="s">
        <v>8</v>
      </c>
      <c r="H2789">
        <v>10000000</v>
      </c>
      <c r="I2789">
        <v>7.3</v>
      </c>
      <c r="J2789" t="s">
        <v>9482</v>
      </c>
    </row>
    <row r="2790" spans="1:10" x14ac:dyDescent="0.3">
      <c r="A2790">
        <v>83</v>
      </c>
      <c r="B2790">
        <v>126247</v>
      </c>
      <c r="C2790" t="s">
        <v>386</v>
      </c>
      <c r="D2790" t="s">
        <v>6309</v>
      </c>
      <c r="E2790" t="s">
        <v>6310</v>
      </c>
      <c r="F2790" t="s">
        <v>7</v>
      </c>
      <c r="G2790" t="s">
        <v>8</v>
      </c>
      <c r="H2790">
        <v>6200000</v>
      </c>
      <c r="I2790">
        <v>6.1</v>
      </c>
      <c r="J2790" t="s">
        <v>8907</v>
      </c>
    </row>
    <row r="2791" spans="1:10" x14ac:dyDescent="0.3">
      <c r="A2791">
        <v>125</v>
      </c>
      <c r="B2791">
        <v>169379</v>
      </c>
      <c r="C2791" t="s">
        <v>799</v>
      </c>
      <c r="D2791" t="s">
        <v>6311</v>
      </c>
      <c r="E2791" t="s">
        <v>6312</v>
      </c>
      <c r="F2791" t="s">
        <v>1146</v>
      </c>
      <c r="G2791" t="s">
        <v>1193</v>
      </c>
      <c r="H2791">
        <v>10000000</v>
      </c>
      <c r="I2791">
        <v>7.2</v>
      </c>
      <c r="J2791" t="s">
        <v>8920</v>
      </c>
    </row>
    <row r="2792" spans="1:10" x14ac:dyDescent="0.3">
      <c r="A2792">
        <v>86</v>
      </c>
      <c r="B2792">
        <v>15447</v>
      </c>
      <c r="C2792" t="s">
        <v>668</v>
      </c>
      <c r="D2792" t="s">
        <v>6313</v>
      </c>
      <c r="E2792" t="s">
        <v>6314</v>
      </c>
      <c r="F2792" t="s">
        <v>7</v>
      </c>
      <c r="G2792" t="s">
        <v>8</v>
      </c>
      <c r="H2792">
        <v>10000000</v>
      </c>
      <c r="I2792">
        <v>5.9</v>
      </c>
      <c r="J2792" t="s">
        <v>9483</v>
      </c>
    </row>
    <row r="2793" spans="1:10" x14ac:dyDescent="0.3">
      <c r="A2793">
        <v>91</v>
      </c>
      <c r="B2793">
        <v>19348</v>
      </c>
      <c r="C2793" t="s">
        <v>1040</v>
      </c>
      <c r="D2793" t="s">
        <v>6315</v>
      </c>
      <c r="E2793" t="s">
        <v>6316</v>
      </c>
      <c r="F2793" t="s">
        <v>7</v>
      </c>
      <c r="G2793" t="s">
        <v>8</v>
      </c>
      <c r="H2793">
        <v>10000000</v>
      </c>
      <c r="I2793">
        <v>6.1</v>
      </c>
      <c r="J2793" t="s">
        <v>9484</v>
      </c>
    </row>
    <row r="2794" spans="1:10" x14ac:dyDescent="0.3">
      <c r="A2794">
        <v>90</v>
      </c>
      <c r="B2794">
        <v>100503</v>
      </c>
      <c r="C2794" t="s">
        <v>672</v>
      </c>
      <c r="D2794" t="s">
        <v>6317</v>
      </c>
      <c r="E2794" t="s">
        <v>6318</v>
      </c>
      <c r="F2794" t="s">
        <v>7</v>
      </c>
      <c r="G2794" t="s">
        <v>8</v>
      </c>
      <c r="H2794">
        <v>8000000</v>
      </c>
      <c r="I2794">
        <v>6.8</v>
      </c>
      <c r="J2794" t="s">
        <v>8737</v>
      </c>
    </row>
    <row r="2795" spans="1:10" x14ac:dyDescent="0.3">
      <c r="A2795">
        <v>90</v>
      </c>
      <c r="B2795">
        <v>92900</v>
      </c>
      <c r="C2795" t="s">
        <v>1040</v>
      </c>
      <c r="D2795" t="s">
        <v>6319</v>
      </c>
      <c r="E2795" t="s">
        <v>6320</v>
      </c>
      <c r="F2795" t="s">
        <v>7</v>
      </c>
      <c r="G2795" t="s">
        <v>8</v>
      </c>
      <c r="H2795">
        <v>5000000</v>
      </c>
      <c r="I2795">
        <v>7.7</v>
      </c>
      <c r="J2795" t="s">
        <v>9485</v>
      </c>
    </row>
    <row r="2796" spans="1:10" x14ac:dyDescent="0.3">
      <c r="A2796">
        <v>93</v>
      </c>
      <c r="B2796">
        <v>5561</v>
      </c>
      <c r="C2796" t="s">
        <v>672</v>
      </c>
      <c r="D2796" t="s">
        <v>6321</v>
      </c>
      <c r="E2796" t="s">
        <v>6322</v>
      </c>
      <c r="F2796" t="s">
        <v>7</v>
      </c>
      <c r="G2796" t="s">
        <v>8</v>
      </c>
      <c r="H2796">
        <v>10000000</v>
      </c>
      <c r="I2796">
        <v>4.9000000000000004</v>
      </c>
      <c r="J2796" t="s">
        <v>9233</v>
      </c>
    </row>
    <row r="2797" spans="1:10" x14ac:dyDescent="0.3">
      <c r="A2797">
        <v>104</v>
      </c>
      <c r="B2797">
        <v>3607</v>
      </c>
      <c r="C2797" t="s">
        <v>915</v>
      </c>
      <c r="D2797" t="s">
        <v>6323</v>
      </c>
      <c r="E2797" t="s">
        <v>6324</v>
      </c>
      <c r="F2797" t="s">
        <v>7</v>
      </c>
      <c r="G2797" t="s">
        <v>1488</v>
      </c>
      <c r="H2797">
        <v>10000000</v>
      </c>
      <c r="I2797">
        <v>6.1</v>
      </c>
      <c r="J2797" t="s">
        <v>9486</v>
      </c>
    </row>
    <row r="2798" spans="1:10" x14ac:dyDescent="0.3">
      <c r="A2798">
        <v>85</v>
      </c>
      <c r="B2798">
        <v>70527</v>
      </c>
      <c r="C2798" t="s">
        <v>1040</v>
      </c>
      <c r="D2798" t="s">
        <v>6325</v>
      </c>
      <c r="E2798" t="s">
        <v>6326</v>
      </c>
      <c r="F2798" t="s">
        <v>7</v>
      </c>
      <c r="G2798" t="s">
        <v>8</v>
      </c>
      <c r="H2798">
        <v>6500000</v>
      </c>
      <c r="I2798">
        <v>2.5</v>
      </c>
      <c r="J2798" t="s">
        <v>9243</v>
      </c>
    </row>
    <row r="2799" spans="1:10" x14ac:dyDescent="0.3">
      <c r="A2799">
        <v>81</v>
      </c>
      <c r="B2799">
        <v>11835</v>
      </c>
      <c r="C2799" t="s">
        <v>561</v>
      </c>
      <c r="D2799" t="s">
        <v>6327</v>
      </c>
      <c r="E2799" t="s">
        <v>6328</v>
      </c>
      <c r="F2799" t="s">
        <v>3672</v>
      </c>
      <c r="G2799" t="s">
        <v>3673</v>
      </c>
      <c r="H2799">
        <v>10000000</v>
      </c>
      <c r="I2799">
        <v>6.1</v>
      </c>
      <c r="J2799" t="s">
        <v>9487</v>
      </c>
    </row>
    <row r="2800" spans="1:10" x14ac:dyDescent="0.3">
      <c r="A2800">
        <v>135</v>
      </c>
      <c r="B2800">
        <v>128486</v>
      </c>
      <c r="C2800" t="s">
        <v>1955</v>
      </c>
      <c r="D2800" t="s">
        <v>6329</v>
      </c>
      <c r="E2800" t="s">
        <v>6330</v>
      </c>
      <c r="F2800" t="s">
        <v>5282</v>
      </c>
      <c r="G2800" t="s">
        <v>2387</v>
      </c>
      <c r="H2800">
        <v>10000000</v>
      </c>
      <c r="I2800">
        <v>5.9</v>
      </c>
      <c r="J2800" t="s">
        <v>9488</v>
      </c>
    </row>
    <row r="2801" spans="1:10" x14ac:dyDescent="0.3">
      <c r="A2801">
        <v>144</v>
      </c>
      <c r="B2801">
        <v>2483955</v>
      </c>
      <c r="C2801" t="s">
        <v>73</v>
      </c>
      <c r="D2801" t="s">
        <v>6331</v>
      </c>
      <c r="E2801" t="s">
        <v>6332</v>
      </c>
      <c r="F2801" t="s">
        <v>7</v>
      </c>
      <c r="G2801" t="s">
        <v>8</v>
      </c>
      <c r="H2801">
        <v>9600000</v>
      </c>
      <c r="I2801">
        <v>5.7</v>
      </c>
      <c r="J2801" t="s">
        <v>9489</v>
      </c>
    </row>
    <row r="2802" spans="1:10" x14ac:dyDescent="0.3">
      <c r="A2802">
        <v>98</v>
      </c>
      <c r="B2802">
        <v>57176582</v>
      </c>
      <c r="C2802" t="s">
        <v>668</v>
      </c>
      <c r="D2802" t="s">
        <v>6333</v>
      </c>
      <c r="E2802" t="s">
        <v>6334</v>
      </c>
      <c r="F2802" t="s">
        <v>7</v>
      </c>
      <c r="G2802" t="s">
        <v>8</v>
      </c>
      <c r="H2802">
        <v>9500000</v>
      </c>
      <c r="I2802">
        <v>5.6</v>
      </c>
      <c r="J2802" t="s">
        <v>9490</v>
      </c>
    </row>
    <row r="2803" spans="1:10" x14ac:dyDescent="0.3">
      <c r="A2803">
        <v>117</v>
      </c>
      <c r="B2803">
        <v>43100000</v>
      </c>
      <c r="C2803" t="s">
        <v>12</v>
      </c>
      <c r="D2803" t="s">
        <v>6335</v>
      </c>
      <c r="E2803" t="s">
        <v>6336</v>
      </c>
      <c r="F2803" t="s">
        <v>7</v>
      </c>
      <c r="G2803" t="s">
        <v>15</v>
      </c>
      <c r="H2803">
        <v>9500000</v>
      </c>
      <c r="I2803">
        <v>7.2</v>
      </c>
      <c r="J2803" t="s">
        <v>8584</v>
      </c>
    </row>
    <row r="2804" spans="1:10" x14ac:dyDescent="0.3">
      <c r="A2804">
        <v>127</v>
      </c>
      <c r="B2804">
        <v>225377</v>
      </c>
      <c r="C2804" t="s">
        <v>73</v>
      </c>
      <c r="D2804" t="s">
        <v>6337</v>
      </c>
      <c r="E2804" t="s">
        <v>6338</v>
      </c>
      <c r="F2804" t="s">
        <v>582</v>
      </c>
      <c r="G2804" t="s">
        <v>583</v>
      </c>
      <c r="H2804">
        <v>8900000</v>
      </c>
      <c r="I2804">
        <v>7.7</v>
      </c>
      <c r="J2804" t="s">
        <v>9491</v>
      </c>
    </row>
    <row r="2805" spans="1:10" x14ac:dyDescent="0.3">
      <c r="A2805">
        <v>98</v>
      </c>
      <c r="B2805">
        <v>14114488</v>
      </c>
      <c r="C2805" t="s">
        <v>2324</v>
      </c>
      <c r="D2805" t="s">
        <v>6339</v>
      </c>
      <c r="E2805" t="s">
        <v>6340</v>
      </c>
      <c r="F2805" t="s">
        <v>7</v>
      </c>
      <c r="G2805" t="s">
        <v>8</v>
      </c>
      <c r="H2805">
        <v>10500000</v>
      </c>
      <c r="I2805">
        <v>7.8</v>
      </c>
      <c r="J2805" t="s">
        <v>8467</v>
      </c>
    </row>
    <row r="2806" spans="1:10" x14ac:dyDescent="0.3">
      <c r="A2806">
        <v>197</v>
      </c>
      <c r="B2806">
        <v>46300000</v>
      </c>
      <c r="C2806" t="s">
        <v>542</v>
      </c>
      <c r="D2806" t="s">
        <v>6341</v>
      </c>
      <c r="E2806" t="s">
        <v>6342</v>
      </c>
      <c r="F2806" t="s">
        <v>7</v>
      </c>
      <c r="G2806" t="s">
        <v>8</v>
      </c>
      <c r="H2806">
        <v>9400000</v>
      </c>
      <c r="I2806">
        <v>6.1</v>
      </c>
      <c r="J2806" t="s">
        <v>9492</v>
      </c>
    </row>
    <row r="2807" spans="1:10" x14ac:dyDescent="0.3">
      <c r="A2807">
        <v>104</v>
      </c>
      <c r="B2807">
        <v>2600000</v>
      </c>
      <c r="C2807" t="s">
        <v>1410</v>
      </c>
      <c r="D2807" t="s">
        <v>6343</v>
      </c>
      <c r="E2807" t="s">
        <v>6344</v>
      </c>
      <c r="F2807" t="s">
        <v>7</v>
      </c>
      <c r="G2807" t="s">
        <v>15</v>
      </c>
      <c r="H2807">
        <v>6000000</v>
      </c>
      <c r="I2807">
        <v>5.8</v>
      </c>
      <c r="J2807" t="s">
        <v>8440</v>
      </c>
    </row>
    <row r="2808" spans="1:10" x14ac:dyDescent="0.3">
      <c r="A2808">
        <v>90</v>
      </c>
      <c r="B2808">
        <v>1602466</v>
      </c>
      <c r="C2808" t="s">
        <v>6345</v>
      </c>
      <c r="D2808" t="s">
        <v>6346</v>
      </c>
      <c r="E2808" t="s">
        <v>6347</v>
      </c>
      <c r="F2808" t="s">
        <v>7</v>
      </c>
      <c r="G2808" t="s">
        <v>2355</v>
      </c>
      <c r="H2808">
        <v>600000000</v>
      </c>
      <c r="I2808">
        <v>6.5</v>
      </c>
      <c r="J2808" t="s">
        <v>8765</v>
      </c>
    </row>
    <row r="2809" spans="1:10" x14ac:dyDescent="0.3">
      <c r="A2809">
        <v>130</v>
      </c>
      <c r="B2809">
        <v>3029870</v>
      </c>
      <c r="C2809" t="s">
        <v>746</v>
      </c>
      <c r="D2809" t="s">
        <v>6348</v>
      </c>
      <c r="E2809" t="s">
        <v>6349</v>
      </c>
      <c r="F2809" t="s">
        <v>7</v>
      </c>
      <c r="G2809" t="s">
        <v>3266</v>
      </c>
      <c r="H2809">
        <v>7400000</v>
      </c>
      <c r="I2809">
        <v>7.9</v>
      </c>
      <c r="J2809" t="s">
        <v>8619</v>
      </c>
    </row>
    <row r="2810" spans="1:10" x14ac:dyDescent="0.3">
      <c r="A2810">
        <v>176</v>
      </c>
      <c r="B2810">
        <v>3047539</v>
      </c>
      <c r="C2810" t="s">
        <v>73</v>
      </c>
      <c r="D2810" t="s">
        <v>6350</v>
      </c>
      <c r="E2810" t="s">
        <v>6351</v>
      </c>
      <c r="F2810" t="s">
        <v>2354</v>
      </c>
      <c r="G2810" t="s">
        <v>2355</v>
      </c>
      <c r="H2810">
        <v>7217600</v>
      </c>
      <c r="I2810">
        <v>6.3</v>
      </c>
      <c r="J2810" t="s">
        <v>9493</v>
      </c>
    </row>
    <row r="2811" spans="1:10" x14ac:dyDescent="0.3">
      <c r="A2811">
        <v>116</v>
      </c>
      <c r="B2811">
        <v>78900000</v>
      </c>
      <c r="C2811" t="s">
        <v>4304</v>
      </c>
      <c r="D2811" t="s">
        <v>6352</v>
      </c>
      <c r="E2811" t="s">
        <v>6353</v>
      </c>
      <c r="F2811" t="s">
        <v>7</v>
      </c>
      <c r="G2811" t="s">
        <v>15</v>
      </c>
      <c r="H2811">
        <v>11000000</v>
      </c>
      <c r="I2811">
        <v>3.8</v>
      </c>
      <c r="J2811" t="s">
        <v>9494</v>
      </c>
    </row>
    <row r="2812" spans="1:10" x14ac:dyDescent="0.3">
      <c r="A2812">
        <v>88</v>
      </c>
      <c r="B2812">
        <v>30859000</v>
      </c>
      <c r="C2812" t="s">
        <v>2324</v>
      </c>
      <c r="D2812" t="s">
        <v>6354</v>
      </c>
      <c r="E2812" t="s">
        <v>6355</v>
      </c>
      <c r="F2812" t="s">
        <v>7</v>
      </c>
      <c r="G2812" t="s">
        <v>8</v>
      </c>
      <c r="H2812">
        <v>83532</v>
      </c>
      <c r="I2812">
        <v>8.3000000000000007</v>
      </c>
      <c r="J2812" t="s">
        <v>9495</v>
      </c>
    </row>
    <row r="2813" spans="1:10" x14ac:dyDescent="0.3">
      <c r="A2813">
        <v>106</v>
      </c>
      <c r="B2813">
        <v>3571735</v>
      </c>
      <c r="C2813" t="s">
        <v>1796</v>
      </c>
      <c r="D2813" t="s">
        <v>6356</v>
      </c>
      <c r="E2813" t="s">
        <v>6357</v>
      </c>
      <c r="F2813" t="s">
        <v>7</v>
      </c>
      <c r="G2813" t="s">
        <v>8</v>
      </c>
      <c r="H2813">
        <v>10000000</v>
      </c>
      <c r="I2813">
        <v>6.4</v>
      </c>
      <c r="J2813" t="s">
        <v>9496</v>
      </c>
    </row>
    <row r="2814" spans="1:10" x14ac:dyDescent="0.3">
      <c r="A2814">
        <v>181</v>
      </c>
      <c r="B2814">
        <v>50000000</v>
      </c>
      <c r="C2814" t="s">
        <v>5067</v>
      </c>
      <c r="D2814" t="s">
        <v>6358</v>
      </c>
      <c r="E2814" t="s">
        <v>6359</v>
      </c>
      <c r="F2814" t="s">
        <v>7</v>
      </c>
      <c r="G2814" t="s">
        <v>8</v>
      </c>
      <c r="H2814">
        <v>9000000</v>
      </c>
      <c r="I2814">
        <v>6.7</v>
      </c>
      <c r="J2814" t="s">
        <v>9497</v>
      </c>
    </row>
    <row r="2815" spans="1:10" x14ac:dyDescent="0.3">
      <c r="A2815">
        <v>130</v>
      </c>
      <c r="B2815">
        <v>63600000</v>
      </c>
      <c r="C2815" t="s">
        <v>12</v>
      </c>
      <c r="D2815" t="s">
        <v>6360</v>
      </c>
      <c r="E2815" t="s">
        <v>6361</v>
      </c>
      <c r="F2815" t="s">
        <v>7</v>
      </c>
      <c r="G2815" t="s">
        <v>15</v>
      </c>
      <c r="H2815">
        <v>9000000</v>
      </c>
      <c r="I2815">
        <v>6.1</v>
      </c>
      <c r="J2815" t="s">
        <v>9215</v>
      </c>
    </row>
    <row r="2816" spans="1:10" x14ac:dyDescent="0.3">
      <c r="A2816">
        <v>123</v>
      </c>
      <c r="B2816">
        <v>36049108</v>
      </c>
      <c r="C2816" t="s">
        <v>2438</v>
      </c>
      <c r="D2816" t="s">
        <v>6362</v>
      </c>
      <c r="E2816" t="s">
        <v>6363</v>
      </c>
      <c r="F2816" t="s">
        <v>7</v>
      </c>
      <c r="G2816" t="s">
        <v>8</v>
      </c>
      <c r="H2816">
        <v>9000000</v>
      </c>
      <c r="I2816">
        <v>8.1</v>
      </c>
      <c r="J2816" t="s">
        <v>9031</v>
      </c>
    </row>
    <row r="2817" spans="1:10" x14ac:dyDescent="0.3">
      <c r="A2817">
        <v>120</v>
      </c>
      <c r="B2817">
        <v>34074895</v>
      </c>
      <c r="C2817" t="s">
        <v>1040</v>
      </c>
      <c r="D2817" t="s">
        <v>6364</v>
      </c>
      <c r="E2817" t="s">
        <v>6365</v>
      </c>
      <c r="F2817" t="s">
        <v>7</v>
      </c>
      <c r="G2817" t="s">
        <v>8</v>
      </c>
      <c r="H2817">
        <v>9000000</v>
      </c>
      <c r="I2817">
        <v>6</v>
      </c>
      <c r="J2817" t="s">
        <v>9498</v>
      </c>
    </row>
    <row r="2818" spans="1:10" x14ac:dyDescent="0.3">
      <c r="A2818">
        <v>87</v>
      </c>
      <c r="B2818">
        <v>33244684</v>
      </c>
      <c r="C2818" t="s">
        <v>3143</v>
      </c>
      <c r="D2818" t="s">
        <v>6366</v>
      </c>
      <c r="E2818" t="s">
        <v>6367</v>
      </c>
      <c r="F2818" t="s">
        <v>7</v>
      </c>
      <c r="G2818" t="s">
        <v>8</v>
      </c>
      <c r="H2818">
        <v>9000000</v>
      </c>
      <c r="I2818">
        <v>5.8</v>
      </c>
      <c r="J2818" t="s">
        <v>9499</v>
      </c>
    </row>
    <row r="2819" spans="1:10" x14ac:dyDescent="0.3">
      <c r="A2819">
        <v>123</v>
      </c>
      <c r="B2819">
        <v>24530513</v>
      </c>
      <c r="C2819" t="s">
        <v>1187</v>
      </c>
      <c r="D2819" t="s">
        <v>6368</v>
      </c>
      <c r="E2819" t="s">
        <v>6369</v>
      </c>
      <c r="F2819" t="s">
        <v>7</v>
      </c>
      <c r="G2819" t="s">
        <v>8</v>
      </c>
      <c r="H2819">
        <v>9000000</v>
      </c>
      <c r="I2819">
        <v>5.6</v>
      </c>
      <c r="J2819" t="s">
        <v>9500</v>
      </c>
    </row>
    <row r="2820" spans="1:10" x14ac:dyDescent="0.3">
      <c r="A2820">
        <v>103</v>
      </c>
      <c r="B2820">
        <v>71519230</v>
      </c>
      <c r="C2820" t="s">
        <v>912</v>
      </c>
      <c r="D2820" t="s">
        <v>6370</v>
      </c>
      <c r="E2820" t="s">
        <v>6371</v>
      </c>
      <c r="F2820" t="s">
        <v>7</v>
      </c>
      <c r="G2820" t="s">
        <v>8</v>
      </c>
      <c r="H2820">
        <v>9000000</v>
      </c>
      <c r="I2820">
        <v>6.1</v>
      </c>
      <c r="J2820" t="s">
        <v>9501</v>
      </c>
    </row>
    <row r="2821" spans="1:10" x14ac:dyDescent="0.3">
      <c r="A2821">
        <v>91</v>
      </c>
      <c r="B2821">
        <v>20035310</v>
      </c>
      <c r="C2821" t="s">
        <v>561</v>
      </c>
      <c r="D2821" t="s">
        <v>6372</v>
      </c>
      <c r="E2821" t="s">
        <v>6373</v>
      </c>
      <c r="F2821" t="s">
        <v>7</v>
      </c>
      <c r="G2821" t="s">
        <v>8</v>
      </c>
      <c r="H2821">
        <v>9000000</v>
      </c>
      <c r="I2821">
        <v>5.9</v>
      </c>
      <c r="J2821" t="s">
        <v>9196</v>
      </c>
    </row>
    <row r="2822" spans="1:10" x14ac:dyDescent="0.3">
      <c r="A2822">
        <v>88</v>
      </c>
      <c r="B2822">
        <v>18225165</v>
      </c>
      <c r="C2822" t="s">
        <v>1765</v>
      </c>
      <c r="D2822" t="s">
        <v>6374</v>
      </c>
      <c r="E2822" t="s">
        <v>6375</v>
      </c>
      <c r="F2822" t="s">
        <v>7</v>
      </c>
      <c r="G2822" t="s">
        <v>8</v>
      </c>
      <c r="H2822">
        <v>9000000</v>
      </c>
      <c r="I2822">
        <v>7.3</v>
      </c>
      <c r="J2822" t="s">
        <v>9502</v>
      </c>
    </row>
    <row r="2823" spans="1:10" x14ac:dyDescent="0.3">
      <c r="A2823">
        <v>126</v>
      </c>
      <c r="B2823">
        <v>17804273</v>
      </c>
      <c r="C2823" t="s">
        <v>1704</v>
      </c>
      <c r="D2823" t="s">
        <v>6376</v>
      </c>
      <c r="E2823" t="s">
        <v>6377</v>
      </c>
      <c r="F2823" t="s">
        <v>7</v>
      </c>
      <c r="G2823" t="s">
        <v>8</v>
      </c>
      <c r="H2823">
        <v>20000000</v>
      </c>
      <c r="I2823">
        <v>6.8</v>
      </c>
      <c r="J2823" t="s">
        <v>8674</v>
      </c>
    </row>
    <row r="2824" spans="1:10" x14ac:dyDescent="0.3">
      <c r="A2824">
        <v>120</v>
      </c>
      <c r="B2824">
        <v>16938179</v>
      </c>
      <c r="C2824" t="s">
        <v>873</v>
      </c>
      <c r="D2824" t="s">
        <v>6378</v>
      </c>
      <c r="E2824" t="s">
        <v>6379</v>
      </c>
      <c r="F2824" t="s">
        <v>7</v>
      </c>
      <c r="G2824" t="s">
        <v>8</v>
      </c>
      <c r="H2824">
        <v>8000000</v>
      </c>
      <c r="I2824">
        <v>5.7</v>
      </c>
      <c r="J2824" t="s">
        <v>8459</v>
      </c>
    </row>
    <row r="2825" spans="1:10" x14ac:dyDescent="0.3">
      <c r="A2825">
        <v>94</v>
      </c>
      <c r="B2825">
        <v>16235293</v>
      </c>
      <c r="C2825" t="s">
        <v>2701</v>
      </c>
      <c r="D2825" t="s">
        <v>6380</v>
      </c>
      <c r="E2825" t="s">
        <v>6381</v>
      </c>
      <c r="F2825" t="s">
        <v>7</v>
      </c>
      <c r="G2825" t="s">
        <v>8</v>
      </c>
      <c r="H2825">
        <v>9000000</v>
      </c>
      <c r="I2825">
        <v>7.3</v>
      </c>
      <c r="J2825" t="s">
        <v>9503</v>
      </c>
    </row>
    <row r="2826" spans="1:10" x14ac:dyDescent="0.3">
      <c r="A2826">
        <v>137</v>
      </c>
      <c r="B2826">
        <v>10161099</v>
      </c>
      <c r="C2826" t="s">
        <v>6382</v>
      </c>
      <c r="D2826" t="s">
        <v>6383</v>
      </c>
      <c r="E2826" t="s">
        <v>6384</v>
      </c>
      <c r="F2826" t="s">
        <v>7</v>
      </c>
      <c r="G2826" t="s">
        <v>15</v>
      </c>
      <c r="H2826">
        <v>9000000</v>
      </c>
      <c r="I2826">
        <v>6.3</v>
      </c>
      <c r="J2826" t="s">
        <v>9135</v>
      </c>
    </row>
    <row r="2827" spans="1:10" x14ac:dyDescent="0.3">
      <c r="A2827">
        <v>119</v>
      </c>
      <c r="B2827">
        <v>6047856</v>
      </c>
      <c r="C2827" t="s">
        <v>164</v>
      </c>
      <c r="D2827" t="s">
        <v>6385</v>
      </c>
      <c r="E2827" t="s">
        <v>6386</v>
      </c>
      <c r="F2827" t="s">
        <v>7</v>
      </c>
      <c r="G2827" t="s">
        <v>8</v>
      </c>
      <c r="H2827">
        <v>8500000</v>
      </c>
      <c r="I2827">
        <v>5.9</v>
      </c>
      <c r="J2827" t="s">
        <v>9504</v>
      </c>
    </row>
    <row r="2828" spans="1:10" x14ac:dyDescent="0.3">
      <c r="A2828">
        <v>99</v>
      </c>
      <c r="B2828">
        <v>4681503</v>
      </c>
      <c r="C2828" t="s">
        <v>1040</v>
      </c>
      <c r="D2828" t="s">
        <v>6387</v>
      </c>
      <c r="E2828" t="s">
        <v>6388</v>
      </c>
      <c r="F2828" t="s">
        <v>7</v>
      </c>
      <c r="G2828" t="s">
        <v>8</v>
      </c>
      <c r="H2828">
        <v>9000000</v>
      </c>
      <c r="I2828">
        <v>7.1</v>
      </c>
      <c r="J2828" t="s">
        <v>8767</v>
      </c>
    </row>
    <row r="2829" spans="1:10" x14ac:dyDescent="0.3">
      <c r="A2829">
        <v>79</v>
      </c>
      <c r="B2829">
        <v>4350774</v>
      </c>
      <c r="C2829" t="s">
        <v>668</v>
      </c>
      <c r="D2829" t="s">
        <v>6389</v>
      </c>
      <c r="E2829" t="s">
        <v>6390</v>
      </c>
      <c r="F2829" t="s">
        <v>7</v>
      </c>
      <c r="G2829" t="s">
        <v>8</v>
      </c>
      <c r="H2829">
        <v>8000000</v>
      </c>
      <c r="I2829">
        <v>7.1</v>
      </c>
      <c r="J2829" t="s">
        <v>9152</v>
      </c>
    </row>
    <row r="2830" spans="1:10" x14ac:dyDescent="0.3">
      <c r="A2830">
        <v>95</v>
      </c>
      <c r="B2830">
        <v>2955039</v>
      </c>
      <c r="C2830" t="s">
        <v>653</v>
      </c>
      <c r="D2830" t="s">
        <v>6391</v>
      </c>
      <c r="E2830" t="s">
        <v>6392</v>
      </c>
      <c r="F2830" t="s">
        <v>7</v>
      </c>
      <c r="G2830" t="s">
        <v>8</v>
      </c>
      <c r="H2830">
        <v>9000000</v>
      </c>
      <c r="I2830">
        <v>8</v>
      </c>
      <c r="J2830" t="s">
        <v>9505</v>
      </c>
    </row>
    <row r="2831" spans="1:10" x14ac:dyDescent="0.3">
      <c r="A2831">
        <v>103</v>
      </c>
      <c r="B2831">
        <v>1530535</v>
      </c>
      <c r="C2831" t="s">
        <v>561</v>
      </c>
      <c r="D2831" t="s">
        <v>6393</v>
      </c>
      <c r="E2831" t="s">
        <v>6394</v>
      </c>
      <c r="F2831" t="s">
        <v>7</v>
      </c>
      <c r="G2831" t="s">
        <v>8</v>
      </c>
      <c r="H2831">
        <v>9000000</v>
      </c>
      <c r="I2831">
        <v>5.0999999999999996</v>
      </c>
      <c r="J2831" t="s">
        <v>9506</v>
      </c>
    </row>
    <row r="2832" spans="1:10" x14ac:dyDescent="0.3">
      <c r="A2832">
        <v>92</v>
      </c>
      <c r="B2832">
        <v>4881867</v>
      </c>
      <c r="C2832" t="s">
        <v>2708</v>
      </c>
      <c r="D2832" t="s">
        <v>6395</v>
      </c>
      <c r="E2832" t="s">
        <v>6396</v>
      </c>
      <c r="F2832" t="s">
        <v>7</v>
      </c>
      <c r="G2832" t="s">
        <v>8</v>
      </c>
      <c r="H2832">
        <v>9000000</v>
      </c>
      <c r="I2832">
        <v>7.1</v>
      </c>
      <c r="J2832" t="s">
        <v>9153</v>
      </c>
    </row>
    <row r="2833" spans="1:10" x14ac:dyDescent="0.3">
      <c r="A2833">
        <v>84</v>
      </c>
      <c r="B2833">
        <v>11860839</v>
      </c>
      <c r="C2833" t="s">
        <v>1701</v>
      </c>
      <c r="D2833" t="s">
        <v>6397</v>
      </c>
      <c r="E2833" t="s">
        <v>6398</v>
      </c>
      <c r="F2833" t="s">
        <v>7</v>
      </c>
      <c r="G2833" t="s">
        <v>8</v>
      </c>
      <c r="H2833">
        <v>9000000</v>
      </c>
      <c r="I2833">
        <v>6.5</v>
      </c>
      <c r="J2833" t="s">
        <v>9083</v>
      </c>
    </row>
    <row r="2834" spans="1:10" x14ac:dyDescent="0.3">
      <c r="A2834">
        <v>300</v>
      </c>
      <c r="B2834">
        <v>454255</v>
      </c>
      <c r="C2834" t="s">
        <v>425</v>
      </c>
      <c r="D2834" t="s">
        <v>6399</v>
      </c>
      <c r="E2834" t="s">
        <v>6400</v>
      </c>
      <c r="F2834" t="s">
        <v>5514</v>
      </c>
      <c r="G2834" t="s">
        <v>5515</v>
      </c>
      <c r="H2834">
        <v>400000000</v>
      </c>
      <c r="I2834">
        <v>4.5</v>
      </c>
      <c r="J2834" t="s">
        <v>8689</v>
      </c>
    </row>
    <row r="2835" spans="1:10" x14ac:dyDescent="0.3">
      <c r="A2835">
        <v>120</v>
      </c>
      <c r="B2835">
        <v>349618</v>
      </c>
      <c r="C2835" t="s">
        <v>2701</v>
      </c>
      <c r="D2835" t="s">
        <v>6401</v>
      </c>
      <c r="E2835" t="s">
        <v>6402</v>
      </c>
      <c r="F2835" t="s">
        <v>7</v>
      </c>
      <c r="G2835" t="s">
        <v>2993</v>
      </c>
      <c r="H2835">
        <v>9000000</v>
      </c>
      <c r="I2835">
        <v>6.6</v>
      </c>
      <c r="J2835" t="s">
        <v>9507</v>
      </c>
    </row>
    <row r="2836" spans="1:10" x14ac:dyDescent="0.3">
      <c r="A2836">
        <v>121</v>
      </c>
      <c r="B2836">
        <v>112935</v>
      </c>
      <c r="C2836" t="s">
        <v>1417</v>
      </c>
      <c r="D2836" t="s">
        <v>6403</v>
      </c>
      <c r="E2836" t="s">
        <v>6404</v>
      </c>
      <c r="F2836" t="s">
        <v>7</v>
      </c>
      <c r="G2836" t="s">
        <v>15</v>
      </c>
      <c r="H2836">
        <v>9000000</v>
      </c>
      <c r="I2836">
        <v>4.3</v>
      </c>
      <c r="J2836" t="s">
        <v>8618</v>
      </c>
    </row>
    <row r="2837" spans="1:10" x14ac:dyDescent="0.3">
      <c r="A2837">
        <v>97</v>
      </c>
      <c r="B2837">
        <v>883887</v>
      </c>
      <c r="C2837" t="s">
        <v>1417</v>
      </c>
      <c r="D2837" t="s">
        <v>6405</v>
      </c>
      <c r="E2837" t="s">
        <v>6406</v>
      </c>
      <c r="F2837" t="s">
        <v>7</v>
      </c>
      <c r="G2837" t="s">
        <v>8</v>
      </c>
      <c r="H2837">
        <v>9000000</v>
      </c>
      <c r="I2837">
        <v>6.7</v>
      </c>
      <c r="J2837" t="s">
        <v>9435</v>
      </c>
    </row>
    <row r="2838" spans="1:10" x14ac:dyDescent="0.3">
      <c r="A2838">
        <v>86</v>
      </c>
      <c r="B2838">
        <v>13751</v>
      </c>
      <c r="C2838" t="s">
        <v>3017</v>
      </c>
      <c r="D2838" t="s">
        <v>6407</v>
      </c>
      <c r="E2838" t="s">
        <v>6408</v>
      </c>
      <c r="F2838" t="s">
        <v>7</v>
      </c>
      <c r="G2838" t="s">
        <v>132</v>
      </c>
      <c r="H2838">
        <v>11400000</v>
      </c>
      <c r="I2838">
        <v>6.8</v>
      </c>
      <c r="J2838" t="s">
        <v>9508</v>
      </c>
    </row>
    <row r="2839" spans="1:10" x14ac:dyDescent="0.3">
      <c r="A2839">
        <v>45</v>
      </c>
      <c r="B2839">
        <v>145109</v>
      </c>
      <c r="C2839" t="s">
        <v>896</v>
      </c>
      <c r="D2839" t="s">
        <v>6409</v>
      </c>
      <c r="E2839" t="s">
        <v>6410</v>
      </c>
      <c r="F2839" t="s">
        <v>6411</v>
      </c>
      <c r="G2839" t="s">
        <v>3266</v>
      </c>
      <c r="H2839">
        <v>45000000</v>
      </c>
      <c r="I2839">
        <v>5.4</v>
      </c>
      <c r="J2839" t="s">
        <v>9509</v>
      </c>
    </row>
    <row r="2840" spans="1:10" x14ac:dyDescent="0.3">
      <c r="A2840">
        <v>97</v>
      </c>
      <c r="B2840">
        <v>1046166</v>
      </c>
      <c r="C2840" t="s">
        <v>2763</v>
      </c>
      <c r="D2840" t="s">
        <v>6412</v>
      </c>
      <c r="E2840" t="s">
        <v>6413</v>
      </c>
      <c r="F2840" t="s">
        <v>7</v>
      </c>
      <c r="G2840" t="s">
        <v>284</v>
      </c>
      <c r="H2840">
        <v>9000000</v>
      </c>
      <c r="I2840">
        <v>6.6</v>
      </c>
      <c r="J2840" t="s">
        <v>8623</v>
      </c>
    </row>
    <row r="2841" spans="1:10" x14ac:dyDescent="0.3">
      <c r="A2841">
        <v>93</v>
      </c>
      <c r="B2841">
        <v>174635000</v>
      </c>
      <c r="C2841" t="s">
        <v>1765</v>
      </c>
      <c r="D2841" t="s">
        <v>6414</v>
      </c>
      <c r="E2841" t="s">
        <v>6415</v>
      </c>
      <c r="F2841" t="s">
        <v>7</v>
      </c>
      <c r="G2841" t="s">
        <v>132</v>
      </c>
      <c r="H2841">
        <v>8800000</v>
      </c>
      <c r="I2841">
        <v>7.4</v>
      </c>
      <c r="J2841" t="s">
        <v>8516</v>
      </c>
    </row>
    <row r="2842" spans="1:10" x14ac:dyDescent="0.3">
      <c r="A2842">
        <v>84</v>
      </c>
      <c r="B2842">
        <v>14373825</v>
      </c>
      <c r="C2842" t="s">
        <v>915</v>
      </c>
      <c r="D2842" t="s">
        <v>6416</v>
      </c>
      <c r="E2842" t="s">
        <v>6417</v>
      </c>
      <c r="F2842" t="s">
        <v>7</v>
      </c>
      <c r="G2842" t="s">
        <v>8</v>
      </c>
      <c r="H2842">
        <v>8600000</v>
      </c>
      <c r="I2842">
        <v>7.3</v>
      </c>
      <c r="J2842" t="s">
        <v>9391</v>
      </c>
    </row>
    <row r="2843" spans="1:10" x14ac:dyDescent="0.3">
      <c r="A2843">
        <v>96</v>
      </c>
      <c r="B2843">
        <v>162</v>
      </c>
      <c r="C2843" t="s">
        <v>118</v>
      </c>
      <c r="D2843" t="s">
        <v>6418</v>
      </c>
      <c r="E2843" t="s">
        <v>6419</v>
      </c>
      <c r="F2843" t="s">
        <v>7</v>
      </c>
      <c r="G2843" t="s">
        <v>5515</v>
      </c>
      <c r="H2843">
        <v>9000000</v>
      </c>
      <c r="I2843">
        <v>6.9</v>
      </c>
      <c r="J2843" t="s">
        <v>9081</v>
      </c>
    </row>
    <row r="2844" spans="1:10" x14ac:dyDescent="0.3">
      <c r="A2844">
        <v>112</v>
      </c>
      <c r="B2844">
        <v>39462438</v>
      </c>
      <c r="C2844" t="s">
        <v>3307</v>
      </c>
      <c r="D2844" t="s">
        <v>6420</v>
      </c>
      <c r="E2844" t="s">
        <v>6421</v>
      </c>
      <c r="F2844" t="s">
        <v>7</v>
      </c>
      <c r="G2844" t="s">
        <v>8</v>
      </c>
      <c r="H2844">
        <v>7000000</v>
      </c>
      <c r="I2844">
        <v>8</v>
      </c>
      <c r="J2844" t="s">
        <v>8458</v>
      </c>
    </row>
    <row r="2845" spans="1:10" x14ac:dyDescent="0.3">
      <c r="A2845">
        <v>125</v>
      </c>
      <c r="B2845">
        <v>29200000</v>
      </c>
      <c r="C2845" t="s">
        <v>3307</v>
      </c>
      <c r="D2845" t="s">
        <v>6422</v>
      </c>
      <c r="E2845" t="s">
        <v>6423</v>
      </c>
      <c r="F2845" t="s">
        <v>7</v>
      </c>
      <c r="G2845" t="s">
        <v>8</v>
      </c>
      <c r="H2845">
        <v>8500000</v>
      </c>
      <c r="I2845">
        <v>6.4</v>
      </c>
      <c r="J2845" t="s">
        <v>9510</v>
      </c>
    </row>
    <row r="2846" spans="1:10" x14ac:dyDescent="0.3">
      <c r="A2846">
        <v>96</v>
      </c>
      <c r="B2846">
        <v>21564616</v>
      </c>
      <c r="C2846" t="s">
        <v>668</v>
      </c>
      <c r="D2846" t="s">
        <v>6424</v>
      </c>
      <c r="E2846" t="s">
        <v>6425</v>
      </c>
      <c r="F2846" t="s">
        <v>7</v>
      </c>
      <c r="G2846" t="s">
        <v>8</v>
      </c>
      <c r="H2846">
        <v>8500000</v>
      </c>
      <c r="I2846">
        <v>7.8</v>
      </c>
      <c r="J2846" t="s">
        <v>9416</v>
      </c>
    </row>
    <row r="2847" spans="1:10" x14ac:dyDescent="0.3">
      <c r="A2847">
        <v>103</v>
      </c>
      <c r="B2847">
        <v>14879556</v>
      </c>
      <c r="C2847" t="s">
        <v>1040</v>
      </c>
      <c r="D2847" t="s">
        <v>6426</v>
      </c>
      <c r="E2847" t="s">
        <v>6427</v>
      </c>
      <c r="F2847" t="s">
        <v>7</v>
      </c>
      <c r="G2847" t="s">
        <v>8</v>
      </c>
      <c r="H2847">
        <v>8000000</v>
      </c>
      <c r="I2847">
        <v>6.1</v>
      </c>
      <c r="J2847" t="s">
        <v>9083</v>
      </c>
    </row>
    <row r="2848" spans="1:10" x14ac:dyDescent="0.3">
      <c r="A2848">
        <v>101</v>
      </c>
      <c r="B2848">
        <v>34017854</v>
      </c>
      <c r="C2848" t="s">
        <v>668</v>
      </c>
      <c r="D2848" t="s">
        <v>6428</v>
      </c>
      <c r="E2848" t="s">
        <v>6429</v>
      </c>
      <c r="F2848" t="s">
        <v>7</v>
      </c>
      <c r="G2848" t="s">
        <v>8</v>
      </c>
      <c r="H2848">
        <v>8500000</v>
      </c>
      <c r="I2848">
        <v>6.1</v>
      </c>
      <c r="J2848" t="s">
        <v>9511</v>
      </c>
    </row>
    <row r="2849" spans="1:10" x14ac:dyDescent="0.3">
      <c r="A2849">
        <v>104</v>
      </c>
      <c r="B2849">
        <v>4273372</v>
      </c>
      <c r="C2849" t="s">
        <v>3307</v>
      </c>
      <c r="D2849" t="s">
        <v>6430</v>
      </c>
      <c r="E2849" t="s">
        <v>6431</v>
      </c>
      <c r="F2849" t="s">
        <v>7</v>
      </c>
      <c r="G2849" t="s">
        <v>8</v>
      </c>
      <c r="H2849">
        <v>22000000</v>
      </c>
      <c r="I2849">
        <v>5.0999999999999996</v>
      </c>
      <c r="J2849" t="s">
        <v>9512</v>
      </c>
    </row>
    <row r="2850" spans="1:10" x14ac:dyDescent="0.3">
      <c r="A2850">
        <v>119</v>
      </c>
      <c r="B2850">
        <v>4440055</v>
      </c>
      <c r="C2850" t="s">
        <v>2663</v>
      </c>
      <c r="D2850" t="s">
        <v>6432</v>
      </c>
      <c r="E2850" t="s">
        <v>6433</v>
      </c>
      <c r="F2850" t="s">
        <v>7</v>
      </c>
      <c r="G2850" t="s">
        <v>15</v>
      </c>
      <c r="H2850">
        <v>8500000</v>
      </c>
      <c r="I2850">
        <v>7.8</v>
      </c>
      <c r="J2850" t="s">
        <v>9513</v>
      </c>
    </row>
    <row r="2851" spans="1:10" x14ac:dyDescent="0.3">
      <c r="A2851">
        <v>128</v>
      </c>
      <c r="B2851">
        <v>4018695</v>
      </c>
      <c r="C2851" t="s">
        <v>735</v>
      </c>
      <c r="D2851" t="s">
        <v>6434</v>
      </c>
      <c r="E2851" t="s">
        <v>6435</v>
      </c>
      <c r="F2851" t="s">
        <v>2354</v>
      </c>
      <c r="G2851" t="s">
        <v>2355</v>
      </c>
      <c r="H2851">
        <v>12000000</v>
      </c>
      <c r="I2851">
        <v>7.4</v>
      </c>
      <c r="J2851" t="s">
        <v>8610</v>
      </c>
    </row>
    <row r="2852" spans="1:10" x14ac:dyDescent="0.3">
      <c r="A2852">
        <v>106</v>
      </c>
      <c r="B2852">
        <v>6262942</v>
      </c>
      <c r="C2852" t="s">
        <v>392</v>
      </c>
      <c r="D2852" t="s">
        <v>6436</v>
      </c>
      <c r="E2852" t="s">
        <v>6437</v>
      </c>
      <c r="F2852" t="s">
        <v>7</v>
      </c>
      <c r="G2852" t="s">
        <v>8</v>
      </c>
      <c r="H2852">
        <v>9000000</v>
      </c>
      <c r="I2852">
        <v>7.8</v>
      </c>
      <c r="J2852" t="s">
        <v>9514</v>
      </c>
    </row>
    <row r="2853" spans="1:10" x14ac:dyDescent="0.3">
      <c r="A2853">
        <v>126</v>
      </c>
      <c r="B2853">
        <v>1997807</v>
      </c>
      <c r="C2853" t="s">
        <v>735</v>
      </c>
      <c r="D2853" t="s">
        <v>6438</v>
      </c>
      <c r="E2853" t="s">
        <v>6439</v>
      </c>
      <c r="F2853" t="s">
        <v>7</v>
      </c>
      <c r="G2853" t="s">
        <v>8</v>
      </c>
      <c r="H2853">
        <v>8000000</v>
      </c>
      <c r="I2853">
        <v>8</v>
      </c>
      <c r="J2853" t="s">
        <v>9458</v>
      </c>
    </row>
    <row r="2854" spans="1:10" x14ac:dyDescent="0.3">
      <c r="A2854">
        <v>150</v>
      </c>
      <c r="B2854">
        <v>140244</v>
      </c>
      <c r="C2854" t="s">
        <v>6440</v>
      </c>
      <c r="D2854" t="s">
        <v>6441</v>
      </c>
      <c r="E2854" t="s">
        <v>6442</v>
      </c>
      <c r="F2854" t="s">
        <v>7</v>
      </c>
      <c r="G2854" t="s">
        <v>8</v>
      </c>
      <c r="H2854">
        <v>8500000</v>
      </c>
      <c r="I2854">
        <v>6.7</v>
      </c>
      <c r="J2854" t="s">
        <v>9380</v>
      </c>
    </row>
    <row r="2855" spans="1:10" x14ac:dyDescent="0.3">
      <c r="A2855">
        <v>178</v>
      </c>
      <c r="B2855">
        <v>107930000</v>
      </c>
      <c r="C2855" t="s">
        <v>786</v>
      </c>
      <c r="D2855" t="s">
        <v>6444</v>
      </c>
      <c r="E2855" t="s">
        <v>6445</v>
      </c>
      <c r="F2855" t="s">
        <v>7</v>
      </c>
      <c r="G2855" t="s">
        <v>8</v>
      </c>
      <c r="H2855">
        <v>8000000</v>
      </c>
      <c r="I2855">
        <v>6.6</v>
      </c>
      <c r="J2855" t="s">
        <v>9515</v>
      </c>
    </row>
    <row r="2856" spans="1:10" x14ac:dyDescent="0.3">
      <c r="A2856">
        <v>117</v>
      </c>
      <c r="B2856">
        <v>32279955</v>
      </c>
      <c r="C2856" t="s">
        <v>873</v>
      </c>
      <c r="D2856" t="s">
        <v>6446</v>
      </c>
      <c r="E2856" t="s">
        <v>6447</v>
      </c>
      <c r="F2856" t="s">
        <v>7</v>
      </c>
      <c r="G2856" t="s">
        <v>8</v>
      </c>
      <c r="H2856">
        <v>8500000</v>
      </c>
      <c r="I2856">
        <v>6.4</v>
      </c>
      <c r="J2856" t="s">
        <v>9415</v>
      </c>
    </row>
    <row r="2857" spans="1:10" x14ac:dyDescent="0.3">
      <c r="A2857">
        <v>119</v>
      </c>
      <c r="B2857">
        <v>4992159</v>
      </c>
      <c r="C2857" t="s">
        <v>5343</v>
      </c>
      <c r="D2857" t="s">
        <v>6448</v>
      </c>
      <c r="E2857" t="s">
        <v>6449</v>
      </c>
      <c r="F2857" t="s">
        <v>7</v>
      </c>
      <c r="G2857" t="s">
        <v>8</v>
      </c>
      <c r="H2857">
        <v>8550000</v>
      </c>
      <c r="I2857">
        <v>6.7</v>
      </c>
      <c r="J2857" t="s">
        <v>9516</v>
      </c>
    </row>
    <row r="2858" spans="1:10" x14ac:dyDescent="0.3">
      <c r="A2858">
        <v>174</v>
      </c>
      <c r="B2858">
        <v>163214286</v>
      </c>
      <c r="C2858" t="s">
        <v>6450</v>
      </c>
      <c r="D2858" t="s">
        <v>6451</v>
      </c>
      <c r="E2858" t="s">
        <v>6452</v>
      </c>
      <c r="F2858" t="s">
        <v>7</v>
      </c>
      <c r="G2858" t="s">
        <v>8</v>
      </c>
      <c r="H2858">
        <v>8200000</v>
      </c>
      <c r="I2858">
        <v>6.2</v>
      </c>
      <c r="J2858" t="s">
        <v>9517</v>
      </c>
    </row>
    <row r="2859" spans="1:10" x14ac:dyDescent="0.3">
      <c r="A2859">
        <v>111</v>
      </c>
      <c r="B2859">
        <v>69800000</v>
      </c>
      <c r="C2859" t="s">
        <v>1511</v>
      </c>
      <c r="D2859" t="s">
        <v>6453</v>
      </c>
      <c r="E2859" t="s">
        <v>6454</v>
      </c>
      <c r="F2859" t="s">
        <v>7</v>
      </c>
      <c r="G2859" t="s">
        <v>8</v>
      </c>
      <c r="H2859">
        <v>8000000</v>
      </c>
      <c r="I2859">
        <v>7.3</v>
      </c>
      <c r="J2859" t="s">
        <v>8574</v>
      </c>
    </row>
    <row r="2860" spans="1:10" x14ac:dyDescent="0.3">
      <c r="A2860">
        <v>101</v>
      </c>
      <c r="B2860">
        <v>59889948</v>
      </c>
      <c r="C2860" t="s">
        <v>1040</v>
      </c>
      <c r="D2860" t="s">
        <v>6455</v>
      </c>
      <c r="E2860" t="s">
        <v>6456</v>
      </c>
      <c r="F2860" t="s">
        <v>7</v>
      </c>
      <c r="G2860" t="s">
        <v>8</v>
      </c>
      <c r="H2860">
        <v>8000000</v>
      </c>
      <c r="I2860">
        <v>8.1</v>
      </c>
      <c r="J2860" t="s">
        <v>9518</v>
      </c>
    </row>
    <row r="2861" spans="1:10" x14ac:dyDescent="0.3">
      <c r="A2861">
        <v>89</v>
      </c>
      <c r="B2861">
        <v>52287414</v>
      </c>
      <c r="C2861" t="s">
        <v>2975</v>
      </c>
      <c r="D2861" t="s">
        <v>6457</v>
      </c>
      <c r="E2861" t="s">
        <v>6458</v>
      </c>
      <c r="F2861" t="s">
        <v>7</v>
      </c>
      <c r="G2861" t="s">
        <v>8</v>
      </c>
      <c r="H2861">
        <v>8000000</v>
      </c>
      <c r="I2861">
        <v>7</v>
      </c>
      <c r="J2861" t="s">
        <v>9519</v>
      </c>
    </row>
    <row r="2862" spans="1:10" x14ac:dyDescent="0.3">
      <c r="A2862">
        <v>113</v>
      </c>
      <c r="B2862">
        <v>45063889</v>
      </c>
      <c r="C2862" t="s">
        <v>1314</v>
      </c>
      <c r="D2862" t="s">
        <v>6459</v>
      </c>
      <c r="E2862" t="s">
        <v>6460</v>
      </c>
      <c r="F2862" t="s">
        <v>7</v>
      </c>
      <c r="G2862" t="s">
        <v>15</v>
      </c>
      <c r="H2862">
        <v>8000000</v>
      </c>
      <c r="I2862">
        <v>8</v>
      </c>
      <c r="J2862" t="s">
        <v>8703</v>
      </c>
    </row>
    <row r="2863" spans="1:10" x14ac:dyDescent="0.3">
      <c r="A2863">
        <v>95</v>
      </c>
      <c r="B2863">
        <v>40066497</v>
      </c>
      <c r="C2863" t="s">
        <v>2605</v>
      </c>
      <c r="D2863" t="s">
        <v>6461</v>
      </c>
      <c r="E2863" t="s">
        <v>6462</v>
      </c>
      <c r="F2863" t="s">
        <v>7</v>
      </c>
      <c r="G2863" t="s">
        <v>8</v>
      </c>
      <c r="H2863">
        <v>8000000</v>
      </c>
      <c r="I2863">
        <v>8</v>
      </c>
      <c r="J2863" t="s">
        <v>8332</v>
      </c>
    </row>
    <row r="2864" spans="1:10" x14ac:dyDescent="0.3">
      <c r="A2864">
        <v>112</v>
      </c>
      <c r="B2864">
        <v>36500000</v>
      </c>
      <c r="C2864" t="s">
        <v>694</v>
      </c>
      <c r="D2864" t="s">
        <v>6463</v>
      </c>
      <c r="E2864" t="s">
        <v>6464</v>
      </c>
      <c r="F2864" t="s">
        <v>7</v>
      </c>
      <c r="G2864" t="s">
        <v>8</v>
      </c>
      <c r="H2864">
        <v>8000000</v>
      </c>
      <c r="I2864">
        <v>7</v>
      </c>
      <c r="J2864" t="s">
        <v>8459</v>
      </c>
    </row>
    <row r="2865" spans="1:10" x14ac:dyDescent="0.3">
      <c r="A2865">
        <v>109</v>
      </c>
      <c r="B2865">
        <v>27362712</v>
      </c>
      <c r="C2865" t="s">
        <v>2429</v>
      </c>
      <c r="D2865" t="s">
        <v>6465</v>
      </c>
      <c r="E2865" t="s">
        <v>6466</v>
      </c>
      <c r="F2865" t="s">
        <v>7</v>
      </c>
      <c r="G2865" t="s">
        <v>8</v>
      </c>
      <c r="H2865">
        <v>8000000</v>
      </c>
      <c r="I2865">
        <v>7.9</v>
      </c>
      <c r="J2865" t="s">
        <v>9520</v>
      </c>
    </row>
    <row r="2866" spans="1:10" x14ac:dyDescent="0.3">
      <c r="A2866">
        <v>108</v>
      </c>
      <c r="B2866">
        <v>34746109</v>
      </c>
      <c r="C2866" t="s">
        <v>6467</v>
      </c>
      <c r="D2866" t="s">
        <v>6468</v>
      </c>
      <c r="E2866" t="s">
        <v>6469</v>
      </c>
      <c r="F2866" t="s">
        <v>7</v>
      </c>
      <c r="G2866" t="s">
        <v>8</v>
      </c>
      <c r="H2866">
        <v>8000000</v>
      </c>
      <c r="I2866">
        <v>5.9</v>
      </c>
      <c r="J2866" t="s">
        <v>8921</v>
      </c>
    </row>
    <row r="2867" spans="1:10" x14ac:dyDescent="0.3">
      <c r="A2867">
        <v>100</v>
      </c>
      <c r="B2867">
        <v>34963967</v>
      </c>
      <c r="C2867" t="s">
        <v>561</v>
      </c>
      <c r="D2867" t="s">
        <v>6470</v>
      </c>
      <c r="E2867" t="s">
        <v>6471</v>
      </c>
      <c r="F2867" t="s">
        <v>7</v>
      </c>
      <c r="G2867" t="s">
        <v>8</v>
      </c>
      <c r="H2867">
        <v>8000000</v>
      </c>
      <c r="I2867">
        <v>6.6</v>
      </c>
      <c r="J2867" t="s">
        <v>8428</v>
      </c>
    </row>
    <row r="2868" spans="1:10" x14ac:dyDescent="0.3">
      <c r="A2868">
        <v>90</v>
      </c>
      <c r="B2868">
        <v>25926543</v>
      </c>
      <c r="C2868" t="s">
        <v>1249</v>
      </c>
      <c r="D2868" t="s">
        <v>6472</v>
      </c>
      <c r="E2868" t="s">
        <v>6473</v>
      </c>
      <c r="F2868" t="s">
        <v>7</v>
      </c>
      <c r="G2868" t="s">
        <v>8</v>
      </c>
      <c r="H2868">
        <v>8000000</v>
      </c>
      <c r="I2868">
        <v>6.3</v>
      </c>
      <c r="J2868" t="s">
        <v>8428</v>
      </c>
    </row>
    <row r="2869" spans="1:10" x14ac:dyDescent="0.3">
      <c r="A2869">
        <v>94</v>
      </c>
      <c r="B2869">
        <v>26049082</v>
      </c>
      <c r="C2869" t="s">
        <v>672</v>
      </c>
      <c r="D2869" t="s">
        <v>6474</v>
      </c>
      <c r="E2869" t="s">
        <v>6475</v>
      </c>
      <c r="F2869" t="s">
        <v>7</v>
      </c>
      <c r="G2869" t="s">
        <v>8</v>
      </c>
      <c r="H2869">
        <v>8000000</v>
      </c>
      <c r="I2869">
        <v>7.7</v>
      </c>
      <c r="J2869" t="s">
        <v>9062</v>
      </c>
    </row>
    <row r="2870" spans="1:10" x14ac:dyDescent="0.3">
      <c r="A2870">
        <v>111</v>
      </c>
      <c r="B2870">
        <v>22551000</v>
      </c>
      <c r="C2870" t="s">
        <v>561</v>
      </c>
      <c r="D2870" t="s">
        <v>6476</v>
      </c>
      <c r="E2870" t="s">
        <v>6477</v>
      </c>
      <c r="F2870" t="s">
        <v>7</v>
      </c>
      <c r="G2870" t="s">
        <v>15</v>
      </c>
      <c r="H2870">
        <v>8000000</v>
      </c>
      <c r="I2870">
        <v>6.9</v>
      </c>
      <c r="J2870" t="s">
        <v>8345</v>
      </c>
    </row>
    <row r="2871" spans="1:10" x14ac:dyDescent="0.3">
      <c r="A2871">
        <v>142</v>
      </c>
      <c r="B2871">
        <v>22800000</v>
      </c>
      <c r="C2871" t="s">
        <v>12</v>
      </c>
      <c r="D2871" t="s">
        <v>6478</v>
      </c>
      <c r="E2871" t="s">
        <v>6479</v>
      </c>
      <c r="F2871" t="s">
        <v>7</v>
      </c>
      <c r="G2871" t="s">
        <v>15</v>
      </c>
      <c r="H2871">
        <v>7000000</v>
      </c>
      <c r="I2871">
        <v>7.1</v>
      </c>
      <c r="J2871" t="s">
        <v>9521</v>
      </c>
    </row>
    <row r="2872" spans="1:10" x14ac:dyDescent="0.3">
      <c r="A2872">
        <v>107</v>
      </c>
      <c r="B2872">
        <v>18090181</v>
      </c>
      <c r="C2872" t="s">
        <v>1101</v>
      </c>
      <c r="D2872" t="s">
        <v>6480</v>
      </c>
      <c r="E2872" t="s">
        <v>6481</v>
      </c>
      <c r="F2872" t="s">
        <v>7</v>
      </c>
      <c r="G2872" t="s">
        <v>8</v>
      </c>
      <c r="H2872">
        <v>8000000</v>
      </c>
      <c r="I2872">
        <v>7.4</v>
      </c>
      <c r="J2872" t="s">
        <v>8404</v>
      </c>
    </row>
    <row r="2873" spans="1:10" x14ac:dyDescent="0.3">
      <c r="A2873">
        <v>91</v>
      </c>
      <c r="B2873">
        <v>17843379</v>
      </c>
      <c r="C2873" t="s">
        <v>561</v>
      </c>
      <c r="D2873" t="s">
        <v>6482</v>
      </c>
      <c r="E2873" t="s">
        <v>6483</v>
      </c>
      <c r="F2873" t="s">
        <v>7</v>
      </c>
      <c r="G2873" t="s">
        <v>8</v>
      </c>
      <c r="H2873">
        <v>8000000</v>
      </c>
      <c r="I2873">
        <v>6.5</v>
      </c>
      <c r="J2873" t="s">
        <v>9522</v>
      </c>
    </row>
    <row r="2874" spans="1:10" x14ac:dyDescent="0.3">
      <c r="A2874">
        <v>82</v>
      </c>
      <c r="B2874">
        <v>17278980</v>
      </c>
      <c r="C2874" t="s">
        <v>386</v>
      </c>
      <c r="D2874" t="s">
        <v>6484</v>
      </c>
      <c r="E2874" t="s">
        <v>6485</v>
      </c>
      <c r="F2874" t="s">
        <v>7</v>
      </c>
      <c r="G2874" t="s">
        <v>8</v>
      </c>
      <c r="H2874">
        <v>8000000</v>
      </c>
      <c r="I2874">
        <v>6.5</v>
      </c>
      <c r="J2874" t="s">
        <v>8837</v>
      </c>
    </row>
    <row r="2875" spans="1:10" x14ac:dyDescent="0.3">
      <c r="A2875">
        <v>97</v>
      </c>
      <c r="B2875">
        <v>16699684</v>
      </c>
      <c r="C2875" t="s">
        <v>672</v>
      </c>
      <c r="D2875" t="s">
        <v>6486</v>
      </c>
      <c r="E2875" t="s">
        <v>6487</v>
      </c>
      <c r="F2875" t="s">
        <v>7</v>
      </c>
      <c r="G2875" t="s">
        <v>8</v>
      </c>
      <c r="H2875">
        <v>8000000</v>
      </c>
      <c r="I2875">
        <v>6.8</v>
      </c>
      <c r="J2875" t="s">
        <v>9523</v>
      </c>
    </row>
    <row r="2876" spans="1:10" x14ac:dyDescent="0.3">
      <c r="A2876">
        <v>102</v>
      </c>
      <c r="B2876">
        <v>15047419</v>
      </c>
      <c r="C2876" t="s">
        <v>786</v>
      </c>
      <c r="D2876" t="s">
        <v>6488</v>
      </c>
      <c r="E2876" t="s">
        <v>6489</v>
      </c>
      <c r="F2876" t="s">
        <v>7</v>
      </c>
      <c r="G2876" t="s">
        <v>8</v>
      </c>
      <c r="H2876">
        <v>7000000</v>
      </c>
      <c r="I2876">
        <v>7.5</v>
      </c>
      <c r="J2876" t="s">
        <v>8462</v>
      </c>
    </row>
    <row r="2877" spans="1:10" x14ac:dyDescent="0.3">
      <c r="A2877">
        <v>93</v>
      </c>
      <c r="B2877">
        <v>14015786</v>
      </c>
      <c r="C2877" t="s">
        <v>73</v>
      </c>
      <c r="D2877" t="s">
        <v>6490</v>
      </c>
      <c r="E2877" t="s">
        <v>6491</v>
      </c>
      <c r="F2877" t="s">
        <v>7</v>
      </c>
      <c r="G2877" t="s">
        <v>8</v>
      </c>
      <c r="H2877">
        <v>5000000</v>
      </c>
      <c r="I2877">
        <v>6.6</v>
      </c>
      <c r="J2877" t="s">
        <v>8750</v>
      </c>
    </row>
    <row r="2878" spans="1:10" x14ac:dyDescent="0.3">
      <c r="A2878">
        <v>138</v>
      </c>
      <c r="B2878">
        <v>10269307</v>
      </c>
      <c r="C2878" t="s">
        <v>118</v>
      </c>
      <c r="D2878" t="s">
        <v>6492</v>
      </c>
      <c r="E2878" t="s">
        <v>6493</v>
      </c>
      <c r="F2878" t="s">
        <v>7</v>
      </c>
      <c r="G2878" t="s">
        <v>8</v>
      </c>
      <c r="H2878">
        <v>8000000</v>
      </c>
      <c r="I2878">
        <v>7.1</v>
      </c>
      <c r="J2878" t="s">
        <v>8441</v>
      </c>
    </row>
    <row r="2879" spans="1:10" x14ac:dyDescent="0.3">
      <c r="A2879">
        <v>93</v>
      </c>
      <c r="B2879">
        <v>17536788</v>
      </c>
      <c r="C2879" t="s">
        <v>561</v>
      </c>
      <c r="D2879" t="s">
        <v>6494</v>
      </c>
      <c r="E2879" t="s">
        <v>6495</v>
      </c>
      <c r="F2879" t="s">
        <v>7</v>
      </c>
      <c r="G2879" t="s">
        <v>8</v>
      </c>
      <c r="H2879">
        <v>8000000</v>
      </c>
      <c r="I2879">
        <v>6.6</v>
      </c>
      <c r="J2879" t="s">
        <v>8824</v>
      </c>
    </row>
    <row r="2880" spans="1:10" x14ac:dyDescent="0.3">
      <c r="A2880">
        <v>92</v>
      </c>
      <c r="B2880">
        <v>58401464</v>
      </c>
      <c r="C2880" t="s">
        <v>672</v>
      </c>
      <c r="D2880" t="s">
        <v>6496</v>
      </c>
      <c r="E2880" t="s">
        <v>6497</v>
      </c>
      <c r="F2880" t="s">
        <v>7</v>
      </c>
      <c r="G2880" t="s">
        <v>8</v>
      </c>
      <c r="H2880">
        <v>8000000</v>
      </c>
      <c r="I2880">
        <v>7</v>
      </c>
      <c r="J2880" t="s">
        <v>8548</v>
      </c>
    </row>
    <row r="2881" spans="1:10" x14ac:dyDescent="0.3">
      <c r="A2881">
        <v>92</v>
      </c>
      <c r="B2881">
        <v>8279017</v>
      </c>
      <c r="C2881" t="s">
        <v>4858</v>
      </c>
      <c r="D2881" t="s">
        <v>6498</v>
      </c>
      <c r="E2881" t="s">
        <v>6499</v>
      </c>
      <c r="F2881" t="s">
        <v>7</v>
      </c>
      <c r="G2881" t="s">
        <v>15</v>
      </c>
      <c r="H2881">
        <v>8000000</v>
      </c>
      <c r="I2881">
        <v>3.3</v>
      </c>
      <c r="J2881" t="s">
        <v>9524</v>
      </c>
    </row>
    <row r="2882" spans="1:10" x14ac:dyDescent="0.3">
      <c r="A2882">
        <v>104</v>
      </c>
      <c r="B2882">
        <v>10106233</v>
      </c>
      <c r="C2882" t="s">
        <v>1040</v>
      </c>
      <c r="D2882" t="s">
        <v>6500</v>
      </c>
      <c r="E2882" t="s">
        <v>6501</v>
      </c>
      <c r="F2882" t="s">
        <v>7</v>
      </c>
      <c r="G2882" t="s">
        <v>8</v>
      </c>
      <c r="H2882">
        <v>8000000</v>
      </c>
      <c r="I2882">
        <v>6.7</v>
      </c>
      <c r="J2882" t="s">
        <v>9525</v>
      </c>
    </row>
    <row r="2883" spans="1:10" x14ac:dyDescent="0.3">
      <c r="A2883">
        <v>89</v>
      </c>
      <c r="B2883">
        <v>4692814</v>
      </c>
      <c r="C2883" t="s">
        <v>668</v>
      </c>
      <c r="D2883" t="s">
        <v>6502</v>
      </c>
      <c r="E2883" t="s">
        <v>6503</v>
      </c>
      <c r="F2883" t="s">
        <v>7</v>
      </c>
      <c r="G2883" t="s">
        <v>8</v>
      </c>
      <c r="H2883">
        <v>8000000</v>
      </c>
      <c r="I2883">
        <v>8</v>
      </c>
      <c r="J2883" t="s">
        <v>9526</v>
      </c>
    </row>
    <row r="2884" spans="1:10" x14ac:dyDescent="0.3">
      <c r="A2884">
        <v>92</v>
      </c>
      <c r="B2884">
        <v>5018450</v>
      </c>
      <c r="C2884" t="s">
        <v>1511</v>
      </c>
      <c r="D2884" t="s">
        <v>6504</v>
      </c>
      <c r="E2884" t="s">
        <v>6505</v>
      </c>
      <c r="F2884" t="s">
        <v>7</v>
      </c>
      <c r="G2884" t="s">
        <v>8</v>
      </c>
      <c r="H2884">
        <v>8000000</v>
      </c>
      <c r="I2884">
        <v>6.8</v>
      </c>
      <c r="J2884" t="s">
        <v>9434</v>
      </c>
    </row>
    <row r="2885" spans="1:10" x14ac:dyDescent="0.3">
      <c r="A2885">
        <v>90</v>
      </c>
      <c r="B2885">
        <v>3442820</v>
      </c>
      <c r="C2885" t="s">
        <v>6506</v>
      </c>
      <c r="D2885" t="s">
        <v>6507</v>
      </c>
      <c r="E2885" t="s">
        <v>6508</v>
      </c>
      <c r="F2885" t="s">
        <v>7</v>
      </c>
      <c r="G2885" t="s">
        <v>8</v>
      </c>
      <c r="H2885">
        <v>8000000</v>
      </c>
      <c r="I2885">
        <v>6</v>
      </c>
      <c r="J2885" t="s">
        <v>9527</v>
      </c>
    </row>
    <row r="2886" spans="1:10" x14ac:dyDescent="0.3">
      <c r="A2886">
        <v>129</v>
      </c>
      <c r="B2886">
        <v>3205244</v>
      </c>
      <c r="C2886" t="s">
        <v>1040</v>
      </c>
      <c r="D2886" t="s">
        <v>6509</v>
      </c>
      <c r="E2886" t="s">
        <v>6510</v>
      </c>
      <c r="F2886" t="s">
        <v>7</v>
      </c>
      <c r="G2886" t="s">
        <v>15</v>
      </c>
      <c r="H2886">
        <v>10000000</v>
      </c>
      <c r="I2886">
        <v>5.4</v>
      </c>
      <c r="J2886" t="s">
        <v>9528</v>
      </c>
    </row>
    <row r="2887" spans="1:10" x14ac:dyDescent="0.3">
      <c r="A2887">
        <v>111</v>
      </c>
      <c r="B2887">
        <v>3076425</v>
      </c>
      <c r="C2887" t="s">
        <v>6511</v>
      </c>
      <c r="D2887" t="s">
        <v>6512</v>
      </c>
      <c r="E2887" t="s">
        <v>6513</v>
      </c>
      <c r="F2887" t="s">
        <v>582</v>
      </c>
      <c r="G2887" t="s">
        <v>583</v>
      </c>
      <c r="H2887">
        <v>8000000</v>
      </c>
      <c r="I2887">
        <v>4.3</v>
      </c>
      <c r="J2887" t="s">
        <v>9529</v>
      </c>
    </row>
    <row r="2888" spans="1:10" x14ac:dyDescent="0.3">
      <c r="A2888">
        <v>79</v>
      </c>
      <c r="B2888">
        <v>2275557</v>
      </c>
      <c r="C2888" t="s">
        <v>148</v>
      </c>
      <c r="D2888" t="s">
        <v>6514</v>
      </c>
      <c r="E2888" t="s">
        <v>6515</v>
      </c>
      <c r="F2888" t="s">
        <v>7</v>
      </c>
      <c r="G2888" t="s">
        <v>8</v>
      </c>
      <c r="H2888">
        <v>8000000</v>
      </c>
      <c r="I2888">
        <v>6.2</v>
      </c>
      <c r="J2888" t="s">
        <v>8694</v>
      </c>
    </row>
    <row r="2889" spans="1:10" x14ac:dyDescent="0.3">
      <c r="A2889">
        <v>104</v>
      </c>
      <c r="B2889">
        <v>1789892</v>
      </c>
      <c r="C2889" t="s">
        <v>386</v>
      </c>
      <c r="D2889" t="s">
        <v>6516</v>
      </c>
      <c r="E2889" t="s">
        <v>6517</v>
      </c>
      <c r="F2889" t="s">
        <v>7</v>
      </c>
      <c r="G2889" t="s">
        <v>284</v>
      </c>
      <c r="H2889">
        <v>8000000</v>
      </c>
      <c r="I2889">
        <v>7.7</v>
      </c>
      <c r="J2889" t="s">
        <v>9530</v>
      </c>
    </row>
    <row r="2890" spans="1:10" x14ac:dyDescent="0.3">
      <c r="A2890">
        <v>101</v>
      </c>
      <c r="B2890">
        <v>6350058</v>
      </c>
      <c r="C2890" t="s">
        <v>561</v>
      </c>
      <c r="D2890" t="s">
        <v>6518</v>
      </c>
      <c r="E2890" t="s">
        <v>6519</v>
      </c>
      <c r="F2890" t="s">
        <v>7</v>
      </c>
      <c r="G2890" t="s">
        <v>8</v>
      </c>
      <c r="H2890">
        <v>8000000</v>
      </c>
      <c r="I2890">
        <v>8</v>
      </c>
      <c r="J2890" t="s">
        <v>8324</v>
      </c>
    </row>
    <row r="2891" spans="1:10" x14ac:dyDescent="0.3">
      <c r="A2891">
        <v>113</v>
      </c>
      <c r="B2891">
        <v>1094798</v>
      </c>
      <c r="C2891" t="s">
        <v>1266</v>
      </c>
      <c r="D2891" t="s">
        <v>6520</v>
      </c>
      <c r="E2891" t="s">
        <v>6521</v>
      </c>
      <c r="F2891" t="s">
        <v>7</v>
      </c>
      <c r="G2891" t="s">
        <v>15</v>
      </c>
      <c r="H2891">
        <v>7200000</v>
      </c>
      <c r="I2891">
        <v>7.4</v>
      </c>
      <c r="J2891" t="s">
        <v>8801</v>
      </c>
    </row>
    <row r="2892" spans="1:10" x14ac:dyDescent="0.3">
      <c r="A2892">
        <v>92</v>
      </c>
      <c r="B2892">
        <v>1071240</v>
      </c>
      <c r="C2892" t="s">
        <v>617</v>
      </c>
      <c r="D2892" t="s">
        <v>6522</v>
      </c>
      <c r="E2892" t="s">
        <v>6523</v>
      </c>
      <c r="F2892" t="s">
        <v>7</v>
      </c>
      <c r="G2892" t="s">
        <v>15</v>
      </c>
      <c r="H2892">
        <v>8000000</v>
      </c>
      <c r="I2892">
        <v>5.9</v>
      </c>
      <c r="J2892" t="s">
        <v>9531</v>
      </c>
    </row>
    <row r="2893" spans="1:10" x14ac:dyDescent="0.3">
      <c r="A2893">
        <v>106</v>
      </c>
      <c r="B2893">
        <v>532190</v>
      </c>
      <c r="C2893" t="s">
        <v>2933</v>
      </c>
      <c r="D2893" t="s">
        <v>6524</v>
      </c>
      <c r="E2893" t="s">
        <v>6525</v>
      </c>
      <c r="F2893" t="s">
        <v>7</v>
      </c>
      <c r="G2893" t="s">
        <v>8</v>
      </c>
      <c r="H2893">
        <v>8000000</v>
      </c>
      <c r="I2893">
        <v>7.8</v>
      </c>
      <c r="J2893" t="s">
        <v>9532</v>
      </c>
    </row>
    <row r="2894" spans="1:10" x14ac:dyDescent="0.3">
      <c r="A2894">
        <v>75</v>
      </c>
      <c r="B2894">
        <v>686383</v>
      </c>
      <c r="C2894" t="s">
        <v>230</v>
      </c>
      <c r="D2894" t="s">
        <v>6526</v>
      </c>
      <c r="E2894" t="s">
        <v>6527</v>
      </c>
      <c r="F2894" t="s">
        <v>7</v>
      </c>
      <c r="G2894" t="s">
        <v>583</v>
      </c>
      <c r="H2894">
        <v>6500000</v>
      </c>
      <c r="I2894">
        <v>7.4</v>
      </c>
      <c r="J2894" t="s">
        <v>8683</v>
      </c>
    </row>
    <row r="2895" spans="1:10" x14ac:dyDescent="0.3">
      <c r="A2895">
        <v>104</v>
      </c>
      <c r="B2895">
        <v>16168741</v>
      </c>
      <c r="C2895" t="s">
        <v>2605</v>
      </c>
      <c r="D2895" t="s">
        <v>6528</v>
      </c>
      <c r="E2895" t="s">
        <v>6529</v>
      </c>
      <c r="F2895" t="s">
        <v>7</v>
      </c>
      <c r="G2895" t="s">
        <v>8</v>
      </c>
      <c r="H2895">
        <v>8000000</v>
      </c>
      <c r="I2895">
        <v>6.5</v>
      </c>
      <c r="J2895" t="s">
        <v>8909</v>
      </c>
    </row>
    <row r="2896" spans="1:10" x14ac:dyDescent="0.3">
      <c r="A2896">
        <v>108</v>
      </c>
      <c r="B2896">
        <v>568695</v>
      </c>
      <c r="C2896" t="s">
        <v>3768</v>
      </c>
      <c r="D2896" t="s">
        <v>6530</v>
      </c>
      <c r="E2896" t="s">
        <v>6531</v>
      </c>
      <c r="F2896" t="s">
        <v>7</v>
      </c>
      <c r="G2896" t="s">
        <v>8</v>
      </c>
      <c r="H2896">
        <v>8000000</v>
      </c>
      <c r="I2896">
        <v>5.4</v>
      </c>
      <c r="J2896" t="s">
        <v>8700</v>
      </c>
    </row>
    <row r="2897" spans="1:10" x14ac:dyDescent="0.3">
      <c r="A2897">
        <v>99</v>
      </c>
      <c r="B2897">
        <v>398420</v>
      </c>
      <c r="C2897" t="s">
        <v>786</v>
      </c>
      <c r="D2897" t="s">
        <v>6532</v>
      </c>
      <c r="E2897" t="s">
        <v>6533</v>
      </c>
      <c r="F2897" t="s">
        <v>7</v>
      </c>
      <c r="G2897" t="s">
        <v>8</v>
      </c>
      <c r="H2897">
        <v>8000000</v>
      </c>
      <c r="I2897">
        <v>7</v>
      </c>
      <c r="J2897" t="s">
        <v>8680</v>
      </c>
    </row>
    <row r="2898" spans="1:10" x14ac:dyDescent="0.3">
      <c r="A2898">
        <v>93</v>
      </c>
      <c r="B2898">
        <v>298110</v>
      </c>
      <c r="C2898" t="s">
        <v>5924</v>
      </c>
      <c r="D2898" t="s">
        <v>6534</v>
      </c>
      <c r="E2898" t="s">
        <v>6535</v>
      </c>
      <c r="F2898" t="s">
        <v>7</v>
      </c>
      <c r="G2898" t="s">
        <v>95</v>
      </c>
      <c r="H2898">
        <v>8000000</v>
      </c>
      <c r="I2898">
        <v>7.6</v>
      </c>
      <c r="J2898" t="s">
        <v>8784</v>
      </c>
    </row>
    <row r="2899" spans="1:10" x14ac:dyDescent="0.3">
      <c r="A2899">
        <v>99</v>
      </c>
      <c r="B2899">
        <v>127144</v>
      </c>
      <c r="C2899" t="s">
        <v>561</v>
      </c>
      <c r="D2899" t="s">
        <v>6536</v>
      </c>
      <c r="E2899" t="s">
        <v>6537</v>
      </c>
      <c r="F2899" t="s">
        <v>7</v>
      </c>
      <c r="G2899" t="s">
        <v>8</v>
      </c>
      <c r="H2899">
        <v>8000000</v>
      </c>
      <c r="I2899">
        <v>6.9</v>
      </c>
      <c r="J2899" t="s">
        <v>9227</v>
      </c>
    </row>
    <row r="2900" spans="1:10" x14ac:dyDescent="0.3">
      <c r="A2900">
        <v>98</v>
      </c>
      <c r="B2900">
        <v>117190</v>
      </c>
      <c r="C2900" t="s">
        <v>704</v>
      </c>
      <c r="D2900" t="s">
        <v>6538</v>
      </c>
      <c r="E2900" t="s">
        <v>6539</v>
      </c>
      <c r="F2900" t="s">
        <v>7</v>
      </c>
      <c r="G2900" t="s">
        <v>15</v>
      </c>
      <c r="H2900">
        <v>8000000</v>
      </c>
      <c r="I2900">
        <v>7</v>
      </c>
      <c r="J2900" t="s">
        <v>9526</v>
      </c>
    </row>
    <row r="2901" spans="1:10" x14ac:dyDescent="0.3">
      <c r="A2901">
        <v>95</v>
      </c>
      <c r="B2901">
        <v>108662</v>
      </c>
      <c r="C2901" t="s">
        <v>2869</v>
      </c>
      <c r="D2901" t="s">
        <v>6540</v>
      </c>
      <c r="E2901" t="s">
        <v>6541</v>
      </c>
      <c r="F2901" t="s">
        <v>7</v>
      </c>
      <c r="G2901" t="s">
        <v>8</v>
      </c>
      <c r="H2901">
        <v>8000000</v>
      </c>
      <c r="I2901">
        <v>5.3</v>
      </c>
      <c r="J2901" t="s">
        <v>9398</v>
      </c>
    </row>
    <row r="2902" spans="1:10" x14ac:dyDescent="0.3">
      <c r="A2902">
        <v>107</v>
      </c>
      <c r="B2902">
        <v>53481</v>
      </c>
      <c r="C2902" t="s">
        <v>873</v>
      </c>
      <c r="D2902" t="s">
        <v>6542</v>
      </c>
      <c r="E2902" t="s">
        <v>6543</v>
      </c>
      <c r="F2902" t="s">
        <v>7</v>
      </c>
      <c r="G2902" t="s">
        <v>8</v>
      </c>
      <c r="H2902">
        <v>8000000</v>
      </c>
      <c r="I2902">
        <v>6.4</v>
      </c>
      <c r="J2902" t="s">
        <v>9533</v>
      </c>
    </row>
    <row r="2903" spans="1:10" x14ac:dyDescent="0.3">
      <c r="A2903">
        <v>102</v>
      </c>
      <c r="B2903">
        <v>23106</v>
      </c>
      <c r="C2903" t="s">
        <v>1292</v>
      </c>
      <c r="D2903" t="s">
        <v>6544</v>
      </c>
      <c r="E2903" t="s">
        <v>6545</v>
      </c>
      <c r="F2903" t="s">
        <v>7</v>
      </c>
      <c r="G2903" t="s">
        <v>2993</v>
      </c>
      <c r="H2903">
        <v>50000000</v>
      </c>
      <c r="I2903">
        <v>4.5</v>
      </c>
      <c r="J2903" t="s">
        <v>9534</v>
      </c>
    </row>
    <row r="2904" spans="1:10" x14ac:dyDescent="0.3">
      <c r="A2904">
        <v>97</v>
      </c>
      <c r="B2904">
        <v>52961</v>
      </c>
      <c r="C2904" t="s">
        <v>1417</v>
      </c>
      <c r="D2904" t="s">
        <v>6546</v>
      </c>
      <c r="E2904" t="s">
        <v>6547</v>
      </c>
      <c r="F2904" t="s">
        <v>7</v>
      </c>
      <c r="G2904" t="s">
        <v>1488</v>
      </c>
      <c r="H2904">
        <v>8000000</v>
      </c>
      <c r="I2904">
        <v>7.8</v>
      </c>
      <c r="J2904" t="s">
        <v>8983</v>
      </c>
    </row>
    <row r="2905" spans="1:10" x14ac:dyDescent="0.3">
      <c r="A2905">
        <v>124</v>
      </c>
      <c r="B2905">
        <v>439162</v>
      </c>
      <c r="C2905" t="s">
        <v>6548</v>
      </c>
      <c r="D2905" t="s">
        <v>6549</v>
      </c>
      <c r="E2905" t="s">
        <v>6550</v>
      </c>
      <c r="F2905" t="s">
        <v>247</v>
      </c>
      <c r="G2905" t="s">
        <v>248</v>
      </c>
      <c r="H2905">
        <v>1100000000</v>
      </c>
      <c r="I2905">
        <v>6.7</v>
      </c>
      <c r="J2905" t="s">
        <v>9535</v>
      </c>
    </row>
    <row r="2906" spans="1:10" x14ac:dyDescent="0.3">
      <c r="A2906">
        <v>90</v>
      </c>
      <c r="B2906">
        <v>671240</v>
      </c>
      <c r="C2906" t="s">
        <v>561</v>
      </c>
      <c r="D2906" t="s">
        <v>6551</v>
      </c>
      <c r="E2906" t="s">
        <v>6552</v>
      </c>
      <c r="F2906" t="s">
        <v>7</v>
      </c>
      <c r="G2906" t="s">
        <v>15</v>
      </c>
      <c r="H2906">
        <v>7900000</v>
      </c>
      <c r="I2906">
        <v>5.3</v>
      </c>
      <c r="J2906" t="s">
        <v>8637</v>
      </c>
    </row>
    <row r="2907" spans="1:10" x14ac:dyDescent="0.3">
      <c r="A2907">
        <v>90</v>
      </c>
      <c r="B2907">
        <v>882290</v>
      </c>
      <c r="C2907" t="s">
        <v>1450</v>
      </c>
      <c r="D2907" t="s">
        <v>6553</v>
      </c>
      <c r="E2907" t="s">
        <v>6554</v>
      </c>
      <c r="F2907" t="s">
        <v>7</v>
      </c>
      <c r="G2907" t="s">
        <v>132</v>
      </c>
      <c r="H2907">
        <v>10000000</v>
      </c>
      <c r="I2907">
        <v>6.3</v>
      </c>
      <c r="J2907" t="s">
        <v>8982</v>
      </c>
    </row>
    <row r="2908" spans="1:10" x14ac:dyDescent="0.3">
      <c r="A2908">
        <v>99</v>
      </c>
      <c r="B2908">
        <v>106593296</v>
      </c>
      <c r="C2908" t="s">
        <v>1641</v>
      </c>
      <c r="D2908" t="s">
        <v>6555</v>
      </c>
      <c r="E2908" t="s">
        <v>6556</v>
      </c>
      <c r="F2908" t="s">
        <v>7</v>
      </c>
      <c r="G2908" t="s">
        <v>8</v>
      </c>
      <c r="H2908">
        <v>7500000</v>
      </c>
      <c r="I2908">
        <v>7</v>
      </c>
      <c r="J2908" t="s">
        <v>8689</v>
      </c>
    </row>
    <row r="2909" spans="1:10" x14ac:dyDescent="0.3">
      <c r="A2909">
        <v>115</v>
      </c>
      <c r="B2909">
        <v>43490057</v>
      </c>
      <c r="C2909" t="s">
        <v>1040</v>
      </c>
      <c r="D2909" t="s">
        <v>6557</v>
      </c>
      <c r="E2909" t="s">
        <v>6558</v>
      </c>
      <c r="F2909" t="s">
        <v>7</v>
      </c>
      <c r="G2909" t="s">
        <v>8</v>
      </c>
      <c r="H2909">
        <v>7500000</v>
      </c>
      <c r="I2909">
        <v>5.3</v>
      </c>
      <c r="J2909" t="s">
        <v>9536</v>
      </c>
    </row>
    <row r="2910" spans="1:10" x14ac:dyDescent="0.3">
      <c r="A2910">
        <v>89</v>
      </c>
      <c r="B2910">
        <v>32333860</v>
      </c>
      <c r="C2910" t="s">
        <v>879</v>
      </c>
      <c r="D2910" t="s">
        <v>6559</v>
      </c>
      <c r="E2910" t="s">
        <v>6560</v>
      </c>
      <c r="F2910" t="s">
        <v>3064</v>
      </c>
      <c r="G2910" t="s">
        <v>1607</v>
      </c>
      <c r="H2910">
        <v>7500000</v>
      </c>
      <c r="I2910">
        <v>6.6</v>
      </c>
      <c r="J2910" t="s">
        <v>8770</v>
      </c>
    </row>
    <row r="2911" spans="1:10" x14ac:dyDescent="0.3">
      <c r="A2911">
        <v>92</v>
      </c>
      <c r="B2911">
        <v>24792061</v>
      </c>
      <c r="C2911" t="s">
        <v>1040</v>
      </c>
      <c r="D2911" t="s">
        <v>6561</v>
      </c>
      <c r="E2911" t="s">
        <v>6562</v>
      </c>
      <c r="F2911" t="s">
        <v>7</v>
      </c>
      <c r="G2911" t="s">
        <v>8</v>
      </c>
      <c r="H2911">
        <v>6500000</v>
      </c>
      <c r="I2911">
        <v>5.8</v>
      </c>
      <c r="J2911" t="s">
        <v>9064</v>
      </c>
    </row>
    <row r="2912" spans="1:10" x14ac:dyDescent="0.3">
      <c r="A2912">
        <v>94</v>
      </c>
      <c r="B2912">
        <v>17544812</v>
      </c>
      <c r="C2912" t="s">
        <v>2701</v>
      </c>
      <c r="D2912" t="s">
        <v>6563</v>
      </c>
      <c r="E2912" t="s">
        <v>6564</v>
      </c>
      <c r="F2912" t="s">
        <v>7</v>
      </c>
      <c r="G2912" t="s">
        <v>8</v>
      </c>
      <c r="H2912">
        <v>10000000</v>
      </c>
      <c r="I2912">
        <v>6.7</v>
      </c>
      <c r="J2912" t="s">
        <v>8543</v>
      </c>
    </row>
    <row r="2913" spans="1:10" x14ac:dyDescent="0.3">
      <c r="A2913">
        <v>100</v>
      </c>
      <c r="B2913">
        <v>12574715</v>
      </c>
      <c r="C2913" t="s">
        <v>1417</v>
      </c>
      <c r="D2913" t="s">
        <v>6565</v>
      </c>
      <c r="E2913" t="s">
        <v>6566</v>
      </c>
      <c r="F2913" t="s">
        <v>7</v>
      </c>
      <c r="G2913" t="s">
        <v>15</v>
      </c>
      <c r="H2913">
        <v>4500000</v>
      </c>
      <c r="I2913">
        <v>6.6</v>
      </c>
      <c r="J2913" t="s">
        <v>9077</v>
      </c>
    </row>
    <row r="2914" spans="1:10" x14ac:dyDescent="0.3">
      <c r="A2914">
        <v>109</v>
      </c>
      <c r="B2914">
        <v>5100000</v>
      </c>
      <c r="C2914" t="s">
        <v>561</v>
      </c>
      <c r="D2914" t="s">
        <v>6567</v>
      </c>
      <c r="E2914" t="s">
        <v>6568</v>
      </c>
      <c r="F2914" t="s">
        <v>7</v>
      </c>
      <c r="G2914" t="s">
        <v>15</v>
      </c>
      <c r="H2914">
        <v>7500000</v>
      </c>
      <c r="I2914">
        <v>7</v>
      </c>
      <c r="J2914" t="s">
        <v>8760</v>
      </c>
    </row>
    <row r="2915" spans="1:10" x14ac:dyDescent="0.3">
      <c r="A2915">
        <v>105</v>
      </c>
      <c r="B2915">
        <v>10460089</v>
      </c>
      <c r="C2915" t="s">
        <v>882</v>
      </c>
      <c r="D2915" t="s">
        <v>6569</v>
      </c>
      <c r="E2915" t="s">
        <v>6570</v>
      </c>
      <c r="F2915" t="s">
        <v>7</v>
      </c>
      <c r="G2915" t="s">
        <v>8</v>
      </c>
      <c r="H2915">
        <v>7500000</v>
      </c>
      <c r="I2915">
        <v>8.4</v>
      </c>
      <c r="J2915" t="s">
        <v>8366</v>
      </c>
    </row>
    <row r="2916" spans="1:10" x14ac:dyDescent="0.3">
      <c r="A2916">
        <v>102</v>
      </c>
      <c r="B2916">
        <v>4239767</v>
      </c>
      <c r="C2916" t="s">
        <v>1872</v>
      </c>
      <c r="D2916" t="s">
        <v>6571</v>
      </c>
      <c r="E2916" t="s">
        <v>6572</v>
      </c>
      <c r="F2916" t="s">
        <v>7</v>
      </c>
      <c r="G2916" t="s">
        <v>95</v>
      </c>
      <c r="H2916">
        <v>7500000</v>
      </c>
      <c r="I2916">
        <v>6</v>
      </c>
      <c r="J2916" t="s">
        <v>8492</v>
      </c>
    </row>
    <row r="2917" spans="1:10" x14ac:dyDescent="0.3">
      <c r="A2917">
        <v>97</v>
      </c>
      <c r="B2917">
        <v>4131640</v>
      </c>
      <c r="C2917" t="s">
        <v>386</v>
      </c>
      <c r="D2917" t="s">
        <v>6573</v>
      </c>
      <c r="E2917" t="s">
        <v>6574</v>
      </c>
      <c r="F2917" t="s">
        <v>7</v>
      </c>
      <c r="G2917" t="s">
        <v>8</v>
      </c>
      <c r="H2917">
        <v>7500000</v>
      </c>
      <c r="I2917">
        <v>5.4</v>
      </c>
      <c r="J2917" t="s">
        <v>9537</v>
      </c>
    </row>
    <row r="2918" spans="1:10" x14ac:dyDescent="0.3">
      <c r="A2918">
        <v>118</v>
      </c>
      <c r="B2918">
        <v>3347439</v>
      </c>
      <c r="C2918" t="s">
        <v>73</v>
      </c>
      <c r="D2918" t="s">
        <v>6575</v>
      </c>
      <c r="E2918" t="s">
        <v>6576</v>
      </c>
      <c r="F2918" t="s">
        <v>7</v>
      </c>
      <c r="G2918" t="s">
        <v>8</v>
      </c>
      <c r="H2918">
        <v>7500000</v>
      </c>
      <c r="I2918">
        <v>7.8</v>
      </c>
      <c r="J2918" t="s">
        <v>8775</v>
      </c>
    </row>
    <row r="2919" spans="1:10" x14ac:dyDescent="0.3">
      <c r="A2919">
        <v>92</v>
      </c>
      <c r="B2919">
        <v>10814185</v>
      </c>
      <c r="C2919" t="s">
        <v>1782</v>
      </c>
      <c r="D2919" t="s">
        <v>6577</v>
      </c>
      <c r="E2919" t="s">
        <v>6578</v>
      </c>
      <c r="F2919" t="s">
        <v>7</v>
      </c>
      <c r="G2919" t="s">
        <v>8</v>
      </c>
      <c r="H2919">
        <v>8000000</v>
      </c>
      <c r="I2919">
        <v>7.6</v>
      </c>
      <c r="J2919" t="s">
        <v>8480</v>
      </c>
    </row>
    <row r="2920" spans="1:10" x14ac:dyDescent="0.3">
      <c r="A2920">
        <v>103</v>
      </c>
      <c r="B2920">
        <v>206400</v>
      </c>
      <c r="C2920" t="s">
        <v>6467</v>
      </c>
      <c r="D2920" t="s">
        <v>6579</v>
      </c>
      <c r="E2920" t="s">
        <v>6580</v>
      </c>
      <c r="F2920" t="s">
        <v>582</v>
      </c>
      <c r="G2920" t="s">
        <v>583</v>
      </c>
      <c r="H2920">
        <v>50000000</v>
      </c>
      <c r="I2920">
        <v>6.6</v>
      </c>
      <c r="J2920" t="s">
        <v>9538</v>
      </c>
    </row>
    <row r="2921" spans="1:10" x14ac:dyDescent="0.3">
      <c r="A2921">
        <v>93</v>
      </c>
      <c r="B2921">
        <v>197148</v>
      </c>
      <c r="C2921" t="s">
        <v>6581</v>
      </c>
      <c r="D2921" t="s">
        <v>6582</v>
      </c>
      <c r="E2921" t="s">
        <v>6583</v>
      </c>
      <c r="F2921" t="s">
        <v>7</v>
      </c>
      <c r="G2921" t="s">
        <v>15</v>
      </c>
      <c r="H2921">
        <v>7500000</v>
      </c>
      <c r="I2921">
        <v>6.4</v>
      </c>
      <c r="J2921" t="s">
        <v>9539</v>
      </c>
    </row>
    <row r="2922" spans="1:10" x14ac:dyDescent="0.3">
      <c r="A2922">
        <v>113</v>
      </c>
      <c r="B2922">
        <v>3014541</v>
      </c>
      <c r="C2922" t="s">
        <v>1417</v>
      </c>
      <c r="D2922" t="s">
        <v>6584</v>
      </c>
      <c r="E2922" t="s">
        <v>6585</v>
      </c>
      <c r="F2922" t="s">
        <v>7</v>
      </c>
      <c r="G2922" t="s">
        <v>15</v>
      </c>
      <c r="H2922">
        <v>8000000</v>
      </c>
      <c r="I2922">
        <v>7</v>
      </c>
      <c r="J2922" t="s">
        <v>9540</v>
      </c>
    </row>
    <row r="2923" spans="1:10" x14ac:dyDescent="0.3">
      <c r="A2923">
        <v>153</v>
      </c>
      <c r="B2923">
        <v>872643</v>
      </c>
      <c r="C2923" t="s">
        <v>1126</v>
      </c>
      <c r="D2923" t="s">
        <v>6586</v>
      </c>
      <c r="E2923" t="s">
        <v>6587</v>
      </c>
      <c r="F2923" t="s">
        <v>2354</v>
      </c>
      <c r="G2923" t="s">
        <v>8</v>
      </c>
      <c r="H2923">
        <v>6000000</v>
      </c>
      <c r="I2923">
        <v>5.7</v>
      </c>
      <c r="J2923" t="s">
        <v>9541</v>
      </c>
    </row>
    <row r="2924" spans="1:10" x14ac:dyDescent="0.3">
      <c r="A2924">
        <v>89</v>
      </c>
      <c r="B2924">
        <v>4443403</v>
      </c>
      <c r="C2924" t="s">
        <v>6588</v>
      </c>
      <c r="D2924" t="s">
        <v>6589</v>
      </c>
      <c r="E2924" t="s">
        <v>6590</v>
      </c>
      <c r="F2924" t="s">
        <v>582</v>
      </c>
      <c r="G2924" t="s">
        <v>583</v>
      </c>
      <c r="H2924">
        <v>7300000</v>
      </c>
      <c r="I2924">
        <v>5.9</v>
      </c>
      <c r="J2924" t="s">
        <v>9542</v>
      </c>
    </row>
    <row r="2925" spans="1:10" x14ac:dyDescent="0.3">
      <c r="A2925">
        <v>118</v>
      </c>
      <c r="B2925">
        <v>1330827</v>
      </c>
      <c r="C2925" t="s">
        <v>2324</v>
      </c>
      <c r="D2925" t="s">
        <v>6591</v>
      </c>
      <c r="E2925" t="s">
        <v>6592</v>
      </c>
      <c r="F2925" t="s">
        <v>7</v>
      </c>
      <c r="G2925" t="s">
        <v>583</v>
      </c>
      <c r="H2925">
        <v>7000000</v>
      </c>
      <c r="I2925">
        <v>6.3</v>
      </c>
      <c r="J2925" t="s">
        <v>9543</v>
      </c>
    </row>
    <row r="2926" spans="1:10" x14ac:dyDescent="0.3">
      <c r="A2926">
        <v>97</v>
      </c>
      <c r="B2926">
        <v>1818681</v>
      </c>
      <c r="C2926" t="s">
        <v>164</v>
      </c>
      <c r="D2926" t="s">
        <v>6593</v>
      </c>
      <c r="E2926" t="s">
        <v>6594</v>
      </c>
      <c r="F2926" t="s">
        <v>7</v>
      </c>
      <c r="G2926" t="s">
        <v>15</v>
      </c>
      <c r="H2926">
        <v>7300000</v>
      </c>
      <c r="I2926">
        <v>6.3</v>
      </c>
      <c r="J2926" t="s">
        <v>8989</v>
      </c>
    </row>
    <row r="2927" spans="1:10" x14ac:dyDescent="0.3">
      <c r="A2927">
        <v>100</v>
      </c>
      <c r="B2927">
        <v>12610552</v>
      </c>
      <c r="C2927" t="s">
        <v>92</v>
      </c>
      <c r="D2927" t="s">
        <v>6595</v>
      </c>
      <c r="E2927" t="s">
        <v>6596</v>
      </c>
      <c r="F2927" t="s">
        <v>7</v>
      </c>
      <c r="G2927" t="s">
        <v>8</v>
      </c>
      <c r="H2927">
        <v>7500000</v>
      </c>
      <c r="I2927">
        <v>6.2</v>
      </c>
      <c r="J2927" t="s">
        <v>8643</v>
      </c>
    </row>
    <row r="2928" spans="1:10" x14ac:dyDescent="0.3">
      <c r="A2928">
        <v>96</v>
      </c>
      <c r="B2928">
        <v>143492840</v>
      </c>
      <c r="C2928" t="s">
        <v>561</v>
      </c>
      <c r="D2928" t="s">
        <v>6597</v>
      </c>
      <c r="E2928" t="s">
        <v>6598</v>
      </c>
      <c r="F2928" t="s">
        <v>7</v>
      </c>
      <c r="G2928" t="s">
        <v>8</v>
      </c>
      <c r="H2928">
        <v>7500000</v>
      </c>
      <c r="I2928">
        <v>2.1</v>
      </c>
      <c r="J2928" t="s">
        <v>9353</v>
      </c>
    </row>
    <row r="2929" spans="1:10" x14ac:dyDescent="0.3">
      <c r="A2929">
        <v>120</v>
      </c>
      <c r="B2929">
        <v>43800000</v>
      </c>
      <c r="C2929" t="s">
        <v>12</v>
      </c>
      <c r="D2929" t="s">
        <v>6599</v>
      </c>
      <c r="E2929" t="s">
        <v>6600</v>
      </c>
      <c r="F2929" t="s">
        <v>7</v>
      </c>
      <c r="G2929" t="s">
        <v>15</v>
      </c>
      <c r="H2929">
        <v>7200000</v>
      </c>
      <c r="I2929">
        <v>5</v>
      </c>
      <c r="J2929" t="s">
        <v>8730</v>
      </c>
    </row>
    <row r="2930" spans="1:10" x14ac:dyDescent="0.3">
      <c r="A2930">
        <v>175</v>
      </c>
      <c r="B2930">
        <v>134821952</v>
      </c>
      <c r="C2930" t="s">
        <v>786</v>
      </c>
      <c r="D2930" t="s">
        <v>6601</v>
      </c>
      <c r="E2930" t="s">
        <v>6602</v>
      </c>
      <c r="F2930" t="s">
        <v>7</v>
      </c>
      <c r="G2930" t="s">
        <v>8</v>
      </c>
      <c r="H2930">
        <v>6000000</v>
      </c>
      <c r="I2930">
        <v>5.3</v>
      </c>
      <c r="J2930" t="s">
        <v>9544</v>
      </c>
    </row>
    <row r="2931" spans="1:10" x14ac:dyDescent="0.3">
      <c r="A2931">
        <v>95</v>
      </c>
      <c r="B2931">
        <v>94900000</v>
      </c>
      <c r="C2931" t="s">
        <v>3307</v>
      </c>
      <c r="D2931" t="s">
        <v>6603</v>
      </c>
      <c r="E2931" t="s">
        <v>6604</v>
      </c>
      <c r="F2931" t="s">
        <v>7</v>
      </c>
      <c r="G2931" t="s">
        <v>8</v>
      </c>
      <c r="H2931">
        <v>4000000</v>
      </c>
      <c r="I2931">
        <v>7.1</v>
      </c>
      <c r="J2931" t="s">
        <v>9054</v>
      </c>
    </row>
    <row r="2932" spans="1:10" x14ac:dyDescent="0.3">
      <c r="A2932">
        <v>95</v>
      </c>
      <c r="B2932">
        <v>32391374</v>
      </c>
      <c r="C2932" t="s">
        <v>561</v>
      </c>
      <c r="D2932" t="s">
        <v>6605</v>
      </c>
      <c r="E2932" t="s">
        <v>6606</v>
      </c>
      <c r="F2932" t="s">
        <v>7</v>
      </c>
      <c r="G2932" t="s">
        <v>8</v>
      </c>
      <c r="H2932">
        <v>7500000</v>
      </c>
      <c r="I2932">
        <v>7</v>
      </c>
      <c r="J2932" t="s">
        <v>9545</v>
      </c>
    </row>
    <row r="2933" spans="1:10" x14ac:dyDescent="0.3">
      <c r="A2933">
        <v>121</v>
      </c>
      <c r="B2933">
        <v>40158000</v>
      </c>
      <c r="C2933" t="s">
        <v>3307</v>
      </c>
      <c r="D2933" t="s">
        <v>6607</v>
      </c>
      <c r="E2933" t="s">
        <v>6608</v>
      </c>
      <c r="F2933" t="s">
        <v>7</v>
      </c>
      <c r="G2933" t="s">
        <v>59</v>
      </c>
      <c r="H2933">
        <v>7000000</v>
      </c>
      <c r="I2933">
        <v>7</v>
      </c>
      <c r="J2933" t="s">
        <v>8881</v>
      </c>
    </row>
    <row r="2934" spans="1:10" x14ac:dyDescent="0.3">
      <c r="A2934">
        <v>110</v>
      </c>
      <c r="B2934">
        <v>113709992</v>
      </c>
      <c r="C2934" t="s">
        <v>1040</v>
      </c>
      <c r="D2934" t="s">
        <v>6609</v>
      </c>
      <c r="E2934" t="s">
        <v>6610</v>
      </c>
      <c r="F2934" t="s">
        <v>7</v>
      </c>
      <c r="G2934" t="s">
        <v>8</v>
      </c>
      <c r="H2934">
        <v>7000000</v>
      </c>
      <c r="I2934">
        <v>5.7</v>
      </c>
      <c r="J2934" t="s">
        <v>8443</v>
      </c>
    </row>
    <row r="2935" spans="1:10" x14ac:dyDescent="0.3">
      <c r="A2935">
        <v>96</v>
      </c>
      <c r="B2935">
        <v>32131483</v>
      </c>
      <c r="C2935" t="s">
        <v>1249</v>
      </c>
      <c r="D2935" t="s">
        <v>6611</v>
      </c>
      <c r="E2935" t="s">
        <v>6612</v>
      </c>
      <c r="F2935" t="s">
        <v>7</v>
      </c>
      <c r="G2935" t="s">
        <v>8</v>
      </c>
      <c r="H2935">
        <v>11000000</v>
      </c>
      <c r="I2935">
        <v>7.1</v>
      </c>
      <c r="J2935" t="s">
        <v>9546</v>
      </c>
    </row>
    <row r="2936" spans="1:10" x14ac:dyDescent="0.3">
      <c r="A2936">
        <v>121</v>
      </c>
      <c r="B2936">
        <v>35400000</v>
      </c>
      <c r="C2936" t="s">
        <v>12</v>
      </c>
      <c r="D2936" t="s">
        <v>6613</v>
      </c>
      <c r="E2936" t="s">
        <v>6614</v>
      </c>
      <c r="F2936" t="s">
        <v>7</v>
      </c>
      <c r="G2936" t="s">
        <v>15</v>
      </c>
      <c r="H2936">
        <v>7000000</v>
      </c>
      <c r="I2936">
        <v>7</v>
      </c>
      <c r="J2936" t="s">
        <v>9547</v>
      </c>
    </row>
    <row r="2937" spans="1:10" x14ac:dyDescent="0.3">
      <c r="A2937">
        <v>95</v>
      </c>
      <c r="B2937">
        <v>34099640</v>
      </c>
      <c r="C2937" t="s">
        <v>3364</v>
      </c>
      <c r="D2937" t="s">
        <v>6615</v>
      </c>
      <c r="E2937" t="s">
        <v>6616</v>
      </c>
      <c r="F2937" t="s">
        <v>7</v>
      </c>
      <c r="G2937" t="s">
        <v>8</v>
      </c>
      <c r="H2937">
        <v>5000000</v>
      </c>
      <c r="I2937">
        <v>7.7</v>
      </c>
      <c r="J2937" t="s">
        <v>9548</v>
      </c>
    </row>
    <row r="2938" spans="1:10" x14ac:dyDescent="0.3">
      <c r="A2938">
        <v>112</v>
      </c>
      <c r="B2938">
        <v>37295394</v>
      </c>
      <c r="C2938" t="s">
        <v>1040</v>
      </c>
      <c r="D2938" t="s">
        <v>6617</v>
      </c>
      <c r="E2938" t="s">
        <v>6618</v>
      </c>
      <c r="F2938" t="s">
        <v>7</v>
      </c>
      <c r="G2938" t="s">
        <v>8</v>
      </c>
      <c r="H2938">
        <v>6600000</v>
      </c>
      <c r="I2938">
        <v>7.1</v>
      </c>
      <c r="J2938" t="s">
        <v>9549</v>
      </c>
    </row>
    <row r="2939" spans="1:10" x14ac:dyDescent="0.3">
      <c r="A2939">
        <v>93</v>
      </c>
      <c r="B2939">
        <v>31501218</v>
      </c>
      <c r="C2939" t="s">
        <v>2495</v>
      </c>
      <c r="D2939" t="s">
        <v>6619</v>
      </c>
      <c r="E2939" t="s">
        <v>6620</v>
      </c>
      <c r="F2939" t="s">
        <v>7</v>
      </c>
      <c r="G2939" t="s">
        <v>8</v>
      </c>
      <c r="H2939">
        <v>7500000</v>
      </c>
      <c r="I2939">
        <v>6.8</v>
      </c>
      <c r="J2939" t="s">
        <v>9550</v>
      </c>
    </row>
    <row r="2940" spans="1:10" x14ac:dyDescent="0.3">
      <c r="A2940">
        <v>110</v>
      </c>
      <c r="B2940">
        <v>28747570</v>
      </c>
      <c r="C2940" t="s">
        <v>694</v>
      </c>
      <c r="D2940" t="s">
        <v>6621</v>
      </c>
      <c r="E2940" t="s">
        <v>6622</v>
      </c>
      <c r="F2940" t="s">
        <v>7</v>
      </c>
      <c r="G2940" t="s">
        <v>95</v>
      </c>
      <c r="H2940">
        <v>7000000</v>
      </c>
      <c r="I2940">
        <v>7.5</v>
      </c>
      <c r="J2940" t="s">
        <v>8887</v>
      </c>
    </row>
    <row r="2941" spans="1:10" x14ac:dyDescent="0.3">
      <c r="A2941">
        <v>104</v>
      </c>
      <c r="B2941">
        <v>25625110</v>
      </c>
      <c r="C2941" t="s">
        <v>118</v>
      </c>
      <c r="D2941" t="s">
        <v>6623</v>
      </c>
      <c r="E2941" t="s">
        <v>6624</v>
      </c>
      <c r="F2941" t="s">
        <v>7</v>
      </c>
      <c r="G2941" t="s">
        <v>8</v>
      </c>
      <c r="H2941">
        <v>7000000</v>
      </c>
      <c r="I2941">
        <v>6.3</v>
      </c>
      <c r="J2941" t="s">
        <v>9551</v>
      </c>
    </row>
    <row r="2942" spans="1:10" x14ac:dyDescent="0.3">
      <c r="A2942">
        <v>119</v>
      </c>
      <c r="B2942">
        <v>25000000</v>
      </c>
      <c r="C2942" t="s">
        <v>20</v>
      </c>
      <c r="D2942" t="s">
        <v>6625</v>
      </c>
      <c r="E2942" t="s">
        <v>6626</v>
      </c>
      <c r="F2942" t="s">
        <v>7</v>
      </c>
      <c r="G2942" t="s">
        <v>8</v>
      </c>
      <c r="H2942">
        <v>9000000</v>
      </c>
      <c r="I2942">
        <v>7.3</v>
      </c>
      <c r="J2942" t="s">
        <v>9552</v>
      </c>
    </row>
    <row r="2943" spans="1:10" x14ac:dyDescent="0.3">
      <c r="A2943">
        <v>125</v>
      </c>
      <c r="B2943">
        <v>21000000</v>
      </c>
      <c r="C2943" t="s">
        <v>12</v>
      </c>
      <c r="D2943" t="s">
        <v>6627</v>
      </c>
      <c r="E2943" t="s">
        <v>6628</v>
      </c>
      <c r="F2943" t="s">
        <v>7</v>
      </c>
      <c r="G2943" t="s">
        <v>15</v>
      </c>
      <c r="H2943">
        <v>13000000</v>
      </c>
      <c r="I2943">
        <v>6.8</v>
      </c>
      <c r="J2943" t="s">
        <v>8728</v>
      </c>
    </row>
    <row r="2944" spans="1:10" x14ac:dyDescent="0.3">
      <c r="A2944">
        <v>96</v>
      </c>
      <c r="B2944">
        <v>20257000</v>
      </c>
      <c r="C2944" t="s">
        <v>148</v>
      </c>
      <c r="D2944" t="s">
        <v>6629</v>
      </c>
      <c r="E2944" t="s">
        <v>6630</v>
      </c>
      <c r="F2944" t="s">
        <v>7</v>
      </c>
      <c r="G2944" t="s">
        <v>8</v>
      </c>
      <c r="H2944">
        <v>7000000</v>
      </c>
      <c r="I2944">
        <v>7.2</v>
      </c>
      <c r="J2944" t="s">
        <v>9553</v>
      </c>
    </row>
    <row r="2945" spans="1:10" x14ac:dyDescent="0.3">
      <c r="A2945">
        <v>100</v>
      </c>
      <c r="B2945">
        <v>26005908</v>
      </c>
      <c r="C2945" t="s">
        <v>3642</v>
      </c>
      <c r="D2945" t="s">
        <v>6631</v>
      </c>
      <c r="E2945" t="s">
        <v>6632</v>
      </c>
      <c r="F2945" t="s">
        <v>7</v>
      </c>
      <c r="G2945" t="s">
        <v>15</v>
      </c>
      <c r="H2945">
        <v>3500000</v>
      </c>
      <c r="I2945">
        <v>6.4</v>
      </c>
      <c r="J2945" t="s">
        <v>8314</v>
      </c>
    </row>
    <row r="2946" spans="1:10" x14ac:dyDescent="0.3">
      <c r="A2946">
        <v>89</v>
      </c>
      <c r="B2946">
        <v>15818967</v>
      </c>
      <c r="C2946" t="s">
        <v>2141</v>
      </c>
      <c r="D2946" t="s">
        <v>6634</v>
      </c>
      <c r="E2946" t="s">
        <v>6635</v>
      </c>
      <c r="F2946" t="s">
        <v>7</v>
      </c>
      <c r="G2946" t="s">
        <v>8</v>
      </c>
      <c r="H2946">
        <v>7000000</v>
      </c>
      <c r="I2946">
        <v>6</v>
      </c>
      <c r="J2946" t="s">
        <v>9152</v>
      </c>
    </row>
    <row r="2947" spans="1:10" x14ac:dyDescent="0.3">
      <c r="A2947">
        <v>92</v>
      </c>
      <c r="B2947">
        <v>14891000</v>
      </c>
      <c r="C2947" t="s">
        <v>668</v>
      </c>
      <c r="D2947" t="s">
        <v>6636</v>
      </c>
      <c r="E2947" t="s">
        <v>6637</v>
      </c>
      <c r="F2947" t="s">
        <v>7</v>
      </c>
      <c r="G2947" t="s">
        <v>8</v>
      </c>
      <c r="H2947">
        <v>7000000</v>
      </c>
      <c r="I2947">
        <v>6.4</v>
      </c>
      <c r="J2947" t="s">
        <v>9344</v>
      </c>
    </row>
    <row r="2948" spans="1:10" x14ac:dyDescent="0.3">
      <c r="A2948">
        <v>109</v>
      </c>
      <c r="B2948">
        <v>16901126</v>
      </c>
      <c r="C2948" t="s">
        <v>6638</v>
      </c>
      <c r="D2948" t="s">
        <v>6639</v>
      </c>
      <c r="E2948" t="s">
        <v>6640</v>
      </c>
      <c r="F2948" t="s">
        <v>7</v>
      </c>
      <c r="G2948" t="s">
        <v>8</v>
      </c>
      <c r="H2948">
        <v>7000000</v>
      </c>
      <c r="I2948">
        <v>5.0999999999999996</v>
      </c>
      <c r="J2948" t="s">
        <v>8614</v>
      </c>
    </row>
    <row r="2949" spans="1:10" x14ac:dyDescent="0.3">
      <c r="A2949">
        <v>103</v>
      </c>
      <c r="B2949">
        <v>17474107</v>
      </c>
      <c r="C2949" t="s">
        <v>3876</v>
      </c>
      <c r="D2949" t="s">
        <v>6641</v>
      </c>
      <c r="E2949" t="s">
        <v>6642</v>
      </c>
      <c r="F2949" t="s">
        <v>7</v>
      </c>
      <c r="G2949" t="s">
        <v>8</v>
      </c>
      <c r="H2949">
        <v>7000000</v>
      </c>
      <c r="I2949">
        <v>7.5</v>
      </c>
      <c r="J2949" t="s">
        <v>9554</v>
      </c>
    </row>
    <row r="2950" spans="1:10" x14ac:dyDescent="0.3">
      <c r="A2950">
        <v>95</v>
      </c>
      <c r="B2950">
        <v>14003141</v>
      </c>
      <c r="C2950" t="s">
        <v>873</v>
      </c>
      <c r="D2950" t="s">
        <v>6643</v>
      </c>
      <c r="E2950" t="s">
        <v>6644</v>
      </c>
      <c r="F2950" t="s">
        <v>7</v>
      </c>
      <c r="G2950" t="s">
        <v>8</v>
      </c>
      <c r="H2950">
        <v>7000000</v>
      </c>
      <c r="I2950">
        <v>7.1</v>
      </c>
      <c r="J2950" t="s">
        <v>9555</v>
      </c>
    </row>
    <row r="2951" spans="1:10" x14ac:dyDescent="0.3">
      <c r="A2951">
        <v>105</v>
      </c>
      <c r="B2951">
        <v>12583510</v>
      </c>
      <c r="C2951" t="s">
        <v>2701</v>
      </c>
      <c r="D2951" t="s">
        <v>6645</v>
      </c>
      <c r="E2951" t="s">
        <v>6646</v>
      </c>
      <c r="F2951" t="s">
        <v>7</v>
      </c>
      <c r="G2951" t="s">
        <v>8</v>
      </c>
      <c r="H2951">
        <v>7000000</v>
      </c>
      <c r="I2951">
        <v>4.5999999999999996</v>
      </c>
      <c r="J2951" t="s">
        <v>9556</v>
      </c>
    </row>
    <row r="2952" spans="1:10" x14ac:dyDescent="0.3">
      <c r="A2952">
        <v>106</v>
      </c>
      <c r="B2952">
        <v>9190525</v>
      </c>
      <c r="C2952" t="s">
        <v>1040</v>
      </c>
      <c r="D2952" t="s">
        <v>6647</v>
      </c>
      <c r="E2952" t="s">
        <v>6648</v>
      </c>
      <c r="F2952" t="s">
        <v>7</v>
      </c>
      <c r="G2952" t="s">
        <v>8</v>
      </c>
      <c r="H2952">
        <v>7000000</v>
      </c>
      <c r="I2952">
        <v>5.7</v>
      </c>
      <c r="J2952" t="s">
        <v>8480</v>
      </c>
    </row>
    <row r="2953" spans="1:10" x14ac:dyDescent="0.3">
      <c r="A2953">
        <v>100</v>
      </c>
      <c r="B2953">
        <v>9176553</v>
      </c>
      <c r="C2953" t="s">
        <v>3413</v>
      </c>
      <c r="D2953" t="s">
        <v>6649</v>
      </c>
      <c r="E2953" t="s">
        <v>6650</v>
      </c>
      <c r="F2953" t="s">
        <v>7</v>
      </c>
      <c r="G2953" t="s">
        <v>8</v>
      </c>
      <c r="H2953">
        <v>7500000</v>
      </c>
      <c r="I2953">
        <v>6.8</v>
      </c>
      <c r="J2953" t="s">
        <v>9020</v>
      </c>
    </row>
    <row r="2954" spans="1:10" x14ac:dyDescent="0.3">
      <c r="A2954">
        <v>103</v>
      </c>
      <c r="B2954">
        <v>9094451</v>
      </c>
      <c r="C2954" t="s">
        <v>3779</v>
      </c>
      <c r="D2954" t="s">
        <v>6651</v>
      </c>
      <c r="E2954" t="s">
        <v>6652</v>
      </c>
      <c r="F2954" t="s">
        <v>7</v>
      </c>
      <c r="G2954" t="s">
        <v>8</v>
      </c>
      <c r="H2954">
        <v>7000000</v>
      </c>
      <c r="I2954">
        <v>7.7</v>
      </c>
      <c r="J2954" t="s">
        <v>9557</v>
      </c>
    </row>
    <row r="2955" spans="1:10" x14ac:dyDescent="0.3">
      <c r="A2955">
        <v>116</v>
      </c>
      <c r="B2955">
        <v>14612840</v>
      </c>
      <c r="C2955" t="s">
        <v>2605</v>
      </c>
      <c r="D2955" t="s">
        <v>6653</v>
      </c>
      <c r="E2955" t="s">
        <v>6654</v>
      </c>
      <c r="F2955" t="s">
        <v>7</v>
      </c>
      <c r="G2955" t="s">
        <v>8</v>
      </c>
      <c r="H2955">
        <v>7000000</v>
      </c>
      <c r="I2955">
        <v>6.7</v>
      </c>
      <c r="J2955" t="s">
        <v>8412</v>
      </c>
    </row>
    <row r="2956" spans="1:10" x14ac:dyDescent="0.3">
      <c r="A2956">
        <v>99</v>
      </c>
      <c r="B2956">
        <v>9166863</v>
      </c>
      <c r="C2956" t="s">
        <v>73</v>
      </c>
      <c r="D2956" t="s">
        <v>6655</v>
      </c>
      <c r="E2956" t="s">
        <v>6656</v>
      </c>
      <c r="F2956" t="s">
        <v>7</v>
      </c>
      <c r="G2956" t="s">
        <v>8</v>
      </c>
      <c r="H2956">
        <v>7000000</v>
      </c>
      <c r="I2956">
        <v>3.2</v>
      </c>
      <c r="J2956" t="s">
        <v>9558</v>
      </c>
    </row>
    <row r="2957" spans="1:10" x14ac:dyDescent="0.3">
      <c r="A2957">
        <v>164</v>
      </c>
      <c r="B2957">
        <v>8373585</v>
      </c>
      <c r="C2957" t="s">
        <v>1417</v>
      </c>
      <c r="D2957" t="s">
        <v>6657</v>
      </c>
      <c r="E2957" t="s">
        <v>6658</v>
      </c>
      <c r="F2957" t="s">
        <v>7</v>
      </c>
      <c r="G2957" t="s">
        <v>8</v>
      </c>
      <c r="H2957">
        <v>7000000</v>
      </c>
      <c r="I2957">
        <v>6.1</v>
      </c>
      <c r="J2957" t="s">
        <v>9559</v>
      </c>
    </row>
    <row r="2958" spans="1:10" x14ac:dyDescent="0.3">
      <c r="A2958">
        <v>96</v>
      </c>
      <c r="B2958">
        <v>7292175</v>
      </c>
      <c r="C2958" t="s">
        <v>561</v>
      </c>
      <c r="D2958" t="s">
        <v>6659</v>
      </c>
      <c r="E2958" t="s">
        <v>6660</v>
      </c>
      <c r="F2958" t="s">
        <v>7</v>
      </c>
      <c r="G2958" t="s">
        <v>8</v>
      </c>
      <c r="H2958">
        <v>7000000</v>
      </c>
      <c r="I2958">
        <v>5.6</v>
      </c>
      <c r="J2958" t="s">
        <v>8493</v>
      </c>
    </row>
    <row r="2959" spans="1:10" x14ac:dyDescent="0.3">
      <c r="A2959">
        <v>122</v>
      </c>
      <c r="B2959">
        <v>6601079</v>
      </c>
      <c r="C2959" t="s">
        <v>1443</v>
      </c>
      <c r="D2959" t="s">
        <v>6661</v>
      </c>
      <c r="E2959" t="s">
        <v>6662</v>
      </c>
      <c r="F2959" t="s">
        <v>7</v>
      </c>
      <c r="G2959" t="s">
        <v>15</v>
      </c>
      <c r="H2959">
        <v>7000000</v>
      </c>
      <c r="I2959">
        <v>6.9</v>
      </c>
      <c r="J2959" t="s">
        <v>9560</v>
      </c>
    </row>
    <row r="2960" spans="1:10" x14ac:dyDescent="0.3">
      <c r="A2960">
        <v>94</v>
      </c>
      <c r="B2960">
        <v>6165429</v>
      </c>
      <c r="C2960" t="s">
        <v>6663</v>
      </c>
      <c r="D2960" t="s">
        <v>6664</v>
      </c>
      <c r="E2960" t="s">
        <v>6665</v>
      </c>
      <c r="F2960" t="s">
        <v>918</v>
      </c>
      <c r="G2960" t="s">
        <v>132</v>
      </c>
      <c r="H2960">
        <v>6000000</v>
      </c>
      <c r="I2960">
        <v>7.5</v>
      </c>
      <c r="J2960" t="s">
        <v>9561</v>
      </c>
    </row>
    <row r="2961" spans="1:10" x14ac:dyDescent="0.3">
      <c r="A2961">
        <v>93</v>
      </c>
      <c r="B2961">
        <v>5694308</v>
      </c>
      <c r="C2961" t="s">
        <v>1632</v>
      </c>
      <c r="D2961" t="s">
        <v>6666</v>
      </c>
      <c r="E2961" t="s">
        <v>6667</v>
      </c>
      <c r="F2961" t="s">
        <v>7</v>
      </c>
      <c r="G2961" t="s">
        <v>8</v>
      </c>
      <c r="H2961">
        <v>7000000</v>
      </c>
      <c r="I2961">
        <v>5.8</v>
      </c>
      <c r="J2961" t="s">
        <v>8590</v>
      </c>
    </row>
    <row r="2962" spans="1:10" x14ac:dyDescent="0.3">
      <c r="A2962">
        <v>96</v>
      </c>
      <c r="B2962">
        <v>5430822</v>
      </c>
      <c r="C2962" t="s">
        <v>6668</v>
      </c>
      <c r="D2962" t="s">
        <v>6669</v>
      </c>
      <c r="E2962" t="s">
        <v>6670</v>
      </c>
      <c r="F2962" t="s">
        <v>7</v>
      </c>
      <c r="G2962" t="s">
        <v>15</v>
      </c>
      <c r="H2962">
        <v>7000000</v>
      </c>
      <c r="I2962">
        <v>8.3000000000000007</v>
      </c>
      <c r="J2962" t="s">
        <v>8422</v>
      </c>
    </row>
    <row r="2963" spans="1:10" x14ac:dyDescent="0.3">
      <c r="A2963">
        <v>113</v>
      </c>
      <c r="B2963">
        <v>4720371</v>
      </c>
      <c r="C2963" t="s">
        <v>4659</v>
      </c>
      <c r="D2963" t="s">
        <v>6671</v>
      </c>
      <c r="E2963" t="s">
        <v>6672</v>
      </c>
      <c r="F2963" t="s">
        <v>7</v>
      </c>
      <c r="G2963" t="s">
        <v>8</v>
      </c>
      <c r="H2963">
        <v>7000000</v>
      </c>
      <c r="I2963">
        <v>2.8</v>
      </c>
      <c r="J2963" t="s">
        <v>9562</v>
      </c>
    </row>
    <row r="2964" spans="1:10" x14ac:dyDescent="0.3">
      <c r="A2964">
        <v>192</v>
      </c>
      <c r="B2964">
        <v>2921738</v>
      </c>
      <c r="C2964" t="s">
        <v>1172</v>
      </c>
      <c r="D2964" t="s">
        <v>6673</v>
      </c>
      <c r="E2964" t="s">
        <v>6674</v>
      </c>
      <c r="F2964" t="s">
        <v>2354</v>
      </c>
      <c r="G2964" t="s">
        <v>2355</v>
      </c>
      <c r="H2964">
        <v>7000000</v>
      </c>
      <c r="I2964">
        <v>6.6</v>
      </c>
      <c r="J2964" t="s">
        <v>9430</v>
      </c>
    </row>
    <row r="2965" spans="1:10" x14ac:dyDescent="0.3">
      <c r="A2965">
        <v>99</v>
      </c>
      <c r="B2965">
        <v>2344847</v>
      </c>
      <c r="C2965" t="s">
        <v>1578</v>
      </c>
      <c r="D2965" t="s">
        <v>6675</v>
      </c>
      <c r="E2965" t="s">
        <v>6676</v>
      </c>
      <c r="F2965" t="s">
        <v>7</v>
      </c>
      <c r="G2965" t="s">
        <v>8</v>
      </c>
      <c r="H2965">
        <v>7000000</v>
      </c>
      <c r="I2965">
        <v>7.5</v>
      </c>
      <c r="J2965" t="s">
        <v>9563</v>
      </c>
    </row>
    <row r="2966" spans="1:10" x14ac:dyDescent="0.3">
      <c r="A2966">
        <v>91</v>
      </c>
      <c r="B2966">
        <v>7455447</v>
      </c>
      <c r="C2966" t="s">
        <v>561</v>
      </c>
      <c r="D2966" t="s">
        <v>6677</v>
      </c>
      <c r="E2966" t="s">
        <v>6678</v>
      </c>
      <c r="F2966" t="s">
        <v>7</v>
      </c>
      <c r="G2966" t="s">
        <v>8</v>
      </c>
      <c r="H2966">
        <v>7000000</v>
      </c>
      <c r="I2966">
        <v>6</v>
      </c>
      <c r="J2966" t="s">
        <v>9564</v>
      </c>
    </row>
    <row r="2967" spans="1:10" x14ac:dyDescent="0.3">
      <c r="A2967">
        <v>100</v>
      </c>
      <c r="B2967">
        <v>2148212</v>
      </c>
      <c r="C2967" t="s">
        <v>3017</v>
      </c>
      <c r="D2967" t="s">
        <v>6679</v>
      </c>
      <c r="E2967" t="s">
        <v>6680</v>
      </c>
      <c r="F2967" t="s">
        <v>7</v>
      </c>
      <c r="G2967" t="s">
        <v>8</v>
      </c>
      <c r="H2967">
        <v>7000000</v>
      </c>
      <c r="I2967">
        <v>6.2</v>
      </c>
      <c r="J2967" t="s">
        <v>9565</v>
      </c>
    </row>
    <row r="2968" spans="1:10" x14ac:dyDescent="0.3">
      <c r="A2968">
        <v>105</v>
      </c>
      <c r="B2968">
        <v>2062066</v>
      </c>
      <c r="C2968" t="s">
        <v>694</v>
      </c>
      <c r="D2968" t="s">
        <v>6681</v>
      </c>
      <c r="E2968" t="s">
        <v>6682</v>
      </c>
      <c r="F2968" t="s">
        <v>7</v>
      </c>
      <c r="G2968" t="s">
        <v>8</v>
      </c>
      <c r="H2968">
        <v>7000000</v>
      </c>
      <c r="I2968">
        <v>7.2</v>
      </c>
      <c r="J2968" t="s">
        <v>8552</v>
      </c>
    </row>
    <row r="2969" spans="1:10" x14ac:dyDescent="0.3">
      <c r="A2969">
        <v>99</v>
      </c>
      <c r="B2969">
        <v>1654367</v>
      </c>
      <c r="C2969" t="s">
        <v>617</v>
      </c>
      <c r="D2969" t="s">
        <v>6683</v>
      </c>
      <c r="E2969" t="s">
        <v>6684</v>
      </c>
      <c r="F2969" t="s">
        <v>7</v>
      </c>
      <c r="G2969" t="s">
        <v>8</v>
      </c>
      <c r="H2969">
        <v>7000000</v>
      </c>
      <c r="I2969">
        <v>8.6999999999999993</v>
      </c>
      <c r="J2969" t="s">
        <v>8435</v>
      </c>
    </row>
    <row r="2970" spans="1:10" x14ac:dyDescent="0.3">
      <c r="A2970">
        <v>112</v>
      </c>
      <c r="B2970">
        <v>1738692</v>
      </c>
      <c r="C2970" t="s">
        <v>1704</v>
      </c>
      <c r="D2970" t="s">
        <v>6685</v>
      </c>
      <c r="E2970" t="s">
        <v>6686</v>
      </c>
      <c r="F2970" t="s">
        <v>7</v>
      </c>
      <c r="G2970" t="s">
        <v>15</v>
      </c>
      <c r="H2970">
        <v>7000000</v>
      </c>
      <c r="I2970">
        <v>6</v>
      </c>
      <c r="J2970" t="s">
        <v>9566</v>
      </c>
    </row>
    <row r="2971" spans="1:10" x14ac:dyDescent="0.3">
      <c r="A2971">
        <v>99</v>
      </c>
      <c r="B2971">
        <v>1889522</v>
      </c>
      <c r="C2971" t="s">
        <v>1578</v>
      </c>
      <c r="D2971" t="s">
        <v>6687</v>
      </c>
      <c r="E2971" t="s">
        <v>6688</v>
      </c>
      <c r="F2971" t="s">
        <v>7</v>
      </c>
      <c r="G2971" t="s">
        <v>8</v>
      </c>
      <c r="H2971">
        <v>7000000</v>
      </c>
      <c r="I2971">
        <v>8</v>
      </c>
      <c r="J2971" t="s">
        <v>9060</v>
      </c>
    </row>
    <row r="2972" spans="1:10" x14ac:dyDescent="0.3">
      <c r="A2972">
        <v>125</v>
      </c>
      <c r="B2972">
        <v>1110286</v>
      </c>
      <c r="C2972" t="s">
        <v>73</v>
      </c>
      <c r="D2972" t="s">
        <v>6689</v>
      </c>
      <c r="E2972" t="s">
        <v>6690</v>
      </c>
      <c r="F2972" t="s">
        <v>7</v>
      </c>
      <c r="G2972" t="s">
        <v>8</v>
      </c>
      <c r="H2972">
        <v>4825000</v>
      </c>
      <c r="I2972">
        <v>7.2</v>
      </c>
      <c r="J2972" t="s">
        <v>8857</v>
      </c>
    </row>
    <row r="2973" spans="1:10" x14ac:dyDescent="0.3">
      <c r="A2973">
        <v>107</v>
      </c>
      <c r="B2973">
        <v>1000000</v>
      </c>
      <c r="C2973" t="s">
        <v>476</v>
      </c>
      <c r="D2973" t="s">
        <v>6691</v>
      </c>
      <c r="E2973" t="s">
        <v>6692</v>
      </c>
      <c r="F2973" t="s">
        <v>7</v>
      </c>
      <c r="G2973" t="s">
        <v>15</v>
      </c>
      <c r="H2973">
        <v>9000000</v>
      </c>
      <c r="I2973">
        <v>4.5</v>
      </c>
      <c r="J2973" t="s">
        <v>8646</v>
      </c>
    </row>
    <row r="2974" spans="1:10" x14ac:dyDescent="0.3">
      <c r="A2974">
        <v>107</v>
      </c>
      <c r="B2974">
        <v>700000</v>
      </c>
      <c r="C2974" t="s">
        <v>2887</v>
      </c>
      <c r="D2974" t="s">
        <v>6693</v>
      </c>
      <c r="E2974" t="s">
        <v>6694</v>
      </c>
      <c r="F2974" t="s">
        <v>582</v>
      </c>
      <c r="G2974" t="s">
        <v>583</v>
      </c>
      <c r="H2974">
        <v>50000000</v>
      </c>
      <c r="I2974">
        <v>7.9</v>
      </c>
      <c r="J2974" t="s">
        <v>8656</v>
      </c>
    </row>
    <row r="2975" spans="1:10" x14ac:dyDescent="0.3">
      <c r="A2975">
        <v>97</v>
      </c>
      <c r="B2975">
        <v>1768416</v>
      </c>
      <c r="C2975" t="s">
        <v>1040</v>
      </c>
      <c r="D2975" t="s">
        <v>6695</v>
      </c>
      <c r="E2975" t="s">
        <v>6696</v>
      </c>
      <c r="F2975" t="s">
        <v>7</v>
      </c>
      <c r="G2975" t="s">
        <v>8</v>
      </c>
      <c r="H2975">
        <v>7000000</v>
      </c>
      <c r="I2975">
        <v>7.1</v>
      </c>
      <c r="J2975" t="s">
        <v>9192</v>
      </c>
    </row>
    <row r="2976" spans="1:10" x14ac:dyDescent="0.3">
      <c r="A2976">
        <v>95</v>
      </c>
      <c r="B2976">
        <v>306715</v>
      </c>
      <c r="C2976" t="s">
        <v>668</v>
      </c>
      <c r="D2976" t="s">
        <v>6697</v>
      </c>
      <c r="E2976" t="s">
        <v>6698</v>
      </c>
      <c r="F2976" t="s">
        <v>7</v>
      </c>
      <c r="G2976" t="s">
        <v>8</v>
      </c>
      <c r="H2976">
        <v>10000000</v>
      </c>
      <c r="I2976">
        <v>7.5</v>
      </c>
      <c r="J2976" t="s">
        <v>8885</v>
      </c>
    </row>
    <row r="2977" spans="1:10" x14ac:dyDescent="0.3">
      <c r="A2977">
        <v>106</v>
      </c>
      <c r="B2977">
        <v>382946</v>
      </c>
      <c r="C2977" t="s">
        <v>1417</v>
      </c>
      <c r="D2977" t="s">
        <v>6699</v>
      </c>
      <c r="E2977" t="s">
        <v>6700</v>
      </c>
      <c r="F2977" t="s">
        <v>7</v>
      </c>
      <c r="G2977" t="s">
        <v>8</v>
      </c>
      <c r="H2977">
        <v>7000000</v>
      </c>
      <c r="I2977">
        <v>6.8</v>
      </c>
      <c r="J2977" t="s">
        <v>9567</v>
      </c>
    </row>
    <row r="2978" spans="1:10" x14ac:dyDescent="0.3">
      <c r="A2978">
        <v>103</v>
      </c>
      <c r="B2978">
        <v>236266</v>
      </c>
      <c r="C2978" t="s">
        <v>2793</v>
      </c>
      <c r="D2978" t="s">
        <v>6701</v>
      </c>
      <c r="E2978" t="s">
        <v>6702</v>
      </c>
      <c r="F2978" t="s">
        <v>7</v>
      </c>
      <c r="G2978" t="s">
        <v>8</v>
      </c>
      <c r="H2978">
        <v>3500000</v>
      </c>
      <c r="I2978">
        <v>4.3</v>
      </c>
      <c r="J2978" t="s">
        <v>9175</v>
      </c>
    </row>
    <row r="2979" spans="1:10" x14ac:dyDescent="0.3">
      <c r="A2979">
        <v>96</v>
      </c>
      <c r="B2979">
        <v>196067</v>
      </c>
      <c r="C2979" t="s">
        <v>73</v>
      </c>
      <c r="D2979" t="s">
        <v>6703</v>
      </c>
      <c r="E2979" t="s">
        <v>6704</v>
      </c>
      <c r="F2979" t="s">
        <v>7</v>
      </c>
      <c r="G2979" t="s">
        <v>15</v>
      </c>
      <c r="H2979">
        <v>7000000</v>
      </c>
      <c r="I2979">
        <v>7.2</v>
      </c>
      <c r="J2979" t="s">
        <v>9568</v>
      </c>
    </row>
    <row r="2980" spans="1:10" x14ac:dyDescent="0.3">
      <c r="A2980">
        <v>103</v>
      </c>
      <c r="B2980">
        <v>532988</v>
      </c>
      <c r="C2980" t="s">
        <v>2663</v>
      </c>
      <c r="D2980" t="s">
        <v>6705</v>
      </c>
      <c r="E2980" t="s">
        <v>6706</v>
      </c>
      <c r="F2980" t="s">
        <v>7</v>
      </c>
      <c r="G2980" t="s">
        <v>8</v>
      </c>
      <c r="H2980">
        <v>7000000</v>
      </c>
      <c r="I2980">
        <v>5.8</v>
      </c>
      <c r="J2980" t="s">
        <v>8811</v>
      </c>
    </row>
    <row r="2981" spans="1:10" x14ac:dyDescent="0.3">
      <c r="A2981">
        <v>108</v>
      </c>
      <c r="B2981">
        <v>453079</v>
      </c>
      <c r="C2981" t="s">
        <v>668</v>
      </c>
      <c r="D2981" t="s">
        <v>6707</v>
      </c>
      <c r="E2981" t="s">
        <v>6708</v>
      </c>
      <c r="F2981" t="s">
        <v>7</v>
      </c>
      <c r="G2981" t="s">
        <v>8</v>
      </c>
      <c r="H2981">
        <v>7000000</v>
      </c>
      <c r="I2981">
        <v>7.1</v>
      </c>
      <c r="J2981" t="s">
        <v>8426</v>
      </c>
    </row>
    <row r="2982" spans="1:10" x14ac:dyDescent="0.3">
      <c r="A2982">
        <v>118</v>
      </c>
      <c r="B2982">
        <v>46451</v>
      </c>
      <c r="C2982" t="s">
        <v>2509</v>
      </c>
      <c r="D2982" t="s">
        <v>6709</v>
      </c>
      <c r="E2982" t="s">
        <v>6710</v>
      </c>
      <c r="F2982" t="s">
        <v>7</v>
      </c>
      <c r="G2982" t="s">
        <v>8</v>
      </c>
      <c r="H2982">
        <v>7000000</v>
      </c>
      <c r="I2982">
        <v>7.4</v>
      </c>
      <c r="J2982" t="s">
        <v>8532</v>
      </c>
    </row>
    <row r="2983" spans="1:10" x14ac:dyDescent="0.3">
      <c r="A2983">
        <v>97</v>
      </c>
      <c r="B2983">
        <v>233103</v>
      </c>
      <c r="C2983" t="s">
        <v>1417</v>
      </c>
      <c r="D2983" t="s">
        <v>6711</v>
      </c>
      <c r="E2983" t="s">
        <v>6712</v>
      </c>
      <c r="F2983" t="s">
        <v>7</v>
      </c>
      <c r="G2983" t="s">
        <v>15</v>
      </c>
      <c r="H2983">
        <v>7000000</v>
      </c>
      <c r="I2983">
        <v>7.6</v>
      </c>
      <c r="J2983" t="s">
        <v>8971</v>
      </c>
    </row>
    <row r="2984" spans="1:10" x14ac:dyDescent="0.3">
      <c r="A2984">
        <v>115</v>
      </c>
      <c r="B2984">
        <v>41400000</v>
      </c>
      <c r="C2984" t="s">
        <v>6171</v>
      </c>
      <c r="D2984" t="s">
        <v>6713</v>
      </c>
      <c r="E2984" t="s">
        <v>6714</v>
      </c>
      <c r="F2984" t="s">
        <v>7</v>
      </c>
      <c r="G2984" t="s">
        <v>8</v>
      </c>
      <c r="H2984">
        <v>6900000</v>
      </c>
      <c r="I2984">
        <v>6.9</v>
      </c>
      <c r="J2984" t="s">
        <v>8819</v>
      </c>
    </row>
    <row r="2985" spans="1:10" x14ac:dyDescent="0.3">
      <c r="A2985">
        <v>102</v>
      </c>
      <c r="B2985">
        <v>7993039</v>
      </c>
      <c r="C2985" t="s">
        <v>668</v>
      </c>
      <c r="D2985" t="s">
        <v>6715</v>
      </c>
      <c r="E2985" t="s">
        <v>6716</v>
      </c>
      <c r="F2985" t="s">
        <v>7</v>
      </c>
      <c r="G2985" t="s">
        <v>8</v>
      </c>
      <c r="H2985">
        <v>6900000</v>
      </c>
      <c r="I2985">
        <v>6</v>
      </c>
      <c r="J2985" t="s">
        <v>9320</v>
      </c>
    </row>
    <row r="2986" spans="1:10" x14ac:dyDescent="0.3">
      <c r="A2986">
        <v>125</v>
      </c>
      <c r="B2986">
        <v>927107</v>
      </c>
      <c r="C2986" t="s">
        <v>5033</v>
      </c>
      <c r="D2986" t="s">
        <v>6717</v>
      </c>
      <c r="E2986" t="s">
        <v>6718</v>
      </c>
      <c r="F2986" t="s">
        <v>3702</v>
      </c>
      <c r="G2986" t="s">
        <v>284</v>
      </c>
      <c r="H2986">
        <v>15000000</v>
      </c>
      <c r="I2986">
        <v>6.9</v>
      </c>
      <c r="J2986" t="s">
        <v>9166</v>
      </c>
    </row>
    <row r="2987" spans="1:10" x14ac:dyDescent="0.3">
      <c r="A2987">
        <v>108</v>
      </c>
      <c r="B2987">
        <v>49526</v>
      </c>
      <c r="C2987" t="s">
        <v>1040</v>
      </c>
      <c r="D2987" t="s">
        <v>6719</v>
      </c>
      <c r="E2987" t="s">
        <v>6720</v>
      </c>
      <c r="F2987" t="s">
        <v>7</v>
      </c>
      <c r="G2987" t="s">
        <v>8</v>
      </c>
      <c r="H2987">
        <v>6800000</v>
      </c>
      <c r="I2987">
        <v>7.3</v>
      </c>
      <c r="J2987" t="s">
        <v>9395</v>
      </c>
    </row>
    <row r="2988" spans="1:10" x14ac:dyDescent="0.3">
      <c r="A2988">
        <v>101</v>
      </c>
      <c r="B2988">
        <v>10696</v>
      </c>
      <c r="C2988" t="s">
        <v>609</v>
      </c>
      <c r="D2988" t="s">
        <v>6721</v>
      </c>
      <c r="E2988" t="s">
        <v>6722</v>
      </c>
      <c r="F2988" t="s">
        <v>7</v>
      </c>
      <c r="G2988" t="s">
        <v>8</v>
      </c>
      <c r="H2988">
        <v>6800000</v>
      </c>
      <c r="I2988">
        <v>4.5999999999999996</v>
      </c>
      <c r="J2988" t="s">
        <v>9569</v>
      </c>
    </row>
    <row r="2989" spans="1:10" x14ac:dyDescent="0.3">
      <c r="A2989">
        <v>101</v>
      </c>
      <c r="B2989">
        <v>31607598</v>
      </c>
      <c r="C2989" t="s">
        <v>1834</v>
      </c>
      <c r="D2989" t="s">
        <v>6723</v>
      </c>
      <c r="E2989" t="s">
        <v>6724</v>
      </c>
      <c r="F2989" t="s">
        <v>7</v>
      </c>
      <c r="G2989" t="s">
        <v>95</v>
      </c>
      <c r="H2989">
        <v>6900000</v>
      </c>
      <c r="I2989">
        <v>6</v>
      </c>
      <c r="J2989" t="s">
        <v>8502</v>
      </c>
    </row>
    <row r="2990" spans="1:10" x14ac:dyDescent="0.3">
      <c r="A2990">
        <v>139</v>
      </c>
      <c r="B2990">
        <v>6857096</v>
      </c>
      <c r="C2990" t="s">
        <v>6725</v>
      </c>
      <c r="D2990" t="s">
        <v>6726</v>
      </c>
      <c r="E2990" t="s">
        <v>6727</v>
      </c>
      <c r="F2990" t="s">
        <v>582</v>
      </c>
      <c r="G2990" t="s">
        <v>95</v>
      </c>
      <c r="H2990">
        <v>6800000</v>
      </c>
      <c r="I2990">
        <v>6.4</v>
      </c>
      <c r="J2990" t="s">
        <v>8889</v>
      </c>
    </row>
    <row r="2991" spans="1:10" x14ac:dyDescent="0.3">
      <c r="A2991">
        <v>125</v>
      </c>
      <c r="B2991">
        <v>223878</v>
      </c>
      <c r="C2991" t="s">
        <v>561</v>
      </c>
      <c r="D2991" t="s">
        <v>6728</v>
      </c>
      <c r="E2991" t="s">
        <v>6729</v>
      </c>
      <c r="F2991" t="s">
        <v>4134</v>
      </c>
      <c r="G2991" t="s">
        <v>2993</v>
      </c>
      <c r="H2991">
        <v>5000000</v>
      </c>
      <c r="I2991">
        <v>5.5</v>
      </c>
      <c r="J2991" t="s">
        <v>8917</v>
      </c>
    </row>
    <row r="2992" spans="1:10" x14ac:dyDescent="0.3">
      <c r="A2992">
        <v>115</v>
      </c>
      <c r="B2992">
        <v>8060</v>
      </c>
      <c r="C2992" t="s">
        <v>164</v>
      </c>
      <c r="D2992" t="s">
        <v>6730</v>
      </c>
      <c r="E2992" t="s">
        <v>6731</v>
      </c>
      <c r="F2992" t="s">
        <v>5982</v>
      </c>
      <c r="G2992" t="s">
        <v>6732</v>
      </c>
      <c r="H2992">
        <v>4000000</v>
      </c>
      <c r="I2992">
        <v>7.5</v>
      </c>
      <c r="J2992" t="s">
        <v>9570</v>
      </c>
    </row>
    <row r="2993" spans="1:10" x14ac:dyDescent="0.3">
      <c r="A2993">
        <v>99</v>
      </c>
      <c r="B2993">
        <v>84263837</v>
      </c>
      <c r="C2993" t="s">
        <v>2141</v>
      </c>
      <c r="D2993" t="s">
        <v>6733</v>
      </c>
      <c r="E2993" t="s">
        <v>6734</v>
      </c>
      <c r="F2993" t="s">
        <v>7</v>
      </c>
      <c r="G2993" t="s">
        <v>8</v>
      </c>
      <c r="H2993">
        <v>6500000</v>
      </c>
      <c r="I2993">
        <v>8.1</v>
      </c>
      <c r="J2993" t="s">
        <v>8621</v>
      </c>
    </row>
    <row r="2994" spans="1:10" x14ac:dyDescent="0.3">
      <c r="A2994">
        <v>88</v>
      </c>
      <c r="B2994">
        <v>110029</v>
      </c>
      <c r="C2994" t="s">
        <v>6735</v>
      </c>
      <c r="D2994" t="s">
        <v>6736</v>
      </c>
      <c r="E2994" t="s">
        <v>6737</v>
      </c>
      <c r="F2994" t="s">
        <v>7</v>
      </c>
      <c r="G2994" t="s">
        <v>132</v>
      </c>
      <c r="H2994">
        <v>6500000</v>
      </c>
      <c r="I2994">
        <v>6.3</v>
      </c>
      <c r="J2994" t="s">
        <v>9571</v>
      </c>
    </row>
    <row r="2995" spans="1:10" x14ac:dyDescent="0.3">
      <c r="A2995">
        <v>112</v>
      </c>
      <c r="B2995">
        <v>57504069</v>
      </c>
      <c r="C2995" t="s">
        <v>786</v>
      </c>
      <c r="D2995" t="s">
        <v>6738</v>
      </c>
      <c r="E2995" t="s">
        <v>6739</v>
      </c>
      <c r="F2995" t="s">
        <v>7</v>
      </c>
      <c r="G2995" t="s">
        <v>8</v>
      </c>
      <c r="H2995">
        <v>6000000</v>
      </c>
      <c r="I2995">
        <v>5.0999999999999996</v>
      </c>
      <c r="J2995" t="s">
        <v>8822</v>
      </c>
    </row>
    <row r="2996" spans="1:10" x14ac:dyDescent="0.3">
      <c r="A2996">
        <v>108</v>
      </c>
      <c r="B2996">
        <v>54215416</v>
      </c>
      <c r="C2996" t="s">
        <v>1796</v>
      </c>
      <c r="D2996" t="s">
        <v>6740</v>
      </c>
      <c r="E2996" t="s">
        <v>6741</v>
      </c>
      <c r="F2996" t="s">
        <v>7</v>
      </c>
      <c r="G2996" t="s">
        <v>8</v>
      </c>
      <c r="H2996">
        <v>6500000</v>
      </c>
      <c r="I2996">
        <v>6.8</v>
      </c>
      <c r="J2996" t="s">
        <v>9572</v>
      </c>
    </row>
    <row r="2997" spans="1:10" x14ac:dyDescent="0.3">
      <c r="A2997">
        <v>104</v>
      </c>
      <c r="B2997">
        <v>31899000</v>
      </c>
      <c r="C2997" t="s">
        <v>6742</v>
      </c>
      <c r="D2997" t="s">
        <v>6743</v>
      </c>
      <c r="E2997" t="s">
        <v>6744</v>
      </c>
      <c r="F2997" t="s">
        <v>7</v>
      </c>
      <c r="G2997" t="s">
        <v>8</v>
      </c>
      <c r="H2997">
        <v>6500000</v>
      </c>
      <c r="I2997">
        <v>5.3</v>
      </c>
      <c r="J2997" t="s">
        <v>9573</v>
      </c>
    </row>
    <row r="2998" spans="1:10" x14ac:dyDescent="0.3">
      <c r="A2998">
        <v>108</v>
      </c>
      <c r="B2998">
        <v>24103594</v>
      </c>
      <c r="C2998" t="s">
        <v>6745</v>
      </c>
      <c r="D2998" t="s">
        <v>6746</v>
      </c>
      <c r="E2998" t="s">
        <v>6747</v>
      </c>
      <c r="F2998" t="s">
        <v>7</v>
      </c>
      <c r="G2998" t="s">
        <v>8</v>
      </c>
      <c r="H2998">
        <v>6500000</v>
      </c>
      <c r="I2998">
        <v>7.3</v>
      </c>
      <c r="J2998" t="s">
        <v>9118</v>
      </c>
    </row>
    <row r="2999" spans="1:10" x14ac:dyDescent="0.3">
      <c r="A2999">
        <v>102</v>
      </c>
      <c r="B2999">
        <v>16842303</v>
      </c>
      <c r="C2999" t="s">
        <v>386</v>
      </c>
      <c r="D2999" t="s">
        <v>6748</v>
      </c>
      <c r="E2999" t="s">
        <v>6749</v>
      </c>
      <c r="F2999" t="s">
        <v>7</v>
      </c>
      <c r="G2999" t="s">
        <v>8</v>
      </c>
      <c r="H2999">
        <v>6500000</v>
      </c>
      <c r="I2999">
        <v>7.3</v>
      </c>
      <c r="J2999" t="s">
        <v>9574</v>
      </c>
    </row>
    <row r="3000" spans="1:10" x14ac:dyDescent="0.3">
      <c r="A3000">
        <v>88</v>
      </c>
      <c r="B3000">
        <v>13367101</v>
      </c>
      <c r="C3000" t="s">
        <v>561</v>
      </c>
      <c r="D3000" t="s">
        <v>6750</v>
      </c>
      <c r="E3000" t="s">
        <v>6751</v>
      </c>
      <c r="F3000" t="s">
        <v>7</v>
      </c>
      <c r="G3000" t="s">
        <v>8</v>
      </c>
      <c r="H3000">
        <v>6500000</v>
      </c>
      <c r="I3000">
        <v>7.1</v>
      </c>
      <c r="J3000" t="s">
        <v>8405</v>
      </c>
    </row>
    <row r="3001" spans="1:10" x14ac:dyDescent="0.3">
      <c r="A3001">
        <v>91</v>
      </c>
      <c r="B3001">
        <v>10149779</v>
      </c>
      <c r="C3001" t="s">
        <v>1813</v>
      </c>
      <c r="D3001" t="s">
        <v>6752</v>
      </c>
      <c r="E3001" t="s">
        <v>6753</v>
      </c>
      <c r="F3001" t="s">
        <v>7</v>
      </c>
      <c r="G3001" t="s">
        <v>8</v>
      </c>
      <c r="H3001">
        <v>6500000</v>
      </c>
      <c r="I3001">
        <v>7.6</v>
      </c>
      <c r="J3001" t="s">
        <v>8300</v>
      </c>
    </row>
    <row r="3002" spans="1:10" x14ac:dyDescent="0.3">
      <c r="A3002">
        <v>141</v>
      </c>
      <c r="B3002">
        <v>6173485</v>
      </c>
      <c r="C3002" t="s">
        <v>617</v>
      </c>
      <c r="D3002" t="s">
        <v>6754</v>
      </c>
      <c r="E3002" t="s">
        <v>6755</v>
      </c>
      <c r="F3002" t="s">
        <v>7</v>
      </c>
      <c r="G3002" t="s">
        <v>284</v>
      </c>
      <c r="H3002">
        <v>7000000</v>
      </c>
      <c r="I3002">
        <v>5.3</v>
      </c>
      <c r="J3002" t="s">
        <v>9575</v>
      </c>
    </row>
    <row r="3003" spans="1:10" x14ac:dyDescent="0.3">
      <c r="A3003">
        <v>101</v>
      </c>
      <c r="B3003">
        <v>4000304</v>
      </c>
      <c r="C3003" t="s">
        <v>1417</v>
      </c>
      <c r="D3003" t="s">
        <v>6756</v>
      </c>
      <c r="E3003" t="s">
        <v>6757</v>
      </c>
      <c r="F3003" t="s">
        <v>7</v>
      </c>
      <c r="G3003" t="s">
        <v>15</v>
      </c>
      <c r="H3003">
        <v>6500000</v>
      </c>
      <c r="I3003">
        <v>7.8</v>
      </c>
      <c r="J3003" t="s">
        <v>8937</v>
      </c>
    </row>
    <row r="3004" spans="1:10" x14ac:dyDescent="0.3">
      <c r="A3004">
        <v>105</v>
      </c>
      <c r="B3004">
        <v>2338695</v>
      </c>
      <c r="C3004" t="s">
        <v>873</v>
      </c>
      <c r="D3004" t="s">
        <v>6758</v>
      </c>
      <c r="E3004" t="s">
        <v>6759</v>
      </c>
      <c r="F3004" t="s">
        <v>7</v>
      </c>
      <c r="G3004" t="s">
        <v>15</v>
      </c>
      <c r="H3004">
        <v>4000000</v>
      </c>
      <c r="I3004">
        <v>7.7</v>
      </c>
      <c r="J3004" t="s">
        <v>9576</v>
      </c>
    </row>
    <row r="3005" spans="1:10" x14ac:dyDescent="0.3">
      <c r="A3005">
        <v>100</v>
      </c>
      <c r="B3005">
        <v>2024854</v>
      </c>
      <c r="C3005" t="s">
        <v>710</v>
      </c>
      <c r="D3005" t="s">
        <v>6760</v>
      </c>
      <c r="E3005" t="s">
        <v>6761</v>
      </c>
      <c r="F3005" t="s">
        <v>7</v>
      </c>
      <c r="G3005" t="s">
        <v>8</v>
      </c>
      <c r="H3005">
        <v>6500000</v>
      </c>
      <c r="I3005">
        <v>7.7</v>
      </c>
      <c r="J3005" t="s">
        <v>9247</v>
      </c>
    </row>
    <row r="3006" spans="1:10" x14ac:dyDescent="0.3">
      <c r="A3006">
        <v>116</v>
      </c>
      <c r="B3006">
        <v>2268296</v>
      </c>
      <c r="C3006" t="s">
        <v>1704</v>
      </c>
      <c r="D3006" t="s">
        <v>6762</v>
      </c>
      <c r="E3006" t="s">
        <v>6763</v>
      </c>
      <c r="F3006" t="s">
        <v>7</v>
      </c>
      <c r="G3006" t="s">
        <v>15</v>
      </c>
      <c r="H3006">
        <v>6500000</v>
      </c>
      <c r="I3006">
        <v>5.4</v>
      </c>
      <c r="J3006" t="s">
        <v>9494</v>
      </c>
    </row>
    <row r="3007" spans="1:10" x14ac:dyDescent="0.3">
      <c r="A3007">
        <v>97</v>
      </c>
      <c r="B3007">
        <v>1029017</v>
      </c>
      <c r="C3007" t="s">
        <v>73</v>
      </c>
      <c r="D3007" t="s">
        <v>6764</v>
      </c>
      <c r="E3007" t="s">
        <v>6765</v>
      </c>
      <c r="F3007" t="s">
        <v>7</v>
      </c>
      <c r="G3007" t="s">
        <v>8</v>
      </c>
      <c r="H3007">
        <v>6500000</v>
      </c>
      <c r="I3007">
        <v>6.2</v>
      </c>
      <c r="J3007" t="s">
        <v>9165</v>
      </c>
    </row>
    <row r="3008" spans="1:10" x14ac:dyDescent="0.3">
      <c r="A3008">
        <v>106</v>
      </c>
      <c r="B3008">
        <v>64148</v>
      </c>
      <c r="C3008" t="s">
        <v>1417</v>
      </c>
      <c r="D3008" t="s">
        <v>6766</v>
      </c>
      <c r="E3008" t="s">
        <v>6767</v>
      </c>
      <c r="F3008" t="s">
        <v>7</v>
      </c>
      <c r="G3008" t="s">
        <v>15</v>
      </c>
      <c r="H3008">
        <v>6500000</v>
      </c>
      <c r="I3008">
        <v>7.4</v>
      </c>
      <c r="J3008" t="s">
        <v>8900</v>
      </c>
    </row>
    <row r="3009" spans="1:10" x14ac:dyDescent="0.3">
      <c r="A3009">
        <v>105</v>
      </c>
      <c r="B3009">
        <v>66637</v>
      </c>
      <c r="C3009" t="s">
        <v>2353</v>
      </c>
      <c r="D3009" t="s">
        <v>6768</v>
      </c>
      <c r="E3009" t="s">
        <v>6769</v>
      </c>
      <c r="F3009" t="s">
        <v>7</v>
      </c>
      <c r="G3009" t="s">
        <v>8</v>
      </c>
      <c r="H3009">
        <v>6500000</v>
      </c>
      <c r="I3009">
        <v>6.2</v>
      </c>
      <c r="J3009" t="s">
        <v>9577</v>
      </c>
    </row>
    <row r="3010" spans="1:10" x14ac:dyDescent="0.3">
      <c r="A3010">
        <v>122</v>
      </c>
      <c r="B3010">
        <v>871577</v>
      </c>
      <c r="C3010" t="s">
        <v>1796</v>
      </c>
      <c r="D3010" t="s">
        <v>6770</v>
      </c>
      <c r="E3010" t="s">
        <v>6771</v>
      </c>
      <c r="F3010" t="s">
        <v>7</v>
      </c>
      <c r="G3010" t="s">
        <v>15</v>
      </c>
      <c r="H3010">
        <v>4500000</v>
      </c>
      <c r="I3010">
        <v>5.0999999999999996</v>
      </c>
      <c r="J3010" t="s">
        <v>9578</v>
      </c>
    </row>
    <row r="3011" spans="1:10" x14ac:dyDescent="0.3">
      <c r="A3011">
        <v>107</v>
      </c>
      <c r="B3011">
        <v>38400000</v>
      </c>
      <c r="C3011" t="s">
        <v>237</v>
      </c>
      <c r="D3011" t="s">
        <v>6772</v>
      </c>
      <c r="E3011" t="s">
        <v>6773</v>
      </c>
      <c r="F3011" t="s">
        <v>7</v>
      </c>
      <c r="G3011" t="s">
        <v>15</v>
      </c>
      <c r="H3011">
        <v>6500000</v>
      </c>
      <c r="I3011">
        <v>6.9</v>
      </c>
      <c r="J3011" t="s">
        <v>9579</v>
      </c>
    </row>
    <row r="3012" spans="1:10" x14ac:dyDescent="0.3">
      <c r="A3012">
        <v>121</v>
      </c>
      <c r="B3012">
        <v>4063859</v>
      </c>
      <c r="C3012" t="s">
        <v>73</v>
      </c>
      <c r="D3012" t="s">
        <v>6774</v>
      </c>
      <c r="E3012" t="s">
        <v>6775</v>
      </c>
      <c r="F3012" t="s">
        <v>3702</v>
      </c>
      <c r="G3012" t="s">
        <v>284</v>
      </c>
      <c r="H3012">
        <v>4800000</v>
      </c>
      <c r="I3012">
        <v>6.3</v>
      </c>
      <c r="J3012" t="s">
        <v>9580</v>
      </c>
    </row>
    <row r="3013" spans="1:10" x14ac:dyDescent="0.3">
      <c r="A3013">
        <v>98</v>
      </c>
      <c r="B3013">
        <v>449558</v>
      </c>
      <c r="C3013" t="s">
        <v>653</v>
      </c>
      <c r="D3013" t="s">
        <v>6776</v>
      </c>
      <c r="E3013" t="s">
        <v>6777</v>
      </c>
      <c r="F3013" t="s">
        <v>7</v>
      </c>
      <c r="G3013" t="s">
        <v>15</v>
      </c>
      <c r="H3013">
        <v>10000000</v>
      </c>
      <c r="I3013">
        <v>6.8</v>
      </c>
      <c r="J3013" t="s">
        <v>9581</v>
      </c>
    </row>
    <row r="3014" spans="1:10" x14ac:dyDescent="0.3">
      <c r="A3014">
        <v>123</v>
      </c>
      <c r="B3014">
        <v>2122561</v>
      </c>
      <c r="C3014" t="s">
        <v>672</v>
      </c>
      <c r="D3014" t="s">
        <v>6778</v>
      </c>
      <c r="E3014" t="s">
        <v>6779</v>
      </c>
      <c r="F3014" t="s">
        <v>7</v>
      </c>
      <c r="G3014" t="s">
        <v>8</v>
      </c>
      <c r="H3014">
        <v>6000000</v>
      </c>
      <c r="I3014">
        <v>7.4</v>
      </c>
      <c r="J3014" t="s">
        <v>8917</v>
      </c>
    </row>
    <row r="3015" spans="1:10" x14ac:dyDescent="0.3">
      <c r="A3015">
        <v>110</v>
      </c>
      <c r="B3015">
        <v>181360000</v>
      </c>
      <c r="C3015" t="s">
        <v>6780</v>
      </c>
      <c r="D3015" t="s">
        <v>6781</v>
      </c>
      <c r="E3015" t="s">
        <v>6782</v>
      </c>
      <c r="F3015" t="s">
        <v>7</v>
      </c>
      <c r="G3015" t="s">
        <v>8</v>
      </c>
      <c r="H3015">
        <v>6000000</v>
      </c>
      <c r="I3015">
        <v>5.7</v>
      </c>
      <c r="J3015" t="s">
        <v>9180</v>
      </c>
    </row>
    <row r="3016" spans="1:10" x14ac:dyDescent="0.3">
      <c r="A3016">
        <v>120</v>
      </c>
      <c r="B3016">
        <v>137963328</v>
      </c>
      <c r="C3016" t="s">
        <v>1410</v>
      </c>
      <c r="D3016" t="s">
        <v>6783</v>
      </c>
      <c r="E3016" t="s">
        <v>6784</v>
      </c>
      <c r="F3016" t="s">
        <v>7</v>
      </c>
      <c r="G3016" t="s">
        <v>15</v>
      </c>
      <c r="H3016">
        <v>6000000</v>
      </c>
      <c r="I3016">
        <v>5.8</v>
      </c>
      <c r="J3016" t="s">
        <v>9582</v>
      </c>
    </row>
    <row r="3017" spans="1:10" x14ac:dyDescent="0.3">
      <c r="A3017">
        <v>122</v>
      </c>
      <c r="B3017">
        <v>119078393</v>
      </c>
      <c r="C3017" t="s">
        <v>6785</v>
      </c>
      <c r="D3017" t="s">
        <v>6786</v>
      </c>
      <c r="E3017" t="s">
        <v>6787</v>
      </c>
      <c r="F3017" t="s">
        <v>7</v>
      </c>
      <c r="G3017" t="s">
        <v>8</v>
      </c>
      <c r="H3017">
        <v>6000000</v>
      </c>
      <c r="I3017">
        <v>6.2</v>
      </c>
      <c r="J3017" t="s">
        <v>9583</v>
      </c>
    </row>
    <row r="3018" spans="1:10" x14ac:dyDescent="0.3">
      <c r="A3018">
        <v>110</v>
      </c>
      <c r="B3018">
        <v>102308900</v>
      </c>
      <c r="C3018" t="s">
        <v>6788</v>
      </c>
      <c r="D3018" t="s">
        <v>6789</v>
      </c>
      <c r="E3018" t="s">
        <v>6790</v>
      </c>
      <c r="F3018" t="s">
        <v>7</v>
      </c>
      <c r="G3018" t="s">
        <v>8</v>
      </c>
      <c r="H3018">
        <v>6000000</v>
      </c>
      <c r="I3018">
        <v>4.3</v>
      </c>
      <c r="J3018" t="s">
        <v>9584</v>
      </c>
    </row>
    <row r="3019" spans="1:10" x14ac:dyDescent="0.3">
      <c r="A3019">
        <v>139</v>
      </c>
      <c r="B3019">
        <v>102300000</v>
      </c>
      <c r="C3019" t="s">
        <v>6791</v>
      </c>
      <c r="D3019" t="s">
        <v>6792</v>
      </c>
      <c r="E3019" t="s">
        <v>6793</v>
      </c>
      <c r="F3019" t="s">
        <v>7</v>
      </c>
      <c r="G3019" t="s">
        <v>8</v>
      </c>
      <c r="H3019">
        <v>6000000</v>
      </c>
      <c r="I3019">
        <v>6.4</v>
      </c>
      <c r="J3019" t="s">
        <v>9585</v>
      </c>
    </row>
    <row r="3020" spans="1:10" x14ac:dyDescent="0.3">
      <c r="A3020">
        <v>124</v>
      </c>
      <c r="B3020">
        <v>54800000</v>
      </c>
      <c r="C3020" t="s">
        <v>1417</v>
      </c>
      <c r="D3020" t="s">
        <v>6794</v>
      </c>
      <c r="E3020" t="s">
        <v>6795</v>
      </c>
      <c r="F3020" t="s">
        <v>7</v>
      </c>
      <c r="G3020" t="s">
        <v>8</v>
      </c>
      <c r="H3020">
        <v>6000000</v>
      </c>
      <c r="I3020">
        <v>6</v>
      </c>
      <c r="J3020" t="s">
        <v>9586</v>
      </c>
    </row>
    <row r="3021" spans="1:10" x14ac:dyDescent="0.3">
      <c r="A3021">
        <v>152</v>
      </c>
      <c r="B3021">
        <v>43650000</v>
      </c>
      <c r="C3021" t="s">
        <v>6796</v>
      </c>
      <c r="D3021" t="s">
        <v>6797</v>
      </c>
      <c r="E3021" t="s">
        <v>6798</v>
      </c>
      <c r="F3021" t="s">
        <v>7</v>
      </c>
      <c r="G3021" t="s">
        <v>8</v>
      </c>
      <c r="H3021">
        <v>6000000</v>
      </c>
      <c r="I3021">
        <v>6.9</v>
      </c>
      <c r="J3021" t="s">
        <v>8811</v>
      </c>
    </row>
    <row r="3022" spans="1:10" x14ac:dyDescent="0.3">
      <c r="A3022">
        <v>98</v>
      </c>
      <c r="B3022">
        <v>39800000</v>
      </c>
      <c r="C3022" t="s">
        <v>1632</v>
      </c>
      <c r="D3022" t="s">
        <v>6799</v>
      </c>
      <c r="E3022" t="s">
        <v>6800</v>
      </c>
      <c r="F3022" t="s">
        <v>7</v>
      </c>
      <c r="G3022" t="s">
        <v>8</v>
      </c>
      <c r="H3022">
        <v>6000000</v>
      </c>
      <c r="I3022">
        <v>5.5</v>
      </c>
      <c r="J3022" t="s">
        <v>9587</v>
      </c>
    </row>
    <row r="3023" spans="1:10" x14ac:dyDescent="0.3">
      <c r="A3023">
        <v>106</v>
      </c>
      <c r="B3023">
        <v>27457409</v>
      </c>
      <c r="C3023" t="s">
        <v>1040</v>
      </c>
      <c r="D3023" t="s">
        <v>6801</v>
      </c>
      <c r="E3023" t="s">
        <v>6802</v>
      </c>
      <c r="F3023" t="s">
        <v>7</v>
      </c>
      <c r="G3023" t="s">
        <v>8</v>
      </c>
      <c r="H3023">
        <v>6000000</v>
      </c>
      <c r="I3023">
        <v>5.4</v>
      </c>
      <c r="J3023" t="s">
        <v>9588</v>
      </c>
    </row>
    <row r="3024" spans="1:10" x14ac:dyDescent="0.3">
      <c r="A3024">
        <v>106</v>
      </c>
      <c r="B3024">
        <v>25047631</v>
      </c>
      <c r="C3024" t="s">
        <v>561</v>
      </c>
      <c r="D3024" t="s">
        <v>6803</v>
      </c>
      <c r="E3024" t="s">
        <v>6804</v>
      </c>
      <c r="F3024" t="s">
        <v>7</v>
      </c>
      <c r="G3024" t="s">
        <v>8</v>
      </c>
      <c r="H3024">
        <v>6000000</v>
      </c>
      <c r="I3024">
        <v>8.3000000000000007</v>
      </c>
      <c r="J3024" t="s">
        <v>8621</v>
      </c>
    </row>
    <row r="3025" spans="1:10" x14ac:dyDescent="0.3">
      <c r="A3025">
        <v>106</v>
      </c>
      <c r="B3025">
        <v>23272306</v>
      </c>
      <c r="C3025" t="s">
        <v>882</v>
      </c>
      <c r="D3025" t="s">
        <v>6805</v>
      </c>
      <c r="E3025" t="s">
        <v>6806</v>
      </c>
      <c r="F3025" t="s">
        <v>7</v>
      </c>
      <c r="G3025" t="s">
        <v>8</v>
      </c>
      <c r="H3025">
        <v>6000000</v>
      </c>
      <c r="I3025">
        <v>7.9</v>
      </c>
      <c r="J3025" t="s">
        <v>8332</v>
      </c>
    </row>
    <row r="3026" spans="1:10" x14ac:dyDescent="0.3">
      <c r="A3026">
        <v>89</v>
      </c>
      <c r="B3026">
        <v>22168359</v>
      </c>
      <c r="C3026" t="s">
        <v>6807</v>
      </c>
      <c r="D3026" t="s">
        <v>6808</v>
      </c>
      <c r="E3026" t="s">
        <v>6809</v>
      </c>
      <c r="F3026" t="s">
        <v>7</v>
      </c>
      <c r="G3026" t="s">
        <v>8</v>
      </c>
      <c r="H3026">
        <v>8000000</v>
      </c>
      <c r="I3026">
        <v>6.5</v>
      </c>
      <c r="J3026" t="s">
        <v>9589</v>
      </c>
    </row>
    <row r="3027" spans="1:10" x14ac:dyDescent="0.3">
      <c r="A3027">
        <v>94</v>
      </c>
      <c r="B3027">
        <v>21005329</v>
      </c>
      <c r="C3027" t="s">
        <v>672</v>
      </c>
      <c r="D3027" t="s">
        <v>6810</v>
      </c>
      <c r="E3027" t="s">
        <v>6811</v>
      </c>
      <c r="F3027" t="s">
        <v>7</v>
      </c>
      <c r="G3027" t="s">
        <v>284</v>
      </c>
      <c r="H3027">
        <v>6000000</v>
      </c>
      <c r="I3027">
        <v>6.3</v>
      </c>
      <c r="J3027" t="s">
        <v>9590</v>
      </c>
    </row>
    <row r="3028" spans="1:10" x14ac:dyDescent="0.3">
      <c r="A3028">
        <v>109</v>
      </c>
      <c r="B3028">
        <v>26236603</v>
      </c>
      <c r="C3028" t="s">
        <v>1578</v>
      </c>
      <c r="D3028" t="s">
        <v>6812</v>
      </c>
      <c r="E3028" t="s">
        <v>6813</v>
      </c>
      <c r="F3028" t="s">
        <v>7</v>
      </c>
      <c r="G3028" t="s">
        <v>8</v>
      </c>
      <c r="H3028">
        <v>6000000</v>
      </c>
      <c r="I3028">
        <v>6.4</v>
      </c>
      <c r="J3028" t="s">
        <v>9591</v>
      </c>
    </row>
    <row r="3029" spans="1:10" x14ac:dyDescent="0.3">
      <c r="A3029">
        <v>90</v>
      </c>
      <c r="B3029">
        <v>18621249</v>
      </c>
      <c r="C3029" t="s">
        <v>668</v>
      </c>
      <c r="D3029" t="s">
        <v>6814</v>
      </c>
      <c r="E3029" t="s">
        <v>6815</v>
      </c>
      <c r="F3029" t="s">
        <v>7</v>
      </c>
      <c r="G3029" t="s">
        <v>8</v>
      </c>
      <c r="H3029">
        <v>6000000</v>
      </c>
      <c r="I3029">
        <v>5.3</v>
      </c>
      <c r="J3029" t="s">
        <v>9592</v>
      </c>
    </row>
    <row r="3030" spans="1:10" x14ac:dyDescent="0.3">
      <c r="A3030">
        <v>106</v>
      </c>
      <c r="B3030">
        <v>25244700</v>
      </c>
      <c r="C3030" t="s">
        <v>237</v>
      </c>
      <c r="D3030" t="s">
        <v>6816</v>
      </c>
      <c r="E3030" t="s">
        <v>6817</v>
      </c>
      <c r="F3030" t="s">
        <v>7</v>
      </c>
      <c r="G3030" t="s">
        <v>15</v>
      </c>
      <c r="H3030">
        <v>6000000</v>
      </c>
      <c r="I3030">
        <v>5.8</v>
      </c>
      <c r="J3030" t="s">
        <v>9481</v>
      </c>
    </row>
    <row r="3031" spans="1:10" x14ac:dyDescent="0.3">
      <c r="A3031">
        <v>121</v>
      </c>
      <c r="B3031">
        <v>14545844</v>
      </c>
      <c r="C3031" t="s">
        <v>6735</v>
      </c>
      <c r="D3031" t="s">
        <v>6818</v>
      </c>
      <c r="E3031" t="s">
        <v>6819</v>
      </c>
      <c r="F3031" t="s">
        <v>7</v>
      </c>
      <c r="G3031" t="s">
        <v>8</v>
      </c>
      <c r="H3031">
        <v>6500000</v>
      </c>
      <c r="I3031">
        <v>6.6</v>
      </c>
      <c r="J3031" t="s">
        <v>9593</v>
      </c>
    </row>
    <row r="3032" spans="1:10" x14ac:dyDescent="0.3">
      <c r="A3032">
        <v>89</v>
      </c>
      <c r="B3032">
        <v>13235267</v>
      </c>
      <c r="C3032" t="s">
        <v>1261</v>
      </c>
      <c r="D3032" t="s">
        <v>6820</v>
      </c>
      <c r="E3032" t="s">
        <v>6821</v>
      </c>
      <c r="F3032" t="s">
        <v>7</v>
      </c>
      <c r="G3032" t="s">
        <v>8</v>
      </c>
      <c r="H3032">
        <v>6000000</v>
      </c>
      <c r="I3032">
        <v>7.4</v>
      </c>
      <c r="J3032" t="s">
        <v>9594</v>
      </c>
    </row>
    <row r="3033" spans="1:10" x14ac:dyDescent="0.3">
      <c r="A3033">
        <v>104</v>
      </c>
      <c r="B3033">
        <v>12793213</v>
      </c>
      <c r="C3033" t="s">
        <v>561</v>
      </c>
      <c r="D3033" t="s">
        <v>6822</v>
      </c>
      <c r="E3033" t="s">
        <v>6823</v>
      </c>
      <c r="F3033" t="s">
        <v>7</v>
      </c>
      <c r="G3033" t="s">
        <v>8</v>
      </c>
      <c r="H3033">
        <v>6000000</v>
      </c>
      <c r="I3033">
        <v>8.3000000000000007</v>
      </c>
      <c r="J3033" t="s">
        <v>8818</v>
      </c>
    </row>
    <row r="3034" spans="1:10" x14ac:dyDescent="0.3">
      <c r="A3034">
        <v>99</v>
      </c>
      <c r="B3034">
        <v>11883495</v>
      </c>
      <c r="C3034" t="s">
        <v>1024</v>
      </c>
      <c r="D3034" t="s">
        <v>6824</v>
      </c>
      <c r="E3034" t="s">
        <v>6825</v>
      </c>
      <c r="F3034" t="s">
        <v>7</v>
      </c>
      <c r="G3034" t="s">
        <v>15</v>
      </c>
      <c r="H3034">
        <v>9000000</v>
      </c>
      <c r="I3034">
        <v>5.3</v>
      </c>
      <c r="J3034" t="s">
        <v>9595</v>
      </c>
    </row>
    <row r="3035" spans="1:10" x14ac:dyDescent="0.3">
      <c r="A3035">
        <v>98</v>
      </c>
      <c r="B3035">
        <v>11797927</v>
      </c>
      <c r="C3035" t="s">
        <v>5343</v>
      </c>
      <c r="D3035" t="s">
        <v>6826</v>
      </c>
      <c r="E3035" t="s">
        <v>6827</v>
      </c>
      <c r="F3035" t="s">
        <v>7</v>
      </c>
      <c r="G3035" t="s">
        <v>8</v>
      </c>
      <c r="H3035">
        <v>6000000</v>
      </c>
      <c r="I3035">
        <v>6.2</v>
      </c>
      <c r="J3035" t="s">
        <v>9596</v>
      </c>
    </row>
    <row r="3036" spans="1:10" x14ac:dyDescent="0.3">
      <c r="A3036">
        <v>121</v>
      </c>
      <c r="B3036">
        <v>17605861</v>
      </c>
      <c r="C3036" t="s">
        <v>2519</v>
      </c>
      <c r="D3036" t="s">
        <v>6828</v>
      </c>
      <c r="E3036" t="s">
        <v>6829</v>
      </c>
      <c r="F3036" t="s">
        <v>7</v>
      </c>
      <c r="G3036" t="s">
        <v>15</v>
      </c>
      <c r="H3036">
        <v>6000000</v>
      </c>
      <c r="I3036">
        <v>6.9</v>
      </c>
      <c r="J3036" t="s">
        <v>8539</v>
      </c>
    </row>
    <row r="3037" spans="1:10" x14ac:dyDescent="0.3">
      <c r="A3037">
        <v>96</v>
      </c>
      <c r="B3037">
        <v>11642254</v>
      </c>
      <c r="C3037" t="s">
        <v>2324</v>
      </c>
      <c r="D3037" t="s">
        <v>6830</v>
      </c>
      <c r="E3037" t="s">
        <v>6831</v>
      </c>
      <c r="F3037" t="s">
        <v>7</v>
      </c>
      <c r="G3037" t="s">
        <v>8</v>
      </c>
      <c r="H3037">
        <v>3000000</v>
      </c>
      <c r="I3037">
        <v>5.9</v>
      </c>
      <c r="J3037" t="s">
        <v>8411</v>
      </c>
    </row>
    <row r="3038" spans="1:10" x14ac:dyDescent="0.3">
      <c r="A3038">
        <v>99</v>
      </c>
      <c r="B3038">
        <v>9203192</v>
      </c>
      <c r="C3038" t="s">
        <v>3876</v>
      </c>
      <c r="D3038" t="s">
        <v>6832</v>
      </c>
      <c r="E3038" t="s">
        <v>6833</v>
      </c>
      <c r="F3038" t="s">
        <v>7</v>
      </c>
      <c r="G3038" t="s">
        <v>8</v>
      </c>
      <c r="H3038">
        <v>5000000</v>
      </c>
      <c r="I3038">
        <v>6.1</v>
      </c>
      <c r="J3038" t="s">
        <v>9597</v>
      </c>
    </row>
    <row r="3039" spans="1:10" x14ac:dyDescent="0.3">
      <c r="A3039">
        <v>42</v>
      </c>
      <c r="B3039">
        <v>7518876</v>
      </c>
      <c r="C3039" t="s">
        <v>6834</v>
      </c>
      <c r="D3039" t="s">
        <v>6835</v>
      </c>
      <c r="E3039" t="s">
        <v>6836</v>
      </c>
      <c r="F3039" t="s">
        <v>7</v>
      </c>
      <c r="G3039" t="s">
        <v>15</v>
      </c>
      <c r="H3039">
        <v>6000000</v>
      </c>
      <c r="I3039">
        <v>5.8</v>
      </c>
      <c r="J3039" t="s">
        <v>9353</v>
      </c>
    </row>
    <row r="3040" spans="1:10" x14ac:dyDescent="0.3">
      <c r="A3040">
        <v>122</v>
      </c>
      <c r="B3040">
        <v>8596914</v>
      </c>
      <c r="C3040" t="s">
        <v>617</v>
      </c>
      <c r="D3040" t="s">
        <v>6837</v>
      </c>
      <c r="E3040" t="s">
        <v>6838</v>
      </c>
      <c r="F3040" t="s">
        <v>7</v>
      </c>
      <c r="G3040" t="s">
        <v>8</v>
      </c>
      <c r="H3040">
        <v>6000000</v>
      </c>
      <c r="I3040">
        <v>7.3</v>
      </c>
      <c r="J3040" t="s">
        <v>8892</v>
      </c>
    </row>
    <row r="3041" spans="1:10" x14ac:dyDescent="0.3">
      <c r="A3041">
        <v>101</v>
      </c>
      <c r="B3041">
        <v>6851636</v>
      </c>
      <c r="C3041" t="s">
        <v>561</v>
      </c>
      <c r="D3041" t="s">
        <v>6839</v>
      </c>
      <c r="E3041" t="s">
        <v>6840</v>
      </c>
      <c r="F3041" t="s">
        <v>7</v>
      </c>
      <c r="G3041" t="s">
        <v>8</v>
      </c>
      <c r="H3041">
        <v>6000000</v>
      </c>
      <c r="I3041">
        <v>5.9</v>
      </c>
      <c r="J3041" t="s">
        <v>9596</v>
      </c>
    </row>
    <row r="3042" spans="1:10" x14ac:dyDescent="0.3">
      <c r="A3042">
        <v>102</v>
      </c>
      <c r="B3042">
        <v>11434867</v>
      </c>
      <c r="C3042" t="s">
        <v>1356</v>
      </c>
      <c r="D3042" t="s">
        <v>6841</v>
      </c>
      <c r="E3042" t="s">
        <v>6842</v>
      </c>
      <c r="F3042" t="s">
        <v>7</v>
      </c>
      <c r="G3042" t="s">
        <v>8</v>
      </c>
      <c r="H3042">
        <v>6000000</v>
      </c>
      <c r="I3042">
        <v>5.5</v>
      </c>
      <c r="J3042" t="s">
        <v>8878</v>
      </c>
    </row>
    <row r="3043" spans="1:10" x14ac:dyDescent="0.3">
      <c r="A3043">
        <v>84</v>
      </c>
      <c r="B3043">
        <v>5895238</v>
      </c>
      <c r="C3043" t="s">
        <v>1875</v>
      </c>
      <c r="D3043" t="s">
        <v>6843</v>
      </c>
      <c r="E3043" t="s">
        <v>6844</v>
      </c>
      <c r="F3043" t="s">
        <v>1146</v>
      </c>
      <c r="G3043" t="s">
        <v>8</v>
      </c>
      <c r="H3043">
        <v>6000000</v>
      </c>
      <c r="I3043">
        <v>5</v>
      </c>
      <c r="J3043" t="s">
        <v>9088</v>
      </c>
    </row>
    <row r="3044" spans="1:10" x14ac:dyDescent="0.3">
      <c r="A3044">
        <v>104</v>
      </c>
      <c r="B3044">
        <v>6670712</v>
      </c>
      <c r="C3044" t="s">
        <v>1040</v>
      </c>
      <c r="D3044" t="s">
        <v>6845</v>
      </c>
      <c r="E3044" t="s">
        <v>6846</v>
      </c>
      <c r="F3044" t="s">
        <v>7</v>
      </c>
      <c r="G3044" t="s">
        <v>8</v>
      </c>
      <c r="H3044">
        <v>6000000</v>
      </c>
      <c r="I3044">
        <v>7</v>
      </c>
      <c r="J3044" t="s">
        <v>8342</v>
      </c>
    </row>
    <row r="3045" spans="1:10" x14ac:dyDescent="0.3">
      <c r="A3045">
        <v>96</v>
      </c>
      <c r="B3045">
        <v>5359774</v>
      </c>
      <c r="C3045" t="s">
        <v>2509</v>
      </c>
      <c r="D3045" t="s">
        <v>6847</v>
      </c>
      <c r="E3045" t="s">
        <v>6848</v>
      </c>
      <c r="F3045" t="s">
        <v>7</v>
      </c>
      <c r="G3045" t="s">
        <v>3376</v>
      </c>
      <c r="H3045">
        <v>6000000</v>
      </c>
      <c r="I3045">
        <v>7.8</v>
      </c>
      <c r="J3045" t="s">
        <v>9598</v>
      </c>
    </row>
    <row r="3046" spans="1:10" x14ac:dyDescent="0.3">
      <c r="A3046">
        <v>94</v>
      </c>
      <c r="B3046">
        <v>4693919</v>
      </c>
      <c r="C3046" t="s">
        <v>668</v>
      </c>
      <c r="D3046" t="s">
        <v>6849</v>
      </c>
      <c r="E3046" t="s">
        <v>6850</v>
      </c>
      <c r="F3046" t="s">
        <v>7</v>
      </c>
      <c r="G3046" t="s">
        <v>8</v>
      </c>
      <c r="H3046">
        <v>6500000</v>
      </c>
      <c r="I3046">
        <v>6.4</v>
      </c>
      <c r="J3046" t="s">
        <v>8685</v>
      </c>
    </row>
    <row r="3047" spans="1:10" x14ac:dyDescent="0.3">
      <c r="A3047">
        <v>90</v>
      </c>
      <c r="B3047">
        <v>4859475</v>
      </c>
      <c r="C3047" t="s">
        <v>73</v>
      </c>
      <c r="D3047" t="s">
        <v>6851</v>
      </c>
      <c r="E3047" t="s">
        <v>6852</v>
      </c>
      <c r="F3047" t="s">
        <v>7</v>
      </c>
      <c r="G3047" t="s">
        <v>8</v>
      </c>
      <c r="H3047">
        <v>6000000</v>
      </c>
      <c r="I3047">
        <v>5.9</v>
      </c>
      <c r="J3047" t="s">
        <v>9204</v>
      </c>
    </row>
    <row r="3048" spans="1:10" x14ac:dyDescent="0.3">
      <c r="A3048">
        <v>90</v>
      </c>
      <c r="B3048">
        <v>4542775</v>
      </c>
      <c r="C3048" t="s">
        <v>672</v>
      </c>
      <c r="D3048" t="s">
        <v>6853</v>
      </c>
      <c r="E3048" t="s">
        <v>6854</v>
      </c>
      <c r="F3048" t="s">
        <v>7</v>
      </c>
      <c r="G3048" t="s">
        <v>8</v>
      </c>
      <c r="H3048">
        <v>6000000</v>
      </c>
      <c r="I3048">
        <v>7</v>
      </c>
      <c r="J3048" t="s">
        <v>8499</v>
      </c>
    </row>
    <row r="3049" spans="1:10" x14ac:dyDescent="0.3">
      <c r="A3049">
        <v>106</v>
      </c>
      <c r="B3049">
        <v>3588432</v>
      </c>
      <c r="C3049" t="s">
        <v>1040</v>
      </c>
      <c r="D3049" t="s">
        <v>6855</v>
      </c>
      <c r="E3049" t="s">
        <v>6856</v>
      </c>
      <c r="F3049" t="s">
        <v>7</v>
      </c>
      <c r="G3049" t="s">
        <v>8</v>
      </c>
      <c r="H3049">
        <v>6000000</v>
      </c>
      <c r="I3049">
        <v>6.1</v>
      </c>
      <c r="J3049" t="s">
        <v>9097</v>
      </c>
    </row>
    <row r="3050" spans="1:10" x14ac:dyDescent="0.3">
      <c r="A3050">
        <v>96</v>
      </c>
      <c r="B3050">
        <v>4394936</v>
      </c>
      <c r="C3050" t="s">
        <v>1024</v>
      </c>
      <c r="D3050" t="s">
        <v>6857</v>
      </c>
      <c r="E3050" t="s">
        <v>6858</v>
      </c>
      <c r="F3050" t="s">
        <v>7</v>
      </c>
      <c r="G3050" t="s">
        <v>284</v>
      </c>
      <c r="H3050">
        <v>6000000</v>
      </c>
      <c r="I3050">
        <v>6.9</v>
      </c>
      <c r="J3050" t="s">
        <v>8685</v>
      </c>
    </row>
    <row r="3051" spans="1:10" x14ac:dyDescent="0.3">
      <c r="A3051">
        <v>95</v>
      </c>
      <c r="B3051">
        <v>3029081</v>
      </c>
      <c r="C3051" t="s">
        <v>1010</v>
      </c>
      <c r="D3051" t="s">
        <v>6859</v>
      </c>
      <c r="E3051" t="s">
        <v>6860</v>
      </c>
      <c r="F3051" t="s">
        <v>7</v>
      </c>
      <c r="G3051" t="s">
        <v>8</v>
      </c>
      <c r="H3051">
        <v>6000000</v>
      </c>
      <c r="I3051">
        <v>7.5</v>
      </c>
      <c r="J3051" t="s">
        <v>9599</v>
      </c>
    </row>
    <row r="3052" spans="1:10" x14ac:dyDescent="0.3">
      <c r="A3052">
        <v>99</v>
      </c>
      <c r="B3052">
        <v>3273588</v>
      </c>
      <c r="C3052" t="s">
        <v>289</v>
      </c>
      <c r="D3052" t="s">
        <v>6861</v>
      </c>
      <c r="E3052" t="s">
        <v>6862</v>
      </c>
      <c r="F3052" t="s">
        <v>7</v>
      </c>
      <c r="G3052" t="s">
        <v>8</v>
      </c>
      <c r="H3052">
        <v>6000000</v>
      </c>
      <c r="I3052">
        <v>7.3</v>
      </c>
      <c r="J3052" t="s">
        <v>8690</v>
      </c>
    </row>
    <row r="3053" spans="1:10" x14ac:dyDescent="0.3">
      <c r="A3053">
        <v>99</v>
      </c>
      <c r="B3053">
        <v>2207975</v>
      </c>
      <c r="C3053" t="s">
        <v>2754</v>
      </c>
      <c r="D3053" t="s">
        <v>6863</v>
      </c>
      <c r="E3053" t="s">
        <v>6864</v>
      </c>
      <c r="F3053" t="s">
        <v>7</v>
      </c>
      <c r="G3053" t="s">
        <v>8</v>
      </c>
      <c r="H3053">
        <v>6000000</v>
      </c>
      <c r="I3053">
        <v>6.5</v>
      </c>
      <c r="J3053" t="s">
        <v>9600</v>
      </c>
    </row>
    <row r="3054" spans="1:10" x14ac:dyDescent="0.3">
      <c r="A3054">
        <v>95</v>
      </c>
      <c r="B3054">
        <v>2025238</v>
      </c>
      <c r="C3054" t="s">
        <v>2226</v>
      </c>
      <c r="D3054" t="s">
        <v>6865</v>
      </c>
      <c r="E3054" t="s">
        <v>6866</v>
      </c>
      <c r="F3054" t="s">
        <v>7</v>
      </c>
      <c r="G3054" t="s">
        <v>8</v>
      </c>
      <c r="H3054">
        <v>6000000</v>
      </c>
      <c r="I3054">
        <v>6.2</v>
      </c>
      <c r="J3054" t="s">
        <v>8377</v>
      </c>
    </row>
    <row r="3055" spans="1:10" x14ac:dyDescent="0.3">
      <c r="A3055">
        <v>99</v>
      </c>
      <c r="B3055">
        <v>2077046</v>
      </c>
      <c r="C3055" t="s">
        <v>561</v>
      </c>
      <c r="D3055" t="s">
        <v>6867</v>
      </c>
      <c r="E3055" t="s">
        <v>6868</v>
      </c>
      <c r="F3055" t="s">
        <v>7</v>
      </c>
      <c r="G3055" t="s">
        <v>8</v>
      </c>
      <c r="H3055">
        <v>6000000</v>
      </c>
      <c r="I3055">
        <v>6.7</v>
      </c>
      <c r="J3055" t="s">
        <v>9407</v>
      </c>
    </row>
    <row r="3056" spans="1:10" x14ac:dyDescent="0.3">
      <c r="A3056">
        <v>107</v>
      </c>
      <c r="B3056">
        <v>869325</v>
      </c>
      <c r="C3056" t="s">
        <v>4</v>
      </c>
      <c r="D3056" t="s">
        <v>6869</v>
      </c>
      <c r="E3056" t="s">
        <v>6870</v>
      </c>
      <c r="F3056" t="s">
        <v>7</v>
      </c>
      <c r="G3056" t="s">
        <v>8</v>
      </c>
      <c r="H3056">
        <v>6000000</v>
      </c>
      <c r="I3056">
        <v>6</v>
      </c>
      <c r="J3056" t="s">
        <v>9219</v>
      </c>
    </row>
    <row r="3057" spans="1:10" x14ac:dyDescent="0.3">
      <c r="A3057">
        <v>90</v>
      </c>
      <c r="B3057">
        <v>399611</v>
      </c>
      <c r="C3057" t="s">
        <v>653</v>
      </c>
      <c r="D3057" t="s">
        <v>6871</v>
      </c>
      <c r="E3057" t="s">
        <v>6872</v>
      </c>
      <c r="F3057" t="s">
        <v>7</v>
      </c>
      <c r="G3057" t="s">
        <v>8</v>
      </c>
      <c r="H3057">
        <v>6000000</v>
      </c>
      <c r="I3057">
        <v>6.3</v>
      </c>
      <c r="J3057" t="s">
        <v>9527</v>
      </c>
    </row>
    <row r="3058" spans="1:10" x14ac:dyDescent="0.3">
      <c r="A3058">
        <v>96</v>
      </c>
      <c r="B3058">
        <v>115862</v>
      </c>
      <c r="C3058" t="s">
        <v>73</v>
      </c>
      <c r="D3058" t="s">
        <v>6873</v>
      </c>
      <c r="E3058" t="s">
        <v>6874</v>
      </c>
      <c r="F3058" t="s">
        <v>7</v>
      </c>
      <c r="G3058" t="s">
        <v>8</v>
      </c>
      <c r="H3058">
        <v>6000000</v>
      </c>
      <c r="I3058">
        <v>5.8</v>
      </c>
      <c r="J3058" t="s">
        <v>9601</v>
      </c>
    </row>
    <row r="3059" spans="1:10" x14ac:dyDescent="0.3">
      <c r="A3059">
        <v>104</v>
      </c>
      <c r="B3059">
        <v>1346503</v>
      </c>
      <c r="C3059" t="s">
        <v>2754</v>
      </c>
      <c r="D3059" t="s">
        <v>6875</v>
      </c>
      <c r="E3059" t="s">
        <v>6876</v>
      </c>
      <c r="F3059" t="s">
        <v>7</v>
      </c>
      <c r="G3059" t="s">
        <v>339</v>
      </c>
      <c r="H3059">
        <v>6000000</v>
      </c>
      <c r="I3059">
        <v>6.1</v>
      </c>
      <c r="J3059" t="s">
        <v>9602</v>
      </c>
    </row>
    <row r="3060" spans="1:10" x14ac:dyDescent="0.3">
      <c r="A3060">
        <v>97</v>
      </c>
      <c r="B3060">
        <v>117560</v>
      </c>
      <c r="C3060" t="s">
        <v>73</v>
      </c>
      <c r="D3060" t="s">
        <v>6877</v>
      </c>
      <c r="E3060" t="s">
        <v>6878</v>
      </c>
      <c r="F3060" t="s">
        <v>7</v>
      </c>
      <c r="G3060" t="s">
        <v>8</v>
      </c>
      <c r="H3060">
        <v>6000000</v>
      </c>
      <c r="I3060">
        <v>6.9</v>
      </c>
      <c r="J3060" t="s">
        <v>9603</v>
      </c>
    </row>
    <row r="3061" spans="1:10" x14ac:dyDescent="0.3">
      <c r="A3061">
        <v>107</v>
      </c>
      <c r="B3061">
        <v>54606</v>
      </c>
      <c r="C3061" t="s">
        <v>1782</v>
      </c>
      <c r="D3061" t="s">
        <v>6879</v>
      </c>
      <c r="E3061" t="s">
        <v>6880</v>
      </c>
      <c r="F3061" t="s">
        <v>7</v>
      </c>
      <c r="G3061" t="s">
        <v>15</v>
      </c>
      <c r="H3061">
        <v>6000000</v>
      </c>
      <c r="I3061">
        <v>8.3000000000000007</v>
      </c>
      <c r="J3061" t="s">
        <v>8422</v>
      </c>
    </row>
    <row r="3062" spans="1:10" x14ac:dyDescent="0.3">
      <c r="A3062">
        <v>85</v>
      </c>
      <c r="B3062">
        <v>36497</v>
      </c>
      <c r="C3062" t="s">
        <v>668</v>
      </c>
      <c r="D3062" t="s">
        <v>6881</v>
      </c>
      <c r="E3062" t="s">
        <v>6882</v>
      </c>
      <c r="F3062" t="s">
        <v>7</v>
      </c>
      <c r="G3062" t="s">
        <v>8</v>
      </c>
      <c r="H3062">
        <v>6000000</v>
      </c>
      <c r="I3062">
        <v>5.4</v>
      </c>
      <c r="J3062" t="s">
        <v>9010</v>
      </c>
    </row>
    <row r="3063" spans="1:10" x14ac:dyDescent="0.3">
      <c r="A3063">
        <v>95</v>
      </c>
      <c r="B3063">
        <v>65804</v>
      </c>
      <c r="C3063" t="s">
        <v>873</v>
      </c>
      <c r="D3063" t="s">
        <v>6883</v>
      </c>
      <c r="E3063" t="s">
        <v>6884</v>
      </c>
      <c r="F3063" t="s">
        <v>7</v>
      </c>
      <c r="G3063" t="s">
        <v>8</v>
      </c>
      <c r="H3063">
        <v>12000000</v>
      </c>
      <c r="I3063">
        <v>6.7</v>
      </c>
      <c r="J3063" t="s">
        <v>9604</v>
      </c>
    </row>
    <row r="3064" spans="1:10" x14ac:dyDescent="0.3">
      <c r="A3064">
        <v>111</v>
      </c>
      <c r="B3064">
        <v>3895664</v>
      </c>
      <c r="C3064" t="s">
        <v>1040</v>
      </c>
      <c r="D3064" t="s">
        <v>6885</v>
      </c>
      <c r="E3064" t="s">
        <v>6886</v>
      </c>
      <c r="F3064" t="s">
        <v>582</v>
      </c>
      <c r="G3064" t="s">
        <v>583</v>
      </c>
      <c r="H3064">
        <v>5300000</v>
      </c>
      <c r="I3064">
        <v>7.4</v>
      </c>
      <c r="J3064" t="s">
        <v>8902</v>
      </c>
    </row>
    <row r="3065" spans="1:10" x14ac:dyDescent="0.3">
      <c r="A3065">
        <v>86</v>
      </c>
      <c r="B3065">
        <v>20200</v>
      </c>
      <c r="C3065" t="s">
        <v>2605</v>
      </c>
      <c r="D3065" t="s">
        <v>6887</v>
      </c>
      <c r="E3065" t="s">
        <v>6888</v>
      </c>
      <c r="F3065" t="s">
        <v>7</v>
      </c>
      <c r="G3065" t="s">
        <v>8</v>
      </c>
      <c r="H3065">
        <v>6000000</v>
      </c>
      <c r="I3065">
        <v>5.6</v>
      </c>
      <c r="J3065" t="s">
        <v>9605</v>
      </c>
    </row>
    <row r="3066" spans="1:10" x14ac:dyDescent="0.3">
      <c r="A3066">
        <v>103</v>
      </c>
      <c r="B3066">
        <v>542860</v>
      </c>
      <c r="C3066" t="s">
        <v>799</v>
      </c>
      <c r="D3066" t="s">
        <v>6889</v>
      </c>
      <c r="E3066" t="s">
        <v>6890</v>
      </c>
      <c r="F3066" t="s">
        <v>4415</v>
      </c>
      <c r="G3066" t="s">
        <v>4416</v>
      </c>
      <c r="H3066">
        <v>4000000</v>
      </c>
      <c r="I3066">
        <v>6.5</v>
      </c>
      <c r="J3066" t="s">
        <v>8552</v>
      </c>
    </row>
    <row r="3067" spans="1:10" x14ac:dyDescent="0.3">
      <c r="A3067">
        <v>111</v>
      </c>
      <c r="B3067">
        <v>11905519</v>
      </c>
      <c r="C3067" t="s">
        <v>164</v>
      </c>
      <c r="D3067" t="s">
        <v>6891</v>
      </c>
      <c r="E3067" t="s">
        <v>6892</v>
      </c>
      <c r="F3067" t="s">
        <v>5514</v>
      </c>
      <c r="G3067" t="s">
        <v>5515</v>
      </c>
      <c r="H3067">
        <v>200000000</v>
      </c>
      <c r="I3067">
        <v>6.5</v>
      </c>
      <c r="J3067" t="s">
        <v>9333</v>
      </c>
    </row>
    <row r="3068" spans="1:10" x14ac:dyDescent="0.3">
      <c r="A3068">
        <v>112</v>
      </c>
      <c r="B3068">
        <v>32541719</v>
      </c>
      <c r="C3068" t="s">
        <v>1872</v>
      </c>
      <c r="D3068" t="s">
        <v>6893</v>
      </c>
      <c r="E3068" t="s">
        <v>6894</v>
      </c>
      <c r="F3068" t="s">
        <v>7</v>
      </c>
      <c r="G3068" t="s">
        <v>15</v>
      </c>
      <c r="H3068">
        <v>3500159</v>
      </c>
      <c r="I3068">
        <v>5.8</v>
      </c>
      <c r="J3068" t="s">
        <v>8632</v>
      </c>
    </row>
    <row r="3069" spans="1:10" x14ac:dyDescent="0.3">
      <c r="A3069">
        <v>141</v>
      </c>
      <c r="B3069">
        <v>3064356</v>
      </c>
      <c r="C3069" t="s">
        <v>73</v>
      </c>
      <c r="D3069" t="s">
        <v>6895</v>
      </c>
      <c r="E3069" t="s">
        <v>6896</v>
      </c>
      <c r="F3069" t="s">
        <v>7</v>
      </c>
      <c r="G3069" t="s">
        <v>8</v>
      </c>
      <c r="H3069">
        <v>5600000</v>
      </c>
      <c r="I3069">
        <v>5</v>
      </c>
      <c r="J3069" t="s">
        <v>9090</v>
      </c>
    </row>
    <row r="3070" spans="1:10" x14ac:dyDescent="0.3">
      <c r="A3070">
        <v>95</v>
      </c>
      <c r="B3070">
        <v>7009668</v>
      </c>
      <c r="C3070" t="s">
        <v>6897</v>
      </c>
      <c r="D3070" t="s">
        <v>6898</v>
      </c>
      <c r="E3070" t="s">
        <v>6899</v>
      </c>
      <c r="F3070" t="s">
        <v>7</v>
      </c>
      <c r="G3070" t="s">
        <v>8</v>
      </c>
      <c r="H3070">
        <v>5600000</v>
      </c>
      <c r="I3070">
        <v>5.5</v>
      </c>
      <c r="J3070" t="s">
        <v>9606</v>
      </c>
    </row>
    <row r="3071" spans="1:10" x14ac:dyDescent="0.3">
      <c r="A3071">
        <v>85</v>
      </c>
      <c r="B3071">
        <v>27024</v>
      </c>
      <c r="C3071" t="s">
        <v>2701</v>
      </c>
      <c r="D3071" t="s">
        <v>6900</v>
      </c>
      <c r="E3071" t="s">
        <v>6901</v>
      </c>
      <c r="F3071" t="s">
        <v>1146</v>
      </c>
      <c r="G3071" t="s">
        <v>1488</v>
      </c>
      <c r="H3071">
        <v>5600000</v>
      </c>
      <c r="I3071">
        <v>6.5</v>
      </c>
      <c r="J3071" t="s">
        <v>9172</v>
      </c>
    </row>
    <row r="3072" spans="1:10" x14ac:dyDescent="0.3">
      <c r="A3072">
        <v>129</v>
      </c>
      <c r="B3072">
        <v>159600000</v>
      </c>
      <c r="C3072" t="s">
        <v>3876</v>
      </c>
      <c r="D3072" t="s">
        <v>6903</v>
      </c>
      <c r="E3072" t="s">
        <v>6904</v>
      </c>
      <c r="F3072" t="s">
        <v>7</v>
      </c>
      <c r="G3072" t="s">
        <v>8</v>
      </c>
      <c r="H3072">
        <v>5500000</v>
      </c>
      <c r="I3072">
        <v>7.2</v>
      </c>
      <c r="J3072" t="s">
        <v>8713</v>
      </c>
    </row>
    <row r="3073" spans="1:10" x14ac:dyDescent="0.3">
      <c r="A3073">
        <v>125</v>
      </c>
      <c r="B3073">
        <v>58800000</v>
      </c>
      <c r="C3073" t="s">
        <v>653</v>
      </c>
      <c r="D3073" t="s">
        <v>6905</v>
      </c>
      <c r="E3073" t="s">
        <v>6906</v>
      </c>
      <c r="F3073" t="s">
        <v>7</v>
      </c>
      <c r="G3073" t="s">
        <v>15</v>
      </c>
      <c r="H3073">
        <v>5500000</v>
      </c>
      <c r="I3073">
        <v>7.3</v>
      </c>
      <c r="J3073" t="s">
        <v>9607</v>
      </c>
    </row>
    <row r="3074" spans="1:10" x14ac:dyDescent="0.3">
      <c r="A3074">
        <v>116</v>
      </c>
      <c r="B3074">
        <v>50382128</v>
      </c>
      <c r="C3074" t="s">
        <v>561</v>
      </c>
      <c r="D3074" t="s">
        <v>6907</v>
      </c>
      <c r="E3074" t="s">
        <v>6908</v>
      </c>
      <c r="F3074" t="s">
        <v>7</v>
      </c>
      <c r="G3074" t="s">
        <v>8</v>
      </c>
      <c r="H3074">
        <v>5500000</v>
      </c>
      <c r="I3074">
        <v>7.2</v>
      </c>
      <c r="J3074" t="s">
        <v>8764</v>
      </c>
    </row>
    <row r="3075" spans="1:10" x14ac:dyDescent="0.3">
      <c r="A3075">
        <v>105</v>
      </c>
      <c r="B3075">
        <v>35811509</v>
      </c>
      <c r="C3075" t="s">
        <v>3706</v>
      </c>
      <c r="D3075" t="s">
        <v>6909</v>
      </c>
      <c r="E3075" t="s">
        <v>6910</v>
      </c>
      <c r="F3075" t="s">
        <v>7</v>
      </c>
      <c r="G3075" t="s">
        <v>132</v>
      </c>
      <c r="H3075">
        <v>5500000</v>
      </c>
      <c r="I3075">
        <v>5.2</v>
      </c>
      <c r="J3075" t="s">
        <v>9608</v>
      </c>
    </row>
    <row r="3076" spans="1:10" x14ac:dyDescent="0.3">
      <c r="A3076">
        <v>90</v>
      </c>
      <c r="B3076">
        <v>24475193</v>
      </c>
      <c r="C3076" t="s">
        <v>561</v>
      </c>
      <c r="D3076" t="s">
        <v>6911</v>
      </c>
      <c r="E3076" t="s">
        <v>6912</v>
      </c>
      <c r="F3076" t="s">
        <v>7</v>
      </c>
      <c r="G3076" t="s">
        <v>8</v>
      </c>
      <c r="H3076">
        <v>3000000</v>
      </c>
      <c r="I3076">
        <v>5.7</v>
      </c>
      <c r="J3076" t="s">
        <v>9609</v>
      </c>
    </row>
    <row r="3077" spans="1:10" x14ac:dyDescent="0.3">
      <c r="A3077">
        <v>111</v>
      </c>
      <c r="B3077">
        <v>6200756</v>
      </c>
      <c r="C3077" t="s">
        <v>1040</v>
      </c>
      <c r="D3077" t="s">
        <v>6913</v>
      </c>
      <c r="E3077" t="s">
        <v>6914</v>
      </c>
      <c r="F3077" t="s">
        <v>7</v>
      </c>
      <c r="G3077" t="s">
        <v>8</v>
      </c>
      <c r="H3077">
        <v>7000000</v>
      </c>
      <c r="I3077">
        <v>4.7</v>
      </c>
      <c r="J3077" t="s">
        <v>9462</v>
      </c>
    </row>
    <row r="3078" spans="1:10" x14ac:dyDescent="0.3">
      <c r="A3078">
        <v>91</v>
      </c>
      <c r="B3078">
        <v>1292119</v>
      </c>
      <c r="C3078" t="s">
        <v>2663</v>
      </c>
      <c r="D3078" t="s">
        <v>6915</v>
      </c>
      <c r="E3078" t="s">
        <v>6916</v>
      </c>
      <c r="F3078" t="s">
        <v>7</v>
      </c>
      <c r="G3078" t="s">
        <v>15</v>
      </c>
      <c r="H3078">
        <v>5500000</v>
      </c>
      <c r="I3078">
        <v>5.9</v>
      </c>
      <c r="J3078" t="s">
        <v>9610</v>
      </c>
    </row>
    <row r="3079" spans="1:10" x14ac:dyDescent="0.3">
      <c r="A3079">
        <v>97</v>
      </c>
      <c r="B3079">
        <v>3629758</v>
      </c>
      <c r="C3079" t="s">
        <v>2605</v>
      </c>
      <c r="D3079" t="s">
        <v>6917</v>
      </c>
      <c r="E3079" t="s">
        <v>6918</v>
      </c>
      <c r="F3079" t="s">
        <v>582</v>
      </c>
      <c r="G3079" t="s">
        <v>583</v>
      </c>
      <c r="H3079">
        <v>5500000</v>
      </c>
      <c r="I3079">
        <v>6.8</v>
      </c>
      <c r="J3079" t="s">
        <v>9280</v>
      </c>
    </row>
    <row r="3080" spans="1:10" x14ac:dyDescent="0.3">
      <c r="A3080">
        <v>92</v>
      </c>
      <c r="B3080">
        <v>6239558</v>
      </c>
      <c r="C3080" t="s">
        <v>1040</v>
      </c>
      <c r="D3080" t="s">
        <v>6919</v>
      </c>
      <c r="E3080" t="s">
        <v>6920</v>
      </c>
      <c r="F3080" t="s">
        <v>7</v>
      </c>
      <c r="G3080" t="s">
        <v>95</v>
      </c>
      <c r="H3080">
        <v>5000000</v>
      </c>
      <c r="I3080">
        <v>5.9</v>
      </c>
      <c r="J3080" t="s">
        <v>9611</v>
      </c>
    </row>
    <row r="3081" spans="1:10" x14ac:dyDescent="0.3">
      <c r="A3081">
        <v>104</v>
      </c>
      <c r="B3081">
        <v>1056102</v>
      </c>
      <c r="C3081" t="s">
        <v>882</v>
      </c>
      <c r="D3081" t="s">
        <v>6921</v>
      </c>
      <c r="E3081" t="s">
        <v>6922</v>
      </c>
      <c r="F3081" t="s">
        <v>7</v>
      </c>
      <c r="G3081" t="s">
        <v>8</v>
      </c>
      <c r="H3081">
        <v>5000000</v>
      </c>
      <c r="I3081">
        <v>5.3</v>
      </c>
      <c r="J3081" t="s">
        <v>9612</v>
      </c>
    </row>
    <row r="3082" spans="1:10" x14ac:dyDescent="0.3">
      <c r="A3082">
        <v>120</v>
      </c>
      <c r="B3082">
        <v>27545445</v>
      </c>
      <c r="C3082" t="s">
        <v>1417</v>
      </c>
      <c r="D3082" t="s">
        <v>6923</v>
      </c>
      <c r="E3082" t="s">
        <v>6924</v>
      </c>
      <c r="F3082" t="s">
        <v>7</v>
      </c>
      <c r="G3082" t="s">
        <v>8</v>
      </c>
      <c r="H3082">
        <v>6500000</v>
      </c>
      <c r="I3082">
        <v>6</v>
      </c>
      <c r="J3082" t="s">
        <v>8872</v>
      </c>
    </row>
    <row r="3083" spans="1:10" x14ac:dyDescent="0.3">
      <c r="A3083">
        <v>99</v>
      </c>
      <c r="B3083">
        <v>56007</v>
      </c>
      <c r="C3083" t="s">
        <v>6467</v>
      </c>
      <c r="D3083" t="s">
        <v>6925</v>
      </c>
      <c r="E3083" t="s">
        <v>6926</v>
      </c>
      <c r="F3083" t="s">
        <v>7</v>
      </c>
      <c r="G3083" t="s">
        <v>8</v>
      </c>
      <c r="H3083">
        <v>5500000</v>
      </c>
      <c r="I3083">
        <v>7.7</v>
      </c>
      <c r="J3083" t="s">
        <v>8763</v>
      </c>
    </row>
    <row r="3084" spans="1:10" x14ac:dyDescent="0.3">
      <c r="A3084">
        <v>93</v>
      </c>
      <c r="B3084">
        <v>611709</v>
      </c>
      <c r="C3084" t="s">
        <v>1040</v>
      </c>
      <c r="D3084" t="s">
        <v>6927</v>
      </c>
      <c r="E3084" t="s">
        <v>6928</v>
      </c>
      <c r="F3084" t="s">
        <v>582</v>
      </c>
      <c r="G3084" t="s">
        <v>6929</v>
      </c>
      <c r="H3084">
        <v>3850000</v>
      </c>
      <c r="I3084">
        <v>4.4000000000000004</v>
      </c>
      <c r="J3084" t="s">
        <v>8851</v>
      </c>
    </row>
    <row r="3085" spans="1:10" x14ac:dyDescent="0.3">
      <c r="A3085">
        <v>99</v>
      </c>
      <c r="B3085">
        <v>22770</v>
      </c>
      <c r="C3085" t="s">
        <v>1040</v>
      </c>
      <c r="D3085" t="s">
        <v>6930</v>
      </c>
      <c r="E3085" t="s">
        <v>6931</v>
      </c>
      <c r="F3085" t="s">
        <v>247</v>
      </c>
      <c r="G3085" t="s">
        <v>248</v>
      </c>
      <c r="H3085">
        <v>5500000</v>
      </c>
      <c r="I3085">
        <v>6.6</v>
      </c>
      <c r="J3085" t="s">
        <v>8690</v>
      </c>
    </row>
    <row r="3086" spans="1:10" x14ac:dyDescent="0.3">
      <c r="A3086">
        <v>96</v>
      </c>
      <c r="B3086">
        <v>27445</v>
      </c>
      <c r="C3086" t="s">
        <v>5281</v>
      </c>
      <c r="D3086" t="s">
        <v>6932</v>
      </c>
      <c r="E3086" t="s">
        <v>6933</v>
      </c>
      <c r="F3086" t="s">
        <v>7</v>
      </c>
      <c r="G3086" t="s">
        <v>8</v>
      </c>
      <c r="H3086">
        <v>9000000</v>
      </c>
      <c r="I3086">
        <v>6.7</v>
      </c>
      <c r="J3086" t="s">
        <v>9613</v>
      </c>
    </row>
    <row r="3087" spans="1:10" x14ac:dyDescent="0.3">
      <c r="A3087">
        <v>96</v>
      </c>
      <c r="B3087">
        <v>766487</v>
      </c>
      <c r="C3087" t="s">
        <v>672</v>
      </c>
      <c r="D3087" t="s">
        <v>6934</v>
      </c>
      <c r="E3087" t="s">
        <v>6935</v>
      </c>
      <c r="F3087" t="s">
        <v>7</v>
      </c>
      <c r="G3087" t="s">
        <v>8</v>
      </c>
      <c r="H3087">
        <v>5250000</v>
      </c>
      <c r="I3087">
        <v>5.5</v>
      </c>
      <c r="J3087" t="s">
        <v>9270</v>
      </c>
    </row>
    <row r="3088" spans="1:10" x14ac:dyDescent="0.3">
      <c r="A3088">
        <v>100</v>
      </c>
      <c r="B3088">
        <v>1196752</v>
      </c>
      <c r="C3088" t="s">
        <v>873</v>
      </c>
      <c r="D3088" t="s">
        <v>6936</v>
      </c>
      <c r="E3088" t="s">
        <v>6937</v>
      </c>
      <c r="F3088" t="s">
        <v>6938</v>
      </c>
      <c r="G3088" t="s">
        <v>5252</v>
      </c>
      <c r="H3088">
        <v>30300000</v>
      </c>
      <c r="I3088">
        <v>6.5</v>
      </c>
      <c r="J3088" t="s">
        <v>8730</v>
      </c>
    </row>
    <row r="3089" spans="1:10" x14ac:dyDescent="0.3">
      <c r="A3089">
        <v>98</v>
      </c>
      <c r="B3089">
        <v>795126</v>
      </c>
      <c r="C3089" t="s">
        <v>2642</v>
      </c>
      <c r="D3089" t="s">
        <v>6939</v>
      </c>
      <c r="E3089" t="s">
        <v>6940</v>
      </c>
      <c r="F3089" t="s">
        <v>7</v>
      </c>
      <c r="G3089" t="s">
        <v>95</v>
      </c>
      <c r="H3089">
        <v>6000000</v>
      </c>
      <c r="I3089">
        <v>6.2</v>
      </c>
      <c r="J3089" t="s">
        <v>8725</v>
      </c>
    </row>
    <row r="3090" spans="1:10" x14ac:dyDescent="0.3">
      <c r="A3090">
        <v>106</v>
      </c>
      <c r="B3090">
        <v>83574831</v>
      </c>
      <c r="C3090" t="s">
        <v>4116</v>
      </c>
      <c r="D3090" t="s">
        <v>6941</v>
      </c>
      <c r="E3090" t="s">
        <v>6942</v>
      </c>
      <c r="F3090" t="s">
        <v>7</v>
      </c>
      <c r="G3090" t="s">
        <v>8</v>
      </c>
      <c r="H3090">
        <v>5000000</v>
      </c>
      <c r="I3090">
        <v>7.1</v>
      </c>
      <c r="J3090" t="s">
        <v>8477</v>
      </c>
    </row>
    <row r="3091" spans="1:10" x14ac:dyDescent="0.3">
      <c r="A3091">
        <v>95</v>
      </c>
      <c r="B3091">
        <v>87025093</v>
      </c>
      <c r="C3091" t="s">
        <v>2141</v>
      </c>
      <c r="D3091" t="s">
        <v>6943</v>
      </c>
      <c r="E3091" t="s">
        <v>6944</v>
      </c>
      <c r="F3091" t="s">
        <v>7</v>
      </c>
      <c r="G3091" t="s">
        <v>8</v>
      </c>
      <c r="H3091">
        <v>4000000</v>
      </c>
      <c r="I3091">
        <v>6.1</v>
      </c>
      <c r="J3091" t="s">
        <v>9614</v>
      </c>
    </row>
    <row r="3092" spans="1:10" x14ac:dyDescent="0.3">
      <c r="A3092">
        <v>104</v>
      </c>
      <c r="B3092">
        <v>71897215</v>
      </c>
      <c r="C3092" t="s">
        <v>6945</v>
      </c>
      <c r="D3092" t="s">
        <v>6946</v>
      </c>
      <c r="E3092" t="s">
        <v>6947</v>
      </c>
      <c r="F3092" t="s">
        <v>7</v>
      </c>
      <c r="G3092" t="s">
        <v>8</v>
      </c>
      <c r="H3092">
        <v>15000000</v>
      </c>
      <c r="I3092">
        <v>7.1</v>
      </c>
      <c r="J3092" t="s">
        <v>8675</v>
      </c>
    </row>
    <row r="3093" spans="1:10" x14ac:dyDescent="0.3">
      <c r="A3093">
        <v>87</v>
      </c>
      <c r="B3093">
        <v>64267897</v>
      </c>
      <c r="C3093" t="s">
        <v>6948</v>
      </c>
      <c r="D3093" t="s">
        <v>6949</v>
      </c>
      <c r="E3093" t="s">
        <v>6950</v>
      </c>
      <c r="F3093" t="s">
        <v>7</v>
      </c>
      <c r="G3093" t="s">
        <v>8</v>
      </c>
      <c r="H3093">
        <v>5000000</v>
      </c>
      <c r="I3093">
        <v>6</v>
      </c>
      <c r="J3093" t="s">
        <v>9416</v>
      </c>
    </row>
    <row r="3094" spans="1:10" x14ac:dyDescent="0.3">
      <c r="A3094">
        <v>81</v>
      </c>
      <c r="B3094">
        <v>56536016</v>
      </c>
      <c r="C3094" t="s">
        <v>2701</v>
      </c>
      <c r="D3094" t="s">
        <v>6951</v>
      </c>
      <c r="E3094" t="s">
        <v>6952</v>
      </c>
      <c r="F3094" t="s">
        <v>7</v>
      </c>
      <c r="G3094" t="s">
        <v>8</v>
      </c>
      <c r="H3094">
        <v>4900000</v>
      </c>
      <c r="I3094">
        <v>7.4</v>
      </c>
      <c r="J3094" t="s">
        <v>9301</v>
      </c>
    </row>
    <row r="3095" spans="1:10" x14ac:dyDescent="0.3">
      <c r="A3095">
        <v>94</v>
      </c>
      <c r="B3095">
        <v>104007828</v>
      </c>
      <c r="C3095" t="s">
        <v>2701</v>
      </c>
      <c r="D3095" t="s">
        <v>6953</v>
      </c>
      <c r="E3095" t="s">
        <v>6954</v>
      </c>
      <c r="F3095" t="s">
        <v>7</v>
      </c>
      <c r="G3095" t="s">
        <v>8</v>
      </c>
      <c r="H3095">
        <v>5000000</v>
      </c>
      <c r="I3095">
        <v>5.9</v>
      </c>
      <c r="J3095" t="s">
        <v>9615</v>
      </c>
    </row>
    <row r="3096" spans="1:10" x14ac:dyDescent="0.3">
      <c r="A3096">
        <v>89</v>
      </c>
      <c r="B3096">
        <v>50820940</v>
      </c>
      <c r="C3096" t="s">
        <v>3143</v>
      </c>
      <c r="D3096" t="s">
        <v>6955</v>
      </c>
      <c r="E3096" t="s">
        <v>6956</v>
      </c>
      <c r="F3096" t="s">
        <v>7</v>
      </c>
      <c r="G3096" t="s">
        <v>8</v>
      </c>
      <c r="H3096">
        <v>5000000</v>
      </c>
      <c r="I3096">
        <v>4.0999999999999996</v>
      </c>
      <c r="J3096" t="s">
        <v>9616</v>
      </c>
    </row>
    <row r="3097" spans="1:10" x14ac:dyDescent="0.3">
      <c r="A3097">
        <v>88</v>
      </c>
      <c r="B3097">
        <v>44793200</v>
      </c>
      <c r="C3097" t="s">
        <v>3779</v>
      </c>
      <c r="D3097" t="s">
        <v>6957</v>
      </c>
      <c r="E3097" t="s">
        <v>6958</v>
      </c>
      <c r="F3097" t="s">
        <v>7</v>
      </c>
      <c r="G3097" t="s">
        <v>8</v>
      </c>
      <c r="H3097">
        <v>4500000</v>
      </c>
      <c r="I3097">
        <v>5.8</v>
      </c>
      <c r="J3097" t="s">
        <v>9617</v>
      </c>
    </row>
    <row r="3098" spans="1:10" x14ac:dyDescent="0.3">
      <c r="A3098">
        <v>115</v>
      </c>
      <c r="B3098">
        <v>44456509</v>
      </c>
      <c r="C3098" t="s">
        <v>1040</v>
      </c>
      <c r="D3098" t="s">
        <v>6959</v>
      </c>
      <c r="E3098" t="s">
        <v>6960</v>
      </c>
      <c r="F3098" t="s">
        <v>1146</v>
      </c>
      <c r="G3098" t="s">
        <v>1193</v>
      </c>
      <c r="H3098">
        <v>5000000</v>
      </c>
      <c r="I3098">
        <v>5.9</v>
      </c>
      <c r="J3098" t="s">
        <v>9618</v>
      </c>
    </row>
    <row r="3099" spans="1:10" x14ac:dyDescent="0.3">
      <c r="A3099">
        <v>96</v>
      </c>
      <c r="B3099">
        <v>53884821</v>
      </c>
      <c r="C3099" t="s">
        <v>2701</v>
      </c>
      <c r="D3099" t="s">
        <v>6961</v>
      </c>
      <c r="E3099" t="s">
        <v>6962</v>
      </c>
      <c r="F3099" t="s">
        <v>7</v>
      </c>
      <c r="G3099" t="s">
        <v>8</v>
      </c>
      <c r="H3099">
        <v>5000000</v>
      </c>
      <c r="I3099">
        <v>7</v>
      </c>
      <c r="J3099" t="s">
        <v>9574</v>
      </c>
    </row>
    <row r="3100" spans="1:10" x14ac:dyDescent="0.3">
      <c r="A3100">
        <v>135</v>
      </c>
      <c r="B3100">
        <v>36000000</v>
      </c>
      <c r="C3100" t="s">
        <v>2754</v>
      </c>
      <c r="D3100" t="s">
        <v>6963</v>
      </c>
      <c r="E3100" t="s">
        <v>6964</v>
      </c>
      <c r="F3100" t="s">
        <v>7</v>
      </c>
      <c r="G3100" t="s">
        <v>8</v>
      </c>
      <c r="H3100">
        <v>5000000</v>
      </c>
      <c r="I3100">
        <v>6.8</v>
      </c>
      <c r="J3100" t="s">
        <v>8879</v>
      </c>
    </row>
    <row r="3101" spans="1:10" x14ac:dyDescent="0.3">
      <c r="A3101">
        <v>93</v>
      </c>
      <c r="B3101">
        <v>34872293</v>
      </c>
      <c r="C3101" t="s">
        <v>3416</v>
      </c>
      <c r="D3101" t="s">
        <v>6965</v>
      </c>
      <c r="E3101" t="s">
        <v>6966</v>
      </c>
      <c r="F3101" t="s">
        <v>7</v>
      </c>
      <c r="G3101" t="s">
        <v>8</v>
      </c>
      <c r="H3101">
        <v>8500000</v>
      </c>
      <c r="I3101">
        <v>7.4</v>
      </c>
      <c r="J3101" t="s">
        <v>9619</v>
      </c>
    </row>
    <row r="3102" spans="1:10" x14ac:dyDescent="0.3">
      <c r="A3102">
        <v>109</v>
      </c>
      <c r="B3102">
        <v>34468224</v>
      </c>
      <c r="C3102" t="s">
        <v>2384</v>
      </c>
      <c r="D3102" t="s">
        <v>6967</v>
      </c>
      <c r="E3102" t="s">
        <v>6968</v>
      </c>
      <c r="F3102" t="s">
        <v>7</v>
      </c>
      <c r="G3102" t="s">
        <v>8</v>
      </c>
      <c r="H3102">
        <v>4500000</v>
      </c>
      <c r="I3102">
        <v>7.1</v>
      </c>
      <c r="J3102" t="s">
        <v>9620</v>
      </c>
    </row>
    <row r="3103" spans="1:10" x14ac:dyDescent="0.3">
      <c r="A3103">
        <v>101</v>
      </c>
      <c r="B3103">
        <v>32453345</v>
      </c>
      <c r="C3103" t="s">
        <v>4116</v>
      </c>
      <c r="D3103" t="s">
        <v>6969</v>
      </c>
      <c r="E3103" t="s">
        <v>6970</v>
      </c>
      <c r="F3103" t="s">
        <v>7</v>
      </c>
      <c r="G3103" t="s">
        <v>8</v>
      </c>
      <c r="H3103">
        <v>5000000</v>
      </c>
      <c r="I3103">
        <v>7</v>
      </c>
      <c r="J3103" t="s">
        <v>9621</v>
      </c>
    </row>
    <row r="3104" spans="1:10" x14ac:dyDescent="0.3">
      <c r="A3104">
        <v>117</v>
      </c>
      <c r="B3104">
        <v>27296514</v>
      </c>
      <c r="C3104" t="s">
        <v>617</v>
      </c>
      <c r="D3104" t="s">
        <v>6971</v>
      </c>
      <c r="E3104" t="s">
        <v>6972</v>
      </c>
      <c r="F3104" t="s">
        <v>7</v>
      </c>
      <c r="G3104" t="s">
        <v>8</v>
      </c>
      <c r="H3104">
        <v>5000000</v>
      </c>
      <c r="I3104">
        <v>5.8</v>
      </c>
      <c r="J3104" t="s">
        <v>8930</v>
      </c>
    </row>
    <row r="3105" spans="1:10" x14ac:dyDescent="0.3">
      <c r="A3105">
        <v>83</v>
      </c>
      <c r="B3105">
        <v>25799043</v>
      </c>
      <c r="C3105" t="s">
        <v>1813</v>
      </c>
      <c r="D3105" t="s">
        <v>6973</v>
      </c>
      <c r="E3105" t="s">
        <v>6974</v>
      </c>
      <c r="F3105" t="s">
        <v>7</v>
      </c>
      <c r="G3105" t="s">
        <v>8</v>
      </c>
      <c r="H3105">
        <v>3300000</v>
      </c>
      <c r="I3105">
        <v>7.8</v>
      </c>
      <c r="J3105" t="s">
        <v>9523</v>
      </c>
    </row>
    <row r="3106" spans="1:10" x14ac:dyDescent="0.3">
      <c r="A3106">
        <v>113</v>
      </c>
      <c r="B3106">
        <v>25530884</v>
      </c>
      <c r="C3106" t="s">
        <v>321</v>
      </c>
      <c r="D3106" t="s">
        <v>6975</v>
      </c>
      <c r="E3106" t="s">
        <v>6976</v>
      </c>
      <c r="F3106" t="s">
        <v>7</v>
      </c>
      <c r="G3106" t="s">
        <v>8</v>
      </c>
      <c r="H3106">
        <v>9000000</v>
      </c>
      <c r="I3106">
        <v>6.5</v>
      </c>
      <c r="J3106" t="s">
        <v>9622</v>
      </c>
    </row>
    <row r="3107" spans="1:10" x14ac:dyDescent="0.3">
      <c r="A3107">
        <v>104</v>
      </c>
      <c r="B3107">
        <v>27689474</v>
      </c>
      <c r="C3107" t="s">
        <v>2141</v>
      </c>
      <c r="D3107" t="s">
        <v>6977</v>
      </c>
      <c r="E3107" t="s">
        <v>6978</v>
      </c>
      <c r="F3107" t="s">
        <v>7</v>
      </c>
      <c r="G3107" t="s">
        <v>8</v>
      </c>
      <c r="H3107">
        <v>5000000</v>
      </c>
      <c r="I3107">
        <v>7</v>
      </c>
      <c r="J3107" t="s">
        <v>8318</v>
      </c>
    </row>
    <row r="3108" spans="1:10" x14ac:dyDescent="0.3">
      <c r="A3108">
        <v>97</v>
      </c>
      <c r="B3108">
        <v>24138847</v>
      </c>
      <c r="C3108" t="s">
        <v>668</v>
      </c>
      <c r="D3108" t="s">
        <v>6979</v>
      </c>
      <c r="E3108" t="s">
        <v>6980</v>
      </c>
      <c r="F3108" t="s">
        <v>7</v>
      </c>
      <c r="G3108" t="s">
        <v>8</v>
      </c>
      <c r="H3108">
        <v>5000000</v>
      </c>
      <c r="I3108">
        <v>6.3</v>
      </c>
      <c r="J3108" t="s">
        <v>8315</v>
      </c>
    </row>
    <row r="3109" spans="1:10" x14ac:dyDescent="0.3">
      <c r="A3109">
        <v>110</v>
      </c>
      <c r="B3109">
        <v>21994911</v>
      </c>
      <c r="C3109" t="s">
        <v>2605</v>
      </c>
      <c r="D3109" t="s">
        <v>6981</v>
      </c>
      <c r="E3109" t="s">
        <v>6982</v>
      </c>
      <c r="F3109" t="s">
        <v>7</v>
      </c>
      <c r="G3109" t="s">
        <v>15</v>
      </c>
      <c r="H3109">
        <v>5000000</v>
      </c>
      <c r="I3109">
        <v>5.3</v>
      </c>
      <c r="J3109" t="s">
        <v>9343</v>
      </c>
    </row>
    <row r="3110" spans="1:10" x14ac:dyDescent="0.3">
      <c r="A3110">
        <v>103</v>
      </c>
      <c r="B3110">
        <v>21501098</v>
      </c>
      <c r="C3110" t="s">
        <v>1040</v>
      </c>
      <c r="D3110" t="s">
        <v>6983</v>
      </c>
      <c r="E3110" t="s">
        <v>6984</v>
      </c>
      <c r="F3110" t="s">
        <v>7</v>
      </c>
      <c r="G3110" t="s">
        <v>8</v>
      </c>
      <c r="H3110">
        <v>5000000</v>
      </c>
      <c r="I3110">
        <v>6.8</v>
      </c>
      <c r="J3110" t="s">
        <v>8502</v>
      </c>
    </row>
    <row r="3111" spans="1:10" x14ac:dyDescent="0.3">
      <c r="A3111">
        <v>94</v>
      </c>
      <c r="B3111">
        <v>19281235</v>
      </c>
      <c r="C3111" t="s">
        <v>2429</v>
      </c>
      <c r="D3111" t="s">
        <v>6985</v>
      </c>
      <c r="E3111" t="s">
        <v>6986</v>
      </c>
      <c r="F3111" t="s">
        <v>7</v>
      </c>
      <c r="G3111" t="s">
        <v>8</v>
      </c>
      <c r="H3111">
        <v>5000000</v>
      </c>
      <c r="I3111">
        <v>5.5</v>
      </c>
      <c r="J3111" t="s">
        <v>9623</v>
      </c>
    </row>
    <row r="3112" spans="1:10" x14ac:dyDescent="0.3">
      <c r="A3112">
        <v>77</v>
      </c>
      <c r="B3112">
        <v>19421271</v>
      </c>
      <c r="C3112" t="s">
        <v>1220</v>
      </c>
      <c r="D3112" t="s">
        <v>6987</v>
      </c>
      <c r="E3112" t="s">
        <v>6988</v>
      </c>
      <c r="F3112" t="s">
        <v>7</v>
      </c>
      <c r="G3112" t="s">
        <v>8</v>
      </c>
      <c r="H3112">
        <v>5000000</v>
      </c>
      <c r="I3112">
        <v>7.4</v>
      </c>
      <c r="J3112" t="s">
        <v>8784</v>
      </c>
    </row>
    <row r="3113" spans="1:10" x14ac:dyDescent="0.3">
      <c r="A3113">
        <v>134</v>
      </c>
      <c r="B3113">
        <v>20733485</v>
      </c>
      <c r="C3113" t="s">
        <v>1417</v>
      </c>
      <c r="D3113" t="s">
        <v>6989</v>
      </c>
      <c r="E3113" t="s">
        <v>6990</v>
      </c>
      <c r="F3113" t="s">
        <v>7</v>
      </c>
      <c r="G3113" t="s">
        <v>8</v>
      </c>
      <c r="H3113">
        <v>5000000</v>
      </c>
      <c r="I3113">
        <v>4.3</v>
      </c>
      <c r="J3113" t="s">
        <v>9045</v>
      </c>
    </row>
    <row r="3114" spans="1:10" x14ac:dyDescent="0.3">
      <c r="A3114">
        <v>90</v>
      </c>
      <c r="B3114">
        <v>24809547</v>
      </c>
      <c r="C3114" t="s">
        <v>1040</v>
      </c>
      <c r="D3114" t="s">
        <v>6991</v>
      </c>
      <c r="E3114" t="s">
        <v>6992</v>
      </c>
      <c r="F3114" t="s">
        <v>7</v>
      </c>
      <c r="G3114" t="s">
        <v>8</v>
      </c>
      <c r="H3114">
        <v>5000000</v>
      </c>
      <c r="I3114">
        <v>6</v>
      </c>
      <c r="J3114" t="s">
        <v>8469</v>
      </c>
    </row>
    <row r="3115" spans="1:10" x14ac:dyDescent="0.3">
      <c r="A3115">
        <v>104</v>
      </c>
      <c r="B3115">
        <v>23031390</v>
      </c>
      <c r="C3115" t="s">
        <v>1040</v>
      </c>
      <c r="D3115" t="s">
        <v>6993</v>
      </c>
      <c r="E3115" t="s">
        <v>6994</v>
      </c>
      <c r="F3115" t="s">
        <v>7</v>
      </c>
      <c r="G3115" t="s">
        <v>8</v>
      </c>
      <c r="H3115">
        <v>4500000</v>
      </c>
      <c r="I3115">
        <v>5.2</v>
      </c>
      <c r="J3115" t="s">
        <v>9624</v>
      </c>
    </row>
    <row r="3116" spans="1:10" x14ac:dyDescent="0.3">
      <c r="A3116">
        <v>93</v>
      </c>
      <c r="B3116">
        <v>21197315</v>
      </c>
      <c r="C3116" t="s">
        <v>1249</v>
      </c>
      <c r="D3116" t="s">
        <v>6995</v>
      </c>
      <c r="E3116" t="s">
        <v>6996</v>
      </c>
      <c r="F3116" t="s">
        <v>7</v>
      </c>
      <c r="G3116" t="s">
        <v>8</v>
      </c>
      <c r="H3116">
        <v>5000000</v>
      </c>
      <c r="I3116">
        <v>6.7</v>
      </c>
      <c r="J3116" t="s">
        <v>9625</v>
      </c>
    </row>
    <row r="3117" spans="1:10" x14ac:dyDescent="0.3">
      <c r="A3117">
        <v>106</v>
      </c>
      <c r="B3117">
        <v>17382982</v>
      </c>
      <c r="C3117" t="s">
        <v>1704</v>
      </c>
      <c r="D3117" t="s">
        <v>6997</v>
      </c>
      <c r="E3117" t="s">
        <v>6998</v>
      </c>
      <c r="F3117" t="s">
        <v>1146</v>
      </c>
      <c r="G3117" t="s">
        <v>8</v>
      </c>
      <c r="H3117">
        <v>5000000</v>
      </c>
      <c r="I3117">
        <v>6.3</v>
      </c>
      <c r="J3117" t="s">
        <v>9053</v>
      </c>
    </row>
    <row r="3118" spans="1:10" x14ac:dyDescent="0.3">
      <c r="A3118">
        <v>101</v>
      </c>
      <c r="B3118">
        <v>18656400</v>
      </c>
      <c r="C3118" t="s">
        <v>1417</v>
      </c>
      <c r="D3118" t="s">
        <v>6999</v>
      </c>
      <c r="E3118" t="s">
        <v>7000</v>
      </c>
      <c r="F3118" t="s">
        <v>7</v>
      </c>
      <c r="G3118" t="s">
        <v>8</v>
      </c>
      <c r="H3118">
        <v>5000000</v>
      </c>
      <c r="I3118">
        <v>8.6</v>
      </c>
      <c r="J3118" t="s">
        <v>8946</v>
      </c>
    </row>
    <row r="3119" spans="1:10" x14ac:dyDescent="0.3">
      <c r="A3119">
        <v>100</v>
      </c>
      <c r="B3119">
        <v>14343976</v>
      </c>
      <c r="C3119" t="s">
        <v>7001</v>
      </c>
      <c r="D3119" t="s">
        <v>7002</v>
      </c>
      <c r="E3119" t="s">
        <v>7003</v>
      </c>
      <c r="F3119" t="s">
        <v>7</v>
      </c>
      <c r="G3119" t="s">
        <v>8</v>
      </c>
      <c r="H3119">
        <v>5000000</v>
      </c>
      <c r="I3119">
        <v>6.1</v>
      </c>
      <c r="J3119" t="s">
        <v>9626</v>
      </c>
    </row>
    <row r="3120" spans="1:10" x14ac:dyDescent="0.3">
      <c r="A3120">
        <v>95</v>
      </c>
      <c r="B3120">
        <v>241437427</v>
      </c>
      <c r="C3120" t="s">
        <v>1126</v>
      </c>
      <c r="D3120" t="s">
        <v>7004</v>
      </c>
      <c r="E3120" t="s">
        <v>7005</v>
      </c>
      <c r="F3120" t="s">
        <v>7</v>
      </c>
      <c r="G3120" t="s">
        <v>8</v>
      </c>
      <c r="H3120">
        <v>5000000</v>
      </c>
      <c r="I3120">
        <v>5.8</v>
      </c>
      <c r="J3120" t="s">
        <v>9627</v>
      </c>
    </row>
    <row r="3121" spans="1:10" x14ac:dyDescent="0.3">
      <c r="A3121">
        <v>94</v>
      </c>
      <c r="B3121">
        <v>14123773</v>
      </c>
      <c r="C3121" t="s">
        <v>786</v>
      </c>
      <c r="D3121" t="s">
        <v>7006</v>
      </c>
      <c r="E3121" t="s">
        <v>7007</v>
      </c>
      <c r="F3121" t="s">
        <v>7</v>
      </c>
      <c r="G3121" t="s">
        <v>8</v>
      </c>
      <c r="H3121">
        <v>5000000</v>
      </c>
      <c r="I3121">
        <v>7.7</v>
      </c>
      <c r="J3121" t="s">
        <v>9628</v>
      </c>
    </row>
    <row r="3122" spans="1:10" x14ac:dyDescent="0.3">
      <c r="A3122">
        <v>93</v>
      </c>
      <c r="B3122">
        <v>15126948</v>
      </c>
      <c r="C3122" t="s">
        <v>2324</v>
      </c>
      <c r="D3122" t="s">
        <v>7008</v>
      </c>
      <c r="E3122" t="s">
        <v>7009</v>
      </c>
      <c r="F3122" t="s">
        <v>7</v>
      </c>
      <c r="G3122" t="s">
        <v>8</v>
      </c>
      <c r="H3122">
        <v>5000000</v>
      </c>
      <c r="I3122">
        <v>8</v>
      </c>
      <c r="J3122" t="s">
        <v>8800</v>
      </c>
    </row>
    <row r="3123" spans="1:10" x14ac:dyDescent="0.3">
      <c r="A3123">
        <v>106</v>
      </c>
      <c r="B3123">
        <v>13622333</v>
      </c>
      <c r="C3123" t="s">
        <v>4797</v>
      </c>
      <c r="D3123" t="s">
        <v>7010</v>
      </c>
      <c r="E3123" t="s">
        <v>7011</v>
      </c>
      <c r="F3123" t="s">
        <v>1146</v>
      </c>
      <c r="G3123" t="s">
        <v>1193</v>
      </c>
      <c r="H3123">
        <v>2000000</v>
      </c>
      <c r="I3123">
        <v>5.6</v>
      </c>
      <c r="J3123" t="s">
        <v>9629</v>
      </c>
    </row>
    <row r="3124" spans="1:10" x14ac:dyDescent="0.3">
      <c r="A3124">
        <v>99</v>
      </c>
      <c r="B3124">
        <v>13464388</v>
      </c>
      <c r="C3124" t="s">
        <v>3210</v>
      </c>
      <c r="D3124" t="s">
        <v>7012</v>
      </c>
      <c r="E3124" t="s">
        <v>7013</v>
      </c>
      <c r="F3124" t="s">
        <v>7</v>
      </c>
      <c r="G3124" t="s">
        <v>15</v>
      </c>
      <c r="H3124">
        <v>4000000</v>
      </c>
      <c r="I3124">
        <v>6.7</v>
      </c>
      <c r="J3124" t="s">
        <v>9630</v>
      </c>
    </row>
    <row r="3125" spans="1:10" x14ac:dyDescent="0.3">
      <c r="A3125">
        <v>82</v>
      </c>
      <c r="B3125">
        <v>13350177</v>
      </c>
      <c r="C3125" t="s">
        <v>1834</v>
      </c>
      <c r="D3125" t="s">
        <v>7014</v>
      </c>
      <c r="E3125" t="s">
        <v>7015</v>
      </c>
      <c r="F3125" t="s">
        <v>7</v>
      </c>
      <c r="G3125" t="s">
        <v>8</v>
      </c>
      <c r="H3125">
        <v>5000000</v>
      </c>
      <c r="I3125">
        <v>6.6</v>
      </c>
      <c r="J3125" t="s">
        <v>9631</v>
      </c>
    </row>
    <row r="3126" spans="1:10" x14ac:dyDescent="0.3">
      <c r="A3126">
        <v>135</v>
      </c>
      <c r="B3126">
        <v>13269963</v>
      </c>
      <c r="C3126" t="s">
        <v>3413</v>
      </c>
      <c r="D3126" t="s">
        <v>7016</v>
      </c>
      <c r="E3126" t="s">
        <v>7017</v>
      </c>
      <c r="F3126" t="s">
        <v>7</v>
      </c>
      <c r="G3126" t="s">
        <v>8</v>
      </c>
      <c r="H3126">
        <v>5000000</v>
      </c>
      <c r="I3126">
        <v>4.2</v>
      </c>
      <c r="J3126" t="s">
        <v>9632</v>
      </c>
    </row>
    <row r="3127" spans="1:10" x14ac:dyDescent="0.3">
      <c r="A3127">
        <v>88</v>
      </c>
      <c r="B3127">
        <v>17768000</v>
      </c>
      <c r="C3127" t="s">
        <v>2324</v>
      </c>
      <c r="D3127" t="s">
        <v>7018</v>
      </c>
      <c r="E3127" t="s">
        <v>7019</v>
      </c>
      <c r="F3127" t="s">
        <v>7</v>
      </c>
      <c r="G3127" t="s">
        <v>8</v>
      </c>
      <c r="H3127">
        <v>5000000</v>
      </c>
      <c r="I3127">
        <v>6.6</v>
      </c>
      <c r="J3127" t="s">
        <v>9227</v>
      </c>
    </row>
    <row r="3128" spans="1:10" x14ac:dyDescent="0.3">
      <c r="A3128">
        <v>89</v>
      </c>
      <c r="B3128">
        <v>12947763</v>
      </c>
      <c r="C3128" t="s">
        <v>2141</v>
      </c>
      <c r="D3128" t="s">
        <v>7020</v>
      </c>
      <c r="E3128" t="s">
        <v>7021</v>
      </c>
      <c r="F3128" t="s">
        <v>7</v>
      </c>
      <c r="G3128" t="s">
        <v>8</v>
      </c>
      <c r="H3128">
        <v>5000000</v>
      </c>
      <c r="I3128">
        <v>4.0999999999999996</v>
      </c>
      <c r="J3128" t="s">
        <v>9633</v>
      </c>
    </row>
    <row r="3129" spans="1:10" x14ac:dyDescent="0.3">
      <c r="A3129">
        <v>110</v>
      </c>
      <c r="B3129">
        <v>14100000</v>
      </c>
      <c r="C3129" t="s">
        <v>1040</v>
      </c>
      <c r="D3129" t="s">
        <v>7022</v>
      </c>
      <c r="E3129" t="s">
        <v>7023</v>
      </c>
      <c r="F3129" t="s">
        <v>7</v>
      </c>
      <c r="G3129" t="s">
        <v>8</v>
      </c>
      <c r="H3129">
        <v>5000000</v>
      </c>
      <c r="I3129">
        <v>7.3</v>
      </c>
      <c r="J3129" t="s">
        <v>9138</v>
      </c>
    </row>
    <row r="3130" spans="1:10" x14ac:dyDescent="0.3">
      <c r="A3130">
        <v>107</v>
      </c>
      <c r="B3130">
        <v>12200000</v>
      </c>
      <c r="C3130" t="s">
        <v>4330</v>
      </c>
      <c r="D3130" t="s">
        <v>7024</v>
      </c>
      <c r="E3130" t="s">
        <v>7025</v>
      </c>
      <c r="F3130" t="s">
        <v>7</v>
      </c>
      <c r="G3130" t="s">
        <v>8</v>
      </c>
      <c r="H3130">
        <v>5000000</v>
      </c>
      <c r="I3130">
        <v>7.1</v>
      </c>
      <c r="J3130" t="s">
        <v>9634</v>
      </c>
    </row>
    <row r="3131" spans="1:10" x14ac:dyDescent="0.3">
      <c r="A3131">
        <v>86</v>
      </c>
      <c r="B3131">
        <v>17683670</v>
      </c>
      <c r="C3131" t="s">
        <v>1787</v>
      </c>
      <c r="D3131" t="s">
        <v>7026</v>
      </c>
      <c r="E3131" t="s">
        <v>7027</v>
      </c>
      <c r="F3131" t="s">
        <v>7</v>
      </c>
      <c r="G3131" t="s">
        <v>8</v>
      </c>
      <c r="H3131">
        <v>5000000</v>
      </c>
      <c r="I3131">
        <v>6.5</v>
      </c>
      <c r="J3131" t="s">
        <v>9635</v>
      </c>
    </row>
    <row r="3132" spans="1:10" x14ac:dyDescent="0.3">
      <c r="A3132">
        <v>91</v>
      </c>
      <c r="B3132">
        <v>12055108</v>
      </c>
      <c r="C3132" t="s">
        <v>1040</v>
      </c>
      <c r="D3132" t="s">
        <v>7028</v>
      </c>
      <c r="E3132" t="s">
        <v>7029</v>
      </c>
      <c r="F3132" t="s">
        <v>7</v>
      </c>
      <c r="G3132" t="s">
        <v>8</v>
      </c>
      <c r="H3132">
        <v>8000000</v>
      </c>
      <c r="I3132">
        <v>7</v>
      </c>
      <c r="J3132" t="s">
        <v>9636</v>
      </c>
    </row>
    <row r="3133" spans="1:10" x14ac:dyDescent="0.3">
      <c r="A3133">
        <v>103</v>
      </c>
      <c r="B3133">
        <v>27285953</v>
      </c>
      <c r="C3133" t="s">
        <v>16</v>
      </c>
      <c r="D3133" t="s">
        <v>7030</v>
      </c>
      <c r="E3133" t="s">
        <v>7031</v>
      </c>
      <c r="F3133" t="s">
        <v>7</v>
      </c>
      <c r="G3133" t="s">
        <v>8</v>
      </c>
      <c r="H3133">
        <v>5000000</v>
      </c>
      <c r="I3133">
        <v>5.5</v>
      </c>
      <c r="J3133" t="s">
        <v>9637</v>
      </c>
    </row>
    <row r="3134" spans="1:10" x14ac:dyDescent="0.3">
      <c r="A3134">
        <v>92</v>
      </c>
      <c r="B3134">
        <v>11675178</v>
      </c>
      <c r="C3134" t="s">
        <v>668</v>
      </c>
      <c r="D3134" t="s">
        <v>7032</v>
      </c>
      <c r="E3134" t="s">
        <v>7033</v>
      </c>
      <c r="F3134" t="s">
        <v>7</v>
      </c>
      <c r="G3134" t="s">
        <v>8</v>
      </c>
      <c r="H3134">
        <v>5000000</v>
      </c>
      <c r="I3134">
        <v>6.6</v>
      </c>
      <c r="J3134" t="s">
        <v>9638</v>
      </c>
    </row>
    <row r="3135" spans="1:10" x14ac:dyDescent="0.3">
      <c r="A3135">
        <v>99</v>
      </c>
      <c r="B3135">
        <v>10572742</v>
      </c>
      <c r="C3135" t="s">
        <v>73</v>
      </c>
      <c r="D3135" t="s">
        <v>7034</v>
      </c>
      <c r="E3135" t="s">
        <v>7035</v>
      </c>
      <c r="F3135" t="s">
        <v>7</v>
      </c>
      <c r="G3135" t="s">
        <v>8</v>
      </c>
      <c r="H3135">
        <v>8000000</v>
      </c>
      <c r="I3135">
        <v>7.1</v>
      </c>
      <c r="J3135" t="s">
        <v>8444</v>
      </c>
    </row>
    <row r="3136" spans="1:10" x14ac:dyDescent="0.3">
      <c r="A3136">
        <v>96</v>
      </c>
      <c r="B3136">
        <v>9658370</v>
      </c>
      <c r="C3136" t="s">
        <v>672</v>
      </c>
      <c r="D3136" t="s">
        <v>7036</v>
      </c>
      <c r="E3136" t="s">
        <v>7037</v>
      </c>
      <c r="F3136" t="s">
        <v>7</v>
      </c>
      <c r="G3136" t="s">
        <v>8</v>
      </c>
      <c r="H3136">
        <v>5000000</v>
      </c>
      <c r="I3136">
        <v>7.9</v>
      </c>
      <c r="J3136" t="s">
        <v>9014</v>
      </c>
    </row>
    <row r="3137" spans="1:10" x14ac:dyDescent="0.3">
      <c r="A3137">
        <v>82</v>
      </c>
      <c r="B3137">
        <v>9628751</v>
      </c>
      <c r="C3137" t="s">
        <v>1306</v>
      </c>
      <c r="D3137" t="s">
        <v>7038</v>
      </c>
      <c r="E3137" t="s">
        <v>7039</v>
      </c>
      <c r="F3137" t="s">
        <v>7</v>
      </c>
      <c r="G3137" t="s">
        <v>8</v>
      </c>
      <c r="H3137">
        <v>5000000</v>
      </c>
      <c r="I3137">
        <v>7.1</v>
      </c>
      <c r="J3137" t="s">
        <v>9639</v>
      </c>
    </row>
    <row r="3138" spans="1:10" x14ac:dyDescent="0.3">
      <c r="A3138">
        <v>92</v>
      </c>
      <c r="B3138">
        <v>8786715</v>
      </c>
      <c r="C3138" t="s">
        <v>1040</v>
      </c>
      <c r="D3138" t="s">
        <v>7040</v>
      </c>
      <c r="E3138" t="s">
        <v>7041</v>
      </c>
      <c r="F3138" t="s">
        <v>7</v>
      </c>
      <c r="G3138" t="s">
        <v>8</v>
      </c>
      <c r="H3138">
        <v>5000000</v>
      </c>
      <c r="I3138">
        <v>5.6</v>
      </c>
      <c r="J3138" t="s">
        <v>9640</v>
      </c>
    </row>
    <row r="3139" spans="1:10" x14ac:dyDescent="0.3">
      <c r="A3139">
        <v>112</v>
      </c>
      <c r="B3139">
        <v>3432342</v>
      </c>
      <c r="C3139" t="s">
        <v>4756</v>
      </c>
      <c r="D3139" t="s">
        <v>7042</v>
      </c>
      <c r="E3139" t="s">
        <v>7043</v>
      </c>
      <c r="F3139" t="s">
        <v>582</v>
      </c>
      <c r="G3139" t="s">
        <v>95</v>
      </c>
      <c r="H3139">
        <v>6000000</v>
      </c>
      <c r="I3139">
        <v>7.3</v>
      </c>
      <c r="J3139" t="s">
        <v>9097</v>
      </c>
    </row>
    <row r="3140" spans="1:10" x14ac:dyDescent="0.3">
      <c r="A3140">
        <v>90</v>
      </c>
      <c r="B3140">
        <v>6755271</v>
      </c>
      <c r="C3140" t="s">
        <v>2324</v>
      </c>
      <c r="D3140" t="s">
        <v>7044</v>
      </c>
      <c r="E3140" t="s">
        <v>7045</v>
      </c>
      <c r="F3140" t="s">
        <v>7</v>
      </c>
      <c r="G3140" t="s">
        <v>8</v>
      </c>
      <c r="H3140">
        <v>5000000</v>
      </c>
      <c r="I3140">
        <v>3.3</v>
      </c>
      <c r="J3140" t="s">
        <v>9641</v>
      </c>
    </row>
    <row r="3141" spans="1:10" x14ac:dyDescent="0.3">
      <c r="A3141">
        <v>150</v>
      </c>
      <c r="B3141">
        <v>6157157</v>
      </c>
      <c r="C3141" t="s">
        <v>1040</v>
      </c>
      <c r="D3141" t="s">
        <v>7046</v>
      </c>
      <c r="E3141" t="s">
        <v>7047</v>
      </c>
      <c r="F3141" t="s">
        <v>7</v>
      </c>
      <c r="G3141" t="s">
        <v>8</v>
      </c>
      <c r="H3141">
        <v>5000000</v>
      </c>
      <c r="I3141">
        <v>6.5</v>
      </c>
      <c r="J3141" t="s">
        <v>8730</v>
      </c>
    </row>
    <row r="3142" spans="1:10" x14ac:dyDescent="0.3">
      <c r="A3142">
        <v>91</v>
      </c>
      <c r="B3142">
        <v>5480318</v>
      </c>
      <c r="C3142" t="s">
        <v>1040</v>
      </c>
      <c r="D3142" t="s">
        <v>7048</v>
      </c>
      <c r="E3142" t="s">
        <v>7049</v>
      </c>
      <c r="F3142" t="s">
        <v>7</v>
      </c>
      <c r="G3142" t="s">
        <v>8</v>
      </c>
      <c r="H3142">
        <v>5000000</v>
      </c>
      <c r="I3142">
        <v>4.8</v>
      </c>
      <c r="J3142" t="s">
        <v>9642</v>
      </c>
    </row>
    <row r="3143" spans="1:10" x14ac:dyDescent="0.3">
      <c r="A3143">
        <v>95</v>
      </c>
      <c r="B3143">
        <v>5308707</v>
      </c>
      <c r="C3143" t="s">
        <v>2226</v>
      </c>
      <c r="D3143" t="s">
        <v>7050</v>
      </c>
      <c r="E3143" t="s">
        <v>7051</v>
      </c>
      <c r="F3143" t="s">
        <v>7</v>
      </c>
      <c r="G3143" t="s">
        <v>8</v>
      </c>
      <c r="H3143">
        <v>5000000</v>
      </c>
      <c r="I3143">
        <v>5.2</v>
      </c>
      <c r="J3143" t="s">
        <v>9526</v>
      </c>
    </row>
    <row r="3144" spans="1:10" x14ac:dyDescent="0.3">
      <c r="A3144">
        <v>97</v>
      </c>
      <c r="B3144">
        <v>5009677</v>
      </c>
      <c r="C3144" t="s">
        <v>2333</v>
      </c>
      <c r="D3144" t="s">
        <v>7052</v>
      </c>
      <c r="E3144" t="s">
        <v>7053</v>
      </c>
      <c r="F3144" t="s">
        <v>7</v>
      </c>
      <c r="G3144" t="s">
        <v>15</v>
      </c>
      <c r="H3144">
        <v>5000000</v>
      </c>
      <c r="I3144">
        <v>6.3</v>
      </c>
      <c r="J3144" t="s">
        <v>9643</v>
      </c>
    </row>
    <row r="3145" spans="1:10" x14ac:dyDescent="0.3">
      <c r="A3145">
        <v>41</v>
      </c>
      <c r="B3145">
        <v>4074023</v>
      </c>
      <c r="C3145" t="s">
        <v>19</v>
      </c>
      <c r="D3145" t="s">
        <v>7054</v>
      </c>
      <c r="E3145" t="s">
        <v>7055</v>
      </c>
      <c r="F3145" t="s">
        <v>7</v>
      </c>
      <c r="G3145" t="s">
        <v>15</v>
      </c>
      <c r="H3145">
        <v>5000000</v>
      </c>
      <c r="I3145">
        <v>7.2</v>
      </c>
      <c r="J3145" t="s">
        <v>8313</v>
      </c>
    </row>
    <row r="3146" spans="1:10" x14ac:dyDescent="0.3">
      <c r="A3146">
        <v>112</v>
      </c>
      <c r="B3146">
        <v>4306697</v>
      </c>
      <c r="C3146" t="s">
        <v>1417</v>
      </c>
      <c r="D3146" t="s">
        <v>7056</v>
      </c>
      <c r="E3146" t="s">
        <v>7057</v>
      </c>
      <c r="F3146" t="s">
        <v>7</v>
      </c>
      <c r="G3146" t="s">
        <v>95</v>
      </c>
      <c r="H3146">
        <v>5000000</v>
      </c>
      <c r="I3146">
        <v>6.8</v>
      </c>
      <c r="J3146" t="s">
        <v>8764</v>
      </c>
    </row>
    <row r="3147" spans="1:10" x14ac:dyDescent="0.3">
      <c r="A3147">
        <v>122</v>
      </c>
      <c r="B3147">
        <v>3950029</v>
      </c>
      <c r="C3147" t="s">
        <v>1417</v>
      </c>
      <c r="D3147" t="s">
        <v>7058</v>
      </c>
      <c r="E3147" t="s">
        <v>7059</v>
      </c>
      <c r="F3147" t="s">
        <v>582</v>
      </c>
      <c r="G3147" t="s">
        <v>583</v>
      </c>
      <c r="H3147">
        <v>4000000</v>
      </c>
      <c r="I3147">
        <v>5.7</v>
      </c>
      <c r="J3147" t="s">
        <v>9644</v>
      </c>
    </row>
    <row r="3148" spans="1:10" x14ac:dyDescent="0.3">
      <c r="A3148">
        <v>110</v>
      </c>
      <c r="B3148">
        <v>4040588</v>
      </c>
      <c r="C3148" t="s">
        <v>1040</v>
      </c>
      <c r="D3148" t="s">
        <v>7060</v>
      </c>
      <c r="E3148" t="s">
        <v>7061</v>
      </c>
      <c r="F3148" t="s">
        <v>7</v>
      </c>
      <c r="G3148" t="s">
        <v>8</v>
      </c>
      <c r="H3148">
        <v>5000000</v>
      </c>
      <c r="I3148">
        <v>7.2</v>
      </c>
      <c r="J3148" t="s">
        <v>9153</v>
      </c>
    </row>
    <row r="3149" spans="1:10" x14ac:dyDescent="0.3">
      <c r="A3149">
        <v>108</v>
      </c>
      <c r="B3149">
        <v>3049135</v>
      </c>
      <c r="C3149" t="s">
        <v>7062</v>
      </c>
      <c r="D3149" t="s">
        <v>7063</v>
      </c>
      <c r="E3149" t="s">
        <v>7064</v>
      </c>
      <c r="F3149" t="s">
        <v>7</v>
      </c>
      <c r="G3149" t="s">
        <v>59</v>
      </c>
      <c r="H3149">
        <v>5000000</v>
      </c>
      <c r="I3149">
        <v>6.9</v>
      </c>
      <c r="J3149" t="s">
        <v>8974</v>
      </c>
    </row>
    <row r="3150" spans="1:10" x14ac:dyDescent="0.3">
      <c r="A3150">
        <v>97</v>
      </c>
      <c r="B3150">
        <v>2711210</v>
      </c>
      <c r="C3150" t="s">
        <v>1040</v>
      </c>
      <c r="D3150" t="s">
        <v>7065</v>
      </c>
      <c r="E3150" t="s">
        <v>7066</v>
      </c>
      <c r="F3150" t="s">
        <v>7</v>
      </c>
      <c r="G3150" t="s">
        <v>8</v>
      </c>
      <c r="H3150">
        <v>5000000</v>
      </c>
      <c r="I3150">
        <v>6.3</v>
      </c>
      <c r="J3150" t="s">
        <v>9645</v>
      </c>
    </row>
    <row r="3151" spans="1:10" x14ac:dyDescent="0.3">
      <c r="A3151">
        <v>116</v>
      </c>
      <c r="B3151">
        <v>1980338</v>
      </c>
      <c r="C3151" t="s">
        <v>7067</v>
      </c>
      <c r="D3151" t="s">
        <v>7068</v>
      </c>
      <c r="E3151" t="s">
        <v>7069</v>
      </c>
      <c r="F3151" t="s">
        <v>7</v>
      </c>
      <c r="G3151" t="s">
        <v>8</v>
      </c>
      <c r="H3151">
        <v>5000000</v>
      </c>
      <c r="I3151">
        <v>6.2</v>
      </c>
      <c r="J3151" t="s">
        <v>9497</v>
      </c>
    </row>
    <row r="3152" spans="1:10" x14ac:dyDescent="0.3">
      <c r="A3152">
        <v>94</v>
      </c>
      <c r="B3152">
        <v>1082044</v>
      </c>
      <c r="C3152" t="s">
        <v>1704</v>
      </c>
      <c r="D3152" t="s">
        <v>7070</v>
      </c>
      <c r="E3152" t="s">
        <v>7071</v>
      </c>
      <c r="F3152" t="s">
        <v>7</v>
      </c>
      <c r="G3152" t="s">
        <v>1488</v>
      </c>
      <c r="H3152">
        <v>5000000</v>
      </c>
      <c r="I3152">
        <v>6.7</v>
      </c>
      <c r="J3152" t="s">
        <v>8703</v>
      </c>
    </row>
    <row r="3153" spans="1:10" x14ac:dyDescent="0.3">
      <c r="A3153">
        <v>103</v>
      </c>
      <c r="B3153">
        <v>1100000</v>
      </c>
      <c r="C3153" t="s">
        <v>786</v>
      </c>
      <c r="D3153" t="s">
        <v>7072</v>
      </c>
      <c r="E3153" t="s">
        <v>7073</v>
      </c>
      <c r="F3153" t="s">
        <v>7</v>
      </c>
      <c r="G3153" t="s">
        <v>8</v>
      </c>
      <c r="H3153">
        <v>5000000</v>
      </c>
      <c r="I3153">
        <v>6.5</v>
      </c>
      <c r="J3153" t="s">
        <v>9646</v>
      </c>
    </row>
    <row r="3154" spans="1:10" x14ac:dyDescent="0.3">
      <c r="A3154">
        <v>112</v>
      </c>
      <c r="B3154">
        <v>2445646</v>
      </c>
      <c r="C3154" t="s">
        <v>7074</v>
      </c>
      <c r="D3154" t="s">
        <v>7075</v>
      </c>
      <c r="E3154" t="s">
        <v>7076</v>
      </c>
      <c r="F3154" t="s">
        <v>7</v>
      </c>
      <c r="G3154" t="s">
        <v>8</v>
      </c>
      <c r="H3154">
        <v>5000000</v>
      </c>
      <c r="I3154">
        <v>7.2</v>
      </c>
      <c r="J3154" t="s">
        <v>9647</v>
      </c>
    </row>
    <row r="3155" spans="1:10" x14ac:dyDescent="0.3">
      <c r="A3155">
        <v>91</v>
      </c>
      <c r="B3155">
        <v>2221809</v>
      </c>
      <c r="C3155" t="s">
        <v>1417</v>
      </c>
      <c r="D3155" t="s">
        <v>7077</v>
      </c>
      <c r="E3155" t="s">
        <v>7078</v>
      </c>
      <c r="F3155" t="s">
        <v>7</v>
      </c>
      <c r="G3155" t="s">
        <v>8</v>
      </c>
      <c r="H3155">
        <v>5000000</v>
      </c>
      <c r="I3155">
        <v>5.3</v>
      </c>
      <c r="J3155" t="s">
        <v>9648</v>
      </c>
    </row>
    <row r="3156" spans="1:10" x14ac:dyDescent="0.3">
      <c r="A3156">
        <v>98</v>
      </c>
      <c r="B3156">
        <v>296665</v>
      </c>
      <c r="C3156" t="s">
        <v>2384</v>
      </c>
      <c r="D3156" t="s">
        <v>7079</v>
      </c>
      <c r="E3156" t="s">
        <v>7080</v>
      </c>
      <c r="F3156" t="s">
        <v>7</v>
      </c>
      <c r="G3156" t="s">
        <v>8</v>
      </c>
      <c r="H3156">
        <v>5000000</v>
      </c>
      <c r="I3156">
        <v>6.7</v>
      </c>
      <c r="J3156" t="s">
        <v>8887</v>
      </c>
    </row>
    <row r="3157" spans="1:10" x14ac:dyDescent="0.3">
      <c r="A3157">
        <v>95</v>
      </c>
      <c r="B3157">
        <v>3219029</v>
      </c>
      <c r="C3157" t="s">
        <v>7081</v>
      </c>
      <c r="D3157" t="s">
        <v>7082</v>
      </c>
      <c r="E3157" t="s">
        <v>7083</v>
      </c>
      <c r="F3157" t="s">
        <v>7</v>
      </c>
      <c r="G3157" t="s">
        <v>8</v>
      </c>
      <c r="H3157">
        <v>5000000</v>
      </c>
      <c r="I3157">
        <v>6.2</v>
      </c>
      <c r="J3157" t="s">
        <v>9580</v>
      </c>
    </row>
    <row r="3158" spans="1:10" x14ac:dyDescent="0.3">
      <c r="A3158">
        <v>99</v>
      </c>
      <c r="B3158">
        <v>830210</v>
      </c>
      <c r="C3158" t="s">
        <v>2333</v>
      </c>
      <c r="D3158" t="s">
        <v>7084</v>
      </c>
      <c r="E3158" t="s">
        <v>7085</v>
      </c>
      <c r="F3158" t="s">
        <v>7</v>
      </c>
      <c r="G3158" t="s">
        <v>8</v>
      </c>
      <c r="H3158">
        <v>5000000</v>
      </c>
      <c r="I3158">
        <v>3.6</v>
      </c>
      <c r="J3158" t="s">
        <v>8422</v>
      </c>
    </row>
    <row r="3159" spans="1:10" x14ac:dyDescent="0.3">
      <c r="A3159">
        <v>91</v>
      </c>
      <c r="B3159">
        <v>1040879</v>
      </c>
      <c r="C3159" t="s">
        <v>3876</v>
      </c>
      <c r="D3159" t="s">
        <v>7086</v>
      </c>
      <c r="E3159" t="s">
        <v>7087</v>
      </c>
      <c r="F3159" t="s">
        <v>7</v>
      </c>
      <c r="G3159" t="s">
        <v>8</v>
      </c>
      <c r="H3159">
        <v>7000000</v>
      </c>
      <c r="I3159">
        <v>5.7</v>
      </c>
      <c r="J3159" t="s">
        <v>9649</v>
      </c>
    </row>
    <row r="3160" spans="1:10" x14ac:dyDescent="0.3">
      <c r="A3160">
        <v>97</v>
      </c>
      <c r="B3160">
        <v>326308</v>
      </c>
      <c r="C3160" t="s">
        <v>873</v>
      </c>
      <c r="D3160" t="s">
        <v>7088</v>
      </c>
      <c r="E3160" t="s">
        <v>7089</v>
      </c>
      <c r="F3160" t="s">
        <v>7</v>
      </c>
      <c r="G3160" t="s">
        <v>8</v>
      </c>
      <c r="H3160">
        <v>5000000</v>
      </c>
      <c r="I3160">
        <v>7.3</v>
      </c>
      <c r="J3160" t="s">
        <v>9230</v>
      </c>
    </row>
    <row r="3161" spans="1:10" x14ac:dyDescent="0.3">
      <c r="A3161">
        <v>90</v>
      </c>
      <c r="B3161">
        <v>124720</v>
      </c>
      <c r="C3161" t="s">
        <v>73</v>
      </c>
      <c r="D3161" t="s">
        <v>7091</v>
      </c>
      <c r="E3161" t="s">
        <v>7092</v>
      </c>
      <c r="F3161" t="s">
        <v>7</v>
      </c>
      <c r="G3161" t="s">
        <v>8</v>
      </c>
      <c r="H3161">
        <v>5000000</v>
      </c>
      <c r="I3161">
        <v>5</v>
      </c>
      <c r="J3161" t="s">
        <v>9650</v>
      </c>
    </row>
    <row r="3162" spans="1:10" x14ac:dyDescent="0.3">
      <c r="A3162">
        <v>90</v>
      </c>
      <c r="B3162">
        <v>99147</v>
      </c>
      <c r="C3162" t="s">
        <v>1417</v>
      </c>
      <c r="D3162" t="s">
        <v>7093</v>
      </c>
      <c r="E3162" t="s">
        <v>7094</v>
      </c>
      <c r="F3162" t="s">
        <v>7</v>
      </c>
      <c r="G3162" t="s">
        <v>8</v>
      </c>
      <c r="H3162">
        <v>2000000</v>
      </c>
      <c r="I3162">
        <v>6.6</v>
      </c>
      <c r="J3162" t="s">
        <v>9651</v>
      </c>
    </row>
    <row r="3163" spans="1:10" x14ac:dyDescent="0.3">
      <c r="A3163">
        <v>94</v>
      </c>
      <c r="B3163">
        <v>65069140</v>
      </c>
      <c r="C3163" t="s">
        <v>2324</v>
      </c>
      <c r="D3163" t="s">
        <v>7095</v>
      </c>
      <c r="E3163" t="s">
        <v>7096</v>
      </c>
      <c r="F3163" t="s">
        <v>7</v>
      </c>
      <c r="G3163" t="s">
        <v>8</v>
      </c>
      <c r="H3163">
        <v>5000000</v>
      </c>
      <c r="I3163">
        <v>6.6</v>
      </c>
      <c r="J3163" t="s">
        <v>9652</v>
      </c>
    </row>
    <row r="3164" spans="1:10" x14ac:dyDescent="0.3">
      <c r="A3164">
        <v>90</v>
      </c>
      <c r="B3164">
        <v>65087</v>
      </c>
      <c r="C3164" t="s">
        <v>7097</v>
      </c>
      <c r="D3164" t="s">
        <v>7098</v>
      </c>
      <c r="E3164" t="s">
        <v>7099</v>
      </c>
      <c r="F3164" t="s">
        <v>7</v>
      </c>
      <c r="G3164" t="s">
        <v>8</v>
      </c>
      <c r="H3164">
        <v>5000000</v>
      </c>
      <c r="I3164">
        <v>6.8</v>
      </c>
      <c r="J3164" t="s">
        <v>9653</v>
      </c>
    </row>
    <row r="3165" spans="1:10" x14ac:dyDescent="0.3">
      <c r="A3165">
        <v>103</v>
      </c>
      <c r="B3165">
        <v>16066</v>
      </c>
      <c r="C3165" t="s">
        <v>6742</v>
      </c>
      <c r="D3165" t="s">
        <v>7100</v>
      </c>
      <c r="E3165" t="s">
        <v>7101</v>
      </c>
      <c r="F3165" t="s">
        <v>7</v>
      </c>
      <c r="G3165" t="s">
        <v>284</v>
      </c>
      <c r="H3165">
        <v>5000000</v>
      </c>
      <c r="I3165">
        <v>6.2</v>
      </c>
      <c r="J3165" t="s">
        <v>9654</v>
      </c>
    </row>
    <row r="3166" spans="1:10" x14ac:dyDescent="0.3">
      <c r="A3166">
        <v>105</v>
      </c>
      <c r="B3166">
        <v>37440</v>
      </c>
      <c r="C3166" t="s">
        <v>2312</v>
      </c>
      <c r="D3166" t="s">
        <v>7102</v>
      </c>
      <c r="E3166" t="s">
        <v>7103</v>
      </c>
      <c r="F3166" t="s">
        <v>7</v>
      </c>
      <c r="G3166" t="s">
        <v>8</v>
      </c>
      <c r="H3166">
        <v>5000000</v>
      </c>
      <c r="I3166">
        <v>7.3</v>
      </c>
      <c r="J3166" t="s">
        <v>9655</v>
      </c>
    </row>
    <row r="3167" spans="1:10" x14ac:dyDescent="0.3">
      <c r="A3167">
        <v>113</v>
      </c>
      <c r="B3167">
        <v>617228</v>
      </c>
      <c r="C3167" t="s">
        <v>7105</v>
      </c>
      <c r="D3167" t="s">
        <v>7106</v>
      </c>
      <c r="E3167" t="s">
        <v>7107</v>
      </c>
      <c r="F3167" t="s">
        <v>7108</v>
      </c>
      <c r="G3167" t="s">
        <v>2330</v>
      </c>
      <c r="H3167">
        <v>84450000</v>
      </c>
      <c r="I3167">
        <v>6.2</v>
      </c>
      <c r="J3167" t="s">
        <v>9656</v>
      </c>
    </row>
    <row r="3168" spans="1:10" x14ac:dyDescent="0.3">
      <c r="A3168">
        <v>99</v>
      </c>
      <c r="B3168">
        <v>274385</v>
      </c>
      <c r="C3168" t="s">
        <v>1040</v>
      </c>
      <c r="D3168" t="s">
        <v>7109</v>
      </c>
      <c r="E3168" t="s">
        <v>7110</v>
      </c>
      <c r="F3168" t="s">
        <v>3702</v>
      </c>
      <c r="G3168" t="s">
        <v>284</v>
      </c>
      <c r="H3168">
        <v>4000000</v>
      </c>
      <c r="I3168">
        <v>6.9</v>
      </c>
      <c r="J3168" t="s">
        <v>9657</v>
      </c>
    </row>
    <row r="3169" spans="1:10" x14ac:dyDescent="0.3">
      <c r="A3169">
        <v>148</v>
      </c>
      <c r="B3169">
        <v>24475416</v>
      </c>
      <c r="C3169" t="s">
        <v>1417</v>
      </c>
      <c r="D3169" t="s">
        <v>7111</v>
      </c>
      <c r="E3169" t="s">
        <v>7112</v>
      </c>
      <c r="F3169" t="s">
        <v>7</v>
      </c>
      <c r="G3169" t="s">
        <v>8</v>
      </c>
      <c r="H3169">
        <v>890000</v>
      </c>
      <c r="I3169">
        <v>6.6</v>
      </c>
      <c r="J3169" t="s">
        <v>9560</v>
      </c>
    </row>
    <row r="3170" spans="1:10" x14ac:dyDescent="0.3">
      <c r="A3170">
        <v>93</v>
      </c>
      <c r="B3170">
        <v>47277326</v>
      </c>
      <c r="C3170" t="s">
        <v>2701</v>
      </c>
      <c r="D3170" t="s">
        <v>7113</v>
      </c>
      <c r="E3170" t="s">
        <v>7114</v>
      </c>
      <c r="F3170" t="s">
        <v>7</v>
      </c>
      <c r="G3170" t="s">
        <v>8</v>
      </c>
      <c r="H3170">
        <v>4800000</v>
      </c>
      <c r="I3170">
        <v>6.3</v>
      </c>
      <c r="J3170" t="s">
        <v>9542</v>
      </c>
    </row>
    <row r="3171" spans="1:10" x14ac:dyDescent="0.3">
      <c r="A3171">
        <v>94</v>
      </c>
      <c r="B3171">
        <v>1247453</v>
      </c>
      <c r="C3171" t="s">
        <v>1040</v>
      </c>
      <c r="D3171" t="s">
        <v>7115</v>
      </c>
      <c r="E3171" t="s">
        <v>7116</v>
      </c>
      <c r="F3171" t="s">
        <v>7</v>
      </c>
      <c r="G3171" t="s">
        <v>15</v>
      </c>
      <c r="H3171">
        <v>2800000</v>
      </c>
      <c r="I3171">
        <v>7</v>
      </c>
      <c r="J3171" t="s">
        <v>9658</v>
      </c>
    </row>
    <row r="3172" spans="1:10" x14ac:dyDescent="0.3">
      <c r="A3172">
        <v>121</v>
      </c>
      <c r="B3172">
        <v>1729969</v>
      </c>
      <c r="C3172" t="s">
        <v>1704</v>
      </c>
      <c r="D3172" t="s">
        <v>7117</v>
      </c>
      <c r="E3172" t="s">
        <v>7118</v>
      </c>
      <c r="F3172" t="s">
        <v>7</v>
      </c>
      <c r="G3172" t="s">
        <v>8</v>
      </c>
      <c r="H3172">
        <v>5000000</v>
      </c>
      <c r="I3172">
        <v>3.3</v>
      </c>
      <c r="J3172" t="s">
        <v>9659</v>
      </c>
    </row>
    <row r="3173" spans="1:10" x14ac:dyDescent="0.3">
      <c r="A3173">
        <v>118</v>
      </c>
      <c r="B3173">
        <v>1705139</v>
      </c>
      <c r="C3173" t="s">
        <v>1101</v>
      </c>
      <c r="D3173" t="s">
        <v>7119</v>
      </c>
      <c r="E3173" t="s">
        <v>7120</v>
      </c>
      <c r="F3173" t="s">
        <v>7</v>
      </c>
      <c r="G3173" t="s">
        <v>8</v>
      </c>
      <c r="H3173">
        <v>4700000</v>
      </c>
      <c r="I3173">
        <v>6.7</v>
      </c>
      <c r="J3173" t="s">
        <v>8893</v>
      </c>
    </row>
    <row r="3174" spans="1:10" x14ac:dyDescent="0.3">
      <c r="A3174">
        <v>101</v>
      </c>
      <c r="B3174">
        <v>8025872</v>
      </c>
      <c r="C3174" t="s">
        <v>3210</v>
      </c>
      <c r="D3174" t="s">
        <v>7121</v>
      </c>
      <c r="E3174" t="s">
        <v>7122</v>
      </c>
      <c r="F3174" t="s">
        <v>7</v>
      </c>
      <c r="G3174" t="s">
        <v>8</v>
      </c>
      <c r="H3174">
        <v>4700000</v>
      </c>
      <c r="I3174">
        <v>6.2</v>
      </c>
      <c r="J3174" t="s">
        <v>9660</v>
      </c>
    </row>
    <row r="3175" spans="1:10" x14ac:dyDescent="0.3">
      <c r="A3175">
        <v>90</v>
      </c>
      <c r="B3175">
        <v>778565</v>
      </c>
      <c r="C3175" t="s">
        <v>786</v>
      </c>
      <c r="D3175" t="s">
        <v>7123</v>
      </c>
      <c r="E3175" t="s">
        <v>7124</v>
      </c>
      <c r="F3175" t="s">
        <v>7</v>
      </c>
      <c r="G3175" t="s">
        <v>3266</v>
      </c>
      <c r="H3175">
        <v>4800000</v>
      </c>
      <c r="I3175">
        <v>6.5</v>
      </c>
      <c r="J3175" t="s">
        <v>9032</v>
      </c>
    </row>
    <row r="3176" spans="1:10" x14ac:dyDescent="0.3">
      <c r="A3176">
        <v>100</v>
      </c>
      <c r="B3176">
        <v>513836</v>
      </c>
      <c r="C3176" t="s">
        <v>561</v>
      </c>
      <c r="D3176" t="s">
        <v>7125</v>
      </c>
      <c r="E3176" t="s">
        <v>7126</v>
      </c>
      <c r="F3176" t="s">
        <v>582</v>
      </c>
      <c r="G3176" t="s">
        <v>583</v>
      </c>
      <c r="H3176">
        <v>4600000</v>
      </c>
      <c r="I3176">
        <v>3.5</v>
      </c>
      <c r="J3176" t="s">
        <v>9661</v>
      </c>
    </row>
    <row r="3177" spans="1:10" x14ac:dyDescent="0.3">
      <c r="A3177">
        <v>97</v>
      </c>
      <c r="B3177">
        <v>434417</v>
      </c>
      <c r="C3177" t="s">
        <v>1417</v>
      </c>
      <c r="D3177" t="s">
        <v>7127</v>
      </c>
      <c r="E3177" t="s">
        <v>7128</v>
      </c>
      <c r="F3177" t="s">
        <v>7</v>
      </c>
      <c r="G3177" t="s">
        <v>1488</v>
      </c>
      <c r="H3177">
        <v>4600000</v>
      </c>
      <c r="I3177">
        <v>5.5</v>
      </c>
      <c r="J3177" t="s">
        <v>9662</v>
      </c>
    </row>
    <row r="3178" spans="1:10" x14ac:dyDescent="0.3">
      <c r="A3178">
        <v>96</v>
      </c>
      <c r="B3178">
        <v>81200000</v>
      </c>
      <c r="C3178" t="s">
        <v>668</v>
      </c>
      <c r="D3178" t="s">
        <v>7129</v>
      </c>
      <c r="E3178" t="s">
        <v>7130</v>
      </c>
      <c r="F3178" t="s">
        <v>7</v>
      </c>
      <c r="G3178" t="s">
        <v>8</v>
      </c>
      <c r="H3178">
        <v>4500000</v>
      </c>
      <c r="I3178">
        <v>5.9</v>
      </c>
      <c r="J3178" t="s">
        <v>9663</v>
      </c>
    </row>
    <row r="3179" spans="1:10" x14ac:dyDescent="0.3">
      <c r="A3179">
        <v>117</v>
      </c>
      <c r="B3179">
        <v>52700832</v>
      </c>
      <c r="C3179" t="s">
        <v>561</v>
      </c>
      <c r="D3179" t="s">
        <v>7131</v>
      </c>
      <c r="E3179" t="s">
        <v>7132</v>
      </c>
      <c r="F3179" t="s">
        <v>7</v>
      </c>
      <c r="G3179" t="s">
        <v>15</v>
      </c>
      <c r="H3179">
        <v>4500000</v>
      </c>
      <c r="I3179">
        <v>4.7</v>
      </c>
      <c r="J3179" t="s">
        <v>9664</v>
      </c>
    </row>
    <row r="3180" spans="1:10" x14ac:dyDescent="0.3">
      <c r="A3180">
        <v>108</v>
      </c>
      <c r="B3180">
        <v>13060843</v>
      </c>
      <c r="C3180" t="s">
        <v>1417</v>
      </c>
      <c r="D3180" t="s">
        <v>7133</v>
      </c>
      <c r="E3180" t="s">
        <v>7134</v>
      </c>
      <c r="F3180" t="s">
        <v>7</v>
      </c>
      <c r="G3180" t="s">
        <v>8</v>
      </c>
      <c r="H3180">
        <v>15000000</v>
      </c>
      <c r="I3180">
        <v>4.2</v>
      </c>
      <c r="J3180" t="s">
        <v>9519</v>
      </c>
    </row>
    <row r="3181" spans="1:10" x14ac:dyDescent="0.3">
      <c r="A3181">
        <v>109</v>
      </c>
      <c r="B3181">
        <v>3798532</v>
      </c>
      <c r="C3181" t="s">
        <v>2211</v>
      </c>
      <c r="D3181" t="s">
        <v>7135</v>
      </c>
      <c r="E3181" t="s">
        <v>7136</v>
      </c>
      <c r="F3181" t="s">
        <v>7</v>
      </c>
      <c r="G3181" t="s">
        <v>8</v>
      </c>
      <c r="H3181">
        <v>4500000</v>
      </c>
      <c r="I3181">
        <v>5.2</v>
      </c>
      <c r="J3181" t="s">
        <v>9665</v>
      </c>
    </row>
    <row r="3182" spans="1:10" x14ac:dyDescent="0.3">
      <c r="A3182">
        <v>102</v>
      </c>
      <c r="B3182">
        <v>3609278</v>
      </c>
      <c r="C3182" t="s">
        <v>1417</v>
      </c>
      <c r="D3182" t="s">
        <v>7137</v>
      </c>
      <c r="E3182" t="s">
        <v>7138</v>
      </c>
      <c r="F3182" t="s">
        <v>7</v>
      </c>
      <c r="G3182" t="s">
        <v>8</v>
      </c>
      <c r="H3182">
        <v>4500000</v>
      </c>
      <c r="I3182">
        <v>5.2</v>
      </c>
      <c r="J3182" t="s">
        <v>9601</v>
      </c>
    </row>
    <row r="3183" spans="1:10" x14ac:dyDescent="0.3">
      <c r="A3183">
        <v>115</v>
      </c>
      <c r="B3183">
        <v>1687311</v>
      </c>
      <c r="C3183" t="s">
        <v>7139</v>
      </c>
      <c r="D3183" t="s">
        <v>7140</v>
      </c>
      <c r="E3183" t="s">
        <v>7141</v>
      </c>
      <c r="F3183" t="s">
        <v>1146</v>
      </c>
      <c r="G3183" t="s">
        <v>1488</v>
      </c>
      <c r="H3183">
        <v>700000000</v>
      </c>
      <c r="I3183">
        <v>3.9</v>
      </c>
      <c r="J3183" t="s">
        <v>9666</v>
      </c>
    </row>
    <row r="3184" spans="1:10" x14ac:dyDescent="0.3">
      <c r="A3184">
        <v>98</v>
      </c>
      <c r="B3184">
        <v>10429707</v>
      </c>
      <c r="C3184" t="s">
        <v>668</v>
      </c>
      <c r="D3184" t="s">
        <v>7142</v>
      </c>
      <c r="E3184" t="s">
        <v>7143</v>
      </c>
      <c r="F3184" t="s">
        <v>7</v>
      </c>
      <c r="G3184" t="s">
        <v>8</v>
      </c>
      <c r="H3184">
        <v>5000000</v>
      </c>
      <c r="I3184">
        <v>6.1</v>
      </c>
      <c r="J3184" t="s">
        <v>9667</v>
      </c>
    </row>
    <row r="3185" spans="1:10" x14ac:dyDescent="0.3">
      <c r="A3185">
        <v>133</v>
      </c>
      <c r="B3185">
        <v>727883</v>
      </c>
      <c r="C3185" t="s">
        <v>1110</v>
      </c>
      <c r="D3185" t="s">
        <v>7144</v>
      </c>
      <c r="E3185" t="s">
        <v>7145</v>
      </c>
      <c r="F3185" t="s">
        <v>7</v>
      </c>
      <c r="G3185" t="s">
        <v>8</v>
      </c>
      <c r="H3185">
        <v>4500000</v>
      </c>
      <c r="I3185">
        <v>5.8</v>
      </c>
      <c r="J3185" t="s">
        <v>9668</v>
      </c>
    </row>
    <row r="3186" spans="1:10" x14ac:dyDescent="0.3">
      <c r="A3186">
        <v>122</v>
      </c>
      <c r="B3186">
        <v>713413</v>
      </c>
      <c r="C3186" t="s">
        <v>1274</v>
      </c>
      <c r="D3186" t="s">
        <v>7146</v>
      </c>
      <c r="E3186" t="s">
        <v>7147</v>
      </c>
      <c r="F3186" t="s">
        <v>4415</v>
      </c>
      <c r="G3186" t="s">
        <v>4416</v>
      </c>
      <c r="H3186">
        <v>4500000</v>
      </c>
      <c r="I3186">
        <v>6.7</v>
      </c>
      <c r="J3186" t="s">
        <v>9669</v>
      </c>
    </row>
    <row r="3187" spans="1:10" x14ac:dyDescent="0.3">
      <c r="A3187">
        <v>106</v>
      </c>
      <c r="B3187">
        <v>410241</v>
      </c>
      <c r="C3187" t="s">
        <v>3876</v>
      </c>
      <c r="D3187" t="s">
        <v>7148</v>
      </c>
      <c r="E3187" t="s">
        <v>7149</v>
      </c>
      <c r="F3187" t="s">
        <v>7</v>
      </c>
      <c r="G3187" t="s">
        <v>8</v>
      </c>
      <c r="H3187">
        <v>2000000</v>
      </c>
      <c r="I3187">
        <v>5.7</v>
      </c>
      <c r="J3187" t="s">
        <v>8773</v>
      </c>
    </row>
    <row r="3188" spans="1:10" x14ac:dyDescent="0.3">
      <c r="A3188">
        <v>112</v>
      </c>
      <c r="B3188">
        <v>211667</v>
      </c>
      <c r="C3188" t="s">
        <v>786</v>
      </c>
      <c r="D3188" t="s">
        <v>7150</v>
      </c>
      <c r="E3188" t="s">
        <v>7151</v>
      </c>
      <c r="F3188" t="s">
        <v>5282</v>
      </c>
      <c r="G3188" t="s">
        <v>2387</v>
      </c>
      <c r="H3188">
        <v>4200000000</v>
      </c>
      <c r="I3188">
        <v>4.5</v>
      </c>
      <c r="J3188" t="s">
        <v>9670</v>
      </c>
    </row>
    <row r="3189" spans="1:10" x14ac:dyDescent="0.3">
      <c r="A3189">
        <v>99</v>
      </c>
      <c r="B3189">
        <v>92191</v>
      </c>
      <c r="C3189" t="s">
        <v>2642</v>
      </c>
      <c r="D3189" t="s">
        <v>7152</v>
      </c>
      <c r="E3189" t="s">
        <v>7153</v>
      </c>
      <c r="F3189" t="s">
        <v>7</v>
      </c>
      <c r="G3189" t="s">
        <v>15</v>
      </c>
      <c r="H3189">
        <v>2500000</v>
      </c>
      <c r="I3189">
        <v>6.9</v>
      </c>
      <c r="J3189" t="s">
        <v>9671</v>
      </c>
    </row>
    <row r="3190" spans="1:10" x14ac:dyDescent="0.3">
      <c r="A3190">
        <v>110</v>
      </c>
      <c r="B3190">
        <v>49413</v>
      </c>
      <c r="C3190" t="s">
        <v>118</v>
      </c>
      <c r="D3190" t="s">
        <v>7154</v>
      </c>
      <c r="E3190" t="s">
        <v>7155</v>
      </c>
      <c r="F3190" t="s">
        <v>3064</v>
      </c>
      <c r="G3190" t="s">
        <v>1607</v>
      </c>
      <c r="H3190">
        <v>35000000</v>
      </c>
      <c r="I3190">
        <v>4.8</v>
      </c>
      <c r="J3190" t="s">
        <v>9672</v>
      </c>
    </row>
    <row r="3191" spans="1:10" x14ac:dyDescent="0.3">
      <c r="A3191">
        <v>104</v>
      </c>
      <c r="B3191">
        <v>108229</v>
      </c>
      <c r="C3191" t="s">
        <v>2578</v>
      </c>
      <c r="D3191" t="s">
        <v>7156</v>
      </c>
      <c r="E3191" t="s">
        <v>7157</v>
      </c>
      <c r="F3191" t="s">
        <v>7</v>
      </c>
      <c r="G3191" t="s">
        <v>8</v>
      </c>
      <c r="H3191">
        <v>4500000</v>
      </c>
      <c r="I3191">
        <v>6.3</v>
      </c>
      <c r="J3191" t="s">
        <v>9511</v>
      </c>
    </row>
    <row r="3192" spans="1:10" x14ac:dyDescent="0.3">
      <c r="A3192">
        <v>133</v>
      </c>
      <c r="B3192">
        <v>112000000</v>
      </c>
      <c r="C3192" t="s">
        <v>1417</v>
      </c>
      <c r="D3192" t="s">
        <v>7158</v>
      </c>
      <c r="E3192" t="s">
        <v>7159</v>
      </c>
      <c r="F3192" t="s">
        <v>7</v>
      </c>
      <c r="G3192" t="s">
        <v>8</v>
      </c>
      <c r="H3192">
        <v>4400000</v>
      </c>
      <c r="I3192">
        <v>6.9</v>
      </c>
      <c r="J3192" t="s">
        <v>9673</v>
      </c>
    </row>
    <row r="3193" spans="1:10" x14ac:dyDescent="0.3">
      <c r="A3193">
        <v>103</v>
      </c>
      <c r="B3193">
        <v>8691</v>
      </c>
      <c r="C3193" t="s">
        <v>36</v>
      </c>
      <c r="D3193" t="s">
        <v>7160</v>
      </c>
      <c r="E3193" t="s">
        <v>7161</v>
      </c>
      <c r="F3193" t="s">
        <v>7</v>
      </c>
      <c r="G3193" t="s">
        <v>8</v>
      </c>
      <c r="H3193">
        <v>4500000</v>
      </c>
      <c r="I3193">
        <v>5.4</v>
      </c>
      <c r="J3193" t="s">
        <v>9674</v>
      </c>
    </row>
    <row r="3194" spans="1:10" x14ac:dyDescent="0.3">
      <c r="A3194">
        <v>112</v>
      </c>
      <c r="B3194">
        <v>26345</v>
      </c>
      <c r="C3194" t="s">
        <v>6228</v>
      </c>
      <c r="D3194" t="s">
        <v>7162</v>
      </c>
      <c r="E3194" t="s">
        <v>7163</v>
      </c>
      <c r="F3194" t="s">
        <v>7</v>
      </c>
      <c r="G3194" t="s">
        <v>15</v>
      </c>
      <c r="H3194">
        <v>3000000</v>
      </c>
      <c r="I3194">
        <v>3.8</v>
      </c>
      <c r="J3194" t="s">
        <v>9675</v>
      </c>
    </row>
    <row r="3195" spans="1:10" x14ac:dyDescent="0.3">
      <c r="A3195">
        <v>101</v>
      </c>
      <c r="B3195">
        <v>20772796</v>
      </c>
      <c r="C3195" t="s">
        <v>3017</v>
      </c>
      <c r="D3195" t="s">
        <v>7164</v>
      </c>
      <c r="E3195" t="s">
        <v>7165</v>
      </c>
      <c r="F3195" t="s">
        <v>7</v>
      </c>
      <c r="G3195" t="s">
        <v>59</v>
      </c>
      <c r="H3195">
        <v>6000000</v>
      </c>
      <c r="I3195">
        <v>7</v>
      </c>
      <c r="J3195" t="s">
        <v>9676</v>
      </c>
    </row>
    <row r="3196" spans="1:10" x14ac:dyDescent="0.3">
      <c r="A3196">
        <v>133</v>
      </c>
      <c r="B3196">
        <v>199228</v>
      </c>
      <c r="C3196" t="s">
        <v>1040</v>
      </c>
      <c r="D3196" t="s">
        <v>7166</v>
      </c>
      <c r="E3196" t="s">
        <v>7167</v>
      </c>
      <c r="F3196" t="s">
        <v>2354</v>
      </c>
      <c r="G3196" t="s">
        <v>2355</v>
      </c>
      <c r="H3196">
        <v>150000000</v>
      </c>
      <c r="I3196">
        <v>5.2</v>
      </c>
      <c r="J3196" t="s">
        <v>9677</v>
      </c>
    </row>
    <row r="3197" spans="1:10" x14ac:dyDescent="0.3">
      <c r="A3197">
        <v>104</v>
      </c>
      <c r="B3197">
        <v>1487477</v>
      </c>
      <c r="C3197" t="s">
        <v>7168</v>
      </c>
      <c r="D3197" t="s">
        <v>7169</v>
      </c>
      <c r="E3197" t="s">
        <v>7170</v>
      </c>
      <c r="F3197" t="s">
        <v>2362</v>
      </c>
      <c r="G3197" t="s">
        <v>3028</v>
      </c>
      <c r="H3197">
        <v>4200000</v>
      </c>
      <c r="I3197">
        <v>7.3</v>
      </c>
      <c r="J3197" t="s">
        <v>9025</v>
      </c>
    </row>
    <row r="3198" spans="1:10" x14ac:dyDescent="0.3">
      <c r="A3198">
        <v>112</v>
      </c>
      <c r="B3198">
        <v>62549000</v>
      </c>
      <c r="C3198" t="s">
        <v>2211</v>
      </c>
      <c r="D3198" t="s">
        <v>7171</v>
      </c>
      <c r="E3198" t="s">
        <v>7172</v>
      </c>
      <c r="F3198" t="s">
        <v>7</v>
      </c>
      <c r="G3198" t="s">
        <v>15</v>
      </c>
      <c r="H3198">
        <v>2300000</v>
      </c>
      <c r="I3198">
        <v>4.5999999999999996</v>
      </c>
      <c r="J3198" t="s">
        <v>9411</v>
      </c>
    </row>
    <row r="3199" spans="1:10" x14ac:dyDescent="0.3">
      <c r="A3199">
        <v>94</v>
      </c>
      <c r="B3199">
        <v>105500000</v>
      </c>
      <c r="C3199" t="s">
        <v>668</v>
      </c>
      <c r="D3199" t="s">
        <v>7173</v>
      </c>
      <c r="E3199" t="s">
        <v>7174</v>
      </c>
      <c r="F3199" t="s">
        <v>7</v>
      </c>
      <c r="G3199" t="s">
        <v>95</v>
      </c>
      <c r="H3199">
        <v>4000000</v>
      </c>
      <c r="I3199">
        <v>6.5</v>
      </c>
      <c r="J3199" t="s">
        <v>9678</v>
      </c>
    </row>
    <row r="3200" spans="1:10" x14ac:dyDescent="0.3">
      <c r="A3200">
        <v>90</v>
      </c>
      <c r="B3200">
        <v>101055</v>
      </c>
      <c r="C3200" t="s">
        <v>2701</v>
      </c>
      <c r="D3200" t="s">
        <v>7175</v>
      </c>
      <c r="E3200" t="s">
        <v>7176</v>
      </c>
      <c r="F3200" t="s">
        <v>7</v>
      </c>
      <c r="G3200" t="s">
        <v>8</v>
      </c>
      <c r="H3200">
        <v>4000000</v>
      </c>
      <c r="I3200">
        <v>6.8</v>
      </c>
      <c r="J3200" t="s">
        <v>8853</v>
      </c>
    </row>
    <row r="3201" spans="1:10" x14ac:dyDescent="0.3">
      <c r="A3201">
        <v>101</v>
      </c>
      <c r="B3201">
        <v>44566004</v>
      </c>
      <c r="C3201" t="s">
        <v>1417</v>
      </c>
      <c r="D3201" t="s">
        <v>7177</v>
      </c>
      <c r="E3201" t="s">
        <v>7178</v>
      </c>
      <c r="F3201" t="s">
        <v>7</v>
      </c>
      <c r="G3201" t="s">
        <v>8</v>
      </c>
      <c r="H3201">
        <v>4000000</v>
      </c>
      <c r="I3201">
        <v>6.7</v>
      </c>
      <c r="J3201" t="s">
        <v>9679</v>
      </c>
    </row>
    <row r="3202" spans="1:10" x14ac:dyDescent="0.3">
      <c r="A3202">
        <v>93</v>
      </c>
      <c r="B3202">
        <v>39200000</v>
      </c>
      <c r="C3202" t="s">
        <v>672</v>
      </c>
      <c r="D3202" t="s">
        <v>7179</v>
      </c>
      <c r="E3202" t="s">
        <v>7180</v>
      </c>
      <c r="F3202" t="s">
        <v>7</v>
      </c>
      <c r="G3202" t="s">
        <v>8</v>
      </c>
      <c r="H3202">
        <v>4000000</v>
      </c>
      <c r="I3202">
        <v>6.1</v>
      </c>
      <c r="J3202" t="s">
        <v>8581</v>
      </c>
    </row>
    <row r="3203" spans="1:10" x14ac:dyDescent="0.3">
      <c r="A3203">
        <v>152</v>
      </c>
      <c r="B3203">
        <v>36000000</v>
      </c>
      <c r="C3203" t="s">
        <v>5301</v>
      </c>
      <c r="D3203" t="s">
        <v>7181</v>
      </c>
      <c r="E3203" t="s">
        <v>7182</v>
      </c>
      <c r="F3203" t="s">
        <v>7</v>
      </c>
      <c r="G3203" t="s">
        <v>8</v>
      </c>
      <c r="H3203">
        <v>4000000</v>
      </c>
      <c r="I3203">
        <v>5.2</v>
      </c>
      <c r="J3203" t="s">
        <v>9680</v>
      </c>
    </row>
    <row r="3204" spans="1:10" x14ac:dyDescent="0.3">
      <c r="A3204">
        <v>112</v>
      </c>
      <c r="B3204">
        <v>31252964</v>
      </c>
      <c r="C3204" t="s">
        <v>73</v>
      </c>
      <c r="D3204" t="s">
        <v>7183</v>
      </c>
      <c r="E3204" t="s">
        <v>7184</v>
      </c>
      <c r="F3204" t="s">
        <v>7</v>
      </c>
      <c r="G3204" t="s">
        <v>8</v>
      </c>
      <c r="H3204">
        <v>4000000</v>
      </c>
      <c r="I3204">
        <v>6.9</v>
      </c>
      <c r="J3204" t="s">
        <v>8975</v>
      </c>
    </row>
    <row r="3205" spans="1:10" x14ac:dyDescent="0.3">
      <c r="A3205">
        <v>95</v>
      </c>
      <c r="B3205">
        <v>131175</v>
      </c>
      <c r="C3205" t="s">
        <v>4858</v>
      </c>
      <c r="D3205" t="s">
        <v>7185</v>
      </c>
      <c r="E3205" t="s">
        <v>7186</v>
      </c>
      <c r="F3205" t="s">
        <v>7</v>
      </c>
      <c r="G3205" t="s">
        <v>8</v>
      </c>
      <c r="H3205">
        <v>8500000</v>
      </c>
      <c r="I3205">
        <v>6</v>
      </c>
      <c r="J3205" t="s">
        <v>9681</v>
      </c>
    </row>
    <row r="3206" spans="1:10" x14ac:dyDescent="0.3">
      <c r="A3206">
        <v>111</v>
      </c>
      <c r="B3206">
        <v>31968347</v>
      </c>
      <c r="C3206" t="s">
        <v>73</v>
      </c>
      <c r="D3206" t="s">
        <v>7187</v>
      </c>
      <c r="E3206" t="s">
        <v>7188</v>
      </c>
      <c r="F3206" t="s">
        <v>7</v>
      </c>
      <c r="G3206" t="s">
        <v>8</v>
      </c>
      <c r="H3206">
        <v>3600000</v>
      </c>
      <c r="I3206">
        <v>7.9</v>
      </c>
      <c r="J3206" t="s">
        <v>9303</v>
      </c>
    </row>
    <row r="3207" spans="1:10" x14ac:dyDescent="0.3">
      <c r="A3207">
        <v>91</v>
      </c>
      <c r="B3207">
        <v>35385560</v>
      </c>
      <c r="C3207" t="s">
        <v>321</v>
      </c>
      <c r="D3207" t="s">
        <v>7189</v>
      </c>
      <c r="E3207" t="s">
        <v>7190</v>
      </c>
      <c r="F3207" t="s">
        <v>7</v>
      </c>
      <c r="G3207" t="s">
        <v>8</v>
      </c>
      <c r="H3207">
        <v>4000000</v>
      </c>
      <c r="I3207">
        <v>4.5</v>
      </c>
      <c r="J3207" t="s">
        <v>9682</v>
      </c>
    </row>
    <row r="3208" spans="1:10" x14ac:dyDescent="0.3">
      <c r="A3208">
        <v>106</v>
      </c>
      <c r="B3208">
        <v>20803237</v>
      </c>
      <c r="C3208" t="s">
        <v>1040</v>
      </c>
      <c r="D3208" t="s">
        <v>7191</v>
      </c>
      <c r="E3208" t="s">
        <v>7192</v>
      </c>
      <c r="F3208" t="s">
        <v>7</v>
      </c>
      <c r="G3208" t="s">
        <v>8</v>
      </c>
      <c r="H3208">
        <v>3500000</v>
      </c>
      <c r="I3208">
        <v>5.0999999999999996</v>
      </c>
      <c r="J3208" t="s">
        <v>9683</v>
      </c>
    </row>
    <row r="3209" spans="1:10" x14ac:dyDescent="0.3">
      <c r="A3209">
        <v>93</v>
      </c>
      <c r="B3209">
        <v>13008928</v>
      </c>
      <c r="C3209" t="s">
        <v>1813</v>
      </c>
      <c r="D3209" t="s">
        <v>7193</v>
      </c>
      <c r="E3209" t="s">
        <v>7194</v>
      </c>
      <c r="F3209" t="s">
        <v>7</v>
      </c>
      <c r="G3209" t="s">
        <v>8</v>
      </c>
      <c r="H3209">
        <v>4000000</v>
      </c>
      <c r="I3209">
        <v>7.6</v>
      </c>
      <c r="J3209" t="s">
        <v>9684</v>
      </c>
    </row>
    <row r="3210" spans="1:10" x14ac:dyDescent="0.3">
      <c r="A3210">
        <v>93</v>
      </c>
      <c r="B3210">
        <v>15152879</v>
      </c>
      <c r="C3210" t="s">
        <v>1834</v>
      </c>
      <c r="D3210" t="s">
        <v>7195</v>
      </c>
      <c r="E3210" t="s">
        <v>7196</v>
      </c>
      <c r="F3210" t="s">
        <v>7</v>
      </c>
      <c r="G3210" t="s">
        <v>583</v>
      </c>
      <c r="H3210">
        <v>5000000</v>
      </c>
      <c r="I3210">
        <v>7.6</v>
      </c>
      <c r="J3210" t="s">
        <v>9685</v>
      </c>
    </row>
    <row r="3211" spans="1:10" x14ac:dyDescent="0.3">
      <c r="A3211">
        <v>165</v>
      </c>
      <c r="B3211">
        <v>25359200</v>
      </c>
      <c r="C3211" t="s">
        <v>1417</v>
      </c>
      <c r="D3211" t="s">
        <v>7197</v>
      </c>
      <c r="E3211" t="s">
        <v>7198</v>
      </c>
      <c r="F3211" t="s">
        <v>7</v>
      </c>
      <c r="G3211" t="s">
        <v>8</v>
      </c>
      <c r="H3211">
        <v>4000000</v>
      </c>
      <c r="I3211">
        <v>6.7</v>
      </c>
      <c r="J3211" t="s">
        <v>9686</v>
      </c>
    </row>
    <row r="3212" spans="1:10" x14ac:dyDescent="0.3">
      <c r="A3212">
        <v>96</v>
      </c>
      <c r="B3212">
        <v>10515579</v>
      </c>
      <c r="C3212" t="s">
        <v>5206</v>
      </c>
      <c r="D3212" t="s">
        <v>7199</v>
      </c>
      <c r="E3212" t="s">
        <v>7200</v>
      </c>
      <c r="F3212" t="s">
        <v>7</v>
      </c>
      <c r="G3212" t="s">
        <v>15</v>
      </c>
      <c r="H3212">
        <v>4000000</v>
      </c>
      <c r="I3212">
        <v>6.1</v>
      </c>
      <c r="J3212" t="s">
        <v>8963</v>
      </c>
    </row>
    <row r="3213" spans="1:10" x14ac:dyDescent="0.3">
      <c r="A3213">
        <v>93</v>
      </c>
      <c r="B3213">
        <v>10097096</v>
      </c>
      <c r="C3213" t="s">
        <v>668</v>
      </c>
      <c r="D3213" t="s">
        <v>7201</v>
      </c>
      <c r="E3213" t="s">
        <v>7202</v>
      </c>
      <c r="F3213" t="s">
        <v>7</v>
      </c>
      <c r="G3213" t="s">
        <v>8</v>
      </c>
      <c r="H3213">
        <v>4000000</v>
      </c>
      <c r="I3213">
        <v>7.5</v>
      </c>
      <c r="J3213" t="s">
        <v>8747</v>
      </c>
    </row>
    <row r="3214" spans="1:10" x14ac:dyDescent="0.3">
      <c r="A3214">
        <v>82</v>
      </c>
      <c r="B3214">
        <v>9821335</v>
      </c>
      <c r="C3214" t="s">
        <v>668</v>
      </c>
      <c r="D3214" t="s">
        <v>7203</v>
      </c>
      <c r="E3214" t="s">
        <v>7204</v>
      </c>
      <c r="F3214" t="s">
        <v>7</v>
      </c>
      <c r="G3214" t="s">
        <v>8</v>
      </c>
      <c r="H3214">
        <v>6000000</v>
      </c>
      <c r="I3214">
        <v>5.3</v>
      </c>
      <c r="J3214" t="s">
        <v>9582</v>
      </c>
    </row>
    <row r="3215" spans="1:10" x14ac:dyDescent="0.3">
      <c r="A3215">
        <v>101</v>
      </c>
      <c r="B3215">
        <v>8243880</v>
      </c>
      <c r="C3215" t="s">
        <v>7205</v>
      </c>
      <c r="D3215" t="s">
        <v>7206</v>
      </c>
      <c r="E3215" t="s">
        <v>7207</v>
      </c>
      <c r="F3215" t="s">
        <v>7</v>
      </c>
      <c r="G3215" t="s">
        <v>8</v>
      </c>
      <c r="H3215">
        <v>3200000</v>
      </c>
      <c r="I3215">
        <v>6</v>
      </c>
      <c r="J3215" t="s">
        <v>9687</v>
      </c>
    </row>
    <row r="3216" spans="1:10" x14ac:dyDescent="0.3">
      <c r="A3216">
        <v>81</v>
      </c>
      <c r="B3216">
        <v>7825820</v>
      </c>
      <c r="C3216" t="s">
        <v>915</v>
      </c>
      <c r="D3216" t="s">
        <v>7208</v>
      </c>
      <c r="E3216" t="s">
        <v>7209</v>
      </c>
      <c r="F3216" t="s">
        <v>7</v>
      </c>
      <c r="G3216" t="s">
        <v>8</v>
      </c>
      <c r="H3216">
        <v>4000000</v>
      </c>
      <c r="I3216">
        <v>7.1</v>
      </c>
      <c r="J3216" t="s">
        <v>9458</v>
      </c>
    </row>
    <row r="3217" spans="1:10" x14ac:dyDescent="0.3">
      <c r="A3217">
        <v>105</v>
      </c>
      <c r="B3217">
        <v>7159147</v>
      </c>
      <c r="C3217" t="s">
        <v>780</v>
      </c>
      <c r="D3217" t="s">
        <v>7210</v>
      </c>
      <c r="E3217" t="s">
        <v>7211</v>
      </c>
      <c r="F3217" t="s">
        <v>1146</v>
      </c>
      <c r="G3217" t="s">
        <v>1488</v>
      </c>
      <c r="H3217">
        <v>3400000</v>
      </c>
      <c r="I3217">
        <v>7.5</v>
      </c>
      <c r="J3217" t="s">
        <v>9688</v>
      </c>
    </row>
    <row r="3218" spans="1:10" x14ac:dyDescent="0.3">
      <c r="A3218">
        <v>86</v>
      </c>
      <c r="B3218">
        <v>17314483</v>
      </c>
      <c r="C3218" t="s">
        <v>1149</v>
      </c>
      <c r="D3218" t="s">
        <v>7212</v>
      </c>
      <c r="E3218" t="s">
        <v>7213</v>
      </c>
      <c r="F3218" t="s">
        <v>7</v>
      </c>
      <c r="G3218" t="s">
        <v>8</v>
      </c>
      <c r="H3218">
        <v>4000000</v>
      </c>
      <c r="I3218">
        <v>6.9</v>
      </c>
      <c r="J3218" t="s">
        <v>9689</v>
      </c>
    </row>
    <row r="3219" spans="1:10" x14ac:dyDescent="0.3">
      <c r="A3219">
        <v>110</v>
      </c>
      <c r="B3219">
        <v>6525762</v>
      </c>
      <c r="C3219" t="s">
        <v>561</v>
      </c>
      <c r="D3219" t="s">
        <v>7214</v>
      </c>
      <c r="E3219" t="s">
        <v>7215</v>
      </c>
      <c r="F3219" t="s">
        <v>7</v>
      </c>
      <c r="G3219" t="s">
        <v>8</v>
      </c>
      <c r="H3219">
        <v>4000000</v>
      </c>
      <c r="I3219">
        <v>8.5</v>
      </c>
      <c r="J3219" t="s">
        <v>8312</v>
      </c>
    </row>
    <row r="3220" spans="1:10" x14ac:dyDescent="0.3">
      <c r="A3220">
        <v>110</v>
      </c>
      <c r="B3220">
        <v>4301331</v>
      </c>
      <c r="C3220" t="s">
        <v>1149</v>
      </c>
      <c r="D3220" t="s">
        <v>7216</v>
      </c>
      <c r="E3220" t="s">
        <v>7217</v>
      </c>
      <c r="F3220" t="s">
        <v>7</v>
      </c>
      <c r="G3220" t="s">
        <v>8</v>
      </c>
      <c r="H3220">
        <v>4000000</v>
      </c>
      <c r="I3220">
        <v>7.5</v>
      </c>
      <c r="J3220" t="s">
        <v>8917</v>
      </c>
    </row>
    <row r="3221" spans="1:10" x14ac:dyDescent="0.3">
      <c r="A3221">
        <v>104</v>
      </c>
      <c r="B3221">
        <v>4046737</v>
      </c>
      <c r="C3221" t="s">
        <v>561</v>
      </c>
      <c r="D3221" t="s">
        <v>7218</v>
      </c>
      <c r="E3221" t="s">
        <v>7219</v>
      </c>
      <c r="F3221" t="s">
        <v>7</v>
      </c>
      <c r="G3221" t="s">
        <v>8</v>
      </c>
      <c r="H3221">
        <v>4000000</v>
      </c>
      <c r="I3221">
        <v>6.6</v>
      </c>
      <c r="J3221" t="s">
        <v>9690</v>
      </c>
    </row>
    <row r="3222" spans="1:10" x14ac:dyDescent="0.3">
      <c r="A3222">
        <v>96</v>
      </c>
      <c r="B3222">
        <v>3713002</v>
      </c>
      <c r="C3222" t="s">
        <v>19</v>
      </c>
      <c r="D3222" t="s">
        <v>7220</v>
      </c>
      <c r="E3222" t="s">
        <v>7221</v>
      </c>
      <c r="F3222" t="s">
        <v>7</v>
      </c>
      <c r="G3222" t="s">
        <v>8</v>
      </c>
      <c r="H3222">
        <v>8000000</v>
      </c>
      <c r="I3222">
        <v>8</v>
      </c>
      <c r="J3222" t="s">
        <v>8889</v>
      </c>
    </row>
    <row r="3223" spans="1:10" x14ac:dyDescent="0.3">
      <c r="A3223">
        <v>110</v>
      </c>
      <c r="B3223">
        <v>3468572</v>
      </c>
      <c r="C3223" t="s">
        <v>1417</v>
      </c>
      <c r="D3223" t="s">
        <v>7222</v>
      </c>
      <c r="E3223" t="s">
        <v>7223</v>
      </c>
      <c r="F3223" t="s">
        <v>7</v>
      </c>
      <c r="G3223" t="s">
        <v>8</v>
      </c>
      <c r="H3223">
        <v>4000000</v>
      </c>
      <c r="I3223">
        <v>7</v>
      </c>
      <c r="J3223" t="s">
        <v>8787</v>
      </c>
    </row>
    <row r="3224" spans="1:10" x14ac:dyDescent="0.3">
      <c r="A3224">
        <v>84</v>
      </c>
      <c r="B3224">
        <v>2892582</v>
      </c>
      <c r="C3224" t="s">
        <v>668</v>
      </c>
      <c r="D3224" t="s">
        <v>7224</v>
      </c>
      <c r="E3224" t="s">
        <v>7225</v>
      </c>
      <c r="F3224" t="s">
        <v>7</v>
      </c>
      <c r="G3224" t="s">
        <v>8</v>
      </c>
      <c r="H3224">
        <v>4000000</v>
      </c>
      <c r="I3224">
        <v>5.8</v>
      </c>
      <c r="J3224" t="s">
        <v>8863</v>
      </c>
    </row>
    <row r="3225" spans="1:10" x14ac:dyDescent="0.3">
      <c r="A3225">
        <v>94</v>
      </c>
      <c r="B3225">
        <v>2800000</v>
      </c>
      <c r="C3225" t="s">
        <v>668</v>
      </c>
      <c r="D3225" t="s">
        <v>7226</v>
      </c>
      <c r="E3225" t="s">
        <v>7227</v>
      </c>
      <c r="F3225" t="s">
        <v>7</v>
      </c>
      <c r="G3225" t="s">
        <v>8</v>
      </c>
      <c r="H3225">
        <v>4000000</v>
      </c>
      <c r="I3225">
        <v>7.3</v>
      </c>
      <c r="J3225" t="s">
        <v>9691</v>
      </c>
    </row>
    <row r="3226" spans="1:10" x14ac:dyDescent="0.3">
      <c r="A3226">
        <v>93</v>
      </c>
      <c r="B3226">
        <v>2426851</v>
      </c>
      <c r="C3226" t="s">
        <v>1771</v>
      </c>
      <c r="D3226" t="s">
        <v>7228</v>
      </c>
      <c r="E3226" t="s">
        <v>7229</v>
      </c>
      <c r="F3226" t="s">
        <v>7</v>
      </c>
      <c r="G3226" t="s">
        <v>8</v>
      </c>
      <c r="H3226">
        <v>4000000</v>
      </c>
      <c r="I3226">
        <v>6.8</v>
      </c>
      <c r="J3226" t="s">
        <v>8566</v>
      </c>
    </row>
    <row r="3227" spans="1:10" x14ac:dyDescent="0.3">
      <c r="A3227">
        <v>96</v>
      </c>
      <c r="B3227">
        <v>1325073</v>
      </c>
      <c r="C3227" t="s">
        <v>1040</v>
      </c>
      <c r="D3227" t="s">
        <v>7230</v>
      </c>
      <c r="E3227" t="s">
        <v>7231</v>
      </c>
      <c r="F3227" t="s">
        <v>7</v>
      </c>
      <c r="G3227" t="s">
        <v>8</v>
      </c>
      <c r="H3227">
        <v>4000000</v>
      </c>
      <c r="I3227">
        <v>6.7</v>
      </c>
      <c r="J3227" t="s">
        <v>8872</v>
      </c>
    </row>
    <row r="3228" spans="1:10" x14ac:dyDescent="0.3">
      <c r="A3228">
        <v>101</v>
      </c>
      <c r="B3228">
        <v>864959</v>
      </c>
      <c r="C3228" t="s">
        <v>56</v>
      </c>
      <c r="D3228" t="s">
        <v>7232</v>
      </c>
      <c r="E3228" t="s">
        <v>7233</v>
      </c>
      <c r="F3228" t="s">
        <v>7</v>
      </c>
      <c r="G3228" t="s">
        <v>15</v>
      </c>
      <c r="H3228">
        <v>4000000</v>
      </c>
      <c r="I3228">
        <v>6.5</v>
      </c>
      <c r="J3228" t="s">
        <v>9467</v>
      </c>
    </row>
    <row r="3229" spans="1:10" x14ac:dyDescent="0.3">
      <c r="A3229">
        <v>102</v>
      </c>
      <c r="B3229">
        <v>2601847</v>
      </c>
      <c r="C3229" t="s">
        <v>1701</v>
      </c>
      <c r="D3229" t="s">
        <v>7234</v>
      </c>
      <c r="E3229" t="s">
        <v>7235</v>
      </c>
      <c r="F3229" t="s">
        <v>5763</v>
      </c>
      <c r="G3229" t="s">
        <v>8</v>
      </c>
      <c r="H3229">
        <v>4000000</v>
      </c>
      <c r="I3229">
        <v>8</v>
      </c>
      <c r="J3229" t="s">
        <v>9235</v>
      </c>
    </row>
    <row r="3230" spans="1:10" x14ac:dyDescent="0.3">
      <c r="A3230">
        <v>87</v>
      </c>
      <c r="B3230">
        <v>800000</v>
      </c>
      <c r="C3230" t="s">
        <v>56</v>
      </c>
      <c r="D3230" t="s">
        <v>7236</v>
      </c>
      <c r="E3230" t="s">
        <v>7237</v>
      </c>
      <c r="F3230" t="s">
        <v>7</v>
      </c>
      <c r="G3230" t="s">
        <v>8</v>
      </c>
      <c r="H3230">
        <v>4000000</v>
      </c>
      <c r="I3230">
        <v>6.5</v>
      </c>
      <c r="J3230" t="s">
        <v>9597</v>
      </c>
    </row>
    <row r="3231" spans="1:10" x14ac:dyDescent="0.3">
      <c r="A3231">
        <v>99</v>
      </c>
      <c r="B3231">
        <v>562059</v>
      </c>
      <c r="C3231" t="s">
        <v>1704</v>
      </c>
      <c r="D3231" t="s">
        <v>7238</v>
      </c>
      <c r="E3231" t="s">
        <v>7239</v>
      </c>
      <c r="F3231" t="s">
        <v>7</v>
      </c>
      <c r="G3231" t="s">
        <v>8</v>
      </c>
      <c r="H3231">
        <v>4000000</v>
      </c>
      <c r="I3231">
        <v>4.9000000000000004</v>
      </c>
      <c r="J3231" t="s">
        <v>9692</v>
      </c>
    </row>
    <row r="3232" spans="1:10" x14ac:dyDescent="0.3">
      <c r="A3232">
        <v>106</v>
      </c>
      <c r="B3232">
        <v>399793</v>
      </c>
      <c r="C3232" t="s">
        <v>1417</v>
      </c>
      <c r="D3232" t="s">
        <v>7240</v>
      </c>
      <c r="E3232" t="s">
        <v>7241</v>
      </c>
      <c r="F3232" t="s">
        <v>7</v>
      </c>
      <c r="G3232" t="s">
        <v>8</v>
      </c>
      <c r="H3232">
        <v>4000000</v>
      </c>
      <c r="I3232">
        <v>7.1</v>
      </c>
      <c r="J3232" t="s">
        <v>9480</v>
      </c>
    </row>
    <row r="3233" spans="1:10" x14ac:dyDescent="0.3">
      <c r="A3233">
        <v>117</v>
      </c>
      <c r="B3233">
        <v>371897</v>
      </c>
      <c r="C3233" t="s">
        <v>1417</v>
      </c>
      <c r="D3233" t="s">
        <v>7242</v>
      </c>
      <c r="E3233" t="s">
        <v>7243</v>
      </c>
      <c r="F3233" t="s">
        <v>7</v>
      </c>
      <c r="G3233" t="s">
        <v>8</v>
      </c>
      <c r="H3233">
        <v>4000000</v>
      </c>
      <c r="I3233">
        <v>7</v>
      </c>
      <c r="J3233" t="s">
        <v>8674</v>
      </c>
    </row>
    <row r="3234" spans="1:10" x14ac:dyDescent="0.3">
      <c r="A3234">
        <v>99</v>
      </c>
      <c r="B3234">
        <v>302204</v>
      </c>
      <c r="C3234" t="s">
        <v>1782</v>
      </c>
      <c r="D3234" t="s">
        <v>7244</v>
      </c>
      <c r="E3234" t="s">
        <v>7245</v>
      </c>
      <c r="F3234" t="s">
        <v>7</v>
      </c>
      <c r="G3234" t="s">
        <v>15</v>
      </c>
      <c r="H3234">
        <v>3000000</v>
      </c>
      <c r="I3234">
        <v>7</v>
      </c>
      <c r="J3234" t="s">
        <v>9693</v>
      </c>
    </row>
    <row r="3235" spans="1:10" x14ac:dyDescent="0.3">
      <c r="A3235">
        <v>102</v>
      </c>
      <c r="B3235">
        <v>354704</v>
      </c>
      <c r="C3235" t="s">
        <v>2805</v>
      </c>
      <c r="D3235" t="s">
        <v>7246</v>
      </c>
      <c r="E3235" t="s">
        <v>7247</v>
      </c>
      <c r="F3235" t="s">
        <v>7</v>
      </c>
      <c r="G3235" t="s">
        <v>8</v>
      </c>
      <c r="H3235">
        <v>1300000</v>
      </c>
      <c r="I3235">
        <v>7.5</v>
      </c>
      <c r="J3235" t="s">
        <v>8752</v>
      </c>
    </row>
    <row r="3236" spans="1:10" x14ac:dyDescent="0.3">
      <c r="A3236">
        <v>85</v>
      </c>
      <c r="B3236">
        <v>265107</v>
      </c>
      <c r="C3236" t="s">
        <v>7248</v>
      </c>
      <c r="D3236" t="s">
        <v>7249</v>
      </c>
      <c r="E3236" t="s">
        <v>7250</v>
      </c>
      <c r="F3236" t="s">
        <v>7</v>
      </c>
      <c r="G3236" t="s">
        <v>132</v>
      </c>
      <c r="H3236">
        <v>1500000</v>
      </c>
      <c r="I3236">
        <v>4.5</v>
      </c>
      <c r="J3236" t="s">
        <v>9246</v>
      </c>
    </row>
    <row r="3237" spans="1:10" x14ac:dyDescent="0.3">
      <c r="A3237">
        <v>86</v>
      </c>
      <c r="B3237">
        <v>185577</v>
      </c>
      <c r="C3237" t="s">
        <v>668</v>
      </c>
      <c r="D3237" t="s">
        <v>7251</v>
      </c>
      <c r="E3237" t="s">
        <v>7252</v>
      </c>
      <c r="F3237" t="s">
        <v>7</v>
      </c>
      <c r="G3237" t="s">
        <v>15</v>
      </c>
      <c r="H3237">
        <v>4000000</v>
      </c>
      <c r="I3237">
        <v>5.5</v>
      </c>
      <c r="J3237" t="s">
        <v>9694</v>
      </c>
    </row>
    <row r="3238" spans="1:10" x14ac:dyDescent="0.3">
      <c r="A3238">
        <v>120</v>
      </c>
      <c r="B3238">
        <v>100412</v>
      </c>
      <c r="C3238" t="s">
        <v>1417</v>
      </c>
      <c r="D3238" t="s">
        <v>7253</v>
      </c>
      <c r="E3238" t="s">
        <v>7254</v>
      </c>
      <c r="F3238" t="s">
        <v>3702</v>
      </c>
      <c r="G3238" t="s">
        <v>1193</v>
      </c>
      <c r="H3238">
        <v>4000000</v>
      </c>
      <c r="I3238">
        <v>7.7</v>
      </c>
      <c r="J3238" t="s">
        <v>8379</v>
      </c>
    </row>
    <row r="3239" spans="1:10" x14ac:dyDescent="0.3">
      <c r="A3239">
        <v>106</v>
      </c>
      <c r="B3239">
        <v>58214</v>
      </c>
      <c r="C3239" t="s">
        <v>873</v>
      </c>
      <c r="D3239" t="s">
        <v>7255</v>
      </c>
      <c r="E3239" t="s">
        <v>7256</v>
      </c>
      <c r="F3239" t="s">
        <v>7</v>
      </c>
      <c r="G3239" t="s">
        <v>8</v>
      </c>
      <c r="H3239">
        <v>9500000</v>
      </c>
      <c r="I3239">
        <v>7.2</v>
      </c>
      <c r="J3239" t="s">
        <v>9695</v>
      </c>
    </row>
    <row r="3240" spans="1:10" x14ac:dyDescent="0.3">
      <c r="A3240">
        <v>103</v>
      </c>
      <c r="B3240">
        <v>75078</v>
      </c>
      <c r="C3240" t="s">
        <v>668</v>
      </c>
      <c r="D3240" t="s">
        <v>7257</v>
      </c>
      <c r="E3240" t="s">
        <v>7258</v>
      </c>
      <c r="F3240" t="s">
        <v>7</v>
      </c>
      <c r="G3240" t="s">
        <v>8</v>
      </c>
      <c r="H3240">
        <v>14000000</v>
      </c>
      <c r="I3240">
        <v>4.8</v>
      </c>
      <c r="J3240" t="s">
        <v>9696</v>
      </c>
    </row>
    <row r="3241" spans="1:10" x14ac:dyDescent="0.3">
      <c r="A3241">
        <v>93</v>
      </c>
      <c r="B3241">
        <v>64359</v>
      </c>
      <c r="C3241" t="s">
        <v>672</v>
      </c>
      <c r="D3241" t="s">
        <v>7259</v>
      </c>
      <c r="E3241" t="s">
        <v>7260</v>
      </c>
      <c r="F3241" t="s">
        <v>7</v>
      </c>
      <c r="G3241" t="s">
        <v>15</v>
      </c>
      <c r="H3241">
        <v>2500000</v>
      </c>
      <c r="I3241">
        <v>6.7</v>
      </c>
      <c r="J3241" t="s">
        <v>8383</v>
      </c>
    </row>
    <row r="3242" spans="1:10" x14ac:dyDescent="0.3">
      <c r="A3242">
        <v>112</v>
      </c>
      <c r="B3242">
        <v>317125</v>
      </c>
      <c r="C3242" t="s">
        <v>73</v>
      </c>
      <c r="D3242" t="s">
        <v>7261</v>
      </c>
      <c r="E3242" t="s">
        <v>7262</v>
      </c>
      <c r="F3242" t="s">
        <v>7</v>
      </c>
      <c r="G3242" t="s">
        <v>132</v>
      </c>
      <c r="H3242">
        <v>16000000</v>
      </c>
      <c r="I3242">
        <v>7</v>
      </c>
      <c r="J3242" t="s">
        <v>8820</v>
      </c>
    </row>
    <row r="3243" spans="1:10" x14ac:dyDescent="0.3">
      <c r="A3243">
        <v>113</v>
      </c>
      <c r="B3243">
        <v>146402</v>
      </c>
      <c r="C3243" t="s">
        <v>1040</v>
      </c>
      <c r="D3243" t="s">
        <v>7263</v>
      </c>
      <c r="E3243" t="s">
        <v>7264</v>
      </c>
      <c r="F3243" t="s">
        <v>1146</v>
      </c>
      <c r="G3243" t="s">
        <v>1488</v>
      </c>
      <c r="H3243">
        <v>4000000</v>
      </c>
      <c r="I3243">
        <v>6.5</v>
      </c>
      <c r="J3243" t="s">
        <v>9697</v>
      </c>
    </row>
    <row r="3244" spans="1:10" x14ac:dyDescent="0.3">
      <c r="A3244">
        <v>98</v>
      </c>
      <c r="B3244">
        <v>18469</v>
      </c>
      <c r="C3244" t="s">
        <v>292</v>
      </c>
      <c r="D3244" t="s">
        <v>7265</v>
      </c>
      <c r="E3244" t="s">
        <v>7266</v>
      </c>
      <c r="F3244" t="s">
        <v>7</v>
      </c>
      <c r="G3244" t="s">
        <v>8</v>
      </c>
      <c r="H3244">
        <v>650000</v>
      </c>
      <c r="I3244">
        <v>7.4</v>
      </c>
      <c r="J3244" t="s">
        <v>9240</v>
      </c>
    </row>
    <row r="3245" spans="1:10" x14ac:dyDescent="0.3">
      <c r="A3245">
        <v>106</v>
      </c>
      <c r="B3245">
        <v>20262</v>
      </c>
      <c r="C3245" t="s">
        <v>1417</v>
      </c>
      <c r="D3245" t="s">
        <v>7267</v>
      </c>
      <c r="E3245" t="s">
        <v>7268</v>
      </c>
      <c r="F3245" t="s">
        <v>5982</v>
      </c>
      <c r="G3245" t="s">
        <v>6732</v>
      </c>
      <c r="H3245">
        <v>4000000</v>
      </c>
      <c r="I3245">
        <v>5.7</v>
      </c>
      <c r="J3245" t="s">
        <v>9698</v>
      </c>
    </row>
    <row r="3246" spans="1:10" x14ac:dyDescent="0.3">
      <c r="A3246">
        <v>93</v>
      </c>
      <c r="B3246">
        <v>4063</v>
      </c>
      <c r="C3246" t="s">
        <v>1356</v>
      </c>
      <c r="D3246" t="s">
        <v>7269</v>
      </c>
      <c r="E3246" t="s">
        <v>7270</v>
      </c>
      <c r="F3246" t="s">
        <v>7</v>
      </c>
      <c r="G3246" t="s">
        <v>95</v>
      </c>
      <c r="H3246">
        <v>4000000</v>
      </c>
      <c r="I3246">
        <v>6.2</v>
      </c>
      <c r="J3246" t="s">
        <v>9473</v>
      </c>
    </row>
    <row r="3247" spans="1:10" x14ac:dyDescent="0.3">
      <c r="A3247">
        <v>226</v>
      </c>
      <c r="B3247">
        <v>198655278</v>
      </c>
      <c r="C3247" t="s">
        <v>789</v>
      </c>
      <c r="D3247" t="s">
        <v>7271</v>
      </c>
      <c r="E3247" t="s">
        <v>7272</v>
      </c>
      <c r="F3247" t="s">
        <v>7</v>
      </c>
      <c r="G3247" t="s">
        <v>8</v>
      </c>
      <c r="H3247">
        <v>3977000</v>
      </c>
      <c r="I3247">
        <v>5.7</v>
      </c>
      <c r="J3247" t="s">
        <v>9293</v>
      </c>
    </row>
    <row r="3248" spans="1:10" x14ac:dyDescent="0.3">
      <c r="A3248">
        <v>104</v>
      </c>
      <c r="B3248">
        <v>143653</v>
      </c>
      <c r="C3248" t="s">
        <v>617</v>
      </c>
      <c r="D3248" t="s">
        <v>7273</v>
      </c>
      <c r="E3248" t="s">
        <v>7274</v>
      </c>
      <c r="F3248" t="s">
        <v>7</v>
      </c>
      <c r="G3248" t="s">
        <v>15</v>
      </c>
      <c r="H3248">
        <v>4000000</v>
      </c>
      <c r="I3248">
        <v>6.4</v>
      </c>
      <c r="J3248" t="s">
        <v>9215</v>
      </c>
    </row>
    <row r="3249" spans="1:10" x14ac:dyDescent="0.3">
      <c r="A3249">
        <v>152</v>
      </c>
      <c r="B3249">
        <v>14873</v>
      </c>
      <c r="C3249" t="s">
        <v>7275</v>
      </c>
      <c r="D3249" t="s">
        <v>7276</v>
      </c>
      <c r="E3249" t="s">
        <v>7277</v>
      </c>
      <c r="F3249" t="s">
        <v>7</v>
      </c>
      <c r="G3249" t="s">
        <v>8</v>
      </c>
      <c r="H3249">
        <v>3800000</v>
      </c>
      <c r="I3249">
        <v>7</v>
      </c>
      <c r="J3249" t="s">
        <v>9253</v>
      </c>
    </row>
    <row r="3250" spans="1:10" x14ac:dyDescent="0.3">
      <c r="A3250">
        <v>107</v>
      </c>
      <c r="B3250">
        <v>8000000</v>
      </c>
      <c r="C3250" t="s">
        <v>7278</v>
      </c>
      <c r="D3250" t="s">
        <v>7279</v>
      </c>
      <c r="E3250" t="s">
        <v>7280</v>
      </c>
      <c r="F3250" t="s">
        <v>7</v>
      </c>
      <c r="G3250" t="s">
        <v>8</v>
      </c>
      <c r="H3250">
        <v>3768785</v>
      </c>
      <c r="I3250">
        <v>7.7</v>
      </c>
      <c r="J3250" t="s">
        <v>9699</v>
      </c>
    </row>
    <row r="3251" spans="1:10" x14ac:dyDescent="0.3">
      <c r="A3251">
        <v>95</v>
      </c>
      <c r="B3251">
        <v>37606</v>
      </c>
      <c r="C3251" t="s">
        <v>3876</v>
      </c>
      <c r="D3251" t="s">
        <v>7281</v>
      </c>
      <c r="E3251" t="s">
        <v>7282</v>
      </c>
      <c r="F3251" t="s">
        <v>7</v>
      </c>
      <c r="G3251" t="s">
        <v>95</v>
      </c>
      <c r="H3251">
        <v>3500000</v>
      </c>
      <c r="I3251">
        <v>5.4</v>
      </c>
      <c r="J3251" t="s">
        <v>9291</v>
      </c>
    </row>
    <row r="3252" spans="1:10" x14ac:dyDescent="0.3">
      <c r="A3252">
        <v>102</v>
      </c>
      <c r="B3252">
        <v>2956000</v>
      </c>
      <c r="C3252" t="s">
        <v>7283</v>
      </c>
      <c r="D3252" t="s">
        <v>7284</v>
      </c>
      <c r="E3252" t="s">
        <v>7285</v>
      </c>
      <c r="F3252" t="s">
        <v>7</v>
      </c>
      <c r="G3252" t="s">
        <v>8</v>
      </c>
      <c r="H3252">
        <v>3700000</v>
      </c>
      <c r="I3252">
        <v>6.6</v>
      </c>
      <c r="J3252" t="s">
        <v>9700</v>
      </c>
    </row>
    <row r="3253" spans="1:10" x14ac:dyDescent="0.3">
      <c r="A3253">
        <v>99</v>
      </c>
      <c r="B3253">
        <v>19959</v>
      </c>
      <c r="C3253" t="s">
        <v>1417</v>
      </c>
      <c r="D3253" t="s">
        <v>7286</v>
      </c>
      <c r="E3253" t="s">
        <v>7287</v>
      </c>
      <c r="F3253" t="s">
        <v>7</v>
      </c>
      <c r="G3253" t="s">
        <v>3673</v>
      </c>
      <c r="H3253">
        <v>3800000</v>
      </c>
      <c r="I3253">
        <v>6.1</v>
      </c>
      <c r="J3253" t="s">
        <v>9701</v>
      </c>
    </row>
    <row r="3254" spans="1:10" x14ac:dyDescent="0.3">
      <c r="A3254">
        <v>109</v>
      </c>
      <c r="B3254">
        <v>2706659</v>
      </c>
      <c r="C3254" t="s">
        <v>1040</v>
      </c>
      <c r="D3254" t="s">
        <v>7288</v>
      </c>
      <c r="E3254" t="s">
        <v>7289</v>
      </c>
      <c r="F3254" t="s">
        <v>7</v>
      </c>
      <c r="G3254" t="s">
        <v>15</v>
      </c>
      <c r="H3254">
        <v>2000000</v>
      </c>
      <c r="I3254">
        <v>6.1</v>
      </c>
      <c r="J3254" t="s">
        <v>9702</v>
      </c>
    </row>
    <row r="3255" spans="1:10" x14ac:dyDescent="0.3">
      <c r="A3255">
        <v>91</v>
      </c>
      <c r="B3255">
        <v>45857453</v>
      </c>
      <c r="C3255" t="s">
        <v>2312</v>
      </c>
      <c r="D3255" t="s">
        <v>7290</v>
      </c>
      <c r="E3255" t="s">
        <v>7291</v>
      </c>
      <c r="F3255" t="s">
        <v>7</v>
      </c>
      <c r="G3255" t="s">
        <v>15</v>
      </c>
      <c r="H3255">
        <v>3500000</v>
      </c>
      <c r="I3255">
        <v>7.6</v>
      </c>
      <c r="J3255" t="s">
        <v>9247</v>
      </c>
    </row>
    <row r="3256" spans="1:10" x14ac:dyDescent="0.3">
      <c r="A3256">
        <v>88</v>
      </c>
      <c r="B3256">
        <v>83400000</v>
      </c>
      <c r="C3256" t="s">
        <v>668</v>
      </c>
      <c r="D3256" t="s">
        <v>7292</v>
      </c>
      <c r="E3256" t="s">
        <v>7293</v>
      </c>
      <c r="F3256" t="s">
        <v>7</v>
      </c>
      <c r="G3256" t="s">
        <v>8</v>
      </c>
      <c r="H3256">
        <v>3500000</v>
      </c>
      <c r="I3256">
        <v>6.2</v>
      </c>
      <c r="J3256" t="s">
        <v>9703</v>
      </c>
    </row>
    <row r="3257" spans="1:10" x14ac:dyDescent="0.3">
      <c r="A3257">
        <v>97</v>
      </c>
      <c r="B3257">
        <v>27900000</v>
      </c>
      <c r="C3257" t="s">
        <v>1040</v>
      </c>
      <c r="D3257" t="s">
        <v>7294</v>
      </c>
      <c r="E3257" t="s">
        <v>7295</v>
      </c>
      <c r="F3257" t="s">
        <v>7</v>
      </c>
      <c r="G3257" t="s">
        <v>8</v>
      </c>
      <c r="H3257">
        <v>3500000</v>
      </c>
      <c r="I3257">
        <v>6.6</v>
      </c>
      <c r="J3257" t="s">
        <v>9428</v>
      </c>
    </row>
    <row r="3258" spans="1:10" x14ac:dyDescent="0.3">
      <c r="A3258">
        <v>97</v>
      </c>
      <c r="B3258">
        <v>27900000</v>
      </c>
      <c r="C3258" t="s">
        <v>873</v>
      </c>
      <c r="D3258" t="s">
        <v>7296</v>
      </c>
      <c r="E3258" t="s">
        <v>7297</v>
      </c>
      <c r="F3258" t="s">
        <v>7</v>
      </c>
      <c r="G3258" t="s">
        <v>8</v>
      </c>
      <c r="H3258">
        <v>3500000</v>
      </c>
      <c r="I3258">
        <v>6.1</v>
      </c>
      <c r="J3258" t="s">
        <v>8927</v>
      </c>
    </row>
    <row r="3259" spans="1:10" x14ac:dyDescent="0.3">
      <c r="A3259">
        <v>85</v>
      </c>
      <c r="B3259">
        <v>14000000</v>
      </c>
      <c r="C3259" t="s">
        <v>3416</v>
      </c>
      <c r="D3259" t="s">
        <v>7298</v>
      </c>
      <c r="E3259" t="s">
        <v>7299</v>
      </c>
      <c r="F3259" t="s">
        <v>7</v>
      </c>
      <c r="G3259" t="s">
        <v>8</v>
      </c>
      <c r="H3259">
        <v>3500000</v>
      </c>
      <c r="I3259">
        <v>7.3</v>
      </c>
      <c r="J3259" t="s">
        <v>9704</v>
      </c>
    </row>
    <row r="3260" spans="1:10" x14ac:dyDescent="0.3">
      <c r="A3260">
        <v>92</v>
      </c>
      <c r="B3260">
        <v>25138292</v>
      </c>
      <c r="C3260" t="s">
        <v>2141</v>
      </c>
      <c r="D3260" t="s">
        <v>7300</v>
      </c>
      <c r="E3260" t="s">
        <v>7301</v>
      </c>
      <c r="F3260" t="s">
        <v>7</v>
      </c>
      <c r="G3260" t="s">
        <v>8</v>
      </c>
      <c r="H3260">
        <v>3500000</v>
      </c>
      <c r="I3260">
        <v>4.2</v>
      </c>
      <c r="J3260" t="s">
        <v>9705</v>
      </c>
    </row>
    <row r="3261" spans="1:10" x14ac:dyDescent="0.3">
      <c r="A3261">
        <v>93</v>
      </c>
      <c r="B3261">
        <v>10305534</v>
      </c>
      <c r="C3261" t="s">
        <v>668</v>
      </c>
      <c r="D3261" t="s">
        <v>7302</v>
      </c>
      <c r="E3261" t="s">
        <v>7303</v>
      </c>
      <c r="F3261" t="s">
        <v>7</v>
      </c>
      <c r="G3261" t="s">
        <v>8</v>
      </c>
      <c r="H3261">
        <v>3500000</v>
      </c>
      <c r="I3261">
        <v>7.1</v>
      </c>
      <c r="J3261" t="s">
        <v>9342</v>
      </c>
    </row>
    <row r="3262" spans="1:10" x14ac:dyDescent="0.3">
      <c r="A3262">
        <v>96</v>
      </c>
      <c r="B3262">
        <v>9449219</v>
      </c>
      <c r="C3262" t="s">
        <v>561</v>
      </c>
      <c r="D3262" t="s">
        <v>7304</v>
      </c>
      <c r="E3262" t="s">
        <v>7305</v>
      </c>
      <c r="F3262" t="s">
        <v>7</v>
      </c>
      <c r="G3262" t="s">
        <v>8</v>
      </c>
      <c r="H3262">
        <v>3500000</v>
      </c>
      <c r="I3262">
        <v>6</v>
      </c>
      <c r="J3262" t="s">
        <v>9706</v>
      </c>
    </row>
    <row r="3263" spans="1:10" x14ac:dyDescent="0.3">
      <c r="A3263">
        <v>105</v>
      </c>
      <c r="B3263">
        <v>6390032</v>
      </c>
      <c r="C3263" t="s">
        <v>617</v>
      </c>
      <c r="D3263" t="s">
        <v>7306</v>
      </c>
      <c r="E3263" t="s">
        <v>7307</v>
      </c>
      <c r="F3263" t="s">
        <v>7</v>
      </c>
      <c r="G3263" t="s">
        <v>8</v>
      </c>
      <c r="H3263">
        <v>3500000</v>
      </c>
      <c r="I3263">
        <v>6.5</v>
      </c>
      <c r="J3263" t="s">
        <v>9707</v>
      </c>
    </row>
    <row r="3264" spans="1:10" x14ac:dyDescent="0.3">
      <c r="A3264">
        <v>129</v>
      </c>
      <c r="B3264">
        <v>20167424</v>
      </c>
      <c r="C3264" t="s">
        <v>780</v>
      </c>
      <c r="D3264" t="s">
        <v>7308</v>
      </c>
      <c r="E3264" t="s">
        <v>7309</v>
      </c>
      <c r="F3264" t="s">
        <v>1146</v>
      </c>
      <c r="G3264" t="s">
        <v>7310</v>
      </c>
      <c r="H3264">
        <v>2000000</v>
      </c>
      <c r="I3264">
        <v>6.5</v>
      </c>
      <c r="J3264" t="s">
        <v>9708</v>
      </c>
    </row>
    <row r="3265" spans="1:10" x14ac:dyDescent="0.3">
      <c r="A3265">
        <v>37</v>
      </c>
      <c r="B3265">
        <v>5923044</v>
      </c>
      <c r="C3265" t="s">
        <v>3416</v>
      </c>
      <c r="D3265" t="s">
        <v>7311</v>
      </c>
      <c r="E3265" t="s">
        <v>7312</v>
      </c>
      <c r="F3265" t="s">
        <v>7</v>
      </c>
      <c r="G3265" t="s">
        <v>8</v>
      </c>
      <c r="H3265">
        <v>3600000</v>
      </c>
      <c r="I3265">
        <v>5.7</v>
      </c>
      <c r="J3265" t="s">
        <v>9709</v>
      </c>
    </row>
    <row r="3266" spans="1:10" x14ac:dyDescent="0.3">
      <c r="A3266">
        <v>81</v>
      </c>
      <c r="B3266">
        <v>3293258</v>
      </c>
      <c r="C3266" t="s">
        <v>7313</v>
      </c>
      <c r="D3266" t="s">
        <v>7314</v>
      </c>
      <c r="E3266" t="s">
        <v>7315</v>
      </c>
      <c r="F3266" t="s">
        <v>7</v>
      </c>
      <c r="G3266" t="s">
        <v>8</v>
      </c>
      <c r="H3266">
        <v>3000000</v>
      </c>
      <c r="I3266">
        <v>6.1</v>
      </c>
      <c r="J3266" t="s">
        <v>9710</v>
      </c>
    </row>
    <row r="3267" spans="1:10" x14ac:dyDescent="0.3">
      <c r="A3267">
        <v>106</v>
      </c>
      <c r="B3267">
        <v>886410</v>
      </c>
      <c r="C3267" t="s">
        <v>2754</v>
      </c>
      <c r="D3267" t="s">
        <v>7316</v>
      </c>
      <c r="E3267" t="s">
        <v>7317</v>
      </c>
      <c r="F3267" t="s">
        <v>1146</v>
      </c>
      <c r="G3267" t="s">
        <v>1193</v>
      </c>
      <c r="H3267">
        <v>3500000</v>
      </c>
      <c r="I3267">
        <v>7.1</v>
      </c>
      <c r="J3267" t="s">
        <v>9711</v>
      </c>
    </row>
    <row r="3268" spans="1:10" x14ac:dyDescent="0.3">
      <c r="A3268">
        <v>103</v>
      </c>
      <c r="B3268">
        <v>252652</v>
      </c>
      <c r="C3268" t="s">
        <v>7318</v>
      </c>
      <c r="D3268" t="s">
        <v>7319</v>
      </c>
      <c r="E3268" t="s">
        <v>7320</v>
      </c>
      <c r="F3268" t="s">
        <v>6938</v>
      </c>
      <c r="G3268" t="s">
        <v>5252</v>
      </c>
      <c r="H3268">
        <v>19900000</v>
      </c>
      <c r="I3268">
        <v>7.3</v>
      </c>
      <c r="J3268" t="s">
        <v>9712</v>
      </c>
    </row>
    <row r="3269" spans="1:10" x14ac:dyDescent="0.3">
      <c r="A3269">
        <v>101</v>
      </c>
      <c r="B3269">
        <v>220234</v>
      </c>
      <c r="C3269" t="s">
        <v>672</v>
      </c>
      <c r="D3269" t="s">
        <v>7321</v>
      </c>
      <c r="E3269" t="s">
        <v>7322</v>
      </c>
      <c r="F3269" t="s">
        <v>7</v>
      </c>
      <c r="G3269" t="s">
        <v>8</v>
      </c>
      <c r="H3269">
        <v>3500000</v>
      </c>
      <c r="I3269">
        <v>6.5</v>
      </c>
      <c r="J3269" t="s">
        <v>9713</v>
      </c>
    </row>
    <row r="3270" spans="1:10" x14ac:dyDescent="0.3">
      <c r="A3270">
        <v>91</v>
      </c>
      <c r="B3270">
        <v>96793</v>
      </c>
      <c r="C3270" t="s">
        <v>564</v>
      </c>
      <c r="D3270" t="s">
        <v>7323</v>
      </c>
      <c r="E3270" t="s">
        <v>7324</v>
      </c>
      <c r="F3270" t="s">
        <v>7</v>
      </c>
      <c r="G3270" t="s">
        <v>8</v>
      </c>
      <c r="H3270">
        <v>3500000</v>
      </c>
      <c r="I3270">
        <v>5.7</v>
      </c>
      <c r="J3270" t="s">
        <v>9714</v>
      </c>
    </row>
    <row r="3271" spans="1:10" x14ac:dyDescent="0.3">
      <c r="A3271">
        <v>105</v>
      </c>
      <c r="B3271">
        <v>123777</v>
      </c>
      <c r="C3271" t="s">
        <v>7325</v>
      </c>
      <c r="D3271" t="s">
        <v>7326</v>
      </c>
      <c r="E3271" t="s">
        <v>7327</v>
      </c>
      <c r="F3271" t="s">
        <v>7</v>
      </c>
      <c r="G3271" t="s">
        <v>95</v>
      </c>
      <c r="H3271">
        <v>3500000</v>
      </c>
      <c r="I3271">
        <v>7.2</v>
      </c>
      <c r="J3271" t="s">
        <v>8426</v>
      </c>
    </row>
    <row r="3272" spans="1:10" x14ac:dyDescent="0.3">
      <c r="A3272">
        <v>100</v>
      </c>
      <c r="B3272">
        <v>29233</v>
      </c>
      <c r="C3272" t="s">
        <v>19</v>
      </c>
      <c r="D3272" t="s">
        <v>7328</v>
      </c>
      <c r="E3272" t="s">
        <v>7329</v>
      </c>
      <c r="F3272" t="s">
        <v>7</v>
      </c>
      <c r="G3272" t="s">
        <v>8</v>
      </c>
      <c r="H3272">
        <v>3500000</v>
      </c>
      <c r="I3272">
        <v>7.3</v>
      </c>
      <c r="J3272" t="s">
        <v>8715</v>
      </c>
    </row>
    <row r="3273" spans="1:10" x14ac:dyDescent="0.3">
      <c r="A3273">
        <v>80</v>
      </c>
      <c r="B3273">
        <v>77413017</v>
      </c>
      <c r="C3273" t="s">
        <v>19</v>
      </c>
      <c r="D3273" t="s">
        <v>7330</v>
      </c>
      <c r="E3273" t="s">
        <v>7331</v>
      </c>
      <c r="F3273" t="s">
        <v>582</v>
      </c>
      <c r="G3273" t="s">
        <v>583</v>
      </c>
      <c r="H3273">
        <v>8000000</v>
      </c>
      <c r="I3273">
        <v>6.9</v>
      </c>
      <c r="J3273" t="s">
        <v>9715</v>
      </c>
    </row>
    <row r="3274" spans="1:10" x14ac:dyDescent="0.3">
      <c r="A3274">
        <v>107</v>
      </c>
      <c r="B3274">
        <v>5354039</v>
      </c>
      <c r="C3274" t="s">
        <v>1493</v>
      </c>
      <c r="D3274" t="s">
        <v>7332</v>
      </c>
      <c r="E3274" t="s">
        <v>7333</v>
      </c>
      <c r="F3274" t="s">
        <v>7</v>
      </c>
      <c r="G3274" t="s">
        <v>8</v>
      </c>
      <c r="H3274">
        <v>3500000</v>
      </c>
      <c r="I3274">
        <v>5</v>
      </c>
      <c r="J3274" t="s">
        <v>9716</v>
      </c>
    </row>
    <row r="3275" spans="1:10" x14ac:dyDescent="0.3">
      <c r="A3275">
        <v>92</v>
      </c>
      <c r="B3275">
        <v>2926565</v>
      </c>
      <c r="C3275" t="s">
        <v>1040</v>
      </c>
      <c r="D3275" t="s">
        <v>7334</v>
      </c>
      <c r="E3275" t="s">
        <v>7335</v>
      </c>
      <c r="F3275" t="s">
        <v>7</v>
      </c>
      <c r="G3275" t="s">
        <v>8</v>
      </c>
      <c r="H3275">
        <v>3000000</v>
      </c>
      <c r="I3275">
        <v>5.9</v>
      </c>
      <c r="J3275" t="s">
        <v>9717</v>
      </c>
    </row>
    <row r="3276" spans="1:10" x14ac:dyDescent="0.3">
      <c r="A3276">
        <v>107</v>
      </c>
      <c r="B3276">
        <v>13092000</v>
      </c>
      <c r="C3276" t="s">
        <v>2605</v>
      </c>
      <c r="D3276" t="s">
        <v>7336</v>
      </c>
      <c r="E3276" t="s">
        <v>7337</v>
      </c>
      <c r="F3276" t="s">
        <v>7</v>
      </c>
      <c r="G3276" t="s">
        <v>8</v>
      </c>
      <c r="H3276">
        <v>3300000</v>
      </c>
      <c r="I3276">
        <v>6.7</v>
      </c>
      <c r="J3276" t="s">
        <v>9718</v>
      </c>
    </row>
    <row r="3277" spans="1:10" x14ac:dyDescent="0.3">
      <c r="A3277">
        <v>135</v>
      </c>
      <c r="B3277">
        <v>7563397</v>
      </c>
      <c r="C3277" t="s">
        <v>786</v>
      </c>
      <c r="D3277" t="s">
        <v>7338</v>
      </c>
      <c r="E3277" t="s">
        <v>7339</v>
      </c>
      <c r="F3277" t="s">
        <v>5982</v>
      </c>
      <c r="G3277" t="s">
        <v>6732</v>
      </c>
      <c r="H3277">
        <v>3300000</v>
      </c>
      <c r="I3277">
        <v>7.3</v>
      </c>
      <c r="J3277" t="s">
        <v>8983</v>
      </c>
    </row>
    <row r="3278" spans="1:10" x14ac:dyDescent="0.3">
      <c r="A3278">
        <v>99</v>
      </c>
      <c r="B3278">
        <v>104257</v>
      </c>
      <c r="C3278" t="s">
        <v>2708</v>
      </c>
      <c r="D3278" t="s">
        <v>7340</v>
      </c>
      <c r="E3278" t="s">
        <v>7341</v>
      </c>
      <c r="F3278" t="s">
        <v>7</v>
      </c>
      <c r="G3278" t="s">
        <v>15</v>
      </c>
      <c r="H3278">
        <v>2200000</v>
      </c>
      <c r="I3278">
        <v>7.6</v>
      </c>
      <c r="J3278" t="s">
        <v>9165</v>
      </c>
    </row>
    <row r="3279" spans="1:10" x14ac:dyDescent="0.3">
      <c r="A3279">
        <v>115</v>
      </c>
      <c r="B3279">
        <v>610968</v>
      </c>
      <c r="C3279" t="s">
        <v>1417</v>
      </c>
      <c r="D3279" t="s">
        <v>7342</v>
      </c>
      <c r="E3279" t="s">
        <v>7343</v>
      </c>
      <c r="F3279" t="s">
        <v>6411</v>
      </c>
      <c r="G3279" t="s">
        <v>3266</v>
      </c>
      <c r="H3279">
        <v>3800000</v>
      </c>
      <c r="I3279">
        <v>6.5</v>
      </c>
      <c r="J3279" t="s">
        <v>9719</v>
      </c>
    </row>
    <row r="3280" spans="1:10" x14ac:dyDescent="0.3">
      <c r="A3280">
        <v>91</v>
      </c>
      <c r="B3280">
        <v>8108247</v>
      </c>
      <c r="C3280" t="s">
        <v>73</v>
      </c>
      <c r="D3280" t="s">
        <v>7344</v>
      </c>
      <c r="E3280" t="s">
        <v>7345</v>
      </c>
      <c r="F3280" t="s">
        <v>7</v>
      </c>
      <c r="G3280" t="s">
        <v>8</v>
      </c>
      <c r="H3280">
        <v>3300000</v>
      </c>
      <c r="I3280">
        <v>2.1</v>
      </c>
      <c r="J3280" t="s">
        <v>9720</v>
      </c>
    </row>
    <row r="3281" spans="1:10" x14ac:dyDescent="0.3">
      <c r="A3281">
        <v>92</v>
      </c>
      <c r="B3281">
        <v>7680</v>
      </c>
      <c r="C3281" t="s">
        <v>73</v>
      </c>
      <c r="D3281" t="s">
        <v>7346</v>
      </c>
      <c r="E3281" t="s">
        <v>7347</v>
      </c>
      <c r="F3281" t="s">
        <v>7</v>
      </c>
      <c r="G3281" t="s">
        <v>8</v>
      </c>
      <c r="H3281">
        <v>2000000</v>
      </c>
      <c r="I3281">
        <v>5.3</v>
      </c>
      <c r="J3281" t="s">
        <v>9721</v>
      </c>
    </row>
    <row r="3282" spans="1:10" x14ac:dyDescent="0.3">
      <c r="A3282">
        <v>101</v>
      </c>
      <c r="B3282">
        <v>6517198</v>
      </c>
      <c r="C3282" t="s">
        <v>786</v>
      </c>
      <c r="D3282" t="s">
        <v>7348</v>
      </c>
      <c r="E3282" t="s">
        <v>7349</v>
      </c>
      <c r="F3282" t="s">
        <v>1146</v>
      </c>
      <c r="G3282" t="s">
        <v>7350</v>
      </c>
      <c r="H3282">
        <v>3000000</v>
      </c>
      <c r="I3282">
        <v>7.2</v>
      </c>
      <c r="J3282" t="s">
        <v>9722</v>
      </c>
    </row>
    <row r="3283" spans="1:10" x14ac:dyDescent="0.3">
      <c r="A3283">
        <v>105</v>
      </c>
      <c r="B3283">
        <v>5776314</v>
      </c>
      <c r="C3283" t="s">
        <v>561</v>
      </c>
      <c r="D3283" t="s">
        <v>7351</v>
      </c>
      <c r="E3283" t="s">
        <v>7352</v>
      </c>
      <c r="F3283" t="s">
        <v>7</v>
      </c>
      <c r="G3283" t="s">
        <v>8</v>
      </c>
      <c r="H3283">
        <v>3200000</v>
      </c>
      <c r="I3283">
        <v>7</v>
      </c>
      <c r="J3283" t="s">
        <v>9544</v>
      </c>
    </row>
    <row r="3284" spans="1:10" x14ac:dyDescent="0.3">
      <c r="A3284">
        <v>109</v>
      </c>
      <c r="B3284">
        <v>141600000</v>
      </c>
      <c r="C3284" t="s">
        <v>668</v>
      </c>
      <c r="D3284" t="s">
        <v>7353</v>
      </c>
      <c r="E3284" t="s">
        <v>7354</v>
      </c>
      <c r="F3284" t="s">
        <v>7</v>
      </c>
      <c r="G3284" t="s">
        <v>8</v>
      </c>
      <c r="H3284">
        <v>3000000</v>
      </c>
      <c r="I3284">
        <v>8</v>
      </c>
      <c r="J3284" t="s">
        <v>9586</v>
      </c>
    </row>
    <row r="3285" spans="1:10" x14ac:dyDescent="0.3">
      <c r="A3285">
        <v>110</v>
      </c>
      <c r="B3285">
        <v>51100000</v>
      </c>
      <c r="C3285" t="s">
        <v>12</v>
      </c>
      <c r="D3285" t="s">
        <v>7355</v>
      </c>
      <c r="E3285" t="s">
        <v>7356</v>
      </c>
      <c r="F3285" t="s">
        <v>7</v>
      </c>
      <c r="G3285" t="s">
        <v>15</v>
      </c>
      <c r="H3285">
        <v>3000000</v>
      </c>
      <c r="I3285">
        <v>6.5</v>
      </c>
      <c r="J3285" t="s">
        <v>9147</v>
      </c>
    </row>
    <row r="3286" spans="1:10" x14ac:dyDescent="0.3">
      <c r="A3286">
        <v>94</v>
      </c>
      <c r="B3286">
        <v>16501785</v>
      </c>
      <c r="C3286" t="s">
        <v>1417</v>
      </c>
      <c r="D3286" t="s">
        <v>7357</v>
      </c>
      <c r="E3286" t="s">
        <v>7358</v>
      </c>
      <c r="F3286" t="s">
        <v>7</v>
      </c>
      <c r="G3286" t="s">
        <v>15</v>
      </c>
      <c r="H3286">
        <v>3500000</v>
      </c>
      <c r="I3286">
        <v>6.9</v>
      </c>
      <c r="J3286" t="s">
        <v>9250</v>
      </c>
    </row>
    <row r="3287" spans="1:10" x14ac:dyDescent="0.3">
      <c r="A3287">
        <v>115</v>
      </c>
      <c r="B3287">
        <v>38168022</v>
      </c>
      <c r="C3287" t="s">
        <v>6948</v>
      </c>
      <c r="D3287" t="s">
        <v>7359</v>
      </c>
      <c r="E3287" t="s">
        <v>7360</v>
      </c>
      <c r="F3287" t="s">
        <v>7</v>
      </c>
      <c r="G3287" t="s">
        <v>8</v>
      </c>
      <c r="H3287">
        <v>3000000</v>
      </c>
      <c r="I3287">
        <v>7.1</v>
      </c>
      <c r="J3287" t="s">
        <v>9723</v>
      </c>
    </row>
    <row r="3288" spans="1:10" x14ac:dyDescent="0.3">
      <c r="A3288">
        <v>98</v>
      </c>
      <c r="B3288">
        <v>84749884</v>
      </c>
      <c r="C3288" t="s">
        <v>2701</v>
      </c>
      <c r="D3288" t="s">
        <v>7361</v>
      </c>
      <c r="E3288" t="s">
        <v>7362</v>
      </c>
      <c r="F3288" t="s">
        <v>7</v>
      </c>
      <c r="G3288" t="s">
        <v>8</v>
      </c>
      <c r="H3288">
        <v>3000000</v>
      </c>
      <c r="I3288">
        <v>7.3</v>
      </c>
      <c r="J3288" t="s">
        <v>9724</v>
      </c>
    </row>
    <row r="3289" spans="1:10" x14ac:dyDescent="0.3">
      <c r="A3289">
        <v>91</v>
      </c>
      <c r="B3289">
        <v>24788807</v>
      </c>
      <c r="C3289" t="s">
        <v>668</v>
      </c>
      <c r="D3289" t="s">
        <v>7363</v>
      </c>
      <c r="E3289" t="s">
        <v>7364</v>
      </c>
      <c r="F3289" t="s">
        <v>7</v>
      </c>
      <c r="G3289" t="s">
        <v>15</v>
      </c>
      <c r="H3289">
        <v>3000000</v>
      </c>
      <c r="I3289">
        <v>7.5</v>
      </c>
      <c r="J3289" t="s">
        <v>9725</v>
      </c>
    </row>
    <row r="3290" spans="1:10" x14ac:dyDescent="0.3">
      <c r="A3290">
        <v>120</v>
      </c>
      <c r="B3290">
        <v>21244913</v>
      </c>
      <c r="C3290" t="s">
        <v>7365</v>
      </c>
      <c r="D3290" t="s">
        <v>7366</v>
      </c>
      <c r="E3290" t="s">
        <v>7367</v>
      </c>
      <c r="F3290" t="s">
        <v>7</v>
      </c>
      <c r="G3290" t="s">
        <v>284</v>
      </c>
      <c r="H3290">
        <v>4000000</v>
      </c>
      <c r="I3290">
        <v>6.9</v>
      </c>
      <c r="J3290" t="s">
        <v>9726</v>
      </c>
    </row>
    <row r="3291" spans="1:10" x14ac:dyDescent="0.3">
      <c r="A3291">
        <v>87</v>
      </c>
      <c r="B3291">
        <v>30000000</v>
      </c>
      <c r="C3291" t="s">
        <v>3143</v>
      </c>
      <c r="D3291" t="s">
        <v>7368</v>
      </c>
      <c r="E3291" t="s">
        <v>7369</v>
      </c>
      <c r="F3291" t="s">
        <v>7</v>
      </c>
      <c r="G3291" t="s">
        <v>8</v>
      </c>
      <c r="H3291">
        <v>2200000</v>
      </c>
      <c r="I3291">
        <v>7.2</v>
      </c>
      <c r="J3291" t="s">
        <v>8836</v>
      </c>
    </row>
    <row r="3292" spans="1:10" x14ac:dyDescent="0.3">
      <c r="A3292">
        <v>117</v>
      </c>
      <c r="B3292">
        <v>20966644</v>
      </c>
      <c r="C3292" t="s">
        <v>73</v>
      </c>
      <c r="D3292" t="s">
        <v>7370</v>
      </c>
      <c r="E3292" t="s">
        <v>7371</v>
      </c>
      <c r="F3292" t="s">
        <v>7</v>
      </c>
      <c r="G3292" t="s">
        <v>15</v>
      </c>
      <c r="H3292">
        <v>3000000</v>
      </c>
      <c r="I3292">
        <v>7.2</v>
      </c>
      <c r="J3292" t="s">
        <v>9727</v>
      </c>
    </row>
    <row r="3293" spans="1:10" x14ac:dyDescent="0.3">
      <c r="A3293">
        <v>85</v>
      </c>
      <c r="B3293">
        <v>64423650</v>
      </c>
      <c r="C3293" t="s">
        <v>1813</v>
      </c>
      <c r="D3293" t="s">
        <v>7372</v>
      </c>
      <c r="E3293" t="s">
        <v>7373</v>
      </c>
      <c r="F3293" t="s">
        <v>7</v>
      </c>
      <c r="G3293" t="s">
        <v>8</v>
      </c>
      <c r="H3293">
        <v>3000000</v>
      </c>
      <c r="I3293">
        <v>6.7</v>
      </c>
      <c r="J3293" t="s">
        <v>9596</v>
      </c>
    </row>
    <row r="3294" spans="1:10" x14ac:dyDescent="0.3">
      <c r="A3294">
        <v>110</v>
      </c>
      <c r="B3294">
        <v>48056940</v>
      </c>
      <c r="C3294" t="s">
        <v>2141</v>
      </c>
      <c r="D3294" t="s">
        <v>7374</v>
      </c>
      <c r="E3294" t="s">
        <v>7375</v>
      </c>
      <c r="F3294" t="s">
        <v>7</v>
      </c>
      <c r="G3294" t="s">
        <v>8</v>
      </c>
      <c r="H3294">
        <v>3000000</v>
      </c>
      <c r="I3294">
        <v>6</v>
      </c>
      <c r="J3294" t="s">
        <v>9728</v>
      </c>
    </row>
    <row r="3295" spans="1:10" x14ac:dyDescent="0.3">
      <c r="A3295">
        <v>113</v>
      </c>
      <c r="B3295">
        <v>19184015</v>
      </c>
      <c r="C3295" t="s">
        <v>7376</v>
      </c>
      <c r="D3295" t="s">
        <v>7377</v>
      </c>
      <c r="E3295" t="s">
        <v>7378</v>
      </c>
      <c r="F3295" t="s">
        <v>7</v>
      </c>
      <c r="G3295" t="s">
        <v>8</v>
      </c>
      <c r="H3295">
        <v>3000000</v>
      </c>
      <c r="I3295">
        <v>8.9</v>
      </c>
      <c r="J3295" t="s">
        <v>8462</v>
      </c>
    </row>
    <row r="3296" spans="1:10" x14ac:dyDescent="0.3">
      <c r="A3296">
        <v>98</v>
      </c>
      <c r="B3296">
        <v>24629916</v>
      </c>
      <c r="C3296" t="s">
        <v>3158</v>
      </c>
      <c r="D3296" t="s">
        <v>7379</v>
      </c>
      <c r="E3296" t="s">
        <v>7380</v>
      </c>
      <c r="F3296" t="s">
        <v>7</v>
      </c>
      <c r="G3296" t="s">
        <v>8</v>
      </c>
      <c r="H3296">
        <v>3000000</v>
      </c>
      <c r="I3296">
        <v>7.7</v>
      </c>
      <c r="J3296" t="s">
        <v>9729</v>
      </c>
    </row>
    <row r="3297" spans="1:10" x14ac:dyDescent="0.3">
      <c r="A3297">
        <v>86</v>
      </c>
      <c r="B3297">
        <v>19472057</v>
      </c>
      <c r="C3297" t="s">
        <v>2324</v>
      </c>
      <c r="D3297" t="s">
        <v>7381</v>
      </c>
      <c r="E3297" t="s">
        <v>7382</v>
      </c>
      <c r="F3297" t="s">
        <v>7</v>
      </c>
      <c r="G3297" t="s">
        <v>8</v>
      </c>
      <c r="H3297">
        <v>3000000</v>
      </c>
      <c r="I3297">
        <v>7.9</v>
      </c>
      <c r="J3297" t="s">
        <v>9730</v>
      </c>
    </row>
    <row r="3298" spans="1:10" x14ac:dyDescent="0.3">
      <c r="A3298">
        <v>161</v>
      </c>
      <c r="B3298">
        <v>27200000</v>
      </c>
      <c r="C3298" t="s">
        <v>1376</v>
      </c>
      <c r="D3298" t="s">
        <v>7383</v>
      </c>
      <c r="E3298" t="s">
        <v>7384</v>
      </c>
      <c r="F3298" t="s">
        <v>7</v>
      </c>
      <c r="G3298" t="s">
        <v>15</v>
      </c>
      <c r="H3298">
        <v>3000000</v>
      </c>
      <c r="I3298">
        <v>5.6</v>
      </c>
      <c r="J3298" t="s">
        <v>8719</v>
      </c>
    </row>
    <row r="3299" spans="1:10" x14ac:dyDescent="0.3">
      <c r="A3299">
        <v>100</v>
      </c>
      <c r="B3299">
        <v>15369573</v>
      </c>
      <c r="C3299" t="s">
        <v>759</v>
      </c>
      <c r="D3299" t="s">
        <v>7385</v>
      </c>
      <c r="E3299" t="s">
        <v>7386</v>
      </c>
      <c r="F3299" t="s">
        <v>7</v>
      </c>
      <c r="G3299" t="s">
        <v>8</v>
      </c>
      <c r="H3299">
        <v>3000000</v>
      </c>
      <c r="I3299">
        <v>8</v>
      </c>
      <c r="J3299" t="s">
        <v>8911</v>
      </c>
    </row>
    <row r="3300" spans="1:10" x14ac:dyDescent="0.3">
      <c r="A3300">
        <v>91</v>
      </c>
      <c r="B3300">
        <v>15935068</v>
      </c>
      <c r="C3300" t="s">
        <v>4116</v>
      </c>
      <c r="D3300" t="s">
        <v>7387</v>
      </c>
      <c r="E3300" t="s">
        <v>7388</v>
      </c>
      <c r="F3300" t="s">
        <v>7</v>
      </c>
      <c r="G3300" t="s">
        <v>8</v>
      </c>
      <c r="H3300">
        <v>2500000</v>
      </c>
      <c r="I3300">
        <v>6.2</v>
      </c>
      <c r="J3300" t="s">
        <v>8378</v>
      </c>
    </row>
    <row r="3301" spans="1:10" x14ac:dyDescent="0.3">
      <c r="A3301">
        <v>100</v>
      </c>
      <c r="B3301">
        <v>11694528</v>
      </c>
      <c r="C3301" t="s">
        <v>7389</v>
      </c>
      <c r="D3301" t="s">
        <v>7390</v>
      </c>
      <c r="E3301" t="s">
        <v>7391</v>
      </c>
      <c r="F3301" t="s">
        <v>7</v>
      </c>
      <c r="G3301" t="s">
        <v>8</v>
      </c>
      <c r="H3301">
        <v>3000000</v>
      </c>
      <c r="I3301">
        <v>7.9</v>
      </c>
      <c r="J3301" t="s">
        <v>9731</v>
      </c>
    </row>
    <row r="3302" spans="1:10" x14ac:dyDescent="0.3">
      <c r="A3302">
        <v>84</v>
      </c>
      <c r="B3302">
        <v>10017041</v>
      </c>
      <c r="C3302" t="s">
        <v>704</v>
      </c>
      <c r="D3302" t="s">
        <v>7392</v>
      </c>
      <c r="E3302" t="s">
        <v>7393</v>
      </c>
      <c r="F3302" t="s">
        <v>7</v>
      </c>
      <c r="G3302" t="s">
        <v>8</v>
      </c>
      <c r="H3302">
        <v>3000000</v>
      </c>
      <c r="I3302">
        <v>8.1</v>
      </c>
      <c r="J3302" t="s">
        <v>8633</v>
      </c>
    </row>
    <row r="3303" spans="1:10" x14ac:dyDescent="0.3">
      <c r="A3303">
        <v>99</v>
      </c>
      <c r="B3303">
        <v>7059537</v>
      </c>
      <c r="C3303" t="s">
        <v>668</v>
      </c>
      <c r="D3303" t="s">
        <v>7394</v>
      </c>
      <c r="E3303" t="s">
        <v>7395</v>
      </c>
      <c r="F3303" t="s">
        <v>7</v>
      </c>
      <c r="G3303" t="s">
        <v>8</v>
      </c>
      <c r="H3303">
        <v>3000000</v>
      </c>
      <c r="I3303">
        <v>7.6</v>
      </c>
      <c r="J3303" t="s">
        <v>8757</v>
      </c>
    </row>
    <row r="3304" spans="1:10" x14ac:dyDescent="0.3">
      <c r="A3304">
        <v>109</v>
      </c>
      <c r="B3304">
        <v>8114507</v>
      </c>
      <c r="C3304" t="s">
        <v>73</v>
      </c>
      <c r="D3304" t="s">
        <v>7396</v>
      </c>
      <c r="E3304" t="s">
        <v>7397</v>
      </c>
      <c r="F3304" t="s">
        <v>7</v>
      </c>
      <c r="G3304" t="s">
        <v>8</v>
      </c>
      <c r="H3304">
        <v>3000000</v>
      </c>
      <c r="I3304">
        <v>3.5</v>
      </c>
      <c r="J3304" t="s">
        <v>9732</v>
      </c>
    </row>
    <row r="3305" spans="1:10" x14ac:dyDescent="0.3">
      <c r="A3305">
        <v>95</v>
      </c>
      <c r="B3305">
        <v>7888703</v>
      </c>
      <c r="C3305" t="s">
        <v>1149</v>
      </c>
      <c r="D3305" t="s">
        <v>7398</v>
      </c>
      <c r="E3305" t="s">
        <v>7399</v>
      </c>
      <c r="F3305" t="s">
        <v>7</v>
      </c>
      <c r="G3305" t="s">
        <v>8</v>
      </c>
      <c r="H3305">
        <v>3000000</v>
      </c>
      <c r="I3305">
        <v>7.6</v>
      </c>
      <c r="J3305" t="s">
        <v>9733</v>
      </c>
    </row>
    <row r="3306" spans="1:10" x14ac:dyDescent="0.3">
      <c r="A3306">
        <v>97</v>
      </c>
      <c r="B3306">
        <v>7282851</v>
      </c>
      <c r="C3306" t="s">
        <v>1807</v>
      </c>
      <c r="D3306" t="s">
        <v>7400</v>
      </c>
      <c r="E3306" t="s">
        <v>7401</v>
      </c>
      <c r="F3306" t="s">
        <v>7</v>
      </c>
      <c r="G3306" t="s">
        <v>8</v>
      </c>
      <c r="H3306">
        <v>3000000</v>
      </c>
      <c r="I3306">
        <v>6.5</v>
      </c>
      <c r="J3306" t="s">
        <v>9464</v>
      </c>
    </row>
    <row r="3307" spans="1:10" x14ac:dyDescent="0.3">
      <c r="A3307">
        <v>90</v>
      </c>
      <c r="B3307">
        <v>5844929</v>
      </c>
      <c r="C3307" t="s">
        <v>1040</v>
      </c>
      <c r="D3307" t="s">
        <v>7402</v>
      </c>
      <c r="E3307" t="s">
        <v>7403</v>
      </c>
      <c r="F3307" t="s">
        <v>7</v>
      </c>
      <c r="G3307" t="s">
        <v>8</v>
      </c>
      <c r="H3307">
        <v>3000000</v>
      </c>
      <c r="I3307">
        <v>5.6</v>
      </c>
      <c r="J3307" t="s">
        <v>9734</v>
      </c>
    </row>
    <row r="3308" spans="1:10" x14ac:dyDescent="0.3">
      <c r="A3308">
        <v>96</v>
      </c>
      <c r="B3308">
        <v>4170647</v>
      </c>
      <c r="C3308" t="s">
        <v>1040</v>
      </c>
      <c r="D3308" t="s">
        <v>7404</v>
      </c>
      <c r="E3308" t="s">
        <v>7405</v>
      </c>
      <c r="F3308" t="s">
        <v>7</v>
      </c>
      <c r="G3308" t="s">
        <v>15</v>
      </c>
      <c r="H3308">
        <v>1900000</v>
      </c>
      <c r="I3308">
        <v>7.7</v>
      </c>
      <c r="J3308" t="s">
        <v>8984</v>
      </c>
    </row>
    <row r="3309" spans="1:10" x14ac:dyDescent="0.3">
      <c r="A3309">
        <v>82</v>
      </c>
      <c r="B3309">
        <v>4142507</v>
      </c>
      <c r="C3309" t="s">
        <v>672</v>
      </c>
      <c r="D3309" t="s">
        <v>7406</v>
      </c>
      <c r="E3309" t="s">
        <v>7407</v>
      </c>
      <c r="F3309" t="s">
        <v>7</v>
      </c>
      <c r="G3309" t="s">
        <v>8</v>
      </c>
      <c r="H3309">
        <v>3000000</v>
      </c>
      <c r="I3309">
        <v>5.2</v>
      </c>
      <c r="J3309" t="s">
        <v>9735</v>
      </c>
    </row>
    <row r="3310" spans="1:10" x14ac:dyDescent="0.3">
      <c r="A3310">
        <v>109</v>
      </c>
      <c r="B3310">
        <v>4109095</v>
      </c>
      <c r="C3310" t="s">
        <v>7408</v>
      </c>
      <c r="D3310" t="s">
        <v>7409</v>
      </c>
      <c r="E3310" t="s">
        <v>7410</v>
      </c>
      <c r="F3310" t="s">
        <v>7</v>
      </c>
      <c r="G3310" t="s">
        <v>8</v>
      </c>
      <c r="H3310">
        <v>3000000</v>
      </c>
      <c r="I3310">
        <v>6.9</v>
      </c>
      <c r="J3310" t="s">
        <v>8526</v>
      </c>
    </row>
    <row r="3311" spans="1:10" x14ac:dyDescent="0.3">
      <c r="A3311">
        <v>98</v>
      </c>
      <c r="B3311">
        <v>3902679</v>
      </c>
      <c r="C3311" t="s">
        <v>3143</v>
      </c>
      <c r="D3311" t="s">
        <v>7411</v>
      </c>
      <c r="E3311" t="s">
        <v>7412</v>
      </c>
      <c r="F3311" t="s">
        <v>7</v>
      </c>
      <c r="G3311" t="s">
        <v>8</v>
      </c>
      <c r="H3311">
        <v>3000000</v>
      </c>
      <c r="I3311">
        <v>6.1</v>
      </c>
      <c r="J3311" t="s">
        <v>9736</v>
      </c>
    </row>
    <row r="3312" spans="1:10" x14ac:dyDescent="0.3">
      <c r="A3312">
        <v>95</v>
      </c>
      <c r="B3312">
        <v>3559990</v>
      </c>
      <c r="C3312" t="s">
        <v>386</v>
      </c>
      <c r="D3312" t="s">
        <v>7413</v>
      </c>
      <c r="E3312" t="s">
        <v>7414</v>
      </c>
      <c r="F3312" t="s">
        <v>7</v>
      </c>
      <c r="G3312" t="s">
        <v>8</v>
      </c>
      <c r="H3312">
        <v>3000000</v>
      </c>
      <c r="I3312">
        <v>5</v>
      </c>
      <c r="J3312" t="s">
        <v>9737</v>
      </c>
    </row>
    <row r="3313" spans="1:10" x14ac:dyDescent="0.3">
      <c r="A3313">
        <v>104</v>
      </c>
      <c r="B3313">
        <v>3287435</v>
      </c>
      <c r="C3313" t="s">
        <v>1417</v>
      </c>
      <c r="D3313" t="s">
        <v>7415</v>
      </c>
      <c r="E3313" t="s">
        <v>7416</v>
      </c>
      <c r="F3313" t="s">
        <v>7</v>
      </c>
      <c r="G3313" t="s">
        <v>8</v>
      </c>
      <c r="H3313">
        <v>4500000</v>
      </c>
      <c r="I3313">
        <v>7.8</v>
      </c>
      <c r="J3313" t="s">
        <v>9738</v>
      </c>
    </row>
    <row r="3314" spans="1:10" x14ac:dyDescent="0.3">
      <c r="A3314">
        <v>87</v>
      </c>
      <c r="B3314">
        <v>3071947</v>
      </c>
      <c r="C3314" t="s">
        <v>2509</v>
      </c>
      <c r="D3314" t="s">
        <v>7417</v>
      </c>
      <c r="E3314" t="s">
        <v>7418</v>
      </c>
      <c r="F3314" t="s">
        <v>7</v>
      </c>
      <c r="G3314" t="s">
        <v>8</v>
      </c>
      <c r="H3314">
        <v>3500000</v>
      </c>
      <c r="I3314">
        <v>7.4</v>
      </c>
      <c r="J3314" t="s">
        <v>8379</v>
      </c>
    </row>
    <row r="3315" spans="1:10" x14ac:dyDescent="0.3">
      <c r="A3315">
        <v>108</v>
      </c>
      <c r="B3315">
        <v>2961991</v>
      </c>
      <c r="C3315" t="s">
        <v>617</v>
      </c>
      <c r="D3315" t="s">
        <v>7419</v>
      </c>
      <c r="E3315" t="s">
        <v>7420</v>
      </c>
      <c r="F3315" t="s">
        <v>7</v>
      </c>
      <c r="G3315" t="s">
        <v>8</v>
      </c>
      <c r="H3315">
        <v>3300000</v>
      </c>
      <c r="I3315">
        <v>6.8</v>
      </c>
      <c r="J3315" t="s">
        <v>9739</v>
      </c>
    </row>
    <row r="3316" spans="1:10" x14ac:dyDescent="0.3">
      <c r="A3316">
        <v>134</v>
      </c>
      <c r="B3316">
        <v>3000000</v>
      </c>
      <c r="C3316" t="s">
        <v>1040</v>
      </c>
      <c r="D3316" t="s">
        <v>7422</v>
      </c>
      <c r="E3316" t="s">
        <v>7423</v>
      </c>
      <c r="F3316" t="s">
        <v>7</v>
      </c>
      <c r="G3316" t="s">
        <v>8</v>
      </c>
      <c r="H3316">
        <v>3000000</v>
      </c>
      <c r="I3316">
        <v>6.4</v>
      </c>
      <c r="J3316" t="s">
        <v>8841</v>
      </c>
    </row>
    <row r="3317" spans="1:10" x14ac:dyDescent="0.3">
      <c r="A3317">
        <v>89</v>
      </c>
      <c r="B3317">
        <v>2223990</v>
      </c>
      <c r="C3317" t="s">
        <v>6948</v>
      </c>
      <c r="D3317" t="s">
        <v>7424</v>
      </c>
      <c r="E3317" t="s">
        <v>7425</v>
      </c>
      <c r="F3317" t="s">
        <v>7</v>
      </c>
      <c r="G3317" t="s">
        <v>8</v>
      </c>
      <c r="H3317">
        <v>3000000</v>
      </c>
      <c r="I3317">
        <v>5.7</v>
      </c>
      <c r="J3317" t="s">
        <v>8804</v>
      </c>
    </row>
    <row r="3318" spans="1:10" x14ac:dyDescent="0.3">
      <c r="A3318">
        <v>102</v>
      </c>
      <c r="B3318">
        <v>1821983</v>
      </c>
      <c r="C3318" t="s">
        <v>7426</v>
      </c>
      <c r="D3318" t="s">
        <v>7427</v>
      </c>
      <c r="E3318" t="s">
        <v>7428</v>
      </c>
      <c r="F3318" t="s">
        <v>7</v>
      </c>
      <c r="G3318" t="s">
        <v>8</v>
      </c>
      <c r="H3318">
        <v>3000000</v>
      </c>
      <c r="I3318">
        <v>7.5</v>
      </c>
      <c r="J3318" t="s">
        <v>9740</v>
      </c>
    </row>
    <row r="3319" spans="1:10" x14ac:dyDescent="0.3">
      <c r="A3319">
        <v>120</v>
      </c>
      <c r="B3319">
        <v>2181290</v>
      </c>
      <c r="C3319" t="s">
        <v>780</v>
      </c>
      <c r="D3319" t="s">
        <v>7429</v>
      </c>
      <c r="E3319" t="s">
        <v>7430</v>
      </c>
      <c r="F3319" t="s">
        <v>5282</v>
      </c>
      <c r="G3319" t="s">
        <v>2387</v>
      </c>
      <c r="H3319">
        <v>3000000</v>
      </c>
      <c r="I3319">
        <v>6.7</v>
      </c>
      <c r="J3319" t="s">
        <v>9524</v>
      </c>
    </row>
    <row r="3320" spans="1:10" x14ac:dyDescent="0.3">
      <c r="A3320">
        <v>110</v>
      </c>
      <c r="B3320">
        <v>2848578</v>
      </c>
      <c r="C3320" t="s">
        <v>3017</v>
      </c>
      <c r="D3320" t="s">
        <v>7431</v>
      </c>
      <c r="E3320" t="s">
        <v>7432</v>
      </c>
      <c r="F3320" t="s">
        <v>7</v>
      </c>
      <c r="G3320" t="s">
        <v>8</v>
      </c>
      <c r="H3320">
        <v>3500000</v>
      </c>
      <c r="I3320">
        <v>5.6</v>
      </c>
      <c r="J3320" t="s">
        <v>9741</v>
      </c>
    </row>
    <row r="3321" spans="1:10" x14ac:dyDescent="0.3">
      <c r="A3321">
        <v>86</v>
      </c>
      <c r="B3321">
        <v>703002</v>
      </c>
      <c r="C3321" t="s">
        <v>697</v>
      </c>
      <c r="D3321" t="s">
        <v>7433</v>
      </c>
      <c r="E3321" t="s">
        <v>7434</v>
      </c>
      <c r="F3321" t="s">
        <v>7</v>
      </c>
      <c r="G3321" t="s">
        <v>95</v>
      </c>
      <c r="H3321">
        <v>3000000</v>
      </c>
      <c r="I3321">
        <v>7</v>
      </c>
      <c r="J3321" t="s">
        <v>8745</v>
      </c>
    </row>
    <row r="3322" spans="1:10" x14ac:dyDescent="0.3">
      <c r="A3322">
        <v>101</v>
      </c>
      <c r="B3322">
        <v>3105269</v>
      </c>
      <c r="C3322" t="s">
        <v>879</v>
      </c>
      <c r="D3322" t="s">
        <v>7435</v>
      </c>
      <c r="E3322" t="s">
        <v>7436</v>
      </c>
      <c r="F3322" t="s">
        <v>7</v>
      </c>
      <c r="G3322" t="s">
        <v>1193</v>
      </c>
      <c r="H3322">
        <v>3000000</v>
      </c>
      <c r="I3322">
        <v>7.6</v>
      </c>
      <c r="J3322" t="s">
        <v>9742</v>
      </c>
    </row>
    <row r="3323" spans="1:10" x14ac:dyDescent="0.3">
      <c r="A3323">
        <v>87</v>
      </c>
      <c r="B3323">
        <v>418268</v>
      </c>
      <c r="C3323" t="s">
        <v>672</v>
      </c>
      <c r="D3323" t="s">
        <v>7437</v>
      </c>
      <c r="E3323" t="s">
        <v>7438</v>
      </c>
      <c r="F3323" t="s">
        <v>7</v>
      </c>
      <c r="G3323" t="s">
        <v>8</v>
      </c>
      <c r="H3323">
        <v>3000000</v>
      </c>
      <c r="I3323">
        <v>6.5</v>
      </c>
      <c r="J3323" t="s">
        <v>9053</v>
      </c>
    </row>
    <row r="3324" spans="1:10" x14ac:dyDescent="0.3">
      <c r="A3324">
        <v>93</v>
      </c>
      <c r="B3324">
        <v>200803</v>
      </c>
      <c r="C3324" t="s">
        <v>668</v>
      </c>
      <c r="D3324" t="s">
        <v>7439</v>
      </c>
      <c r="E3324" t="s">
        <v>7440</v>
      </c>
      <c r="F3324" t="s">
        <v>7</v>
      </c>
      <c r="G3324" t="s">
        <v>8</v>
      </c>
      <c r="H3324">
        <v>3000000</v>
      </c>
      <c r="I3324">
        <v>7</v>
      </c>
      <c r="J3324" t="s">
        <v>9743</v>
      </c>
    </row>
    <row r="3325" spans="1:10" x14ac:dyDescent="0.3">
      <c r="A3325">
        <v>98</v>
      </c>
      <c r="B3325">
        <v>95016</v>
      </c>
      <c r="C3325" t="s">
        <v>1872</v>
      </c>
      <c r="D3325" t="s">
        <v>7441</v>
      </c>
      <c r="E3325" t="s">
        <v>7442</v>
      </c>
      <c r="F3325" t="s">
        <v>3702</v>
      </c>
      <c r="G3325" t="s">
        <v>284</v>
      </c>
      <c r="H3325">
        <v>2700000</v>
      </c>
      <c r="I3325">
        <v>6.3</v>
      </c>
      <c r="J3325" t="s">
        <v>9744</v>
      </c>
    </row>
    <row r="3326" spans="1:10" x14ac:dyDescent="0.3">
      <c r="A3326">
        <v>100</v>
      </c>
      <c r="B3326">
        <v>73678</v>
      </c>
      <c r="C3326" t="s">
        <v>799</v>
      </c>
      <c r="D3326" t="s">
        <v>7443</v>
      </c>
      <c r="E3326" t="s">
        <v>7444</v>
      </c>
      <c r="F3326" t="s">
        <v>7</v>
      </c>
      <c r="G3326" t="s">
        <v>8</v>
      </c>
      <c r="H3326">
        <v>3000000</v>
      </c>
      <c r="I3326">
        <v>6.4</v>
      </c>
      <c r="J3326" t="s">
        <v>9365</v>
      </c>
    </row>
    <row r="3327" spans="1:10" x14ac:dyDescent="0.3">
      <c r="A3327">
        <v>88</v>
      </c>
      <c r="B3327">
        <v>143000</v>
      </c>
      <c r="C3327" t="s">
        <v>2324</v>
      </c>
      <c r="D3327" t="s">
        <v>7445</v>
      </c>
      <c r="E3327" t="s">
        <v>7446</v>
      </c>
      <c r="F3327" t="s">
        <v>7</v>
      </c>
      <c r="G3327" t="s">
        <v>8</v>
      </c>
      <c r="H3327">
        <v>5000000</v>
      </c>
      <c r="I3327">
        <v>7.1</v>
      </c>
      <c r="J3327" t="s">
        <v>9745</v>
      </c>
    </row>
    <row r="3328" spans="1:10" x14ac:dyDescent="0.3">
      <c r="A3328">
        <v>97</v>
      </c>
      <c r="B3328">
        <v>39852</v>
      </c>
      <c r="C3328" t="s">
        <v>1040</v>
      </c>
      <c r="D3328" t="s">
        <v>7447</v>
      </c>
      <c r="E3328" t="s">
        <v>7448</v>
      </c>
      <c r="F3328" t="s">
        <v>7</v>
      </c>
      <c r="G3328" t="s">
        <v>8</v>
      </c>
      <c r="H3328">
        <v>3000000</v>
      </c>
      <c r="I3328">
        <v>7.1</v>
      </c>
      <c r="J3328" t="s">
        <v>8622</v>
      </c>
    </row>
    <row r="3329" spans="1:10" x14ac:dyDescent="0.3">
      <c r="A3329">
        <v>122</v>
      </c>
      <c r="B3329">
        <v>22000</v>
      </c>
      <c r="C3329" t="s">
        <v>1110</v>
      </c>
      <c r="D3329" t="s">
        <v>7449</v>
      </c>
      <c r="E3329" t="s">
        <v>7450</v>
      </c>
      <c r="F3329" t="s">
        <v>7</v>
      </c>
      <c r="G3329" t="s">
        <v>284</v>
      </c>
      <c r="H3329">
        <v>3000000</v>
      </c>
      <c r="I3329">
        <v>6.5</v>
      </c>
      <c r="J3329" t="s">
        <v>9746</v>
      </c>
    </row>
    <row r="3330" spans="1:10" x14ac:dyDescent="0.3">
      <c r="A3330">
        <v>96</v>
      </c>
      <c r="B3330">
        <v>5005</v>
      </c>
      <c r="C3330" t="s">
        <v>1417</v>
      </c>
      <c r="D3330" t="s">
        <v>7451</v>
      </c>
      <c r="E3330" t="s">
        <v>7452</v>
      </c>
      <c r="F3330" t="s">
        <v>7</v>
      </c>
      <c r="G3330" t="s">
        <v>8</v>
      </c>
      <c r="H3330">
        <v>3000000</v>
      </c>
      <c r="I3330">
        <v>6.9</v>
      </c>
      <c r="J3330" t="s">
        <v>9070</v>
      </c>
    </row>
    <row r="3331" spans="1:10" x14ac:dyDescent="0.3">
      <c r="A3331">
        <v>113</v>
      </c>
      <c r="B3331">
        <v>5595428</v>
      </c>
      <c r="C3331" t="s">
        <v>1417</v>
      </c>
      <c r="D3331" t="s">
        <v>7453</v>
      </c>
      <c r="E3331" t="s">
        <v>7454</v>
      </c>
      <c r="F3331" t="s">
        <v>5982</v>
      </c>
      <c r="G3331" t="s">
        <v>6732</v>
      </c>
      <c r="H3331">
        <v>2900000</v>
      </c>
      <c r="I3331">
        <v>5.4</v>
      </c>
      <c r="J3331" t="s">
        <v>9343</v>
      </c>
    </row>
    <row r="3332" spans="1:10" x14ac:dyDescent="0.3">
      <c r="A3332">
        <v>105</v>
      </c>
      <c r="B3332">
        <v>3123749</v>
      </c>
      <c r="C3332" t="s">
        <v>672</v>
      </c>
      <c r="D3332" t="s">
        <v>7455</v>
      </c>
      <c r="E3332" t="s">
        <v>7456</v>
      </c>
      <c r="F3332" t="s">
        <v>7</v>
      </c>
      <c r="G3332" t="s">
        <v>8</v>
      </c>
      <c r="H3332">
        <v>1500000</v>
      </c>
      <c r="I3332">
        <v>4.9000000000000004</v>
      </c>
      <c r="J3332" t="s">
        <v>8351</v>
      </c>
    </row>
    <row r="3333" spans="1:10" x14ac:dyDescent="0.3">
      <c r="A3333">
        <v>93</v>
      </c>
      <c r="B3333">
        <v>100675</v>
      </c>
      <c r="C3333" t="s">
        <v>19</v>
      </c>
      <c r="D3333" t="s">
        <v>7457</v>
      </c>
      <c r="E3333" t="s">
        <v>7458</v>
      </c>
      <c r="F3333" t="s">
        <v>7</v>
      </c>
      <c r="G3333" t="s">
        <v>8</v>
      </c>
      <c r="H3333">
        <v>3000000</v>
      </c>
      <c r="I3333">
        <v>5.0999999999999996</v>
      </c>
      <c r="J3333" t="s">
        <v>9226</v>
      </c>
    </row>
    <row r="3334" spans="1:10" x14ac:dyDescent="0.3">
      <c r="A3334">
        <v>89</v>
      </c>
      <c r="B3334">
        <v>3645438</v>
      </c>
      <c r="C3334" t="s">
        <v>2701</v>
      </c>
      <c r="D3334" t="s">
        <v>7459</v>
      </c>
      <c r="E3334" t="s">
        <v>7460</v>
      </c>
      <c r="F3334" t="s">
        <v>582</v>
      </c>
      <c r="G3334" t="s">
        <v>583</v>
      </c>
      <c r="H3334">
        <v>2200000</v>
      </c>
      <c r="I3334">
        <v>5.3</v>
      </c>
      <c r="J3334" t="s">
        <v>9747</v>
      </c>
    </row>
    <row r="3335" spans="1:10" x14ac:dyDescent="0.3">
      <c r="A3335">
        <v>116</v>
      </c>
      <c r="B3335">
        <v>22201636</v>
      </c>
      <c r="C3335" t="s">
        <v>2340</v>
      </c>
      <c r="D3335" t="s">
        <v>7461</v>
      </c>
      <c r="E3335" t="s">
        <v>7462</v>
      </c>
      <c r="F3335" t="s">
        <v>7</v>
      </c>
      <c r="G3335" t="s">
        <v>8</v>
      </c>
      <c r="H3335">
        <v>8000000</v>
      </c>
      <c r="I3335">
        <v>7.5</v>
      </c>
      <c r="J3335" t="s">
        <v>9365</v>
      </c>
    </row>
    <row r="3336" spans="1:10" x14ac:dyDescent="0.3">
      <c r="A3336">
        <v>88</v>
      </c>
      <c r="B3336">
        <v>19170001</v>
      </c>
      <c r="C3336" t="s">
        <v>2701</v>
      </c>
      <c r="D3336" t="s">
        <v>7463</v>
      </c>
      <c r="E3336" t="s">
        <v>7464</v>
      </c>
      <c r="F3336" t="s">
        <v>7</v>
      </c>
      <c r="G3336" t="s">
        <v>8</v>
      </c>
      <c r="H3336">
        <v>2800000</v>
      </c>
      <c r="I3336">
        <v>7.3</v>
      </c>
      <c r="J3336" t="s">
        <v>9748</v>
      </c>
    </row>
    <row r="3337" spans="1:10" x14ac:dyDescent="0.3">
      <c r="A3337">
        <v>102</v>
      </c>
      <c r="B3337">
        <v>22202612</v>
      </c>
      <c r="C3337" t="s">
        <v>4131</v>
      </c>
      <c r="D3337" t="s">
        <v>7465</v>
      </c>
      <c r="E3337" t="s">
        <v>7466</v>
      </c>
      <c r="F3337" t="s">
        <v>7</v>
      </c>
      <c r="G3337" t="s">
        <v>8</v>
      </c>
      <c r="H3337">
        <v>2800000</v>
      </c>
      <c r="I3337">
        <v>7.3</v>
      </c>
      <c r="J3337" t="s">
        <v>9247</v>
      </c>
    </row>
    <row r="3338" spans="1:10" x14ac:dyDescent="0.3">
      <c r="A3338">
        <v>106</v>
      </c>
      <c r="B3338">
        <v>86300000</v>
      </c>
      <c r="C3338" t="s">
        <v>668</v>
      </c>
      <c r="D3338" t="s">
        <v>7467</v>
      </c>
      <c r="E3338" t="s">
        <v>7468</v>
      </c>
      <c r="F3338" t="s">
        <v>7</v>
      </c>
      <c r="G3338" t="s">
        <v>8</v>
      </c>
      <c r="H3338">
        <v>2800000</v>
      </c>
      <c r="I3338">
        <v>7.1</v>
      </c>
      <c r="J3338" t="s">
        <v>9749</v>
      </c>
    </row>
    <row r="3339" spans="1:10" x14ac:dyDescent="0.3">
      <c r="A3339">
        <v>95</v>
      </c>
      <c r="B3339">
        <v>952620</v>
      </c>
      <c r="C3339" t="s">
        <v>2701</v>
      </c>
      <c r="D3339" t="s">
        <v>7469</v>
      </c>
      <c r="E3339" t="s">
        <v>7470</v>
      </c>
      <c r="F3339" t="s">
        <v>7</v>
      </c>
      <c r="G3339" t="s">
        <v>8</v>
      </c>
      <c r="H3339">
        <v>2000000</v>
      </c>
      <c r="I3339">
        <v>6</v>
      </c>
      <c r="J3339" t="s">
        <v>9407</v>
      </c>
    </row>
    <row r="3340" spans="1:10" x14ac:dyDescent="0.3">
      <c r="A3340">
        <v>113</v>
      </c>
      <c r="B3340">
        <v>9054736</v>
      </c>
      <c r="C3340" t="s">
        <v>1417</v>
      </c>
      <c r="D3340" t="s">
        <v>7471</v>
      </c>
      <c r="E3340" t="s">
        <v>7472</v>
      </c>
      <c r="F3340" t="s">
        <v>7</v>
      </c>
      <c r="G3340" t="s">
        <v>8</v>
      </c>
      <c r="H3340">
        <v>2700000</v>
      </c>
      <c r="I3340">
        <v>6.6</v>
      </c>
      <c r="J3340" t="s">
        <v>8721</v>
      </c>
    </row>
    <row r="3341" spans="1:10" x14ac:dyDescent="0.3">
      <c r="A3341">
        <v>93</v>
      </c>
      <c r="B3341">
        <v>119500000</v>
      </c>
      <c r="C3341" t="s">
        <v>1875</v>
      </c>
      <c r="D3341" t="s">
        <v>7474</v>
      </c>
      <c r="E3341" t="s">
        <v>7475</v>
      </c>
      <c r="F3341" t="s">
        <v>7</v>
      </c>
      <c r="G3341" t="s">
        <v>8</v>
      </c>
      <c r="H3341">
        <v>2600000</v>
      </c>
      <c r="I3341">
        <v>7.2</v>
      </c>
      <c r="J3341" t="s">
        <v>9750</v>
      </c>
    </row>
    <row r="3342" spans="1:10" x14ac:dyDescent="0.3">
      <c r="A3342">
        <v>97</v>
      </c>
      <c r="B3342">
        <v>32600000</v>
      </c>
      <c r="C3342" t="s">
        <v>2324</v>
      </c>
      <c r="D3342" t="s">
        <v>7476</v>
      </c>
      <c r="E3342" t="s">
        <v>7477</v>
      </c>
      <c r="F3342" t="s">
        <v>7</v>
      </c>
      <c r="G3342" t="s">
        <v>8</v>
      </c>
      <c r="H3342">
        <v>1800000</v>
      </c>
      <c r="I3342">
        <v>7.2</v>
      </c>
      <c r="J3342" t="s">
        <v>9108</v>
      </c>
    </row>
    <row r="3343" spans="1:10" x14ac:dyDescent="0.3">
      <c r="A3343">
        <v>140</v>
      </c>
      <c r="B3343">
        <v>3130592</v>
      </c>
      <c r="C3343" t="s">
        <v>73</v>
      </c>
      <c r="D3343" t="s">
        <v>7478</v>
      </c>
      <c r="E3343" t="s">
        <v>7479</v>
      </c>
      <c r="F3343" t="s">
        <v>7</v>
      </c>
      <c r="G3343" t="s">
        <v>15</v>
      </c>
      <c r="H3343">
        <v>2600000</v>
      </c>
      <c r="I3343">
        <v>6.9</v>
      </c>
      <c r="J3343" t="s">
        <v>9275</v>
      </c>
    </row>
    <row r="3344" spans="1:10" x14ac:dyDescent="0.3">
      <c r="A3344">
        <v>86</v>
      </c>
      <c r="B3344">
        <v>475000</v>
      </c>
      <c r="C3344" t="s">
        <v>1632</v>
      </c>
      <c r="D3344" t="s">
        <v>7480</v>
      </c>
      <c r="E3344" t="s">
        <v>7481</v>
      </c>
      <c r="F3344" t="s">
        <v>7</v>
      </c>
      <c r="G3344" t="s">
        <v>8</v>
      </c>
      <c r="H3344">
        <v>2800000</v>
      </c>
      <c r="I3344">
        <v>6.8</v>
      </c>
      <c r="J3344" t="s">
        <v>9751</v>
      </c>
    </row>
    <row r="3345" spans="1:10" x14ac:dyDescent="0.3">
      <c r="A3345">
        <v>66</v>
      </c>
      <c r="B3345">
        <v>38108</v>
      </c>
      <c r="C3345" t="s">
        <v>1787</v>
      </c>
      <c r="D3345" t="s">
        <v>7482</v>
      </c>
      <c r="E3345" t="s">
        <v>7483</v>
      </c>
      <c r="F3345" t="s">
        <v>1146</v>
      </c>
      <c r="G3345" t="s">
        <v>1488</v>
      </c>
      <c r="H3345">
        <v>2600000</v>
      </c>
      <c r="I3345">
        <v>4</v>
      </c>
      <c r="J3345" t="s">
        <v>9752</v>
      </c>
    </row>
    <row r="3346" spans="1:10" x14ac:dyDescent="0.3">
      <c r="A3346">
        <v>86</v>
      </c>
      <c r="B3346">
        <v>40041683</v>
      </c>
      <c r="C3346" t="s">
        <v>1149</v>
      </c>
      <c r="D3346" t="s">
        <v>7484</v>
      </c>
      <c r="E3346" t="s">
        <v>7485</v>
      </c>
      <c r="F3346" t="s">
        <v>7</v>
      </c>
      <c r="G3346" t="s">
        <v>8</v>
      </c>
      <c r="H3346">
        <v>2500000</v>
      </c>
      <c r="I3346">
        <v>7.7</v>
      </c>
      <c r="J3346" t="s">
        <v>9753</v>
      </c>
    </row>
    <row r="3347" spans="1:10" x14ac:dyDescent="0.3">
      <c r="A3347">
        <v>87</v>
      </c>
      <c r="B3347">
        <v>33349949</v>
      </c>
      <c r="C3347" t="s">
        <v>19</v>
      </c>
      <c r="D3347" t="s">
        <v>7486</v>
      </c>
      <c r="E3347" t="s">
        <v>7487</v>
      </c>
      <c r="F3347" t="s">
        <v>7</v>
      </c>
      <c r="G3347" t="s">
        <v>8</v>
      </c>
      <c r="H3347">
        <v>2500000</v>
      </c>
      <c r="I3347">
        <v>7.4</v>
      </c>
      <c r="J3347" t="s">
        <v>9754</v>
      </c>
    </row>
    <row r="3348" spans="1:10" x14ac:dyDescent="0.3">
      <c r="A3348">
        <v>149</v>
      </c>
      <c r="B3348">
        <v>25809813</v>
      </c>
      <c r="C3348" t="s">
        <v>2312</v>
      </c>
      <c r="D3348" t="s">
        <v>7488</v>
      </c>
      <c r="E3348" t="s">
        <v>7489</v>
      </c>
      <c r="F3348" t="s">
        <v>7</v>
      </c>
      <c r="G3348" t="s">
        <v>8</v>
      </c>
      <c r="H3348">
        <v>26000000</v>
      </c>
      <c r="I3348">
        <v>6.5</v>
      </c>
      <c r="J3348" t="s">
        <v>9755</v>
      </c>
    </row>
    <row r="3349" spans="1:10" x14ac:dyDescent="0.3">
      <c r="A3349">
        <v>98</v>
      </c>
      <c r="B3349">
        <v>14400000</v>
      </c>
      <c r="C3349" t="s">
        <v>2978</v>
      </c>
      <c r="D3349" t="s">
        <v>7490</v>
      </c>
      <c r="E3349" t="s">
        <v>7491</v>
      </c>
      <c r="F3349" t="s">
        <v>7</v>
      </c>
      <c r="G3349" t="s">
        <v>8</v>
      </c>
      <c r="H3349">
        <v>2500000</v>
      </c>
      <c r="I3349">
        <v>6.4</v>
      </c>
      <c r="J3349" t="s">
        <v>9756</v>
      </c>
    </row>
    <row r="3350" spans="1:10" x14ac:dyDescent="0.3">
      <c r="A3350">
        <v>75</v>
      </c>
      <c r="B3350">
        <v>32230907</v>
      </c>
      <c r="C3350" t="s">
        <v>6948</v>
      </c>
      <c r="D3350" t="s">
        <v>7492</v>
      </c>
      <c r="E3350" t="s">
        <v>7493</v>
      </c>
      <c r="F3350" t="s">
        <v>7</v>
      </c>
      <c r="G3350" t="s">
        <v>8</v>
      </c>
      <c r="H3350">
        <v>2500000</v>
      </c>
      <c r="I3350">
        <v>7.2</v>
      </c>
      <c r="J3350" t="s">
        <v>9757</v>
      </c>
    </row>
    <row r="3351" spans="1:10" x14ac:dyDescent="0.3">
      <c r="A3351">
        <v>104</v>
      </c>
      <c r="B3351">
        <v>6401336</v>
      </c>
      <c r="C3351" t="s">
        <v>1417</v>
      </c>
      <c r="D3351" t="s">
        <v>7494</v>
      </c>
      <c r="E3351" t="s">
        <v>7495</v>
      </c>
      <c r="F3351" t="s">
        <v>7</v>
      </c>
      <c r="G3351" t="s">
        <v>8</v>
      </c>
      <c r="H3351">
        <v>2500000</v>
      </c>
      <c r="I3351">
        <v>5.6</v>
      </c>
      <c r="J3351" t="s">
        <v>9758</v>
      </c>
    </row>
    <row r="3352" spans="1:10" x14ac:dyDescent="0.3">
      <c r="A3352">
        <v>102</v>
      </c>
      <c r="B3352">
        <v>26781723</v>
      </c>
      <c r="C3352" t="s">
        <v>561</v>
      </c>
      <c r="D3352" t="s">
        <v>7496</v>
      </c>
      <c r="E3352" t="s">
        <v>7497</v>
      </c>
      <c r="F3352" t="s">
        <v>7</v>
      </c>
      <c r="G3352" t="s">
        <v>8</v>
      </c>
      <c r="H3352">
        <v>2500000</v>
      </c>
      <c r="I3352">
        <v>6.3</v>
      </c>
      <c r="J3352" t="s">
        <v>8896</v>
      </c>
    </row>
    <row r="3353" spans="1:10" x14ac:dyDescent="0.3">
      <c r="A3353">
        <v>105</v>
      </c>
      <c r="B3353">
        <v>5400000</v>
      </c>
      <c r="C3353" t="s">
        <v>73</v>
      </c>
      <c r="D3353" t="s">
        <v>7498</v>
      </c>
      <c r="E3353" t="s">
        <v>7499</v>
      </c>
      <c r="F3353" t="s">
        <v>7</v>
      </c>
      <c r="G3353" t="s">
        <v>8</v>
      </c>
      <c r="H3353">
        <v>2500000</v>
      </c>
      <c r="I3353">
        <v>6.8</v>
      </c>
      <c r="J3353" t="s">
        <v>9759</v>
      </c>
    </row>
    <row r="3354" spans="1:10" x14ac:dyDescent="0.3">
      <c r="A3354">
        <v>107</v>
      </c>
      <c r="B3354">
        <v>1282084</v>
      </c>
      <c r="C3354" t="s">
        <v>1417</v>
      </c>
      <c r="D3354" t="s">
        <v>7501</v>
      </c>
      <c r="E3354" t="s">
        <v>7502</v>
      </c>
      <c r="F3354" t="s">
        <v>7</v>
      </c>
      <c r="G3354" t="s">
        <v>8</v>
      </c>
      <c r="H3354">
        <v>2500000</v>
      </c>
      <c r="I3354">
        <v>5.5</v>
      </c>
      <c r="J3354" t="s">
        <v>9760</v>
      </c>
    </row>
    <row r="3355" spans="1:10" x14ac:dyDescent="0.3">
      <c r="A3355">
        <v>89</v>
      </c>
      <c r="B3355">
        <v>3325638</v>
      </c>
      <c r="C3355" t="s">
        <v>7503</v>
      </c>
      <c r="D3355" t="s">
        <v>7504</v>
      </c>
      <c r="E3355" t="s">
        <v>7505</v>
      </c>
      <c r="F3355" t="s">
        <v>7</v>
      </c>
      <c r="G3355" t="s">
        <v>8</v>
      </c>
      <c r="H3355">
        <v>2500000</v>
      </c>
      <c r="I3355">
        <v>6.9</v>
      </c>
      <c r="J3355" t="s">
        <v>8885</v>
      </c>
    </row>
    <row r="3356" spans="1:10" x14ac:dyDescent="0.3">
      <c r="A3356">
        <v>106</v>
      </c>
      <c r="B3356">
        <v>395592</v>
      </c>
      <c r="C3356" t="s">
        <v>73</v>
      </c>
      <c r="D3356" t="s">
        <v>7506</v>
      </c>
      <c r="E3356" t="s">
        <v>7507</v>
      </c>
      <c r="F3356" t="s">
        <v>7</v>
      </c>
      <c r="G3356" t="s">
        <v>1488</v>
      </c>
      <c r="H3356">
        <v>2000000</v>
      </c>
      <c r="I3356">
        <v>6</v>
      </c>
      <c r="J3356" t="s">
        <v>9761</v>
      </c>
    </row>
    <row r="3357" spans="1:10" x14ac:dyDescent="0.3">
      <c r="A3357">
        <v>34</v>
      </c>
      <c r="B3357">
        <v>333658</v>
      </c>
      <c r="C3357" t="s">
        <v>7508</v>
      </c>
      <c r="D3357" t="s">
        <v>7509</v>
      </c>
      <c r="E3357" t="s">
        <v>7510</v>
      </c>
      <c r="F3357" t="s">
        <v>7</v>
      </c>
      <c r="G3357" t="s">
        <v>8</v>
      </c>
      <c r="H3357">
        <v>34000</v>
      </c>
      <c r="I3357">
        <v>6.4</v>
      </c>
      <c r="J3357" t="s">
        <v>9762</v>
      </c>
    </row>
    <row r="3358" spans="1:10" x14ac:dyDescent="0.3">
      <c r="A3358">
        <v>101</v>
      </c>
      <c r="B3358">
        <v>12995673</v>
      </c>
      <c r="C3358" t="s">
        <v>7511</v>
      </c>
      <c r="D3358" t="s">
        <v>7512</v>
      </c>
      <c r="E3358" t="s">
        <v>7513</v>
      </c>
      <c r="F3358" t="s">
        <v>7</v>
      </c>
      <c r="G3358" t="s">
        <v>8</v>
      </c>
      <c r="H3358">
        <v>2500000</v>
      </c>
      <c r="I3358">
        <v>6.6</v>
      </c>
      <c r="J3358" t="s">
        <v>9763</v>
      </c>
    </row>
    <row r="3359" spans="1:10" x14ac:dyDescent="0.3">
      <c r="A3359">
        <v>112</v>
      </c>
      <c r="B3359">
        <v>173783</v>
      </c>
      <c r="C3359" t="s">
        <v>19</v>
      </c>
      <c r="D3359" t="s">
        <v>7514</v>
      </c>
      <c r="E3359" t="s">
        <v>7515</v>
      </c>
      <c r="F3359" t="s">
        <v>7</v>
      </c>
      <c r="G3359" t="s">
        <v>8</v>
      </c>
      <c r="H3359">
        <v>2500000</v>
      </c>
      <c r="I3359">
        <v>5.3</v>
      </c>
      <c r="J3359" t="s">
        <v>9764</v>
      </c>
    </row>
    <row r="3360" spans="1:10" x14ac:dyDescent="0.3">
      <c r="A3360">
        <v>100</v>
      </c>
      <c r="B3360">
        <v>118666</v>
      </c>
      <c r="C3360" t="s">
        <v>1417</v>
      </c>
      <c r="D3360" t="s">
        <v>7516</v>
      </c>
      <c r="E3360" t="s">
        <v>7517</v>
      </c>
      <c r="F3360" t="s">
        <v>7</v>
      </c>
      <c r="G3360" t="s">
        <v>8</v>
      </c>
      <c r="H3360">
        <v>2500000</v>
      </c>
      <c r="I3360">
        <v>8.1</v>
      </c>
      <c r="J3360" t="s">
        <v>9259</v>
      </c>
    </row>
    <row r="3361" spans="1:10" x14ac:dyDescent="0.3">
      <c r="A3361">
        <v>100</v>
      </c>
      <c r="B3361">
        <v>71904</v>
      </c>
      <c r="C3361" t="s">
        <v>1641</v>
      </c>
      <c r="D3361" t="s">
        <v>7518</v>
      </c>
      <c r="E3361" t="s">
        <v>7519</v>
      </c>
      <c r="F3361" t="s">
        <v>7</v>
      </c>
      <c r="G3361" t="s">
        <v>8</v>
      </c>
      <c r="H3361">
        <v>2500000</v>
      </c>
      <c r="I3361">
        <v>5.9</v>
      </c>
      <c r="J3361" t="s">
        <v>8828</v>
      </c>
    </row>
    <row r="3362" spans="1:10" x14ac:dyDescent="0.3">
      <c r="A3362">
        <v>80</v>
      </c>
      <c r="B3362">
        <v>99851</v>
      </c>
      <c r="C3362" t="s">
        <v>19</v>
      </c>
      <c r="D3362" t="s">
        <v>7520</v>
      </c>
      <c r="E3362" t="s">
        <v>7521</v>
      </c>
      <c r="F3362" t="s">
        <v>7</v>
      </c>
      <c r="G3362" t="s">
        <v>8</v>
      </c>
      <c r="H3362">
        <v>2500000</v>
      </c>
      <c r="I3362">
        <v>7.7</v>
      </c>
      <c r="J3362" t="s">
        <v>9765</v>
      </c>
    </row>
    <row r="3363" spans="1:10" x14ac:dyDescent="0.3">
      <c r="A3363">
        <v>106</v>
      </c>
      <c r="B3363">
        <v>115504</v>
      </c>
      <c r="C3363" t="s">
        <v>561</v>
      </c>
      <c r="D3363" t="s">
        <v>7522</v>
      </c>
      <c r="E3363" t="s">
        <v>7523</v>
      </c>
      <c r="F3363" t="s">
        <v>7</v>
      </c>
      <c r="G3363" t="s">
        <v>15</v>
      </c>
      <c r="H3363">
        <v>14000000</v>
      </c>
      <c r="I3363">
        <v>4.5999999999999996</v>
      </c>
      <c r="J3363" t="s">
        <v>9766</v>
      </c>
    </row>
    <row r="3364" spans="1:10" x14ac:dyDescent="0.3">
      <c r="A3364">
        <v>103</v>
      </c>
      <c r="B3364">
        <v>5725</v>
      </c>
      <c r="C3364" t="s">
        <v>2324</v>
      </c>
      <c r="D3364" t="s">
        <v>7524</v>
      </c>
      <c r="E3364" t="s">
        <v>7525</v>
      </c>
      <c r="F3364" t="s">
        <v>3702</v>
      </c>
      <c r="G3364" t="s">
        <v>284</v>
      </c>
      <c r="H3364">
        <v>8400000</v>
      </c>
      <c r="I3364">
        <v>5.0999999999999996</v>
      </c>
      <c r="J3364" t="s">
        <v>8868</v>
      </c>
    </row>
    <row r="3365" spans="1:10" x14ac:dyDescent="0.3">
      <c r="A3365">
        <v>90</v>
      </c>
      <c r="B3365">
        <v>75727</v>
      </c>
      <c r="C3365" t="s">
        <v>6581</v>
      </c>
      <c r="D3365" t="s">
        <v>7526</v>
      </c>
      <c r="E3365" t="s">
        <v>7527</v>
      </c>
      <c r="F3365" t="s">
        <v>1146</v>
      </c>
      <c r="G3365" t="s">
        <v>8</v>
      </c>
      <c r="H3365">
        <v>2500000</v>
      </c>
      <c r="I3365">
        <v>6.9</v>
      </c>
      <c r="J3365" t="s">
        <v>9767</v>
      </c>
    </row>
    <row r="3366" spans="1:10" x14ac:dyDescent="0.3">
      <c r="A3366">
        <v>96</v>
      </c>
      <c r="B3366">
        <v>322157</v>
      </c>
      <c r="C3366" t="s">
        <v>3876</v>
      </c>
      <c r="D3366" t="s">
        <v>7528</v>
      </c>
      <c r="E3366" t="s">
        <v>7529</v>
      </c>
      <c r="F3366" t="s">
        <v>7</v>
      </c>
      <c r="G3366" t="s">
        <v>8</v>
      </c>
      <c r="H3366">
        <v>2500000</v>
      </c>
      <c r="I3366">
        <v>8</v>
      </c>
      <c r="J3366" t="s">
        <v>8838</v>
      </c>
    </row>
    <row r="3367" spans="1:10" x14ac:dyDescent="0.3">
      <c r="A3367">
        <v>120</v>
      </c>
      <c r="B3367">
        <v>5731103</v>
      </c>
      <c r="C3367" t="s">
        <v>2754</v>
      </c>
      <c r="D3367" t="s">
        <v>7530</v>
      </c>
      <c r="E3367" t="s">
        <v>7531</v>
      </c>
      <c r="F3367" t="s">
        <v>7</v>
      </c>
      <c r="G3367" t="s">
        <v>8</v>
      </c>
      <c r="H3367">
        <v>2400000</v>
      </c>
      <c r="I3367">
        <v>6.8</v>
      </c>
      <c r="J3367" t="s">
        <v>9749</v>
      </c>
    </row>
    <row r="3368" spans="1:10" x14ac:dyDescent="0.3">
      <c r="A3368">
        <v>101</v>
      </c>
      <c r="B3368">
        <v>978908</v>
      </c>
      <c r="C3368" t="s">
        <v>2578</v>
      </c>
      <c r="D3368" t="s">
        <v>7532</v>
      </c>
      <c r="E3368" t="s">
        <v>7533</v>
      </c>
      <c r="F3368" t="s">
        <v>7</v>
      </c>
      <c r="G3368" t="s">
        <v>5629</v>
      </c>
      <c r="H3368">
        <v>2400000</v>
      </c>
      <c r="I3368">
        <v>5.4</v>
      </c>
      <c r="J3368" t="s">
        <v>9768</v>
      </c>
    </row>
    <row r="3369" spans="1:10" x14ac:dyDescent="0.3">
      <c r="A3369">
        <v>101</v>
      </c>
      <c r="B3369">
        <v>327919</v>
      </c>
      <c r="C3369" t="s">
        <v>786</v>
      </c>
      <c r="D3369" t="s">
        <v>7534</v>
      </c>
      <c r="E3369" t="s">
        <v>7535</v>
      </c>
      <c r="F3369" t="s">
        <v>7</v>
      </c>
      <c r="G3369" t="s">
        <v>15</v>
      </c>
      <c r="H3369">
        <v>1500000</v>
      </c>
      <c r="I3369">
        <v>6.5</v>
      </c>
      <c r="J3369" t="s">
        <v>9769</v>
      </c>
    </row>
    <row r="3370" spans="1:10" x14ac:dyDescent="0.3">
      <c r="A3370">
        <v>105</v>
      </c>
      <c r="B3370">
        <v>178739</v>
      </c>
      <c r="C3370" t="s">
        <v>7139</v>
      </c>
      <c r="D3370" t="s">
        <v>7536</v>
      </c>
      <c r="E3370" t="s">
        <v>7537</v>
      </c>
      <c r="F3370" t="s">
        <v>7</v>
      </c>
      <c r="G3370" t="s">
        <v>8</v>
      </c>
      <c r="H3370">
        <v>2450000</v>
      </c>
      <c r="I3370">
        <v>4.2</v>
      </c>
      <c r="J3370" t="s">
        <v>9770</v>
      </c>
    </row>
    <row r="3371" spans="1:10" x14ac:dyDescent="0.3">
      <c r="A3371">
        <v>120</v>
      </c>
      <c r="B3371">
        <v>76400000</v>
      </c>
      <c r="C3371" t="s">
        <v>1136</v>
      </c>
      <c r="D3371" t="s">
        <v>7538</v>
      </c>
      <c r="E3371" t="s">
        <v>7539</v>
      </c>
      <c r="F3371" t="s">
        <v>7</v>
      </c>
      <c r="G3371" t="s">
        <v>8</v>
      </c>
      <c r="H3371">
        <v>2280000</v>
      </c>
      <c r="I3371">
        <v>7.4</v>
      </c>
      <c r="J3371" t="s">
        <v>8838</v>
      </c>
    </row>
    <row r="3372" spans="1:10" x14ac:dyDescent="0.3">
      <c r="A3372">
        <v>91</v>
      </c>
      <c r="B3372">
        <v>36200000</v>
      </c>
      <c r="C3372" t="s">
        <v>2324</v>
      </c>
      <c r="D3372" t="s">
        <v>7540</v>
      </c>
      <c r="E3372" t="s">
        <v>7541</v>
      </c>
      <c r="F3372" t="s">
        <v>7</v>
      </c>
      <c r="G3372" t="s">
        <v>8</v>
      </c>
      <c r="H3372">
        <v>4000000</v>
      </c>
      <c r="I3372">
        <v>6.9</v>
      </c>
      <c r="J3372" t="s">
        <v>8950</v>
      </c>
    </row>
    <row r="3373" spans="1:10" x14ac:dyDescent="0.3">
      <c r="A3373">
        <v>92</v>
      </c>
      <c r="B3373">
        <v>21300000</v>
      </c>
      <c r="C3373" t="s">
        <v>1249</v>
      </c>
      <c r="D3373" t="s">
        <v>7542</v>
      </c>
      <c r="E3373" t="s">
        <v>7543</v>
      </c>
      <c r="F3373" t="s">
        <v>7</v>
      </c>
      <c r="G3373" t="s">
        <v>8</v>
      </c>
      <c r="H3373">
        <v>2200000</v>
      </c>
      <c r="I3373">
        <v>6.7</v>
      </c>
      <c r="J3373" t="s">
        <v>9771</v>
      </c>
    </row>
    <row r="3374" spans="1:10" x14ac:dyDescent="0.3">
      <c r="A3374">
        <v>117</v>
      </c>
      <c r="B3374">
        <v>379643</v>
      </c>
      <c r="C3374" t="s">
        <v>1417</v>
      </c>
      <c r="D3374" t="s">
        <v>7544</v>
      </c>
      <c r="E3374" t="s">
        <v>7545</v>
      </c>
      <c r="F3374" t="s">
        <v>7</v>
      </c>
      <c r="G3374" t="s">
        <v>8</v>
      </c>
      <c r="H3374">
        <v>2200000</v>
      </c>
      <c r="I3374">
        <v>7.3</v>
      </c>
      <c r="J3374" t="s">
        <v>9772</v>
      </c>
    </row>
    <row r="3375" spans="1:10" x14ac:dyDescent="0.3">
      <c r="A3375">
        <v>120</v>
      </c>
      <c r="B3375">
        <v>12985267</v>
      </c>
      <c r="C3375" t="s">
        <v>1417</v>
      </c>
      <c r="D3375" t="s">
        <v>7546</v>
      </c>
      <c r="E3375" t="s">
        <v>7547</v>
      </c>
      <c r="F3375" t="s">
        <v>7</v>
      </c>
      <c r="G3375" t="s">
        <v>8</v>
      </c>
      <c r="H3375">
        <v>2300000</v>
      </c>
      <c r="I3375">
        <v>7.6</v>
      </c>
      <c r="J3375" t="s">
        <v>8982</v>
      </c>
    </row>
    <row r="3376" spans="1:10" x14ac:dyDescent="0.3">
      <c r="A3376">
        <v>172</v>
      </c>
      <c r="B3376">
        <v>23650000</v>
      </c>
      <c r="C3376" t="s">
        <v>2353</v>
      </c>
      <c r="D3376" t="s">
        <v>7548</v>
      </c>
      <c r="E3376" t="s">
        <v>7549</v>
      </c>
      <c r="F3376" t="s">
        <v>7</v>
      </c>
      <c r="G3376" t="s">
        <v>8</v>
      </c>
      <c r="H3376">
        <v>2100000</v>
      </c>
      <c r="I3376">
        <v>5.4</v>
      </c>
      <c r="J3376" t="s">
        <v>9773</v>
      </c>
    </row>
    <row r="3377" spans="1:10" x14ac:dyDescent="0.3">
      <c r="A3377">
        <v>89</v>
      </c>
      <c r="B3377">
        <v>313436</v>
      </c>
      <c r="C3377" t="s">
        <v>1040</v>
      </c>
      <c r="D3377" t="s">
        <v>7550</v>
      </c>
      <c r="E3377" t="s">
        <v>7551</v>
      </c>
      <c r="F3377" t="s">
        <v>6938</v>
      </c>
      <c r="G3377" t="s">
        <v>5252</v>
      </c>
      <c r="H3377">
        <v>15500000</v>
      </c>
      <c r="I3377">
        <v>7.3</v>
      </c>
      <c r="J3377" t="s">
        <v>9413</v>
      </c>
    </row>
    <row r="3378" spans="1:10" x14ac:dyDescent="0.3">
      <c r="A3378">
        <v>125</v>
      </c>
      <c r="B3378">
        <v>3330</v>
      </c>
      <c r="C3378" t="s">
        <v>786</v>
      </c>
      <c r="D3378" t="s">
        <v>7552</v>
      </c>
      <c r="E3378" t="s">
        <v>7553</v>
      </c>
      <c r="F3378" t="s">
        <v>7</v>
      </c>
      <c r="G3378" t="s">
        <v>8</v>
      </c>
      <c r="H3378">
        <v>2100000</v>
      </c>
      <c r="I3378">
        <v>6.4</v>
      </c>
      <c r="J3378" t="s">
        <v>9275</v>
      </c>
    </row>
    <row r="3379" spans="1:10" x14ac:dyDescent="0.3">
      <c r="A3379">
        <v>115</v>
      </c>
      <c r="B3379">
        <v>24800000</v>
      </c>
      <c r="C3379" t="s">
        <v>12</v>
      </c>
      <c r="D3379" t="s">
        <v>7554</v>
      </c>
      <c r="E3379" t="s">
        <v>7555</v>
      </c>
      <c r="F3379" t="s">
        <v>7</v>
      </c>
      <c r="G3379" t="s">
        <v>15</v>
      </c>
      <c r="H3379">
        <v>2000000</v>
      </c>
      <c r="I3379">
        <v>6</v>
      </c>
      <c r="J3379" t="s">
        <v>9774</v>
      </c>
    </row>
    <row r="3380" spans="1:10" x14ac:dyDescent="0.3">
      <c r="A3380">
        <v>96</v>
      </c>
      <c r="B3380">
        <v>792966</v>
      </c>
      <c r="C3380" t="s">
        <v>7556</v>
      </c>
      <c r="D3380" t="s">
        <v>7557</v>
      </c>
      <c r="E3380" t="s">
        <v>7558</v>
      </c>
      <c r="F3380" t="s">
        <v>7</v>
      </c>
      <c r="G3380" t="s">
        <v>8</v>
      </c>
      <c r="H3380">
        <v>2300000</v>
      </c>
      <c r="I3380">
        <v>7.2</v>
      </c>
      <c r="J3380" t="s">
        <v>9089</v>
      </c>
    </row>
    <row r="3381" spans="1:10" x14ac:dyDescent="0.3">
      <c r="A3381">
        <v>100</v>
      </c>
      <c r="B3381">
        <v>14673301</v>
      </c>
      <c r="C3381" t="s">
        <v>2141</v>
      </c>
      <c r="D3381" t="s">
        <v>7559</v>
      </c>
      <c r="E3381" t="s">
        <v>7560</v>
      </c>
      <c r="F3381" t="s">
        <v>7</v>
      </c>
      <c r="G3381" t="s">
        <v>8</v>
      </c>
      <c r="H3381">
        <v>2000000</v>
      </c>
      <c r="I3381">
        <v>6</v>
      </c>
      <c r="J3381" t="s">
        <v>9251</v>
      </c>
    </row>
    <row r="3382" spans="1:10" x14ac:dyDescent="0.3">
      <c r="A3382">
        <v>87</v>
      </c>
      <c r="B3382">
        <v>9003011</v>
      </c>
      <c r="C3382" t="s">
        <v>78</v>
      </c>
      <c r="D3382" t="s">
        <v>7561</v>
      </c>
      <c r="E3382" t="s">
        <v>7562</v>
      </c>
      <c r="F3382" t="s">
        <v>7</v>
      </c>
      <c r="G3382" t="s">
        <v>132</v>
      </c>
      <c r="H3382">
        <v>2000000</v>
      </c>
      <c r="I3382">
        <v>3.1</v>
      </c>
      <c r="J3382" t="s">
        <v>9775</v>
      </c>
    </row>
    <row r="3383" spans="1:10" x14ac:dyDescent="0.3">
      <c r="A3383">
        <v>102</v>
      </c>
      <c r="B3383">
        <v>11546543</v>
      </c>
      <c r="C3383" t="s">
        <v>879</v>
      </c>
      <c r="D3383" t="s">
        <v>7563</v>
      </c>
      <c r="E3383" t="s">
        <v>7564</v>
      </c>
      <c r="F3383" t="s">
        <v>3064</v>
      </c>
      <c r="G3383" t="s">
        <v>1607</v>
      </c>
      <c r="H3383">
        <v>2000000</v>
      </c>
      <c r="I3383">
        <v>6.9</v>
      </c>
      <c r="J3383" t="s">
        <v>9776</v>
      </c>
    </row>
    <row r="3384" spans="1:10" x14ac:dyDescent="0.3">
      <c r="A3384">
        <v>118</v>
      </c>
      <c r="B3384">
        <v>11533945</v>
      </c>
      <c r="C3384" t="s">
        <v>6199</v>
      </c>
      <c r="D3384" t="s">
        <v>7565</v>
      </c>
      <c r="E3384" t="s">
        <v>7566</v>
      </c>
      <c r="F3384" t="s">
        <v>7</v>
      </c>
      <c r="G3384" t="s">
        <v>8</v>
      </c>
      <c r="H3384">
        <v>2000000</v>
      </c>
      <c r="I3384">
        <v>6.2</v>
      </c>
      <c r="J3384" t="s">
        <v>9523</v>
      </c>
    </row>
    <row r="3385" spans="1:10" x14ac:dyDescent="0.3">
      <c r="A3385">
        <v>86</v>
      </c>
      <c r="B3385">
        <v>12555230</v>
      </c>
      <c r="C3385" t="s">
        <v>2578</v>
      </c>
      <c r="D3385" t="s">
        <v>7567</v>
      </c>
      <c r="E3385" t="s">
        <v>7568</v>
      </c>
      <c r="F3385" t="s">
        <v>7</v>
      </c>
      <c r="G3385" t="s">
        <v>583</v>
      </c>
      <c r="H3385">
        <v>2000000</v>
      </c>
      <c r="I3385">
        <v>5.5</v>
      </c>
      <c r="J3385" t="s">
        <v>8620</v>
      </c>
    </row>
    <row r="3386" spans="1:10" x14ac:dyDescent="0.3">
      <c r="A3386">
        <v>137</v>
      </c>
      <c r="B3386">
        <v>11284657</v>
      </c>
      <c r="C3386" t="s">
        <v>1704</v>
      </c>
      <c r="D3386" t="s">
        <v>7569</v>
      </c>
      <c r="E3386" t="s">
        <v>7570</v>
      </c>
      <c r="F3386" t="s">
        <v>3702</v>
      </c>
      <c r="G3386" t="s">
        <v>284</v>
      </c>
      <c r="H3386">
        <v>2000000</v>
      </c>
      <c r="I3386">
        <v>6.9</v>
      </c>
      <c r="J3386" t="s">
        <v>9777</v>
      </c>
    </row>
    <row r="3387" spans="1:10" x14ac:dyDescent="0.3">
      <c r="A3387">
        <v>129</v>
      </c>
      <c r="B3387">
        <v>34522221</v>
      </c>
      <c r="C3387" t="s">
        <v>1417</v>
      </c>
      <c r="D3387" t="s">
        <v>7571</v>
      </c>
      <c r="E3387" t="s">
        <v>7572</v>
      </c>
      <c r="F3387" t="s">
        <v>7</v>
      </c>
      <c r="G3387" t="s">
        <v>8</v>
      </c>
      <c r="H3387">
        <v>2000000</v>
      </c>
      <c r="I3387">
        <v>6.3</v>
      </c>
      <c r="J3387" t="s">
        <v>9083</v>
      </c>
    </row>
    <row r="3388" spans="1:10" x14ac:dyDescent="0.3">
      <c r="A3388">
        <v>80</v>
      </c>
      <c r="B3388">
        <v>7002255</v>
      </c>
      <c r="C3388" t="s">
        <v>7573</v>
      </c>
      <c r="D3388" t="s">
        <v>7574</v>
      </c>
      <c r="E3388" t="s">
        <v>7575</v>
      </c>
      <c r="F3388" t="s">
        <v>582</v>
      </c>
      <c r="G3388" t="s">
        <v>583</v>
      </c>
      <c r="H3388">
        <v>9500000</v>
      </c>
      <c r="I3388">
        <v>4.8</v>
      </c>
      <c r="J3388" t="s">
        <v>9778</v>
      </c>
    </row>
    <row r="3389" spans="1:10" x14ac:dyDescent="0.3">
      <c r="A3389">
        <v>89</v>
      </c>
      <c r="B3389">
        <v>6719300</v>
      </c>
      <c r="C3389" t="s">
        <v>1040</v>
      </c>
      <c r="D3389" t="s">
        <v>7576</v>
      </c>
      <c r="E3389" t="s">
        <v>7577</v>
      </c>
      <c r="F3389" t="s">
        <v>7</v>
      </c>
      <c r="G3389" t="s">
        <v>95</v>
      </c>
      <c r="H3389">
        <v>2000000</v>
      </c>
      <c r="I3389">
        <v>7.9</v>
      </c>
      <c r="J3389" t="s">
        <v>9014</v>
      </c>
    </row>
    <row r="3390" spans="1:10" x14ac:dyDescent="0.3">
      <c r="A3390">
        <v>80</v>
      </c>
      <c r="B3390">
        <v>5792822</v>
      </c>
      <c r="C3390" t="s">
        <v>73</v>
      </c>
      <c r="D3390" t="s">
        <v>7578</v>
      </c>
      <c r="E3390" t="s">
        <v>7579</v>
      </c>
      <c r="F3390" t="s">
        <v>7</v>
      </c>
      <c r="G3390" t="s">
        <v>8</v>
      </c>
      <c r="H3390">
        <v>2700000</v>
      </c>
      <c r="I3390">
        <v>6.7</v>
      </c>
      <c r="J3390" t="s">
        <v>9779</v>
      </c>
    </row>
    <row r="3391" spans="1:10" x14ac:dyDescent="0.3">
      <c r="A3391">
        <v>115</v>
      </c>
      <c r="B3391">
        <v>5383834</v>
      </c>
      <c r="C3391" t="s">
        <v>1704</v>
      </c>
      <c r="D3391" t="s">
        <v>7580</v>
      </c>
      <c r="E3391" t="s">
        <v>7581</v>
      </c>
      <c r="F3391" t="s">
        <v>1146</v>
      </c>
      <c r="G3391" t="s">
        <v>1193</v>
      </c>
      <c r="H3391">
        <v>2000000</v>
      </c>
      <c r="I3391">
        <v>5.6</v>
      </c>
      <c r="J3391" t="s">
        <v>9780</v>
      </c>
    </row>
    <row r="3392" spans="1:10" x14ac:dyDescent="0.3">
      <c r="A3392">
        <v>100</v>
      </c>
      <c r="B3392">
        <v>4599680</v>
      </c>
      <c r="C3392" t="s">
        <v>1417</v>
      </c>
      <c r="D3392" t="s">
        <v>7582</v>
      </c>
      <c r="E3392" t="s">
        <v>7583</v>
      </c>
      <c r="F3392" t="s">
        <v>7</v>
      </c>
      <c r="G3392" t="s">
        <v>8</v>
      </c>
      <c r="H3392">
        <v>1500000</v>
      </c>
      <c r="I3392">
        <v>5.4</v>
      </c>
      <c r="J3392" t="s">
        <v>9781</v>
      </c>
    </row>
    <row r="3393" spans="1:10" x14ac:dyDescent="0.3">
      <c r="A3393">
        <v>100</v>
      </c>
      <c r="B3393">
        <v>6531491</v>
      </c>
      <c r="C3393" t="s">
        <v>1417</v>
      </c>
      <c r="D3393" t="s">
        <v>7584</v>
      </c>
      <c r="E3393" t="s">
        <v>7585</v>
      </c>
      <c r="F3393" t="s">
        <v>7</v>
      </c>
      <c r="G3393" t="s">
        <v>8</v>
      </c>
      <c r="H3393">
        <v>2000000</v>
      </c>
      <c r="I3393">
        <v>8</v>
      </c>
      <c r="J3393" t="s">
        <v>9782</v>
      </c>
    </row>
    <row r="3394" spans="1:10" x14ac:dyDescent="0.3">
      <c r="A3394">
        <v>91</v>
      </c>
      <c r="B3394">
        <v>3885134</v>
      </c>
      <c r="C3394" t="s">
        <v>1040</v>
      </c>
      <c r="D3394" t="s">
        <v>7586</v>
      </c>
      <c r="E3394" t="s">
        <v>7587</v>
      </c>
      <c r="F3394" t="s">
        <v>7</v>
      </c>
      <c r="G3394" t="s">
        <v>8</v>
      </c>
      <c r="H3394">
        <v>2000000</v>
      </c>
      <c r="I3394">
        <v>5.7</v>
      </c>
      <c r="J3394" t="s">
        <v>8552</v>
      </c>
    </row>
    <row r="3395" spans="1:10" x14ac:dyDescent="0.3">
      <c r="A3395">
        <v>96</v>
      </c>
      <c r="B3395">
        <v>3590010</v>
      </c>
      <c r="C3395" t="s">
        <v>3307</v>
      </c>
      <c r="D3395" t="s">
        <v>7589</v>
      </c>
      <c r="E3395" t="s">
        <v>7590</v>
      </c>
      <c r="F3395" t="s">
        <v>7</v>
      </c>
      <c r="G3395" t="s">
        <v>15</v>
      </c>
      <c r="H3395">
        <v>2000000</v>
      </c>
      <c r="I3395">
        <v>7.6</v>
      </c>
      <c r="J3395" t="s">
        <v>9783</v>
      </c>
    </row>
    <row r="3396" spans="1:10" x14ac:dyDescent="0.3">
      <c r="A3396">
        <v>116</v>
      </c>
      <c r="B3396">
        <v>3335839</v>
      </c>
      <c r="C3396" t="s">
        <v>164</v>
      </c>
      <c r="D3396" t="s">
        <v>7591</v>
      </c>
      <c r="E3396" t="s">
        <v>7592</v>
      </c>
      <c r="F3396" t="s">
        <v>7</v>
      </c>
      <c r="G3396" t="s">
        <v>8</v>
      </c>
      <c r="H3396">
        <v>2000000</v>
      </c>
      <c r="I3396">
        <v>7</v>
      </c>
      <c r="J3396" t="s">
        <v>9392</v>
      </c>
    </row>
    <row r="3397" spans="1:10" x14ac:dyDescent="0.3">
      <c r="A3397">
        <v>97</v>
      </c>
      <c r="B3397">
        <v>2557668</v>
      </c>
      <c r="C3397" t="s">
        <v>873</v>
      </c>
      <c r="D3397" t="s">
        <v>7593</v>
      </c>
      <c r="E3397" t="s">
        <v>7594</v>
      </c>
      <c r="F3397" t="s">
        <v>7</v>
      </c>
      <c r="G3397" t="s">
        <v>8</v>
      </c>
      <c r="H3397">
        <v>2000000</v>
      </c>
      <c r="I3397">
        <v>7.2</v>
      </c>
      <c r="J3397" t="s">
        <v>9784</v>
      </c>
    </row>
    <row r="3398" spans="1:10" x14ac:dyDescent="0.3">
      <c r="A3398">
        <v>101</v>
      </c>
      <c r="B3398">
        <v>2506446</v>
      </c>
      <c r="C3398" t="s">
        <v>672</v>
      </c>
      <c r="D3398" t="s">
        <v>7595</v>
      </c>
      <c r="E3398" t="s">
        <v>7596</v>
      </c>
      <c r="F3398" t="s">
        <v>7</v>
      </c>
      <c r="G3398" t="s">
        <v>8</v>
      </c>
      <c r="H3398">
        <v>2000000</v>
      </c>
      <c r="I3398">
        <v>6.2</v>
      </c>
      <c r="J3398" t="s">
        <v>8300</v>
      </c>
    </row>
    <row r="3399" spans="1:10" x14ac:dyDescent="0.3">
      <c r="A3399">
        <v>98</v>
      </c>
      <c r="B3399">
        <v>7369373</v>
      </c>
      <c r="C3399" t="s">
        <v>1249</v>
      </c>
      <c r="D3399" t="s">
        <v>7597</v>
      </c>
      <c r="E3399" t="s">
        <v>7598</v>
      </c>
      <c r="F3399" t="s">
        <v>7</v>
      </c>
      <c r="G3399" t="s">
        <v>15</v>
      </c>
      <c r="H3399">
        <v>2000000</v>
      </c>
      <c r="I3399">
        <v>3.5</v>
      </c>
      <c r="J3399" t="s">
        <v>9785</v>
      </c>
    </row>
    <row r="3400" spans="1:10" x14ac:dyDescent="0.3">
      <c r="A3400">
        <v>101</v>
      </c>
      <c r="B3400">
        <v>1984378</v>
      </c>
      <c r="C3400" t="s">
        <v>561</v>
      </c>
      <c r="D3400" t="s">
        <v>7599</v>
      </c>
      <c r="E3400" t="s">
        <v>7600</v>
      </c>
      <c r="F3400" t="s">
        <v>7</v>
      </c>
      <c r="G3400" t="s">
        <v>8</v>
      </c>
      <c r="H3400">
        <v>2000000</v>
      </c>
      <c r="I3400">
        <v>7.5</v>
      </c>
      <c r="J3400" t="s">
        <v>8982</v>
      </c>
    </row>
    <row r="3401" spans="1:10" x14ac:dyDescent="0.3">
      <c r="A3401">
        <v>90</v>
      </c>
      <c r="B3401">
        <v>2283276</v>
      </c>
      <c r="C3401" t="s">
        <v>7601</v>
      </c>
      <c r="D3401" t="s">
        <v>7602</v>
      </c>
      <c r="E3401" t="s">
        <v>7603</v>
      </c>
      <c r="F3401" t="s">
        <v>4894</v>
      </c>
      <c r="G3401" t="s">
        <v>7604</v>
      </c>
      <c r="H3401">
        <v>1500000</v>
      </c>
      <c r="I3401">
        <v>5.0999999999999996</v>
      </c>
      <c r="J3401" t="s">
        <v>9786</v>
      </c>
    </row>
    <row r="3402" spans="1:10" x14ac:dyDescent="0.3">
      <c r="A3402">
        <v>120</v>
      </c>
      <c r="B3402">
        <v>1098224</v>
      </c>
      <c r="C3402" t="s">
        <v>362</v>
      </c>
      <c r="D3402" t="s">
        <v>7605</v>
      </c>
      <c r="E3402" t="s">
        <v>7606</v>
      </c>
      <c r="F3402" t="s">
        <v>7</v>
      </c>
      <c r="G3402" t="s">
        <v>8</v>
      </c>
      <c r="H3402">
        <v>2000000</v>
      </c>
      <c r="I3402">
        <v>6.7</v>
      </c>
      <c r="J3402" t="s">
        <v>9787</v>
      </c>
    </row>
    <row r="3403" spans="1:10" x14ac:dyDescent="0.3">
      <c r="A3403">
        <v>102</v>
      </c>
      <c r="B3403">
        <v>1430185</v>
      </c>
      <c r="C3403" t="s">
        <v>7607</v>
      </c>
      <c r="D3403" t="s">
        <v>7608</v>
      </c>
      <c r="E3403" t="s">
        <v>7609</v>
      </c>
      <c r="F3403" t="s">
        <v>7</v>
      </c>
      <c r="G3403" t="s">
        <v>8</v>
      </c>
      <c r="H3403">
        <v>2000000</v>
      </c>
      <c r="I3403">
        <v>9.1999999999999993</v>
      </c>
      <c r="J3403" t="s">
        <v>8713</v>
      </c>
    </row>
    <row r="3404" spans="1:10" x14ac:dyDescent="0.3">
      <c r="A3404">
        <v>102</v>
      </c>
      <c r="B3404">
        <v>1477002</v>
      </c>
      <c r="C3404" t="s">
        <v>73</v>
      </c>
      <c r="D3404" t="s">
        <v>7610</v>
      </c>
      <c r="E3404" t="s">
        <v>7611</v>
      </c>
      <c r="F3404" t="s">
        <v>7</v>
      </c>
      <c r="G3404" t="s">
        <v>8</v>
      </c>
      <c r="H3404">
        <v>2000000</v>
      </c>
      <c r="I3404">
        <v>6.1</v>
      </c>
      <c r="J3404" t="s">
        <v>8744</v>
      </c>
    </row>
    <row r="3405" spans="1:10" x14ac:dyDescent="0.3">
      <c r="A3405">
        <v>100</v>
      </c>
      <c r="B3405">
        <v>1134049</v>
      </c>
      <c r="C3405" t="s">
        <v>7612</v>
      </c>
      <c r="D3405" t="s">
        <v>7613</v>
      </c>
      <c r="E3405" t="s">
        <v>7614</v>
      </c>
      <c r="F3405" t="s">
        <v>7</v>
      </c>
      <c r="G3405" t="s">
        <v>15</v>
      </c>
      <c r="H3405">
        <v>2000000</v>
      </c>
      <c r="I3405">
        <v>7.7</v>
      </c>
      <c r="J3405" t="s">
        <v>8311</v>
      </c>
    </row>
    <row r="3406" spans="1:10" x14ac:dyDescent="0.3">
      <c r="A3406">
        <v>89</v>
      </c>
      <c r="B3406">
        <v>653621</v>
      </c>
      <c r="C3406" t="s">
        <v>7615</v>
      </c>
      <c r="D3406" t="s">
        <v>7616</v>
      </c>
      <c r="E3406" t="s">
        <v>7617</v>
      </c>
      <c r="F3406" t="s">
        <v>7</v>
      </c>
      <c r="G3406" t="s">
        <v>8</v>
      </c>
      <c r="H3406">
        <v>2000000</v>
      </c>
      <c r="I3406">
        <v>7.6</v>
      </c>
      <c r="J3406" t="s">
        <v>9544</v>
      </c>
    </row>
    <row r="3407" spans="1:10" x14ac:dyDescent="0.3">
      <c r="A3407">
        <v>86</v>
      </c>
      <c r="B3407">
        <v>535249</v>
      </c>
      <c r="C3407" t="s">
        <v>668</v>
      </c>
      <c r="D3407" t="s">
        <v>7618</v>
      </c>
      <c r="E3407" t="s">
        <v>7619</v>
      </c>
      <c r="F3407" t="s">
        <v>7</v>
      </c>
      <c r="G3407" t="s">
        <v>8</v>
      </c>
      <c r="H3407">
        <v>3400000</v>
      </c>
      <c r="I3407">
        <v>6.1</v>
      </c>
      <c r="J3407" t="s">
        <v>8444</v>
      </c>
    </row>
    <row r="3408" spans="1:10" x14ac:dyDescent="0.3">
      <c r="A3408">
        <v>96</v>
      </c>
      <c r="B3408">
        <v>371081</v>
      </c>
      <c r="C3408" t="s">
        <v>1040</v>
      </c>
      <c r="D3408" t="s">
        <v>7620</v>
      </c>
      <c r="E3408" t="s">
        <v>7621</v>
      </c>
      <c r="F3408" t="s">
        <v>7</v>
      </c>
      <c r="G3408" t="s">
        <v>8</v>
      </c>
      <c r="H3408">
        <v>6000000</v>
      </c>
      <c r="I3408">
        <v>4.9000000000000004</v>
      </c>
      <c r="J3408" t="s">
        <v>8382</v>
      </c>
    </row>
    <row r="3409" spans="1:10" x14ac:dyDescent="0.3">
      <c r="A3409">
        <v>91</v>
      </c>
      <c r="B3409">
        <v>124494</v>
      </c>
      <c r="C3409" t="s">
        <v>7622</v>
      </c>
      <c r="D3409" t="s">
        <v>7623</v>
      </c>
      <c r="E3409" t="s">
        <v>7624</v>
      </c>
      <c r="F3409" t="s">
        <v>7</v>
      </c>
      <c r="G3409" t="s">
        <v>8</v>
      </c>
      <c r="H3409">
        <v>2000000</v>
      </c>
      <c r="I3409">
        <v>6.8</v>
      </c>
      <c r="J3409" t="s">
        <v>9787</v>
      </c>
    </row>
    <row r="3410" spans="1:10" x14ac:dyDescent="0.3">
      <c r="A3410">
        <v>85</v>
      </c>
      <c r="B3410">
        <v>100669</v>
      </c>
      <c r="C3410" t="s">
        <v>1040</v>
      </c>
      <c r="D3410" t="s">
        <v>7625</v>
      </c>
      <c r="E3410" t="s">
        <v>7626</v>
      </c>
      <c r="F3410" t="s">
        <v>7</v>
      </c>
      <c r="G3410" t="s">
        <v>8</v>
      </c>
      <c r="H3410">
        <v>3800000</v>
      </c>
      <c r="I3410">
        <v>7</v>
      </c>
      <c r="J3410" t="s">
        <v>8645</v>
      </c>
    </row>
    <row r="3411" spans="1:10" x14ac:dyDescent="0.3">
      <c r="A3411">
        <v>129</v>
      </c>
      <c r="B3411">
        <v>186354</v>
      </c>
      <c r="C3411" t="s">
        <v>1417</v>
      </c>
      <c r="D3411" t="s">
        <v>7627</v>
      </c>
      <c r="E3411" t="s">
        <v>7628</v>
      </c>
      <c r="F3411" t="s">
        <v>7</v>
      </c>
      <c r="G3411" t="s">
        <v>8</v>
      </c>
      <c r="H3411">
        <v>13500000</v>
      </c>
      <c r="I3411">
        <v>7.2</v>
      </c>
      <c r="J3411" t="s">
        <v>9788</v>
      </c>
    </row>
    <row r="3412" spans="1:10" x14ac:dyDescent="0.3">
      <c r="A3412">
        <v>95</v>
      </c>
      <c r="B3412">
        <v>17580</v>
      </c>
      <c r="C3412" t="s">
        <v>1417</v>
      </c>
      <c r="D3412" t="s">
        <v>7629</v>
      </c>
      <c r="E3412" t="s">
        <v>7630</v>
      </c>
      <c r="F3412" t="s">
        <v>7</v>
      </c>
      <c r="G3412" t="s">
        <v>8</v>
      </c>
      <c r="H3412">
        <v>1500000</v>
      </c>
      <c r="I3412">
        <v>5.7</v>
      </c>
      <c r="J3412" t="s">
        <v>9609</v>
      </c>
    </row>
    <row r="3413" spans="1:10" x14ac:dyDescent="0.3">
      <c r="A3413">
        <v>92</v>
      </c>
      <c r="B3413">
        <v>12667</v>
      </c>
      <c r="C3413" t="s">
        <v>73</v>
      </c>
      <c r="D3413" t="s">
        <v>7631</v>
      </c>
      <c r="E3413" t="s">
        <v>7632</v>
      </c>
      <c r="F3413" t="s">
        <v>7</v>
      </c>
      <c r="G3413" t="s">
        <v>15</v>
      </c>
      <c r="H3413">
        <v>14000</v>
      </c>
      <c r="I3413">
        <v>7.3</v>
      </c>
      <c r="J3413" t="s">
        <v>8329</v>
      </c>
    </row>
    <row r="3414" spans="1:10" x14ac:dyDescent="0.3">
      <c r="A3414">
        <v>96</v>
      </c>
      <c r="B3414">
        <v>198407</v>
      </c>
      <c r="C3414" t="s">
        <v>1417</v>
      </c>
      <c r="D3414" t="s">
        <v>7633</v>
      </c>
      <c r="E3414" t="s">
        <v>7634</v>
      </c>
      <c r="F3414" t="s">
        <v>7</v>
      </c>
      <c r="G3414" t="s">
        <v>8</v>
      </c>
      <c r="H3414">
        <v>2000000</v>
      </c>
      <c r="I3414">
        <v>7.5</v>
      </c>
      <c r="J3414" t="s">
        <v>8592</v>
      </c>
    </row>
    <row r="3415" spans="1:10" x14ac:dyDescent="0.3">
      <c r="A3415">
        <v>119</v>
      </c>
      <c r="B3415">
        <v>4958</v>
      </c>
      <c r="C3415" t="s">
        <v>6228</v>
      </c>
      <c r="D3415" t="s">
        <v>7635</v>
      </c>
      <c r="E3415" t="s">
        <v>7636</v>
      </c>
      <c r="F3415" t="s">
        <v>7</v>
      </c>
      <c r="G3415" t="s">
        <v>3461</v>
      </c>
      <c r="H3415">
        <v>2000000</v>
      </c>
      <c r="I3415">
        <v>7.4</v>
      </c>
      <c r="J3415" t="s">
        <v>8736</v>
      </c>
    </row>
    <row r="3416" spans="1:10" x14ac:dyDescent="0.3">
      <c r="A3416">
        <v>92</v>
      </c>
      <c r="B3416">
        <v>7927</v>
      </c>
      <c r="C3416" t="s">
        <v>7637</v>
      </c>
      <c r="D3416" t="s">
        <v>7638</v>
      </c>
      <c r="E3416" t="s">
        <v>7639</v>
      </c>
      <c r="F3416" t="s">
        <v>7</v>
      </c>
      <c r="G3416" t="s">
        <v>8</v>
      </c>
      <c r="H3416">
        <v>2300000</v>
      </c>
      <c r="I3416">
        <v>7.2</v>
      </c>
      <c r="J3416" t="s">
        <v>8716</v>
      </c>
    </row>
    <row r="3417" spans="1:10" x14ac:dyDescent="0.3">
      <c r="A3417">
        <v>106</v>
      </c>
      <c r="B3417">
        <v>2436</v>
      </c>
      <c r="C3417" t="s">
        <v>7640</v>
      </c>
      <c r="D3417" t="s">
        <v>7641</v>
      </c>
      <c r="E3417" t="s">
        <v>7642</v>
      </c>
      <c r="F3417" t="s">
        <v>7</v>
      </c>
      <c r="G3417" t="s">
        <v>8</v>
      </c>
      <c r="H3417">
        <v>2000000</v>
      </c>
      <c r="I3417">
        <v>6.5</v>
      </c>
      <c r="J3417" t="s">
        <v>9083</v>
      </c>
    </row>
    <row r="3418" spans="1:10" x14ac:dyDescent="0.3">
      <c r="A3418">
        <v>103</v>
      </c>
      <c r="B3418">
        <v>1420578</v>
      </c>
      <c r="C3418" t="s">
        <v>2231</v>
      </c>
      <c r="D3418" t="s">
        <v>7643</v>
      </c>
      <c r="E3418" t="s">
        <v>7644</v>
      </c>
      <c r="F3418" t="s">
        <v>7</v>
      </c>
      <c r="G3418" t="s">
        <v>8</v>
      </c>
      <c r="H3418">
        <v>1900000</v>
      </c>
      <c r="I3418">
        <v>6.8</v>
      </c>
      <c r="J3418" t="s">
        <v>9789</v>
      </c>
    </row>
    <row r="3419" spans="1:10" x14ac:dyDescent="0.3">
      <c r="A3419">
        <v>95</v>
      </c>
      <c r="B3419">
        <v>1028658</v>
      </c>
      <c r="C3419" t="s">
        <v>780</v>
      </c>
      <c r="D3419" t="s">
        <v>7645</v>
      </c>
      <c r="E3419" t="s">
        <v>7646</v>
      </c>
      <c r="F3419" t="s">
        <v>7</v>
      </c>
      <c r="G3419" t="s">
        <v>1488</v>
      </c>
      <c r="H3419">
        <v>3000000</v>
      </c>
      <c r="I3419">
        <v>6.8</v>
      </c>
      <c r="J3419" t="s">
        <v>9787</v>
      </c>
    </row>
    <row r="3420" spans="1:10" x14ac:dyDescent="0.3">
      <c r="A3420">
        <v>95</v>
      </c>
      <c r="B3420">
        <v>18435</v>
      </c>
      <c r="C3420" t="s">
        <v>1417</v>
      </c>
      <c r="D3420" t="s">
        <v>7647</v>
      </c>
      <c r="E3420" t="s">
        <v>7648</v>
      </c>
      <c r="F3420" t="s">
        <v>582</v>
      </c>
      <c r="G3420" t="s">
        <v>583</v>
      </c>
      <c r="H3420">
        <v>1400000</v>
      </c>
      <c r="I3420">
        <v>5.2</v>
      </c>
      <c r="J3420" t="s">
        <v>9129</v>
      </c>
    </row>
    <row r="3421" spans="1:10" x14ac:dyDescent="0.3">
      <c r="A3421">
        <v>90</v>
      </c>
      <c r="B3421">
        <v>2957978</v>
      </c>
      <c r="C3421" t="s">
        <v>7649</v>
      </c>
      <c r="D3421" t="s">
        <v>7650</v>
      </c>
      <c r="E3421" t="s">
        <v>7651</v>
      </c>
      <c r="F3421" t="s">
        <v>7</v>
      </c>
      <c r="G3421" t="s">
        <v>15</v>
      </c>
      <c r="H3421">
        <v>1000000</v>
      </c>
      <c r="I3421">
        <v>7.2</v>
      </c>
      <c r="J3421" t="s">
        <v>8961</v>
      </c>
    </row>
    <row r="3422" spans="1:10" x14ac:dyDescent="0.3">
      <c r="A3422">
        <v>89</v>
      </c>
      <c r="B3422">
        <v>444044</v>
      </c>
      <c r="C3422" t="s">
        <v>1417</v>
      </c>
      <c r="D3422" t="s">
        <v>7652</v>
      </c>
      <c r="E3422" t="s">
        <v>7653</v>
      </c>
      <c r="F3422" t="s">
        <v>7</v>
      </c>
      <c r="G3422" t="s">
        <v>8</v>
      </c>
      <c r="H3422">
        <v>1900000</v>
      </c>
      <c r="I3422">
        <v>7.5</v>
      </c>
      <c r="J3422" t="s">
        <v>9790</v>
      </c>
    </row>
    <row r="3423" spans="1:10" x14ac:dyDescent="0.3">
      <c r="A3423">
        <v>87</v>
      </c>
      <c r="B3423">
        <v>40990055</v>
      </c>
      <c r="C3423" t="s">
        <v>1834</v>
      </c>
      <c r="D3423" t="s">
        <v>7654</v>
      </c>
      <c r="E3423" t="s">
        <v>7655</v>
      </c>
      <c r="F3423" t="s">
        <v>7</v>
      </c>
      <c r="G3423" t="s">
        <v>583</v>
      </c>
      <c r="H3423">
        <v>1800000</v>
      </c>
      <c r="I3423">
        <v>4</v>
      </c>
      <c r="J3423" t="s">
        <v>9791</v>
      </c>
    </row>
    <row r="3424" spans="1:10" x14ac:dyDescent="0.3">
      <c r="A3424">
        <v>118</v>
      </c>
      <c r="B3424">
        <v>5709616</v>
      </c>
      <c r="C3424" t="s">
        <v>73</v>
      </c>
      <c r="D3424" t="s">
        <v>7656</v>
      </c>
      <c r="E3424" t="s">
        <v>7657</v>
      </c>
      <c r="F3424" t="s">
        <v>1146</v>
      </c>
      <c r="G3424" t="s">
        <v>1193</v>
      </c>
      <c r="H3424">
        <v>1800000</v>
      </c>
      <c r="I3424">
        <v>6.8</v>
      </c>
      <c r="J3424" t="s">
        <v>8656</v>
      </c>
    </row>
    <row r="3425" spans="1:10" x14ac:dyDescent="0.3">
      <c r="A3425">
        <v>93</v>
      </c>
      <c r="B3425">
        <v>12784397</v>
      </c>
      <c r="C3425" t="s">
        <v>2231</v>
      </c>
      <c r="D3425" t="s">
        <v>7658</v>
      </c>
      <c r="E3425" t="s">
        <v>7659</v>
      </c>
      <c r="F3425" t="s">
        <v>7</v>
      </c>
      <c r="G3425" t="s">
        <v>8</v>
      </c>
      <c r="H3425">
        <v>1800000</v>
      </c>
      <c r="I3425">
        <v>6.9</v>
      </c>
      <c r="J3425" t="s">
        <v>9388</v>
      </c>
    </row>
    <row r="3426" spans="1:10" x14ac:dyDescent="0.3">
      <c r="A3426">
        <v>90</v>
      </c>
      <c r="B3426">
        <v>638476</v>
      </c>
      <c r="C3426" t="s">
        <v>6948</v>
      </c>
      <c r="D3426" t="s">
        <v>7660</v>
      </c>
      <c r="E3426" t="s">
        <v>7661</v>
      </c>
      <c r="F3426" t="s">
        <v>7</v>
      </c>
      <c r="G3426" t="s">
        <v>8</v>
      </c>
      <c r="H3426">
        <v>1500000</v>
      </c>
      <c r="I3426">
        <v>7.3</v>
      </c>
      <c r="J3426" t="s">
        <v>9464</v>
      </c>
    </row>
    <row r="3427" spans="1:10" x14ac:dyDescent="0.3">
      <c r="A3427">
        <v>108</v>
      </c>
      <c r="B3427">
        <v>505295</v>
      </c>
      <c r="C3427" t="s">
        <v>2975</v>
      </c>
      <c r="D3427" t="s">
        <v>7662</v>
      </c>
      <c r="E3427" t="s">
        <v>7663</v>
      </c>
      <c r="F3427" t="s">
        <v>7664</v>
      </c>
      <c r="G3427" t="s">
        <v>132</v>
      </c>
      <c r="H3427">
        <v>1800000</v>
      </c>
      <c r="I3427">
        <v>6.1</v>
      </c>
      <c r="J3427" t="s">
        <v>8924</v>
      </c>
    </row>
    <row r="3428" spans="1:10" x14ac:dyDescent="0.3">
      <c r="A3428">
        <v>81</v>
      </c>
      <c r="B3428">
        <v>7267324</v>
      </c>
      <c r="C3428" t="s">
        <v>786</v>
      </c>
      <c r="D3428" t="s">
        <v>7665</v>
      </c>
      <c r="E3428" t="s">
        <v>7666</v>
      </c>
      <c r="F3428" t="s">
        <v>3702</v>
      </c>
      <c r="G3428" t="s">
        <v>284</v>
      </c>
      <c r="H3428">
        <v>3500000</v>
      </c>
      <c r="I3428">
        <v>7.8</v>
      </c>
      <c r="J3428" t="s">
        <v>8296</v>
      </c>
    </row>
    <row r="3429" spans="1:10" x14ac:dyDescent="0.3">
      <c r="A3429">
        <v>93</v>
      </c>
      <c r="B3429">
        <v>145540</v>
      </c>
      <c r="C3429" t="s">
        <v>4858</v>
      </c>
      <c r="D3429" t="s">
        <v>7667</v>
      </c>
      <c r="E3429" t="s">
        <v>7668</v>
      </c>
      <c r="F3429" t="s">
        <v>7</v>
      </c>
      <c r="G3429" t="s">
        <v>8</v>
      </c>
      <c r="H3429">
        <v>500000</v>
      </c>
      <c r="I3429">
        <v>6</v>
      </c>
      <c r="J3429" t="s">
        <v>9388</v>
      </c>
    </row>
    <row r="3430" spans="1:10" x14ac:dyDescent="0.3">
      <c r="A3430">
        <v>138</v>
      </c>
      <c r="B3430">
        <v>35918429</v>
      </c>
      <c r="C3430" t="s">
        <v>786</v>
      </c>
      <c r="D3430" t="s">
        <v>7669</v>
      </c>
      <c r="E3430" t="s">
        <v>7670</v>
      </c>
      <c r="F3430" t="s">
        <v>7</v>
      </c>
      <c r="G3430" t="s">
        <v>8</v>
      </c>
      <c r="H3430">
        <v>1700000</v>
      </c>
      <c r="I3430">
        <v>4.0999999999999996</v>
      </c>
      <c r="J3430" t="s">
        <v>9792</v>
      </c>
    </row>
    <row r="3431" spans="1:10" x14ac:dyDescent="0.3">
      <c r="A3431">
        <v>105</v>
      </c>
      <c r="B3431">
        <v>92401</v>
      </c>
      <c r="C3431" t="s">
        <v>2324</v>
      </c>
      <c r="D3431" t="s">
        <v>7671</v>
      </c>
      <c r="E3431" t="s">
        <v>7672</v>
      </c>
      <c r="F3431" t="s">
        <v>7</v>
      </c>
      <c r="G3431" t="s">
        <v>8</v>
      </c>
      <c r="H3431">
        <v>2000000</v>
      </c>
      <c r="I3431">
        <v>7</v>
      </c>
      <c r="J3431" t="s">
        <v>8900</v>
      </c>
    </row>
    <row r="3432" spans="1:10" x14ac:dyDescent="0.3">
      <c r="A3432">
        <v>98</v>
      </c>
      <c r="B3432">
        <v>1943649</v>
      </c>
      <c r="C3432" t="s">
        <v>1782</v>
      </c>
      <c r="D3432" t="s">
        <v>7673</v>
      </c>
      <c r="E3432" t="s">
        <v>7674</v>
      </c>
      <c r="F3432" t="s">
        <v>7</v>
      </c>
      <c r="G3432" t="s">
        <v>8</v>
      </c>
      <c r="H3432">
        <v>1700000</v>
      </c>
      <c r="I3432">
        <v>7.1</v>
      </c>
      <c r="J3432" t="s">
        <v>9793</v>
      </c>
    </row>
    <row r="3433" spans="1:10" x14ac:dyDescent="0.3">
      <c r="A3433">
        <v>86</v>
      </c>
      <c r="B3433">
        <v>992238</v>
      </c>
      <c r="C3433" t="s">
        <v>73</v>
      </c>
      <c r="D3433" t="s">
        <v>7675</v>
      </c>
      <c r="E3433" t="s">
        <v>7676</v>
      </c>
      <c r="F3433" t="s">
        <v>7</v>
      </c>
      <c r="G3433" t="s">
        <v>15</v>
      </c>
      <c r="H3433">
        <v>1700000</v>
      </c>
      <c r="I3433">
        <v>6.2</v>
      </c>
      <c r="J3433" t="s">
        <v>8894</v>
      </c>
    </row>
    <row r="3434" spans="1:10" x14ac:dyDescent="0.3">
      <c r="A3434">
        <v>104</v>
      </c>
      <c r="B3434">
        <v>4231500</v>
      </c>
      <c r="C3434" t="s">
        <v>73</v>
      </c>
      <c r="D3434" t="s">
        <v>7677</v>
      </c>
      <c r="E3434" t="s">
        <v>7678</v>
      </c>
      <c r="F3434" t="s">
        <v>2354</v>
      </c>
      <c r="G3434" t="s">
        <v>2355</v>
      </c>
      <c r="H3434">
        <v>1000000</v>
      </c>
      <c r="I3434">
        <v>6.9</v>
      </c>
      <c r="J3434" t="s">
        <v>9395</v>
      </c>
    </row>
    <row r="3435" spans="1:10" x14ac:dyDescent="0.3">
      <c r="A3435">
        <v>100</v>
      </c>
      <c r="B3435">
        <v>396035</v>
      </c>
      <c r="C3435" t="s">
        <v>73</v>
      </c>
      <c r="D3435" t="s">
        <v>7679</v>
      </c>
      <c r="E3435" t="s">
        <v>7680</v>
      </c>
      <c r="F3435" t="s">
        <v>7</v>
      </c>
      <c r="G3435" t="s">
        <v>15</v>
      </c>
      <c r="H3435">
        <v>1000000</v>
      </c>
      <c r="I3435">
        <v>7.6</v>
      </c>
      <c r="J3435" t="s">
        <v>9794</v>
      </c>
    </row>
    <row r="3436" spans="1:10" x14ac:dyDescent="0.3">
      <c r="A3436">
        <v>84</v>
      </c>
      <c r="B3436">
        <v>6026908</v>
      </c>
      <c r="C3436" t="s">
        <v>1040</v>
      </c>
      <c r="D3436" t="s">
        <v>7681</v>
      </c>
      <c r="E3436" t="s">
        <v>7682</v>
      </c>
      <c r="F3436" t="s">
        <v>7</v>
      </c>
      <c r="G3436" t="s">
        <v>8</v>
      </c>
      <c r="H3436">
        <v>2000000</v>
      </c>
      <c r="I3436">
        <v>7.6</v>
      </c>
      <c r="J3436" t="s">
        <v>8342</v>
      </c>
    </row>
    <row r="3437" spans="1:10" x14ac:dyDescent="0.3">
      <c r="A3437">
        <v>95</v>
      </c>
      <c r="B3437">
        <v>1060591</v>
      </c>
      <c r="C3437" t="s">
        <v>561</v>
      </c>
      <c r="D3437" t="s">
        <v>7683</v>
      </c>
      <c r="E3437" t="s">
        <v>7684</v>
      </c>
      <c r="F3437" t="s">
        <v>6443</v>
      </c>
      <c r="G3437" t="s">
        <v>583</v>
      </c>
      <c r="H3437">
        <v>1300000</v>
      </c>
      <c r="I3437">
        <v>6.4</v>
      </c>
      <c r="J3437" t="s">
        <v>9756</v>
      </c>
    </row>
    <row r="3438" spans="1:10" x14ac:dyDescent="0.3">
      <c r="A3438">
        <v>90</v>
      </c>
      <c r="B3438">
        <v>155972</v>
      </c>
      <c r="C3438" t="s">
        <v>561</v>
      </c>
      <c r="D3438" t="s">
        <v>7685</v>
      </c>
      <c r="E3438" t="s">
        <v>7686</v>
      </c>
      <c r="F3438" t="s">
        <v>4894</v>
      </c>
      <c r="G3438" t="s">
        <v>7604</v>
      </c>
      <c r="H3438">
        <v>1500000</v>
      </c>
      <c r="I3438">
        <v>6.2</v>
      </c>
      <c r="J3438" t="s">
        <v>9674</v>
      </c>
    </row>
    <row r="3439" spans="1:10" x14ac:dyDescent="0.3">
      <c r="A3439">
        <v>123</v>
      </c>
      <c r="B3439">
        <v>26893</v>
      </c>
      <c r="C3439" t="s">
        <v>2015</v>
      </c>
      <c r="D3439" t="s">
        <v>7687</v>
      </c>
      <c r="E3439" t="s">
        <v>7688</v>
      </c>
      <c r="F3439" t="s">
        <v>582</v>
      </c>
      <c r="G3439" t="s">
        <v>583</v>
      </c>
      <c r="H3439">
        <v>1600000</v>
      </c>
      <c r="I3439">
        <v>7.5</v>
      </c>
      <c r="J3439" t="s">
        <v>8413</v>
      </c>
    </row>
    <row r="3440" spans="1:10" x14ac:dyDescent="0.3">
      <c r="A3440">
        <v>111</v>
      </c>
      <c r="B3440">
        <v>2580</v>
      </c>
      <c r="C3440" t="s">
        <v>3413</v>
      </c>
      <c r="D3440" t="s">
        <v>7689</v>
      </c>
      <c r="E3440" t="s">
        <v>7690</v>
      </c>
      <c r="F3440" t="s">
        <v>7</v>
      </c>
      <c r="G3440" t="s">
        <v>8</v>
      </c>
      <c r="H3440">
        <v>1650000</v>
      </c>
      <c r="I3440">
        <v>2</v>
      </c>
      <c r="J3440" t="s">
        <v>9115</v>
      </c>
    </row>
    <row r="3441" spans="1:10" x14ac:dyDescent="0.3">
      <c r="A3441">
        <v>108</v>
      </c>
      <c r="B3441">
        <v>19067631</v>
      </c>
      <c r="C3441" t="s">
        <v>561</v>
      </c>
      <c r="D3441" t="s">
        <v>7691</v>
      </c>
      <c r="E3441" t="s">
        <v>7692</v>
      </c>
      <c r="F3441" t="s">
        <v>7</v>
      </c>
      <c r="G3441" t="s">
        <v>8</v>
      </c>
      <c r="H3441">
        <v>2000000</v>
      </c>
      <c r="I3441">
        <v>6.2</v>
      </c>
      <c r="J3441" t="s">
        <v>9795</v>
      </c>
    </row>
    <row r="3442" spans="1:10" x14ac:dyDescent="0.3">
      <c r="A3442">
        <v>91</v>
      </c>
      <c r="B3442">
        <v>7417210</v>
      </c>
      <c r="C3442" t="s">
        <v>1417</v>
      </c>
      <c r="D3442" t="s">
        <v>7693</v>
      </c>
      <c r="E3442" t="s">
        <v>7694</v>
      </c>
      <c r="F3442" t="s">
        <v>7</v>
      </c>
      <c r="G3442" t="s">
        <v>8</v>
      </c>
      <c r="H3442">
        <v>1500000</v>
      </c>
      <c r="I3442">
        <v>6.5</v>
      </c>
      <c r="J3442" t="s">
        <v>9796</v>
      </c>
    </row>
    <row r="3443" spans="1:10" x14ac:dyDescent="0.3">
      <c r="A3443">
        <v>97</v>
      </c>
      <c r="B3443">
        <v>7022940</v>
      </c>
      <c r="C3443" t="s">
        <v>561</v>
      </c>
      <c r="D3443" t="s">
        <v>7695</v>
      </c>
      <c r="E3443" t="s">
        <v>7696</v>
      </c>
      <c r="F3443" t="s">
        <v>7</v>
      </c>
      <c r="G3443" t="s">
        <v>8</v>
      </c>
      <c r="H3443">
        <v>1000000</v>
      </c>
      <c r="I3443">
        <v>7.9</v>
      </c>
      <c r="J3443" t="s">
        <v>9689</v>
      </c>
    </row>
    <row r="3444" spans="1:10" x14ac:dyDescent="0.3">
      <c r="A3444">
        <v>103</v>
      </c>
      <c r="B3444">
        <v>5132222</v>
      </c>
      <c r="C3444" t="s">
        <v>1594</v>
      </c>
      <c r="D3444" t="s">
        <v>7697</v>
      </c>
      <c r="E3444" t="s">
        <v>7698</v>
      </c>
      <c r="F3444" t="s">
        <v>7</v>
      </c>
      <c r="G3444" t="s">
        <v>95</v>
      </c>
      <c r="H3444">
        <v>2000000</v>
      </c>
      <c r="I3444">
        <v>6.8</v>
      </c>
      <c r="J3444" t="s">
        <v>8479</v>
      </c>
    </row>
    <row r="3445" spans="1:10" x14ac:dyDescent="0.3">
      <c r="A3445">
        <v>110</v>
      </c>
      <c r="B3445">
        <v>2365931</v>
      </c>
      <c r="C3445" t="s">
        <v>1292</v>
      </c>
      <c r="D3445" t="s">
        <v>7699</v>
      </c>
      <c r="E3445" t="s">
        <v>7700</v>
      </c>
      <c r="F3445" t="s">
        <v>7</v>
      </c>
      <c r="G3445" t="s">
        <v>8</v>
      </c>
      <c r="H3445">
        <v>1500000</v>
      </c>
      <c r="I3445">
        <v>6.3</v>
      </c>
      <c r="J3445" t="s">
        <v>9635</v>
      </c>
    </row>
    <row r="3446" spans="1:10" x14ac:dyDescent="0.3">
      <c r="A3446">
        <v>103</v>
      </c>
      <c r="B3446">
        <v>53991137</v>
      </c>
      <c r="C3446" t="s">
        <v>1101</v>
      </c>
      <c r="D3446" t="s">
        <v>7701</v>
      </c>
      <c r="E3446" t="s">
        <v>7702</v>
      </c>
      <c r="F3446" t="s">
        <v>7</v>
      </c>
      <c r="G3446" t="s">
        <v>8</v>
      </c>
      <c r="H3446">
        <v>1500000</v>
      </c>
      <c r="I3446">
        <v>6.3</v>
      </c>
      <c r="J3446" t="s">
        <v>9797</v>
      </c>
    </row>
    <row r="3447" spans="1:10" x14ac:dyDescent="0.3">
      <c r="A3447">
        <v>114</v>
      </c>
      <c r="B3447">
        <v>1221261</v>
      </c>
      <c r="C3447" t="s">
        <v>873</v>
      </c>
      <c r="D3447" t="s">
        <v>7703</v>
      </c>
      <c r="E3447" t="s">
        <v>7704</v>
      </c>
      <c r="F3447" t="s">
        <v>1146</v>
      </c>
      <c r="G3447" t="s">
        <v>7310</v>
      </c>
      <c r="H3447">
        <v>1500000</v>
      </c>
      <c r="I3447">
        <v>6.6</v>
      </c>
      <c r="J3447" t="s">
        <v>9511</v>
      </c>
    </row>
    <row r="3448" spans="1:10" x14ac:dyDescent="0.3">
      <c r="A3448">
        <v>112</v>
      </c>
      <c r="B3448">
        <v>712294</v>
      </c>
      <c r="C3448" t="s">
        <v>1417</v>
      </c>
      <c r="D3448" t="s">
        <v>7705</v>
      </c>
      <c r="E3448" t="s">
        <v>7706</v>
      </c>
      <c r="F3448" t="s">
        <v>7</v>
      </c>
      <c r="G3448" t="s">
        <v>8</v>
      </c>
      <c r="H3448">
        <v>1500000</v>
      </c>
      <c r="I3448">
        <v>6.4</v>
      </c>
      <c r="J3448" t="s">
        <v>9517</v>
      </c>
    </row>
    <row r="3449" spans="1:10" x14ac:dyDescent="0.3">
      <c r="A3449">
        <v>104</v>
      </c>
      <c r="B3449">
        <v>3447339</v>
      </c>
      <c r="C3449" t="s">
        <v>672</v>
      </c>
      <c r="D3449" t="s">
        <v>7707</v>
      </c>
      <c r="E3449" t="s">
        <v>7708</v>
      </c>
      <c r="F3449" t="s">
        <v>7</v>
      </c>
      <c r="G3449" t="s">
        <v>8</v>
      </c>
      <c r="H3449">
        <v>1500000</v>
      </c>
      <c r="I3449">
        <v>7.5</v>
      </c>
      <c r="J3449" t="s">
        <v>9798</v>
      </c>
    </row>
    <row r="3450" spans="1:10" x14ac:dyDescent="0.3">
      <c r="A3450">
        <v>99</v>
      </c>
      <c r="B3450">
        <v>418953</v>
      </c>
      <c r="C3450" t="s">
        <v>873</v>
      </c>
      <c r="D3450" t="s">
        <v>7709</v>
      </c>
      <c r="E3450" t="s">
        <v>7710</v>
      </c>
      <c r="F3450" t="s">
        <v>7</v>
      </c>
      <c r="G3450" t="s">
        <v>583</v>
      </c>
      <c r="H3450">
        <v>1500000</v>
      </c>
      <c r="I3450">
        <v>5.8</v>
      </c>
      <c r="J3450" t="s">
        <v>9799</v>
      </c>
    </row>
    <row r="3451" spans="1:10" x14ac:dyDescent="0.3">
      <c r="A3451">
        <v>98</v>
      </c>
      <c r="B3451">
        <v>406035</v>
      </c>
      <c r="C3451" t="s">
        <v>1417</v>
      </c>
      <c r="D3451" t="s">
        <v>7711</v>
      </c>
      <c r="E3451" t="s">
        <v>7712</v>
      </c>
      <c r="F3451" t="s">
        <v>7</v>
      </c>
      <c r="G3451" t="s">
        <v>8</v>
      </c>
      <c r="H3451">
        <v>1500000</v>
      </c>
      <c r="I3451">
        <v>6.5</v>
      </c>
      <c r="J3451" t="s">
        <v>9800</v>
      </c>
    </row>
    <row r="3452" spans="1:10" x14ac:dyDescent="0.3">
      <c r="A3452">
        <v>100</v>
      </c>
      <c r="B3452">
        <v>373967</v>
      </c>
      <c r="C3452" t="s">
        <v>2141</v>
      </c>
      <c r="D3452" t="s">
        <v>7713</v>
      </c>
      <c r="E3452" t="s">
        <v>7714</v>
      </c>
      <c r="F3452" t="s">
        <v>7</v>
      </c>
      <c r="G3452" t="s">
        <v>8</v>
      </c>
      <c r="H3452">
        <v>1500000</v>
      </c>
      <c r="I3452">
        <v>4.8</v>
      </c>
      <c r="J3452" t="s">
        <v>8717</v>
      </c>
    </row>
    <row r="3453" spans="1:10" x14ac:dyDescent="0.3">
      <c r="A3453">
        <v>80</v>
      </c>
      <c r="B3453">
        <v>194568</v>
      </c>
      <c r="C3453" t="s">
        <v>672</v>
      </c>
      <c r="D3453" t="s">
        <v>7715</v>
      </c>
      <c r="E3453" t="s">
        <v>7716</v>
      </c>
      <c r="F3453" t="s">
        <v>7</v>
      </c>
      <c r="G3453" t="s">
        <v>8</v>
      </c>
      <c r="H3453">
        <v>1500000</v>
      </c>
      <c r="I3453">
        <v>7.2</v>
      </c>
      <c r="J3453" t="s">
        <v>9779</v>
      </c>
    </row>
    <row r="3454" spans="1:10" x14ac:dyDescent="0.3">
      <c r="A3454">
        <v>87</v>
      </c>
      <c r="B3454">
        <v>163245</v>
      </c>
      <c r="C3454" t="s">
        <v>1641</v>
      </c>
      <c r="D3454" t="s">
        <v>7717</v>
      </c>
      <c r="E3454" t="s">
        <v>7718</v>
      </c>
      <c r="F3454" t="s">
        <v>7</v>
      </c>
      <c r="G3454" t="s">
        <v>8</v>
      </c>
      <c r="H3454">
        <v>1500000</v>
      </c>
      <c r="I3454">
        <v>6.3</v>
      </c>
      <c r="J3454" t="s">
        <v>9801</v>
      </c>
    </row>
    <row r="3455" spans="1:10" x14ac:dyDescent="0.3">
      <c r="A3455">
        <v>91</v>
      </c>
      <c r="B3455">
        <v>119841</v>
      </c>
      <c r="C3455" t="s">
        <v>1417</v>
      </c>
      <c r="D3455" t="s">
        <v>7719</v>
      </c>
      <c r="E3455" t="s">
        <v>7720</v>
      </c>
      <c r="F3455" t="s">
        <v>7</v>
      </c>
      <c r="G3455" t="s">
        <v>8</v>
      </c>
      <c r="H3455">
        <v>1500000</v>
      </c>
      <c r="I3455">
        <v>7</v>
      </c>
      <c r="J3455" t="s">
        <v>8876</v>
      </c>
    </row>
    <row r="3456" spans="1:10" x14ac:dyDescent="0.3">
      <c r="A3456">
        <v>84</v>
      </c>
      <c r="B3456">
        <v>173066</v>
      </c>
      <c r="C3456" t="s">
        <v>1149</v>
      </c>
      <c r="D3456" t="s">
        <v>7721</v>
      </c>
      <c r="E3456" t="s">
        <v>7722</v>
      </c>
      <c r="F3456" t="s">
        <v>7</v>
      </c>
      <c r="G3456" t="s">
        <v>8</v>
      </c>
      <c r="H3456">
        <v>1500000</v>
      </c>
      <c r="I3456">
        <v>6.3</v>
      </c>
      <c r="J3456" t="s">
        <v>8864</v>
      </c>
    </row>
    <row r="3457" spans="1:10" x14ac:dyDescent="0.3">
      <c r="A3457">
        <v>90</v>
      </c>
      <c r="B3457">
        <v>92362</v>
      </c>
      <c r="C3457" t="s">
        <v>1040</v>
      </c>
      <c r="D3457" t="s">
        <v>7723</v>
      </c>
      <c r="E3457" t="s">
        <v>7724</v>
      </c>
      <c r="F3457" t="s">
        <v>7</v>
      </c>
      <c r="G3457" t="s">
        <v>8</v>
      </c>
      <c r="H3457">
        <v>1500000</v>
      </c>
      <c r="I3457">
        <v>5.3</v>
      </c>
      <c r="J3457" t="s">
        <v>9802</v>
      </c>
    </row>
    <row r="3458" spans="1:10" x14ac:dyDescent="0.3">
      <c r="A3458">
        <v>98</v>
      </c>
      <c r="B3458">
        <v>105943</v>
      </c>
      <c r="C3458" t="s">
        <v>668</v>
      </c>
      <c r="D3458" t="s">
        <v>7725</v>
      </c>
      <c r="E3458" t="s">
        <v>7726</v>
      </c>
      <c r="F3458" t="s">
        <v>7</v>
      </c>
      <c r="G3458" t="s">
        <v>8</v>
      </c>
      <c r="H3458">
        <v>1500000</v>
      </c>
      <c r="I3458">
        <v>2.2999999999999998</v>
      </c>
      <c r="J3458" t="s">
        <v>9803</v>
      </c>
    </row>
    <row r="3459" spans="1:10" x14ac:dyDescent="0.3">
      <c r="A3459">
        <v>124</v>
      </c>
      <c r="B3459">
        <v>183490</v>
      </c>
      <c r="C3459" t="s">
        <v>1410</v>
      </c>
      <c r="D3459" t="s">
        <v>7727</v>
      </c>
      <c r="E3459" t="s">
        <v>7728</v>
      </c>
      <c r="F3459" t="s">
        <v>7</v>
      </c>
      <c r="G3459" t="s">
        <v>8</v>
      </c>
      <c r="H3459">
        <v>1700000</v>
      </c>
      <c r="I3459">
        <v>7.1</v>
      </c>
      <c r="J3459" t="s">
        <v>9804</v>
      </c>
    </row>
    <row r="3460" spans="1:10" x14ac:dyDescent="0.3">
      <c r="A3460">
        <v>95</v>
      </c>
      <c r="B3460">
        <v>3478</v>
      </c>
      <c r="C3460" t="s">
        <v>3143</v>
      </c>
      <c r="D3460" t="s">
        <v>7729</v>
      </c>
      <c r="E3460" t="s">
        <v>7730</v>
      </c>
      <c r="F3460" t="s">
        <v>7</v>
      </c>
      <c r="G3460" t="s">
        <v>95</v>
      </c>
      <c r="H3460">
        <v>1500000</v>
      </c>
      <c r="I3460">
        <v>6.2</v>
      </c>
      <c r="J3460" t="s">
        <v>8879</v>
      </c>
    </row>
    <row r="3461" spans="1:10" x14ac:dyDescent="0.3">
      <c r="A3461">
        <v>90</v>
      </c>
      <c r="B3461">
        <v>52166</v>
      </c>
      <c r="C3461" t="s">
        <v>1417</v>
      </c>
      <c r="D3461" t="s">
        <v>7731</v>
      </c>
      <c r="E3461" t="s">
        <v>7732</v>
      </c>
      <c r="F3461" t="s">
        <v>7</v>
      </c>
      <c r="G3461" t="s">
        <v>8</v>
      </c>
      <c r="H3461">
        <v>2000000</v>
      </c>
      <c r="I3461">
        <v>6.2</v>
      </c>
      <c r="J3461" t="s">
        <v>8818</v>
      </c>
    </row>
    <row r="3462" spans="1:10" x14ac:dyDescent="0.3">
      <c r="A3462">
        <v>101</v>
      </c>
      <c r="B3462">
        <v>1163508</v>
      </c>
      <c r="C3462" t="s">
        <v>340</v>
      </c>
      <c r="D3462" t="s">
        <v>7733</v>
      </c>
      <c r="E3462" t="s">
        <v>7734</v>
      </c>
      <c r="F3462" t="s">
        <v>7</v>
      </c>
      <c r="G3462" t="s">
        <v>8</v>
      </c>
      <c r="H3462">
        <v>2500000</v>
      </c>
      <c r="I3462">
        <v>6.7</v>
      </c>
      <c r="J3462" t="s">
        <v>9805</v>
      </c>
    </row>
    <row r="3463" spans="1:10" x14ac:dyDescent="0.3">
      <c r="A3463">
        <v>83</v>
      </c>
      <c r="B3463">
        <v>184925485</v>
      </c>
      <c r="C3463" t="s">
        <v>2533</v>
      </c>
      <c r="D3463" t="s">
        <v>7735</v>
      </c>
      <c r="E3463" t="s">
        <v>7736</v>
      </c>
      <c r="F3463" t="s">
        <v>7</v>
      </c>
      <c r="G3463" t="s">
        <v>8</v>
      </c>
      <c r="H3463">
        <v>2000000</v>
      </c>
      <c r="I3463">
        <v>6.5</v>
      </c>
      <c r="J3463" t="s">
        <v>9604</v>
      </c>
    </row>
    <row r="3464" spans="1:10" x14ac:dyDescent="0.3">
      <c r="A3464">
        <v>106</v>
      </c>
      <c r="B3464">
        <v>304124</v>
      </c>
      <c r="C3464" t="s">
        <v>1417</v>
      </c>
      <c r="D3464" t="s">
        <v>7737</v>
      </c>
      <c r="E3464" t="s">
        <v>7738</v>
      </c>
      <c r="F3464" t="s">
        <v>1146</v>
      </c>
      <c r="G3464" t="s">
        <v>7310</v>
      </c>
      <c r="H3464">
        <v>1400000</v>
      </c>
      <c r="I3464">
        <v>5.9</v>
      </c>
      <c r="J3464" t="s">
        <v>9806</v>
      </c>
    </row>
    <row r="3465" spans="1:10" x14ac:dyDescent="0.3">
      <c r="A3465">
        <v>94</v>
      </c>
      <c r="B3465">
        <v>36830</v>
      </c>
      <c r="C3465" t="s">
        <v>7739</v>
      </c>
      <c r="D3465" t="s">
        <v>7740</v>
      </c>
      <c r="E3465" t="s">
        <v>7741</v>
      </c>
      <c r="F3465" t="s">
        <v>7</v>
      </c>
      <c r="G3465" t="s">
        <v>15</v>
      </c>
      <c r="H3465">
        <v>1400000</v>
      </c>
      <c r="I3465">
        <v>6.7</v>
      </c>
      <c r="J3465" t="s">
        <v>9807</v>
      </c>
    </row>
    <row r="3466" spans="1:10" x14ac:dyDescent="0.3">
      <c r="A3466">
        <v>120</v>
      </c>
      <c r="B3466">
        <v>3650677</v>
      </c>
      <c r="C3466" t="s">
        <v>386</v>
      </c>
      <c r="D3466" t="s">
        <v>7742</v>
      </c>
      <c r="E3466" t="s">
        <v>7743</v>
      </c>
      <c r="F3466" t="s">
        <v>7</v>
      </c>
      <c r="G3466" t="s">
        <v>15</v>
      </c>
      <c r="H3466">
        <v>960000</v>
      </c>
      <c r="I3466">
        <v>6</v>
      </c>
      <c r="J3466" t="s">
        <v>9808</v>
      </c>
    </row>
    <row r="3467" spans="1:10" x14ac:dyDescent="0.3">
      <c r="A3467">
        <v>105</v>
      </c>
      <c r="B3467">
        <v>1647780</v>
      </c>
      <c r="C3467" t="s">
        <v>1417</v>
      </c>
      <c r="D3467" t="s">
        <v>7744</v>
      </c>
      <c r="E3467" t="s">
        <v>7745</v>
      </c>
      <c r="F3467" t="s">
        <v>6411</v>
      </c>
      <c r="G3467" t="s">
        <v>3266</v>
      </c>
      <c r="H3467">
        <v>1300000</v>
      </c>
      <c r="I3467">
        <v>6.9</v>
      </c>
      <c r="J3467" t="s">
        <v>9809</v>
      </c>
    </row>
    <row r="3468" spans="1:10" x14ac:dyDescent="0.3">
      <c r="A3468">
        <v>95</v>
      </c>
      <c r="B3468">
        <v>695229</v>
      </c>
      <c r="C3468" t="s">
        <v>1040</v>
      </c>
      <c r="D3468" t="s">
        <v>7746</v>
      </c>
      <c r="E3468" t="s">
        <v>7747</v>
      </c>
      <c r="F3468" t="s">
        <v>7</v>
      </c>
      <c r="G3468" t="s">
        <v>8</v>
      </c>
      <c r="H3468">
        <v>1300000</v>
      </c>
      <c r="I3468">
        <v>7.9</v>
      </c>
      <c r="J3468" t="s">
        <v>9744</v>
      </c>
    </row>
    <row r="3469" spans="1:10" x14ac:dyDescent="0.3">
      <c r="A3469">
        <v>135</v>
      </c>
      <c r="B3469">
        <v>638951</v>
      </c>
      <c r="C3469" t="s">
        <v>1417</v>
      </c>
      <c r="D3469" t="s">
        <v>7748</v>
      </c>
      <c r="E3469" t="s">
        <v>7749</v>
      </c>
      <c r="F3469" t="s">
        <v>7750</v>
      </c>
      <c r="G3469" t="s">
        <v>8</v>
      </c>
      <c r="H3469">
        <v>1592000</v>
      </c>
      <c r="I3469">
        <v>5.3</v>
      </c>
      <c r="J3469" t="s">
        <v>9810</v>
      </c>
    </row>
    <row r="3470" spans="1:10" x14ac:dyDescent="0.3">
      <c r="A3470">
        <v>105</v>
      </c>
      <c r="B3470">
        <v>609042</v>
      </c>
      <c r="C3470" t="s">
        <v>1417</v>
      </c>
      <c r="D3470" t="s">
        <v>7751</v>
      </c>
      <c r="E3470" t="s">
        <v>7752</v>
      </c>
      <c r="F3470" t="s">
        <v>7</v>
      </c>
      <c r="G3470" t="s">
        <v>8</v>
      </c>
      <c r="H3470">
        <v>1300000</v>
      </c>
      <c r="I3470">
        <v>4.8</v>
      </c>
      <c r="J3470" t="s">
        <v>8713</v>
      </c>
    </row>
    <row r="3471" spans="1:10" x14ac:dyDescent="0.3">
      <c r="A3471">
        <v>83</v>
      </c>
      <c r="B3471">
        <v>1521</v>
      </c>
      <c r="C3471" t="s">
        <v>3210</v>
      </c>
      <c r="D3471" t="s">
        <v>7753</v>
      </c>
      <c r="E3471" t="s">
        <v>7754</v>
      </c>
      <c r="F3471" t="s">
        <v>7</v>
      </c>
      <c r="G3471" t="s">
        <v>95</v>
      </c>
      <c r="H3471">
        <v>1500000</v>
      </c>
      <c r="I3471">
        <v>5.3</v>
      </c>
      <c r="J3471" t="s">
        <v>9811</v>
      </c>
    </row>
    <row r="3472" spans="1:10" x14ac:dyDescent="0.3">
      <c r="A3472">
        <v>87</v>
      </c>
      <c r="B3472">
        <v>19539</v>
      </c>
      <c r="C3472" t="s">
        <v>668</v>
      </c>
      <c r="D3472" t="s">
        <v>7755</v>
      </c>
      <c r="E3472" t="s">
        <v>7756</v>
      </c>
      <c r="F3472" t="s">
        <v>7</v>
      </c>
      <c r="G3472" t="s">
        <v>8</v>
      </c>
      <c r="H3472">
        <v>1000000</v>
      </c>
      <c r="I3472">
        <v>6</v>
      </c>
      <c r="J3472" t="s">
        <v>9812</v>
      </c>
    </row>
    <row r="3473" spans="1:10" x14ac:dyDescent="0.3">
      <c r="A3473">
        <v>97</v>
      </c>
      <c r="B3473">
        <v>100358</v>
      </c>
      <c r="C3473" t="s">
        <v>4741</v>
      </c>
      <c r="D3473" t="s">
        <v>7757</v>
      </c>
      <c r="E3473" t="s">
        <v>7758</v>
      </c>
      <c r="F3473" t="s">
        <v>7</v>
      </c>
      <c r="G3473" t="s">
        <v>2355</v>
      </c>
      <c r="H3473">
        <v>1500000</v>
      </c>
      <c r="I3473">
        <v>7.3</v>
      </c>
      <c r="J3473" t="s">
        <v>8619</v>
      </c>
    </row>
    <row r="3474" spans="1:10" x14ac:dyDescent="0.3">
      <c r="A3474">
        <v>87</v>
      </c>
      <c r="B3474">
        <v>19100000</v>
      </c>
      <c r="C3474" t="s">
        <v>1249</v>
      </c>
      <c r="D3474" t="s">
        <v>7759</v>
      </c>
      <c r="E3474" t="s">
        <v>7760</v>
      </c>
      <c r="F3474" t="s">
        <v>7</v>
      </c>
      <c r="G3474" t="s">
        <v>8</v>
      </c>
      <c r="H3474">
        <v>1250000</v>
      </c>
      <c r="I3474">
        <v>7.4</v>
      </c>
      <c r="J3474" t="s">
        <v>9813</v>
      </c>
    </row>
    <row r="3475" spans="1:10" x14ac:dyDescent="0.3">
      <c r="A3475">
        <v>80</v>
      </c>
      <c r="B3475">
        <v>2833383</v>
      </c>
      <c r="C3475" t="s">
        <v>2605</v>
      </c>
      <c r="D3475" t="s">
        <v>7761</v>
      </c>
      <c r="E3475" t="s">
        <v>7762</v>
      </c>
      <c r="F3475" t="s">
        <v>7</v>
      </c>
      <c r="G3475" t="s">
        <v>8</v>
      </c>
      <c r="H3475">
        <v>427000</v>
      </c>
      <c r="I3475">
        <v>7.7</v>
      </c>
      <c r="J3475" t="s">
        <v>9069</v>
      </c>
    </row>
    <row r="3476" spans="1:10" x14ac:dyDescent="0.3">
      <c r="A3476">
        <v>100</v>
      </c>
      <c r="B3476">
        <v>24741700</v>
      </c>
      <c r="C3476" t="s">
        <v>1417</v>
      </c>
      <c r="D3476" t="s">
        <v>7763</v>
      </c>
      <c r="E3476" t="s">
        <v>7764</v>
      </c>
      <c r="F3476" t="s">
        <v>7</v>
      </c>
      <c r="G3476" t="s">
        <v>8</v>
      </c>
      <c r="H3476">
        <v>1200000</v>
      </c>
      <c r="I3476">
        <v>4.8</v>
      </c>
      <c r="J3476" t="s">
        <v>8646</v>
      </c>
    </row>
    <row r="3477" spans="1:10" x14ac:dyDescent="0.3">
      <c r="A3477">
        <v>103</v>
      </c>
      <c r="B3477">
        <v>55153403</v>
      </c>
      <c r="C3477" t="s">
        <v>1249</v>
      </c>
      <c r="D3477" t="s">
        <v>7765</v>
      </c>
      <c r="E3477" t="s">
        <v>7766</v>
      </c>
      <c r="F3477" t="s">
        <v>7</v>
      </c>
      <c r="G3477" t="s">
        <v>8</v>
      </c>
      <c r="H3477">
        <v>1200000</v>
      </c>
      <c r="I3477">
        <v>7.2</v>
      </c>
      <c r="J3477" t="s">
        <v>9814</v>
      </c>
    </row>
    <row r="3478" spans="1:10" x14ac:dyDescent="0.3">
      <c r="A3478">
        <v>100</v>
      </c>
      <c r="B3478">
        <v>18488314</v>
      </c>
      <c r="C3478" t="s">
        <v>5206</v>
      </c>
      <c r="D3478" t="s">
        <v>7767</v>
      </c>
      <c r="E3478" t="s">
        <v>7768</v>
      </c>
      <c r="F3478" t="s">
        <v>7</v>
      </c>
      <c r="G3478" t="s">
        <v>8</v>
      </c>
      <c r="H3478">
        <v>1200000</v>
      </c>
      <c r="I3478">
        <v>5.8</v>
      </c>
      <c r="J3478" t="s">
        <v>9815</v>
      </c>
    </row>
    <row r="3479" spans="1:10" x14ac:dyDescent="0.3">
      <c r="A3479">
        <v>89</v>
      </c>
      <c r="B3479">
        <v>11278</v>
      </c>
      <c r="C3479" t="s">
        <v>1040</v>
      </c>
      <c r="D3479" t="s">
        <v>7769</v>
      </c>
      <c r="E3479" t="s">
        <v>7770</v>
      </c>
      <c r="F3479" t="s">
        <v>1146</v>
      </c>
      <c r="G3479" t="s">
        <v>1193</v>
      </c>
      <c r="H3479">
        <v>1300000</v>
      </c>
      <c r="I3479">
        <v>7.3</v>
      </c>
      <c r="J3479" t="s">
        <v>9816</v>
      </c>
    </row>
    <row r="3480" spans="1:10" x14ac:dyDescent="0.3">
      <c r="A3480">
        <v>114</v>
      </c>
      <c r="B3480">
        <v>13876974</v>
      </c>
      <c r="C3480" t="s">
        <v>561</v>
      </c>
      <c r="D3480" t="s">
        <v>7771</v>
      </c>
      <c r="E3480" t="s">
        <v>7772</v>
      </c>
      <c r="F3480" t="s">
        <v>2354</v>
      </c>
      <c r="G3480" t="s">
        <v>2355</v>
      </c>
      <c r="H3480">
        <v>7000000</v>
      </c>
      <c r="I3480">
        <v>7</v>
      </c>
      <c r="J3480" t="s">
        <v>9817</v>
      </c>
    </row>
    <row r="3481" spans="1:10" x14ac:dyDescent="0.3">
      <c r="A3481">
        <v>111</v>
      </c>
      <c r="B3481">
        <v>9180275</v>
      </c>
      <c r="C3481" t="s">
        <v>1417</v>
      </c>
      <c r="D3481" t="s">
        <v>7773</v>
      </c>
      <c r="E3481" t="s">
        <v>7774</v>
      </c>
      <c r="F3481" t="s">
        <v>7</v>
      </c>
      <c r="G3481" t="s">
        <v>8</v>
      </c>
      <c r="H3481">
        <v>1200000</v>
      </c>
      <c r="I3481">
        <v>6.4</v>
      </c>
      <c r="J3481" t="s">
        <v>9818</v>
      </c>
    </row>
    <row r="3482" spans="1:10" x14ac:dyDescent="0.3">
      <c r="A3482">
        <v>85</v>
      </c>
      <c r="B3482">
        <v>2199853</v>
      </c>
      <c r="C3482" t="s">
        <v>1040</v>
      </c>
      <c r="D3482" t="s">
        <v>7775</v>
      </c>
      <c r="E3482" t="s">
        <v>7776</v>
      </c>
      <c r="F3482" t="s">
        <v>7</v>
      </c>
      <c r="G3482" t="s">
        <v>8</v>
      </c>
      <c r="H3482">
        <v>1200000</v>
      </c>
      <c r="I3482">
        <v>5.6</v>
      </c>
      <c r="J3482" t="s">
        <v>9819</v>
      </c>
    </row>
    <row r="3483" spans="1:10" x14ac:dyDescent="0.3">
      <c r="A3483">
        <v>113</v>
      </c>
      <c r="B3483">
        <v>2859955</v>
      </c>
      <c r="C3483" t="s">
        <v>1578</v>
      </c>
      <c r="D3483" t="s">
        <v>7777</v>
      </c>
      <c r="E3483" t="s">
        <v>7778</v>
      </c>
      <c r="F3483" t="s">
        <v>7</v>
      </c>
      <c r="G3483" t="s">
        <v>8</v>
      </c>
      <c r="H3483">
        <v>1200000</v>
      </c>
      <c r="I3483">
        <v>8.1999999999999993</v>
      </c>
      <c r="J3483" t="s">
        <v>8789</v>
      </c>
    </row>
    <row r="3484" spans="1:10" x14ac:dyDescent="0.3">
      <c r="A3484">
        <v>99</v>
      </c>
      <c r="B3484">
        <v>2812029</v>
      </c>
      <c r="C3484" t="s">
        <v>873</v>
      </c>
      <c r="D3484" t="s">
        <v>7779</v>
      </c>
      <c r="E3484" t="s">
        <v>7780</v>
      </c>
      <c r="F3484" t="s">
        <v>7</v>
      </c>
      <c r="G3484" t="s">
        <v>8</v>
      </c>
      <c r="H3484">
        <v>1200000</v>
      </c>
      <c r="I3484">
        <v>6.5</v>
      </c>
      <c r="J3484" t="s">
        <v>8696</v>
      </c>
    </row>
    <row r="3485" spans="1:10" x14ac:dyDescent="0.3">
      <c r="A3485">
        <v>142</v>
      </c>
      <c r="B3485">
        <v>6100000</v>
      </c>
      <c r="C3485" t="s">
        <v>6171</v>
      </c>
      <c r="D3485" t="s">
        <v>7781</v>
      </c>
      <c r="E3485" t="s">
        <v>7782</v>
      </c>
      <c r="F3485" t="s">
        <v>4134</v>
      </c>
      <c r="G3485" t="s">
        <v>2993</v>
      </c>
      <c r="H3485">
        <v>1200000</v>
      </c>
      <c r="I3485">
        <v>6.4</v>
      </c>
      <c r="J3485" t="s">
        <v>9820</v>
      </c>
    </row>
    <row r="3486" spans="1:10" x14ac:dyDescent="0.3">
      <c r="A3486">
        <v>112</v>
      </c>
      <c r="B3486">
        <v>375723</v>
      </c>
      <c r="C3486" t="s">
        <v>1040</v>
      </c>
      <c r="D3486" t="s">
        <v>7783</v>
      </c>
      <c r="E3486" t="s">
        <v>7784</v>
      </c>
      <c r="F3486" t="s">
        <v>5982</v>
      </c>
      <c r="G3486" t="s">
        <v>6732</v>
      </c>
      <c r="H3486">
        <v>4000000</v>
      </c>
      <c r="I3486">
        <v>8.1</v>
      </c>
      <c r="J3486" t="s">
        <v>8432</v>
      </c>
    </row>
    <row r="3487" spans="1:10" x14ac:dyDescent="0.3">
      <c r="A3487">
        <v>108</v>
      </c>
      <c r="B3487">
        <v>594904</v>
      </c>
      <c r="C3487" t="s">
        <v>1040</v>
      </c>
      <c r="D3487" t="s">
        <v>7785</v>
      </c>
      <c r="E3487" t="s">
        <v>7786</v>
      </c>
      <c r="F3487" t="s">
        <v>7</v>
      </c>
      <c r="G3487" t="s">
        <v>8</v>
      </c>
      <c r="H3487">
        <v>1200000</v>
      </c>
      <c r="I3487">
        <v>5.4</v>
      </c>
      <c r="J3487" t="s">
        <v>9000</v>
      </c>
    </row>
    <row r="3488" spans="1:10" x14ac:dyDescent="0.3">
      <c r="A3488">
        <v>88</v>
      </c>
      <c r="B3488">
        <v>58936</v>
      </c>
      <c r="C3488" t="s">
        <v>2708</v>
      </c>
      <c r="D3488" t="s">
        <v>7787</v>
      </c>
      <c r="E3488" t="s">
        <v>7788</v>
      </c>
      <c r="F3488" t="s">
        <v>7</v>
      </c>
      <c r="G3488" t="s">
        <v>8</v>
      </c>
      <c r="H3488">
        <v>1200000</v>
      </c>
      <c r="I3488">
        <v>6.3</v>
      </c>
      <c r="J3488" t="s">
        <v>9821</v>
      </c>
    </row>
    <row r="3489" spans="1:10" x14ac:dyDescent="0.3">
      <c r="A3489">
        <v>97</v>
      </c>
      <c r="B3489">
        <v>24784</v>
      </c>
      <c r="C3489" t="s">
        <v>19</v>
      </c>
      <c r="D3489" t="s">
        <v>7789</v>
      </c>
      <c r="E3489" t="s">
        <v>7790</v>
      </c>
      <c r="F3489" t="s">
        <v>7</v>
      </c>
      <c r="G3489" t="s">
        <v>95</v>
      </c>
      <c r="H3489">
        <v>1200000</v>
      </c>
      <c r="I3489">
        <v>7.8</v>
      </c>
      <c r="J3489" t="s">
        <v>8558</v>
      </c>
    </row>
    <row r="3490" spans="1:10" x14ac:dyDescent="0.3">
      <c r="A3490">
        <v>85</v>
      </c>
      <c r="B3490">
        <v>7826</v>
      </c>
      <c r="C3490" t="s">
        <v>6948</v>
      </c>
      <c r="D3490" t="s">
        <v>7791</v>
      </c>
      <c r="E3490" t="s">
        <v>7792</v>
      </c>
      <c r="F3490" t="s">
        <v>7</v>
      </c>
      <c r="G3490" t="s">
        <v>8</v>
      </c>
      <c r="H3490">
        <v>1200000</v>
      </c>
      <c r="I3490">
        <v>6.8</v>
      </c>
      <c r="J3490" t="s">
        <v>9822</v>
      </c>
    </row>
    <row r="3491" spans="1:10" x14ac:dyDescent="0.3">
      <c r="A3491">
        <v>110</v>
      </c>
      <c r="B3491">
        <v>3830</v>
      </c>
      <c r="C3491" t="s">
        <v>1040</v>
      </c>
      <c r="D3491" t="s">
        <v>7793</v>
      </c>
      <c r="E3491" t="s">
        <v>7794</v>
      </c>
      <c r="F3491" t="s">
        <v>1146</v>
      </c>
      <c r="G3491" t="s">
        <v>8</v>
      </c>
      <c r="H3491">
        <v>1200000</v>
      </c>
      <c r="I3491">
        <v>7.2</v>
      </c>
      <c r="J3491" t="s">
        <v>9823</v>
      </c>
    </row>
    <row r="3492" spans="1:10" x14ac:dyDescent="0.3">
      <c r="A3492">
        <v>91</v>
      </c>
      <c r="B3492">
        <v>2850263</v>
      </c>
      <c r="C3492" t="s">
        <v>7795</v>
      </c>
      <c r="D3492" t="s">
        <v>7796</v>
      </c>
      <c r="E3492" t="s">
        <v>7797</v>
      </c>
      <c r="F3492" t="s">
        <v>7</v>
      </c>
      <c r="G3492" t="s">
        <v>8</v>
      </c>
      <c r="H3492">
        <v>2600000</v>
      </c>
      <c r="I3492">
        <v>7.1</v>
      </c>
      <c r="J3492" t="s">
        <v>8502</v>
      </c>
    </row>
    <row r="3493" spans="1:10" x14ac:dyDescent="0.3">
      <c r="A3493">
        <v>94</v>
      </c>
      <c r="B3493">
        <v>16101109</v>
      </c>
      <c r="C3493" t="s">
        <v>668</v>
      </c>
      <c r="D3493" t="s">
        <v>7798</v>
      </c>
      <c r="E3493" t="s">
        <v>7799</v>
      </c>
      <c r="F3493" t="s">
        <v>7</v>
      </c>
      <c r="G3493" t="s">
        <v>8</v>
      </c>
      <c r="H3493">
        <v>3000000</v>
      </c>
      <c r="I3493">
        <v>6.2</v>
      </c>
      <c r="J3493" t="s">
        <v>8348</v>
      </c>
    </row>
    <row r="3494" spans="1:10" x14ac:dyDescent="0.3">
      <c r="A3494">
        <v>90</v>
      </c>
      <c r="B3494">
        <v>6013</v>
      </c>
      <c r="C3494" t="s">
        <v>873</v>
      </c>
      <c r="D3494" t="s">
        <v>7800</v>
      </c>
      <c r="E3494" t="s">
        <v>7801</v>
      </c>
      <c r="F3494" t="s">
        <v>7</v>
      </c>
      <c r="G3494" t="s">
        <v>15</v>
      </c>
      <c r="H3494">
        <v>695393</v>
      </c>
      <c r="I3494">
        <v>7.3</v>
      </c>
      <c r="J3494" t="s">
        <v>8346</v>
      </c>
    </row>
    <row r="3495" spans="1:10" x14ac:dyDescent="0.3">
      <c r="A3495">
        <v>92</v>
      </c>
      <c r="B3495">
        <v>1400000</v>
      </c>
      <c r="C3495" t="s">
        <v>7500</v>
      </c>
      <c r="D3495" t="s">
        <v>7802</v>
      </c>
      <c r="E3495" t="s">
        <v>7803</v>
      </c>
      <c r="F3495" t="s">
        <v>7</v>
      </c>
      <c r="G3495" t="s">
        <v>8</v>
      </c>
      <c r="H3495">
        <v>1100000</v>
      </c>
      <c r="I3495">
        <v>5.9</v>
      </c>
      <c r="J3495" t="s">
        <v>9745</v>
      </c>
    </row>
    <row r="3496" spans="1:10" x14ac:dyDescent="0.3">
      <c r="A3496">
        <v>73</v>
      </c>
      <c r="B3496">
        <v>39659</v>
      </c>
      <c r="C3496" t="s">
        <v>7804</v>
      </c>
      <c r="D3496" t="s">
        <v>7805</v>
      </c>
      <c r="E3496" t="s">
        <v>7806</v>
      </c>
      <c r="F3496" t="s">
        <v>7</v>
      </c>
      <c r="G3496" t="s">
        <v>95</v>
      </c>
      <c r="H3496">
        <v>1600000</v>
      </c>
      <c r="I3496">
        <v>7.2</v>
      </c>
      <c r="J3496" t="s">
        <v>8911</v>
      </c>
    </row>
    <row r="3497" spans="1:10" x14ac:dyDescent="0.3">
      <c r="A3497">
        <v>110</v>
      </c>
      <c r="B3497">
        <v>56129</v>
      </c>
      <c r="C3497" t="s">
        <v>1215</v>
      </c>
      <c r="D3497" t="s">
        <v>7807</v>
      </c>
      <c r="E3497" t="s">
        <v>7808</v>
      </c>
      <c r="F3497" t="s">
        <v>7</v>
      </c>
      <c r="G3497" t="s">
        <v>95</v>
      </c>
      <c r="H3497">
        <v>1100000</v>
      </c>
      <c r="I3497">
        <v>3.6</v>
      </c>
      <c r="J3497" t="s">
        <v>9824</v>
      </c>
    </row>
    <row r="3498" spans="1:10" x14ac:dyDescent="0.3">
      <c r="A3498">
        <v>102</v>
      </c>
      <c r="B3498">
        <v>4105123</v>
      </c>
      <c r="C3498" t="s">
        <v>118</v>
      </c>
      <c r="D3498" t="s">
        <v>7809</v>
      </c>
      <c r="E3498" t="s">
        <v>7810</v>
      </c>
      <c r="F3498" t="s">
        <v>7811</v>
      </c>
      <c r="G3498" t="s">
        <v>7812</v>
      </c>
      <c r="H3498">
        <v>1100000</v>
      </c>
      <c r="I3498">
        <v>7.7</v>
      </c>
      <c r="J3498" t="s">
        <v>9825</v>
      </c>
    </row>
    <row r="3499" spans="1:10" x14ac:dyDescent="0.3">
      <c r="A3499">
        <v>145</v>
      </c>
      <c r="B3499">
        <v>117235247</v>
      </c>
      <c r="C3499" t="s">
        <v>1578</v>
      </c>
      <c r="D3499" t="s">
        <v>7813</v>
      </c>
      <c r="E3499" t="s">
        <v>7814</v>
      </c>
      <c r="F3499" t="s">
        <v>7</v>
      </c>
      <c r="G3499" t="s">
        <v>8</v>
      </c>
      <c r="H3499">
        <v>960000</v>
      </c>
      <c r="I3499">
        <v>7.3</v>
      </c>
      <c r="J3499" t="s">
        <v>9194</v>
      </c>
    </row>
    <row r="3500" spans="1:10" x14ac:dyDescent="0.3">
      <c r="A3500">
        <v>83</v>
      </c>
      <c r="B3500">
        <v>31537320</v>
      </c>
      <c r="C3500" t="s">
        <v>1249</v>
      </c>
      <c r="D3500" t="s">
        <v>7815</v>
      </c>
      <c r="E3500" t="s">
        <v>7816</v>
      </c>
      <c r="F3500" t="s">
        <v>7</v>
      </c>
      <c r="G3500" t="s">
        <v>8</v>
      </c>
      <c r="H3500">
        <v>1000000</v>
      </c>
      <c r="I3500">
        <v>7.4</v>
      </c>
      <c r="J3500" t="s">
        <v>8363</v>
      </c>
    </row>
    <row r="3501" spans="1:10" x14ac:dyDescent="0.3">
      <c r="A3501">
        <v>91</v>
      </c>
      <c r="B3501">
        <v>17986000</v>
      </c>
      <c r="C3501" t="s">
        <v>2701</v>
      </c>
      <c r="D3501" t="s">
        <v>7817</v>
      </c>
      <c r="E3501" t="s">
        <v>7818</v>
      </c>
      <c r="F3501" t="s">
        <v>7</v>
      </c>
      <c r="G3501" t="s">
        <v>8</v>
      </c>
      <c r="H3501">
        <v>1000000</v>
      </c>
      <c r="I3501">
        <v>6.6</v>
      </c>
      <c r="J3501" t="s">
        <v>9826</v>
      </c>
    </row>
    <row r="3502" spans="1:10" x14ac:dyDescent="0.3">
      <c r="A3502">
        <v>110</v>
      </c>
      <c r="B3502">
        <v>16067035</v>
      </c>
      <c r="C3502" t="s">
        <v>12</v>
      </c>
      <c r="D3502" t="s">
        <v>7819</v>
      </c>
      <c r="E3502" t="s">
        <v>7820</v>
      </c>
      <c r="F3502" t="s">
        <v>7</v>
      </c>
      <c r="G3502" t="s">
        <v>15</v>
      </c>
      <c r="H3502">
        <v>1100000</v>
      </c>
      <c r="I3502">
        <v>6.9</v>
      </c>
      <c r="J3502" t="s">
        <v>9827</v>
      </c>
    </row>
    <row r="3503" spans="1:10" x14ac:dyDescent="0.3">
      <c r="A3503">
        <v>86</v>
      </c>
      <c r="B3503">
        <v>18112929</v>
      </c>
      <c r="C3503" t="s">
        <v>1787</v>
      </c>
      <c r="D3503" t="s">
        <v>7821</v>
      </c>
      <c r="E3503" t="s">
        <v>7822</v>
      </c>
      <c r="F3503" t="s">
        <v>7</v>
      </c>
      <c r="G3503" t="s">
        <v>8</v>
      </c>
      <c r="H3503">
        <v>1000000</v>
      </c>
      <c r="I3503">
        <v>6.8</v>
      </c>
      <c r="J3503" t="s">
        <v>9399</v>
      </c>
    </row>
    <row r="3504" spans="1:10" x14ac:dyDescent="0.3">
      <c r="A3504">
        <v>86</v>
      </c>
      <c r="B3504">
        <v>14564027</v>
      </c>
      <c r="C3504" t="s">
        <v>3143</v>
      </c>
      <c r="D3504" t="s">
        <v>7823</v>
      </c>
      <c r="E3504" t="s">
        <v>7824</v>
      </c>
      <c r="F3504" t="s">
        <v>7</v>
      </c>
      <c r="G3504" t="s">
        <v>15</v>
      </c>
      <c r="H3504">
        <v>1000000</v>
      </c>
      <c r="I3504">
        <v>7.3</v>
      </c>
      <c r="J3504" t="s">
        <v>9828</v>
      </c>
    </row>
    <row r="3505" spans="1:10" x14ac:dyDescent="0.3">
      <c r="A3505">
        <v>120</v>
      </c>
      <c r="B3505">
        <v>20773070</v>
      </c>
      <c r="C3505" t="s">
        <v>1417</v>
      </c>
      <c r="D3505" t="s">
        <v>7825</v>
      </c>
      <c r="E3505" t="s">
        <v>7826</v>
      </c>
      <c r="F3505" t="s">
        <v>7</v>
      </c>
      <c r="G3505" t="s">
        <v>8</v>
      </c>
      <c r="H3505">
        <v>5000000</v>
      </c>
      <c r="I3505">
        <v>7.2</v>
      </c>
      <c r="J3505" t="s">
        <v>9829</v>
      </c>
    </row>
    <row r="3506" spans="1:10" x14ac:dyDescent="0.3">
      <c r="A3506">
        <v>90</v>
      </c>
      <c r="B3506">
        <v>10042266</v>
      </c>
      <c r="C3506" t="s">
        <v>2578</v>
      </c>
      <c r="D3506" t="s">
        <v>7827</v>
      </c>
      <c r="E3506" t="s">
        <v>7828</v>
      </c>
      <c r="F3506" t="s">
        <v>7</v>
      </c>
      <c r="G3506" t="s">
        <v>8</v>
      </c>
      <c r="H3506">
        <v>1000000</v>
      </c>
      <c r="I3506">
        <v>6.5</v>
      </c>
      <c r="J3506" t="s">
        <v>9830</v>
      </c>
    </row>
    <row r="3507" spans="1:10" x14ac:dyDescent="0.3">
      <c r="A3507">
        <v>99</v>
      </c>
      <c r="B3507">
        <v>10037390</v>
      </c>
      <c r="C3507" t="s">
        <v>2373</v>
      </c>
      <c r="D3507" t="s">
        <v>7829</v>
      </c>
      <c r="E3507" t="s">
        <v>7830</v>
      </c>
      <c r="F3507" t="s">
        <v>247</v>
      </c>
      <c r="G3507" t="s">
        <v>248</v>
      </c>
      <c r="H3507">
        <v>1000000000</v>
      </c>
      <c r="I3507">
        <v>7.7</v>
      </c>
      <c r="J3507" t="s">
        <v>9206</v>
      </c>
    </row>
    <row r="3508" spans="1:10" x14ac:dyDescent="0.3">
      <c r="A3508">
        <v>112</v>
      </c>
      <c r="B3508">
        <v>9701559</v>
      </c>
      <c r="C3508" t="s">
        <v>73</v>
      </c>
      <c r="D3508" t="s">
        <v>7831</v>
      </c>
      <c r="E3508" t="s">
        <v>7832</v>
      </c>
      <c r="F3508" t="s">
        <v>7</v>
      </c>
      <c r="G3508" t="s">
        <v>8</v>
      </c>
      <c r="H3508">
        <v>3500000</v>
      </c>
      <c r="I3508">
        <v>8.1</v>
      </c>
      <c r="J3508" t="s">
        <v>8294</v>
      </c>
    </row>
    <row r="3509" spans="1:10" x14ac:dyDescent="0.3">
      <c r="A3509">
        <v>103</v>
      </c>
      <c r="B3509">
        <v>9013113</v>
      </c>
      <c r="C3509" t="s">
        <v>2254</v>
      </c>
      <c r="D3509" t="s">
        <v>7833</v>
      </c>
      <c r="E3509" t="s">
        <v>7834</v>
      </c>
      <c r="F3509" t="s">
        <v>7</v>
      </c>
      <c r="G3509" t="s">
        <v>8</v>
      </c>
      <c r="H3509">
        <v>1000000</v>
      </c>
      <c r="I3509">
        <v>7.7</v>
      </c>
      <c r="J3509" t="s">
        <v>9831</v>
      </c>
    </row>
    <row r="3510" spans="1:10" x14ac:dyDescent="0.3">
      <c r="A3510">
        <v>83</v>
      </c>
      <c r="B3510">
        <v>53245055</v>
      </c>
      <c r="C3510" t="s">
        <v>2701</v>
      </c>
      <c r="D3510" t="s">
        <v>7835</v>
      </c>
      <c r="E3510" t="s">
        <v>7836</v>
      </c>
      <c r="F3510" t="s">
        <v>7</v>
      </c>
      <c r="G3510" t="s">
        <v>8</v>
      </c>
      <c r="H3510">
        <v>1000000</v>
      </c>
      <c r="I3510">
        <v>7.6</v>
      </c>
      <c r="J3510" t="s">
        <v>8616</v>
      </c>
    </row>
    <row r="3511" spans="1:10" x14ac:dyDescent="0.3">
      <c r="A3511">
        <v>109</v>
      </c>
      <c r="B3511">
        <v>9000000</v>
      </c>
      <c r="C3511" t="s">
        <v>2312</v>
      </c>
      <c r="D3511" t="s">
        <v>7837</v>
      </c>
      <c r="E3511" t="s">
        <v>7838</v>
      </c>
      <c r="F3511" t="s">
        <v>7</v>
      </c>
      <c r="G3511" t="s">
        <v>8</v>
      </c>
      <c r="H3511">
        <v>900000</v>
      </c>
      <c r="I3511">
        <v>7.3</v>
      </c>
      <c r="J3511" t="s">
        <v>9832</v>
      </c>
    </row>
    <row r="3512" spans="1:10" x14ac:dyDescent="0.3">
      <c r="A3512">
        <v>95</v>
      </c>
      <c r="B3512">
        <v>5997134</v>
      </c>
      <c r="C3512" t="s">
        <v>2101</v>
      </c>
      <c r="D3512" t="s">
        <v>7839</v>
      </c>
      <c r="E3512" t="s">
        <v>7840</v>
      </c>
      <c r="F3512" t="s">
        <v>7</v>
      </c>
      <c r="G3512" t="s">
        <v>8</v>
      </c>
      <c r="H3512">
        <v>1000000</v>
      </c>
      <c r="I3512">
        <v>7.2</v>
      </c>
      <c r="J3512" t="s">
        <v>8902</v>
      </c>
    </row>
    <row r="3513" spans="1:10" x14ac:dyDescent="0.3">
      <c r="A3513">
        <v>104</v>
      </c>
      <c r="B3513">
        <v>3386698</v>
      </c>
      <c r="C3513" t="s">
        <v>561</v>
      </c>
      <c r="D3513" t="s">
        <v>7841</v>
      </c>
      <c r="E3513" t="s">
        <v>7842</v>
      </c>
      <c r="F3513" t="s">
        <v>7</v>
      </c>
      <c r="G3513" t="s">
        <v>8</v>
      </c>
      <c r="H3513">
        <v>1000000</v>
      </c>
      <c r="I3513">
        <v>7.2</v>
      </c>
      <c r="J3513" t="s">
        <v>9463</v>
      </c>
    </row>
    <row r="3514" spans="1:10" x14ac:dyDescent="0.3">
      <c r="A3514">
        <v>97</v>
      </c>
      <c r="B3514">
        <v>2508841</v>
      </c>
      <c r="C3514" t="s">
        <v>786</v>
      </c>
      <c r="D3514" t="s">
        <v>7843</v>
      </c>
      <c r="E3514" t="s">
        <v>7844</v>
      </c>
      <c r="F3514" t="s">
        <v>7</v>
      </c>
      <c r="G3514" t="s">
        <v>8</v>
      </c>
      <c r="H3514">
        <v>1000000</v>
      </c>
      <c r="I3514">
        <v>8.1</v>
      </c>
      <c r="J3514" t="s">
        <v>8372</v>
      </c>
    </row>
    <row r="3515" spans="1:10" x14ac:dyDescent="0.3">
      <c r="A3515">
        <v>91</v>
      </c>
      <c r="B3515">
        <v>4946250</v>
      </c>
      <c r="C3515" t="s">
        <v>1701</v>
      </c>
      <c r="D3515" t="s">
        <v>7845</v>
      </c>
      <c r="E3515" t="s">
        <v>7846</v>
      </c>
      <c r="F3515" t="s">
        <v>7</v>
      </c>
      <c r="G3515" t="s">
        <v>8</v>
      </c>
      <c r="H3515">
        <v>1000000</v>
      </c>
      <c r="I3515">
        <v>7.5</v>
      </c>
      <c r="J3515" t="s">
        <v>9235</v>
      </c>
    </row>
    <row r="3516" spans="1:10" x14ac:dyDescent="0.3">
      <c r="A3516">
        <v>84</v>
      </c>
      <c r="B3516">
        <v>1950218</v>
      </c>
      <c r="C3516" t="s">
        <v>1040</v>
      </c>
      <c r="D3516" t="s">
        <v>7847</v>
      </c>
      <c r="E3516" t="s">
        <v>7848</v>
      </c>
      <c r="F3516" t="s">
        <v>7</v>
      </c>
      <c r="G3516" t="s">
        <v>8</v>
      </c>
      <c r="H3516">
        <v>1000000</v>
      </c>
      <c r="I3516">
        <v>8.1</v>
      </c>
      <c r="J3516" t="s">
        <v>9833</v>
      </c>
    </row>
    <row r="3517" spans="1:10" x14ac:dyDescent="0.3">
      <c r="A3517">
        <v>86</v>
      </c>
      <c r="B3517">
        <v>1277257</v>
      </c>
      <c r="C3517" t="s">
        <v>561</v>
      </c>
      <c r="D3517" t="s">
        <v>7849</v>
      </c>
      <c r="E3517" t="s">
        <v>7850</v>
      </c>
      <c r="F3517" t="s">
        <v>7</v>
      </c>
      <c r="G3517" t="s">
        <v>15</v>
      </c>
      <c r="H3517">
        <v>1000000</v>
      </c>
      <c r="I3517">
        <v>7.8</v>
      </c>
      <c r="J3517" t="s">
        <v>9834</v>
      </c>
    </row>
    <row r="3518" spans="1:10" x14ac:dyDescent="0.3">
      <c r="A3518">
        <v>92</v>
      </c>
      <c r="B3518">
        <v>1677838</v>
      </c>
      <c r="C3518" t="s">
        <v>19</v>
      </c>
      <c r="D3518" t="s">
        <v>7851</v>
      </c>
      <c r="E3518" t="s">
        <v>7852</v>
      </c>
      <c r="F3518" t="s">
        <v>7</v>
      </c>
      <c r="G3518" t="s">
        <v>8</v>
      </c>
      <c r="H3518">
        <v>1000000</v>
      </c>
      <c r="I3518">
        <v>7.8</v>
      </c>
      <c r="J3518" t="s">
        <v>8644</v>
      </c>
    </row>
    <row r="3519" spans="1:10" x14ac:dyDescent="0.3">
      <c r="A3519">
        <v>94</v>
      </c>
      <c r="B3519">
        <v>1744858</v>
      </c>
      <c r="C3519" t="s">
        <v>1872</v>
      </c>
      <c r="D3519" t="s">
        <v>7853</v>
      </c>
      <c r="E3519" t="s">
        <v>7854</v>
      </c>
      <c r="F3519" t="s">
        <v>7</v>
      </c>
      <c r="G3519" t="s">
        <v>8</v>
      </c>
      <c r="H3519">
        <v>1000000</v>
      </c>
      <c r="I3519">
        <v>5.8</v>
      </c>
      <c r="J3519" t="s">
        <v>8451</v>
      </c>
    </row>
    <row r="3520" spans="1:10" x14ac:dyDescent="0.3">
      <c r="A3520">
        <v>100</v>
      </c>
      <c r="B3520">
        <v>982214</v>
      </c>
      <c r="C3520" t="s">
        <v>1417</v>
      </c>
      <c r="D3520" t="s">
        <v>7855</v>
      </c>
      <c r="E3520" t="s">
        <v>7856</v>
      </c>
      <c r="F3520" t="s">
        <v>7</v>
      </c>
      <c r="G3520" t="s">
        <v>8</v>
      </c>
      <c r="H3520">
        <v>1000000</v>
      </c>
      <c r="I3520">
        <v>7.6</v>
      </c>
      <c r="J3520" t="s">
        <v>9835</v>
      </c>
    </row>
    <row r="3521" spans="1:10" x14ac:dyDescent="0.3">
      <c r="A3521">
        <v>119</v>
      </c>
      <c r="B3521">
        <v>798341</v>
      </c>
      <c r="C3521" t="s">
        <v>1274</v>
      </c>
      <c r="D3521" t="s">
        <v>7857</v>
      </c>
      <c r="E3521" t="s">
        <v>7858</v>
      </c>
      <c r="F3521" t="s">
        <v>7</v>
      </c>
      <c r="G3521" t="s">
        <v>8</v>
      </c>
      <c r="H3521">
        <v>1000000</v>
      </c>
      <c r="I3521">
        <v>7.4</v>
      </c>
      <c r="J3521" t="s">
        <v>8663</v>
      </c>
    </row>
    <row r="3522" spans="1:10" x14ac:dyDescent="0.3">
      <c r="A3522">
        <v>167</v>
      </c>
      <c r="B3522">
        <v>610991</v>
      </c>
      <c r="C3522" t="s">
        <v>73</v>
      </c>
      <c r="D3522" t="s">
        <v>7859</v>
      </c>
      <c r="E3522" t="s">
        <v>7860</v>
      </c>
      <c r="F3522" t="s">
        <v>2354</v>
      </c>
      <c r="G3522" t="s">
        <v>2355</v>
      </c>
      <c r="H3522">
        <v>1000000</v>
      </c>
      <c r="I3522">
        <v>6.3</v>
      </c>
      <c r="J3522" t="s">
        <v>9836</v>
      </c>
    </row>
    <row r="3523" spans="1:10" x14ac:dyDescent="0.3">
      <c r="A3523">
        <v>92</v>
      </c>
      <c r="B3523">
        <v>582024</v>
      </c>
      <c r="C3523" t="s">
        <v>2299</v>
      </c>
      <c r="D3523" t="s">
        <v>7861</v>
      </c>
      <c r="E3523" t="s">
        <v>7862</v>
      </c>
      <c r="F3523" t="s">
        <v>7</v>
      </c>
      <c r="G3523" t="s">
        <v>8</v>
      </c>
      <c r="H3523">
        <v>1000000</v>
      </c>
      <c r="I3523">
        <v>6.9</v>
      </c>
      <c r="J3523" t="s">
        <v>9464</v>
      </c>
    </row>
    <row r="3524" spans="1:10" x14ac:dyDescent="0.3">
      <c r="A3524">
        <v>108</v>
      </c>
      <c r="B3524">
        <v>548712</v>
      </c>
      <c r="C3524" t="s">
        <v>73</v>
      </c>
      <c r="D3524" t="s">
        <v>7863</v>
      </c>
      <c r="E3524" t="s">
        <v>7864</v>
      </c>
      <c r="F3524" t="s">
        <v>7</v>
      </c>
      <c r="G3524" t="s">
        <v>8</v>
      </c>
      <c r="H3524">
        <v>2500000</v>
      </c>
      <c r="I3524">
        <v>8.6</v>
      </c>
      <c r="J3524" t="s">
        <v>8305</v>
      </c>
    </row>
    <row r="3525" spans="1:10" x14ac:dyDescent="0.3">
      <c r="A3525">
        <v>97</v>
      </c>
      <c r="B3525">
        <v>464655</v>
      </c>
      <c r="C3525" t="s">
        <v>1040</v>
      </c>
      <c r="D3525" t="s">
        <v>7865</v>
      </c>
      <c r="E3525" t="s">
        <v>7866</v>
      </c>
      <c r="F3525" t="s">
        <v>7</v>
      </c>
      <c r="G3525" t="s">
        <v>8</v>
      </c>
      <c r="H3525">
        <v>1000000</v>
      </c>
      <c r="I3525">
        <v>5.0999999999999996</v>
      </c>
      <c r="J3525" t="s">
        <v>8542</v>
      </c>
    </row>
    <row r="3526" spans="1:10" x14ac:dyDescent="0.3">
      <c r="A3526">
        <v>88</v>
      </c>
      <c r="B3526">
        <v>464126</v>
      </c>
      <c r="C3526" t="s">
        <v>1417</v>
      </c>
      <c r="D3526" t="s">
        <v>7867</v>
      </c>
      <c r="E3526" t="s">
        <v>7868</v>
      </c>
      <c r="F3526" t="s">
        <v>7</v>
      </c>
      <c r="G3526" t="s">
        <v>8</v>
      </c>
      <c r="H3526">
        <v>1000000</v>
      </c>
      <c r="I3526">
        <v>6.4</v>
      </c>
      <c r="J3526" t="s">
        <v>8498</v>
      </c>
    </row>
    <row r="3527" spans="1:10" x14ac:dyDescent="0.3">
      <c r="A3527">
        <v>100</v>
      </c>
      <c r="B3527">
        <v>428535</v>
      </c>
      <c r="C3527" t="s">
        <v>672</v>
      </c>
      <c r="D3527" t="s">
        <v>7869</v>
      </c>
      <c r="E3527" t="s">
        <v>7870</v>
      </c>
      <c r="F3527" t="s">
        <v>7</v>
      </c>
      <c r="G3527" t="s">
        <v>8</v>
      </c>
      <c r="H3527">
        <v>1000000</v>
      </c>
      <c r="I3527">
        <v>7.9</v>
      </c>
      <c r="J3527" t="s">
        <v>8414</v>
      </c>
    </row>
    <row r="3528" spans="1:10" x14ac:dyDescent="0.3">
      <c r="A3528">
        <v>88</v>
      </c>
      <c r="B3528">
        <v>104077</v>
      </c>
      <c r="C3528" t="s">
        <v>1024</v>
      </c>
      <c r="D3528" t="s">
        <v>7871</v>
      </c>
      <c r="E3528" t="s">
        <v>7872</v>
      </c>
      <c r="F3528" t="s">
        <v>7</v>
      </c>
      <c r="G3528" t="s">
        <v>8</v>
      </c>
      <c r="H3528">
        <v>1000000</v>
      </c>
      <c r="I3528">
        <v>6.9</v>
      </c>
      <c r="J3528" t="s">
        <v>9837</v>
      </c>
    </row>
    <row r="3529" spans="1:10" x14ac:dyDescent="0.3">
      <c r="A3529">
        <v>79</v>
      </c>
      <c r="B3529">
        <v>279282</v>
      </c>
      <c r="C3529" t="s">
        <v>561</v>
      </c>
      <c r="D3529" t="s">
        <v>7873</v>
      </c>
      <c r="E3529" t="s">
        <v>7874</v>
      </c>
      <c r="F3529" t="s">
        <v>7</v>
      </c>
      <c r="G3529" t="s">
        <v>8</v>
      </c>
      <c r="H3529">
        <v>1000000</v>
      </c>
      <c r="I3529">
        <v>7.5</v>
      </c>
      <c r="J3529" t="s">
        <v>9543</v>
      </c>
    </row>
    <row r="3530" spans="1:10" x14ac:dyDescent="0.3">
      <c r="A3530">
        <v>96</v>
      </c>
      <c r="B3530">
        <v>484221</v>
      </c>
      <c r="C3530" t="s">
        <v>7875</v>
      </c>
      <c r="D3530" t="s">
        <v>7876</v>
      </c>
      <c r="E3530" t="s">
        <v>7877</v>
      </c>
      <c r="F3530" t="s">
        <v>7811</v>
      </c>
      <c r="G3530" t="s">
        <v>15</v>
      </c>
      <c r="H3530">
        <v>1000000</v>
      </c>
      <c r="I3530">
        <v>7.2</v>
      </c>
      <c r="J3530" t="s">
        <v>8762</v>
      </c>
    </row>
    <row r="3531" spans="1:10" x14ac:dyDescent="0.3">
      <c r="A3531">
        <v>53</v>
      </c>
      <c r="B3531">
        <v>274661</v>
      </c>
      <c r="C3531" t="s">
        <v>7090</v>
      </c>
      <c r="D3531" t="s">
        <v>7878</v>
      </c>
      <c r="E3531" t="s">
        <v>7879</v>
      </c>
      <c r="F3531" t="s">
        <v>7</v>
      </c>
      <c r="G3531" t="s">
        <v>8</v>
      </c>
      <c r="H3531">
        <v>1000000</v>
      </c>
      <c r="I3531">
        <v>5.8</v>
      </c>
      <c r="J3531" t="s">
        <v>8730</v>
      </c>
    </row>
    <row r="3532" spans="1:10" x14ac:dyDescent="0.3">
      <c r="A3532">
        <v>97</v>
      </c>
      <c r="B3532">
        <v>144431</v>
      </c>
      <c r="C3532" t="s">
        <v>6633</v>
      </c>
      <c r="D3532" t="s">
        <v>7880</v>
      </c>
      <c r="E3532" t="s">
        <v>7881</v>
      </c>
      <c r="F3532" t="s">
        <v>7</v>
      </c>
      <c r="G3532" t="s">
        <v>15</v>
      </c>
      <c r="H3532">
        <v>1000000</v>
      </c>
      <c r="I3532">
        <v>2.9</v>
      </c>
      <c r="J3532" t="s">
        <v>9838</v>
      </c>
    </row>
    <row r="3533" spans="1:10" x14ac:dyDescent="0.3">
      <c r="A3533">
        <v>91</v>
      </c>
      <c r="B3533">
        <v>287761</v>
      </c>
      <c r="C3533" t="s">
        <v>7882</v>
      </c>
      <c r="D3533" t="s">
        <v>7883</v>
      </c>
      <c r="E3533" t="s">
        <v>7884</v>
      </c>
      <c r="F3533" t="s">
        <v>7</v>
      </c>
      <c r="G3533" t="s">
        <v>59</v>
      </c>
      <c r="H3533">
        <v>1000000</v>
      </c>
      <c r="I3533">
        <v>6.2</v>
      </c>
      <c r="J3533" t="s">
        <v>9839</v>
      </c>
    </row>
    <row r="3534" spans="1:10" x14ac:dyDescent="0.3">
      <c r="A3534">
        <v>93</v>
      </c>
      <c r="B3534">
        <v>100240</v>
      </c>
      <c r="C3534" t="s">
        <v>19</v>
      </c>
      <c r="D3534" t="s">
        <v>7885</v>
      </c>
      <c r="E3534" t="s">
        <v>7886</v>
      </c>
      <c r="F3534" t="s">
        <v>7</v>
      </c>
      <c r="G3534" t="s">
        <v>3266</v>
      </c>
      <c r="H3534">
        <v>1000000</v>
      </c>
      <c r="I3534">
        <v>7.3</v>
      </c>
      <c r="J3534" t="s">
        <v>9543</v>
      </c>
    </row>
    <row r="3535" spans="1:10" x14ac:dyDescent="0.3">
      <c r="A3535">
        <v>112</v>
      </c>
      <c r="B3535">
        <v>96734</v>
      </c>
      <c r="C3535" t="s">
        <v>289</v>
      </c>
      <c r="D3535" t="s">
        <v>7887</v>
      </c>
      <c r="E3535" t="s">
        <v>7888</v>
      </c>
      <c r="F3535" t="s">
        <v>7</v>
      </c>
      <c r="G3535" t="s">
        <v>8</v>
      </c>
      <c r="H3535">
        <v>1000000</v>
      </c>
      <c r="I3535">
        <v>6.2</v>
      </c>
      <c r="J3535" t="s">
        <v>8665</v>
      </c>
    </row>
    <row r="3536" spans="1:10" x14ac:dyDescent="0.3">
      <c r="A3536">
        <v>95</v>
      </c>
      <c r="B3536">
        <v>100659</v>
      </c>
      <c r="C3536" t="s">
        <v>2701</v>
      </c>
      <c r="D3536" t="s">
        <v>7889</v>
      </c>
      <c r="E3536" t="s">
        <v>7890</v>
      </c>
      <c r="F3536" t="s">
        <v>7</v>
      </c>
      <c r="G3536" t="s">
        <v>8</v>
      </c>
      <c r="H3536">
        <v>900000</v>
      </c>
      <c r="I3536">
        <v>6.8</v>
      </c>
      <c r="J3536" t="s">
        <v>8798</v>
      </c>
    </row>
    <row r="3537" spans="1:10" x14ac:dyDescent="0.3">
      <c r="A3537">
        <v>93</v>
      </c>
      <c r="B3537">
        <v>48430</v>
      </c>
      <c r="C3537" t="s">
        <v>2509</v>
      </c>
      <c r="D3537" t="s">
        <v>7891</v>
      </c>
      <c r="E3537" t="s">
        <v>7892</v>
      </c>
      <c r="F3537" t="s">
        <v>7</v>
      </c>
      <c r="G3537" t="s">
        <v>8</v>
      </c>
      <c r="H3537">
        <v>500000</v>
      </c>
      <c r="I3537">
        <v>6.1</v>
      </c>
      <c r="J3537" t="s">
        <v>9840</v>
      </c>
    </row>
    <row r="3538" spans="1:10" x14ac:dyDescent="0.3">
      <c r="A3538">
        <v>88</v>
      </c>
      <c r="B3538">
        <v>21210</v>
      </c>
      <c r="C3538" t="s">
        <v>386</v>
      </c>
      <c r="D3538" t="s">
        <v>7893</v>
      </c>
      <c r="E3538" t="s">
        <v>7894</v>
      </c>
      <c r="F3538" t="s">
        <v>7</v>
      </c>
      <c r="G3538" t="s">
        <v>8</v>
      </c>
      <c r="H3538">
        <v>1000000</v>
      </c>
      <c r="I3538">
        <v>7.7</v>
      </c>
      <c r="J3538" t="s">
        <v>8664</v>
      </c>
    </row>
    <row r="3539" spans="1:10" x14ac:dyDescent="0.3">
      <c r="A3539">
        <v>82</v>
      </c>
      <c r="B3539">
        <v>12996</v>
      </c>
      <c r="C3539" t="s">
        <v>369</v>
      </c>
      <c r="D3539" t="s">
        <v>7895</v>
      </c>
      <c r="E3539" t="s">
        <v>7896</v>
      </c>
      <c r="F3539" t="s">
        <v>7</v>
      </c>
      <c r="G3539" t="s">
        <v>8</v>
      </c>
      <c r="H3539">
        <v>1000000</v>
      </c>
      <c r="I3539">
        <v>5.2</v>
      </c>
      <c r="J3539" t="s">
        <v>9841</v>
      </c>
    </row>
    <row r="3540" spans="1:10" x14ac:dyDescent="0.3">
      <c r="A3540">
        <v>78</v>
      </c>
      <c r="B3540">
        <v>10018</v>
      </c>
      <c r="C3540" t="s">
        <v>873</v>
      </c>
      <c r="D3540" t="s">
        <v>7897</v>
      </c>
      <c r="E3540" t="s">
        <v>7898</v>
      </c>
      <c r="F3540" t="s">
        <v>7</v>
      </c>
      <c r="G3540" t="s">
        <v>8</v>
      </c>
      <c r="H3540">
        <v>1000000</v>
      </c>
      <c r="I3540">
        <v>6.8</v>
      </c>
      <c r="J3540" t="s">
        <v>9069</v>
      </c>
    </row>
    <row r="3541" spans="1:10" x14ac:dyDescent="0.3">
      <c r="A3541">
        <v>97</v>
      </c>
      <c r="B3541">
        <v>62480</v>
      </c>
      <c r="C3541" t="s">
        <v>746</v>
      </c>
      <c r="D3541" t="s">
        <v>7899</v>
      </c>
      <c r="E3541" t="s">
        <v>7900</v>
      </c>
      <c r="F3541" t="s">
        <v>7</v>
      </c>
      <c r="G3541" t="s">
        <v>8</v>
      </c>
      <c r="H3541">
        <v>1000000</v>
      </c>
      <c r="I3541">
        <v>6.5</v>
      </c>
      <c r="J3541" t="s">
        <v>9842</v>
      </c>
    </row>
    <row r="3542" spans="1:10" x14ac:dyDescent="0.3">
      <c r="A3542">
        <v>81</v>
      </c>
      <c r="B3542">
        <v>6387</v>
      </c>
      <c r="C3542" t="s">
        <v>934</v>
      </c>
      <c r="D3542" t="s">
        <v>7901</v>
      </c>
      <c r="E3542" t="s">
        <v>7902</v>
      </c>
      <c r="F3542" t="s">
        <v>7</v>
      </c>
      <c r="G3542" t="s">
        <v>8</v>
      </c>
      <c r="H3542">
        <v>1000000</v>
      </c>
      <c r="I3542">
        <v>7</v>
      </c>
      <c r="J3542" t="s">
        <v>9223</v>
      </c>
    </row>
    <row r="3543" spans="1:10" x14ac:dyDescent="0.3">
      <c r="A3543">
        <v>88</v>
      </c>
      <c r="B3543">
        <v>721</v>
      </c>
      <c r="C3543" t="s">
        <v>289</v>
      </c>
      <c r="D3543" t="s">
        <v>7903</v>
      </c>
      <c r="E3543" t="s">
        <v>7904</v>
      </c>
      <c r="F3543" t="s">
        <v>7</v>
      </c>
      <c r="G3543" t="s">
        <v>284</v>
      </c>
      <c r="H3543">
        <v>1000000</v>
      </c>
      <c r="I3543">
        <v>5.9</v>
      </c>
      <c r="J3543" t="s">
        <v>9843</v>
      </c>
    </row>
    <row r="3544" spans="1:10" x14ac:dyDescent="0.3">
      <c r="A3544">
        <v>96</v>
      </c>
      <c r="B3544">
        <v>703</v>
      </c>
      <c r="C3544" t="s">
        <v>1040</v>
      </c>
      <c r="D3544" t="s">
        <v>7905</v>
      </c>
      <c r="E3544" t="s">
        <v>7906</v>
      </c>
      <c r="F3544" t="s">
        <v>7</v>
      </c>
      <c r="G3544" t="s">
        <v>8</v>
      </c>
      <c r="H3544">
        <v>1500000</v>
      </c>
      <c r="I3544">
        <v>7.1</v>
      </c>
      <c r="J3544" t="s">
        <v>9844</v>
      </c>
    </row>
    <row r="3545" spans="1:10" x14ac:dyDescent="0.3">
      <c r="A3545">
        <v>108</v>
      </c>
      <c r="B3545">
        <v>9600000</v>
      </c>
      <c r="C3545" t="s">
        <v>2015</v>
      </c>
      <c r="D3545" t="s">
        <v>7907</v>
      </c>
      <c r="E3545" t="s">
        <v>7908</v>
      </c>
      <c r="F3545" t="s">
        <v>7</v>
      </c>
      <c r="G3545" t="s">
        <v>8</v>
      </c>
      <c r="H3545">
        <v>910000</v>
      </c>
      <c r="I3545">
        <v>5.5</v>
      </c>
      <c r="J3545" t="s">
        <v>9845</v>
      </c>
    </row>
    <row r="3546" spans="1:10" x14ac:dyDescent="0.3">
      <c r="A3546">
        <v>100</v>
      </c>
      <c r="B3546">
        <v>20186</v>
      </c>
      <c r="C3546" t="s">
        <v>668</v>
      </c>
      <c r="D3546" t="s">
        <v>7909</v>
      </c>
      <c r="E3546" t="s">
        <v>7910</v>
      </c>
      <c r="F3546" t="s">
        <v>7</v>
      </c>
      <c r="G3546" t="s">
        <v>8</v>
      </c>
      <c r="H3546">
        <v>930000</v>
      </c>
      <c r="I3546">
        <v>7.4</v>
      </c>
      <c r="J3546" t="s">
        <v>9846</v>
      </c>
    </row>
    <row r="3547" spans="1:10" x14ac:dyDescent="0.3">
      <c r="A3547">
        <v>113</v>
      </c>
      <c r="B3547">
        <v>1185783</v>
      </c>
      <c r="C3547" t="s">
        <v>1417</v>
      </c>
      <c r="D3547" t="s">
        <v>7911</v>
      </c>
      <c r="E3547" t="s">
        <v>7912</v>
      </c>
      <c r="F3547" t="s">
        <v>7913</v>
      </c>
      <c r="G3547" t="s">
        <v>3725</v>
      </c>
      <c r="H3547">
        <v>590000</v>
      </c>
      <c r="I3547">
        <v>7.3</v>
      </c>
      <c r="J3547" t="s">
        <v>9847</v>
      </c>
    </row>
    <row r="3548" spans="1:10" x14ac:dyDescent="0.3">
      <c r="A3548">
        <v>104</v>
      </c>
      <c r="B3548">
        <v>1007962</v>
      </c>
      <c r="C3548" t="s">
        <v>873</v>
      </c>
      <c r="D3548" t="s">
        <v>7914</v>
      </c>
      <c r="E3548" t="s">
        <v>7915</v>
      </c>
      <c r="F3548" t="s">
        <v>7</v>
      </c>
      <c r="G3548" t="s">
        <v>8</v>
      </c>
      <c r="H3548">
        <v>950000</v>
      </c>
      <c r="I3548">
        <v>4.5999999999999996</v>
      </c>
      <c r="J3548" t="s">
        <v>9848</v>
      </c>
    </row>
    <row r="3549" spans="1:10" x14ac:dyDescent="0.3">
      <c r="A3549">
        <v>91</v>
      </c>
      <c r="B3549">
        <v>381186</v>
      </c>
      <c r="C3549" t="s">
        <v>1704</v>
      </c>
      <c r="D3549" t="s">
        <v>7916</v>
      </c>
      <c r="E3549" t="s">
        <v>7917</v>
      </c>
      <c r="F3549" t="s">
        <v>7</v>
      </c>
      <c r="G3549" t="s">
        <v>8</v>
      </c>
      <c r="H3549">
        <v>900000</v>
      </c>
      <c r="I3549">
        <v>7.2</v>
      </c>
      <c r="J3549" t="s">
        <v>8864</v>
      </c>
    </row>
    <row r="3550" spans="1:10" x14ac:dyDescent="0.3">
      <c r="A3550">
        <v>85</v>
      </c>
      <c r="B3550">
        <v>16097842</v>
      </c>
      <c r="C3550" t="s">
        <v>2663</v>
      </c>
      <c r="D3550" t="s">
        <v>7919</v>
      </c>
      <c r="E3550" t="s">
        <v>7920</v>
      </c>
      <c r="F3550" t="s">
        <v>7</v>
      </c>
      <c r="G3550" t="s">
        <v>8</v>
      </c>
      <c r="H3550">
        <v>900000</v>
      </c>
      <c r="I3550">
        <v>7</v>
      </c>
      <c r="J3550" t="s">
        <v>9514</v>
      </c>
    </row>
    <row r="3551" spans="1:10" x14ac:dyDescent="0.3">
      <c r="A3551">
        <v>101</v>
      </c>
      <c r="B3551">
        <v>6643</v>
      </c>
      <c r="C3551" t="s">
        <v>7921</v>
      </c>
      <c r="D3551" t="s">
        <v>7922</v>
      </c>
      <c r="E3551" t="s">
        <v>7923</v>
      </c>
      <c r="F3551" t="s">
        <v>7</v>
      </c>
      <c r="G3551" t="s">
        <v>8</v>
      </c>
      <c r="H3551">
        <v>900000</v>
      </c>
      <c r="I3551">
        <v>5.0999999999999996</v>
      </c>
      <c r="J3551" t="s">
        <v>9849</v>
      </c>
    </row>
    <row r="3552" spans="1:10" x14ac:dyDescent="0.3">
      <c r="A3552">
        <v>88</v>
      </c>
      <c r="B3552">
        <v>442638</v>
      </c>
      <c r="C3552" t="s">
        <v>1624</v>
      </c>
      <c r="D3552" t="s">
        <v>7924</v>
      </c>
      <c r="E3552" t="s">
        <v>7925</v>
      </c>
      <c r="F3552" t="s">
        <v>7</v>
      </c>
      <c r="G3552" t="s">
        <v>8</v>
      </c>
      <c r="H3552">
        <v>850000</v>
      </c>
      <c r="I3552">
        <v>6.7</v>
      </c>
      <c r="J3552" t="s">
        <v>9850</v>
      </c>
    </row>
    <row r="3553" spans="1:10" x14ac:dyDescent="0.3">
      <c r="A3553">
        <v>107</v>
      </c>
      <c r="B3553">
        <v>819939</v>
      </c>
      <c r="C3553" t="s">
        <v>561</v>
      </c>
      <c r="D3553" t="s">
        <v>7926</v>
      </c>
      <c r="E3553" t="s">
        <v>7927</v>
      </c>
      <c r="F3553" t="s">
        <v>7</v>
      </c>
      <c r="G3553" t="s">
        <v>8</v>
      </c>
      <c r="H3553">
        <v>850000</v>
      </c>
      <c r="I3553">
        <v>5.3</v>
      </c>
      <c r="J3553" t="s">
        <v>9851</v>
      </c>
    </row>
    <row r="3554" spans="1:10" x14ac:dyDescent="0.3">
      <c r="A3554">
        <v>95</v>
      </c>
      <c r="B3554">
        <v>15278</v>
      </c>
      <c r="C3554" t="s">
        <v>7928</v>
      </c>
      <c r="D3554" t="s">
        <v>7929</v>
      </c>
      <c r="E3554" t="s">
        <v>7930</v>
      </c>
      <c r="F3554" t="s">
        <v>7</v>
      </c>
      <c r="G3554" t="s">
        <v>8</v>
      </c>
      <c r="H3554">
        <v>825000</v>
      </c>
      <c r="I3554">
        <v>7.8</v>
      </c>
      <c r="J3554" t="s">
        <v>9852</v>
      </c>
    </row>
    <row r="3555" spans="1:10" x14ac:dyDescent="0.3">
      <c r="A3555">
        <v>123</v>
      </c>
      <c r="B3555">
        <v>7098492</v>
      </c>
      <c r="C3555" t="s">
        <v>3413</v>
      </c>
      <c r="D3555" t="s">
        <v>7931</v>
      </c>
      <c r="E3555" t="s">
        <v>7932</v>
      </c>
      <c r="F3555" t="s">
        <v>7918</v>
      </c>
      <c r="G3555" t="s">
        <v>5609</v>
      </c>
      <c r="H3555">
        <v>500000</v>
      </c>
      <c r="I3555">
        <v>6.7</v>
      </c>
      <c r="J3555" t="s">
        <v>9350</v>
      </c>
    </row>
    <row r="3556" spans="1:10" x14ac:dyDescent="0.3">
      <c r="A3556">
        <v>88</v>
      </c>
      <c r="B3556">
        <v>4771000</v>
      </c>
      <c r="C3556" t="s">
        <v>1040</v>
      </c>
      <c r="D3556" t="s">
        <v>7933</v>
      </c>
      <c r="E3556" t="s">
        <v>7934</v>
      </c>
      <c r="F3556" t="s">
        <v>7</v>
      </c>
      <c r="G3556" t="s">
        <v>8</v>
      </c>
      <c r="H3556">
        <v>800000</v>
      </c>
      <c r="I3556">
        <v>5.4</v>
      </c>
      <c r="J3556" t="s">
        <v>9853</v>
      </c>
    </row>
    <row r="3557" spans="1:10" x14ac:dyDescent="0.3">
      <c r="A3557">
        <v>114</v>
      </c>
      <c r="B3557">
        <v>1001437</v>
      </c>
      <c r="C3557" t="s">
        <v>73</v>
      </c>
      <c r="D3557" t="s">
        <v>7935</v>
      </c>
      <c r="E3557" t="s">
        <v>7936</v>
      </c>
      <c r="F3557" t="s">
        <v>7</v>
      </c>
      <c r="G3557" t="s">
        <v>8</v>
      </c>
      <c r="H3557">
        <v>800000</v>
      </c>
      <c r="I3557">
        <v>7.2</v>
      </c>
      <c r="J3557" t="s">
        <v>9237</v>
      </c>
    </row>
    <row r="3558" spans="1:10" x14ac:dyDescent="0.3">
      <c r="A3558">
        <v>88</v>
      </c>
      <c r="B3558">
        <v>2073984</v>
      </c>
      <c r="C3558" t="s">
        <v>73</v>
      </c>
      <c r="D3558" t="s">
        <v>7937</v>
      </c>
      <c r="E3558" t="s">
        <v>7938</v>
      </c>
      <c r="F3558" t="s">
        <v>7</v>
      </c>
      <c r="G3558" t="s">
        <v>583</v>
      </c>
      <c r="H3558">
        <v>800000</v>
      </c>
      <c r="I3558">
        <v>5.8</v>
      </c>
      <c r="J3558" t="s">
        <v>9854</v>
      </c>
    </row>
    <row r="3559" spans="1:10" x14ac:dyDescent="0.3">
      <c r="A3559">
        <v>104</v>
      </c>
      <c r="B3559">
        <v>144583</v>
      </c>
      <c r="C3559" t="s">
        <v>1704</v>
      </c>
      <c r="D3559" t="s">
        <v>7939</v>
      </c>
      <c r="E3559" t="s">
        <v>7940</v>
      </c>
      <c r="F3559" t="s">
        <v>7</v>
      </c>
      <c r="G3559" t="s">
        <v>583</v>
      </c>
      <c r="H3559">
        <v>800000</v>
      </c>
      <c r="I3559">
        <v>6.4</v>
      </c>
      <c r="J3559" t="s">
        <v>9855</v>
      </c>
    </row>
    <row r="3560" spans="1:10" x14ac:dyDescent="0.3">
      <c r="A3560">
        <v>93</v>
      </c>
      <c r="B3560">
        <v>35688</v>
      </c>
      <c r="C3560" t="s">
        <v>668</v>
      </c>
      <c r="D3560" t="s">
        <v>7941</v>
      </c>
      <c r="E3560" t="s">
        <v>7942</v>
      </c>
      <c r="F3560" t="s">
        <v>7</v>
      </c>
      <c r="G3560" t="s">
        <v>8</v>
      </c>
      <c r="H3560">
        <v>600000</v>
      </c>
      <c r="I3560">
        <v>8</v>
      </c>
      <c r="J3560" t="s">
        <v>9856</v>
      </c>
    </row>
    <row r="3561" spans="1:10" x14ac:dyDescent="0.3">
      <c r="A3561">
        <v>91</v>
      </c>
      <c r="B3561">
        <v>41709</v>
      </c>
      <c r="C3561" t="s">
        <v>3210</v>
      </c>
      <c r="D3561" t="s">
        <v>7943</v>
      </c>
      <c r="E3561" t="s">
        <v>7944</v>
      </c>
      <c r="F3561" t="s">
        <v>6938</v>
      </c>
      <c r="G3561" t="s">
        <v>5252</v>
      </c>
      <c r="H3561">
        <v>800000</v>
      </c>
      <c r="I3561">
        <v>7</v>
      </c>
      <c r="J3561" t="s">
        <v>8984</v>
      </c>
    </row>
    <row r="3562" spans="1:10" x14ac:dyDescent="0.3">
      <c r="A3562">
        <v>90</v>
      </c>
      <c r="B3562">
        <v>1310270</v>
      </c>
      <c r="C3562" t="s">
        <v>7945</v>
      </c>
      <c r="D3562" t="s">
        <v>7946</v>
      </c>
      <c r="E3562" t="s">
        <v>7947</v>
      </c>
      <c r="F3562" t="s">
        <v>7</v>
      </c>
      <c r="G3562" t="s">
        <v>8</v>
      </c>
      <c r="H3562">
        <v>780000</v>
      </c>
      <c r="I3562">
        <v>7</v>
      </c>
      <c r="J3562" t="s">
        <v>9857</v>
      </c>
    </row>
    <row r="3563" spans="1:10" x14ac:dyDescent="0.3">
      <c r="A3563">
        <v>112</v>
      </c>
      <c r="B3563">
        <v>115000000</v>
      </c>
      <c r="C3563" t="s">
        <v>2312</v>
      </c>
      <c r="D3563" t="s">
        <v>7948</v>
      </c>
      <c r="E3563" t="s">
        <v>7949</v>
      </c>
      <c r="F3563" t="s">
        <v>7</v>
      </c>
      <c r="G3563" t="s">
        <v>8</v>
      </c>
      <c r="H3563">
        <v>777000</v>
      </c>
      <c r="I3563">
        <v>6.7</v>
      </c>
      <c r="J3563" t="s">
        <v>9798</v>
      </c>
    </row>
    <row r="3564" spans="1:10" x14ac:dyDescent="0.3">
      <c r="A3564">
        <v>86</v>
      </c>
      <c r="B3564">
        <v>5518918</v>
      </c>
      <c r="C3564" t="s">
        <v>7950</v>
      </c>
      <c r="D3564" t="s">
        <v>7951</v>
      </c>
      <c r="E3564" t="s">
        <v>7952</v>
      </c>
      <c r="F3564" t="s">
        <v>7</v>
      </c>
      <c r="G3564" t="s">
        <v>8</v>
      </c>
      <c r="H3564">
        <v>750000</v>
      </c>
      <c r="I3564">
        <v>3.8</v>
      </c>
      <c r="J3564" t="s">
        <v>9858</v>
      </c>
    </row>
    <row r="3565" spans="1:10" x14ac:dyDescent="0.3">
      <c r="A3565">
        <v>86</v>
      </c>
      <c r="B3565">
        <v>4007792</v>
      </c>
      <c r="C3565" t="s">
        <v>561</v>
      </c>
      <c r="D3565" t="s">
        <v>7953</v>
      </c>
      <c r="E3565" t="s">
        <v>7954</v>
      </c>
      <c r="F3565" t="s">
        <v>7</v>
      </c>
      <c r="G3565" t="s">
        <v>8</v>
      </c>
      <c r="H3565">
        <v>750000</v>
      </c>
      <c r="I3565">
        <v>5.7</v>
      </c>
      <c r="J3565" t="s">
        <v>9859</v>
      </c>
    </row>
    <row r="3566" spans="1:10" x14ac:dyDescent="0.3">
      <c r="A3566">
        <v>95</v>
      </c>
      <c r="B3566">
        <v>26297</v>
      </c>
      <c r="C3566" t="s">
        <v>2869</v>
      </c>
      <c r="D3566" t="s">
        <v>7955</v>
      </c>
      <c r="E3566" t="s">
        <v>7956</v>
      </c>
      <c r="F3566" t="s">
        <v>7</v>
      </c>
      <c r="G3566" t="s">
        <v>15</v>
      </c>
      <c r="H3566">
        <v>500000</v>
      </c>
      <c r="I3566">
        <v>6.6</v>
      </c>
      <c r="J3566" t="s">
        <v>9651</v>
      </c>
    </row>
    <row r="3567" spans="1:10" x14ac:dyDescent="0.3">
      <c r="A3567">
        <v>101</v>
      </c>
      <c r="B3567">
        <v>77501</v>
      </c>
      <c r="C3567" t="s">
        <v>2701</v>
      </c>
      <c r="D3567" t="s">
        <v>7957</v>
      </c>
      <c r="E3567" t="s">
        <v>7958</v>
      </c>
      <c r="F3567" t="s">
        <v>7</v>
      </c>
      <c r="G3567" t="s">
        <v>8</v>
      </c>
      <c r="H3567">
        <v>750000</v>
      </c>
      <c r="I3567">
        <v>6.7</v>
      </c>
      <c r="J3567" t="s">
        <v>9225</v>
      </c>
    </row>
    <row r="3568" spans="1:10" x14ac:dyDescent="0.3">
      <c r="A3568">
        <v>88</v>
      </c>
      <c r="B3568">
        <v>47329</v>
      </c>
      <c r="C3568" t="s">
        <v>1417</v>
      </c>
      <c r="D3568" t="s">
        <v>7959</v>
      </c>
      <c r="E3568" t="s">
        <v>7960</v>
      </c>
      <c r="F3568" t="s">
        <v>7</v>
      </c>
      <c r="G3568" t="s">
        <v>8</v>
      </c>
      <c r="H3568">
        <v>750000</v>
      </c>
      <c r="I3568">
        <v>6.1</v>
      </c>
      <c r="J3568" t="s">
        <v>8695</v>
      </c>
    </row>
    <row r="3569" spans="1:10" x14ac:dyDescent="0.3">
      <c r="A3569">
        <v>99</v>
      </c>
      <c r="B3569">
        <v>18378</v>
      </c>
      <c r="C3569" t="s">
        <v>2805</v>
      </c>
      <c r="D3569" t="s">
        <v>7961</v>
      </c>
      <c r="E3569" t="s">
        <v>7962</v>
      </c>
      <c r="F3569" t="s">
        <v>7</v>
      </c>
      <c r="G3569" t="s">
        <v>15</v>
      </c>
      <c r="H3569">
        <v>900000</v>
      </c>
      <c r="I3569">
        <v>6.2</v>
      </c>
      <c r="J3569" t="s">
        <v>9860</v>
      </c>
    </row>
    <row r="3570" spans="1:10" x14ac:dyDescent="0.3">
      <c r="A3570">
        <v>170</v>
      </c>
      <c r="B3570">
        <v>7830611</v>
      </c>
      <c r="C3570" t="s">
        <v>7963</v>
      </c>
      <c r="D3570" t="s">
        <v>7964</v>
      </c>
      <c r="E3570" t="s">
        <v>7965</v>
      </c>
      <c r="F3570" t="s">
        <v>7</v>
      </c>
      <c r="G3570" t="s">
        <v>8</v>
      </c>
      <c r="H3570">
        <v>700000</v>
      </c>
      <c r="I3570">
        <v>6.2</v>
      </c>
      <c r="J3570" t="s">
        <v>9428</v>
      </c>
    </row>
    <row r="3571" spans="1:10" x14ac:dyDescent="0.3">
      <c r="A3571">
        <v>97</v>
      </c>
      <c r="B3571">
        <v>1141829</v>
      </c>
      <c r="C3571" t="s">
        <v>786</v>
      </c>
      <c r="D3571" t="s">
        <v>7966</v>
      </c>
      <c r="E3571" t="s">
        <v>7967</v>
      </c>
      <c r="F3571" t="s">
        <v>7</v>
      </c>
      <c r="G3571" t="s">
        <v>8</v>
      </c>
      <c r="H3571">
        <v>700000</v>
      </c>
      <c r="I3571">
        <v>7.4</v>
      </c>
      <c r="J3571" t="s">
        <v>9861</v>
      </c>
    </row>
    <row r="3572" spans="1:10" x14ac:dyDescent="0.3">
      <c r="A3572">
        <v>106</v>
      </c>
      <c r="B3572">
        <v>2694973</v>
      </c>
      <c r="C3572" t="s">
        <v>1417</v>
      </c>
      <c r="D3572" t="s">
        <v>7968</v>
      </c>
      <c r="E3572" t="s">
        <v>7969</v>
      </c>
      <c r="F3572" t="s">
        <v>7</v>
      </c>
      <c r="G3572" t="s">
        <v>8</v>
      </c>
      <c r="H3572">
        <v>700000</v>
      </c>
      <c r="I3572">
        <v>4.7</v>
      </c>
      <c r="J3572" t="s">
        <v>9862</v>
      </c>
    </row>
    <row r="3573" spans="1:10" x14ac:dyDescent="0.3">
      <c r="A3573">
        <v>107</v>
      </c>
      <c r="B3573">
        <v>10508</v>
      </c>
      <c r="C3573" t="s">
        <v>1417</v>
      </c>
      <c r="D3573" t="s">
        <v>7970</v>
      </c>
      <c r="E3573" t="s">
        <v>7971</v>
      </c>
      <c r="F3573" t="s">
        <v>7</v>
      </c>
      <c r="G3573" t="s">
        <v>8</v>
      </c>
      <c r="H3573">
        <v>700000</v>
      </c>
      <c r="I3573">
        <v>8.3000000000000007</v>
      </c>
      <c r="J3573" t="s">
        <v>8946</v>
      </c>
    </row>
    <row r="3574" spans="1:10" x14ac:dyDescent="0.3">
      <c r="A3574">
        <v>84</v>
      </c>
      <c r="B3574">
        <v>2301777</v>
      </c>
      <c r="C3574" t="s">
        <v>668</v>
      </c>
      <c r="D3574" t="s">
        <v>7972</v>
      </c>
      <c r="E3574" t="s">
        <v>7973</v>
      </c>
      <c r="F3574" t="s">
        <v>7</v>
      </c>
      <c r="G3574" t="s">
        <v>8</v>
      </c>
      <c r="H3574">
        <v>650000</v>
      </c>
      <c r="I3574">
        <v>7.2</v>
      </c>
      <c r="J3574" t="s">
        <v>9863</v>
      </c>
    </row>
    <row r="3575" spans="1:10" x14ac:dyDescent="0.3">
      <c r="A3575">
        <v>81</v>
      </c>
      <c r="B3575">
        <v>3000000</v>
      </c>
      <c r="C3575" t="s">
        <v>4741</v>
      </c>
      <c r="D3575" t="s">
        <v>7974</v>
      </c>
      <c r="E3575" t="s">
        <v>7975</v>
      </c>
      <c r="F3575" t="s">
        <v>7</v>
      </c>
      <c r="G3575" t="s">
        <v>8</v>
      </c>
      <c r="H3575">
        <v>609000</v>
      </c>
      <c r="I3575">
        <v>5.8</v>
      </c>
      <c r="J3575" t="s">
        <v>9864</v>
      </c>
    </row>
    <row r="3576" spans="1:10" x14ac:dyDescent="0.3">
      <c r="A3576">
        <v>81</v>
      </c>
      <c r="B3576">
        <v>140530114</v>
      </c>
      <c r="C3576" t="s">
        <v>2701</v>
      </c>
      <c r="D3576" t="s">
        <v>7976</v>
      </c>
      <c r="E3576" t="s">
        <v>7977</v>
      </c>
      <c r="F3576" t="s">
        <v>7</v>
      </c>
      <c r="G3576" t="s">
        <v>8</v>
      </c>
      <c r="H3576">
        <v>60000</v>
      </c>
      <c r="I3576">
        <v>5.9</v>
      </c>
      <c r="J3576" t="s">
        <v>9865</v>
      </c>
    </row>
    <row r="3577" spans="1:10" x14ac:dyDescent="0.3">
      <c r="A3577">
        <v>215</v>
      </c>
      <c r="B3577">
        <v>13300000</v>
      </c>
      <c r="C3577" t="s">
        <v>7978</v>
      </c>
      <c r="D3577" t="s">
        <v>7979</v>
      </c>
      <c r="E3577" t="s">
        <v>7980</v>
      </c>
      <c r="F3577" t="s">
        <v>7</v>
      </c>
      <c r="G3577" t="s">
        <v>8</v>
      </c>
      <c r="H3577">
        <v>600000</v>
      </c>
      <c r="I3577">
        <v>6.3</v>
      </c>
      <c r="J3577" t="s">
        <v>9446</v>
      </c>
    </row>
    <row r="3578" spans="1:10" x14ac:dyDescent="0.3">
      <c r="A3578">
        <v>106</v>
      </c>
      <c r="B3578">
        <v>171988</v>
      </c>
      <c r="C3578" t="s">
        <v>6228</v>
      </c>
      <c r="D3578" t="s">
        <v>7981</v>
      </c>
      <c r="E3578" t="s">
        <v>7982</v>
      </c>
      <c r="F3578" t="s">
        <v>7</v>
      </c>
      <c r="G3578" t="s">
        <v>8</v>
      </c>
      <c r="H3578">
        <v>600000</v>
      </c>
      <c r="I3578">
        <v>7.2</v>
      </c>
      <c r="J3578" t="s">
        <v>9676</v>
      </c>
    </row>
    <row r="3579" spans="1:10" x14ac:dyDescent="0.3">
      <c r="A3579">
        <v>103</v>
      </c>
      <c r="B3579">
        <v>23616</v>
      </c>
      <c r="C3579" t="s">
        <v>321</v>
      </c>
      <c r="D3579" t="s">
        <v>7983</v>
      </c>
      <c r="E3579" t="s">
        <v>7984</v>
      </c>
      <c r="F3579" t="s">
        <v>7</v>
      </c>
      <c r="G3579" t="s">
        <v>8</v>
      </c>
      <c r="H3579">
        <v>600000</v>
      </c>
      <c r="I3579">
        <v>5.4</v>
      </c>
      <c r="J3579" t="s">
        <v>9866</v>
      </c>
    </row>
    <row r="3580" spans="1:10" x14ac:dyDescent="0.3">
      <c r="A3580">
        <v>87</v>
      </c>
      <c r="B3580">
        <v>515005</v>
      </c>
      <c r="C3580" t="s">
        <v>2488</v>
      </c>
      <c r="D3580" t="s">
        <v>7985</v>
      </c>
      <c r="E3580" t="s">
        <v>7986</v>
      </c>
      <c r="F3580" t="s">
        <v>7</v>
      </c>
      <c r="G3580" t="s">
        <v>15</v>
      </c>
      <c r="H3580">
        <v>560000</v>
      </c>
      <c r="I3580">
        <v>7.3</v>
      </c>
      <c r="J3580" t="s">
        <v>8764</v>
      </c>
    </row>
    <row r="3581" spans="1:10" x14ac:dyDescent="0.3">
      <c r="A3581">
        <v>80</v>
      </c>
      <c r="B3581">
        <v>2245</v>
      </c>
      <c r="C3581" t="s">
        <v>19</v>
      </c>
      <c r="D3581" t="s">
        <v>7987</v>
      </c>
      <c r="E3581" t="s">
        <v>7988</v>
      </c>
      <c r="F3581" t="s">
        <v>7</v>
      </c>
      <c r="G3581" t="s">
        <v>8</v>
      </c>
      <c r="H3581">
        <v>560000</v>
      </c>
      <c r="I3581">
        <v>7.3</v>
      </c>
      <c r="J3581" t="s">
        <v>9867</v>
      </c>
    </row>
    <row r="3582" spans="1:10" x14ac:dyDescent="0.3">
      <c r="A3582">
        <v>122</v>
      </c>
      <c r="B3582">
        <v>33451479</v>
      </c>
      <c r="C3582" t="s">
        <v>73</v>
      </c>
      <c r="D3582" t="s">
        <v>7989</v>
      </c>
      <c r="E3582" t="s">
        <v>7990</v>
      </c>
      <c r="F3582" t="s">
        <v>7</v>
      </c>
      <c r="G3582" t="s">
        <v>8</v>
      </c>
      <c r="H3582">
        <v>500000</v>
      </c>
      <c r="I3582">
        <v>5.8</v>
      </c>
      <c r="J3582" t="s">
        <v>9868</v>
      </c>
    </row>
    <row r="3583" spans="1:10" x14ac:dyDescent="0.3">
      <c r="A3583">
        <v>86</v>
      </c>
      <c r="B3583">
        <v>39552600</v>
      </c>
      <c r="C3583" t="s">
        <v>7991</v>
      </c>
      <c r="D3583" t="s">
        <v>7992</v>
      </c>
      <c r="E3583" t="s">
        <v>7993</v>
      </c>
      <c r="F3583" t="s">
        <v>7</v>
      </c>
      <c r="G3583" t="s">
        <v>8</v>
      </c>
      <c r="H3583">
        <v>500000</v>
      </c>
      <c r="I3583">
        <v>6.1</v>
      </c>
      <c r="J3583" t="s">
        <v>8759</v>
      </c>
    </row>
    <row r="3584" spans="1:10" x14ac:dyDescent="0.3">
      <c r="A3584">
        <v>79</v>
      </c>
      <c r="B3584">
        <v>30500882</v>
      </c>
      <c r="C3584" t="s">
        <v>7994</v>
      </c>
      <c r="D3584" t="s">
        <v>7995</v>
      </c>
      <c r="E3584" t="s">
        <v>7996</v>
      </c>
      <c r="F3584" t="s">
        <v>7</v>
      </c>
      <c r="G3584" t="s">
        <v>8</v>
      </c>
      <c r="H3584">
        <v>500000</v>
      </c>
      <c r="I3584">
        <v>7.1</v>
      </c>
      <c r="J3584" t="s">
        <v>9869</v>
      </c>
    </row>
    <row r="3585" spans="1:10" x14ac:dyDescent="0.3">
      <c r="A3585">
        <v>97</v>
      </c>
      <c r="B3585">
        <v>17000000</v>
      </c>
      <c r="C3585" t="s">
        <v>4304</v>
      </c>
      <c r="D3585" t="s">
        <v>7997</v>
      </c>
      <c r="E3585" t="s">
        <v>7998</v>
      </c>
      <c r="F3585" t="s">
        <v>7</v>
      </c>
      <c r="G3585" t="s">
        <v>8</v>
      </c>
      <c r="H3585">
        <v>500000</v>
      </c>
      <c r="I3585">
        <v>6.5</v>
      </c>
      <c r="J3585" t="s">
        <v>9870</v>
      </c>
    </row>
    <row r="3586" spans="1:10" x14ac:dyDescent="0.3">
      <c r="A3586">
        <v>89</v>
      </c>
      <c r="B3586">
        <v>5739376</v>
      </c>
      <c r="C3586" t="s">
        <v>1040</v>
      </c>
      <c r="D3586" t="s">
        <v>7999</v>
      </c>
      <c r="E3586" t="s">
        <v>8000</v>
      </c>
      <c r="F3586" t="s">
        <v>7</v>
      </c>
      <c r="G3586" t="s">
        <v>8</v>
      </c>
      <c r="H3586">
        <v>500000</v>
      </c>
      <c r="I3586">
        <v>7.9</v>
      </c>
      <c r="J3586" t="s">
        <v>8700</v>
      </c>
    </row>
    <row r="3587" spans="1:10" x14ac:dyDescent="0.3">
      <c r="A3587">
        <v>120</v>
      </c>
      <c r="B3587">
        <v>3773863</v>
      </c>
      <c r="C3587" t="s">
        <v>1417</v>
      </c>
      <c r="D3587" t="s">
        <v>8001</v>
      </c>
      <c r="E3587" t="s">
        <v>8002</v>
      </c>
      <c r="F3587" t="s">
        <v>7</v>
      </c>
      <c r="G3587" t="s">
        <v>8</v>
      </c>
      <c r="H3587">
        <v>1000000</v>
      </c>
      <c r="I3587">
        <v>5.4</v>
      </c>
      <c r="J3587" t="s">
        <v>9871</v>
      </c>
    </row>
    <row r="3588" spans="1:10" x14ac:dyDescent="0.3">
      <c r="A3588">
        <v>108</v>
      </c>
      <c r="B3588">
        <v>2047570</v>
      </c>
      <c r="C3588" t="s">
        <v>8003</v>
      </c>
      <c r="D3588" t="s">
        <v>8004</v>
      </c>
      <c r="E3588" t="s">
        <v>8005</v>
      </c>
      <c r="F3588" t="s">
        <v>7</v>
      </c>
      <c r="G3588" t="s">
        <v>8</v>
      </c>
      <c r="H3588">
        <v>500000</v>
      </c>
      <c r="I3588">
        <v>7.1</v>
      </c>
      <c r="J3588" t="s">
        <v>9872</v>
      </c>
    </row>
    <row r="3589" spans="1:10" x14ac:dyDescent="0.3">
      <c r="A3589">
        <v>102</v>
      </c>
      <c r="B3589">
        <v>1250798</v>
      </c>
      <c r="C3589" t="s">
        <v>561</v>
      </c>
      <c r="D3589" t="s">
        <v>8006</v>
      </c>
      <c r="E3589" t="s">
        <v>8007</v>
      </c>
      <c r="F3589" t="s">
        <v>7</v>
      </c>
      <c r="G3589" t="s">
        <v>8</v>
      </c>
      <c r="H3589">
        <v>500000</v>
      </c>
      <c r="I3589">
        <v>6.4</v>
      </c>
      <c r="J3589" t="s">
        <v>9873</v>
      </c>
    </row>
    <row r="3590" spans="1:10" x14ac:dyDescent="0.3">
      <c r="A3590">
        <v>93</v>
      </c>
      <c r="B3590">
        <v>906666</v>
      </c>
      <c r="C3590" t="s">
        <v>19</v>
      </c>
      <c r="D3590" t="s">
        <v>8008</v>
      </c>
      <c r="E3590" t="s">
        <v>8009</v>
      </c>
      <c r="F3590" t="s">
        <v>7</v>
      </c>
      <c r="G3590" t="s">
        <v>8</v>
      </c>
      <c r="H3590">
        <v>500000</v>
      </c>
      <c r="I3590">
        <v>6.7</v>
      </c>
      <c r="J3590" t="s">
        <v>9674</v>
      </c>
    </row>
    <row r="3591" spans="1:10" x14ac:dyDescent="0.3">
      <c r="A3591">
        <v>86</v>
      </c>
      <c r="B3591">
        <v>1114943</v>
      </c>
      <c r="C3591" t="s">
        <v>2605</v>
      </c>
      <c r="D3591" t="s">
        <v>8010</v>
      </c>
      <c r="E3591" t="s">
        <v>8011</v>
      </c>
      <c r="F3591" t="s">
        <v>7</v>
      </c>
      <c r="G3591" t="s">
        <v>8</v>
      </c>
      <c r="H3591">
        <v>500000</v>
      </c>
      <c r="I3591">
        <v>6.9</v>
      </c>
      <c r="J3591" t="s">
        <v>9723</v>
      </c>
    </row>
    <row r="3592" spans="1:10" x14ac:dyDescent="0.3">
      <c r="A3592">
        <v>101</v>
      </c>
      <c r="B3592">
        <v>1111615</v>
      </c>
      <c r="C3592" t="s">
        <v>5880</v>
      </c>
      <c r="D3592" t="s">
        <v>8012</v>
      </c>
      <c r="E3592" t="s">
        <v>8013</v>
      </c>
      <c r="F3592" t="s">
        <v>7</v>
      </c>
      <c r="G3592" t="s">
        <v>8</v>
      </c>
      <c r="H3592">
        <v>500000</v>
      </c>
      <c r="I3592">
        <v>2.1</v>
      </c>
      <c r="J3592" t="s">
        <v>9486</v>
      </c>
    </row>
    <row r="3593" spans="1:10" x14ac:dyDescent="0.3">
      <c r="A3593">
        <v>111</v>
      </c>
      <c r="B3593">
        <v>985341</v>
      </c>
      <c r="C3593" t="s">
        <v>1417</v>
      </c>
      <c r="D3593" t="s">
        <v>8014</v>
      </c>
      <c r="E3593" t="s">
        <v>8015</v>
      </c>
      <c r="F3593" t="s">
        <v>7</v>
      </c>
      <c r="G3593" t="s">
        <v>8</v>
      </c>
      <c r="H3593">
        <v>500000</v>
      </c>
      <c r="I3593">
        <v>4.3</v>
      </c>
      <c r="J3593" t="s">
        <v>9874</v>
      </c>
    </row>
    <row r="3594" spans="1:10" x14ac:dyDescent="0.3">
      <c r="A3594">
        <v>90</v>
      </c>
      <c r="B3594">
        <v>603943</v>
      </c>
      <c r="C3594" t="s">
        <v>786</v>
      </c>
      <c r="D3594" t="s">
        <v>8016</v>
      </c>
      <c r="E3594" t="s">
        <v>8017</v>
      </c>
      <c r="F3594" t="s">
        <v>7</v>
      </c>
      <c r="G3594" t="s">
        <v>8</v>
      </c>
      <c r="H3594">
        <v>500000</v>
      </c>
      <c r="I3594">
        <v>6.6</v>
      </c>
      <c r="J3594" t="s">
        <v>9588</v>
      </c>
    </row>
    <row r="3595" spans="1:10" x14ac:dyDescent="0.3">
      <c r="A3595">
        <v>86</v>
      </c>
      <c r="B3595">
        <v>334041</v>
      </c>
      <c r="C3595" t="s">
        <v>2015</v>
      </c>
      <c r="D3595" t="s">
        <v>8018</v>
      </c>
      <c r="E3595" t="s">
        <v>8019</v>
      </c>
      <c r="F3595" t="s">
        <v>7</v>
      </c>
      <c r="G3595" t="s">
        <v>8</v>
      </c>
      <c r="H3595">
        <v>500000</v>
      </c>
      <c r="I3595">
        <v>3.4</v>
      </c>
      <c r="J3595" t="s">
        <v>9698</v>
      </c>
    </row>
    <row r="3596" spans="1:10" x14ac:dyDescent="0.3">
      <c r="A3596">
        <v>98</v>
      </c>
      <c r="B3596">
        <v>295468</v>
      </c>
      <c r="C3596" t="s">
        <v>672</v>
      </c>
      <c r="D3596" t="s">
        <v>8020</v>
      </c>
      <c r="E3596" t="s">
        <v>8021</v>
      </c>
      <c r="F3596" t="s">
        <v>7</v>
      </c>
      <c r="G3596" t="s">
        <v>8</v>
      </c>
      <c r="H3596">
        <v>500000</v>
      </c>
      <c r="I3596">
        <v>8.3000000000000007</v>
      </c>
      <c r="J3596" t="s">
        <v>9833</v>
      </c>
    </row>
    <row r="3597" spans="1:10" x14ac:dyDescent="0.3">
      <c r="A3597">
        <v>91</v>
      </c>
      <c r="B3597">
        <v>243347</v>
      </c>
      <c r="C3597" t="s">
        <v>873</v>
      </c>
      <c r="D3597" t="s">
        <v>8022</v>
      </c>
      <c r="E3597" t="s">
        <v>8023</v>
      </c>
      <c r="F3597" t="s">
        <v>7</v>
      </c>
      <c r="G3597" t="s">
        <v>8</v>
      </c>
      <c r="H3597">
        <v>500000</v>
      </c>
      <c r="I3597">
        <v>7.2</v>
      </c>
      <c r="J3597" t="s">
        <v>8952</v>
      </c>
    </row>
    <row r="3598" spans="1:10" x14ac:dyDescent="0.3">
      <c r="A3598">
        <v>91</v>
      </c>
      <c r="B3598">
        <v>154077</v>
      </c>
      <c r="C3598" t="s">
        <v>1040</v>
      </c>
      <c r="D3598" t="s">
        <v>8024</v>
      </c>
      <c r="E3598" t="s">
        <v>8025</v>
      </c>
      <c r="F3598" t="s">
        <v>7</v>
      </c>
      <c r="G3598" t="s">
        <v>8</v>
      </c>
      <c r="H3598">
        <v>500000</v>
      </c>
      <c r="I3598">
        <v>5.6</v>
      </c>
      <c r="J3598" t="s">
        <v>9875</v>
      </c>
    </row>
    <row r="3599" spans="1:10" x14ac:dyDescent="0.3">
      <c r="A3599">
        <v>88</v>
      </c>
      <c r="B3599">
        <v>151389</v>
      </c>
      <c r="C3599" t="s">
        <v>19</v>
      </c>
      <c r="D3599" t="s">
        <v>8026</v>
      </c>
      <c r="E3599" t="s">
        <v>8027</v>
      </c>
      <c r="F3599" t="s">
        <v>7</v>
      </c>
      <c r="G3599" t="s">
        <v>8</v>
      </c>
      <c r="H3599">
        <v>500000</v>
      </c>
      <c r="I3599">
        <v>7.7</v>
      </c>
      <c r="J3599" t="s">
        <v>8908</v>
      </c>
    </row>
    <row r="3600" spans="1:10" x14ac:dyDescent="0.3">
      <c r="A3600">
        <v>202</v>
      </c>
      <c r="B3600">
        <v>269061</v>
      </c>
      <c r="C3600" t="s">
        <v>392</v>
      </c>
      <c r="D3600" t="s">
        <v>8028</v>
      </c>
      <c r="E3600" t="s">
        <v>8029</v>
      </c>
      <c r="F3600" t="s">
        <v>247</v>
      </c>
      <c r="G3600" t="s">
        <v>248</v>
      </c>
      <c r="H3600">
        <v>2000000</v>
      </c>
      <c r="I3600">
        <v>6.6</v>
      </c>
      <c r="J3600" t="s">
        <v>9876</v>
      </c>
    </row>
    <row r="3601" spans="1:10" x14ac:dyDescent="0.3">
      <c r="A3601">
        <v>89</v>
      </c>
      <c r="B3601">
        <v>133778</v>
      </c>
      <c r="C3601" t="s">
        <v>6633</v>
      </c>
      <c r="D3601" t="s">
        <v>8030</v>
      </c>
      <c r="E3601" t="s">
        <v>8031</v>
      </c>
      <c r="F3601" t="s">
        <v>7</v>
      </c>
      <c r="G3601" t="s">
        <v>8</v>
      </c>
      <c r="H3601">
        <v>500000</v>
      </c>
      <c r="I3601">
        <v>7.6</v>
      </c>
      <c r="J3601" t="s">
        <v>8619</v>
      </c>
    </row>
    <row r="3602" spans="1:10" x14ac:dyDescent="0.3">
      <c r="A3602">
        <v>84</v>
      </c>
      <c r="B3602">
        <v>52850</v>
      </c>
      <c r="C3602" t="s">
        <v>668</v>
      </c>
      <c r="D3602" t="s">
        <v>8032</v>
      </c>
      <c r="E3602" t="s">
        <v>8033</v>
      </c>
      <c r="F3602" t="s">
        <v>7</v>
      </c>
      <c r="G3602" t="s">
        <v>8</v>
      </c>
      <c r="H3602">
        <v>500000</v>
      </c>
      <c r="I3602">
        <v>7.4</v>
      </c>
      <c r="J3602" t="s">
        <v>9285</v>
      </c>
    </row>
    <row r="3603" spans="1:10" x14ac:dyDescent="0.3">
      <c r="A3603">
        <v>82</v>
      </c>
      <c r="B3603">
        <v>98017</v>
      </c>
      <c r="C3603" t="s">
        <v>334</v>
      </c>
      <c r="D3603" t="s">
        <v>8034</v>
      </c>
      <c r="E3603" t="s">
        <v>8035</v>
      </c>
      <c r="F3603" t="s">
        <v>7</v>
      </c>
      <c r="G3603" t="s">
        <v>583</v>
      </c>
      <c r="H3603">
        <v>500000</v>
      </c>
      <c r="I3603">
        <v>7.1</v>
      </c>
      <c r="J3603" t="s">
        <v>9061</v>
      </c>
    </row>
    <row r="3604" spans="1:10" x14ac:dyDescent="0.3">
      <c r="A3604">
        <v>100</v>
      </c>
      <c r="B3604">
        <v>31937</v>
      </c>
      <c r="C3604" t="s">
        <v>672</v>
      </c>
      <c r="D3604" t="s">
        <v>8036</v>
      </c>
      <c r="E3604" t="s">
        <v>8037</v>
      </c>
      <c r="F3604" t="s">
        <v>7</v>
      </c>
      <c r="G3604" t="s">
        <v>8</v>
      </c>
      <c r="H3604">
        <v>500000</v>
      </c>
      <c r="I3604">
        <v>3.4</v>
      </c>
      <c r="J3604" t="s">
        <v>9877</v>
      </c>
    </row>
    <row r="3605" spans="1:10" x14ac:dyDescent="0.3">
      <c r="A3605">
        <v>112</v>
      </c>
      <c r="B3605">
        <v>13134</v>
      </c>
      <c r="C3605" t="s">
        <v>1578</v>
      </c>
      <c r="D3605" t="s">
        <v>8038</v>
      </c>
      <c r="E3605" t="s">
        <v>8039</v>
      </c>
      <c r="F3605" t="s">
        <v>7</v>
      </c>
      <c r="G3605" t="s">
        <v>8</v>
      </c>
      <c r="H3605">
        <v>500000</v>
      </c>
      <c r="I3605">
        <v>7.9</v>
      </c>
      <c r="J3605" t="s">
        <v>9878</v>
      </c>
    </row>
    <row r="3606" spans="1:10" x14ac:dyDescent="0.3">
      <c r="A3606">
        <v>94</v>
      </c>
      <c r="B3606">
        <v>237301</v>
      </c>
      <c r="C3606" t="s">
        <v>1110</v>
      </c>
      <c r="D3606" t="s">
        <v>8040</v>
      </c>
      <c r="E3606" t="s">
        <v>8041</v>
      </c>
      <c r="F3606" t="s">
        <v>7</v>
      </c>
      <c r="G3606" t="s">
        <v>15</v>
      </c>
      <c r="H3606">
        <v>500000</v>
      </c>
      <c r="I3606">
        <v>6.7</v>
      </c>
      <c r="J3606" t="s">
        <v>9942</v>
      </c>
    </row>
    <row r="3607" spans="1:10" x14ac:dyDescent="0.3">
      <c r="A3607">
        <v>91</v>
      </c>
      <c r="B3607">
        <v>12055</v>
      </c>
      <c r="C3607" t="s">
        <v>668</v>
      </c>
      <c r="D3607" t="s">
        <v>8042</v>
      </c>
      <c r="E3607" t="s">
        <v>8043</v>
      </c>
      <c r="F3607" t="s">
        <v>7</v>
      </c>
      <c r="G3607" t="s">
        <v>8</v>
      </c>
      <c r="H3607">
        <v>500000</v>
      </c>
      <c r="I3607">
        <v>6.6</v>
      </c>
      <c r="J3607" t="s">
        <v>9879</v>
      </c>
    </row>
    <row r="3608" spans="1:10" x14ac:dyDescent="0.3">
      <c r="A3608">
        <v>87</v>
      </c>
      <c r="B3608">
        <v>1332</v>
      </c>
      <c r="C3608" t="s">
        <v>3210</v>
      </c>
      <c r="D3608" t="s">
        <v>8044</v>
      </c>
      <c r="E3608" t="s">
        <v>8045</v>
      </c>
      <c r="F3608" t="s">
        <v>7</v>
      </c>
      <c r="G3608" t="s">
        <v>8</v>
      </c>
      <c r="H3608">
        <v>500000</v>
      </c>
      <c r="I3608">
        <v>7.9</v>
      </c>
      <c r="J3608" t="s">
        <v>8730</v>
      </c>
    </row>
    <row r="3609" spans="1:10" x14ac:dyDescent="0.3">
      <c r="A3609">
        <v>82</v>
      </c>
      <c r="B3609">
        <v>21199</v>
      </c>
      <c r="C3609" t="s">
        <v>8047</v>
      </c>
      <c r="D3609" t="s">
        <v>8048</v>
      </c>
      <c r="E3609" t="s">
        <v>8049</v>
      </c>
      <c r="F3609" t="s">
        <v>7</v>
      </c>
      <c r="G3609" t="s">
        <v>8</v>
      </c>
      <c r="H3609">
        <v>500000</v>
      </c>
      <c r="I3609">
        <v>4.9000000000000004</v>
      </c>
      <c r="J3609" t="s">
        <v>9880</v>
      </c>
    </row>
    <row r="3610" spans="1:10" x14ac:dyDescent="0.3">
      <c r="A3610">
        <v>91</v>
      </c>
      <c r="B3610">
        <v>2712293</v>
      </c>
      <c r="C3610" t="s">
        <v>786</v>
      </c>
      <c r="D3610" t="s">
        <v>8050</v>
      </c>
      <c r="E3610" t="s">
        <v>8051</v>
      </c>
      <c r="F3610" t="s">
        <v>7</v>
      </c>
      <c r="G3610" t="s">
        <v>8</v>
      </c>
      <c r="H3610">
        <v>450000</v>
      </c>
      <c r="I3610">
        <v>7.2</v>
      </c>
      <c r="J3610" t="s">
        <v>9881</v>
      </c>
    </row>
    <row r="3611" spans="1:10" x14ac:dyDescent="0.3">
      <c r="A3611">
        <v>107</v>
      </c>
      <c r="B3611">
        <v>768045</v>
      </c>
      <c r="C3611" t="s">
        <v>799</v>
      </c>
      <c r="D3611" t="s">
        <v>8052</v>
      </c>
      <c r="E3611" t="s">
        <v>8053</v>
      </c>
      <c r="F3611" t="s">
        <v>7</v>
      </c>
      <c r="G3611" t="s">
        <v>15</v>
      </c>
      <c r="H3611">
        <v>2000000</v>
      </c>
      <c r="I3611">
        <v>7.4</v>
      </c>
      <c r="J3611" t="s">
        <v>9369</v>
      </c>
    </row>
    <row r="3612" spans="1:10" x14ac:dyDescent="0.3">
      <c r="A3612">
        <v>84</v>
      </c>
      <c r="B3612">
        <v>379122</v>
      </c>
      <c r="C3612" t="s">
        <v>561</v>
      </c>
      <c r="D3612" t="s">
        <v>8054</v>
      </c>
      <c r="E3612" t="s">
        <v>8055</v>
      </c>
      <c r="F3612" t="s">
        <v>7</v>
      </c>
      <c r="G3612" t="s">
        <v>15</v>
      </c>
      <c r="H3612">
        <v>450000</v>
      </c>
      <c r="I3612">
        <v>6.1</v>
      </c>
      <c r="J3612" t="s">
        <v>9882</v>
      </c>
    </row>
    <row r="3613" spans="1:10" x14ac:dyDescent="0.3">
      <c r="A3613">
        <v>103</v>
      </c>
      <c r="B3613">
        <v>23000</v>
      </c>
      <c r="C3613" t="s">
        <v>7804</v>
      </c>
      <c r="D3613" t="s">
        <v>8056</v>
      </c>
      <c r="E3613" t="s">
        <v>8057</v>
      </c>
      <c r="F3613" t="s">
        <v>7</v>
      </c>
      <c r="G3613" t="s">
        <v>8</v>
      </c>
      <c r="H3613">
        <v>500000</v>
      </c>
      <c r="I3613">
        <v>8.4</v>
      </c>
      <c r="J3613" t="s">
        <v>9883</v>
      </c>
    </row>
    <row r="3614" spans="1:10" x14ac:dyDescent="0.3">
      <c r="A3614">
        <v>89</v>
      </c>
      <c r="B3614">
        <v>2300000</v>
      </c>
      <c r="C3614" t="s">
        <v>4741</v>
      </c>
      <c r="D3614" t="s">
        <v>8058</v>
      </c>
      <c r="E3614" t="s">
        <v>8059</v>
      </c>
      <c r="F3614" t="s">
        <v>7</v>
      </c>
      <c r="G3614" t="s">
        <v>8</v>
      </c>
      <c r="H3614">
        <v>439000</v>
      </c>
      <c r="I3614">
        <v>6.2</v>
      </c>
      <c r="J3614" t="s">
        <v>9884</v>
      </c>
    </row>
    <row r="3615" spans="1:10" x14ac:dyDescent="0.3">
      <c r="A3615">
        <v>98</v>
      </c>
      <c r="B3615">
        <v>2938208</v>
      </c>
      <c r="C3615" t="s">
        <v>561</v>
      </c>
      <c r="D3615" t="s">
        <v>8060</v>
      </c>
      <c r="E3615" t="s">
        <v>8061</v>
      </c>
      <c r="F3615" t="s">
        <v>7</v>
      </c>
      <c r="G3615" t="s">
        <v>8</v>
      </c>
      <c r="H3615">
        <v>225000</v>
      </c>
      <c r="I3615">
        <v>5.3</v>
      </c>
      <c r="J3615" t="s">
        <v>9885</v>
      </c>
    </row>
    <row r="3616" spans="1:10" x14ac:dyDescent="0.3">
      <c r="A3616">
        <v>133</v>
      </c>
      <c r="B3616">
        <v>9910</v>
      </c>
      <c r="C3616" t="s">
        <v>2429</v>
      </c>
      <c r="D3616" t="s">
        <v>8062</v>
      </c>
      <c r="E3616" t="s">
        <v>8063</v>
      </c>
      <c r="F3616" t="s">
        <v>5198</v>
      </c>
      <c r="G3616" t="s">
        <v>5199</v>
      </c>
      <c r="H3616">
        <v>25000000</v>
      </c>
      <c r="I3616">
        <v>5</v>
      </c>
      <c r="J3616" t="s">
        <v>8962</v>
      </c>
    </row>
    <row r="3617" spans="1:10" x14ac:dyDescent="0.3">
      <c r="A3617">
        <v>92</v>
      </c>
      <c r="B3617">
        <v>44540956</v>
      </c>
      <c r="C3617" t="s">
        <v>668</v>
      </c>
      <c r="D3617" t="s">
        <v>8064</v>
      </c>
      <c r="E3617" t="s">
        <v>8065</v>
      </c>
      <c r="F3617" t="s">
        <v>7</v>
      </c>
      <c r="G3617" t="s">
        <v>8</v>
      </c>
      <c r="H3617">
        <v>400000</v>
      </c>
      <c r="I3617">
        <v>7.7</v>
      </c>
      <c r="J3617" t="s">
        <v>9886</v>
      </c>
    </row>
    <row r="3618" spans="1:10" x14ac:dyDescent="0.3">
      <c r="A3618">
        <v>90</v>
      </c>
      <c r="B3618">
        <v>258113</v>
      </c>
      <c r="C3618" t="s">
        <v>873</v>
      </c>
      <c r="D3618" t="s">
        <v>8066</v>
      </c>
      <c r="E3618" t="s">
        <v>8067</v>
      </c>
      <c r="F3618" t="s">
        <v>7</v>
      </c>
      <c r="G3618" t="s">
        <v>8</v>
      </c>
      <c r="H3618">
        <v>1066167</v>
      </c>
      <c r="I3618">
        <v>7.6</v>
      </c>
      <c r="J3618" t="s">
        <v>9378</v>
      </c>
    </row>
    <row r="3619" spans="1:10" x14ac:dyDescent="0.3">
      <c r="A3619">
        <v>84</v>
      </c>
      <c r="B3619">
        <v>107917283</v>
      </c>
      <c r="C3619" t="s">
        <v>2701</v>
      </c>
      <c r="D3619" t="s">
        <v>8068</v>
      </c>
      <c r="E3619" t="s">
        <v>8069</v>
      </c>
      <c r="F3619" t="s">
        <v>7</v>
      </c>
      <c r="G3619" t="s">
        <v>8</v>
      </c>
      <c r="H3619">
        <v>15000</v>
      </c>
      <c r="I3619">
        <v>6.3</v>
      </c>
      <c r="J3619" t="s">
        <v>9887</v>
      </c>
    </row>
    <row r="3620" spans="1:10" x14ac:dyDescent="0.3">
      <c r="A3620">
        <v>91</v>
      </c>
      <c r="B3620">
        <v>1229197</v>
      </c>
      <c r="C3620" t="s">
        <v>2272</v>
      </c>
      <c r="D3620" t="s">
        <v>8070</v>
      </c>
      <c r="E3620" t="s">
        <v>8071</v>
      </c>
      <c r="F3620" t="s">
        <v>7</v>
      </c>
      <c r="G3620" t="s">
        <v>15</v>
      </c>
      <c r="H3620">
        <v>229575</v>
      </c>
      <c r="I3620">
        <v>7.6</v>
      </c>
      <c r="J3620" t="s">
        <v>9888</v>
      </c>
    </row>
    <row r="3621" spans="1:10" x14ac:dyDescent="0.3">
      <c r="A3621">
        <v>90</v>
      </c>
      <c r="B3621">
        <v>1689999</v>
      </c>
      <c r="C3621" t="s">
        <v>1417</v>
      </c>
      <c r="D3621" t="s">
        <v>8072</v>
      </c>
      <c r="E3621" t="s">
        <v>8073</v>
      </c>
      <c r="F3621" t="s">
        <v>1146</v>
      </c>
      <c r="G3621" t="s">
        <v>8</v>
      </c>
      <c r="H3621">
        <v>400000</v>
      </c>
      <c r="I3621">
        <v>5.6</v>
      </c>
      <c r="J3621" t="s">
        <v>9889</v>
      </c>
    </row>
    <row r="3622" spans="1:10" x14ac:dyDescent="0.3">
      <c r="A3622">
        <v>96</v>
      </c>
      <c r="B3622">
        <v>11798</v>
      </c>
      <c r="C3622" t="s">
        <v>8074</v>
      </c>
      <c r="D3622" t="s">
        <v>8075</v>
      </c>
      <c r="E3622" t="s">
        <v>8076</v>
      </c>
      <c r="F3622" t="s">
        <v>7</v>
      </c>
      <c r="G3622" t="s">
        <v>8</v>
      </c>
      <c r="H3622">
        <v>100000</v>
      </c>
      <c r="I3622">
        <v>7.3</v>
      </c>
      <c r="J3622" t="s">
        <v>9193</v>
      </c>
    </row>
    <row r="3623" spans="1:10" x14ac:dyDescent="0.3">
      <c r="A3623">
        <v>88</v>
      </c>
      <c r="B3623">
        <v>592014</v>
      </c>
      <c r="C3623" t="s">
        <v>8077</v>
      </c>
      <c r="D3623" t="s">
        <v>8078</v>
      </c>
      <c r="E3623" t="s">
        <v>8079</v>
      </c>
      <c r="F3623" t="s">
        <v>7</v>
      </c>
      <c r="G3623" t="s">
        <v>8</v>
      </c>
      <c r="H3623">
        <v>218</v>
      </c>
      <c r="I3623">
        <v>6.2</v>
      </c>
      <c r="J3623" t="s">
        <v>9890</v>
      </c>
    </row>
    <row r="3624" spans="1:10" x14ac:dyDescent="0.3">
      <c r="A3624">
        <v>92</v>
      </c>
      <c r="B3624">
        <v>425899</v>
      </c>
      <c r="C3624" t="s">
        <v>19</v>
      </c>
      <c r="D3624" t="s">
        <v>8080</v>
      </c>
      <c r="E3624" t="s">
        <v>8081</v>
      </c>
      <c r="F3624" t="s">
        <v>7</v>
      </c>
      <c r="G3624" t="s">
        <v>8</v>
      </c>
      <c r="H3624">
        <v>400000</v>
      </c>
      <c r="I3624">
        <v>6.6</v>
      </c>
      <c r="J3624" t="s">
        <v>8327</v>
      </c>
    </row>
    <row r="3625" spans="1:10" x14ac:dyDescent="0.3">
      <c r="A3625">
        <v>82</v>
      </c>
      <c r="B3625">
        <v>126387</v>
      </c>
      <c r="C3625" t="s">
        <v>2701</v>
      </c>
      <c r="D3625" t="s">
        <v>8082</v>
      </c>
      <c r="E3625" t="s">
        <v>8083</v>
      </c>
      <c r="F3625" t="s">
        <v>4134</v>
      </c>
      <c r="G3625" t="s">
        <v>2993</v>
      </c>
      <c r="H3625">
        <v>400000</v>
      </c>
      <c r="I3625">
        <v>6.6</v>
      </c>
      <c r="J3625" t="s">
        <v>9596</v>
      </c>
    </row>
    <row r="3626" spans="1:10" x14ac:dyDescent="0.3">
      <c r="A3626">
        <v>101</v>
      </c>
      <c r="B3626">
        <v>80276912</v>
      </c>
      <c r="C3626" t="s">
        <v>672</v>
      </c>
      <c r="D3626" t="s">
        <v>8084</v>
      </c>
      <c r="E3626" t="s">
        <v>8085</v>
      </c>
      <c r="F3626" t="s">
        <v>7</v>
      </c>
      <c r="G3626" t="s">
        <v>8</v>
      </c>
      <c r="H3626">
        <v>35000000</v>
      </c>
      <c r="I3626">
        <v>7.3</v>
      </c>
      <c r="J3626" t="s">
        <v>9891</v>
      </c>
    </row>
    <row r="3627" spans="1:10" x14ac:dyDescent="0.3">
      <c r="A3627">
        <v>86</v>
      </c>
      <c r="B3627">
        <v>617172</v>
      </c>
      <c r="C3627" t="s">
        <v>19</v>
      </c>
      <c r="D3627" t="s">
        <v>8086</v>
      </c>
      <c r="E3627" t="s">
        <v>8087</v>
      </c>
      <c r="F3627" t="s">
        <v>7</v>
      </c>
      <c r="G3627" t="s">
        <v>8</v>
      </c>
      <c r="H3627">
        <v>375000</v>
      </c>
      <c r="I3627">
        <v>6.6</v>
      </c>
      <c r="J3627" t="s">
        <v>9192</v>
      </c>
    </row>
    <row r="3628" spans="1:10" x14ac:dyDescent="0.3">
      <c r="A3628">
        <v>100</v>
      </c>
      <c r="B3628">
        <v>2808000</v>
      </c>
      <c r="C3628" t="s">
        <v>6780</v>
      </c>
      <c r="D3628" t="s">
        <v>8088</v>
      </c>
      <c r="E3628" t="s">
        <v>8089</v>
      </c>
      <c r="F3628" t="s">
        <v>7</v>
      </c>
      <c r="G3628" t="s">
        <v>8</v>
      </c>
      <c r="H3628">
        <v>379000</v>
      </c>
      <c r="I3628">
        <v>6.9</v>
      </c>
      <c r="J3628" t="s">
        <v>9892</v>
      </c>
    </row>
    <row r="3629" spans="1:10" x14ac:dyDescent="0.3">
      <c r="A3629">
        <v>89</v>
      </c>
      <c r="B3629">
        <v>12843</v>
      </c>
      <c r="C3629" t="s">
        <v>2324</v>
      </c>
      <c r="D3629" t="s">
        <v>8090</v>
      </c>
      <c r="E3629" t="s">
        <v>8091</v>
      </c>
      <c r="F3629" t="s">
        <v>7</v>
      </c>
      <c r="G3629" t="s">
        <v>583</v>
      </c>
      <c r="H3629">
        <v>6000000</v>
      </c>
      <c r="I3629">
        <v>5.8</v>
      </c>
      <c r="J3629" t="s">
        <v>9222</v>
      </c>
    </row>
    <row r="3630" spans="1:10" x14ac:dyDescent="0.3">
      <c r="A3630">
        <v>84</v>
      </c>
      <c r="B3630">
        <v>34151</v>
      </c>
      <c r="C3630" t="s">
        <v>7612</v>
      </c>
      <c r="D3630" t="s">
        <v>8092</v>
      </c>
      <c r="E3630" t="s">
        <v>8093</v>
      </c>
      <c r="F3630" t="s">
        <v>4894</v>
      </c>
      <c r="G3630" t="s">
        <v>7604</v>
      </c>
      <c r="H3630">
        <v>450000</v>
      </c>
      <c r="I3630">
        <v>4.4000000000000004</v>
      </c>
      <c r="J3630" t="s">
        <v>9893</v>
      </c>
    </row>
    <row r="3631" spans="1:10" x14ac:dyDescent="0.3">
      <c r="A3631">
        <v>88</v>
      </c>
      <c r="B3631">
        <v>1523883</v>
      </c>
      <c r="C3631" t="s">
        <v>6633</v>
      </c>
      <c r="D3631" t="s">
        <v>8094</v>
      </c>
      <c r="E3631" t="s">
        <v>8095</v>
      </c>
      <c r="F3631" t="s">
        <v>7</v>
      </c>
      <c r="G3631" t="s">
        <v>8</v>
      </c>
      <c r="H3631">
        <v>1750211</v>
      </c>
      <c r="I3631">
        <v>6.6</v>
      </c>
      <c r="J3631" t="s">
        <v>8461</v>
      </c>
    </row>
    <row r="3632" spans="1:10" x14ac:dyDescent="0.3">
      <c r="A3632">
        <v>90</v>
      </c>
      <c r="B3632">
        <v>4000000</v>
      </c>
      <c r="C3632" t="s">
        <v>289</v>
      </c>
      <c r="D3632" t="s">
        <v>8096</v>
      </c>
      <c r="E3632" t="s">
        <v>8097</v>
      </c>
      <c r="F3632" t="s">
        <v>7</v>
      </c>
      <c r="G3632" t="s">
        <v>8</v>
      </c>
      <c r="H3632">
        <v>350000</v>
      </c>
      <c r="I3632">
        <v>7.1</v>
      </c>
      <c r="J3632" t="s">
        <v>9620</v>
      </c>
    </row>
    <row r="3633" spans="1:10" x14ac:dyDescent="0.3">
      <c r="A3633">
        <v>102</v>
      </c>
      <c r="B3633">
        <v>1281176</v>
      </c>
      <c r="C3633" t="s">
        <v>1040</v>
      </c>
      <c r="D3633" t="s">
        <v>8098</v>
      </c>
      <c r="E3633" t="s">
        <v>8099</v>
      </c>
      <c r="F3633" t="s">
        <v>7</v>
      </c>
      <c r="G3633" t="s">
        <v>8</v>
      </c>
      <c r="H3633">
        <v>312000</v>
      </c>
      <c r="I3633">
        <v>7.6</v>
      </c>
      <c r="J3633" t="s">
        <v>9894</v>
      </c>
    </row>
    <row r="3634" spans="1:10" x14ac:dyDescent="0.3">
      <c r="A3634">
        <v>98</v>
      </c>
      <c r="B3634">
        <v>16115878</v>
      </c>
      <c r="C3634" t="s">
        <v>8100</v>
      </c>
      <c r="D3634" t="s">
        <v>8101</v>
      </c>
      <c r="E3634" t="s">
        <v>8102</v>
      </c>
      <c r="F3634" t="s">
        <v>7</v>
      </c>
      <c r="G3634" t="s">
        <v>8</v>
      </c>
      <c r="H3634">
        <v>8000000</v>
      </c>
      <c r="I3634">
        <v>4.5999999999999996</v>
      </c>
      <c r="J3634" t="s">
        <v>9222</v>
      </c>
    </row>
    <row r="3635" spans="1:10" x14ac:dyDescent="0.3">
      <c r="A3635">
        <v>91</v>
      </c>
      <c r="B3635">
        <v>1652472</v>
      </c>
      <c r="C3635" t="s">
        <v>672</v>
      </c>
      <c r="D3635" t="s">
        <v>8103</v>
      </c>
      <c r="E3635" t="s">
        <v>8104</v>
      </c>
      <c r="F3635" t="s">
        <v>582</v>
      </c>
      <c r="G3635" t="s">
        <v>583</v>
      </c>
      <c r="H3635">
        <v>300000</v>
      </c>
      <c r="I3635">
        <v>6.8</v>
      </c>
      <c r="J3635" t="s">
        <v>9895</v>
      </c>
    </row>
    <row r="3636" spans="1:10" x14ac:dyDescent="0.3">
      <c r="A3636">
        <v>80</v>
      </c>
      <c r="B3636">
        <v>2360184</v>
      </c>
      <c r="C3636" t="s">
        <v>1040</v>
      </c>
      <c r="D3636" t="s">
        <v>8105</v>
      </c>
      <c r="E3636" t="s">
        <v>8106</v>
      </c>
      <c r="F3636" t="s">
        <v>7</v>
      </c>
      <c r="G3636" t="s">
        <v>8</v>
      </c>
      <c r="H3636">
        <v>300000</v>
      </c>
      <c r="I3636">
        <v>7.1</v>
      </c>
      <c r="J3636" t="s">
        <v>9176</v>
      </c>
    </row>
    <row r="3637" spans="1:10" x14ac:dyDescent="0.3">
      <c r="A3637">
        <v>76</v>
      </c>
      <c r="B3637">
        <v>255352</v>
      </c>
      <c r="C3637" t="s">
        <v>1417</v>
      </c>
      <c r="D3637" t="s">
        <v>8107</v>
      </c>
      <c r="E3637" t="s">
        <v>8108</v>
      </c>
      <c r="F3637" t="s">
        <v>7</v>
      </c>
      <c r="G3637" t="s">
        <v>8</v>
      </c>
      <c r="H3637">
        <v>300000</v>
      </c>
      <c r="I3637">
        <v>4.9000000000000004</v>
      </c>
      <c r="J3637" t="s">
        <v>9133</v>
      </c>
    </row>
    <row r="3638" spans="1:10" x14ac:dyDescent="0.3">
      <c r="A3638">
        <v>80</v>
      </c>
      <c r="B3638">
        <v>856942</v>
      </c>
      <c r="C3638" t="s">
        <v>1417</v>
      </c>
      <c r="D3638" t="s">
        <v>8109</v>
      </c>
      <c r="E3638" t="s">
        <v>8110</v>
      </c>
      <c r="F3638" t="s">
        <v>7</v>
      </c>
      <c r="G3638" t="s">
        <v>8</v>
      </c>
      <c r="H3638">
        <v>200000</v>
      </c>
      <c r="I3638">
        <v>7.3</v>
      </c>
      <c r="J3638" t="s">
        <v>9896</v>
      </c>
    </row>
    <row r="3639" spans="1:10" x14ac:dyDescent="0.3">
      <c r="A3639">
        <v>102</v>
      </c>
      <c r="B3639">
        <v>16892</v>
      </c>
      <c r="C3639" t="s">
        <v>19</v>
      </c>
      <c r="D3639" t="s">
        <v>8111</v>
      </c>
      <c r="E3639" t="s">
        <v>8112</v>
      </c>
      <c r="F3639" t="s">
        <v>7</v>
      </c>
      <c r="G3639" t="s">
        <v>2355</v>
      </c>
      <c r="H3639">
        <v>300000</v>
      </c>
      <c r="I3639">
        <v>7.2</v>
      </c>
      <c r="J3639" t="s">
        <v>9103</v>
      </c>
    </row>
    <row r="3640" spans="1:10" x14ac:dyDescent="0.3">
      <c r="A3640">
        <v>95</v>
      </c>
      <c r="B3640">
        <v>12438</v>
      </c>
      <c r="C3640" t="s">
        <v>73</v>
      </c>
      <c r="D3640" t="s">
        <v>8113</v>
      </c>
      <c r="E3640" t="s">
        <v>8114</v>
      </c>
      <c r="F3640" t="s">
        <v>7</v>
      </c>
      <c r="G3640" t="s">
        <v>8</v>
      </c>
      <c r="H3640">
        <v>160000</v>
      </c>
      <c r="I3640">
        <v>5</v>
      </c>
      <c r="J3640" t="s">
        <v>9897</v>
      </c>
    </row>
    <row r="3641" spans="1:10" x14ac:dyDescent="0.3">
      <c r="A3641">
        <v>94</v>
      </c>
      <c r="B3641">
        <v>40542</v>
      </c>
      <c r="C3641" t="s">
        <v>73</v>
      </c>
      <c r="D3641" t="s">
        <v>8115</v>
      </c>
      <c r="E3641" t="s">
        <v>8116</v>
      </c>
      <c r="F3641" t="s">
        <v>7</v>
      </c>
      <c r="G3641" t="s">
        <v>8</v>
      </c>
      <c r="H3641">
        <v>300000</v>
      </c>
      <c r="I3641">
        <v>8.1999999999999993</v>
      </c>
      <c r="J3641" t="s">
        <v>8800</v>
      </c>
    </row>
    <row r="3642" spans="1:10" x14ac:dyDescent="0.3">
      <c r="A3642">
        <v>109</v>
      </c>
      <c r="B3642">
        <v>5199</v>
      </c>
      <c r="C3642" t="s">
        <v>1578</v>
      </c>
      <c r="D3642" t="s">
        <v>8117</v>
      </c>
      <c r="E3642" t="s">
        <v>8118</v>
      </c>
      <c r="F3642" t="s">
        <v>7</v>
      </c>
      <c r="G3642" t="s">
        <v>8</v>
      </c>
      <c r="H3642">
        <v>200000</v>
      </c>
      <c r="I3642">
        <v>8</v>
      </c>
      <c r="J3642" t="s">
        <v>8938</v>
      </c>
    </row>
    <row r="3643" spans="1:10" x14ac:dyDescent="0.3">
      <c r="A3643">
        <v>95</v>
      </c>
      <c r="B3643">
        <v>2468</v>
      </c>
      <c r="C3643" t="s">
        <v>4380</v>
      </c>
      <c r="D3643" t="s">
        <v>8119</v>
      </c>
      <c r="E3643" t="s">
        <v>8120</v>
      </c>
      <c r="F3643" t="s">
        <v>7</v>
      </c>
      <c r="G3643" t="s">
        <v>8</v>
      </c>
      <c r="H3643">
        <v>300000</v>
      </c>
      <c r="I3643">
        <v>5.2</v>
      </c>
      <c r="J3643" t="s">
        <v>9898</v>
      </c>
    </row>
    <row r="3644" spans="1:10" x14ac:dyDescent="0.3">
      <c r="A3644">
        <v>90</v>
      </c>
      <c r="B3644">
        <v>318622</v>
      </c>
      <c r="C3644" t="s">
        <v>2384</v>
      </c>
      <c r="D3644" t="s">
        <v>8121</v>
      </c>
      <c r="E3644" t="s">
        <v>8122</v>
      </c>
      <c r="F3644" t="s">
        <v>7</v>
      </c>
      <c r="G3644" t="s">
        <v>8</v>
      </c>
      <c r="H3644">
        <v>270000</v>
      </c>
      <c r="I3644">
        <v>8.5</v>
      </c>
      <c r="J3644" t="s">
        <v>8297</v>
      </c>
    </row>
    <row r="3645" spans="1:10" x14ac:dyDescent="0.3">
      <c r="A3645">
        <v>113</v>
      </c>
      <c r="B3645">
        <v>12006514</v>
      </c>
      <c r="C3645" t="s">
        <v>561</v>
      </c>
      <c r="D3645" t="s">
        <v>8123</v>
      </c>
      <c r="E3645" t="s">
        <v>8124</v>
      </c>
      <c r="F3645" t="s">
        <v>7</v>
      </c>
      <c r="G3645" t="s">
        <v>8</v>
      </c>
      <c r="H3645">
        <v>250000</v>
      </c>
      <c r="I3645">
        <v>6.5</v>
      </c>
      <c r="J3645" t="s">
        <v>9899</v>
      </c>
    </row>
    <row r="3646" spans="1:10" x14ac:dyDescent="0.3">
      <c r="A3646">
        <v>91</v>
      </c>
      <c r="B3646">
        <v>4186931</v>
      </c>
      <c r="C3646" t="s">
        <v>561</v>
      </c>
      <c r="D3646" t="s">
        <v>8125</v>
      </c>
      <c r="E3646" t="s">
        <v>8126</v>
      </c>
      <c r="F3646" t="s">
        <v>7</v>
      </c>
      <c r="G3646" t="s">
        <v>8</v>
      </c>
      <c r="H3646">
        <v>250000</v>
      </c>
      <c r="I3646">
        <v>7.4</v>
      </c>
      <c r="J3646" t="s">
        <v>8902</v>
      </c>
    </row>
    <row r="3647" spans="1:10" x14ac:dyDescent="0.3">
      <c r="A3647">
        <v>98</v>
      </c>
      <c r="B3647">
        <v>3799339</v>
      </c>
      <c r="C3647" t="s">
        <v>2015</v>
      </c>
      <c r="D3647" t="s">
        <v>8127</v>
      </c>
      <c r="E3647" t="s">
        <v>8128</v>
      </c>
      <c r="F3647" t="s">
        <v>7</v>
      </c>
      <c r="G3647" t="s">
        <v>8</v>
      </c>
      <c r="H3647">
        <v>250000</v>
      </c>
      <c r="I3647">
        <v>7.7</v>
      </c>
      <c r="J3647" t="s">
        <v>8857</v>
      </c>
    </row>
    <row r="3648" spans="1:10" x14ac:dyDescent="0.3">
      <c r="A3648">
        <v>94</v>
      </c>
      <c r="B3648">
        <v>1977544</v>
      </c>
      <c r="C3648" t="s">
        <v>561</v>
      </c>
      <c r="D3648" t="s">
        <v>8129</v>
      </c>
      <c r="E3648" t="s">
        <v>8130</v>
      </c>
      <c r="F3648" t="s">
        <v>7</v>
      </c>
      <c r="G3648" t="s">
        <v>8</v>
      </c>
      <c r="H3648">
        <v>250000</v>
      </c>
      <c r="I3648">
        <v>7.4</v>
      </c>
      <c r="J3648" t="s">
        <v>9900</v>
      </c>
    </row>
    <row r="3649" spans="1:10" x14ac:dyDescent="0.3">
      <c r="A3649">
        <v>96</v>
      </c>
      <c r="B3649">
        <v>1050600</v>
      </c>
      <c r="C3649" t="s">
        <v>1040</v>
      </c>
      <c r="D3649" t="s">
        <v>8131</v>
      </c>
      <c r="E3649" t="s">
        <v>8132</v>
      </c>
      <c r="F3649" t="s">
        <v>7</v>
      </c>
      <c r="G3649" t="s">
        <v>8</v>
      </c>
      <c r="H3649">
        <v>250000</v>
      </c>
      <c r="I3649">
        <v>5.0999999999999996</v>
      </c>
      <c r="J3649" t="s">
        <v>9901</v>
      </c>
    </row>
    <row r="3650" spans="1:10" x14ac:dyDescent="0.3">
      <c r="A3650">
        <v>100</v>
      </c>
      <c r="B3650">
        <v>902835</v>
      </c>
      <c r="C3650" t="s">
        <v>561</v>
      </c>
      <c r="D3650" t="s">
        <v>8133</v>
      </c>
      <c r="E3650" t="s">
        <v>8134</v>
      </c>
      <c r="F3650" t="s">
        <v>7</v>
      </c>
      <c r="G3650" t="s">
        <v>8</v>
      </c>
      <c r="H3650">
        <v>250000</v>
      </c>
      <c r="I3650">
        <v>7.3</v>
      </c>
      <c r="J3650" t="s">
        <v>8377</v>
      </c>
    </row>
    <row r="3651" spans="1:10" x14ac:dyDescent="0.3">
      <c r="A3651">
        <v>90</v>
      </c>
      <c r="B3651">
        <v>489220</v>
      </c>
      <c r="C3651" t="s">
        <v>2108</v>
      </c>
      <c r="D3651" t="s">
        <v>8135</v>
      </c>
      <c r="E3651" t="s">
        <v>8136</v>
      </c>
      <c r="F3651" t="s">
        <v>7</v>
      </c>
      <c r="G3651" t="s">
        <v>95</v>
      </c>
      <c r="H3651">
        <v>365000</v>
      </c>
      <c r="I3651">
        <v>5</v>
      </c>
      <c r="J3651" t="s">
        <v>9902</v>
      </c>
    </row>
    <row r="3652" spans="1:10" x14ac:dyDescent="0.3">
      <c r="A3652">
        <v>76</v>
      </c>
      <c r="B3652">
        <v>212285</v>
      </c>
      <c r="C3652" t="s">
        <v>672</v>
      </c>
      <c r="D3652" t="s">
        <v>8137</v>
      </c>
      <c r="E3652" t="s">
        <v>8138</v>
      </c>
      <c r="F3652" t="s">
        <v>7</v>
      </c>
      <c r="G3652" t="s">
        <v>132</v>
      </c>
      <c r="H3652">
        <v>250000</v>
      </c>
      <c r="I3652">
        <v>7.2</v>
      </c>
      <c r="J3652" t="s">
        <v>9903</v>
      </c>
    </row>
    <row r="3653" spans="1:10" x14ac:dyDescent="0.3">
      <c r="A3653">
        <v>75</v>
      </c>
      <c r="B3653">
        <v>203134</v>
      </c>
      <c r="C3653" t="s">
        <v>8139</v>
      </c>
      <c r="D3653" t="s">
        <v>8140</v>
      </c>
      <c r="E3653" t="s">
        <v>8141</v>
      </c>
      <c r="F3653" t="s">
        <v>7</v>
      </c>
      <c r="G3653" t="s">
        <v>8</v>
      </c>
      <c r="H3653">
        <v>250000</v>
      </c>
      <c r="I3653">
        <v>6.7</v>
      </c>
      <c r="J3653" t="s">
        <v>9904</v>
      </c>
    </row>
    <row r="3654" spans="1:10" x14ac:dyDescent="0.3">
      <c r="A3654">
        <v>78</v>
      </c>
      <c r="B3654">
        <v>191309</v>
      </c>
      <c r="C3654" t="s">
        <v>780</v>
      </c>
      <c r="D3654" t="s">
        <v>8142</v>
      </c>
      <c r="E3654" t="s">
        <v>8143</v>
      </c>
      <c r="F3654" t="s">
        <v>7</v>
      </c>
      <c r="G3654" t="s">
        <v>8</v>
      </c>
      <c r="H3654">
        <v>150000</v>
      </c>
      <c r="I3654">
        <v>6.4</v>
      </c>
      <c r="J3654" t="s">
        <v>9905</v>
      </c>
    </row>
    <row r="3655" spans="1:10" x14ac:dyDescent="0.3">
      <c r="A3655">
        <v>90</v>
      </c>
      <c r="B3655">
        <v>3388210</v>
      </c>
      <c r="C3655" t="s">
        <v>73</v>
      </c>
      <c r="D3655" t="s">
        <v>8144</v>
      </c>
      <c r="E3655" t="s">
        <v>8145</v>
      </c>
      <c r="F3655" t="s">
        <v>7</v>
      </c>
      <c r="G3655" t="s">
        <v>8</v>
      </c>
      <c r="H3655">
        <v>250000</v>
      </c>
      <c r="I3655">
        <v>7.1</v>
      </c>
      <c r="J3655" t="s">
        <v>8542</v>
      </c>
    </row>
    <row r="3656" spans="1:10" x14ac:dyDescent="0.3">
      <c r="A3656">
        <v>92</v>
      </c>
      <c r="B3656">
        <v>177840</v>
      </c>
      <c r="C3656" t="s">
        <v>2708</v>
      </c>
      <c r="D3656" t="s">
        <v>8146</v>
      </c>
      <c r="E3656" t="s">
        <v>8147</v>
      </c>
      <c r="F3656" t="s">
        <v>7</v>
      </c>
      <c r="G3656" t="s">
        <v>15</v>
      </c>
      <c r="H3656">
        <v>250000</v>
      </c>
      <c r="I3656">
        <v>5.6</v>
      </c>
      <c r="J3656" t="s">
        <v>9906</v>
      </c>
    </row>
    <row r="3657" spans="1:10" x14ac:dyDescent="0.3">
      <c r="A3657">
        <v>99</v>
      </c>
      <c r="B3657">
        <v>49494</v>
      </c>
      <c r="C3657" t="s">
        <v>1704</v>
      </c>
      <c r="D3657" t="s">
        <v>8148</v>
      </c>
      <c r="E3657" t="s">
        <v>8149</v>
      </c>
      <c r="F3657" t="s">
        <v>7</v>
      </c>
      <c r="G3657" t="s">
        <v>8</v>
      </c>
      <c r="H3657">
        <v>250000</v>
      </c>
      <c r="I3657">
        <v>6.2</v>
      </c>
      <c r="J3657" t="s">
        <v>9577</v>
      </c>
    </row>
    <row r="3658" spans="1:10" x14ac:dyDescent="0.3">
      <c r="A3658">
        <v>81</v>
      </c>
      <c r="B3658">
        <v>18195</v>
      </c>
      <c r="C3658" t="s">
        <v>5138</v>
      </c>
      <c r="D3658" t="s">
        <v>8150</v>
      </c>
      <c r="E3658" t="s">
        <v>8151</v>
      </c>
      <c r="F3658" t="s">
        <v>7</v>
      </c>
      <c r="G3658" t="s">
        <v>8</v>
      </c>
      <c r="H3658">
        <v>250000</v>
      </c>
      <c r="I3658">
        <v>6.1</v>
      </c>
      <c r="J3658" t="s">
        <v>9527</v>
      </c>
    </row>
    <row r="3659" spans="1:10" x14ac:dyDescent="0.3">
      <c r="A3659">
        <v>86</v>
      </c>
      <c r="B3659">
        <v>111300</v>
      </c>
      <c r="C3659" t="s">
        <v>19</v>
      </c>
      <c r="D3659" t="s">
        <v>8152</v>
      </c>
      <c r="E3659" t="s">
        <v>8153</v>
      </c>
      <c r="F3659" t="s">
        <v>7</v>
      </c>
      <c r="G3659" t="s">
        <v>8</v>
      </c>
      <c r="H3659">
        <v>225000</v>
      </c>
      <c r="I3659">
        <v>5.2</v>
      </c>
      <c r="J3659" t="s">
        <v>9096</v>
      </c>
    </row>
    <row r="3660" spans="1:10" x14ac:dyDescent="0.3">
      <c r="A3660">
        <v>106</v>
      </c>
      <c r="B3660">
        <v>1027119</v>
      </c>
      <c r="C3660" t="s">
        <v>1417</v>
      </c>
      <c r="D3660" t="s">
        <v>8154</v>
      </c>
      <c r="E3660" t="s">
        <v>8155</v>
      </c>
      <c r="F3660" t="s">
        <v>7</v>
      </c>
      <c r="G3660" t="s">
        <v>8</v>
      </c>
      <c r="H3660">
        <v>225000</v>
      </c>
      <c r="I3660">
        <v>7.3</v>
      </c>
      <c r="J3660" t="s">
        <v>9315</v>
      </c>
    </row>
    <row r="3661" spans="1:10" x14ac:dyDescent="0.3">
      <c r="A3661">
        <v>80</v>
      </c>
      <c r="B3661">
        <v>5000000</v>
      </c>
      <c r="C3661" t="s">
        <v>8156</v>
      </c>
      <c r="D3661" t="s">
        <v>8157</v>
      </c>
      <c r="E3661" t="s">
        <v>8158</v>
      </c>
      <c r="F3661" t="s">
        <v>7</v>
      </c>
      <c r="G3661" t="s">
        <v>8</v>
      </c>
      <c r="H3661">
        <v>210000</v>
      </c>
      <c r="I3661">
        <v>7.5</v>
      </c>
      <c r="J3661" t="s">
        <v>9907</v>
      </c>
    </row>
    <row r="3662" spans="1:10" x14ac:dyDescent="0.3">
      <c r="A3662">
        <v>96</v>
      </c>
      <c r="B3662">
        <v>4505922</v>
      </c>
      <c r="C3662" t="s">
        <v>1040</v>
      </c>
      <c r="D3662" t="s">
        <v>8159</v>
      </c>
      <c r="E3662" t="s">
        <v>8160</v>
      </c>
      <c r="F3662" t="s">
        <v>7</v>
      </c>
      <c r="G3662" t="s">
        <v>8</v>
      </c>
      <c r="H3662">
        <v>200000</v>
      </c>
      <c r="I3662">
        <v>6.6</v>
      </c>
      <c r="J3662" t="s">
        <v>9908</v>
      </c>
    </row>
    <row r="3663" spans="1:10" x14ac:dyDescent="0.3">
      <c r="A3663">
        <v>99</v>
      </c>
      <c r="B3663">
        <v>3500000</v>
      </c>
      <c r="C3663" t="s">
        <v>4233</v>
      </c>
      <c r="D3663" t="s">
        <v>8161</v>
      </c>
      <c r="E3663" t="s">
        <v>8162</v>
      </c>
      <c r="F3663" t="s">
        <v>4134</v>
      </c>
      <c r="G3663" t="s">
        <v>2993</v>
      </c>
      <c r="H3663">
        <v>200000</v>
      </c>
      <c r="I3663">
        <v>6.4</v>
      </c>
      <c r="J3663" t="s">
        <v>9909</v>
      </c>
    </row>
    <row r="3664" spans="1:10" x14ac:dyDescent="0.3">
      <c r="A3664">
        <v>85</v>
      </c>
      <c r="B3664">
        <v>381225</v>
      </c>
      <c r="C3664" t="s">
        <v>19</v>
      </c>
      <c r="D3664" t="s">
        <v>8163</v>
      </c>
      <c r="E3664" t="s">
        <v>8164</v>
      </c>
      <c r="F3664" t="s">
        <v>7</v>
      </c>
      <c r="G3664" t="s">
        <v>8</v>
      </c>
      <c r="H3664">
        <v>200000</v>
      </c>
      <c r="I3664">
        <v>4.5</v>
      </c>
      <c r="J3664" t="s">
        <v>9910</v>
      </c>
    </row>
    <row r="3665" spans="1:10" x14ac:dyDescent="0.3">
      <c r="A3665">
        <v>101</v>
      </c>
      <c r="B3665">
        <v>2428241</v>
      </c>
      <c r="C3665" t="s">
        <v>1417</v>
      </c>
      <c r="D3665" t="s">
        <v>8165</v>
      </c>
      <c r="E3665" t="s">
        <v>8166</v>
      </c>
      <c r="F3665" t="s">
        <v>7</v>
      </c>
      <c r="G3665" t="s">
        <v>8</v>
      </c>
      <c r="H3665">
        <v>200000</v>
      </c>
      <c r="I3665">
        <v>6.6</v>
      </c>
      <c r="J3665" t="s">
        <v>8795</v>
      </c>
    </row>
    <row r="3666" spans="1:10" x14ac:dyDescent="0.3">
      <c r="A3666">
        <v>97</v>
      </c>
      <c r="B3666">
        <v>78030</v>
      </c>
      <c r="C3666" t="s">
        <v>1417</v>
      </c>
      <c r="D3666" t="s">
        <v>8167</v>
      </c>
      <c r="E3666" t="s">
        <v>8168</v>
      </c>
      <c r="F3666" t="s">
        <v>7</v>
      </c>
      <c r="G3666" t="s">
        <v>8</v>
      </c>
      <c r="H3666">
        <v>200000</v>
      </c>
      <c r="I3666">
        <v>5.3</v>
      </c>
      <c r="J3666" t="s">
        <v>9911</v>
      </c>
    </row>
    <row r="3667" spans="1:10" x14ac:dyDescent="0.3">
      <c r="A3667">
        <v>103</v>
      </c>
      <c r="B3667">
        <v>174682</v>
      </c>
      <c r="C3667" t="s">
        <v>2605</v>
      </c>
      <c r="D3667" t="s">
        <v>8169</v>
      </c>
      <c r="E3667" t="s">
        <v>8170</v>
      </c>
      <c r="F3667" t="s">
        <v>7</v>
      </c>
      <c r="G3667" t="s">
        <v>8</v>
      </c>
      <c r="H3667">
        <v>200000</v>
      </c>
      <c r="I3667">
        <v>4.9000000000000004</v>
      </c>
      <c r="J3667" t="s">
        <v>9912</v>
      </c>
    </row>
    <row r="3668" spans="1:10" x14ac:dyDescent="0.3">
      <c r="A3668">
        <v>86</v>
      </c>
      <c r="B3668">
        <v>215185</v>
      </c>
      <c r="C3668" t="s">
        <v>7978</v>
      </c>
      <c r="D3668" t="s">
        <v>8171</v>
      </c>
      <c r="E3668" t="s">
        <v>8172</v>
      </c>
      <c r="F3668" t="s">
        <v>7</v>
      </c>
      <c r="G3668" t="s">
        <v>8</v>
      </c>
      <c r="H3668">
        <v>200000</v>
      </c>
      <c r="I3668">
        <v>7.7</v>
      </c>
      <c r="J3668" t="s">
        <v>8415</v>
      </c>
    </row>
    <row r="3669" spans="1:10" x14ac:dyDescent="0.3">
      <c r="A3669">
        <v>106</v>
      </c>
      <c r="B3669">
        <v>1111</v>
      </c>
      <c r="C3669" t="s">
        <v>7588</v>
      </c>
      <c r="D3669" t="s">
        <v>8173</v>
      </c>
      <c r="E3669" t="s">
        <v>8174</v>
      </c>
      <c r="F3669" t="s">
        <v>7</v>
      </c>
      <c r="G3669" t="s">
        <v>8</v>
      </c>
      <c r="H3669">
        <v>200000</v>
      </c>
      <c r="I3669">
        <v>8</v>
      </c>
      <c r="J3669" t="s">
        <v>8522</v>
      </c>
    </row>
    <row r="3670" spans="1:10" x14ac:dyDescent="0.3">
      <c r="A3670">
        <v>89</v>
      </c>
      <c r="B3670">
        <v>925402</v>
      </c>
      <c r="C3670" t="s">
        <v>3017</v>
      </c>
      <c r="D3670" t="s">
        <v>8175</v>
      </c>
      <c r="E3670" t="s">
        <v>8176</v>
      </c>
      <c r="F3670" t="s">
        <v>7918</v>
      </c>
      <c r="G3670" t="s">
        <v>5609</v>
      </c>
      <c r="H3670">
        <v>180000</v>
      </c>
      <c r="I3670">
        <v>3.8</v>
      </c>
      <c r="J3670" t="s">
        <v>9913</v>
      </c>
    </row>
    <row r="3671" spans="1:10" x14ac:dyDescent="0.3">
      <c r="A3671">
        <v>97</v>
      </c>
      <c r="B3671">
        <v>469947</v>
      </c>
      <c r="C3671" t="s">
        <v>73</v>
      </c>
      <c r="D3671" t="s">
        <v>8177</v>
      </c>
      <c r="E3671" t="s">
        <v>8178</v>
      </c>
      <c r="F3671" t="s">
        <v>7</v>
      </c>
      <c r="G3671" t="s">
        <v>15</v>
      </c>
      <c r="H3671">
        <v>120000</v>
      </c>
      <c r="I3671">
        <v>7.6</v>
      </c>
      <c r="J3671" t="s">
        <v>9723</v>
      </c>
    </row>
    <row r="3672" spans="1:10" x14ac:dyDescent="0.3">
      <c r="A3672">
        <v>88</v>
      </c>
      <c r="B3672">
        <v>7137502</v>
      </c>
      <c r="C3672" t="s">
        <v>672</v>
      </c>
      <c r="D3672" t="s">
        <v>8179</v>
      </c>
      <c r="E3672" t="s">
        <v>8180</v>
      </c>
      <c r="F3672" t="s">
        <v>7</v>
      </c>
      <c r="G3672" t="s">
        <v>8</v>
      </c>
      <c r="H3672">
        <v>175000</v>
      </c>
      <c r="I3672">
        <v>5.9</v>
      </c>
      <c r="J3672" t="s">
        <v>9100</v>
      </c>
    </row>
    <row r="3673" spans="1:10" x14ac:dyDescent="0.3">
      <c r="A3673">
        <v>92</v>
      </c>
      <c r="B3673">
        <v>1316074</v>
      </c>
      <c r="C3673" t="s">
        <v>2308</v>
      </c>
      <c r="D3673" t="s">
        <v>8181</v>
      </c>
      <c r="E3673" t="s">
        <v>8182</v>
      </c>
      <c r="F3673" t="s">
        <v>7</v>
      </c>
      <c r="G3673" t="s">
        <v>8</v>
      </c>
      <c r="H3673">
        <v>100000</v>
      </c>
      <c r="I3673">
        <v>6.2</v>
      </c>
      <c r="J3673" t="s">
        <v>9914</v>
      </c>
    </row>
    <row r="3674" spans="1:10" x14ac:dyDescent="0.3">
      <c r="A3674">
        <v>97</v>
      </c>
      <c r="B3674">
        <v>15180000</v>
      </c>
      <c r="C3674" t="s">
        <v>873</v>
      </c>
      <c r="D3674" t="s">
        <v>8183</v>
      </c>
      <c r="E3674" t="s">
        <v>8184</v>
      </c>
      <c r="F3674" t="s">
        <v>7</v>
      </c>
      <c r="G3674" t="s">
        <v>8</v>
      </c>
      <c r="H3674">
        <v>500000</v>
      </c>
      <c r="I3674">
        <v>7.2</v>
      </c>
      <c r="J3674" t="s">
        <v>8570</v>
      </c>
    </row>
    <row r="3675" spans="1:10" x14ac:dyDescent="0.3">
      <c r="A3675">
        <v>78</v>
      </c>
      <c r="B3675">
        <v>2882062</v>
      </c>
      <c r="C3675" t="s">
        <v>561</v>
      </c>
      <c r="D3675" t="s">
        <v>8185</v>
      </c>
      <c r="E3675" t="s">
        <v>8186</v>
      </c>
      <c r="F3675" t="s">
        <v>7</v>
      </c>
      <c r="G3675" t="s">
        <v>8</v>
      </c>
      <c r="H3675">
        <v>150000</v>
      </c>
      <c r="I3675">
        <v>6.3</v>
      </c>
      <c r="J3675" t="s">
        <v>9915</v>
      </c>
    </row>
    <row r="3676" spans="1:10" x14ac:dyDescent="0.3">
      <c r="A3676">
        <v>85</v>
      </c>
      <c r="B3676">
        <v>9437933</v>
      </c>
      <c r="C3676" t="s">
        <v>3307</v>
      </c>
      <c r="D3676" t="s">
        <v>8187</v>
      </c>
      <c r="E3676" t="s">
        <v>8188</v>
      </c>
      <c r="F3676" t="s">
        <v>7</v>
      </c>
      <c r="G3676" t="s">
        <v>3376</v>
      </c>
      <c r="H3676">
        <v>180000</v>
      </c>
      <c r="I3676">
        <v>5.2</v>
      </c>
      <c r="J3676" t="s">
        <v>9916</v>
      </c>
    </row>
    <row r="3677" spans="1:10" x14ac:dyDescent="0.3">
      <c r="A3677">
        <v>88</v>
      </c>
      <c r="B3677">
        <v>110720</v>
      </c>
      <c r="C3677" t="s">
        <v>668</v>
      </c>
      <c r="D3677" t="s">
        <v>8189</v>
      </c>
      <c r="E3677" t="s">
        <v>8190</v>
      </c>
      <c r="F3677" t="s">
        <v>7</v>
      </c>
      <c r="G3677" t="s">
        <v>8</v>
      </c>
      <c r="H3677">
        <v>1200000</v>
      </c>
      <c r="I3677">
        <v>6.9</v>
      </c>
      <c r="J3677" t="s">
        <v>9917</v>
      </c>
    </row>
    <row r="3678" spans="1:10" x14ac:dyDescent="0.3">
      <c r="A3678">
        <v>93</v>
      </c>
      <c r="B3678">
        <v>155984</v>
      </c>
      <c r="C3678" t="s">
        <v>19</v>
      </c>
      <c r="D3678" t="s">
        <v>8191</v>
      </c>
      <c r="E3678" t="s">
        <v>8192</v>
      </c>
      <c r="F3678" t="s">
        <v>7</v>
      </c>
      <c r="G3678" t="s">
        <v>8</v>
      </c>
      <c r="H3678">
        <v>160000</v>
      </c>
      <c r="I3678">
        <v>6.8</v>
      </c>
      <c r="J3678" t="s">
        <v>9527</v>
      </c>
    </row>
    <row r="3679" spans="1:10" x14ac:dyDescent="0.3">
      <c r="A3679">
        <v>72</v>
      </c>
      <c r="B3679">
        <v>4914</v>
      </c>
      <c r="C3679" t="s">
        <v>8193</v>
      </c>
      <c r="D3679" t="s">
        <v>8194</v>
      </c>
      <c r="E3679" t="s">
        <v>8195</v>
      </c>
      <c r="F3679" t="s">
        <v>7</v>
      </c>
      <c r="G3679" t="s">
        <v>8</v>
      </c>
      <c r="H3679">
        <v>150000</v>
      </c>
      <c r="I3679">
        <v>6.2</v>
      </c>
      <c r="J3679" t="s">
        <v>9918</v>
      </c>
    </row>
    <row r="3680" spans="1:10" x14ac:dyDescent="0.3">
      <c r="A3680">
        <v>80</v>
      </c>
      <c r="B3680">
        <v>5858</v>
      </c>
      <c r="C3680" t="s">
        <v>19</v>
      </c>
      <c r="D3680" t="s">
        <v>8196</v>
      </c>
      <c r="E3680" t="s">
        <v>8197</v>
      </c>
      <c r="F3680" t="s">
        <v>7</v>
      </c>
      <c r="G3680" t="s">
        <v>8</v>
      </c>
      <c r="H3680">
        <v>150000</v>
      </c>
      <c r="I3680">
        <v>6.2</v>
      </c>
      <c r="J3680" t="s">
        <v>9837</v>
      </c>
    </row>
    <row r="3681" spans="1:10" x14ac:dyDescent="0.3">
      <c r="A3681">
        <v>91</v>
      </c>
      <c r="B3681">
        <v>6706368</v>
      </c>
      <c r="C3681" t="s">
        <v>19</v>
      </c>
      <c r="D3681" t="s">
        <v>8198</v>
      </c>
      <c r="E3681" t="s">
        <v>8199</v>
      </c>
      <c r="F3681" t="s">
        <v>7</v>
      </c>
      <c r="G3681" t="s">
        <v>8</v>
      </c>
      <c r="H3681">
        <v>160000</v>
      </c>
      <c r="I3681">
        <v>3.5</v>
      </c>
      <c r="J3681" t="s">
        <v>9919</v>
      </c>
    </row>
    <row r="3682" spans="1:10" x14ac:dyDescent="0.3">
      <c r="A3682">
        <v>90</v>
      </c>
      <c r="B3682">
        <v>1573712</v>
      </c>
      <c r="C3682" t="s">
        <v>1040</v>
      </c>
      <c r="D3682" t="s">
        <v>8200</v>
      </c>
      <c r="E3682" t="s">
        <v>8201</v>
      </c>
      <c r="F3682" t="s">
        <v>7</v>
      </c>
      <c r="G3682" t="s">
        <v>8</v>
      </c>
      <c r="H3682">
        <v>125000</v>
      </c>
      <c r="I3682">
        <v>6.1</v>
      </c>
      <c r="J3682" t="s">
        <v>9920</v>
      </c>
    </row>
    <row r="3683" spans="1:10" x14ac:dyDescent="0.3">
      <c r="A3683">
        <v>111</v>
      </c>
      <c r="B3683">
        <v>10174663</v>
      </c>
      <c r="C3683" t="s">
        <v>1578</v>
      </c>
      <c r="D3683" t="s">
        <v>8202</v>
      </c>
      <c r="E3683" t="s">
        <v>8203</v>
      </c>
      <c r="F3683" t="s">
        <v>7</v>
      </c>
      <c r="G3683" t="s">
        <v>8</v>
      </c>
      <c r="H3683">
        <v>100000</v>
      </c>
      <c r="I3683">
        <v>6.6</v>
      </c>
      <c r="J3683" t="s">
        <v>9921</v>
      </c>
    </row>
    <row r="3684" spans="1:10" x14ac:dyDescent="0.3">
      <c r="A3684">
        <v>81</v>
      </c>
      <c r="B3684">
        <v>22757819</v>
      </c>
      <c r="C3684" t="s">
        <v>2324</v>
      </c>
      <c r="D3684" t="s">
        <v>8204</v>
      </c>
      <c r="E3684" t="s">
        <v>8205</v>
      </c>
      <c r="F3684" t="s">
        <v>7</v>
      </c>
      <c r="G3684" t="s">
        <v>8</v>
      </c>
      <c r="H3684">
        <v>100000</v>
      </c>
      <c r="I3684">
        <v>4.5</v>
      </c>
      <c r="J3684" t="s">
        <v>9096</v>
      </c>
    </row>
    <row r="3685" spans="1:10" x14ac:dyDescent="0.3">
      <c r="A3685">
        <v>81</v>
      </c>
      <c r="B3685">
        <v>5228617</v>
      </c>
      <c r="C3685" t="s">
        <v>668</v>
      </c>
      <c r="D3685" t="s">
        <v>8206</v>
      </c>
      <c r="E3685" t="s">
        <v>8207</v>
      </c>
      <c r="F3685" t="s">
        <v>7</v>
      </c>
      <c r="G3685" t="s">
        <v>8</v>
      </c>
      <c r="H3685">
        <v>100000</v>
      </c>
      <c r="I3685">
        <v>5.9</v>
      </c>
      <c r="J3685" t="s">
        <v>9922</v>
      </c>
    </row>
    <row r="3686" spans="1:10" x14ac:dyDescent="0.3">
      <c r="A3686">
        <v>90</v>
      </c>
      <c r="B3686">
        <v>110536</v>
      </c>
      <c r="C3686" t="s">
        <v>5257</v>
      </c>
      <c r="D3686" t="s">
        <v>8208</v>
      </c>
      <c r="E3686" t="s">
        <v>8209</v>
      </c>
      <c r="F3686" t="s">
        <v>7</v>
      </c>
      <c r="G3686" t="s">
        <v>8</v>
      </c>
      <c r="H3686">
        <v>40000</v>
      </c>
      <c r="I3686">
        <v>6.9</v>
      </c>
      <c r="J3686" t="s">
        <v>9923</v>
      </c>
    </row>
    <row r="3687" spans="1:10" x14ac:dyDescent="0.3">
      <c r="A3687">
        <v>88</v>
      </c>
      <c r="B3687">
        <v>59379</v>
      </c>
      <c r="C3687" t="s">
        <v>8210</v>
      </c>
      <c r="D3687" t="s">
        <v>8211</v>
      </c>
      <c r="E3687" t="s">
        <v>8212</v>
      </c>
      <c r="F3687" t="s">
        <v>7</v>
      </c>
      <c r="G3687" t="s">
        <v>8</v>
      </c>
      <c r="H3687">
        <v>200000</v>
      </c>
      <c r="I3687">
        <v>7.7</v>
      </c>
      <c r="J3687" t="s">
        <v>9924</v>
      </c>
    </row>
    <row r="3688" spans="1:10" x14ac:dyDescent="0.3">
      <c r="A3688">
        <v>84</v>
      </c>
      <c r="B3688">
        <v>3216970</v>
      </c>
      <c r="C3688" t="s">
        <v>780</v>
      </c>
      <c r="D3688" t="s">
        <v>8213</v>
      </c>
      <c r="E3688" t="s">
        <v>8214</v>
      </c>
      <c r="F3688" t="s">
        <v>7</v>
      </c>
      <c r="G3688" t="s">
        <v>8</v>
      </c>
      <c r="H3688">
        <v>60000</v>
      </c>
      <c r="I3688">
        <v>6.6</v>
      </c>
      <c r="J3688" t="s">
        <v>8714</v>
      </c>
    </row>
    <row r="3689" spans="1:10" x14ac:dyDescent="0.3">
      <c r="A3689">
        <v>87</v>
      </c>
      <c r="B3689">
        <v>536767</v>
      </c>
      <c r="C3689" t="s">
        <v>3052</v>
      </c>
      <c r="D3689" t="s">
        <v>8215</v>
      </c>
      <c r="E3689" t="s">
        <v>8216</v>
      </c>
      <c r="F3689" t="s">
        <v>7</v>
      </c>
      <c r="G3689" t="s">
        <v>8</v>
      </c>
      <c r="H3689">
        <v>60000</v>
      </c>
      <c r="I3689">
        <v>5.3</v>
      </c>
      <c r="J3689" t="s">
        <v>9925</v>
      </c>
    </row>
    <row r="3690" spans="1:10" x14ac:dyDescent="0.3">
      <c r="A3690">
        <v>100</v>
      </c>
      <c r="B3690">
        <v>11529368</v>
      </c>
      <c r="C3690" t="s">
        <v>8217</v>
      </c>
      <c r="D3690" t="s">
        <v>8218</v>
      </c>
      <c r="E3690" t="s">
        <v>8219</v>
      </c>
      <c r="F3690" t="s">
        <v>7</v>
      </c>
      <c r="G3690" t="s">
        <v>8</v>
      </c>
      <c r="H3690">
        <v>65000</v>
      </c>
      <c r="I3690">
        <v>6.3</v>
      </c>
      <c r="J3690" t="s">
        <v>9787</v>
      </c>
    </row>
    <row r="3691" spans="1:10" x14ac:dyDescent="0.3">
      <c r="A3691">
        <v>82</v>
      </c>
      <c r="B3691">
        <v>40557</v>
      </c>
      <c r="C3691" t="s">
        <v>668</v>
      </c>
      <c r="D3691" t="s">
        <v>8220</v>
      </c>
      <c r="E3691" t="s">
        <v>8221</v>
      </c>
      <c r="F3691" t="s">
        <v>7</v>
      </c>
      <c r="G3691" t="s">
        <v>8</v>
      </c>
      <c r="H3691">
        <v>60000</v>
      </c>
      <c r="I3691">
        <v>7</v>
      </c>
      <c r="J3691" t="s">
        <v>9926</v>
      </c>
    </row>
    <row r="3692" spans="1:10" x14ac:dyDescent="0.3">
      <c r="A3692">
        <v>82</v>
      </c>
      <c r="B3692">
        <v>30084</v>
      </c>
      <c r="C3692" t="s">
        <v>1040</v>
      </c>
      <c r="D3692" t="s">
        <v>8222</v>
      </c>
      <c r="E3692" t="s">
        <v>8223</v>
      </c>
      <c r="F3692" t="s">
        <v>7</v>
      </c>
      <c r="G3692" t="s">
        <v>8</v>
      </c>
      <c r="H3692">
        <v>70000</v>
      </c>
      <c r="I3692">
        <v>7</v>
      </c>
      <c r="J3692" t="s">
        <v>9927</v>
      </c>
    </row>
    <row r="3693" spans="1:10" x14ac:dyDescent="0.3">
      <c r="A3693">
        <v>98</v>
      </c>
      <c r="B3693">
        <v>10246600</v>
      </c>
      <c r="C3693" t="s">
        <v>561</v>
      </c>
      <c r="D3693" t="s">
        <v>8224</v>
      </c>
      <c r="E3693" t="s">
        <v>8225</v>
      </c>
      <c r="F3693" t="s">
        <v>7</v>
      </c>
      <c r="G3693" t="s">
        <v>8</v>
      </c>
      <c r="H3693">
        <v>25000</v>
      </c>
      <c r="I3693">
        <v>6.6</v>
      </c>
      <c r="J3693" t="s">
        <v>9695</v>
      </c>
    </row>
    <row r="3694" spans="1:10" x14ac:dyDescent="0.3">
      <c r="A3694">
        <v>98</v>
      </c>
      <c r="B3694">
        <v>389804</v>
      </c>
      <c r="C3694" t="s">
        <v>561</v>
      </c>
      <c r="D3694" t="s">
        <v>8226</v>
      </c>
      <c r="E3694" t="s">
        <v>8227</v>
      </c>
      <c r="F3694" t="s">
        <v>7</v>
      </c>
      <c r="G3694" t="s">
        <v>8</v>
      </c>
      <c r="H3694">
        <v>65000</v>
      </c>
      <c r="I3694">
        <v>8.6</v>
      </c>
      <c r="J3694" t="s">
        <v>9030</v>
      </c>
    </row>
    <row r="3695" spans="1:10" x14ac:dyDescent="0.3">
      <c r="A3695">
        <v>90</v>
      </c>
      <c r="B3695">
        <v>241816</v>
      </c>
      <c r="C3695" t="s">
        <v>1417</v>
      </c>
      <c r="D3695" t="s">
        <v>8228</v>
      </c>
      <c r="E3695" t="s">
        <v>8229</v>
      </c>
      <c r="F3695" t="s">
        <v>7</v>
      </c>
      <c r="G3695" t="s">
        <v>8</v>
      </c>
      <c r="H3695">
        <v>42000</v>
      </c>
      <c r="I3695">
        <v>6.4</v>
      </c>
      <c r="J3695" t="s">
        <v>8341</v>
      </c>
    </row>
    <row r="3696" spans="1:10" x14ac:dyDescent="0.3">
      <c r="A3696">
        <v>90</v>
      </c>
      <c r="B3696">
        <v>277233</v>
      </c>
      <c r="C3696" t="s">
        <v>672</v>
      </c>
      <c r="D3696" t="s">
        <v>8230</v>
      </c>
      <c r="E3696" t="s">
        <v>8231</v>
      </c>
      <c r="F3696" t="s">
        <v>7</v>
      </c>
      <c r="G3696" t="s">
        <v>8</v>
      </c>
      <c r="H3696">
        <v>40000</v>
      </c>
      <c r="I3696">
        <v>7.9</v>
      </c>
      <c r="J3696" t="s">
        <v>8369</v>
      </c>
    </row>
    <row r="3697" spans="1:10" x14ac:dyDescent="0.3">
      <c r="A3697">
        <v>78</v>
      </c>
      <c r="B3697">
        <v>243768</v>
      </c>
      <c r="C3697" t="s">
        <v>6171</v>
      </c>
      <c r="D3697" t="s">
        <v>8232</v>
      </c>
      <c r="E3697" t="s">
        <v>8233</v>
      </c>
      <c r="F3697" t="s">
        <v>7</v>
      </c>
      <c r="G3697" t="s">
        <v>8</v>
      </c>
      <c r="H3697">
        <v>30000</v>
      </c>
      <c r="I3697">
        <v>5.4</v>
      </c>
      <c r="J3697" t="s">
        <v>9666</v>
      </c>
    </row>
    <row r="3698" spans="1:10" x14ac:dyDescent="0.3">
      <c r="A3698">
        <v>102</v>
      </c>
      <c r="B3698">
        <v>3151130</v>
      </c>
      <c r="C3698" t="s">
        <v>668</v>
      </c>
      <c r="D3698" t="s">
        <v>8234</v>
      </c>
      <c r="E3698" t="s">
        <v>8235</v>
      </c>
      <c r="F3698" t="s">
        <v>7</v>
      </c>
      <c r="G3698" t="s">
        <v>8</v>
      </c>
      <c r="H3698">
        <v>230000</v>
      </c>
      <c r="I3698">
        <v>6.9</v>
      </c>
      <c r="J3698" t="s">
        <v>9928</v>
      </c>
    </row>
    <row r="3699" spans="1:10" x14ac:dyDescent="0.3">
      <c r="A3699">
        <v>65</v>
      </c>
      <c r="B3699">
        <v>8231</v>
      </c>
      <c r="C3699" t="s">
        <v>2231</v>
      </c>
      <c r="D3699" t="s">
        <v>8236</v>
      </c>
      <c r="E3699" t="s">
        <v>8237</v>
      </c>
      <c r="F3699" t="s">
        <v>7</v>
      </c>
      <c r="G3699" t="s">
        <v>8</v>
      </c>
      <c r="H3699">
        <v>27000</v>
      </c>
      <c r="I3699">
        <v>7.7</v>
      </c>
      <c r="J3699" t="s">
        <v>9135</v>
      </c>
    </row>
    <row r="3700" spans="1:10" x14ac:dyDescent="0.3">
      <c r="A3700">
        <v>97</v>
      </c>
      <c r="B3700">
        <v>2856622</v>
      </c>
      <c r="C3700" t="s">
        <v>1040</v>
      </c>
      <c r="D3700" t="s">
        <v>8238</v>
      </c>
      <c r="E3700" t="s">
        <v>8239</v>
      </c>
      <c r="F3700" t="s">
        <v>7</v>
      </c>
      <c r="G3700" t="s">
        <v>95</v>
      </c>
      <c r="H3700">
        <v>25000</v>
      </c>
      <c r="I3700">
        <v>7.2</v>
      </c>
      <c r="J3700" t="s">
        <v>9929</v>
      </c>
    </row>
    <row r="3701" spans="1:10" x14ac:dyDescent="0.3">
      <c r="A3701">
        <v>100</v>
      </c>
      <c r="B3701">
        <v>1227508</v>
      </c>
      <c r="C3701" t="s">
        <v>1040</v>
      </c>
      <c r="D3701" t="s">
        <v>8240</v>
      </c>
      <c r="E3701" t="s">
        <v>8241</v>
      </c>
      <c r="F3701" t="s">
        <v>7</v>
      </c>
      <c r="G3701" t="s">
        <v>8</v>
      </c>
      <c r="H3701">
        <v>23000</v>
      </c>
      <c r="I3701">
        <v>6.8</v>
      </c>
      <c r="J3701" t="s">
        <v>9930</v>
      </c>
    </row>
    <row r="3702" spans="1:10" x14ac:dyDescent="0.3">
      <c r="A3702">
        <v>85</v>
      </c>
      <c r="B3702">
        <v>192467</v>
      </c>
      <c r="C3702" t="s">
        <v>561</v>
      </c>
      <c r="D3702" t="s">
        <v>8242</v>
      </c>
      <c r="E3702" t="s">
        <v>8243</v>
      </c>
      <c r="F3702" t="s">
        <v>7</v>
      </c>
      <c r="G3702" t="s">
        <v>8</v>
      </c>
      <c r="H3702">
        <v>15000</v>
      </c>
      <c r="I3702">
        <v>6.2</v>
      </c>
      <c r="J3702" t="s">
        <v>9931</v>
      </c>
    </row>
    <row r="3703" spans="1:10" x14ac:dyDescent="0.3">
      <c r="A3703">
        <v>88</v>
      </c>
      <c r="B3703">
        <v>76382</v>
      </c>
      <c r="C3703" t="s">
        <v>7473</v>
      </c>
      <c r="D3703" t="s">
        <v>8244</v>
      </c>
      <c r="E3703" t="s">
        <v>8245</v>
      </c>
      <c r="F3703" t="s">
        <v>7</v>
      </c>
      <c r="G3703" t="s">
        <v>8</v>
      </c>
      <c r="H3703">
        <v>15000</v>
      </c>
      <c r="I3703">
        <v>7.4</v>
      </c>
      <c r="J3703" t="s">
        <v>8310</v>
      </c>
    </row>
    <row r="3704" spans="1:10" x14ac:dyDescent="0.3">
      <c r="A3704">
        <v>108</v>
      </c>
      <c r="B3704">
        <v>180483</v>
      </c>
      <c r="C3704" t="s">
        <v>8246</v>
      </c>
      <c r="D3704" t="s">
        <v>8247</v>
      </c>
      <c r="E3704" t="s">
        <v>8248</v>
      </c>
      <c r="F3704" t="s">
        <v>7</v>
      </c>
      <c r="G3704" t="s">
        <v>8</v>
      </c>
      <c r="H3704">
        <v>10000</v>
      </c>
      <c r="I3704">
        <v>4.5999999999999996</v>
      </c>
      <c r="J3704" t="s">
        <v>9493</v>
      </c>
    </row>
    <row r="3705" spans="1:10" x14ac:dyDescent="0.3">
      <c r="A3705">
        <v>110</v>
      </c>
      <c r="B3705">
        <v>136007</v>
      </c>
      <c r="C3705" t="s">
        <v>3307</v>
      </c>
      <c r="D3705" t="s">
        <v>8249</v>
      </c>
      <c r="E3705" t="s">
        <v>8250</v>
      </c>
      <c r="F3705" t="s">
        <v>582</v>
      </c>
      <c r="G3705" t="s">
        <v>583</v>
      </c>
      <c r="H3705">
        <v>4500</v>
      </c>
      <c r="I3705">
        <v>6.4</v>
      </c>
      <c r="J3705" t="s">
        <v>9932</v>
      </c>
    </row>
    <row r="3706" spans="1:10" x14ac:dyDescent="0.3">
      <c r="A3706">
        <v>90</v>
      </c>
      <c r="B3706">
        <v>673780</v>
      </c>
      <c r="C3706" t="s">
        <v>1417</v>
      </c>
      <c r="D3706" t="s">
        <v>8251</v>
      </c>
      <c r="E3706" t="s">
        <v>8252</v>
      </c>
      <c r="F3706" t="s">
        <v>7918</v>
      </c>
      <c r="G3706" t="s">
        <v>5609</v>
      </c>
      <c r="H3706">
        <v>10000</v>
      </c>
      <c r="I3706">
        <v>7</v>
      </c>
      <c r="J3706" t="s">
        <v>8854</v>
      </c>
    </row>
    <row r="3707" spans="1:10" x14ac:dyDescent="0.3">
      <c r="A3707">
        <v>111</v>
      </c>
      <c r="B3707">
        <v>94596</v>
      </c>
      <c r="C3707" t="s">
        <v>2016</v>
      </c>
      <c r="D3707" t="s">
        <v>8253</v>
      </c>
      <c r="E3707" t="s">
        <v>8254</v>
      </c>
      <c r="F3707" t="s">
        <v>247</v>
      </c>
      <c r="G3707" t="s">
        <v>248</v>
      </c>
      <c r="H3707">
        <v>1000000</v>
      </c>
      <c r="I3707">
        <v>7.7</v>
      </c>
      <c r="J3707" t="s">
        <v>9435</v>
      </c>
    </row>
    <row r="3708" spans="1:10" x14ac:dyDescent="0.3">
      <c r="A3708">
        <v>77</v>
      </c>
      <c r="B3708">
        <v>424760</v>
      </c>
      <c r="C3708" t="s">
        <v>1110</v>
      </c>
      <c r="D3708" t="s">
        <v>8255</v>
      </c>
      <c r="E3708" t="s">
        <v>8256</v>
      </c>
      <c r="F3708" t="s">
        <v>7</v>
      </c>
      <c r="G3708" t="s">
        <v>8</v>
      </c>
      <c r="H3708">
        <v>7000</v>
      </c>
      <c r="I3708">
        <v>6.8</v>
      </c>
      <c r="J3708" t="s">
        <v>9511</v>
      </c>
    </row>
    <row r="3709" spans="1:10" x14ac:dyDescent="0.3">
      <c r="A3709">
        <v>80</v>
      </c>
      <c r="B3709">
        <v>70071</v>
      </c>
      <c r="C3709" t="s">
        <v>4380</v>
      </c>
      <c r="D3709" t="s">
        <v>8257</v>
      </c>
      <c r="E3709" t="s">
        <v>8258</v>
      </c>
      <c r="F3709" t="s">
        <v>7</v>
      </c>
      <c r="G3709" t="s">
        <v>8259</v>
      </c>
      <c r="H3709">
        <v>7000</v>
      </c>
      <c r="I3709">
        <v>7</v>
      </c>
      <c r="J3709" t="s">
        <v>9933</v>
      </c>
    </row>
    <row r="3710" spans="1:10" x14ac:dyDescent="0.3">
      <c r="A3710">
        <v>81</v>
      </c>
      <c r="B3710">
        <v>2040920</v>
      </c>
      <c r="C3710" t="s">
        <v>2438</v>
      </c>
      <c r="D3710" t="s">
        <v>8260</v>
      </c>
      <c r="E3710" t="s">
        <v>8261</v>
      </c>
      <c r="F3710" t="s">
        <v>1146</v>
      </c>
      <c r="G3710" t="s">
        <v>8</v>
      </c>
      <c r="H3710">
        <v>7000</v>
      </c>
      <c r="I3710">
        <v>7</v>
      </c>
      <c r="J3710" t="s">
        <v>9852</v>
      </c>
    </row>
    <row r="3711" spans="1:10" x14ac:dyDescent="0.3">
      <c r="A3711">
        <v>95</v>
      </c>
      <c r="B3711">
        <v>4584</v>
      </c>
      <c r="C3711" t="s">
        <v>1040</v>
      </c>
      <c r="D3711" t="s">
        <v>8262</v>
      </c>
      <c r="E3711" t="s">
        <v>8263</v>
      </c>
      <c r="F3711" t="s">
        <v>7</v>
      </c>
      <c r="G3711" t="s">
        <v>8</v>
      </c>
      <c r="H3711">
        <v>9000</v>
      </c>
      <c r="I3711">
        <v>6.3</v>
      </c>
      <c r="J3711" t="s">
        <v>9934</v>
      </c>
    </row>
    <row r="3712" spans="1:10" x14ac:dyDescent="0.3">
      <c r="A3712">
        <v>90</v>
      </c>
      <c r="B3712">
        <v>85222</v>
      </c>
      <c r="C3712" t="s">
        <v>19</v>
      </c>
      <c r="D3712" t="s">
        <v>8264</v>
      </c>
      <c r="E3712" t="s">
        <v>8265</v>
      </c>
      <c r="F3712" t="s">
        <v>7</v>
      </c>
      <c r="G3712" t="s">
        <v>8</v>
      </c>
      <c r="H3712">
        <v>1100</v>
      </c>
      <c r="I3712">
        <v>7.1</v>
      </c>
      <c r="J3712" t="s">
        <v>9935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059B0-F660-40EF-80D9-9236770675A8}">
  <dimension ref="A1:R5044"/>
  <sheetViews>
    <sheetView topLeftCell="L1" workbookViewId="0">
      <selection activeCell="AL8" sqref="AL8"/>
    </sheetView>
  </sheetViews>
  <sheetFormatPr defaultRowHeight="14.4" x14ac:dyDescent="0.3"/>
  <cols>
    <col min="2" max="2" width="11.77734375" bestFit="1" customWidth="1"/>
    <col min="4" max="4" width="10.88671875" bestFit="1" customWidth="1"/>
    <col min="8" max="8" width="8.88671875" customWidth="1"/>
    <col min="9" max="9" width="9" customWidth="1"/>
    <col min="11" max="11" width="11.77734375" bestFit="1" customWidth="1"/>
    <col min="12" max="12" width="59.109375" customWidth="1"/>
    <col min="14" max="14" width="11.77734375" bestFit="1" customWidth="1"/>
    <col min="15" max="15" width="12.5546875" bestFit="1" customWidth="1"/>
    <col min="17" max="17" width="12.6640625" customWidth="1"/>
    <col min="18" max="18" width="18.88671875" customWidth="1"/>
    <col min="19" max="19" width="12.44140625" bestFit="1" customWidth="1"/>
    <col min="20" max="20" width="6.33203125" bestFit="1" customWidth="1"/>
    <col min="21" max="21" width="3" bestFit="1" customWidth="1"/>
    <col min="22" max="36" width="4" bestFit="1" customWidth="1"/>
    <col min="37" max="41" width="5" bestFit="1" customWidth="1"/>
    <col min="42" max="42" width="6" bestFit="1" customWidth="1"/>
    <col min="43" max="43" width="7" bestFit="1" customWidth="1"/>
    <col min="44" max="44" width="10.5546875" bestFit="1" customWidth="1"/>
  </cols>
  <sheetData>
    <row r="1" spans="1:18" x14ac:dyDescent="0.3">
      <c r="A1" s="46" t="s">
        <v>8274</v>
      </c>
      <c r="B1" s="46"/>
      <c r="C1" s="46"/>
      <c r="D1" s="46"/>
      <c r="E1" s="46"/>
      <c r="F1" s="46"/>
      <c r="G1" s="46"/>
      <c r="H1" s="46"/>
      <c r="J1" s="7" t="s">
        <v>8276</v>
      </c>
      <c r="L1" s="38" t="s">
        <v>8275</v>
      </c>
      <c r="N1" s="1" t="s">
        <v>8272</v>
      </c>
      <c r="O1" s="1" t="s">
        <v>8273</v>
      </c>
    </row>
    <row r="2" spans="1:18" x14ac:dyDescent="0.3">
      <c r="A2" t="s">
        <v>521</v>
      </c>
      <c r="B2" t="s">
        <v>362</v>
      </c>
      <c r="C2" t="s">
        <v>497</v>
      </c>
      <c r="D2" t="s">
        <v>5138</v>
      </c>
      <c r="E2" t="s">
        <v>497</v>
      </c>
      <c r="F2" t="s">
        <v>6902</v>
      </c>
      <c r="G2" t="s">
        <v>7473</v>
      </c>
      <c r="H2" t="s">
        <v>7473</v>
      </c>
      <c r="J2" s="5" t="s">
        <v>521</v>
      </c>
      <c r="L2" s="3" t="s">
        <v>5</v>
      </c>
      <c r="N2" s="10" t="s">
        <v>521</v>
      </c>
      <c r="O2">
        <v>1153</v>
      </c>
    </row>
    <row r="3" spans="1:18" x14ac:dyDescent="0.3">
      <c r="A3" t="s">
        <v>521</v>
      </c>
      <c r="B3" t="s">
        <v>362</v>
      </c>
      <c r="C3" t="s">
        <v>497</v>
      </c>
      <c r="D3" t="s">
        <v>7104</v>
      </c>
      <c r="E3" t="s">
        <v>497</v>
      </c>
      <c r="F3" t="s">
        <v>5138</v>
      </c>
      <c r="G3" t="s">
        <v>5138</v>
      </c>
      <c r="H3" t="s">
        <v>4380</v>
      </c>
      <c r="J3" s="6" t="s">
        <v>362</v>
      </c>
      <c r="L3" s="4" t="s">
        <v>10</v>
      </c>
      <c r="N3" s="11" t="s">
        <v>362</v>
      </c>
      <c r="O3">
        <v>923</v>
      </c>
    </row>
    <row r="4" spans="1:18" x14ac:dyDescent="0.3">
      <c r="A4" t="s">
        <v>521</v>
      </c>
      <c r="B4" t="s">
        <v>362</v>
      </c>
      <c r="C4" t="s">
        <v>4380</v>
      </c>
      <c r="D4" t="s">
        <v>8266</v>
      </c>
      <c r="E4" t="s">
        <v>4380</v>
      </c>
      <c r="F4" t="s">
        <v>5138</v>
      </c>
      <c r="G4" t="s">
        <v>8269</v>
      </c>
      <c r="H4" t="s">
        <v>4380</v>
      </c>
      <c r="J4" s="6" t="s">
        <v>1417</v>
      </c>
      <c r="L4" s="3" t="s">
        <v>13</v>
      </c>
      <c r="N4" s="15" t="s">
        <v>1417</v>
      </c>
      <c r="O4">
        <v>2594</v>
      </c>
      <c r="Q4" s="12" t="s">
        <v>8279</v>
      </c>
      <c r="R4" s="34">
        <f>AVERAGE(O2:O23)</f>
        <v>658.77272727272725</v>
      </c>
    </row>
    <row r="5" spans="1:18" x14ac:dyDescent="0.3">
      <c r="A5" t="s">
        <v>521</v>
      </c>
      <c r="B5" t="s">
        <v>4380</v>
      </c>
      <c r="C5" t="s">
        <v>5138</v>
      </c>
      <c r="D5" t="s">
        <v>5138</v>
      </c>
      <c r="E5" t="s">
        <v>497</v>
      </c>
      <c r="F5" t="s">
        <v>497</v>
      </c>
      <c r="G5" t="s">
        <v>5138</v>
      </c>
      <c r="H5" t="s">
        <v>4380</v>
      </c>
      <c r="J5" s="6" t="s">
        <v>5043</v>
      </c>
      <c r="L5" s="4" t="s">
        <v>17</v>
      </c>
      <c r="N5" s="11" t="s">
        <v>5043</v>
      </c>
      <c r="O5">
        <v>214</v>
      </c>
      <c r="Q5" s="12" t="s">
        <v>8280</v>
      </c>
      <c r="R5" s="13">
        <f>AVERAGE(O2:O23)</f>
        <v>658.77272727272725</v>
      </c>
    </row>
    <row r="6" spans="1:18" x14ac:dyDescent="0.3">
      <c r="A6" t="s">
        <v>19</v>
      </c>
      <c r="B6" t="s">
        <v>362</v>
      </c>
      <c r="C6" t="s">
        <v>7473</v>
      </c>
      <c r="D6" t="s">
        <v>497</v>
      </c>
      <c r="E6" t="s">
        <v>8267</v>
      </c>
      <c r="F6" t="s">
        <v>7104</v>
      </c>
      <c r="G6" t="s">
        <v>5138</v>
      </c>
      <c r="J6" s="6" t="s">
        <v>2701</v>
      </c>
      <c r="L6" s="3" t="s">
        <v>21</v>
      </c>
      <c r="N6" s="11" t="s">
        <v>2701</v>
      </c>
      <c r="O6">
        <v>565</v>
      </c>
      <c r="Q6" s="12" t="s">
        <v>8281</v>
      </c>
      <c r="R6" s="12">
        <v>0</v>
      </c>
    </row>
    <row r="7" spans="1:18" x14ac:dyDescent="0.3">
      <c r="A7" t="s">
        <v>521</v>
      </c>
      <c r="B7" t="s">
        <v>362</v>
      </c>
      <c r="C7" t="s">
        <v>668</v>
      </c>
      <c r="D7" t="s">
        <v>7104</v>
      </c>
      <c r="E7" t="s">
        <v>497</v>
      </c>
      <c r="F7" t="s">
        <v>7473</v>
      </c>
      <c r="G7" t="s">
        <v>5138</v>
      </c>
      <c r="J7" s="6" t="s">
        <v>7473</v>
      </c>
      <c r="L7" s="4" t="s">
        <v>24</v>
      </c>
      <c r="N7" s="11" t="s">
        <v>7473</v>
      </c>
      <c r="O7">
        <v>1107</v>
      </c>
      <c r="Q7" s="12" t="s">
        <v>8282</v>
      </c>
      <c r="R7" s="12">
        <f>MEDIAN(O2:O23)</f>
        <v>523</v>
      </c>
    </row>
    <row r="8" spans="1:18" x14ac:dyDescent="0.3">
      <c r="A8" t="s">
        <v>521</v>
      </c>
      <c r="B8" t="s">
        <v>4843</v>
      </c>
      <c r="C8" t="s">
        <v>5138</v>
      </c>
      <c r="D8" t="s">
        <v>8046</v>
      </c>
      <c r="E8" t="s">
        <v>4380</v>
      </c>
      <c r="F8" t="s">
        <v>6902</v>
      </c>
      <c r="G8" t="s">
        <v>8267</v>
      </c>
      <c r="J8" s="6" t="s">
        <v>668</v>
      </c>
      <c r="L8" s="3" t="s">
        <v>27</v>
      </c>
      <c r="N8" s="11" t="s">
        <v>668</v>
      </c>
      <c r="O8">
        <v>1872</v>
      </c>
      <c r="Q8" s="12" t="s">
        <v>8283</v>
      </c>
      <c r="R8" s="14">
        <f>_xlfn.STDEV.S(O2:O23)</f>
        <v>649.01441262286903</v>
      </c>
    </row>
    <row r="9" spans="1:18" x14ac:dyDescent="0.3">
      <c r="A9" t="s">
        <v>362</v>
      </c>
      <c r="B9" t="s">
        <v>362</v>
      </c>
      <c r="C9" t="s">
        <v>497</v>
      </c>
      <c r="D9" t="s">
        <v>7473</v>
      </c>
      <c r="E9" t="s">
        <v>4380</v>
      </c>
      <c r="F9" t="s">
        <v>497</v>
      </c>
      <c r="G9" t="s">
        <v>497</v>
      </c>
      <c r="J9" s="6" t="s">
        <v>8268</v>
      </c>
      <c r="L9" s="4" t="s">
        <v>29</v>
      </c>
      <c r="N9" s="11" t="s">
        <v>8268</v>
      </c>
      <c r="O9">
        <v>889</v>
      </c>
      <c r="Q9" s="12" t="s">
        <v>8284</v>
      </c>
      <c r="R9" s="12">
        <f>MAX(O2:O23)</f>
        <v>2594</v>
      </c>
    </row>
    <row r="10" spans="1:18" x14ac:dyDescent="0.3">
      <c r="A10" t="s">
        <v>521</v>
      </c>
      <c r="B10" t="s">
        <v>7104</v>
      </c>
      <c r="C10" t="s">
        <v>5138</v>
      </c>
      <c r="D10" t="s">
        <v>4380</v>
      </c>
      <c r="E10" t="s">
        <v>497</v>
      </c>
      <c r="F10" t="s">
        <v>5138</v>
      </c>
      <c r="G10" t="s">
        <v>6902</v>
      </c>
      <c r="J10" s="6" t="s">
        <v>5524</v>
      </c>
      <c r="L10" s="3" t="s">
        <v>32</v>
      </c>
      <c r="N10" s="11" t="s">
        <v>5524</v>
      </c>
      <c r="O10">
        <v>293</v>
      </c>
      <c r="Q10" s="12" t="s">
        <v>8285</v>
      </c>
      <c r="R10" s="12">
        <f>MIN(O2:O23)</f>
        <v>6</v>
      </c>
    </row>
    <row r="11" spans="1:18" x14ac:dyDescent="0.3">
      <c r="A11" t="s">
        <v>362</v>
      </c>
      <c r="B11" t="s">
        <v>362</v>
      </c>
      <c r="C11" t="s">
        <v>5138</v>
      </c>
      <c r="D11" t="s">
        <v>4380</v>
      </c>
      <c r="E11" t="s">
        <v>497</v>
      </c>
      <c r="F11" t="s">
        <v>8266</v>
      </c>
      <c r="G11" t="s">
        <v>7473</v>
      </c>
      <c r="J11" s="6" t="s">
        <v>497</v>
      </c>
      <c r="L11" s="4" t="s">
        <v>34</v>
      </c>
      <c r="N11" s="11" t="s">
        <v>497</v>
      </c>
      <c r="O11">
        <v>610</v>
      </c>
      <c r="Q11" s="12" t="s">
        <v>8286</v>
      </c>
      <c r="R11" s="13">
        <f>_xlfn.VAR.S(O2:O23)</f>
        <v>421219.70779220777</v>
      </c>
    </row>
    <row r="12" spans="1:18" x14ac:dyDescent="0.3">
      <c r="A12" t="s">
        <v>521</v>
      </c>
      <c r="B12" t="s">
        <v>362</v>
      </c>
      <c r="C12" t="s">
        <v>497</v>
      </c>
      <c r="D12" t="s">
        <v>7473</v>
      </c>
      <c r="E12" t="s">
        <v>7104</v>
      </c>
      <c r="F12" t="s">
        <v>497</v>
      </c>
      <c r="G12" t="s">
        <v>7473</v>
      </c>
      <c r="J12" s="6" t="s">
        <v>8266</v>
      </c>
      <c r="L12" s="3" t="s">
        <v>37</v>
      </c>
      <c r="N12" s="11" t="s">
        <v>8266</v>
      </c>
      <c r="O12">
        <v>500</v>
      </c>
    </row>
    <row r="13" spans="1:18" x14ac:dyDescent="0.3">
      <c r="A13" t="s">
        <v>521</v>
      </c>
      <c r="B13" t="s">
        <v>362</v>
      </c>
      <c r="C13" t="s">
        <v>6171</v>
      </c>
      <c r="D13" t="s">
        <v>5138</v>
      </c>
      <c r="E13" t="s">
        <v>4380</v>
      </c>
      <c r="F13" t="s">
        <v>5138</v>
      </c>
      <c r="G13" t="s">
        <v>8266</v>
      </c>
      <c r="J13" s="6" t="s">
        <v>6902</v>
      </c>
      <c r="L13" s="4" t="s">
        <v>39</v>
      </c>
      <c r="N13" s="11" t="s">
        <v>6902</v>
      </c>
      <c r="O13">
        <v>132</v>
      </c>
    </row>
    <row r="14" spans="1:18" x14ac:dyDescent="0.3">
      <c r="A14" t="s">
        <v>521</v>
      </c>
      <c r="B14" t="s">
        <v>362</v>
      </c>
      <c r="C14" t="s">
        <v>497</v>
      </c>
      <c r="D14" t="s">
        <v>7104</v>
      </c>
      <c r="E14" t="s">
        <v>7104</v>
      </c>
      <c r="F14" t="s">
        <v>5138</v>
      </c>
      <c r="G14" t="s">
        <v>5138</v>
      </c>
      <c r="J14" s="6" t="s">
        <v>4380</v>
      </c>
      <c r="L14" s="3" t="s">
        <v>42</v>
      </c>
      <c r="N14" s="11" t="s">
        <v>4380</v>
      </c>
      <c r="O14">
        <v>1411</v>
      </c>
    </row>
    <row r="15" spans="1:18" x14ac:dyDescent="0.3">
      <c r="A15" t="s">
        <v>521</v>
      </c>
      <c r="B15" t="s">
        <v>362</v>
      </c>
      <c r="C15" t="s">
        <v>7104</v>
      </c>
      <c r="D15" t="s">
        <v>5138</v>
      </c>
      <c r="E15" t="s">
        <v>7473</v>
      </c>
      <c r="F15" t="s">
        <v>497</v>
      </c>
      <c r="G15" t="s">
        <v>6902</v>
      </c>
      <c r="J15" s="6" t="s">
        <v>8046</v>
      </c>
      <c r="L15" s="4" t="s">
        <v>44</v>
      </c>
      <c r="N15" s="11" t="s">
        <v>8046</v>
      </c>
      <c r="O15">
        <v>207</v>
      </c>
    </row>
    <row r="16" spans="1:18" x14ac:dyDescent="0.3">
      <c r="A16" t="s">
        <v>521</v>
      </c>
      <c r="B16" t="s">
        <v>362</v>
      </c>
      <c r="C16" t="s">
        <v>5138</v>
      </c>
      <c r="D16" t="s">
        <v>7104</v>
      </c>
      <c r="E16" t="s">
        <v>497</v>
      </c>
      <c r="F16" t="s">
        <v>4380</v>
      </c>
      <c r="G16" t="s">
        <v>7473</v>
      </c>
      <c r="J16" s="6" t="s">
        <v>4843</v>
      </c>
      <c r="L16" s="3" t="s">
        <v>47</v>
      </c>
      <c r="N16" s="11" t="s">
        <v>4843</v>
      </c>
      <c r="O16">
        <v>242</v>
      </c>
    </row>
    <row r="17" spans="1:15" x14ac:dyDescent="0.3">
      <c r="A17" t="s">
        <v>521</v>
      </c>
      <c r="B17" t="s">
        <v>362</v>
      </c>
      <c r="C17" t="s">
        <v>497</v>
      </c>
      <c r="D17" t="s">
        <v>7104</v>
      </c>
      <c r="E17" t="s">
        <v>5138</v>
      </c>
      <c r="F17" t="s">
        <v>8269</v>
      </c>
      <c r="G17" t="s">
        <v>5138</v>
      </c>
      <c r="J17" s="6" t="s">
        <v>7104</v>
      </c>
      <c r="L17" s="4" t="s">
        <v>49</v>
      </c>
      <c r="N17" s="11" t="s">
        <v>7104</v>
      </c>
      <c r="O17">
        <v>546</v>
      </c>
    </row>
    <row r="18" spans="1:15" x14ac:dyDescent="0.3">
      <c r="A18" t="s">
        <v>521</v>
      </c>
      <c r="B18" t="s">
        <v>362</v>
      </c>
      <c r="C18" t="s">
        <v>668</v>
      </c>
      <c r="D18" t="s">
        <v>5138</v>
      </c>
      <c r="E18" t="s">
        <v>1417</v>
      </c>
      <c r="F18" t="s">
        <v>5138</v>
      </c>
      <c r="G18" t="s">
        <v>4380</v>
      </c>
      <c r="J18" s="6" t="s">
        <v>6171</v>
      </c>
      <c r="L18" s="3" t="s">
        <v>51</v>
      </c>
      <c r="N18" s="11" t="s">
        <v>6171</v>
      </c>
      <c r="O18">
        <v>97</v>
      </c>
    </row>
    <row r="19" spans="1:15" x14ac:dyDescent="0.3">
      <c r="A19" t="s">
        <v>521</v>
      </c>
      <c r="B19" t="s">
        <v>362</v>
      </c>
      <c r="C19" t="s">
        <v>497</v>
      </c>
      <c r="D19" t="s">
        <v>5138</v>
      </c>
      <c r="E19" t="s">
        <v>5138</v>
      </c>
      <c r="F19" t="s">
        <v>5043</v>
      </c>
      <c r="G19" t="s">
        <v>7473</v>
      </c>
      <c r="J19" s="6" t="s">
        <v>5138</v>
      </c>
      <c r="L19" s="4" t="s">
        <v>54</v>
      </c>
      <c r="N19" s="11" t="s">
        <v>5138</v>
      </c>
      <c r="O19">
        <v>616</v>
      </c>
    </row>
    <row r="20" spans="1:15" x14ac:dyDescent="0.3">
      <c r="A20" t="s">
        <v>521</v>
      </c>
      <c r="B20" t="s">
        <v>362</v>
      </c>
      <c r="C20" t="s">
        <v>1417</v>
      </c>
      <c r="D20" t="s">
        <v>7473</v>
      </c>
      <c r="E20" t="s">
        <v>5138</v>
      </c>
      <c r="F20" t="s">
        <v>4380</v>
      </c>
      <c r="G20" t="s">
        <v>4380</v>
      </c>
      <c r="J20" s="6" t="s">
        <v>8267</v>
      </c>
      <c r="L20" s="3" t="s">
        <v>57</v>
      </c>
      <c r="N20" s="11" t="s">
        <v>8267</v>
      </c>
      <c r="O20">
        <v>182</v>
      </c>
    </row>
    <row r="21" spans="1:15" x14ac:dyDescent="0.3">
      <c r="A21" t="s">
        <v>521</v>
      </c>
      <c r="B21" t="s">
        <v>497</v>
      </c>
      <c r="C21" t="s">
        <v>497</v>
      </c>
      <c r="D21" t="s">
        <v>7104</v>
      </c>
      <c r="E21" t="s">
        <v>497</v>
      </c>
      <c r="F21" t="s">
        <v>7473</v>
      </c>
      <c r="G21" t="s">
        <v>5138</v>
      </c>
      <c r="J21" s="6" t="s">
        <v>8269</v>
      </c>
      <c r="L21" s="4" t="s">
        <v>60</v>
      </c>
      <c r="N21" s="11" t="s">
        <v>8269</v>
      </c>
      <c r="O21">
        <v>213</v>
      </c>
    </row>
    <row r="22" spans="1:15" x14ac:dyDescent="0.3">
      <c r="A22" t="s">
        <v>362</v>
      </c>
      <c r="B22" t="s">
        <v>362</v>
      </c>
      <c r="C22" t="s">
        <v>1417</v>
      </c>
      <c r="D22" t="s">
        <v>7104</v>
      </c>
      <c r="E22" t="s">
        <v>8269</v>
      </c>
      <c r="F22" t="s">
        <v>497</v>
      </c>
      <c r="G22" t="s">
        <v>4380</v>
      </c>
      <c r="J22" s="6" t="s">
        <v>19</v>
      </c>
      <c r="L22" s="3" t="s">
        <v>63</v>
      </c>
      <c r="N22" s="11" t="s">
        <v>19</v>
      </c>
      <c r="O22">
        <v>121</v>
      </c>
    </row>
    <row r="23" spans="1:15" x14ac:dyDescent="0.3">
      <c r="A23" t="s">
        <v>521</v>
      </c>
      <c r="B23" t="s">
        <v>362</v>
      </c>
      <c r="C23" t="s">
        <v>5138</v>
      </c>
      <c r="D23" t="s">
        <v>4380</v>
      </c>
      <c r="E23" t="s">
        <v>8046</v>
      </c>
      <c r="F23" t="s">
        <v>5043</v>
      </c>
      <c r="G23" t="s">
        <v>497</v>
      </c>
      <c r="J23" s="6" t="s">
        <v>8271</v>
      </c>
      <c r="L23" s="4" t="s">
        <v>65</v>
      </c>
      <c r="N23" s="16" t="s">
        <v>8271</v>
      </c>
      <c r="O23">
        <v>6</v>
      </c>
    </row>
    <row r="24" spans="1:15" x14ac:dyDescent="0.3">
      <c r="A24" t="s">
        <v>521</v>
      </c>
      <c r="B24" t="s">
        <v>497</v>
      </c>
      <c r="C24" t="s">
        <v>5138</v>
      </c>
      <c r="D24" t="s">
        <v>5138</v>
      </c>
      <c r="E24" t="s">
        <v>7104</v>
      </c>
      <c r="F24" t="s">
        <v>4380</v>
      </c>
      <c r="L24" s="3" t="s">
        <v>68</v>
      </c>
      <c r="N24" s="9" t="s">
        <v>8277</v>
      </c>
      <c r="O24" s="8">
        <f>SUM(O2:O23)</f>
        <v>14493</v>
      </c>
    </row>
    <row r="25" spans="1:15" x14ac:dyDescent="0.3">
      <c r="A25" t="s">
        <v>362</v>
      </c>
      <c r="B25" t="s">
        <v>7104</v>
      </c>
      <c r="C25" t="s">
        <v>5138</v>
      </c>
      <c r="D25" t="s">
        <v>4380</v>
      </c>
      <c r="E25" t="s">
        <v>4380</v>
      </c>
      <c r="F25" t="s">
        <v>5138</v>
      </c>
      <c r="L25" s="4" t="s">
        <v>71</v>
      </c>
    </row>
    <row r="26" spans="1:15" x14ac:dyDescent="0.3">
      <c r="A26" t="s">
        <v>362</v>
      </c>
      <c r="B26" t="s">
        <v>362</v>
      </c>
      <c r="C26" t="s">
        <v>4380</v>
      </c>
      <c r="D26" t="s">
        <v>497</v>
      </c>
      <c r="E26" t="s">
        <v>497</v>
      </c>
      <c r="F26" t="s">
        <v>5138</v>
      </c>
      <c r="L26" s="3" t="s">
        <v>74</v>
      </c>
    </row>
    <row r="27" spans="1:15" x14ac:dyDescent="0.3">
      <c r="A27" t="s">
        <v>521</v>
      </c>
      <c r="B27" t="s">
        <v>7473</v>
      </c>
      <c r="C27" t="s">
        <v>497</v>
      </c>
      <c r="D27" t="s">
        <v>7473</v>
      </c>
      <c r="E27" t="s">
        <v>7104</v>
      </c>
      <c r="F27" t="s">
        <v>5138</v>
      </c>
      <c r="L27" s="4" t="s">
        <v>76</v>
      </c>
    </row>
    <row r="28" spans="1:15" x14ac:dyDescent="0.3">
      <c r="A28" t="s">
        <v>1417</v>
      </c>
      <c r="B28" t="s">
        <v>362</v>
      </c>
      <c r="C28" t="s">
        <v>5138</v>
      </c>
      <c r="D28" t="s">
        <v>4380</v>
      </c>
      <c r="E28" t="s">
        <v>7104</v>
      </c>
      <c r="F28" t="s">
        <v>497</v>
      </c>
      <c r="L28" s="3" t="s">
        <v>79</v>
      </c>
    </row>
    <row r="29" spans="1:15" x14ac:dyDescent="0.3">
      <c r="A29" t="s">
        <v>521</v>
      </c>
      <c r="B29" t="s">
        <v>362</v>
      </c>
      <c r="C29" t="s">
        <v>497</v>
      </c>
      <c r="D29" t="s">
        <v>7104</v>
      </c>
      <c r="E29" t="s">
        <v>7104</v>
      </c>
      <c r="F29" t="s">
        <v>7473</v>
      </c>
      <c r="L29" s="4" t="s">
        <v>81</v>
      </c>
    </row>
    <row r="30" spans="1:15" x14ac:dyDescent="0.3">
      <c r="A30" t="s">
        <v>521</v>
      </c>
      <c r="B30" t="s">
        <v>362</v>
      </c>
      <c r="C30" t="s">
        <v>497</v>
      </c>
      <c r="D30" t="s">
        <v>668</v>
      </c>
      <c r="E30" t="s">
        <v>7104</v>
      </c>
      <c r="F30" t="s">
        <v>7473</v>
      </c>
      <c r="L30" s="3" t="s">
        <v>83</v>
      </c>
    </row>
    <row r="31" spans="1:15" x14ac:dyDescent="0.3">
      <c r="A31" t="s">
        <v>521</v>
      </c>
      <c r="B31" t="s">
        <v>362</v>
      </c>
      <c r="C31" t="s">
        <v>668</v>
      </c>
      <c r="D31" t="s">
        <v>8266</v>
      </c>
      <c r="E31" t="s">
        <v>5138</v>
      </c>
      <c r="F31" t="s">
        <v>7104</v>
      </c>
      <c r="L31" s="4" t="s">
        <v>86</v>
      </c>
    </row>
    <row r="32" spans="1:15" x14ac:dyDescent="0.3">
      <c r="A32" t="s">
        <v>521</v>
      </c>
      <c r="B32" t="s">
        <v>362</v>
      </c>
      <c r="C32" t="s">
        <v>5138</v>
      </c>
      <c r="D32" t="s">
        <v>6171</v>
      </c>
      <c r="E32" t="s">
        <v>497</v>
      </c>
      <c r="F32" t="s">
        <v>6171</v>
      </c>
      <c r="L32" s="3" t="s">
        <v>88</v>
      </c>
    </row>
    <row r="33" spans="1:12" x14ac:dyDescent="0.3">
      <c r="A33" t="s">
        <v>521</v>
      </c>
      <c r="B33" t="s">
        <v>362</v>
      </c>
      <c r="C33" t="s">
        <v>5138</v>
      </c>
      <c r="D33" t="s">
        <v>2701</v>
      </c>
      <c r="E33" t="s">
        <v>7104</v>
      </c>
      <c r="F33" t="s">
        <v>4380</v>
      </c>
      <c r="L33" s="4" t="s">
        <v>90</v>
      </c>
    </row>
    <row r="34" spans="1:12" x14ac:dyDescent="0.3">
      <c r="A34" t="s">
        <v>521</v>
      </c>
      <c r="B34" t="s">
        <v>7104</v>
      </c>
      <c r="C34" t="s">
        <v>497</v>
      </c>
      <c r="D34" t="s">
        <v>5138</v>
      </c>
      <c r="E34" t="s">
        <v>7104</v>
      </c>
      <c r="F34" t="s">
        <v>5138</v>
      </c>
      <c r="L34" s="3" t="s">
        <v>93</v>
      </c>
    </row>
    <row r="35" spans="1:12" x14ac:dyDescent="0.3">
      <c r="A35" t="s">
        <v>362</v>
      </c>
      <c r="B35" t="s">
        <v>362</v>
      </c>
      <c r="C35" t="s">
        <v>497</v>
      </c>
      <c r="D35" t="s">
        <v>4380</v>
      </c>
      <c r="E35" t="s">
        <v>7473</v>
      </c>
      <c r="F35" t="s">
        <v>4380</v>
      </c>
      <c r="L35" s="4" t="s">
        <v>97</v>
      </c>
    </row>
    <row r="36" spans="1:12" x14ac:dyDescent="0.3">
      <c r="A36" t="s">
        <v>521</v>
      </c>
      <c r="B36" t="s">
        <v>4843</v>
      </c>
      <c r="C36" t="s">
        <v>5138</v>
      </c>
      <c r="D36" t="s">
        <v>4380</v>
      </c>
      <c r="E36" t="s">
        <v>8269</v>
      </c>
      <c r="F36" t="s">
        <v>497</v>
      </c>
      <c r="L36" s="3" t="s">
        <v>99</v>
      </c>
    </row>
    <row r="37" spans="1:12" x14ac:dyDescent="0.3">
      <c r="A37" t="s">
        <v>362</v>
      </c>
      <c r="B37" t="s">
        <v>362</v>
      </c>
      <c r="C37" t="s">
        <v>668</v>
      </c>
      <c r="D37" t="s">
        <v>1417</v>
      </c>
      <c r="E37" t="s">
        <v>4380</v>
      </c>
      <c r="F37" t="s">
        <v>497</v>
      </c>
      <c r="L37" s="4" t="s">
        <v>101</v>
      </c>
    </row>
    <row r="38" spans="1:12" x14ac:dyDescent="0.3">
      <c r="A38" t="s">
        <v>521</v>
      </c>
      <c r="B38" t="s">
        <v>362</v>
      </c>
      <c r="C38" t="s">
        <v>5138</v>
      </c>
      <c r="D38" t="s">
        <v>497</v>
      </c>
      <c r="E38" t="s">
        <v>8267</v>
      </c>
      <c r="F38" t="s">
        <v>497</v>
      </c>
      <c r="L38" s="3" t="s">
        <v>103</v>
      </c>
    </row>
    <row r="39" spans="1:12" x14ac:dyDescent="0.3">
      <c r="A39" t="s">
        <v>521</v>
      </c>
      <c r="B39" t="s">
        <v>7104</v>
      </c>
      <c r="C39" t="s">
        <v>668</v>
      </c>
      <c r="D39" t="s">
        <v>497</v>
      </c>
      <c r="E39" t="s">
        <v>6171</v>
      </c>
      <c r="F39" t="s">
        <v>8269</v>
      </c>
      <c r="L39" s="4" t="s">
        <v>105</v>
      </c>
    </row>
    <row r="40" spans="1:12" x14ac:dyDescent="0.3">
      <c r="A40" t="s">
        <v>362</v>
      </c>
      <c r="B40" t="s">
        <v>362</v>
      </c>
      <c r="C40" t="s">
        <v>5138</v>
      </c>
      <c r="D40" t="s">
        <v>497</v>
      </c>
      <c r="E40" t="s">
        <v>7104</v>
      </c>
      <c r="F40" t="s">
        <v>8269</v>
      </c>
      <c r="L40" s="3" t="s">
        <v>107</v>
      </c>
    </row>
    <row r="41" spans="1:12" x14ac:dyDescent="0.3">
      <c r="A41" t="s">
        <v>521</v>
      </c>
      <c r="B41" t="s">
        <v>362</v>
      </c>
      <c r="C41" t="s">
        <v>4380</v>
      </c>
      <c r="D41" t="s">
        <v>5138</v>
      </c>
      <c r="E41" t="s">
        <v>497</v>
      </c>
      <c r="F41" t="s">
        <v>6902</v>
      </c>
      <c r="L41" s="4" t="s">
        <v>110</v>
      </c>
    </row>
    <row r="42" spans="1:12" x14ac:dyDescent="0.3">
      <c r="A42" t="s">
        <v>521</v>
      </c>
      <c r="B42" t="s">
        <v>4843</v>
      </c>
      <c r="C42" t="s">
        <v>2701</v>
      </c>
      <c r="D42" t="s">
        <v>5138</v>
      </c>
      <c r="E42" t="s">
        <v>7104</v>
      </c>
      <c r="F42" t="s">
        <v>6902</v>
      </c>
      <c r="L42" s="3" t="s">
        <v>112</v>
      </c>
    </row>
    <row r="43" spans="1:12" x14ac:dyDescent="0.3">
      <c r="A43" t="s">
        <v>362</v>
      </c>
      <c r="B43" t="s">
        <v>362</v>
      </c>
      <c r="C43" t="s">
        <v>497</v>
      </c>
      <c r="D43" t="s">
        <v>497</v>
      </c>
      <c r="E43" t="s">
        <v>5138</v>
      </c>
      <c r="F43" t="s">
        <v>4380</v>
      </c>
      <c r="L43" s="4" t="s">
        <v>114</v>
      </c>
    </row>
    <row r="44" spans="1:12" x14ac:dyDescent="0.3">
      <c r="A44" t="s">
        <v>521</v>
      </c>
      <c r="B44" t="s">
        <v>4843</v>
      </c>
      <c r="C44" t="s">
        <v>5138</v>
      </c>
      <c r="D44" t="s">
        <v>7104</v>
      </c>
      <c r="E44" t="s">
        <v>5138</v>
      </c>
      <c r="F44" t="s">
        <v>8267</v>
      </c>
      <c r="L44" s="3" t="s">
        <v>116</v>
      </c>
    </row>
    <row r="45" spans="1:12" x14ac:dyDescent="0.3">
      <c r="A45" t="s">
        <v>362</v>
      </c>
      <c r="B45" t="s">
        <v>362</v>
      </c>
      <c r="C45" t="s">
        <v>497</v>
      </c>
      <c r="D45" t="s">
        <v>8266</v>
      </c>
      <c r="E45" t="s">
        <v>6902</v>
      </c>
      <c r="F45" t="s">
        <v>7473</v>
      </c>
      <c r="L45" s="4" t="s">
        <v>119</v>
      </c>
    </row>
    <row r="46" spans="1:12" x14ac:dyDescent="0.3">
      <c r="A46" t="s">
        <v>521</v>
      </c>
      <c r="B46" t="s">
        <v>8268</v>
      </c>
      <c r="C46" t="s">
        <v>5138</v>
      </c>
      <c r="D46" t="s">
        <v>668</v>
      </c>
      <c r="E46" t="s">
        <v>4380</v>
      </c>
      <c r="F46" t="s">
        <v>7104</v>
      </c>
      <c r="L46" s="3" t="s">
        <v>122</v>
      </c>
    </row>
    <row r="47" spans="1:12" x14ac:dyDescent="0.3">
      <c r="A47" t="s">
        <v>521</v>
      </c>
      <c r="B47" t="s">
        <v>362</v>
      </c>
      <c r="C47" t="s">
        <v>5138</v>
      </c>
      <c r="D47" t="s">
        <v>7104</v>
      </c>
      <c r="E47" t="s">
        <v>4380</v>
      </c>
      <c r="F47" t="s">
        <v>8266</v>
      </c>
      <c r="L47" s="4" t="s">
        <v>124</v>
      </c>
    </row>
    <row r="48" spans="1:12" x14ac:dyDescent="0.3">
      <c r="A48" t="s">
        <v>521</v>
      </c>
      <c r="B48" t="s">
        <v>362</v>
      </c>
      <c r="C48" t="s">
        <v>497</v>
      </c>
      <c r="D48" t="s">
        <v>497</v>
      </c>
      <c r="E48" t="s">
        <v>497</v>
      </c>
      <c r="F48" t="s">
        <v>4380</v>
      </c>
      <c r="L48" s="3" t="s">
        <v>126</v>
      </c>
    </row>
    <row r="49" spans="1:12" x14ac:dyDescent="0.3">
      <c r="A49" t="s">
        <v>521</v>
      </c>
      <c r="B49" t="s">
        <v>362</v>
      </c>
      <c r="C49" t="s">
        <v>668</v>
      </c>
      <c r="D49" t="s">
        <v>497</v>
      </c>
      <c r="E49" t="s">
        <v>497</v>
      </c>
      <c r="F49" t="s">
        <v>4380</v>
      </c>
      <c r="L49" s="4" t="s">
        <v>128</v>
      </c>
    </row>
    <row r="50" spans="1:12" x14ac:dyDescent="0.3">
      <c r="A50" t="s">
        <v>521</v>
      </c>
      <c r="B50" t="s">
        <v>497</v>
      </c>
      <c r="C50" t="s">
        <v>668</v>
      </c>
      <c r="D50" t="s">
        <v>4380</v>
      </c>
      <c r="E50" t="s">
        <v>497</v>
      </c>
      <c r="F50" t="s">
        <v>4380</v>
      </c>
      <c r="L50" s="3" t="s">
        <v>130</v>
      </c>
    </row>
    <row r="51" spans="1:12" x14ac:dyDescent="0.3">
      <c r="A51" t="s">
        <v>362</v>
      </c>
      <c r="B51" t="s">
        <v>7473</v>
      </c>
      <c r="C51" t="s">
        <v>5138</v>
      </c>
      <c r="D51" t="s">
        <v>2701</v>
      </c>
      <c r="E51" t="s">
        <v>497</v>
      </c>
      <c r="F51" t="s">
        <v>497</v>
      </c>
      <c r="L51" s="4" t="s">
        <v>133</v>
      </c>
    </row>
    <row r="52" spans="1:12" x14ac:dyDescent="0.3">
      <c r="A52" t="s">
        <v>1417</v>
      </c>
      <c r="B52" t="s">
        <v>362</v>
      </c>
      <c r="C52" t="s">
        <v>7104</v>
      </c>
      <c r="D52" t="s">
        <v>497</v>
      </c>
      <c r="E52" t="s">
        <v>4380</v>
      </c>
      <c r="F52" t="s">
        <v>8269</v>
      </c>
      <c r="L52" s="3" t="s">
        <v>135</v>
      </c>
    </row>
    <row r="53" spans="1:12" x14ac:dyDescent="0.3">
      <c r="A53" t="s">
        <v>521</v>
      </c>
      <c r="B53" t="s">
        <v>362</v>
      </c>
      <c r="C53" t="s">
        <v>8268</v>
      </c>
      <c r="D53" t="s">
        <v>4380</v>
      </c>
      <c r="E53" t="s">
        <v>4380</v>
      </c>
      <c r="F53" t="s">
        <v>7473</v>
      </c>
      <c r="L53" s="4" t="s">
        <v>137</v>
      </c>
    </row>
    <row r="54" spans="1:12" x14ac:dyDescent="0.3">
      <c r="A54" t="s">
        <v>521</v>
      </c>
      <c r="B54" t="s">
        <v>362</v>
      </c>
      <c r="C54" t="s">
        <v>5138</v>
      </c>
      <c r="D54" t="s">
        <v>7104</v>
      </c>
      <c r="E54" t="s">
        <v>497</v>
      </c>
      <c r="F54" t="s">
        <v>497</v>
      </c>
      <c r="L54" s="3" t="s">
        <v>139</v>
      </c>
    </row>
    <row r="55" spans="1:12" x14ac:dyDescent="0.3">
      <c r="A55" t="s">
        <v>521</v>
      </c>
      <c r="B55" t="s">
        <v>362</v>
      </c>
      <c r="C55" t="s">
        <v>7104</v>
      </c>
      <c r="D55" t="s">
        <v>7473</v>
      </c>
      <c r="E55" t="s">
        <v>6171</v>
      </c>
      <c r="F55" t="s">
        <v>497</v>
      </c>
      <c r="L55" s="4" t="s">
        <v>141</v>
      </c>
    </row>
    <row r="56" spans="1:12" x14ac:dyDescent="0.3">
      <c r="A56" t="s">
        <v>521</v>
      </c>
      <c r="B56" t="s">
        <v>4843</v>
      </c>
      <c r="C56" t="s">
        <v>5138</v>
      </c>
      <c r="D56" t="s">
        <v>1417</v>
      </c>
      <c r="E56" t="s">
        <v>4380</v>
      </c>
      <c r="F56" t="s">
        <v>4380</v>
      </c>
      <c r="L56" s="3" t="s">
        <v>143</v>
      </c>
    </row>
    <row r="57" spans="1:12" x14ac:dyDescent="0.3">
      <c r="A57" t="s">
        <v>362</v>
      </c>
      <c r="B57" t="s">
        <v>4843</v>
      </c>
      <c r="C57" t="s">
        <v>1417</v>
      </c>
      <c r="D57" t="s">
        <v>8266</v>
      </c>
      <c r="E57" t="s">
        <v>497</v>
      </c>
      <c r="F57" t="s">
        <v>7473</v>
      </c>
      <c r="L57" s="4" t="s">
        <v>146</v>
      </c>
    </row>
    <row r="58" spans="1:12" x14ac:dyDescent="0.3">
      <c r="A58" t="s">
        <v>362</v>
      </c>
      <c r="B58" t="s">
        <v>362</v>
      </c>
      <c r="C58" t="s">
        <v>497</v>
      </c>
      <c r="D58" t="s">
        <v>8266</v>
      </c>
      <c r="E58" t="s">
        <v>8269</v>
      </c>
      <c r="F58" t="s">
        <v>5138</v>
      </c>
      <c r="L58" s="3" t="s">
        <v>149</v>
      </c>
    </row>
    <row r="59" spans="1:12" x14ac:dyDescent="0.3">
      <c r="A59" t="s">
        <v>521</v>
      </c>
      <c r="B59" t="s">
        <v>4843</v>
      </c>
      <c r="C59" t="s">
        <v>5138</v>
      </c>
      <c r="D59" t="s">
        <v>497</v>
      </c>
      <c r="E59" t="s">
        <v>7473</v>
      </c>
      <c r="F59" t="s">
        <v>4380</v>
      </c>
      <c r="L59" s="4" t="s">
        <v>151</v>
      </c>
    </row>
    <row r="60" spans="1:12" x14ac:dyDescent="0.3">
      <c r="A60" t="s">
        <v>362</v>
      </c>
      <c r="B60" t="s">
        <v>668</v>
      </c>
      <c r="C60" t="s">
        <v>1417</v>
      </c>
      <c r="D60" t="s">
        <v>497</v>
      </c>
      <c r="E60" t="s">
        <v>4380</v>
      </c>
      <c r="F60" t="s">
        <v>6902</v>
      </c>
      <c r="L60" s="3" t="s">
        <v>154</v>
      </c>
    </row>
    <row r="61" spans="1:12" x14ac:dyDescent="0.3">
      <c r="A61" t="s">
        <v>521</v>
      </c>
      <c r="B61" t="s">
        <v>362</v>
      </c>
      <c r="C61" t="s">
        <v>668</v>
      </c>
      <c r="D61" t="s">
        <v>668</v>
      </c>
      <c r="E61" t="s">
        <v>7473</v>
      </c>
      <c r="F61" t="s">
        <v>6902</v>
      </c>
      <c r="L61" s="4" t="s">
        <v>156</v>
      </c>
    </row>
    <row r="62" spans="1:12" x14ac:dyDescent="0.3">
      <c r="A62" t="s">
        <v>521</v>
      </c>
      <c r="B62" t="s">
        <v>1417</v>
      </c>
      <c r="C62" t="s">
        <v>4843</v>
      </c>
      <c r="D62" t="s">
        <v>497</v>
      </c>
      <c r="E62" t="s">
        <v>7473</v>
      </c>
      <c r="F62" t="s">
        <v>8269</v>
      </c>
      <c r="L62" s="3" t="s">
        <v>158</v>
      </c>
    </row>
    <row r="63" spans="1:12" x14ac:dyDescent="0.3">
      <c r="A63" t="s">
        <v>4843</v>
      </c>
      <c r="B63" t="s">
        <v>362</v>
      </c>
      <c r="C63" t="s">
        <v>5138</v>
      </c>
      <c r="D63" t="s">
        <v>5138</v>
      </c>
      <c r="E63" t="s">
        <v>497</v>
      </c>
      <c r="F63" t="s">
        <v>4380</v>
      </c>
      <c r="L63" s="4" t="s">
        <v>160</v>
      </c>
    </row>
    <row r="64" spans="1:12" x14ac:dyDescent="0.3">
      <c r="A64" t="s">
        <v>521</v>
      </c>
      <c r="B64" t="s">
        <v>362</v>
      </c>
      <c r="C64" t="s">
        <v>7104</v>
      </c>
      <c r="D64" t="s">
        <v>7104</v>
      </c>
      <c r="E64" t="s">
        <v>8266</v>
      </c>
      <c r="F64" t="s">
        <v>5138</v>
      </c>
      <c r="L64" s="3" t="s">
        <v>162</v>
      </c>
    </row>
    <row r="65" spans="1:12" x14ac:dyDescent="0.3">
      <c r="A65" t="s">
        <v>521</v>
      </c>
      <c r="B65" t="s">
        <v>7104</v>
      </c>
      <c r="C65" t="s">
        <v>5138</v>
      </c>
      <c r="D65" t="s">
        <v>4380</v>
      </c>
      <c r="E65" t="s">
        <v>497</v>
      </c>
      <c r="F65" t="s">
        <v>8266</v>
      </c>
      <c r="L65" s="4" t="s">
        <v>165</v>
      </c>
    </row>
    <row r="66" spans="1:12" x14ac:dyDescent="0.3">
      <c r="A66" t="s">
        <v>362</v>
      </c>
      <c r="B66" t="s">
        <v>362</v>
      </c>
      <c r="C66" t="s">
        <v>497</v>
      </c>
      <c r="D66" t="s">
        <v>1417</v>
      </c>
      <c r="E66" t="s">
        <v>4380</v>
      </c>
      <c r="F66" t="s">
        <v>5138</v>
      </c>
      <c r="L66" s="3" t="s">
        <v>168</v>
      </c>
    </row>
    <row r="67" spans="1:12" x14ac:dyDescent="0.3">
      <c r="A67" t="s">
        <v>521</v>
      </c>
      <c r="B67" t="s">
        <v>8268</v>
      </c>
      <c r="C67" t="s">
        <v>668</v>
      </c>
      <c r="D67" t="s">
        <v>668</v>
      </c>
      <c r="E67" t="s">
        <v>8046</v>
      </c>
      <c r="F67" t="s">
        <v>6171</v>
      </c>
      <c r="L67" s="4" t="s">
        <v>171</v>
      </c>
    </row>
    <row r="68" spans="1:12" x14ac:dyDescent="0.3">
      <c r="A68" t="s">
        <v>521</v>
      </c>
      <c r="B68" t="s">
        <v>4843</v>
      </c>
      <c r="C68" t="s">
        <v>497</v>
      </c>
      <c r="D68" t="s">
        <v>4380</v>
      </c>
      <c r="E68" t="s">
        <v>7473</v>
      </c>
      <c r="F68" t="s">
        <v>7473</v>
      </c>
      <c r="L68" s="3" t="s">
        <v>173</v>
      </c>
    </row>
    <row r="69" spans="1:12" x14ac:dyDescent="0.3">
      <c r="A69" t="s">
        <v>362</v>
      </c>
      <c r="B69" t="s">
        <v>362</v>
      </c>
      <c r="C69" t="s">
        <v>5138</v>
      </c>
      <c r="D69" t="s">
        <v>7473</v>
      </c>
      <c r="E69" t="s">
        <v>4380</v>
      </c>
      <c r="F69" t="s">
        <v>6902</v>
      </c>
      <c r="L69" s="4" t="s">
        <v>176</v>
      </c>
    </row>
    <row r="70" spans="1:12" x14ac:dyDescent="0.3">
      <c r="A70" t="s">
        <v>521</v>
      </c>
      <c r="B70" t="s">
        <v>362</v>
      </c>
      <c r="C70" t="s">
        <v>5138</v>
      </c>
      <c r="D70" t="s">
        <v>7104</v>
      </c>
      <c r="E70" t="s">
        <v>5138</v>
      </c>
      <c r="F70" t="s">
        <v>5138</v>
      </c>
      <c r="L70" s="3" t="s">
        <v>179</v>
      </c>
    </row>
    <row r="71" spans="1:12" x14ac:dyDescent="0.3">
      <c r="A71" t="s">
        <v>521</v>
      </c>
      <c r="B71" t="s">
        <v>1417</v>
      </c>
      <c r="C71" t="s">
        <v>5138</v>
      </c>
      <c r="D71" t="s">
        <v>668</v>
      </c>
      <c r="E71" t="s">
        <v>497</v>
      </c>
      <c r="F71" t="s">
        <v>5138</v>
      </c>
      <c r="L71" s="4" t="s">
        <v>182</v>
      </c>
    </row>
    <row r="72" spans="1:12" x14ac:dyDescent="0.3">
      <c r="A72" t="s">
        <v>362</v>
      </c>
      <c r="B72" t="s">
        <v>668</v>
      </c>
      <c r="C72" t="s">
        <v>668</v>
      </c>
      <c r="D72" t="s">
        <v>497</v>
      </c>
      <c r="E72" t="s">
        <v>4380</v>
      </c>
      <c r="F72" t="s">
        <v>5138</v>
      </c>
      <c r="L72" s="3" t="s">
        <v>185</v>
      </c>
    </row>
    <row r="73" spans="1:12" x14ac:dyDescent="0.3">
      <c r="A73" t="s">
        <v>521</v>
      </c>
      <c r="B73" t="s">
        <v>362</v>
      </c>
      <c r="C73" t="s">
        <v>7104</v>
      </c>
      <c r="D73" t="s">
        <v>668</v>
      </c>
      <c r="E73" t="s">
        <v>7104</v>
      </c>
      <c r="F73" t="s">
        <v>4380</v>
      </c>
      <c r="L73" s="4" t="s">
        <v>188</v>
      </c>
    </row>
    <row r="74" spans="1:12" x14ac:dyDescent="0.3">
      <c r="A74" t="s">
        <v>521</v>
      </c>
      <c r="B74" t="s">
        <v>362</v>
      </c>
      <c r="C74" t="s">
        <v>5138</v>
      </c>
      <c r="D74" t="s">
        <v>7104</v>
      </c>
      <c r="E74" t="s">
        <v>7473</v>
      </c>
      <c r="F74" t="s">
        <v>6902</v>
      </c>
      <c r="L74" s="3" t="s">
        <v>190</v>
      </c>
    </row>
    <row r="75" spans="1:12" x14ac:dyDescent="0.3">
      <c r="A75" t="s">
        <v>521</v>
      </c>
      <c r="B75" t="s">
        <v>7104</v>
      </c>
      <c r="C75" t="s">
        <v>1417</v>
      </c>
      <c r="D75" t="s">
        <v>7104</v>
      </c>
      <c r="E75" t="s">
        <v>4380</v>
      </c>
      <c r="F75" t="s">
        <v>8269</v>
      </c>
      <c r="L75" s="4" t="s">
        <v>192</v>
      </c>
    </row>
    <row r="76" spans="1:12" x14ac:dyDescent="0.3">
      <c r="A76" t="s">
        <v>668</v>
      </c>
      <c r="B76" t="s">
        <v>362</v>
      </c>
      <c r="C76" t="s">
        <v>7104</v>
      </c>
      <c r="D76" t="s">
        <v>7104</v>
      </c>
      <c r="E76" t="s">
        <v>6902</v>
      </c>
      <c r="F76" t="s">
        <v>4380</v>
      </c>
      <c r="L76" s="3" t="s">
        <v>194</v>
      </c>
    </row>
    <row r="77" spans="1:12" x14ac:dyDescent="0.3">
      <c r="A77" t="s">
        <v>521</v>
      </c>
      <c r="B77" t="s">
        <v>362</v>
      </c>
      <c r="C77" t="s">
        <v>1417</v>
      </c>
      <c r="D77" t="s">
        <v>5138</v>
      </c>
      <c r="E77" t="s">
        <v>4380</v>
      </c>
      <c r="F77" t="s">
        <v>8266</v>
      </c>
      <c r="L77" s="4" t="s">
        <v>197</v>
      </c>
    </row>
    <row r="78" spans="1:12" x14ac:dyDescent="0.3">
      <c r="A78" t="s">
        <v>521</v>
      </c>
      <c r="B78" t="s">
        <v>362</v>
      </c>
      <c r="C78" t="s">
        <v>7473</v>
      </c>
      <c r="D78" t="s">
        <v>4380</v>
      </c>
      <c r="E78" t="s">
        <v>497</v>
      </c>
      <c r="F78" t="s">
        <v>6171</v>
      </c>
      <c r="L78" s="3" t="s">
        <v>200</v>
      </c>
    </row>
    <row r="79" spans="1:12" x14ac:dyDescent="0.3">
      <c r="A79" t="s">
        <v>521</v>
      </c>
      <c r="B79" t="s">
        <v>4843</v>
      </c>
      <c r="C79" t="s">
        <v>1417</v>
      </c>
      <c r="D79" t="s">
        <v>7104</v>
      </c>
      <c r="E79" t="s">
        <v>497</v>
      </c>
      <c r="F79" t="s">
        <v>8269</v>
      </c>
      <c r="L79" s="4" t="s">
        <v>202</v>
      </c>
    </row>
    <row r="80" spans="1:12" x14ac:dyDescent="0.3">
      <c r="A80" t="s">
        <v>362</v>
      </c>
      <c r="B80" t="s">
        <v>1417</v>
      </c>
      <c r="C80" t="s">
        <v>5138</v>
      </c>
      <c r="D80" t="s">
        <v>497</v>
      </c>
      <c r="E80" t="s">
        <v>8266</v>
      </c>
      <c r="F80" t="s">
        <v>6902</v>
      </c>
      <c r="L80" s="3" t="s">
        <v>205</v>
      </c>
    </row>
    <row r="81" spans="1:12" x14ac:dyDescent="0.3">
      <c r="A81" t="s">
        <v>362</v>
      </c>
      <c r="B81" t="s">
        <v>362</v>
      </c>
      <c r="C81" t="s">
        <v>668</v>
      </c>
      <c r="D81" t="s">
        <v>668</v>
      </c>
      <c r="E81" t="s">
        <v>8266</v>
      </c>
      <c r="F81" t="s">
        <v>5138</v>
      </c>
      <c r="L81" s="4" t="s">
        <v>208</v>
      </c>
    </row>
    <row r="82" spans="1:12" x14ac:dyDescent="0.3">
      <c r="A82" t="s">
        <v>521</v>
      </c>
      <c r="B82" t="s">
        <v>362</v>
      </c>
      <c r="C82" t="s">
        <v>7104</v>
      </c>
      <c r="D82" t="s">
        <v>497</v>
      </c>
      <c r="E82" t="s">
        <v>4380</v>
      </c>
      <c r="F82" t="s">
        <v>7473</v>
      </c>
      <c r="L82" s="3" t="s">
        <v>211</v>
      </c>
    </row>
    <row r="83" spans="1:12" x14ac:dyDescent="0.3">
      <c r="A83" t="s">
        <v>521</v>
      </c>
      <c r="B83" t="s">
        <v>362</v>
      </c>
      <c r="C83" t="s">
        <v>4843</v>
      </c>
      <c r="D83" t="s">
        <v>8269</v>
      </c>
      <c r="E83" t="s">
        <v>6902</v>
      </c>
      <c r="F83" t="s">
        <v>8269</v>
      </c>
      <c r="L83" s="4" t="s">
        <v>215</v>
      </c>
    </row>
    <row r="84" spans="1:12" x14ac:dyDescent="0.3">
      <c r="A84" t="s">
        <v>521</v>
      </c>
      <c r="B84" t="s">
        <v>362</v>
      </c>
      <c r="C84" t="s">
        <v>668</v>
      </c>
      <c r="D84" t="s">
        <v>7473</v>
      </c>
      <c r="E84" t="s">
        <v>7473</v>
      </c>
      <c r="F84" t="s">
        <v>5138</v>
      </c>
      <c r="L84" s="3" t="s">
        <v>217</v>
      </c>
    </row>
    <row r="85" spans="1:12" x14ac:dyDescent="0.3">
      <c r="A85" t="s">
        <v>521</v>
      </c>
      <c r="B85" t="s">
        <v>362</v>
      </c>
      <c r="C85" t="s">
        <v>7104</v>
      </c>
      <c r="D85" t="s">
        <v>668</v>
      </c>
      <c r="E85" t="s">
        <v>6902</v>
      </c>
      <c r="F85" t="s">
        <v>5138</v>
      </c>
      <c r="L85" s="4" t="s">
        <v>219</v>
      </c>
    </row>
    <row r="86" spans="1:12" x14ac:dyDescent="0.3">
      <c r="A86" t="s">
        <v>521</v>
      </c>
      <c r="B86" t="s">
        <v>362</v>
      </c>
      <c r="C86" t="s">
        <v>5138</v>
      </c>
      <c r="D86" t="s">
        <v>4380</v>
      </c>
      <c r="E86" t="s">
        <v>4380</v>
      </c>
      <c r="F86" t="s">
        <v>7104</v>
      </c>
      <c r="L86" s="3" t="s">
        <v>222</v>
      </c>
    </row>
    <row r="87" spans="1:12" x14ac:dyDescent="0.3">
      <c r="A87" t="s">
        <v>521</v>
      </c>
      <c r="B87" t="s">
        <v>362</v>
      </c>
      <c r="C87" t="s">
        <v>7104</v>
      </c>
      <c r="D87" t="s">
        <v>5138</v>
      </c>
      <c r="E87" t="s">
        <v>4380</v>
      </c>
      <c r="F87" t="s">
        <v>7473</v>
      </c>
      <c r="L87" s="4" t="s">
        <v>225</v>
      </c>
    </row>
    <row r="88" spans="1:12" x14ac:dyDescent="0.3">
      <c r="A88" t="s">
        <v>521</v>
      </c>
      <c r="B88" t="s">
        <v>4843</v>
      </c>
      <c r="C88" t="s">
        <v>5138</v>
      </c>
      <c r="D88" t="s">
        <v>4380</v>
      </c>
      <c r="E88" t="s">
        <v>497</v>
      </c>
      <c r="F88" t="s">
        <v>4380</v>
      </c>
      <c r="L88" s="3" t="s">
        <v>228</v>
      </c>
    </row>
    <row r="89" spans="1:12" x14ac:dyDescent="0.3">
      <c r="A89" t="s">
        <v>362</v>
      </c>
      <c r="B89" t="s">
        <v>362</v>
      </c>
      <c r="C89" t="s">
        <v>5138</v>
      </c>
      <c r="D89" t="s">
        <v>4380</v>
      </c>
      <c r="E89" t="s">
        <v>497</v>
      </c>
      <c r="F89" t="s">
        <v>7473</v>
      </c>
      <c r="L89" s="4" t="s">
        <v>231</v>
      </c>
    </row>
    <row r="90" spans="1:12" x14ac:dyDescent="0.3">
      <c r="A90" t="s">
        <v>521</v>
      </c>
      <c r="B90" t="s">
        <v>362</v>
      </c>
      <c r="C90" t="s">
        <v>5138</v>
      </c>
      <c r="D90" t="s">
        <v>497</v>
      </c>
      <c r="E90" t="s">
        <v>5138</v>
      </c>
      <c r="F90" t="s">
        <v>5138</v>
      </c>
      <c r="L90" s="3" t="s">
        <v>233</v>
      </c>
    </row>
    <row r="91" spans="1:12" x14ac:dyDescent="0.3">
      <c r="A91" t="s">
        <v>521</v>
      </c>
      <c r="B91" t="s">
        <v>4843</v>
      </c>
      <c r="C91" t="s">
        <v>1417</v>
      </c>
      <c r="D91" t="s">
        <v>8046</v>
      </c>
      <c r="E91" t="s">
        <v>4380</v>
      </c>
      <c r="F91" t="s">
        <v>497</v>
      </c>
      <c r="L91" s="4" t="s">
        <v>235</v>
      </c>
    </row>
    <row r="92" spans="1:12" x14ac:dyDescent="0.3">
      <c r="A92" t="s">
        <v>362</v>
      </c>
      <c r="B92" t="s">
        <v>4843</v>
      </c>
      <c r="C92" t="s">
        <v>4380</v>
      </c>
      <c r="D92" t="s">
        <v>7473</v>
      </c>
      <c r="E92" t="s">
        <v>7104</v>
      </c>
      <c r="F92" t="s">
        <v>5138</v>
      </c>
      <c r="L92" s="3" t="s">
        <v>238</v>
      </c>
    </row>
    <row r="93" spans="1:12" x14ac:dyDescent="0.3">
      <c r="A93" t="s">
        <v>362</v>
      </c>
      <c r="B93" t="s">
        <v>362</v>
      </c>
      <c r="C93" t="s">
        <v>7473</v>
      </c>
      <c r="D93" t="s">
        <v>6902</v>
      </c>
      <c r="E93" t="s">
        <v>4380</v>
      </c>
      <c r="F93" t="s">
        <v>6902</v>
      </c>
      <c r="L93" s="4" t="s">
        <v>240</v>
      </c>
    </row>
    <row r="94" spans="1:12" x14ac:dyDescent="0.3">
      <c r="A94" t="s">
        <v>521</v>
      </c>
      <c r="B94" t="s">
        <v>4843</v>
      </c>
      <c r="C94" t="s">
        <v>5138</v>
      </c>
      <c r="D94" t="s">
        <v>8266</v>
      </c>
      <c r="E94" t="s">
        <v>497</v>
      </c>
      <c r="F94" t="s">
        <v>8269</v>
      </c>
      <c r="L94" s="3" t="s">
        <v>243</v>
      </c>
    </row>
    <row r="95" spans="1:12" x14ac:dyDescent="0.3">
      <c r="A95" t="s">
        <v>362</v>
      </c>
      <c r="B95" t="s">
        <v>5138</v>
      </c>
      <c r="C95" t="s">
        <v>7104</v>
      </c>
      <c r="D95" t="s">
        <v>6171</v>
      </c>
      <c r="E95" t="s">
        <v>5138</v>
      </c>
      <c r="F95" t="s">
        <v>5138</v>
      </c>
      <c r="L95" s="4" t="s">
        <v>245</v>
      </c>
    </row>
    <row r="96" spans="1:12" x14ac:dyDescent="0.3">
      <c r="A96" t="s">
        <v>521</v>
      </c>
      <c r="B96" t="s">
        <v>362</v>
      </c>
      <c r="C96" t="s">
        <v>1417</v>
      </c>
      <c r="D96" t="s">
        <v>7104</v>
      </c>
      <c r="E96" t="s">
        <v>5138</v>
      </c>
      <c r="F96" t="s">
        <v>5138</v>
      </c>
      <c r="L96" s="3" t="s">
        <v>249</v>
      </c>
    </row>
    <row r="97" spans="1:12" x14ac:dyDescent="0.3">
      <c r="A97" t="s">
        <v>521</v>
      </c>
      <c r="B97" t="s">
        <v>1417</v>
      </c>
      <c r="C97" t="s">
        <v>497</v>
      </c>
      <c r="D97" t="s">
        <v>7104</v>
      </c>
      <c r="E97" t="s">
        <v>8269</v>
      </c>
      <c r="F97" t="s">
        <v>5138</v>
      </c>
      <c r="L97" s="4" t="s">
        <v>251</v>
      </c>
    </row>
    <row r="98" spans="1:12" x14ac:dyDescent="0.3">
      <c r="A98" t="s">
        <v>362</v>
      </c>
      <c r="B98" t="s">
        <v>362</v>
      </c>
      <c r="C98" t="s">
        <v>668</v>
      </c>
      <c r="D98" t="s">
        <v>7104</v>
      </c>
      <c r="E98" t="s">
        <v>497</v>
      </c>
      <c r="F98" t="s">
        <v>4380</v>
      </c>
      <c r="L98" s="3" t="s">
        <v>254</v>
      </c>
    </row>
    <row r="99" spans="1:12" x14ac:dyDescent="0.3">
      <c r="A99" t="s">
        <v>521</v>
      </c>
      <c r="B99" t="s">
        <v>362</v>
      </c>
      <c r="C99" t="s">
        <v>497</v>
      </c>
      <c r="D99" t="s">
        <v>668</v>
      </c>
      <c r="E99" t="s">
        <v>8266</v>
      </c>
      <c r="L99" s="4" t="s">
        <v>256</v>
      </c>
    </row>
    <row r="100" spans="1:12" x14ac:dyDescent="0.3">
      <c r="A100" t="s">
        <v>521</v>
      </c>
      <c r="B100" t="s">
        <v>497</v>
      </c>
      <c r="C100" t="s">
        <v>5138</v>
      </c>
      <c r="D100" t="s">
        <v>5138</v>
      </c>
      <c r="E100" t="s">
        <v>4380</v>
      </c>
      <c r="L100" s="3" t="s">
        <v>259</v>
      </c>
    </row>
    <row r="101" spans="1:12" x14ac:dyDescent="0.3">
      <c r="A101" t="s">
        <v>362</v>
      </c>
      <c r="B101" t="s">
        <v>8268</v>
      </c>
      <c r="C101" t="s">
        <v>497</v>
      </c>
      <c r="D101" t="s">
        <v>7473</v>
      </c>
      <c r="E101" t="s">
        <v>4380</v>
      </c>
      <c r="L101" s="4" t="s">
        <v>261</v>
      </c>
    </row>
    <row r="102" spans="1:12" x14ac:dyDescent="0.3">
      <c r="A102" t="s">
        <v>521</v>
      </c>
      <c r="B102" t="s">
        <v>497</v>
      </c>
      <c r="C102" t="s">
        <v>8046</v>
      </c>
      <c r="D102" t="s">
        <v>7104</v>
      </c>
      <c r="E102" t="s">
        <v>4380</v>
      </c>
      <c r="L102" s="3" t="s">
        <v>264</v>
      </c>
    </row>
    <row r="103" spans="1:12" x14ac:dyDescent="0.3">
      <c r="A103" t="s">
        <v>1417</v>
      </c>
      <c r="B103" t="s">
        <v>362</v>
      </c>
      <c r="C103" t="s">
        <v>5138</v>
      </c>
      <c r="D103" t="s">
        <v>4380</v>
      </c>
      <c r="E103" t="s">
        <v>4380</v>
      </c>
      <c r="L103" s="4" t="s">
        <v>266</v>
      </c>
    </row>
    <row r="104" spans="1:12" x14ac:dyDescent="0.3">
      <c r="A104" t="s">
        <v>521</v>
      </c>
      <c r="B104" t="s">
        <v>5138</v>
      </c>
      <c r="C104" t="s">
        <v>5524</v>
      </c>
      <c r="D104" t="s">
        <v>668</v>
      </c>
      <c r="E104" t="s">
        <v>497</v>
      </c>
      <c r="L104" s="3" t="s">
        <v>268</v>
      </c>
    </row>
    <row r="105" spans="1:12" x14ac:dyDescent="0.3">
      <c r="A105" t="s">
        <v>362</v>
      </c>
      <c r="B105" t="s">
        <v>362</v>
      </c>
      <c r="C105" t="s">
        <v>497</v>
      </c>
      <c r="D105" t="s">
        <v>4380</v>
      </c>
      <c r="E105" t="s">
        <v>497</v>
      </c>
      <c r="L105" s="4" t="s">
        <v>270</v>
      </c>
    </row>
    <row r="106" spans="1:12" x14ac:dyDescent="0.3">
      <c r="A106" t="s">
        <v>521</v>
      </c>
      <c r="B106" t="s">
        <v>362</v>
      </c>
      <c r="C106" t="s">
        <v>497</v>
      </c>
      <c r="D106" t="s">
        <v>8266</v>
      </c>
      <c r="E106" t="s">
        <v>4380</v>
      </c>
      <c r="L106" s="3" t="s">
        <v>272</v>
      </c>
    </row>
    <row r="107" spans="1:12" x14ac:dyDescent="0.3">
      <c r="A107" t="s">
        <v>521</v>
      </c>
      <c r="B107" t="s">
        <v>7104</v>
      </c>
      <c r="C107" t="s">
        <v>5138</v>
      </c>
      <c r="D107" t="s">
        <v>8266</v>
      </c>
      <c r="E107" t="s">
        <v>7473</v>
      </c>
      <c r="L107" s="4" t="s">
        <v>274</v>
      </c>
    </row>
    <row r="108" spans="1:12" x14ac:dyDescent="0.3">
      <c r="A108" t="s">
        <v>362</v>
      </c>
      <c r="B108" t="s">
        <v>4843</v>
      </c>
      <c r="C108" t="s">
        <v>7104</v>
      </c>
      <c r="D108" t="s">
        <v>8269</v>
      </c>
      <c r="E108" t="s">
        <v>6902</v>
      </c>
      <c r="L108" s="3" t="s">
        <v>277</v>
      </c>
    </row>
    <row r="109" spans="1:12" x14ac:dyDescent="0.3">
      <c r="A109" t="s">
        <v>362</v>
      </c>
      <c r="B109" t="s">
        <v>362</v>
      </c>
      <c r="C109" t="s">
        <v>7104</v>
      </c>
      <c r="D109" t="s">
        <v>4380</v>
      </c>
      <c r="E109" t="s">
        <v>497</v>
      </c>
      <c r="L109" s="4" t="s">
        <v>279</v>
      </c>
    </row>
    <row r="110" spans="1:12" x14ac:dyDescent="0.3">
      <c r="A110" t="s">
        <v>521</v>
      </c>
      <c r="B110" t="s">
        <v>362</v>
      </c>
      <c r="C110" t="s">
        <v>4843</v>
      </c>
      <c r="D110" t="s">
        <v>497</v>
      </c>
      <c r="E110" t="s">
        <v>5138</v>
      </c>
      <c r="L110" s="3" t="s">
        <v>282</v>
      </c>
    </row>
    <row r="111" spans="1:12" x14ac:dyDescent="0.3">
      <c r="A111" t="s">
        <v>521</v>
      </c>
      <c r="B111" t="s">
        <v>7104</v>
      </c>
      <c r="C111" t="s">
        <v>7104</v>
      </c>
      <c r="D111" t="s">
        <v>7104</v>
      </c>
      <c r="E111" t="s">
        <v>497</v>
      </c>
      <c r="L111" s="4" t="s">
        <v>285</v>
      </c>
    </row>
    <row r="112" spans="1:12" x14ac:dyDescent="0.3">
      <c r="A112" t="s">
        <v>362</v>
      </c>
      <c r="B112" t="s">
        <v>1417</v>
      </c>
      <c r="C112" t="s">
        <v>497</v>
      </c>
      <c r="D112" t="s">
        <v>2701</v>
      </c>
      <c r="E112" t="s">
        <v>497</v>
      </c>
      <c r="L112" s="3" t="s">
        <v>287</v>
      </c>
    </row>
    <row r="113" spans="1:12" x14ac:dyDescent="0.3">
      <c r="A113" t="s">
        <v>521</v>
      </c>
      <c r="B113" t="s">
        <v>362</v>
      </c>
      <c r="C113" t="s">
        <v>668</v>
      </c>
      <c r="D113" t="s">
        <v>7104</v>
      </c>
      <c r="E113" t="s">
        <v>7104</v>
      </c>
      <c r="L113" s="4" t="s">
        <v>290</v>
      </c>
    </row>
    <row r="114" spans="1:12" x14ac:dyDescent="0.3">
      <c r="A114" t="s">
        <v>521</v>
      </c>
      <c r="B114" t="s">
        <v>362</v>
      </c>
      <c r="C114" t="s">
        <v>497</v>
      </c>
      <c r="D114" t="s">
        <v>5138</v>
      </c>
      <c r="E114" t="s">
        <v>6902</v>
      </c>
      <c r="L114" s="3" t="s">
        <v>293</v>
      </c>
    </row>
    <row r="115" spans="1:12" x14ac:dyDescent="0.3">
      <c r="A115" t="s">
        <v>521</v>
      </c>
      <c r="B115" t="s">
        <v>7104</v>
      </c>
      <c r="C115" t="s">
        <v>5138</v>
      </c>
      <c r="D115" t="s">
        <v>8266</v>
      </c>
      <c r="E115" t="s">
        <v>5138</v>
      </c>
      <c r="L115" s="4" t="s">
        <v>296</v>
      </c>
    </row>
    <row r="116" spans="1:12" x14ac:dyDescent="0.3">
      <c r="A116" t="s">
        <v>362</v>
      </c>
      <c r="B116" t="s">
        <v>7104</v>
      </c>
      <c r="C116" t="s">
        <v>497</v>
      </c>
      <c r="D116" t="s">
        <v>4380</v>
      </c>
      <c r="E116" t="s">
        <v>8266</v>
      </c>
      <c r="L116" s="3" t="s">
        <v>299</v>
      </c>
    </row>
    <row r="117" spans="1:12" x14ac:dyDescent="0.3">
      <c r="A117" t="s">
        <v>362</v>
      </c>
      <c r="B117" t="s">
        <v>1417</v>
      </c>
      <c r="C117" t="s">
        <v>668</v>
      </c>
      <c r="D117" t="s">
        <v>4380</v>
      </c>
      <c r="E117" t="s">
        <v>4380</v>
      </c>
      <c r="L117" s="4" t="s">
        <v>301</v>
      </c>
    </row>
    <row r="118" spans="1:12" x14ac:dyDescent="0.3">
      <c r="A118" t="s">
        <v>521</v>
      </c>
      <c r="B118" t="s">
        <v>2701</v>
      </c>
      <c r="C118" t="s">
        <v>4843</v>
      </c>
      <c r="D118" t="s">
        <v>4380</v>
      </c>
      <c r="E118" t="s">
        <v>5138</v>
      </c>
      <c r="L118" s="3" t="s">
        <v>304</v>
      </c>
    </row>
    <row r="119" spans="1:12" x14ac:dyDescent="0.3">
      <c r="A119" t="s">
        <v>1417</v>
      </c>
      <c r="B119" t="s">
        <v>668</v>
      </c>
      <c r="C119" t="s">
        <v>497</v>
      </c>
      <c r="D119" t="s">
        <v>8268</v>
      </c>
      <c r="E119" t="s">
        <v>5138</v>
      </c>
      <c r="L119" s="4" t="s">
        <v>306</v>
      </c>
    </row>
    <row r="120" spans="1:12" x14ac:dyDescent="0.3">
      <c r="A120" t="s">
        <v>362</v>
      </c>
      <c r="B120" t="s">
        <v>668</v>
      </c>
      <c r="C120" t="s">
        <v>2701</v>
      </c>
      <c r="D120" t="s">
        <v>7104</v>
      </c>
      <c r="E120" t="s">
        <v>4380</v>
      </c>
      <c r="L120" s="3" t="s">
        <v>308</v>
      </c>
    </row>
    <row r="121" spans="1:12" x14ac:dyDescent="0.3">
      <c r="A121" t="s">
        <v>4843</v>
      </c>
      <c r="B121" t="s">
        <v>362</v>
      </c>
      <c r="C121" t="s">
        <v>4380</v>
      </c>
      <c r="D121" t="s">
        <v>4380</v>
      </c>
      <c r="E121" t="s">
        <v>497</v>
      </c>
      <c r="L121" s="4" t="s">
        <v>310</v>
      </c>
    </row>
    <row r="122" spans="1:12" x14ac:dyDescent="0.3">
      <c r="A122" t="s">
        <v>521</v>
      </c>
      <c r="B122" t="s">
        <v>362</v>
      </c>
      <c r="C122" t="s">
        <v>2701</v>
      </c>
      <c r="D122" t="s">
        <v>4380</v>
      </c>
      <c r="E122" t="s">
        <v>8267</v>
      </c>
      <c r="L122" s="3" t="s">
        <v>313</v>
      </c>
    </row>
    <row r="123" spans="1:12" x14ac:dyDescent="0.3">
      <c r="A123" t="s">
        <v>521</v>
      </c>
      <c r="B123" t="s">
        <v>668</v>
      </c>
      <c r="C123" t="s">
        <v>1417</v>
      </c>
      <c r="D123" t="s">
        <v>4380</v>
      </c>
      <c r="E123" t="s">
        <v>497</v>
      </c>
      <c r="L123" s="4" t="s">
        <v>315</v>
      </c>
    </row>
    <row r="124" spans="1:12" x14ac:dyDescent="0.3">
      <c r="A124" t="s">
        <v>362</v>
      </c>
      <c r="B124" t="s">
        <v>362</v>
      </c>
      <c r="C124" t="s">
        <v>668</v>
      </c>
      <c r="D124" t="s">
        <v>5138</v>
      </c>
      <c r="E124" t="s">
        <v>4380</v>
      </c>
      <c r="L124" s="3" t="s">
        <v>317</v>
      </c>
    </row>
    <row r="125" spans="1:12" x14ac:dyDescent="0.3">
      <c r="A125" t="s">
        <v>521</v>
      </c>
      <c r="B125" t="s">
        <v>5138</v>
      </c>
      <c r="C125" t="s">
        <v>4843</v>
      </c>
      <c r="D125" t="s">
        <v>5138</v>
      </c>
      <c r="E125" t="s">
        <v>4380</v>
      </c>
      <c r="L125" s="4" t="s">
        <v>319</v>
      </c>
    </row>
    <row r="126" spans="1:12" x14ac:dyDescent="0.3">
      <c r="A126" t="s">
        <v>521</v>
      </c>
      <c r="B126" t="s">
        <v>4843</v>
      </c>
      <c r="C126" t="s">
        <v>7104</v>
      </c>
      <c r="D126" t="s">
        <v>5138</v>
      </c>
      <c r="E126" t="s">
        <v>5043</v>
      </c>
      <c r="L126" s="3" t="s">
        <v>322</v>
      </c>
    </row>
    <row r="127" spans="1:12" x14ac:dyDescent="0.3">
      <c r="A127" t="s">
        <v>362</v>
      </c>
      <c r="B127" t="s">
        <v>5138</v>
      </c>
      <c r="C127" t="s">
        <v>4380</v>
      </c>
      <c r="D127" t="s">
        <v>7104</v>
      </c>
      <c r="E127" t="s">
        <v>8269</v>
      </c>
      <c r="L127" s="4" t="s">
        <v>324</v>
      </c>
    </row>
    <row r="128" spans="1:12" x14ac:dyDescent="0.3">
      <c r="A128" t="s">
        <v>521</v>
      </c>
      <c r="B128" t="s">
        <v>362</v>
      </c>
      <c r="C128" t="s">
        <v>4380</v>
      </c>
      <c r="D128" t="s">
        <v>4380</v>
      </c>
      <c r="E128" t="s">
        <v>8269</v>
      </c>
      <c r="L128" s="3" t="s">
        <v>327</v>
      </c>
    </row>
    <row r="129" spans="1:12" x14ac:dyDescent="0.3">
      <c r="A129" t="s">
        <v>521</v>
      </c>
      <c r="B129" t="s">
        <v>362</v>
      </c>
      <c r="C129" t="s">
        <v>4843</v>
      </c>
      <c r="D129" t="s">
        <v>5138</v>
      </c>
      <c r="E129" t="s">
        <v>8268</v>
      </c>
      <c r="L129" s="4" t="s">
        <v>330</v>
      </c>
    </row>
    <row r="130" spans="1:12" x14ac:dyDescent="0.3">
      <c r="A130" t="s">
        <v>521</v>
      </c>
      <c r="B130" t="s">
        <v>4380</v>
      </c>
      <c r="C130" t="s">
        <v>668</v>
      </c>
      <c r="D130" t="s">
        <v>7104</v>
      </c>
      <c r="E130" t="s">
        <v>6902</v>
      </c>
      <c r="L130" s="3" t="s">
        <v>332</v>
      </c>
    </row>
    <row r="131" spans="1:12" x14ac:dyDescent="0.3">
      <c r="A131" t="s">
        <v>8266</v>
      </c>
      <c r="B131" t="s">
        <v>362</v>
      </c>
      <c r="C131" t="s">
        <v>497</v>
      </c>
      <c r="D131" t="s">
        <v>497</v>
      </c>
      <c r="E131" t="s">
        <v>4380</v>
      </c>
      <c r="L131" s="4" t="s">
        <v>335</v>
      </c>
    </row>
    <row r="132" spans="1:12" x14ac:dyDescent="0.3">
      <c r="A132" t="s">
        <v>521</v>
      </c>
      <c r="B132" t="s">
        <v>4843</v>
      </c>
      <c r="C132" t="s">
        <v>668</v>
      </c>
      <c r="D132" t="s">
        <v>497</v>
      </c>
      <c r="E132" t="s">
        <v>4380</v>
      </c>
      <c r="L132" s="3" t="s">
        <v>337</v>
      </c>
    </row>
    <row r="133" spans="1:12" x14ac:dyDescent="0.3">
      <c r="A133" t="s">
        <v>362</v>
      </c>
      <c r="B133" t="s">
        <v>362</v>
      </c>
      <c r="C133" t="s">
        <v>668</v>
      </c>
      <c r="D133" t="s">
        <v>5138</v>
      </c>
      <c r="E133" t="s">
        <v>4380</v>
      </c>
      <c r="L133" s="4" t="s">
        <v>341</v>
      </c>
    </row>
    <row r="134" spans="1:12" x14ac:dyDescent="0.3">
      <c r="A134" t="s">
        <v>521</v>
      </c>
      <c r="B134" t="s">
        <v>362</v>
      </c>
      <c r="C134" t="s">
        <v>4380</v>
      </c>
      <c r="D134" t="s">
        <v>4380</v>
      </c>
      <c r="E134" t="s">
        <v>4380</v>
      </c>
      <c r="L134" s="3" t="s">
        <v>343</v>
      </c>
    </row>
    <row r="135" spans="1:12" x14ac:dyDescent="0.3">
      <c r="A135" t="s">
        <v>521</v>
      </c>
      <c r="B135" t="s">
        <v>497</v>
      </c>
      <c r="C135" t="s">
        <v>497</v>
      </c>
      <c r="D135" t="s">
        <v>5138</v>
      </c>
      <c r="E135" t="s">
        <v>4380</v>
      </c>
      <c r="L135" s="4" t="s">
        <v>345</v>
      </c>
    </row>
    <row r="136" spans="1:12" x14ac:dyDescent="0.3">
      <c r="A136" t="s">
        <v>668</v>
      </c>
      <c r="B136" t="s">
        <v>362</v>
      </c>
      <c r="C136" t="s">
        <v>5138</v>
      </c>
      <c r="D136" t="s">
        <v>7104</v>
      </c>
      <c r="E136" t="s">
        <v>5138</v>
      </c>
      <c r="L136" s="3" t="s">
        <v>347</v>
      </c>
    </row>
    <row r="137" spans="1:12" x14ac:dyDescent="0.3">
      <c r="A137" t="s">
        <v>521</v>
      </c>
      <c r="B137" t="s">
        <v>497</v>
      </c>
      <c r="C137" t="s">
        <v>668</v>
      </c>
      <c r="D137" t="s">
        <v>4380</v>
      </c>
      <c r="E137" t="s">
        <v>4380</v>
      </c>
      <c r="L137" s="4" t="s">
        <v>349</v>
      </c>
    </row>
    <row r="138" spans="1:12" x14ac:dyDescent="0.3">
      <c r="A138" t="s">
        <v>1417</v>
      </c>
      <c r="B138" t="s">
        <v>362</v>
      </c>
      <c r="C138" t="s">
        <v>4843</v>
      </c>
      <c r="D138" t="s">
        <v>8269</v>
      </c>
      <c r="E138" t="s">
        <v>497</v>
      </c>
      <c r="L138" s="3" t="s">
        <v>352</v>
      </c>
    </row>
    <row r="139" spans="1:12" x14ac:dyDescent="0.3">
      <c r="A139" t="s">
        <v>521</v>
      </c>
      <c r="B139" t="s">
        <v>4843</v>
      </c>
      <c r="C139" t="s">
        <v>4843</v>
      </c>
      <c r="D139" t="s">
        <v>7473</v>
      </c>
      <c r="E139" t="s">
        <v>8267</v>
      </c>
      <c r="L139" s="4" t="s">
        <v>354</v>
      </c>
    </row>
    <row r="140" spans="1:12" x14ac:dyDescent="0.3">
      <c r="A140" t="s">
        <v>362</v>
      </c>
      <c r="B140" t="s">
        <v>362</v>
      </c>
      <c r="C140" t="s">
        <v>4380</v>
      </c>
      <c r="D140" t="s">
        <v>497</v>
      </c>
      <c r="E140" t="s">
        <v>5138</v>
      </c>
      <c r="L140" s="3" t="s">
        <v>356</v>
      </c>
    </row>
    <row r="141" spans="1:12" x14ac:dyDescent="0.3">
      <c r="A141" t="s">
        <v>521</v>
      </c>
      <c r="B141" t="s">
        <v>362</v>
      </c>
      <c r="C141" t="s">
        <v>7104</v>
      </c>
      <c r="D141" t="s">
        <v>5138</v>
      </c>
      <c r="E141" t="s">
        <v>6171</v>
      </c>
      <c r="L141" s="4" t="s">
        <v>358</v>
      </c>
    </row>
    <row r="142" spans="1:12" x14ac:dyDescent="0.3">
      <c r="A142" t="s">
        <v>521</v>
      </c>
      <c r="B142" t="s">
        <v>362</v>
      </c>
      <c r="C142" t="s">
        <v>8046</v>
      </c>
      <c r="D142" t="s">
        <v>8269</v>
      </c>
      <c r="E142" t="s">
        <v>6171</v>
      </c>
      <c r="L142" s="3" t="s">
        <v>360</v>
      </c>
    </row>
    <row r="143" spans="1:12" x14ac:dyDescent="0.3">
      <c r="A143" t="s">
        <v>521</v>
      </c>
      <c r="B143" t="s">
        <v>1417</v>
      </c>
      <c r="C143" t="s">
        <v>1417</v>
      </c>
      <c r="D143" t="s">
        <v>7104</v>
      </c>
      <c r="E143" t="s">
        <v>497</v>
      </c>
      <c r="L143" s="4" t="s">
        <v>363</v>
      </c>
    </row>
    <row r="144" spans="1:12" x14ac:dyDescent="0.3">
      <c r="A144" t="s">
        <v>521</v>
      </c>
      <c r="B144" t="s">
        <v>362</v>
      </c>
      <c r="C144" t="s">
        <v>5138</v>
      </c>
      <c r="D144" t="s">
        <v>5043</v>
      </c>
      <c r="E144" t="s">
        <v>5138</v>
      </c>
      <c r="L144" s="3" t="s">
        <v>365</v>
      </c>
    </row>
    <row r="145" spans="1:12" x14ac:dyDescent="0.3">
      <c r="A145" t="s">
        <v>521</v>
      </c>
      <c r="B145" t="s">
        <v>4843</v>
      </c>
      <c r="C145" t="s">
        <v>497</v>
      </c>
      <c r="D145" t="s">
        <v>5138</v>
      </c>
      <c r="E145" t="s">
        <v>7104</v>
      </c>
      <c r="L145" s="4" t="s">
        <v>367</v>
      </c>
    </row>
    <row r="146" spans="1:12" x14ac:dyDescent="0.3">
      <c r="A146" t="s">
        <v>362</v>
      </c>
      <c r="B146" t="s">
        <v>7104</v>
      </c>
      <c r="C146" t="s">
        <v>4843</v>
      </c>
      <c r="D146" t="s">
        <v>8267</v>
      </c>
      <c r="E146" t="s">
        <v>4380</v>
      </c>
      <c r="L146" s="3" t="s">
        <v>370</v>
      </c>
    </row>
    <row r="147" spans="1:12" x14ac:dyDescent="0.3">
      <c r="A147" t="s">
        <v>362</v>
      </c>
      <c r="B147" t="s">
        <v>4843</v>
      </c>
      <c r="C147" t="s">
        <v>497</v>
      </c>
      <c r="D147" t="s">
        <v>7104</v>
      </c>
      <c r="E147" t="s">
        <v>497</v>
      </c>
      <c r="L147" s="4" t="s">
        <v>372</v>
      </c>
    </row>
    <row r="148" spans="1:12" x14ac:dyDescent="0.3">
      <c r="A148" t="s">
        <v>362</v>
      </c>
      <c r="B148" t="s">
        <v>4843</v>
      </c>
      <c r="C148" t="s">
        <v>5138</v>
      </c>
      <c r="D148" t="s">
        <v>4380</v>
      </c>
      <c r="E148" t="s">
        <v>497</v>
      </c>
      <c r="L148" s="3" t="s">
        <v>375</v>
      </c>
    </row>
    <row r="149" spans="1:12" x14ac:dyDescent="0.3">
      <c r="A149" t="s">
        <v>362</v>
      </c>
      <c r="B149" t="s">
        <v>362</v>
      </c>
      <c r="C149" t="s">
        <v>8266</v>
      </c>
      <c r="D149" t="s">
        <v>497</v>
      </c>
      <c r="E149" t="s">
        <v>4380</v>
      </c>
      <c r="L149" s="4" t="s">
        <v>378</v>
      </c>
    </row>
    <row r="150" spans="1:12" x14ac:dyDescent="0.3">
      <c r="A150" t="s">
        <v>362</v>
      </c>
      <c r="B150" t="s">
        <v>668</v>
      </c>
      <c r="C150" t="s">
        <v>4380</v>
      </c>
      <c r="D150" t="s">
        <v>497</v>
      </c>
      <c r="E150" t="s">
        <v>497</v>
      </c>
      <c r="L150" s="3" t="s">
        <v>380</v>
      </c>
    </row>
    <row r="151" spans="1:12" x14ac:dyDescent="0.3">
      <c r="A151" t="s">
        <v>521</v>
      </c>
      <c r="B151" t="s">
        <v>362</v>
      </c>
      <c r="C151" t="s">
        <v>5138</v>
      </c>
      <c r="D151" t="s">
        <v>4380</v>
      </c>
      <c r="E151" t="s">
        <v>7104</v>
      </c>
      <c r="L151" s="4" t="s">
        <v>382</v>
      </c>
    </row>
    <row r="152" spans="1:12" x14ac:dyDescent="0.3">
      <c r="A152" t="s">
        <v>521</v>
      </c>
      <c r="B152" t="s">
        <v>362</v>
      </c>
      <c r="C152" t="s">
        <v>668</v>
      </c>
      <c r="D152" t="s">
        <v>8046</v>
      </c>
      <c r="E152" t="s">
        <v>4380</v>
      </c>
      <c r="L152" s="3" t="s">
        <v>384</v>
      </c>
    </row>
    <row r="153" spans="1:12" x14ac:dyDescent="0.3">
      <c r="A153" t="s">
        <v>521</v>
      </c>
      <c r="B153" t="s">
        <v>362</v>
      </c>
      <c r="C153" t="s">
        <v>4843</v>
      </c>
      <c r="D153" t="s">
        <v>497</v>
      </c>
      <c r="E153" t="s">
        <v>5138</v>
      </c>
      <c r="L153" s="4" t="s">
        <v>387</v>
      </c>
    </row>
    <row r="154" spans="1:12" x14ac:dyDescent="0.3">
      <c r="A154" t="s">
        <v>521</v>
      </c>
      <c r="B154" t="s">
        <v>362</v>
      </c>
      <c r="C154" t="s">
        <v>5138</v>
      </c>
      <c r="D154" t="s">
        <v>6902</v>
      </c>
      <c r="E154" t="s">
        <v>4380</v>
      </c>
      <c r="L154" s="3" t="s">
        <v>390</v>
      </c>
    </row>
    <row r="155" spans="1:12" x14ac:dyDescent="0.3">
      <c r="A155" t="s">
        <v>521</v>
      </c>
      <c r="B155" t="s">
        <v>362</v>
      </c>
      <c r="C155" t="s">
        <v>4380</v>
      </c>
      <c r="D155" t="s">
        <v>5138</v>
      </c>
      <c r="E155" t="s">
        <v>4380</v>
      </c>
      <c r="L155" s="4" t="s">
        <v>393</v>
      </c>
    </row>
    <row r="156" spans="1:12" x14ac:dyDescent="0.3">
      <c r="A156" t="s">
        <v>521</v>
      </c>
      <c r="B156" t="s">
        <v>4843</v>
      </c>
      <c r="C156" t="s">
        <v>1417</v>
      </c>
      <c r="D156" t="s">
        <v>4380</v>
      </c>
      <c r="E156" t="s">
        <v>7104</v>
      </c>
      <c r="L156" s="3" t="s">
        <v>395</v>
      </c>
    </row>
    <row r="157" spans="1:12" x14ac:dyDescent="0.3">
      <c r="A157" t="s">
        <v>521</v>
      </c>
      <c r="B157" t="s">
        <v>8268</v>
      </c>
      <c r="C157" t="s">
        <v>497</v>
      </c>
      <c r="D157" t="s">
        <v>8266</v>
      </c>
      <c r="E157" t="s">
        <v>4380</v>
      </c>
      <c r="L157" s="4" t="s">
        <v>397</v>
      </c>
    </row>
    <row r="158" spans="1:12" x14ac:dyDescent="0.3">
      <c r="A158" t="s">
        <v>362</v>
      </c>
      <c r="B158" t="s">
        <v>1417</v>
      </c>
      <c r="C158" t="s">
        <v>7104</v>
      </c>
      <c r="D158" t="s">
        <v>4380</v>
      </c>
      <c r="E158" t="s">
        <v>7473</v>
      </c>
      <c r="L158" s="3" t="s">
        <v>400</v>
      </c>
    </row>
    <row r="159" spans="1:12" x14ac:dyDescent="0.3">
      <c r="A159" t="s">
        <v>668</v>
      </c>
      <c r="B159" t="s">
        <v>362</v>
      </c>
      <c r="C159" t="s">
        <v>5138</v>
      </c>
      <c r="D159" t="s">
        <v>8046</v>
      </c>
      <c r="E159" t="s">
        <v>5138</v>
      </c>
      <c r="L159" s="4" t="s">
        <v>402</v>
      </c>
    </row>
    <row r="160" spans="1:12" x14ac:dyDescent="0.3">
      <c r="A160" t="s">
        <v>521</v>
      </c>
      <c r="B160" t="s">
        <v>362</v>
      </c>
      <c r="C160" t="s">
        <v>1417</v>
      </c>
      <c r="D160" t="s">
        <v>4380</v>
      </c>
      <c r="E160" t="s">
        <v>5138</v>
      </c>
      <c r="L160" s="3" t="s">
        <v>404</v>
      </c>
    </row>
    <row r="161" spans="1:12" x14ac:dyDescent="0.3">
      <c r="A161" t="s">
        <v>521</v>
      </c>
      <c r="B161" t="s">
        <v>362</v>
      </c>
      <c r="C161" t="s">
        <v>497</v>
      </c>
      <c r="D161" t="s">
        <v>6902</v>
      </c>
      <c r="E161" t="s">
        <v>4380</v>
      </c>
      <c r="L161" s="4" t="s">
        <v>407</v>
      </c>
    </row>
    <row r="162" spans="1:12" x14ac:dyDescent="0.3">
      <c r="A162" t="s">
        <v>521</v>
      </c>
      <c r="B162" t="s">
        <v>362</v>
      </c>
      <c r="C162" t="s">
        <v>4380</v>
      </c>
      <c r="D162" t="s">
        <v>7104</v>
      </c>
      <c r="E162" t="s">
        <v>2701</v>
      </c>
      <c r="L162" s="3" t="s">
        <v>409</v>
      </c>
    </row>
    <row r="163" spans="1:12" x14ac:dyDescent="0.3">
      <c r="A163" t="s">
        <v>521</v>
      </c>
      <c r="B163" t="s">
        <v>362</v>
      </c>
      <c r="C163" t="s">
        <v>668</v>
      </c>
      <c r="D163" t="s">
        <v>7104</v>
      </c>
      <c r="E163" t="s">
        <v>8269</v>
      </c>
      <c r="L163" s="4" t="s">
        <v>411</v>
      </c>
    </row>
    <row r="164" spans="1:12" x14ac:dyDescent="0.3">
      <c r="A164" t="s">
        <v>521</v>
      </c>
      <c r="B164" t="s">
        <v>362</v>
      </c>
      <c r="C164" t="s">
        <v>668</v>
      </c>
      <c r="D164" t="s">
        <v>497</v>
      </c>
      <c r="E164" t="s">
        <v>4380</v>
      </c>
      <c r="L164" s="3" t="s">
        <v>413</v>
      </c>
    </row>
    <row r="165" spans="1:12" x14ac:dyDescent="0.3">
      <c r="A165" t="s">
        <v>521</v>
      </c>
      <c r="B165" t="s">
        <v>1417</v>
      </c>
      <c r="C165" t="s">
        <v>668</v>
      </c>
      <c r="D165" t="s">
        <v>497</v>
      </c>
      <c r="E165" t="s">
        <v>5043</v>
      </c>
      <c r="L165" s="4" t="s">
        <v>416</v>
      </c>
    </row>
    <row r="166" spans="1:12" x14ac:dyDescent="0.3">
      <c r="A166" t="s">
        <v>521</v>
      </c>
      <c r="B166" t="s">
        <v>8268</v>
      </c>
      <c r="C166" t="s">
        <v>4380</v>
      </c>
      <c r="D166" t="s">
        <v>497</v>
      </c>
      <c r="E166" t="s">
        <v>8046</v>
      </c>
      <c r="L166" s="3" t="s">
        <v>419</v>
      </c>
    </row>
    <row r="167" spans="1:12" x14ac:dyDescent="0.3">
      <c r="A167" t="s">
        <v>521</v>
      </c>
      <c r="B167" t="s">
        <v>5138</v>
      </c>
      <c r="C167" t="s">
        <v>4843</v>
      </c>
      <c r="D167" t="s">
        <v>8266</v>
      </c>
      <c r="E167" t="s">
        <v>5138</v>
      </c>
      <c r="L167" s="4" t="s">
        <v>421</v>
      </c>
    </row>
    <row r="168" spans="1:12" x14ac:dyDescent="0.3">
      <c r="A168" t="s">
        <v>521</v>
      </c>
      <c r="B168" t="s">
        <v>362</v>
      </c>
      <c r="C168" t="s">
        <v>668</v>
      </c>
      <c r="D168" t="s">
        <v>1417</v>
      </c>
      <c r="E168" t="s">
        <v>7473</v>
      </c>
      <c r="L168" s="3" t="s">
        <v>423</v>
      </c>
    </row>
    <row r="169" spans="1:12" x14ac:dyDescent="0.3">
      <c r="A169" t="s">
        <v>521</v>
      </c>
      <c r="B169" t="s">
        <v>362</v>
      </c>
      <c r="C169" t="s">
        <v>4380</v>
      </c>
      <c r="D169" t="s">
        <v>7104</v>
      </c>
      <c r="E169" t="s">
        <v>6902</v>
      </c>
      <c r="L169" s="4" t="s">
        <v>426</v>
      </c>
    </row>
    <row r="170" spans="1:12" x14ac:dyDescent="0.3">
      <c r="A170" t="s">
        <v>521</v>
      </c>
      <c r="B170" t="s">
        <v>362</v>
      </c>
      <c r="C170" t="s">
        <v>497</v>
      </c>
      <c r="D170" t="s">
        <v>7473</v>
      </c>
      <c r="E170" t="s">
        <v>5138</v>
      </c>
      <c r="L170" s="3" t="s">
        <v>429</v>
      </c>
    </row>
    <row r="171" spans="1:12" x14ac:dyDescent="0.3">
      <c r="A171" t="s">
        <v>521</v>
      </c>
      <c r="B171" t="s">
        <v>362</v>
      </c>
      <c r="C171" t="s">
        <v>668</v>
      </c>
      <c r="D171" t="s">
        <v>5138</v>
      </c>
      <c r="E171" t="s">
        <v>497</v>
      </c>
      <c r="L171" s="4" t="s">
        <v>432</v>
      </c>
    </row>
    <row r="172" spans="1:12" x14ac:dyDescent="0.3">
      <c r="A172" t="s">
        <v>521</v>
      </c>
      <c r="B172" t="s">
        <v>362</v>
      </c>
      <c r="C172" t="s">
        <v>4380</v>
      </c>
      <c r="D172" t="s">
        <v>4380</v>
      </c>
      <c r="E172" t="s">
        <v>497</v>
      </c>
      <c r="L172" s="3" t="s">
        <v>434</v>
      </c>
    </row>
    <row r="173" spans="1:12" x14ac:dyDescent="0.3">
      <c r="A173" t="s">
        <v>521</v>
      </c>
      <c r="B173" t="s">
        <v>362</v>
      </c>
      <c r="C173" t="s">
        <v>8268</v>
      </c>
      <c r="D173" t="s">
        <v>1417</v>
      </c>
      <c r="E173" t="s">
        <v>6902</v>
      </c>
      <c r="L173" s="4" t="s">
        <v>437</v>
      </c>
    </row>
    <row r="174" spans="1:12" x14ac:dyDescent="0.3">
      <c r="A174" t="s">
        <v>521</v>
      </c>
      <c r="B174" t="s">
        <v>1417</v>
      </c>
      <c r="C174" t="s">
        <v>4843</v>
      </c>
      <c r="D174" t="s">
        <v>8269</v>
      </c>
      <c r="E174" t="s">
        <v>5138</v>
      </c>
      <c r="L174" s="3" t="s">
        <v>440</v>
      </c>
    </row>
    <row r="175" spans="1:12" x14ac:dyDescent="0.3">
      <c r="A175" t="s">
        <v>521</v>
      </c>
      <c r="B175" t="s">
        <v>668</v>
      </c>
      <c r="C175" t="s">
        <v>8266</v>
      </c>
      <c r="D175" t="s">
        <v>7104</v>
      </c>
      <c r="E175" t="s">
        <v>7473</v>
      </c>
      <c r="L175" s="4" t="s">
        <v>442</v>
      </c>
    </row>
    <row r="176" spans="1:12" x14ac:dyDescent="0.3">
      <c r="A176" t="s">
        <v>362</v>
      </c>
      <c r="B176" t="s">
        <v>362</v>
      </c>
      <c r="C176" t="s">
        <v>1417</v>
      </c>
      <c r="D176" t="s">
        <v>4380</v>
      </c>
      <c r="E176" t="s">
        <v>497</v>
      </c>
      <c r="L176" s="3" t="s">
        <v>445</v>
      </c>
    </row>
    <row r="177" spans="1:12" x14ac:dyDescent="0.3">
      <c r="A177" t="s">
        <v>4843</v>
      </c>
      <c r="B177" t="s">
        <v>8268</v>
      </c>
      <c r="C177" t="s">
        <v>7104</v>
      </c>
      <c r="D177" t="s">
        <v>8269</v>
      </c>
      <c r="E177" t="s">
        <v>4380</v>
      </c>
      <c r="L177" s="4" t="s">
        <v>447</v>
      </c>
    </row>
    <row r="178" spans="1:12" x14ac:dyDescent="0.3">
      <c r="A178" t="s">
        <v>521</v>
      </c>
      <c r="B178" t="s">
        <v>7104</v>
      </c>
      <c r="C178" t="s">
        <v>497</v>
      </c>
      <c r="D178" t="s">
        <v>8267</v>
      </c>
      <c r="E178" t="s">
        <v>4380</v>
      </c>
      <c r="L178" s="3" t="s">
        <v>450</v>
      </c>
    </row>
    <row r="179" spans="1:12" x14ac:dyDescent="0.3">
      <c r="A179" t="s">
        <v>521</v>
      </c>
      <c r="B179" t="s">
        <v>1417</v>
      </c>
      <c r="C179" t="s">
        <v>7473</v>
      </c>
      <c r="D179" t="s">
        <v>7104</v>
      </c>
      <c r="E179" t="s">
        <v>4380</v>
      </c>
      <c r="L179" s="4" t="s">
        <v>452</v>
      </c>
    </row>
    <row r="180" spans="1:12" x14ac:dyDescent="0.3">
      <c r="A180" t="s">
        <v>362</v>
      </c>
      <c r="B180" t="s">
        <v>4843</v>
      </c>
      <c r="C180" t="s">
        <v>5138</v>
      </c>
      <c r="D180" t="s">
        <v>7104</v>
      </c>
      <c r="E180" t="s">
        <v>4380</v>
      </c>
      <c r="L180" s="3" t="s">
        <v>455</v>
      </c>
    </row>
    <row r="181" spans="1:12" x14ac:dyDescent="0.3">
      <c r="A181" t="s">
        <v>362</v>
      </c>
      <c r="B181" t="s">
        <v>4843</v>
      </c>
      <c r="C181" t="s">
        <v>7104</v>
      </c>
      <c r="D181" t="s">
        <v>7473</v>
      </c>
      <c r="E181" t="s">
        <v>4380</v>
      </c>
      <c r="L181" s="4" t="s">
        <v>458</v>
      </c>
    </row>
    <row r="182" spans="1:12" x14ac:dyDescent="0.3">
      <c r="A182" t="s">
        <v>362</v>
      </c>
      <c r="B182" t="s">
        <v>4843</v>
      </c>
      <c r="C182" t="s">
        <v>7104</v>
      </c>
      <c r="D182" t="s">
        <v>7104</v>
      </c>
      <c r="E182" t="s">
        <v>1417</v>
      </c>
      <c r="L182" s="3" t="s">
        <v>460</v>
      </c>
    </row>
    <row r="183" spans="1:12" x14ac:dyDescent="0.3">
      <c r="A183" t="s">
        <v>362</v>
      </c>
      <c r="B183" t="s">
        <v>8266</v>
      </c>
      <c r="C183" t="s">
        <v>668</v>
      </c>
      <c r="D183" t="s">
        <v>497</v>
      </c>
      <c r="E183" t="s">
        <v>8269</v>
      </c>
      <c r="L183" s="4" t="s">
        <v>462</v>
      </c>
    </row>
    <row r="184" spans="1:12" x14ac:dyDescent="0.3">
      <c r="A184" t="s">
        <v>362</v>
      </c>
      <c r="B184" t="s">
        <v>362</v>
      </c>
      <c r="C184" t="s">
        <v>497</v>
      </c>
      <c r="D184" t="s">
        <v>497</v>
      </c>
      <c r="E184" t="s">
        <v>8269</v>
      </c>
      <c r="L184" s="3" t="s">
        <v>464</v>
      </c>
    </row>
    <row r="185" spans="1:12" x14ac:dyDescent="0.3">
      <c r="A185" t="s">
        <v>521</v>
      </c>
      <c r="B185" t="s">
        <v>362</v>
      </c>
      <c r="C185" t="s">
        <v>497</v>
      </c>
      <c r="D185" t="s">
        <v>4380</v>
      </c>
      <c r="E185" t="s">
        <v>7104</v>
      </c>
      <c r="L185" s="4" t="s">
        <v>467</v>
      </c>
    </row>
    <row r="186" spans="1:12" x14ac:dyDescent="0.3">
      <c r="A186" t="s">
        <v>521</v>
      </c>
      <c r="B186" t="s">
        <v>5138</v>
      </c>
      <c r="C186" t="s">
        <v>1417</v>
      </c>
      <c r="D186" t="s">
        <v>5138</v>
      </c>
      <c r="E186" t="s">
        <v>4380</v>
      </c>
      <c r="L186" s="3" t="s">
        <v>469</v>
      </c>
    </row>
    <row r="187" spans="1:12" x14ac:dyDescent="0.3">
      <c r="A187" t="s">
        <v>521</v>
      </c>
      <c r="B187" t="s">
        <v>1417</v>
      </c>
      <c r="C187" t="s">
        <v>497</v>
      </c>
      <c r="D187" t="s">
        <v>4380</v>
      </c>
      <c r="E187" t="s">
        <v>4380</v>
      </c>
      <c r="L187" s="4" t="s">
        <v>472</v>
      </c>
    </row>
    <row r="188" spans="1:12" x14ac:dyDescent="0.3">
      <c r="A188" t="s">
        <v>362</v>
      </c>
      <c r="B188" t="s">
        <v>4843</v>
      </c>
      <c r="C188" t="s">
        <v>4380</v>
      </c>
      <c r="D188" t="s">
        <v>4380</v>
      </c>
      <c r="E188" t="s">
        <v>5043</v>
      </c>
      <c r="L188" s="3" t="s">
        <v>474</v>
      </c>
    </row>
    <row r="189" spans="1:12" x14ac:dyDescent="0.3">
      <c r="A189" t="s">
        <v>362</v>
      </c>
      <c r="B189" t="s">
        <v>5138</v>
      </c>
      <c r="C189" t="s">
        <v>668</v>
      </c>
      <c r="D189" t="s">
        <v>6171</v>
      </c>
      <c r="E189" t="s">
        <v>4380</v>
      </c>
      <c r="L189" s="4" t="s">
        <v>477</v>
      </c>
    </row>
    <row r="190" spans="1:12" x14ac:dyDescent="0.3">
      <c r="A190" t="s">
        <v>362</v>
      </c>
      <c r="B190" t="s">
        <v>668</v>
      </c>
      <c r="C190" t="s">
        <v>497</v>
      </c>
      <c r="D190" t="s">
        <v>7104</v>
      </c>
      <c r="E190" t="s">
        <v>8269</v>
      </c>
      <c r="L190" s="3" t="s">
        <v>479</v>
      </c>
    </row>
    <row r="191" spans="1:12" x14ac:dyDescent="0.3">
      <c r="A191" t="s">
        <v>362</v>
      </c>
      <c r="B191" t="s">
        <v>362</v>
      </c>
      <c r="C191" t="s">
        <v>4380</v>
      </c>
      <c r="D191" t="s">
        <v>8266</v>
      </c>
      <c r="E191" t="s">
        <v>7473</v>
      </c>
      <c r="L191" s="4" t="s">
        <v>482</v>
      </c>
    </row>
    <row r="192" spans="1:12" x14ac:dyDescent="0.3">
      <c r="A192" t="s">
        <v>521</v>
      </c>
      <c r="B192" t="s">
        <v>8268</v>
      </c>
      <c r="C192" t="s">
        <v>8268</v>
      </c>
      <c r="D192" t="s">
        <v>7104</v>
      </c>
      <c r="E192" t="s">
        <v>497</v>
      </c>
      <c r="L192" s="3" t="s">
        <v>485</v>
      </c>
    </row>
    <row r="193" spans="1:12" x14ac:dyDescent="0.3">
      <c r="A193" t="s">
        <v>521</v>
      </c>
      <c r="B193" t="s">
        <v>362</v>
      </c>
      <c r="C193" t="s">
        <v>497</v>
      </c>
      <c r="D193" t="s">
        <v>4380</v>
      </c>
      <c r="E193" t="s">
        <v>4380</v>
      </c>
      <c r="L193" s="4" t="s">
        <v>488</v>
      </c>
    </row>
    <row r="194" spans="1:12" x14ac:dyDescent="0.3">
      <c r="A194" t="s">
        <v>521</v>
      </c>
      <c r="B194" t="s">
        <v>362</v>
      </c>
      <c r="C194" t="s">
        <v>8046</v>
      </c>
      <c r="D194" t="s">
        <v>8266</v>
      </c>
      <c r="E194" t="s">
        <v>6171</v>
      </c>
      <c r="L194" s="3" t="s">
        <v>490</v>
      </c>
    </row>
    <row r="195" spans="1:12" x14ac:dyDescent="0.3">
      <c r="A195" t="s">
        <v>521</v>
      </c>
      <c r="B195" t="s">
        <v>7104</v>
      </c>
      <c r="C195" t="s">
        <v>4380</v>
      </c>
      <c r="D195" t="s">
        <v>5138</v>
      </c>
      <c r="E195" t="s">
        <v>8269</v>
      </c>
      <c r="L195" s="4" t="s">
        <v>493</v>
      </c>
    </row>
    <row r="196" spans="1:12" x14ac:dyDescent="0.3">
      <c r="A196" t="s">
        <v>521</v>
      </c>
      <c r="B196" t="s">
        <v>1417</v>
      </c>
      <c r="C196" t="s">
        <v>497</v>
      </c>
      <c r="D196" t="s">
        <v>668</v>
      </c>
      <c r="E196" t="s">
        <v>5138</v>
      </c>
      <c r="L196" s="3" t="s">
        <v>495</v>
      </c>
    </row>
    <row r="197" spans="1:12" x14ac:dyDescent="0.3">
      <c r="A197" t="s">
        <v>362</v>
      </c>
      <c r="B197" t="s">
        <v>362</v>
      </c>
      <c r="C197" t="s">
        <v>5138</v>
      </c>
      <c r="D197" t="s">
        <v>497</v>
      </c>
      <c r="E197" t="s">
        <v>497</v>
      </c>
      <c r="L197" s="4" t="s">
        <v>498</v>
      </c>
    </row>
    <row r="198" spans="1:12" x14ac:dyDescent="0.3">
      <c r="A198" t="s">
        <v>362</v>
      </c>
      <c r="B198" t="s">
        <v>4843</v>
      </c>
      <c r="C198" t="s">
        <v>4380</v>
      </c>
      <c r="D198" t="s">
        <v>8268</v>
      </c>
      <c r="E198" t="s">
        <v>4380</v>
      </c>
      <c r="L198" s="3" t="s">
        <v>500</v>
      </c>
    </row>
    <row r="199" spans="1:12" x14ac:dyDescent="0.3">
      <c r="A199" t="s">
        <v>521</v>
      </c>
      <c r="B199" t="s">
        <v>497</v>
      </c>
      <c r="C199" t="s">
        <v>1417</v>
      </c>
      <c r="D199" t="s">
        <v>497</v>
      </c>
      <c r="E199" t="s">
        <v>497</v>
      </c>
      <c r="L199" s="4" t="s">
        <v>503</v>
      </c>
    </row>
    <row r="200" spans="1:12" x14ac:dyDescent="0.3">
      <c r="A200" t="s">
        <v>362</v>
      </c>
      <c r="B200" t="s">
        <v>668</v>
      </c>
      <c r="C200" t="s">
        <v>5138</v>
      </c>
      <c r="D200" t="s">
        <v>4380</v>
      </c>
      <c r="E200" t="s">
        <v>4380</v>
      </c>
      <c r="L200" s="3" t="s">
        <v>505</v>
      </c>
    </row>
    <row r="201" spans="1:12" x14ac:dyDescent="0.3">
      <c r="A201" t="s">
        <v>521</v>
      </c>
      <c r="B201" t="s">
        <v>4843</v>
      </c>
      <c r="C201" t="s">
        <v>497</v>
      </c>
      <c r="D201" t="s">
        <v>8266</v>
      </c>
      <c r="E201" t="s">
        <v>5138</v>
      </c>
      <c r="L201" s="4" t="s">
        <v>507</v>
      </c>
    </row>
    <row r="202" spans="1:12" x14ac:dyDescent="0.3">
      <c r="A202" t="s">
        <v>362</v>
      </c>
      <c r="B202" t="s">
        <v>7104</v>
      </c>
      <c r="C202" t="s">
        <v>4380</v>
      </c>
      <c r="D202" t="s">
        <v>7104</v>
      </c>
      <c r="E202" t="s">
        <v>8269</v>
      </c>
      <c r="L202" s="3" t="s">
        <v>510</v>
      </c>
    </row>
    <row r="203" spans="1:12" x14ac:dyDescent="0.3">
      <c r="A203" t="s">
        <v>521</v>
      </c>
      <c r="B203" t="s">
        <v>668</v>
      </c>
      <c r="C203" t="s">
        <v>668</v>
      </c>
      <c r="D203" t="s">
        <v>7104</v>
      </c>
      <c r="E203" t="s">
        <v>497</v>
      </c>
      <c r="L203" s="4" t="s">
        <v>512</v>
      </c>
    </row>
    <row r="204" spans="1:12" x14ac:dyDescent="0.3">
      <c r="A204" t="s">
        <v>362</v>
      </c>
      <c r="B204" t="s">
        <v>362</v>
      </c>
      <c r="C204" t="s">
        <v>5138</v>
      </c>
      <c r="D204" t="s">
        <v>8269</v>
      </c>
      <c r="E204" t="s">
        <v>8266</v>
      </c>
      <c r="L204" s="3" t="s">
        <v>514</v>
      </c>
    </row>
    <row r="205" spans="1:12" x14ac:dyDescent="0.3">
      <c r="A205" t="s">
        <v>521</v>
      </c>
      <c r="B205" t="s">
        <v>362</v>
      </c>
      <c r="C205" t="s">
        <v>668</v>
      </c>
      <c r="D205" t="s">
        <v>5138</v>
      </c>
      <c r="E205" t="s">
        <v>4380</v>
      </c>
      <c r="L205" s="4" t="s">
        <v>517</v>
      </c>
    </row>
    <row r="206" spans="1:12" x14ac:dyDescent="0.3">
      <c r="A206" t="s">
        <v>521</v>
      </c>
      <c r="B206" t="s">
        <v>5138</v>
      </c>
      <c r="C206" t="s">
        <v>5138</v>
      </c>
      <c r="D206" t="s">
        <v>2701</v>
      </c>
      <c r="E206" t="s">
        <v>7104</v>
      </c>
      <c r="L206" s="3" t="s">
        <v>519</v>
      </c>
    </row>
    <row r="207" spans="1:12" x14ac:dyDescent="0.3">
      <c r="A207" t="s">
        <v>521</v>
      </c>
      <c r="B207" t="s">
        <v>4380</v>
      </c>
      <c r="C207" t="s">
        <v>5138</v>
      </c>
      <c r="D207" t="s">
        <v>4380</v>
      </c>
      <c r="E207" t="s">
        <v>5138</v>
      </c>
      <c r="L207" s="4" t="s">
        <v>522</v>
      </c>
    </row>
    <row r="208" spans="1:12" x14ac:dyDescent="0.3">
      <c r="A208" t="s">
        <v>497</v>
      </c>
      <c r="B208" t="s">
        <v>4843</v>
      </c>
      <c r="C208" t="s">
        <v>5138</v>
      </c>
      <c r="D208" t="s">
        <v>4380</v>
      </c>
      <c r="E208" t="s">
        <v>4380</v>
      </c>
      <c r="L208" s="3" t="s">
        <v>524</v>
      </c>
    </row>
    <row r="209" spans="1:12" x14ac:dyDescent="0.3">
      <c r="A209" t="s">
        <v>362</v>
      </c>
      <c r="B209" t="s">
        <v>362</v>
      </c>
      <c r="C209" t="s">
        <v>8267</v>
      </c>
      <c r="D209" t="s">
        <v>8268</v>
      </c>
      <c r="E209" t="s">
        <v>5138</v>
      </c>
      <c r="L209" s="4" t="s">
        <v>526</v>
      </c>
    </row>
    <row r="210" spans="1:12" x14ac:dyDescent="0.3">
      <c r="A210" t="s">
        <v>8266</v>
      </c>
      <c r="B210" t="s">
        <v>8268</v>
      </c>
      <c r="C210" t="s">
        <v>7473</v>
      </c>
      <c r="D210" t="s">
        <v>5138</v>
      </c>
      <c r="E210" t="s">
        <v>8269</v>
      </c>
      <c r="L210" s="3" t="s">
        <v>528</v>
      </c>
    </row>
    <row r="211" spans="1:12" x14ac:dyDescent="0.3">
      <c r="A211" t="s">
        <v>362</v>
      </c>
      <c r="B211" t="s">
        <v>362</v>
      </c>
      <c r="C211" t="s">
        <v>7473</v>
      </c>
      <c r="D211" t="s">
        <v>7104</v>
      </c>
      <c r="E211" t="s">
        <v>8269</v>
      </c>
      <c r="L211" s="4" t="s">
        <v>530</v>
      </c>
    </row>
    <row r="212" spans="1:12" x14ac:dyDescent="0.3">
      <c r="A212" t="s">
        <v>521</v>
      </c>
      <c r="B212" t="s">
        <v>362</v>
      </c>
      <c r="C212" t="s">
        <v>8266</v>
      </c>
      <c r="D212" t="s">
        <v>4380</v>
      </c>
      <c r="E212" t="s">
        <v>7473</v>
      </c>
      <c r="L212" s="3" t="s">
        <v>532</v>
      </c>
    </row>
    <row r="213" spans="1:12" x14ac:dyDescent="0.3">
      <c r="A213" t="s">
        <v>521</v>
      </c>
      <c r="B213" t="s">
        <v>5138</v>
      </c>
      <c r="C213" t="s">
        <v>497</v>
      </c>
      <c r="D213" t="s">
        <v>4380</v>
      </c>
      <c r="E213" t="s">
        <v>5138</v>
      </c>
      <c r="L213" s="4" t="s">
        <v>535</v>
      </c>
    </row>
    <row r="214" spans="1:12" x14ac:dyDescent="0.3">
      <c r="A214" t="s">
        <v>521</v>
      </c>
      <c r="B214" t="s">
        <v>362</v>
      </c>
      <c r="C214" t="s">
        <v>497</v>
      </c>
      <c r="D214" t="s">
        <v>8269</v>
      </c>
      <c r="E214" t="s">
        <v>4380</v>
      </c>
      <c r="L214" s="3" t="s">
        <v>538</v>
      </c>
    </row>
    <row r="215" spans="1:12" x14ac:dyDescent="0.3">
      <c r="A215" t="s">
        <v>521</v>
      </c>
      <c r="B215" t="s">
        <v>362</v>
      </c>
      <c r="C215" t="s">
        <v>668</v>
      </c>
      <c r="D215" t="s">
        <v>6902</v>
      </c>
      <c r="E215" t="s">
        <v>5138</v>
      </c>
      <c r="L215" s="4" t="s">
        <v>540</v>
      </c>
    </row>
    <row r="216" spans="1:12" x14ac:dyDescent="0.3">
      <c r="A216" t="s">
        <v>521</v>
      </c>
      <c r="B216" t="s">
        <v>7104</v>
      </c>
      <c r="C216" t="s">
        <v>5138</v>
      </c>
      <c r="D216" t="s">
        <v>4380</v>
      </c>
      <c r="E216" t="s">
        <v>8266</v>
      </c>
      <c r="L216" s="3" t="s">
        <v>543</v>
      </c>
    </row>
    <row r="217" spans="1:12" x14ac:dyDescent="0.3">
      <c r="A217" t="s">
        <v>521</v>
      </c>
      <c r="B217" t="s">
        <v>362</v>
      </c>
      <c r="C217" t="s">
        <v>497</v>
      </c>
      <c r="D217" t="s">
        <v>5043</v>
      </c>
      <c r="E217" t="s">
        <v>7104</v>
      </c>
      <c r="L217" s="4" t="s">
        <v>546</v>
      </c>
    </row>
    <row r="218" spans="1:12" x14ac:dyDescent="0.3">
      <c r="A218" t="s">
        <v>521</v>
      </c>
      <c r="B218" t="s">
        <v>362</v>
      </c>
      <c r="C218" t="s">
        <v>668</v>
      </c>
      <c r="D218" t="s">
        <v>4380</v>
      </c>
      <c r="E218" t="s">
        <v>4380</v>
      </c>
      <c r="L218" s="3" t="s">
        <v>548</v>
      </c>
    </row>
    <row r="219" spans="1:12" x14ac:dyDescent="0.3">
      <c r="A219" t="s">
        <v>521</v>
      </c>
      <c r="B219" t="s">
        <v>362</v>
      </c>
      <c r="C219" t="s">
        <v>7104</v>
      </c>
      <c r="D219" t="s">
        <v>497</v>
      </c>
      <c r="E219" t="s">
        <v>7104</v>
      </c>
      <c r="L219" s="4" t="s">
        <v>551</v>
      </c>
    </row>
    <row r="220" spans="1:12" x14ac:dyDescent="0.3">
      <c r="A220" t="s">
        <v>668</v>
      </c>
      <c r="B220" t="s">
        <v>362</v>
      </c>
      <c r="C220" t="s">
        <v>8269</v>
      </c>
      <c r="D220" t="s">
        <v>497</v>
      </c>
      <c r="E220" t="s">
        <v>4380</v>
      </c>
      <c r="L220" s="3" t="s">
        <v>553</v>
      </c>
    </row>
    <row r="221" spans="1:12" x14ac:dyDescent="0.3">
      <c r="A221" t="s">
        <v>521</v>
      </c>
      <c r="B221" t="s">
        <v>1417</v>
      </c>
      <c r="C221" t="s">
        <v>1417</v>
      </c>
      <c r="D221" t="s">
        <v>8266</v>
      </c>
      <c r="E221" t="s">
        <v>7473</v>
      </c>
      <c r="L221" s="4" t="s">
        <v>556</v>
      </c>
    </row>
    <row r="222" spans="1:12" x14ac:dyDescent="0.3">
      <c r="A222" t="s">
        <v>521</v>
      </c>
      <c r="B222" t="s">
        <v>497</v>
      </c>
      <c r="C222" t="s">
        <v>668</v>
      </c>
      <c r="D222" t="s">
        <v>4380</v>
      </c>
      <c r="E222" t="s">
        <v>4380</v>
      </c>
      <c r="L222" s="3" t="s">
        <v>559</v>
      </c>
    </row>
    <row r="223" spans="1:12" x14ac:dyDescent="0.3">
      <c r="A223" t="s">
        <v>521</v>
      </c>
      <c r="B223" t="s">
        <v>4380</v>
      </c>
      <c r="C223" t="s">
        <v>5138</v>
      </c>
      <c r="D223" t="s">
        <v>8266</v>
      </c>
      <c r="E223" t="s">
        <v>4380</v>
      </c>
      <c r="L223" s="4" t="s">
        <v>562</v>
      </c>
    </row>
    <row r="224" spans="1:12" x14ac:dyDescent="0.3">
      <c r="A224" t="s">
        <v>521</v>
      </c>
      <c r="B224" t="s">
        <v>362</v>
      </c>
      <c r="C224" t="s">
        <v>4380</v>
      </c>
      <c r="D224" t="s">
        <v>7104</v>
      </c>
      <c r="E224" t="s">
        <v>8269</v>
      </c>
      <c r="L224" s="3" t="s">
        <v>565</v>
      </c>
    </row>
    <row r="225" spans="1:12" x14ac:dyDescent="0.3">
      <c r="A225" t="s">
        <v>362</v>
      </c>
      <c r="B225" t="s">
        <v>8266</v>
      </c>
      <c r="C225" t="s">
        <v>668</v>
      </c>
      <c r="D225" t="s">
        <v>4380</v>
      </c>
      <c r="E225" t="s">
        <v>5043</v>
      </c>
      <c r="L225" s="4" t="s">
        <v>568</v>
      </c>
    </row>
    <row r="226" spans="1:12" x14ac:dyDescent="0.3">
      <c r="A226" t="s">
        <v>521</v>
      </c>
      <c r="B226" t="s">
        <v>4843</v>
      </c>
      <c r="C226" t="s">
        <v>5138</v>
      </c>
      <c r="D226" t="s">
        <v>497</v>
      </c>
      <c r="E226" t="s">
        <v>8269</v>
      </c>
      <c r="L226" s="3" t="s">
        <v>570</v>
      </c>
    </row>
    <row r="227" spans="1:12" x14ac:dyDescent="0.3">
      <c r="A227" t="s">
        <v>521</v>
      </c>
      <c r="B227" t="s">
        <v>1417</v>
      </c>
      <c r="C227" t="s">
        <v>668</v>
      </c>
      <c r="D227" t="s">
        <v>7104</v>
      </c>
      <c r="E227" t="s">
        <v>5138</v>
      </c>
      <c r="L227" s="4" t="s">
        <v>572</v>
      </c>
    </row>
    <row r="228" spans="1:12" x14ac:dyDescent="0.3">
      <c r="A228" t="s">
        <v>521</v>
      </c>
      <c r="B228" t="s">
        <v>362</v>
      </c>
      <c r="C228" t="s">
        <v>1417</v>
      </c>
      <c r="D228" t="s">
        <v>6902</v>
      </c>
      <c r="E228" t="s">
        <v>8269</v>
      </c>
      <c r="L228" s="3" t="s">
        <v>574</v>
      </c>
    </row>
    <row r="229" spans="1:12" x14ac:dyDescent="0.3">
      <c r="A229" t="s">
        <v>362</v>
      </c>
      <c r="B229" t="s">
        <v>8268</v>
      </c>
      <c r="C229" t="s">
        <v>4380</v>
      </c>
      <c r="D229" t="s">
        <v>7104</v>
      </c>
      <c r="E229" t="s">
        <v>5138</v>
      </c>
      <c r="L229" s="4" t="s">
        <v>576</v>
      </c>
    </row>
    <row r="230" spans="1:12" x14ac:dyDescent="0.3">
      <c r="A230" t="s">
        <v>362</v>
      </c>
      <c r="B230" t="s">
        <v>7104</v>
      </c>
      <c r="C230" t="s">
        <v>8046</v>
      </c>
      <c r="D230" t="s">
        <v>7473</v>
      </c>
      <c r="E230" t="s">
        <v>4380</v>
      </c>
      <c r="L230" s="3" t="s">
        <v>578</v>
      </c>
    </row>
    <row r="231" spans="1:12" x14ac:dyDescent="0.3">
      <c r="A231" t="s">
        <v>521</v>
      </c>
      <c r="B231" t="s">
        <v>1417</v>
      </c>
      <c r="C231" t="s">
        <v>8268</v>
      </c>
      <c r="D231" t="s">
        <v>4380</v>
      </c>
      <c r="E231" t="s">
        <v>6171</v>
      </c>
      <c r="L231" s="4" t="s">
        <v>580</v>
      </c>
    </row>
    <row r="232" spans="1:12" x14ac:dyDescent="0.3">
      <c r="A232" t="s">
        <v>521</v>
      </c>
      <c r="B232" t="s">
        <v>668</v>
      </c>
      <c r="C232" t="s">
        <v>4380</v>
      </c>
      <c r="D232" t="s">
        <v>7473</v>
      </c>
      <c r="E232" t="s">
        <v>4380</v>
      </c>
      <c r="L232" s="3" t="s">
        <v>585</v>
      </c>
    </row>
    <row r="233" spans="1:12" x14ac:dyDescent="0.3">
      <c r="A233" t="s">
        <v>521</v>
      </c>
      <c r="B233" t="s">
        <v>362</v>
      </c>
      <c r="C233" t="s">
        <v>7104</v>
      </c>
      <c r="D233" t="s">
        <v>497</v>
      </c>
      <c r="E233" t="s">
        <v>7104</v>
      </c>
      <c r="L233" s="4" t="s">
        <v>587</v>
      </c>
    </row>
    <row r="234" spans="1:12" x14ac:dyDescent="0.3">
      <c r="A234" t="s">
        <v>521</v>
      </c>
      <c r="B234" t="s">
        <v>362</v>
      </c>
      <c r="C234" t="s">
        <v>8268</v>
      </c>
      <c r="D234" t="s">
        <v>4380</v>
      </c>
      <c r="E234" t="s">
        <v>5138</v>
      </c>
      <c r="L234" s="3" t="s">
        <v>589</v>
      </c>
    </row>
    <row r="235" spans="1:12" x14ac:dyDescent="0.3">
      <c r="A235" t="s">
        <v>668</v>
      </c>
      <c r="B235" t="s">
        <v>362</v>
      </c>
      <c r="C235" t="s">
        <v>8268</v>
      </c>
      <c r="D235" t="s">
        <v>2701</v>
      </c>
      <c r="E235" t="s">
        <v>5138</v>
      </c>
      <c r="L235" s="4" t="s">
        <v>592</v>
      </c>
    </row>
    <row r="236" spans="1:12" x14ac:dyDescent="0.3">
      <c r="A236" t="s">
        <v>521</v>
      </c>
      <c r="B236" t="s">
        <v>4843</v>
      </c>
      <c r="C236" t="s">
        <v>497</v>
      </c>
      <c r="D236" t="s">
        <v>8266</v>
      </c>
      <c r="E236" t="s">
        <v>8267</v>
      </c>
      <c r="L236" s="3" t="s">
        <v>594</v>
      </c>
    </row>
    <row r="237" spans="1:12" x14ac:dyDescent="0.3">
      <c r="A237" t="s">
        <v>521</v>
      </c>
      <c r="B237" t="s">
        <v>362</v>
      </c>
      <c r="C237" t="s">
        <v>668</v>
      </c>
      <c r="D237" t="s">
        <v>4380</v>
      </c>
      <c r="E237" t="s">
        <v>7104</v>
      </c>
      <c r="L237" s="4" t="s">
        <v>596</v>
      </c>
    </row>
    <row r="238" spans="1:12" x14ac:dyDescent="0.3">
      <c r="A238" t="s">
        <v>521</v>
      </c>
      <c r="B238" t="s">
        <v>362</v>
      </c>
      <c r="C238" t="s">
        <v>7104</v>
      </c>
      <c r="D238" t="s">
        <v>4380</v>
      </c>
      <c r="E238" t="s">
        <v>5043</v>
      </c>
      <c r="L238" s="3" t="s">
        <v>598</v>
      </c>
    </row>
    <row r="239" spans="1:12" x14ac:dyDescent="0.3">
      <c r="A239" t="s">
        <v>521</v>
      </c>
      <c r="B239" t="s">
        <v>4843</v>
      </c>
      <c r="C239" t="s">
        <v>8266</v>
      </c>
      <c r="D239" t="s">
        <v>7104</v>
      </c>
      <c r="E239" t="s">
        <v>4380</v>
      </c>
      <c r="L239" s="4" t="s">
        <v>601</v>
      </c>
    </row>
    <row r="240" spans="1:12" x14ac:dyDescent="0.3">
      <c r="A240" t="s">
        <v>362</v>
      </c>
      <c r="B240" t="s">
        <v>668</v>
      </c>
      <c r="C240" t="s">
        <v>5138</v>
      </c>
      <c r="D240" t="s">
        <v>1417</v>
      </c>
      <c r="E240" t="s">
        <v>4380</v>
      </c>
      <c r="L240" s="3" t="s">
        <v>603</v>
      </c>
    </row>
    <row r="241" spans="1:12" x14ac:dyDescent="0.3">
      <c r="A241" t="s">
        <v>521</v>
      </c>
      <c r="B241" t="s">
        <v>1417</v>
      </c>
      <c r="C241" t="s">
        <v>668</v>
      </c>
      <c r="D241" t="s">
        <v>5138</v>
      </c>
      <c r="E241" t="s">
        <v>8269</v>
      </c>
      <c r="L241" s="4" t="s">
        <v>605</v>
      </c>
    </row>
    <row r="242" spans="1:12" x14ac:dyDescent="0.3">
      <c r="A242" t="s">
        <v>521</v>
      </c>
      <c r="B242" t="s">
        <v>362</v>
      </c>
      <c r="C242" t="s">
        <v>7473</v>
      </c>
      <c r="D242" t="s">
        <v>4380</v>
      </c>
      <c r="E242" t="s">
        <v>4380</v>
      </c>
      <c r="L242" s="3" t="s">
        <v>607</v>
      </c>
    </row>
    <row r="243" spans="1:12" x14ac:dyDescent="0.3">
      <c r="A243" t="s">
        <v>362</v>
      </c>
      <c r="B243" t="s">
        <v>362</v>
      </c>
      <c r="C243" t="s">
        <v>4380</v>
      </c>
      <c r="D243" t="s">
        <v>7104</v>
      </c>
      <c r="E243" t="s">
        <v>4380</v>
      </c>
      <c r="L243" s="4" t="s">
        <v>610</v>
      </c>
    </row>
    <row r="244" spans="1:12" x14ac:dyDescent="0.3">
      <c r="A244" t="s">
        <v>362</v>
      </c>
      <c r="B244" t="s">
        <v>1417</v>
      </c>
      <c r="C244" t="s">
        <v>1417</v>
      </c>
      <c r="D244" t="s">
        <v>7104</v>
      </c>
      <c r="E244" t="s">
        <v>497</v>
      </c>
      <c r="L244" s="3" t="s">
        <v>613</v>
      </c>
    </row>
    <row r="245" spans="1:12" x14ac:dyDescent="0.3">
      <c r="A245" t="s">
        <v>521</v>
      </c>
      <c r="B245" t="s">
        <v>362</v>
      </c>
      <c r="C245" t="s">
        <v>668</v>
      </c>
      <c r="D245" t="s">
        <v>4380</v>
      </c>
      <c r="E245" t="s">
        <v>4380</v>
      </c>
      <c r="L245" s="4" t="s">
        <v>615</v>
      </c>
    </row>
    <row r="246" spans="1:12" x14ac:dyDescent="0.3">
      <c r="A246" t="s">
        <v>521</v>
      </c>
      <c r="B246" t="s">
        <v>362</v>
      </c>
      <c r="C246" t="s">
        <v>8267</v>
      </c>
      <c r="D246" t="s">
        <v>7473</v>
      </c>
      <c r="E246" t="s">
        <v>4380</v>
      </c>
      <c r="L246" s="3" t="s">
        <v>618</v>
      </c>
    </row>
    <row r="247" spans="1:12" x14ac:dyDescent="0.3">
      <c r="A247" t="s">
        <v>521</v>
      </c>
      <c r="B247" t="s">
        <v>362</v>
      </c>
      <c r="C247" t="s">
        <v>7104</v>
      </c>
      <c r="D247" t="s">
        <v>1417</v>
      </c>
      <c r="E247" t="s">
        <v>4380</v>
      </c>
      <c r="L247" s="4" t="s">
        <v>620</v>
      </c>
    </row>
    <row r="248" spans="1:12" x14ac:dyDescent="0.3">
      <c r="A248" t="s">
        <v>362</v>
      </c>
      <c r="B248" t="s">
        <v>362</v>
      </c>
      <c r="C248" t="s">
        <v>5138</v>
      </c>
      <c r="D248" t="s">
        <v>7473</v>
      </c>
      <c r="E248" t="s">
        <v>6902</v>
      </c>
      <c r="L248" s="3" t="s">
        <v>623</v>
      </c>
    </row>
    <row r="249" spans="1:12" x14ac:dyDescent="0.3">
      <c r="A249" t="s">
        <v>521</v>
      </c>
      <c r="B249" t="s">
        <v>362</v>
      </c>
      <c r="C249" t="s">
        <v>1417</v>
      </c>
      <c r="D249" t="s">
        <v>4380</v>
      </c>
      <c r="E249" t="s">
        <v>7473</v>
      </c>
      <c r="L249" s="4" t="s">
        <v>626</v>
      </c>
    </row>
    <row r="250" spans="1:12" x14ac:dyDescent="0.3">
      <c r="A250" t="s">
        <v>521</v>
      </c>
      <c r="B250" t="s">
        <v>362</v>
      </c>
      <c r="C250" t="s">
        <v>7104</v>
      </c>
      <c r="D250" t="s">
        <v>4380</v>
      </c>
      <c r="E250" t="s">
        <v>5138</v>
      </c>
      <c r="L250" s="3" t="s">
        <v>628</v>
      </c>
    </row>
    <row r="251" spans="1:12" x14ac:dyDescent="0.3">
      <c r="A251" t="s">
        <v>521</v>
      </c>
      <c r="B251" t="s">
        <v>1417</v>
      </c>
      <c r="C251" t="s">
        <v>497</v>
      </c>
      <c r="D251" t="s">
        <v>7104</v>
      </c>
      <c r="E251" t="s">
        <v>4380</v>
      </c>
      <c r="L251" s="4" t="s">
        <v>631</v>
      </c>
    </row>
    <row r="252" spans="1:12" x14ac:dyDescent="0.3">
      <c r="A252" t="s">
        <v>521</v>
      </c>
      <c r="B252" t="s">
        <v>4380</v>
      </c>
      <c r="C252" t="s">
        <v>5138</v>
      </c>
      <c r="D252" t="s">
        <v>7104</v>
      </c>
      <c r="E252" t="s">
        <v>497</v>
      </c>
      <c r="L252" s="3" t="s">
        <v>634</v>
      </c>
    </row>
    <row r="253" spans="1:12" x14ac:dyDescent="0.3">
      <c r="A253" t="s">
        <v>521</v>
      </c>
      <c r="B253" t="s">
        <v>668</v>
      </c>
      <c r="C253" t="s">
        <v>7473</v>
      </c>
      <c r="D253" t="s">
        <v>7473</v>
      </c>
      <c r="E253" t="s">
        <v>497</v>
      </c>
      <c r="L253" s="4" t="s">
        <v>637</v>
      </c>
    </row>
    <row r="254" spans="1:12" x14ac:dyDescent="0.3">
      <c r="A254" t="s">
        <v>521</v>
      </c>
      <c r="B254" t="s">
        <v>5138</v>
      </c>
      <c r="C254" t="s">
        <v>4380</v>
      </c>
      <c r="D254" t="s">
        <v>7473</v>
      </c>
      <c r="E254" t="s">
        <v>7473</v>
      </c>
      <c r="L254" s="3" t="s">
        <v>639</v>
      </c>
    </row>
    <row r="255" spans="1:12" x14ac:dyDescent="0.3">
      <c r="A255" t="s">
        <v>521</v>
      </c>
      <c r="B255" t="s">
        <v>1417</v>
      </c>
      <c r="C255" t="s">
        <v>7473</v>
      </c>
      <c r="D255" t="s">
        <v>7104</v>
      </c>
      <c r="E255" t="s">
        <v>7473</v>
      </c>
      <c r="L255" s="4" t="s">
        <v>642</v>
      </c>
    </row>
    <row r="256" spans="1:12" x14ac:dyDescent="0.3">
      <c r="A256" t="s">
        <v>8268</v>
      </c>
      <c r="B256" t="s">
        <v>668</v>
      </c>
      <c r="C256" t="s">
        <v>5138</v>
      </c>
      <c r="D256" t="s">
        <v>6171</v>
      </c>
      <c r="E256" t="s">
        <v>4380</v>
      </c>
      <c r="L256" s="3" t="s">
        <v>644</v>
      </c>
    </row>
    <row r="257" spans="1:12" x14ac:dyDescent="0.3">
      <c r="A257" t="s">
        <v>521</v>
      </c>
      <c r="B257" t="s">
        <v>668</v>
      </c>
      <c r="C257" t="s">
        <v>497</v>
      </c>
      <c r="D257" t="s">
        <v>5138</v>
      </c>
      <c r="E257" t="s">
        <v>4380</v>
      </c>
      <c r="L257" s="4" t="s">
        <v>646</v>
      </c>
    </row>
    <row r="258" spans="1:12" x14ac:dyDescent="0.3">
      <c r="A258" t="s">
        <v>362</v>
      </c>
      <c r="B258" t="s">
        <v>362</v>
      </c>
      <c r="C258" t="s">
        <v>4380</v>
      </c>
      <c r="D258" t="s">
        <v>4380</v>
      </c>
      <c r="E258" t="s">
        <v>5138</v>
      </c>
      <c r="L258" s="3" t="s">
        <v>648</v>
      </c>
    </row>
    <row r="259" spans="1:12" x14ac:dyDescent="0.3">
      <c r="A259" t="s">
        <v>5524</v>
      </c>
      <c r="B259" t="s">
        <v>1417</v>
      </c>
      <c r="C259" t="s">
        <v>5138</v>
      </c>
      <c r="D259" t="s">
        <v>497</v>
      </c>
      <c r="E259" t="s">
        <v>8267</v>
      </c>
      <c r="L259" s="4" t="s">
        <v>651</v>
      </c>
    </row>
    <row r="260" spans="1:12" x14ac:dyDescent="0.3">
      <c r="A260" t="s">
        <v>362</v>
      </c>
      <c r="B260" t="s">
        <v>4843</v>
      </c>
      <c r="C260" t="s">
        <v>1417</v>
      </c>
      <c r="D260" t="s">
        <v>5043</v>
      </c>
      <c r="E260" t="s">
        <v>6902</v>
      </c>
      <c r="L260" s="3" t="s">
        <v>654</v>
      </c>
    </row>
    <row r="261" spans="1:12" x14ac:dyDescent="0.3">
      <c r="A261" t="s">
        <v>521</v>
      </c>
      <c r="B261" t="s">
        <v>668</v>
      </c>
      <c r="C261" t="s">
        <v>1417</v>
      </c>
      <c r="D261" t="s">
        <v>497</v>
      </c>
      <c r="E261" t="s">
        <v>4380</v>
      </c>
      <c r="L261" s="4" t="s">
        <v>657</v>
      </c>
    </row>
    <row r="262" spans="1:12" x14ac:dyDescent="0.3">
      <c r="A262" t="s">
        <v>521</v>
      </c>
      <c r="B262" t="s">
        <v>362</v>
      </c>
      <c r="C262" t="s">
        <v>4380</v>
      </c>
      <c r="D262" t="s">
        <v>497</v>
      </c>
      <c r="E262" t="s">
        <v>4380</v>
      </c>
      <c r="L262" s="3" t="s">
        <v>659</v>
      </c>
    </row>
    <row r="263" spans="1:12" x14ac:dyDescent="0.3">
      <c r="A263" t="s">
        <v>521</v>
      </c>
      <c r="B263" t="s">
        <v>1417</v>
      </c>
      <c r="C263" t="s">
        <v>4380</v>
      </c>
      <c r="D263" t="s">
        <v>5138</v>
      </c>
      <c r="E263" t="s">
        <v>8266</v>
      </c>
      <c r="L263" s="4" t="s">
        <v>661</v>
      </c>
    </row>
    <row r="264" spans="1:12" x14ac:dyDescent="0.3">
      <c r="A264" t="s">
        <v>362</v>
      </c>
      <c r="B264" t="s">
        <v>4843</v>
      </c>
      <c r="C264" t="s">
        <v>8268</v>
      </c>
      <c r="D264" t="s">
        <v>4380</v>
      </c>
      <c r="E264" t="s">
        <v>6902</v>
      </c>
      <c r="L264" s="3" t="s">
        <v>664</v>
      </c>
    </row>
    <row r="265" spans="1:12" x14ac:dyDescent="0.3">
      <c r="A265" t="s">
        <v>4843</v>
      </c>
      <c r="B265" t="s">
        <v>8268</v>
      </c>
      <c r="C265" t="s">
        <v>8266</v>
      </c>
      <c r="D265" t="s">
        <v>4380</v>
      </c>
      <c r="E265" t="s">
        <v>7473</v>
      </c>
      <c r="L265" s="4" t="s">
        <v>666</v>
      </c>
    </row>
    <row r="266" spans="1:12" x14ac:dyDescent="0.3">
      <c r="A266" t="s">
        <v>521</v>
      </c>
      <c r="B266" t="s">
        <v>5138</v>
      </c>
      <c r="C266" t="s">
        <v>7104</v>
      </c>
      <c r="D266" t="s">
        <v>7104</v>
      </c>
      <c r="E266" t="s">
        <v>5138</v>
      </c>
      <c r="L266" s="3" t="s">
        <v>670</v>
      </c>
    </row>
    <row r="267" spans="1:12" x14ac:dyDescent="0.3">
      <c r="A267" t="s">
        <v>521</v>
      </c>
      <c r="B267" t="s">
        <v>362</v>
      </c>
      <c r="C267" t="s">
        <v>668</v>
      </c>
      <c r="D267" t="s">
        <v>5138</v>
      </c>
      <c r="E267" t="s">
        <v>4380</v>
      </c>
      <c r="L267" s="4" t="s">
        <v>673</v>
      </c>
    </row>
    <row r="268" spans="1:12" x14ac:dyDescent="0.3">
      <c r="A268" t="s">
        <v>362</v>
      </c>
      <c r="B268" t="s">
        <v>362</v>
      </c>
      <c r="C268" t="s">
        <v>4380</v>
      </c>
      <c r="D268" t="s">
        <v>7104</v>
      </c>
      <c r="E268" t="s">
        <v>4380</v>
      </c>
      <c r="L268" s="3" t="s">
        <v>676</v>
      </c>
    </row>
    <row r="269" spans="1:12" x14ac:dyDescent="0.3">
      <c r="A269" t="s">
        <v>521</v>
      </c>
      <c r="B269" t="s">
        <v>362</v>
      </c>
      <c r="C269" t="s">
        <v>668</v>
      </c>
      <c r="D269" t="s">
        <v>497</v>
      </c>
      <c r="E269" t="s">
        <v>6171</v>
      </c>
      <c r="L269" s="4" t="s">
        <v>679</v>
      </c>
    </row>
    <row r="270" spans="1:12" x14ac:dyDescent="0.3">
      <c r="A270" t="s">
        <v>521</v>
      </c>
      <c r="B270" t="s">
        <v>1417</v>
      </c>
      <c r="C270" t="s">
        <v>7104</v>
      </c>
      <c r="D270" t="s">
        <v>5138</v>
      </c>
      <c r="E270" t="s">
        <v>8269</v>
      </c>
      <c r="L270" s="3" t="s">
        <v>681</v>
      </c>
    </row>
    <row r="271" spans="1:12" x14ac:dyDescent="0.3">
      <c r="A271" t="s">
        <v>521</v>
      </c>
      <c r="B271" t="s">
        <v>668</v>
      </c>
      <c r="C271" t="s">
        <v>7104</v>
      </c>
      <c r="D271" t="s">
        <v>8046</v>
      </c>
      <c r="E271" t="s">
        <v>4380</v>
      </c>
      <c r="L271" s="4" t="s">
        <v>683</v>
      </c>
    </row>
    <row r="272" spans="1:12" x14ac:dyDescent="0.3">
      <c r="A272" t="s">
        <v>521</v>
      </c>
      <c r="B272" t="s">
        <v>8266</v>
      </c>
      <c r="C272" t="s">
        <v>497</v>
      </c>
      <c r="D272" t="s">
        <v>7104</v>
      </c>
      <c r="E272" t="s">
        <v>7473</v>
      </c>
      <c r="L272" s="3" t="s">
        <v>685</v>
      </c>
    </row>
    <row r="273" spans="1:12" x14ac:dyDescent="0.3">
      <c r="A273" t="s">
        <v>521</v>
      </c>
      <c r="B273" t="s">
        <v>362</v>
      </c>
      <c r="C273" t="s">
        <v>7104</v>
      </c>
      <c r="D273" t="s">
        <v>7104</v>
      </c>
      <c r="E273" t="s">
        <v>497</v>
      </c>
      <c r="L273" s="4" t="s">
        <v>687</v>
      </c>
    </row>
    <row r="274" spans="1:12" x14ac:dyDescent="0.3">
      <c r="A274" t="s">
        <v>5524</v>
      </c>
      <c r="B274" t="s">
        <v>668</v>
      </c>
      <c r="C274" t="s">
        <v>4380</v>
      </c>
      <c r="D274" t="s">
        <v>497</v>
      </c>
      <c r="E274" t="s">
        <v>5043</v>
      </c>
      <c r="L274" s="3" t="s">
        <v>689</v>
      </c>
    </row>
    <row r="275" spans="1:12" x14ac:dyDescent="0.3">
      <c r="A275" t="s">
        <v>362</v>
      </c>
      <c r="B275" t="s">
        <v>7104</v>
      </c>
      <c r="C275" t="s">
        <v>2701</v>
      </c>
      <c r="D275" t="s">
        <v>7104</v>
      </c>
      <c r="E275" t="s">
        <v>7104</v>
      </c>
      <c r="L275" s="4" t="s">
        <v>692</v>
      </c>
    </row>
    <row r="276" spans="1:12" x14ac:dyDescent="0.3">
      <c r="A276" t="s">
        <v>521</v>
      </c>
      <c r="B276" t="s">
        <v>1417</v>
      </c>
      <c r="C276" t="s">
        <v>4380</v>
      </c>
      <c r="D276" t="s">
        <v>7104</v>
      </c>
      <c r="E276" t="s">
        <v>7473</v>
      </c>
      <c r="L276" s="3" t="s">
        <v>695</v>
      </c>
    </row>
    <row r="277" spans="1:12" x14ac:dyDescent="0.3">
      <c r="A277" t="s">
        <v>521</v>
      </c>
      <c r="B277" t="s">
        <v>362</v>
      </c>
      <c r="C277" t="s">
        <v>8268</v>
      </c>
      <c r="D277" t="s">
        <v>5138</v>
      </c>
      <c r="E277" t="s">
        <v>4380</v>
      </c>
      <c r="L277" s="4" t="s">
        <v>698</v>
      </c>
    </row>
    <row r="278" spans="1:12" x14ac:dyDescent="0.3">
      <c r="A278" t="s">
        <v>362</v>
      </c>
      <c r="B278" t="s">
        <v>7473</v>
      </c>
      <c r="C278" t="s">
        <v>497</v>
      </c>
      <c r="D278" t="s">
        <v>5138</v>
      </c>
      <c r="E278" t="s">
        <v>5138</v>
      </c>
      <c r="L278" s="3" t="s">
        <v>700</v>
      </c>
    </row>
    <row r="279" spans="1:12" x14ac:dyDescent="0.3">
      <c r="A279" t="s">
        <v>4843</v>
      </c>
      <c r="B279" t="s">
        <v>8268</v>
      </c>
      <c r="C279" t="s">
        <v>8269</v>
      </c>
      <c r="D279" t="s">
        <v>7104</v>
      </c>
      <c r="E279" t="s">
        <v>8266</v>
      </c>
      <c r="L279" s="4" t="s">
        <v>702</v>
      </c>
    </row>
    <row r="280" spans="1:12" x14ac:dyDescent="0.3">
      <c r="A280" t="s">
        <v>362</v>
      </c>
      <c r="B280" t="s">
        <v>1417</v>
      </c>
      <c r="C280" t="s">
        <v>4843</v>
      </c>
      <c r="D280" t="s">
        <v>4380</v>
      </c>
      <c r="E280" t="s">
        <v>6171</v>
      </c>
      <c r="L280" s="3" t="s">
        <v>705</v>
      </c>
    </row>
    <row r="281" spans="1:12" x14ac:dyDescent="0.3">
      <c r="A281" t="s">
        <v>668</v>
      </c>
      <c r="B281" t="s">
        <v>8266</v>
      </c>
      <c r="C281" t="s">
        <v>497</v>
      </c>
      <c r="D281" t="s">
        <v>668</v>
      </c>
      <c r="E281" t="s">
        <v>5138</v>
      </c>
      <c r="L281" s="4" t="s">
        <v>708</v>
      </c>
    </row>
    <row r="282" spans="1:12" x14ac:dyDescent="0.3">
      <c r="A282" t="s">
        <v>521</v>
      </c>
      <c r="B282" t="s">
        <v>7104</v>
      </c>
      <c r="C282" t="s">
        <v>7104</v>
      </c>
      <c r="D282" t="s">
        <v>5043</v>
      </c>
      <c r="E282" t="s">
        <v>7473</v>
      </c>
      <c r="L282" s="3" t="s">
        <v>711</v>
      </c>
    </row>
    <row r="283" spans="1:12" x14ac:dyDescent="0.3">
      <c r="A283" t="s">
        <v>668</v>
      </c>
      <c r="B283" t="s">
        <v>362</v>
      </c>
      <c r="C283" t="s">
        <v>5138</v>
      </c>
      <c r="D283" t="s">
        <v>7104</v>
      </c>
      <c r="E283" t="s">
        <v>4380</v>
      </c>
      <c r="L283" s="4" t="s">
        <v>714</v>
      </c>
    </row>
    <row r="284" spans="1:12" x14ac:dyDescent="0.3">
      <c r="A284" t="s">
        <v>521</v>
      </c>
      <c r="B284" t="s">
        <v>362</v>
      </c>
      <c r="C284" t="s">
        <v>4380</v>
      </c>
      <c r="D284" t="s">
        <v>4380</v>
      </c>
      <c r="E284" t="s">
        <v>7473</v>
      </c>
      <c r="L284" s="3" t="s">
        <v>716</v>
      </c>
    </row>
    <row r="285" spans="1:12" x14ac:dyDescent="0.3">
      <c r="A285" t="s">
        <v>521</v>
      </c>
      <c r="B285" t="s">
        <v>5138</v>
      </c>
      <c r="C285" t="s">
        <v>8267</v>
      </c>
      <c r="D285" t="s">
        <v>4380</v>
      </c>
      <c r="E285" t="s">
        <v>2701</v>
      </c>
      <c r="L285" s="4" t="s">
        <v>718</v>
      </c>
    </row>
    <row r="286" spans="1:12" x14ac:dyDescent="0.3">
      <c r="A286" t="s">
        <v>521</v>
      </c>
      <c r="B286" t="s">
        <v>8268</v>
      </c>
      <c r="C286" t="s">
        <v>497</v>
      </c>
      <c r="D286" t="s">
        <v>8046</v>
      </c>
      <c r="E286" t="s">
        <v>7104</v>
      </c>
      <c r="L286" s="3" t="s">
        <v>721</v>
      </c>
    </row>
    <row r="287" spans="1:12" x14ac:dyDescent="0.3">
      <c r="A287" t="s">
        <v>362</v>
      </c>
      <c r="B287" t="s">
        <v>8268</v>
      </c>
      <c r="C287" t="s">
        <v>5524</v>
      </c>
      <c r="D287" t="s">
        <v>7104</v>
      </c>
      <c r="E287" t="s">
        <v>5138</v>
      </c>
      <c r="L287" s="4" t="s">
        <v>723</v>
      </c>
    </row>
    <row r="288" spans="1:12" x14ac:dyDescent="0.3">
      <c r="A288" t="s">
        <v>521</v>
      </c>
      <c r="B288" t="s">
        <v>668</v>
      </c>
      <c r="C288" t="s">
        <v>5138</v>
      </c>
      <c r="D288" t="s">
        <v>8269</v>
      </c>
      <c r="E288" t="s">
        <v>7473</v>
      </c>
      <c r="L288" s="3" t="s">
        <v>725</v>
      </c>
    </row>
    <row r="289" spans="1:12" x14ac:dyDescent="0.3">
      <c r="A289" t="s">
        <v>521</v>
      </c>
      <c r="B289" t="s">
        <v>8268</v>
      </c>
      <c r="C289" t="s">
        <v>4380</v>
      </c>
      <c r="D289" t="s">
        <v>4380</v>
      </c>
      <c r="E289" t="s">
        <v>7104</v>
      </c>
      <c r="L289" s="4" t="s">
        <v>727</v>
      </c>
    </row>
    <row r="290" spans="1:12" x14ac:dyDescent="0.3">
      <c r="A290" t="s">
        <v>521</v>
      </c>
      <c r="B290" t="s">
        <v>7473</v>
      </c>
      <c r="C290" t="s">
        <v>668</v>
      </c>
      <c r="D290" t="s">
        <v>497</v>
      </c>
      <c r="E290" t="s">
        <v>497</v>
      </c>
      <c r="L290" s="3" t="s">
        <v>730</v>
      </c>
    </row>
    <row r="291" spans="1:12" x14ac:dyDescent="0.3">
      <c r="A291" t="s">
        <v>5524</v>
      </c>
      <c r="B291" t="s">
        <v>668</v>
      </c>
      <c r="C291" t="s">
        <v>4380</v>
      </c>
      <c r="D291" t="s">
        <v>7473</v>
      </c>
      <c r="E291" t="s">
        <v>497</v>
      </c>
      <c r="L291" s="4" t="s">
        <v>733</v>
      </c>
    </row>
    <row r="292" spans="1:12" x14ac:dyDescent="0.3">
      <c r="A292" t="s">
        <v>5524</v>
      </c>
      <c r="B292" t="s">
        <v>1417</v>
      </c>
      <c r="C292" t="s">
        <v>497</v>
      </c>
      <c r="D292" t="s">
        <v>4380</v>
      </c>
      <c r="E292" t="s">
        <v>4380</v>
      </c>
      <c r="L292" s="3" t="s">
        <v>736</v>
      </c>
    </row>
    <row r="293" spans="1:12" x14ac:dyDescent="0.3">
      <c r="A293" t="s">
        <v>521</v>
      </c>
      <c r="B293" t="s">
        <v>6171</v>
      </c>
      <c r="C293" t="s">
        <v>7473</v>
      </c>
      <c r="D293" t="s">
        <v>7473</v>
      </c>
      <c r="E293" t="s">
        <v>4380</v>
      </c>
      <c r="L293" s="4" t="s">
        <v>739</v>
      </c>
    </row>
    <row r="294" spans="1:12" x14ac:dyDescent="0.3">
      <c r="A294" t="s">
        <v>521</v>
      </c>
      <c r="B294" t="s">
        <v>1417</v>
      </c>
      <c r="C294" t="s">
        <v>7104</v>
      </c>
      <c r="D294" t="s">
        <v>8266</v>
      </c>
      <c r="E294" t="s">
        <v>4380</v>
      </c>
      <c r="L294" s="3" t="s">
        <v>741</v>
      </c>
    </row>
    <row r="295" spans="1:12" x14ac:dyDescent="0.3">
      <c r="A295" t="s">
        <v>668</v>
      </c>
      <c r="B295" t="s">
        <v>4843</v>
      </c>
      <c r="C295" t="s">
        <v>4380</v>
      </c>
      <c r="D295" t="s">
        <v>7104</v>
      </c>
      <c r="E295" t="s">
        <v>497</v>
      </c>
      <c r="L295" s="4" t="s">
        <v>744</v>
      </c>
    </row>
    <row r="296" spans="1:12" x14ac:dyDescent="0.3">
      <c r="A296" t="s">
        <v>521</v>
      </c>
      <c r="B296" t="s">
        <v>362</v>
      </c>
      <c r="C296" t="s">
        <v>8269</v>
      </c>
      <c r="D296" t="s">
        <v>4380</v>
      </c>
      <c r="E296" t="s">
        <v>4380</v>
      </c>
      <c r="L296" s="3" t="s">
        <v>747</v>
      </c>
    </row>
    <row r="297" spans="1:12" x14ac:dyDescent="0.3">
      <c r="A297" t="s">
        <v>521</v>
      </c>
      <c r="B297" t="s">
        <v>362</v>
      </c>
      <c r="C297" t="s">
        <v>5138</v>
      </c>
      <c r="D297" t="s">
        <v>4380</v>
      </c>
      <c r="E297" t="s">
        <v>4380</v>
      </c>
      <c r="L297" s="4" t="s">
        <v>750</v>
      </c>
    </row>
    <row r="298" spans="1:12" x14ac:dyDescent="0.3">
      <c r="A298" t="s">
        <v>1417</v>
      </c>
      <c r="B298" t="s">
        <v>362</v>
      </c>
      <c r="C298" t="s">
        <v>7473</v>
      </c>
      <c r="D298" t="s">
        <v>4380</v>
      </c>
      <c r="E298" t="s">
        <v>4380</v>
      </c>
      <c r="L298" s="3" t="s">
        <v>753</v>
      </c>
    </row>
    <row r="299" spans="1:12" x14ac:dyDescent="0.3">
      <c r="A299" t="s">
        <v>4843</v>
      </c>
      <c r="B299" t="s">
        <v>1417</v>
      </c>
      <c r="C299" t="s">
        <v>668</v>
      </c>
      <c r="D299" t="s">
        <v>4380</v>
      </c>
      <c r="E299" t="s">
        <v>5043</v>
      </c>
      <c r="L299" s="4" t="s">
        <v>755</v>
      </c>
    </row>
    <row r="300" spans="1:12" x14ac:dyDescent="0.3">
      <c r="A300" t="s">
        <v>362</v>
      </c>
      <c r="B300" t="s">
        <v>7104</v>
      </c>
      <c r="C300" t="s">
        <v>668</v>
      </c>
      <c r="D300" t="s">
        <v>7104</v>
      </c>
      <c r="E300" t="s">
        <v>6902</v>
      </c>
      <c r="L300" s="3" t="s">
        <v>757</v>
      </c>
    </row>
    <row r="301" spans="1:12" x14ac:dyDescent="0.3">
      <c r="A301" t="s">
        <v>521</v>
      </c>
      <c r="B301" t="s">
        <v>4843</v>
      </c>
      <c r="C301" t="s">
        <v>497</v>
      </c>
      <c r="D301" t="s">
        <v>4380</v>
      </c>
      <c r="E301" t="s">
        <v>497</v>
      </c>
      <c r="L301" s="4" t="s">
        <v>760</v>
      </c>
    </row>
    <row r="302" spans="1:12" x14ac:dyDescent="0.3">
      <c r="A302" t="s">
        <v>521</v>
      </c>
      <c r="B302" t="s">
        <v>7473</v>
      </c>
      <c r="C302" t="s">
        <v>4380</v>
      </c>
      <c r="D302" t="s">
        <v>7104</v>
      </c>
      <c r="E302" t="s">
        <v>4380</v>
      </c>
      <c r="L302" s="3" t="s">
        <v>762</v>
      </c>
    </row>
    <row r="303" spans="1:12" x14ac:dyDescent="0.3">
      <c r="A303" t="s">
        <v>521</v>
      </c>
      <c r="B303" t="s">
        <v>497</v>
      </c>
      <c r="C303" t="s">
        <v>668</v>
      </c>
      <c r="D303" t="s">
        <v>7473</v>
      </c>
      <c r="E303" t="s">
        <v>8267</v>
      </c>
      <c r="L303" s="4" t="s">
        <v>765</v>
      </c>
    </row>
    <row r="304" spans="1:12" x14ac:dyDescent="0.3">
      <c r="A304" t="s">
        <v>362</v>
      </c>
      <c r="B304" t="s">
        <v>1417</v>
      </c>
      <c r="C304" t="s">
        <v>1417</v>
      </c>
      <c r="D304" t="s">
        <v>8269</v>
      </c>
      <c r="E304" t="s">
        <v>6171</v>
      </c>
      <c r="L304" s="3" t="s">
        <v>767</v>
      </c>
    </row>
    <row r="305" spans="1:12" x14ac:dyDescent="0.3">
      <c r="A305" t="s">
        <v>362</v>
      </c>
      <c r="B305" t="s">
        <v>668</v>
      </c>
      <c r="C305" t="s">
        <v>1417</v>
      </c>
      <c r="D305" t="s">
        <v>4380</v>
      </c>
      <c r="E305" t="s">
        <v>4380</v>
      </c>
      <c r="L305" s="4" t="s">
        <v>770</v>
      </c>
    </row>
    <row r="306" spans="1:12" x14ac:dyDescent="0.3">
      <c r="A306" t="s">
        <v>362</v>
      </c>
      <c r="B306" t="s">
        <v>362</v>
      </c>
      <c r="C306" t="s">
        <v>497</v>
      </c>
      <c r="D306" t="s">
        <v>7104</v>
      </c>
      <c r="E306" t="s">
        <v>4380</v>
      </c>
      <c r="L306" s="3" t="s">
        <v>773</v>
      </c>
    </row>
    <row r="307" spans="1:12" x14ac:dyDescent="0.3">
      <c r="A307" t="s">
        <v>521</v>
      </c>
      <c r="B307" t="s">
        <v>5138</v>
      </c>
      <c r="C307" t="s">
        <v>497</v>
      </c>
      <c r="D307" t="s">
        <v>7104</v>
      </c>
      <c r="E307" t="s">
        <v>4380</v>
      </c>
      <c r="L307" s="4" t="s">
        <v>776</v>
      </c>
    </row>
    <row r="308" spans="1:12" x14ac:dyDescent="0.3">
      <c r="A308" t="s">
        <v>521</v>
      </c>
      <c r="B308" t="s">
        <v>5138</v>
      </c>
      <c r="C308" t="s">
        <v>7473</v>
      </c>
      <c r="D308" t="s">
        <v>7104</v>
      </c>
      <c r="E308" t="s">
        <v>8269</v>
      </c>
      <c r="L308" s="3" t="s">
        <v>778</v>
      </c>
    </row>
    <row r="309" spans="1:12" x14ac:dyDescent="0.3">
      <c r="A309" t="s">
        <v>362</v>
      </c>
      <c r="B309" t="s">
        <v>362</v>
      </c>
      <c r="C309" t="s">
        <v>5138</v>
      </c>
      <c r="D309" t="s">
        <v>497</v>
      </c>
      <c r="E309" t="s">
        <v>8269</v>
      </c>
      <c r="L309" s="4" t="s">
        <v>781</v>
      </c>
    </row>
    <row r="310" spans="1:12" x14ac:dyDescent="0.3">
      <c r="A310" t="s">
        <v>5524</v>
      </c>
      <c r="B310" t="s">
        <v>8268</v>
      </c>
      <c r="C310" t="s">
        <v>5138</v>
      </c>
      <c r="D310" t="s">
        <v>4380</v>
      </c>
      <c r="E310" t="s">
        <v>497</v>
      </c>
      <c r="L310" s="3" t="s">
        <v>784</v>
      </c>
    </row>
    <row r="311" spans="1:12" x14ac:dyDescent="0.3">
      <c r="A311" t="s">
        <v>521</v>
      </c>
      <c r="B311" t="s">
        <v>362</v>
      </c>
      <c r="C311" t="s">
        <v>497</v>
      </c>
      <c r="D311" t="s">
        <v>8266</v>
      </c>
      <c r="E311" t="s">
        <v>7473</v>
      </c>
      <c r="L311" s="4" t="s">
        <v>787</v>
      </c>
    </row>
    <row r="312" spans="1:12" x14ac:dyDescent="0.3">
      <c r="A312" t="s">
        <v>521</v>
      </c>
      <c r="B312" t="s">
        <v>4843</v>
      </c>
      <c r="C312" t="s">
        <v>8269</v>
      </c>
      <c r="D312" t="s">
        <v>5138</v>
      </c>
      <c r="E312" t="s">
        <v>4380</v>
      </c>
      <c r="L312" s="3" t="s">
        <v>790</v>
      </c>
    </row>
    <row r="313" spans="1:12" x14ac:dyDescent="0.3">
      <c r="A313" t="s">
        <v>1417</v>
      </c>
      <c r="B313" t="s">
        <v>668</v>
      </c>
      <c r="C313" t="s">
        <v>4843</v>
      </c>
      <c r="D313" t="s">
        <v>4380</v>
      </c>
      <c r="E313" t="s">
        <v>8266</v>
      </c>
      <c r="L313" s="4" t="s">
        <v>794</v>
      </c>
    </row>
    <row r="314" spans="1:12" x14ac:dyDescent="0.3">
      <c r="A314" t="s">
        <v>521</v>
      </c>
      <c r="B314" t="s">
        <v>362</v>
      </c>
      <c r="C314" t="s">
        <v>668</v>
      </c>
      <c r="D314" t="s">
        <v>4380</v>
      </c>
      <c r="E314" t="s">
        <v>6902</v>
      </c>
      <c r="L314" s="3" t="s">
        <v>797</v>
      </c>
    </row>
    <row r="315" spans="1:12" x14ac:dyDescent="0.3">
      <c r="A315" t="s">
        <v>521</v>
      </c>
      <c r="B315" t="s">
        <v>8268</v>
      </c>
      <c r="C315" t="s">
        <v>497</v>
      </c>
      <c r="D315" t="s">
        <v>497</v>
      </c>
      <c r="E315" t="s">
        <v>5138</v>
      </c>
      <c r="L315" s="4" t="s">
        <v>800</v>
      </c>
    </row>
    <row r="316" spans="1:12" x14ac:dyDescent="0.3">
      <c r="A316" t="s">
        <v>521</v>
      </c>
      <c r="B316" t="s">
        <v>7104</v>
      </c>
      <c r="C316" t="s">
        <v>7104</v>
      </c>
      <c r="D316" t="s">
        <v>8269</v>
      </c>
      <c r="E316" t="s">
        <v>6171</v>
      </c>
      <c r="L316" s="3" t="s">
        <v>802</v>
      </c>
    </row>
    <row r="317" spans="1:12" x14ac:dyDescent="0.3">
      <c r="A317" t="s">
        <v>362</v>
      </c>
      <c r="B317" t="s">
        <v>362</v>
      </c>
      <c r="C317" t="s">
        <v>668</v>
      </c>
      <c r="D317" t="s">
        <v>4380</v>
      </c>
      <c r="E317" t="s">
        <v>7473</v>
      </c>
      <c r="L317" s="4" t="s">
        <v>804</v>
      </c>
    </row>
    <row r="318" spans="1:12" x14ac:dyDescent="0.3">
      <c r="A318" t="s">
        <v>362</v>
      </c>
      <c r="B318" t="s">
        <v>668</v>
      </c>
      <c r="C318" t="s">
        <v>8268</v>
      </c>
      <c r="D318" t="s">
        <v>4380</v>
      </c>
      <c r="E318" t="s">
        <v>6171</v>
      </c>
      <c r="L318" s="3" t="s">
        <v>806</v>
      </c>
    </row>
    <row r="319" spans="1:12" x14ac:dyDescent="0.3">
      <c r="A319" t="s">
        <v>521</v>
      </c>
      <c r="B319" t="s">
        <v>1417</v>
      </c>
      <c r="C319" t="s">
        <v>2701</v>
      </c>
      <c r="D319" t="s">
        <v>4380</v>
      </c>
      <c r="E319" t="s">
        <v>7473</v>
      </c>
      <c r="L319" s="4" t="s">
        <v>809</v>
      </c>
    </row>
    <row r="320" spans="1:12" x14ac:dyDescent="0.3">
      <c r="A320" t="s">
        <v>521</v>
      </c>
      <c r="B320" t="s">
        <v>4843</v>
      </c>
      <c r="C320" t="s">
        <v>7104</v>
      </c>
      <c r="D320" t="s">
        <v>2701</v>
      </c>
      <c r="E320" t="s">
        <v>4380</v>
      </c>
      <c r="L320" s="3" t="s">
        <v>811</v>
      </c>
    </row>
    <row r="321" spans="1:12" x14ac:dyDescent="0.3">
      <c r="A321" t="s">
        <v>668</v>
      </c>
      <c r="B321" t="s">
        <v>8266</v>
      </c>
      <c r="C321" t="s">
        <v>4843</v>
      </c>
      <c r="D321" t="s">
        <v>7473</v>
      </c>
      <c r="E321" t="s">
        <v>497</v>
      </c>
      <c r="L321" s="4" t="s">
        <v>814</v>
      </c>
    </row>
    <row r="322" spans="1:12" x14ac:dyDescent="0.3">
      <c r="A322" t="s">
        <v>521</v>
      </c>
      <c r="B322" t="s">
        <v>362</v>
      </c>
      <c r="C322" t="s">
        <v>1417</v>
      </c>
      <c r="D322" t="s">
        <v>8046</v>
      </c>
      <c r="E322" t="s">
        <v>4380</v>
      </c>
      <c r="L322" s="3" t="s">
        <v>817</v>
      </c>
    </row>
    <row r="323" spans="1:12" x14ac:dyDescent="0.3">
      <c r="A323" t="s">
        <v>521</v>
      </c>
      <c r="B323" t="s">
        <v>1417</v>
      </c>
      <c r="C323" t="s">
        <v>668</v>
      </c>
      <c r="D323" t="s">
        <v>4380</v>
      </c>
      <c r="E323" t="s">
        <v>8269</v>
      </c>
      <c r="L323" s="4" t="s">
        <v>819</v>
      </c>
    </row>
    <row r="324" spans="1:12" x14ac:dyDescent="0.3">
      <c r="A324" t="s">
        <v>521</v>
      </c>
      <c r="B324" t="s">
        <v>8046</v>
      </c>
      <c r="C324" t="s">
        <v>4380</v>
      </c>
      <c r="D324" t="s">
        <v>5138</v>
      </c>
      <c r="E324" t="s">
        <v>7473</v>
      </c>
      <c r="L324" s="3" t="s">
        <v>821</v>
      </c>
    </row>
    <row r="325" spans="1:12" x14ac:dyDescent="0.3">
      <c r="A325" t="s">
        <v>362</v>
      </c>
      <c r="B325" t="s">
        <v>668</v>
      </c>
      <c r="C325" t="s">
        <v>7104</v>
      </c>
      <c r="D325" t="s">
        <v>4380</v>
      </c>
      <c r="E325" t="s">
        <v>7473</v>
      </c>
      <c r="L325" s="4" t="s">
        <v>823</v>
      </c>
    </row>
    <row r="326" spans="1:12" x14ac:dyDescent="0.3">
      <c r="A326" t="s">
        <v>1417</v>
      </c>
      <c r="B326" t="s">
        <v>5138</v>
      </c>
      <c r="C326" t="s">
        <v>8266</v>
      </c>
      <c r="D326" t="s">
        <v>7473</v>
      </c>
      <c r="E326" t="s">
        <v>497</v>
      </c>
      <c r="L326" s="3" t="s">
        <v>825</v>
      </c>
    </row>
    <row r="327" spans="1:12" x14ac:dyDescent="0.3">
      <c r="A327" t="s">
        <v>521</v>
      </c>
      <c r="B327" t="s">
        <v>8046</v>
      </c>
      <c r="C327" t="s">
        <v>4380</v>
      </c>
      <c r="D327" t="s">
        <v>4380</v>
      </c>
      <c r="E327" t="s">
        <v>5043</v>
      </c>
      <c r="L327" s="4" t="s">
        <v>827</v>
      </c>
    </row>
    <row r="328" spans="1:12" x14ac:dyDescent="0.3">
      <c r="A328" t="s">
        <v>8268</v>
      </c>
      <c r="B328" t="s">
        <v>362</v>
      </c>
      <c r="C328" t="s">
        <v>8268</v>
      </c>
      <c r="D328" t="s">
        <v>4380</v>
      </c>
      <c r="E328" t="s">
        <v>4380</v>
      </c>
      <c r="L328" s="3" t="s">
        <v>830</v>
      </c>
    </row>
    <row r="329" spans="1:12" x14ac:dyDescent="0.3">
      <c r="A329" t="s">
        <v>1417</v>
      </c>
      <c r="B329" t="s">
        <v>1417</v>
      </c>
      <c r="C329" t="s">
        <v>8046</v>
      </c>
      <c r="D329" t="s">
        <v>668</v>
      </c>
      <c r="E329" t="s">
        <v>7473</v>
      </c>
      <c r="L329" s="4" t="s">
        <v>832</v>
      </c>
    </row>
    <row r="330" spans="1:12" x14ac:dyDescent="0.3">
      <c r="A330" t="s">
        <v>4843</v>
      </c>
      <c r="B330" t="s">
        <v>4843</v>
      </c>
      <c r="C330" t="s">
        <v>4843</v>
      </c>
      <c r="D330" t="s">
        <v>497</v>
      </c>
      <c r="E330" t="s">
        <v>4380</v>
      </c>
      <c r="L330" s="3" t="s">
        <v>834</v>
      </c>
    </row>
    <row r="331" spans="1:12" x14ac:dyDescent="0.3">
      <c r="A331" t="s">
        <v>668</v>
      </c>
      <c r="B331" t="s">
        <v>4843</v>
      </c>
      <c r="C331" t="s">
        <v>668</v>
      </c>
      <c r="D331" t="s">
        <v>8266</v>
      </c>
      <c r="E331" t="s">
        <v>5138</v>
      </c>
      <c r="L331" s="4" t="s">
        <v>836</v>
      </c>
    </row>
    <row r="332" spans="1:12" x14ac:dyDescent="0.3">
      <c r="A332" t="s">
        <v>1417</v>
      </c>
      <c r="B332" t="s">
        <v>7104</v>
      </c>
      <c r="C332" t="s">
        <v>4380</v>
      </c>
      <c r="D332" t="s">
        <v>5138</v>
      </c>
      <c r="E332" t="s">
        <v>4380</v>
      </c>
      <c r="L332" s="3" t="s">
        <v>838</v>
      </c>
    </row>
    <row r="333" spans="1:12" x14ac:dyDescent="0.3">
      <c r="A333" t="s">
        <v>668</v>
      </c>
      <c r="B333" t="s">
        <v>497</v>
      </c>
      <c r="C333" t="s">
        <v>668</v>
      </c>
      <c r="D333" t="s">
        <v>5138</v>
      </c>
      <c r="E333" t="s">
        <v>7473</v>
      </c>
      <c r="L333" s="4" t="s">
        <v>841</v>
      </c>
    </row>
    <row r="334" spans="1:12" x14ac:dyDescent="0.3">
      <c r="A334" t="s">
        <v>521</v>
      </c>
      <c r="B334" t="s">
        <v>4843</v>
      </c>
      <c r="C334" t="s">
        <v>5138</v>
      </c>
      <c r="D334" t="s">
        <v>7473</v>
      </c>
      <c r="E334" t="s">
        <v>2701</v>
      </c>
      <c r="L334" s="3" t="s">
        <v>844</v>
      </c>
    </row>
    <row r="335" spans="1:12" x14ac:dyDescent="0.3">
      <c r="A335" t="s">
        <v>668</v>
      </c>
      <c r="B335" t="s">
        <v>362</v>
      </c>
      <c r="C335" t="s">
        <v>497</v>
      </c>
      <c r="D335" t="s">
        <v>1417</v>
      </c>
      <c r="E335" t="s">
        <v>497</v>
      </c>
      <c r="L335" s="4" t="s">
        <v>846</v>
      </c>
    </row>
    <row r="336" spans="1:12" x14ac:dyDescent="0.3">
      <c r="A336" t="s">
        <v>362</v>
      </c>
      <c r="B336" t="s">
        <v>362</v>
      </c>
      <c r="C336" t="s">
        <v>5138</v>
      </c>
      <c r="D336" t="s">
        <v>7473</v>
      </c>
      <c r="E336" t="s">
        <v>7473</v>
      </c>
      <c r="L336" s="3" t="s">
        <v>848</v>
      </c>
    </row>
    <row r="337" spans="1:12" x14ac:dyDescent="0.3">
      <c r="A337" t="s">
        <v>362</v>
      </c>
      <c r="B337" t="s">
        <v>362</v>
      </c>
      <c r="C337" t="s">
        <v>5138</v>
      </c>
      <c r="D337" t="s">
        <v>5138</v>
      </c>
      <c r="E337" t="s">
        <v>7473</v>
      </c>
      <c r="L337" s="4" t="s">
        <v>851</v>
      </c>
    </row>
    <row r="338" spans="1:12" x14ac:dyDescent="0.3">
      <c r="A338" t="s">
        <v>1417</v>
      </c>
      <c r="B338" t="s">
        <v>362</v>
      </c>
      <c r="C338" t="s">
        <v>4380</v>
      </c>
      <c r="D338" t="s">
        <v>4380</v>
      </c>
      <c r="E338" t="s">
        <v>4380</v>
      </c>
      <c r="L338" s="3" t="s">
        <v>853</v>
      </c>
    </row>
    <row r="339" spans="1:12" x14ac:dyDescent="0.3">
      <c r="A339" t="s">
        <v>1417</v>
      </c>
      <c r="B339" t="s">
        <v>8266</v>
      </c>
      <c r="C339" t="s">
        <v>497</v>
      </c>
      <c r="D339" t="s">
        <v>4380</v>
      </c>
      <c r="E339" t="s">
        <v>8269</v>
      </c>
      <c r="L339" s="4" t="s">
        <v>855</v>
      </c>
    </row>
    <row r="340" spans="1:12" x14ac:dyDescent="0.3">
      <c r="A340" t="s">
        <v>362</v>
      </c>
      <c r="B340" t="s">
        <v>362</v>
      </c>
      <c r="C340" t="s">
        <v>497</v>
      </c>
      <c r="D340" t="s">
        <v>4380</v>
      </c>
      <c r="E340" t="s">
        <v>4380</v>
      </c>
      <c r="L340" s="3" t="s">
        <v>857</v>
      </c>
    </row>
    <row r="341" spans="1:12" x14ac:dyDescent="0.3">
      <c r="A341" t="s">
        <v>521</v>
      </c>
      <c r="B341" t="s">
        <v>1417</v>
      </c>
      <c r="C341" t="s">
        <v>668</v>
      </c>
      <c r="D341" t="s">
        <v>8269</v>
      </c>
      <c r="E341" t="s">
        <v>8269</v>
      </c>
      <c r="L341" s="4" t="s">
        <v>860</v>
      </c>
    </row>
    <row r="342" spans="1:12" x14ac:dyDescent="0.3">
      <c r="A342" t="s">
        <v>521</v>
      </c>
      <c r="B342" t="s">
        <v>7104</v>
      </c>
      <c r="C342" t="s">
        <v>7473</v>
      </c>
      <c r="D342" t="s">
        <v>4380</v>
      </c>
      <c r="E342" t="s">
        <v>7104</v>
      </c>
      <c r="L342" s="3" t="s">
        <v>863</v>
      </c>
    </row>
    <row r="343" spans="1:12" x14ac:dyDescent="0.3">
      <c r="A343" t="s">
        <v>521</v>
      </c>
      <c r="B343" t="s">
        <v>4380</v>
      </c>
      <c r="C343" t="s">
        <v>4380</v>
      </c>
      <c r="D343" t="s">
        <v>7104</v>
      </c>
      <c r="E343" t="s">
        <v>5138</v>
      </c>
      <c r="L343" s="4" t="s">
        <v>865</v>
      </c>
    </row>
    <row r="344" spans="1:12" x14ac:dyDescent="0.3">
      <c r="A344" t="s">
        <v>521</v>
      </c>
      <c r="B344" t="s">
        <v>8046</v>
      </c>
      <c r="C344" t="s">
        <v>4380</v>
      </c>
      <c r="D344" t="s">
        <v>4380</v>
      </c>
      <c r="E344" t="s">
        <v>7473</v>
      </c>
      <c r="L344" s="3" t="s">
        <v>868</v>
      </c>
    </row>
    <row r="345" spans="1:12" x14ac:dyDescent="0.3">
      <c r="A345" t="s">
        <v>1417</v>
      </c>
      <c r="B345" t="s">
        <v>362</v>
      </c>
      <c r="C345" t="s">
        <v>668</v>
      </c>
      <c r="D345" t="s">
        <v>8269</v>
      </c>
      <c r="E345" t="s">
        <v>6902</v>
      </c>
      <c r="L345" s="4" t="s">
        <v>871</v>
      </c>
    </row>
    <row r="346" spans="1:12" x14ac:dyDescent="0.3">
      <c r="A346" t="s">
        <v>521</v>
      </c>
      <c r="B346" t="s">
        <v>362</v>
      </c>
      <c r="C346" t="s">
        <v>5138</v>
      </c>
      <c r="D346" t="s">
        <v>7473</v>
      </c>
      <c r="E346" t="s">
        <v>8269</v>
      </c>
      <c r="L346" s="3" t="s">
        <v>874</v>
      </c>
    </row>
    <row r="347" spans="1:12" x14ac:dyDescent="0.3">
      <c r="A347" t="s">
        <v>521</v>
      </c>
      <c r="B347" t="s">
        <v>7104</v>
      </c>
      <c r="C347" t="s">
        <v>5138</v>
      </c>
      <c r="D347" t="s">
        <v>8269</v>
      </c>
      <c r="E347" t="s">
        <v>4380</v>
      </c>
      <c r="L347" s="4" t="s">
        <v>877</v>
      </c>
    </row>
    <row r="348" spans="1:12" x14ac:dyDescent="0.3">
      <c r="A348" t="s">
        <v>362</v>
      </c>
      <c r="B348" t="s">
        <v>668</v>
      </c>
      <c r="C348" t="s">
        <v>1417</v>
      </c>
      <c r="D348" t="s">
        <v>6902</v>
      </c>
      <c r="E348" t="s">
        <v>8269</v>
      </c>
      <c r="L348" s="3" t="s">
        <v>880</v>
      </c>
    </row>
    <row r="349" spans="1:12" x14ac:dyDescent="0.3">
      <c r="A349" t="s">
        <v>521</v>
      </c>
      <c r="B349" t="s">
        <v>4843</v>
      </c>
      <c r="C349" t="s">
        <v>4380</v>
      </c>
      <c r="D349" t="s">
        <v>7473</v>
      </c>
      <c r="E349" t="s">
        <v>4380</v>
      </c>
      <c r="L349" s="4" t="s">
        <v>883</v>
      </c>
    </row>
    <row r="350" spans="1:12" x14ac:dyDescent="0.3">
      <c r="A350" t="s">
        <v>1417</v>
      </c>
      <c r="B350" t="s">
        <v>4380</v>
      </c>
      <c r="C350" t="s">
        <v>5138</v>
      </c>
      <c r="D350" t="s">
        <v>2701</v>
      </c>
      <c r="E350" t="s">
        <v>4380</v>
      </c>
      <c r="L350" s="3" t="s">
        <v>885</v>
      </c>
    </row>
    <row r="351" spans="1:12" x14ac:dyDescent="0.3">
      <c r="A351" t="s">
        <v>521</v>
      </c>
      <c r="B351" t="s">
        <v>668</v>
      </c>
      <c r="C351" t="s">
        <v>8267</v>
      </c>
      <c r="D351" t="s">
        <v>4380</v>
      </c>
      <c r="E351" t="s">
        <v>4380</v>
      </c>
      <c r="L351" s="4" t="s">
        <v>887</v>
      </c>
    </row>
    <row r="352" spans="1:12" x14ac:dyDescent="0.3">
      <c r="A352" t="s">
        <v>521</v>
      </c>
      <c r="B352" t="s">
        <v>497</v>
      </c>
      <c r="C352" t="s">
        <v>497</v>
      </c>
      <c r="D352" t="s">
        <v>8266</v>
      </c>
      <c r="E352" t="s">
        <v>7473</v>
      </c>
      <c r="L352" s="3" t="s">
        <v>891</v>
      </c>
    </row>
    <row r="353" spans="1:12" x14ac:dyDescent="0.3">
      <c r="A353" t="s">
        <v>362</v>
      </c>
      <c r="B353" t="s">
        <v>668</v>
      </c>
      <c r="C353" t="s">
        <v>8267</v>
      </c>
      <c r="D353" t="s">
        <v>7104</v>
      </c>
      <c r="E353" t="s">
        <v>8269</v>
      </c>
      <c r="L353" s="4" t="s">
        <v>894</v>
      </c>
    </row>
    <row r="354" spans="1:12" x14ac:dyDescent="0.3">
      <c r="A354" t="s">
        <v>362</v>
      </c>
      <c r="B354" t="s">
        <v>362</v>
      </c>
      <c r="C354" t="s">
        <v>1417</v>
      </c>
      <c r="D354" t="s">
        <v>4380</v>
      </c>
      <c r="E354" t="s">
        <v>4380</v>
      </c>
      <c r="L354" s="3" t="s">
        <v>897</v>
      </c>
    </row>
    <row r="355" spans="1:12" x14ac:dyDescent="0.3">
      <c r="A355" t="s">
        <v>362</v>
      </c>
      <c r="B355" t="s">
        <v>668</v>
      </c>
      <c r="C355" t="s">
        <v>4380</v>
      </c>
      <c r="D355" t="s">
        <v>4380</v>
      </c>
      <c r="E355" t="s">
        <v>4380</v>
      </c>
      <c r="L355" s="4" t="s">
        <v>899</v>
      </c>
    </row>
    <row r="356" spans="1:12" x14ac:dyDescent="0.3">
      <c r="A356" t="s">
        <v>521</v>
      </c>
      <c r="B356" t="s">
        <v>362</v>
      </c>
      <c r="C356" t="s">
        <v>7473</v>
      </c>
      <c r="D356" t="s">
        <v>8046</v>
      </c>
      <c r="E356" t="s">
        <v>4380</v>
      </c>
      <c r="L356" s="3" t="s">
        <v>902</v>
      </c>
    </row>
    <row r="357" spans="1:12" x14ac:dyDescent="0.3">
      <c r="A357" t="s">
        <v>521</v>
      </c>
      <c r="B357" t="s">
        <v>1417</v>
      </c>
      <c r="C357" t="s">
        <v>7104</v>
      </c>
      <c r="D357" t="s">
        <v>7104</v>
      </c>
      <c r="E357" t="s">
        <v>8269</v>
      </c>
      <c r="L357" s="4" t="s">
        <v>904</v>
      </c>
    </row>
    <row r="358" spans="1:12" x14ac:dyDescent="0.3">
      <c r="A358" t="s">
        <v>1417</v>
      </c>
      <c r="B358" t="s">
        <v>4843</v>
      </c>
      <c r="C358" t="s">
        <v>4380</v>
      </c>
      <c r="D358" t="s">
        <v>1417</v>
      </c>
      <c r="E358" t="s">
        <v>6171</v>
      </c>
      <c r="L358" s="3" t="s">
        <v>907</v>
      </c>
    </row>
    <row r="359" spans="1:12" x14ac:dyDescent="0.3">
      <c r="A359" t="s">
        <v>4843</v>
      </c>
      <c r="B359" t="s">
        <v>668</v>
      </c>
      <c r="C359" t="s">
        <v>1417</v>
      </c>
      <c r="D359" t="s">
        <v>4380</v>
      </c>
      <c r="E359" t="s">
        <v>8269</v>
      </c>
      <c r="L359" s="4" t="s">
        <v>910</v>
      </c>
    </row>
    <row r="360" spans="1:12" x14ac:dyDescent="0.3">
      <c r="A360" t="s">
        <v>521</v>
      </c>
      <c r="B360" t="s">
        <v>1417</v>
      </c>
      <c r="C360" t="s">
        <v>7473</v>
      </c>
      <c r="D360" t="s">
        <v>8046</v>
      </c>
      <c r="E360" t="s">
        <v>4380</v>
      </c>
      <c r="L360" s="3" t="s">
        <v>913</v>
      </c>
    </row>
    <row r="361" spans="1:12" x14ac:dyDescent="0.3">
      <c r="A361" t="s">
        <v>362</v>
      </c>
      <c r="B361" t="s">
        <v>362</v>
      </c>
      <c r="C361" t="s">
        <v>7104</v>
      </c>
      <c r="D361" t="s">
        <v>4380</v>
      </c>
      <c r="E361" t="s">
        <v>7473</v>
      </c>
      <c r="L361" s="4" t="s">
        <v>916</v>
      </c>
    </row>
    <row r="362" spans="1:12" x14ac:dyDescent="0.3">
      <c r="A362" t="s">
        <v>521</v>
      </c>
      <c r="B362" t="s">
        <v>362</v>
      </c>
      <c r="C362" t="s">
        <v>7104</v>
      </c>
      <c r="D362" t="s">
        <v>4380</v>
      </c>
      <c r="E362" t="s">
        <v>4380</v>
      </c>
      <c r="L362" s="3" t="s">
        <v>919</v>
      </c>
    </row>
    <row r="363" spans="1:12" x14ac:dyDescent="0.3">
      <c r="A363" t="s">
        <v>8268</v>
      </c>
      <c r="B363" t="s">
        <v>1417</v>
      </c>
      <c r="C363" t="s">
        <v>2701</v>
      </c>
      <c r="D363" t="s">
        <v>7104</v>
      </c>
      <c r="E363" t="s">
        <v>7104</v>
      </c>
      <c r="L363" s="4" t="s">
        <v>921</v>
      </c>
    </row>
    <row r="364" spans="1:12" x14ac:dyDescent="0.3">
      <c r="A364" t="s">
        <v>362</v>
      </c>
      <c r="B364" t="s">
        <v>362</v>
      </c>
      <c r="C364" t="s">
        <v>8266</v>
      </c>
      <c r="D364" t="s">
        <v>8269</v>
      </c>
      <c r="E364" t="s">
        <v>4380</v>
      </c>
      <c r="L364" s="3" t="s">
        <v>924</v>
      </c>
    </row>
    <row r="365" spans="1:12" x14ac:dyDescent="0.3">
      <c r="A365" t="s">
        <v>521</v>
      </c>
      <c r="B365" t="s">
        <v>4843</v>
      </c>
      <c r="C365" t="s">
        <v>7104</v>
      </c>
      <c r="D365" t="s">
        <v>8266</v>
      </c>
      <c r="E365" t="s">
        <v>6171</v>
      </c>
      <c r="L365" s="4" t="s">
        <v>926</v>
      </c>
    </row>
    <row r="366" spans="1:12" x14ac:dyDescent="0.3">
      <c r="A366" t="s">
        <v>8268</v>
      </c>
      <c r="B366" t="s">
        <v>8046</v>
      </c>
      <c r="C366" t="s">
        <v>8268</v>
      </c>
      <c r="D366" t="s">
        <v>7104</v>
      </c>
      <c r="E366" t="s">
        <v>7473</v>
      </c>
      <c r="L366" s="3" t="s">
        <v>928</v>
      </c>
    </row>
    <row r="367" spans="1:12" x14ac:dyDescent="0.3">
      <c r="A367" t="s">
        <v>521</v>
      </c>
      <c r="B367" t="s">
        <v>668</v>
      </c>
      <c r="C367" t="s">
        <v>1417</v>
      </c>
      <c r="D367" t="s">
        <v>4380</v>
      </c>
      <c r="E367" t="s">
        <v>4380</v>
      </c>
      <c r="L367" s="4" t="s">
        <v>930</v>
      </c>
    </row>
    <row r="368" spans="1:12" x14ac:dyDescent="0.3">
      <c r="A368" t="s">
        <v>521</v>
      </c>
      <c r="B368" t="s">
        <v>4843</v>
      </c>
      <c r="C368" t="s">
        <v>7473</v>
      </c>
      <c r="D368" t="s">
        <v>1417</v>
      </c>
      <c r="E368" t="s">
        <v>7104</v>
      </c>
      <c r="L368" s="3" t="s">
        <v>932</v>
      </c>
    </row>
    <row r="369" spans="1:12" x14ac:dyDescent="0.3">
      <c r="A369" t="s">
        <v>362</v>
      </c>
      <c r="B369" t="s">
        <v>1417</v>
      </c>
      <c r="C369" t="s">
        <v>668</v>
      </c>
      <c r="D369" t="s">
        <v>1417</v>
      </c>
      <c r="E369" t="s">
        <v>8266</v>
      </c>
      <c r="L369" s="4" t="s">
        <v>935</v>
      </c>
    </row>
    <row r="370" spans="1:12" x14ac:dyDescent="0.3">
      <c r="A370" t="s">
        <v>521</v>
      </c>
      <c r="B370" t="s">
        <v>7104</v>
      </c>
      <c r="C370" t="s">
        <v>5138</v>
      </c>
      <c r="D370" t="s">
        <v>497</v>
      </c>
      <c r="E370" t="s">
        <v>8269</v>
      </c>
      <c r="L370" s="3" t="s">
        <v>937</v>
      </c>
    </row>
    <row r="371" spans="1:12" x14ac:dyDescent="0.3">
      <c r="A371" t="s">
        <v>362</v>
      </c>
      <c r="B371" t="s">
        <v>8266</v>
      </c>
      <c r="C371" t="s">
        <v>8269</v>
      </c>
      <c r="D371" t="s">
        <v>7104</v>
      </c>
      <c r="E371" t="s">
        <v>6902</v>
      </c>
      <c r="L371" s="4" t="s">
        <v>939</v>
      </c>
    </row>
    <row r="372" spans="1:12" x14ac:dyDescent="0.3">
      <c r="A372" t="s">
        <v>1417</v>
      </c>
      <c r="B372" t="s">
        <v>2701</v>
      </c>
      <c r="C372" t="s">
        <v>668</v>
      </c>
      <c r="D372" t="s">
        <v>7473</v>
      </c>
      <c r="E372" t="s">
        <v>8046</v>
      </c>
      <c r="L372" s="3" t="s">
        <v>941</v>
      </c>
    </row>
    <row r="373" spans="1:12" x14ac:dyDescent="0.3">
      <c r="A373" t="s">
        <v>521</v>
      </c>
      <c r="B373" t="s">
        <v>8266</v>
      </c>
      <c r="C373" t="s">
        <v>668</v>
      </c>
      <c r="D373" t="s">
        <v>4380</v>
      </c>
      <c r="E373" t="s">
        <v>497</v>
      </c>
      <c r="L373" s="4" t="s">
        <v>943</v>
      </c>
    </row>
    <row r="374" spans="1:12" x14ac:dyDescent="0.3">
      <c r="A374" t="s">
        <v>521</v>
      </c>
      <c r="B374" t="s">
        <v>7104</v>
      </c>
      <c r="C374" t="s">
        <v>4380</v>
      </c>
      <c r="D374" t="s">
        <v>4380</v>
      </c>
      <c r="E374" t="s">
        <v>7104</v>
      </c>
      <c r="L374" s="3" t="s">
        <v>945</v>
      </c>
    </row>
    <row r="375" spans="1:12" x14ac:dyDescent="0.3">
      <c r="A375" t="s">
        <v>362</v>
      </c>
      <c r="B375" t="s">
        <v>362</v>
      </c>
      <c r="C375" t="s">
        <v>668</v>
      </c>
      <c r="D375" t="s">
        <v>4380</v>
      </c>
      <c r="E375" t="s">
        <v>4380</v>
      </c>
      <c r="L375" s="4" t="s">
        <v>948</v>
      </c>
    </row>
    <row r="376" spans="1:12" x14ac:dyDescent="0.3">
      <c r="A376" t="s">
        <v>668</v>
      </c>
      <c r="B376" t="s">
        <v>362</v>
      </c>
      <c r="C376" t="s">
        <v>7473</v>
      </c>
      <c r="D376" t="s">
        <v>8268</v>
      </c>
      <c r="E376" t="s">
        <v>6902</v>
      </c>
      <c r="L376" s="3" t="s">
        <v>951</v>
      </c>
    </row>
    <row r="377" spans="1:12" x14ac:dyDescent="0.3">
      <c r="A377" t="s">
        <v>1417</v>
      </c>
      <c r="B377" t="s">
        <v>362</v>
      </c>
      <c r="C377" t="s">
        <v>4380</v>
      </c>
      <c r="D377" t="s">
        <v>4380</v>
      </c>
      <c r="E377" t="s">
        <v>5138</v>
      </c>
      <c r="L377" s="4" t="s">
        <v>953</v>
      </c>
    </row>
    <row r="378" spans="1:12" x14ac:dyDescent="0.3">
      <c r="A378" t="s">
        <v>521</v>
      </c>
      <c r="B378" t="s">
        <v>8268</v>
      </c>
      <c r="C378" t="s">
        <v>5043</v>
      </c>
      <c r="D378" t="s">
        <v>5138</v>
      </c>
      <c r="E378" t="s">
        <v>4380</v>
      </c>
      <c r="L378" s="3" t="s">
        <v>956</v>
      </c>
    </row>
    <row r="379" spans="1:12" x14ac:dyDescent="0.3">
      <c r="A379" t="s">
        <v>8268</v>
      </c>
      <c r="B379" t="s">
        <v>5138</v>
      </c>
      <c r="C379" t="s">
        <v>1417</v>
      </c>
      <c r="D379" t="s">
        <v>7104</v>
      </c>
      <c r="E379" t="s">
        <v>5138</v>
      </c>
      <c r="L379" s="4" t="s">
        <v>959</v>
      </c>
    </row>
    <row r="380" spans="1:12" x14ac:dyDescent="0.3">
      <c r="A380" t="s">
        <v>362</v>
      </c>
      <c r="B380" t="s">
        <v>4843</v>
      </c>
      <c r="C380" t="s">
        <v>497</v>
      </c>
      <c r="D380" t="s">
        <v>4380</v>
      </c>
      <c r="E380" t="s">
        <v>7473</v>
      </c>
      <c r="L380" s="3" t="s">
        <v>961</v>
      </c>
    </row>
    <row r="381" spans="1:12" x14ac:dyDescent="0.3">
      <c r="A381" t="s">
        <v>521</v>
      </c>
      <c r="B381" t="s">
        <v>1417</v>
      </c>
      <c r="C381" t="s">
        <v>5138</v>
      </c>
      <c r="D381" t="s">
        <v>4380</v>
      </c>
      <c r="E381" t="s">
        <v>6902</v>
      </c>
      <c r="L381" s="4" t="s">
        <v>963</v>
      </c>
    </row>
    <row r="382" spans="1:12" x14ac:dyDescent="0.3">
      <c r="A382" t="s">
        <v>521</v>
      </c>
      <c r="B382" t="s">
        <v>1417</v>
      </c>
      <c r="C382" t="s">
        <v>5138</v>
      </c>
      <c r="D382" t="s">
        <v>7104</v>
      </c>
      <c r="E382" t="s">
        <v>5138</v>
      </c>
      <c r="L382" s="3" t="s">
        <v>965</v>
      </c>
    </row>
    <row r="383" spans="1:12" x14ac:dyDescent="0.3">
      <c r="A383" t="s">
        <v>521</v>
      </c>
      <c r="B383" t="s">
        <v>8268</v>
      </c>
      <c r="C383" t="s">
        <v>8266</v>
      </c>
      <c r="D383" t="s">
        <v>4380</v>
      </c>
      <c r="E383" t="s">
        <v>7473</v>
      </c>
      <c r="L383" s="4" t="s">
        <v>967</v>
      </c>
    </row>
    <row r="384" spans="1:12" x14ac:dyDescent="0.3">
      <c r="A384" t="s">
        <v>521</v>
      </c>
      <c r="B384" t="s">
        <v>8046</v>
      </c>
      <c r="C384" t="s">
        <v>497</v>
      </c>
      <c r="D384" t="s">
        <v>8266</v>
      </c>
      <c r="E384" t="s">
        <v>4380</v>
      </c>
      <c r="L384" s="3" t="s">
        <v>969</v>
      </c>
    </row>
    <row r="385" spans="1:12" x14ac:dyDescent="0.3">
      <c r="A385" t="s">
        <v>362</v>
      </c>
      <c r="B385" t="s">
        <v>362</v>
      </c>
      <c r="C385" t="s">
        <v>2701</v>
      </c>
      <c r="D385" t="s">
        <v>7104</v>
      </c>
      <c r="E385" t="s">
        <v>7473</v>
      </c>
      <c r="L385" s="4" t="s">
        <v>972</v>
      </c>
    </row>
    <row r="386" spans="1:12" x14ac:dyDescent="0.3">
      <c r="A386" t="s">
        <v>362</v>
      </c>
      <c r="B386" t="s">
        <v>497</v>
      </c>
      <c r="C386" t="s">
        <v>7104</v>
      </c>
      <c r="D386" t="s">
        <v>7473</v>
      </c>
      <c r="E386" t="s">
        <v>5138</v>
      </c>
      <c r="L386" s="3" t="s">
        <v>974</v>
      </c>
    </row>
    <row r="387" spans="1:12" x14ac:dyDescent="0.3">
      <c r="A387" t="s">
        <v>668</v>
      </c>
      <c r="B387" t="s">
        <v>1417</v>
      </c>
      <c r="C387" t="s">
        <v>5138</v>
      </c>
      <c r="D387" t="s">
        <v>668</v>
      </c>
      <c r="E387" t="s">
        <v>8269</v>
      </c>
      <c r="L387" s="4" t="s">
        <v>977</v>
      </c>
    </row>
    <row r="388" spans="1:12" x14ac:dyDescent="0.3">
      <c r="A388" t="s">
        <v>521</v>
      </c>
      <c r="B388" t="s">
        <v>7104</v>
      </c>
      <c r="C388" t="s">
        <v>497</v>
      </c>
      <c r="D388" t="s">
        <v>5138</v>
      </c>
      <c r="E388" t="s">
        <v>8266</v>
      </c>
      <c r="L388" s="3" t="s">
        <v>979</v>
      </c>
    </row>
    <row r="389" spans="1:12" x14ac:dyDescent="0.3">
      <c r="A389" t="s">
        <v>521</v>
      </c>
      <c r="B389" t="s">
        <v>8046</v>
      </c>
      <c r="C389" t="s">
        <v>8046</v>
      </c>
      <c r="D389" t="s">
        <v>4380</v>
      </c>
      <c r="E389" t="s">
        <v>497</v>
      </c>
      <c r="L389" s="4" t="s">
        <v>981</v>
      </c>
    </row>
    <row r="390" spans="1:12" x14ac:dyDescent="0.3">
      <c r="A390" t="s">
        <v>1417</v>
      </c>
      <c r="B390" t="s">
        <v>362</v>
      </c>
      <c r="C390" t="s">
        <v>5138</v>
      </c>
      <c r="D390" t="s">
        <v>8267</v>
      </c>
      <c r="E390" t="s">
        <v>7473</v>
      </c>
      <c r="L390" s="3" t="s">
        <v>983</v>
      </c>
    </row>
    <row r="391" spans="1:12" x14ac:dyDescent="0.3">
      <c r="A391" t="s">
        <v>521</v>
      </c>
      <c r="B391" t="s">
        <v>8268</v>
      </c>
      <c r="C391" t="s">
        <v>4380</v>
      </c>
      <c r="D391" t="s">
        <v>4380</v>
      </c>
      <c r="E391" t="s">
        <v>4380</v>
      </c>
      <c r="L391" s="4" t="s">
        <v>985</v>
      </c>
    </row>
    <row r="392" spans="1:12" x14ac:dyDescent="0.3">
      <c r="A392" t="s">
        <v>362</v>
      </c>
      <c r="B392" t="s">
        <v>1417</v>
      </c>
      <c r="C392" t="s">
        <v>4380</v>
      </c>
      <c r="D392" t="s">
        <v>4380</v>
      </c>
      <c r="E392" t="s">
        <v>4380</v>
      </c>
      <c r="L392" s="3" t="s">
        <v>987</v>
      </c>
    </row>
    <row r="393" spans="1:12" x14ac:dyDescent="0.3">
      <c r="A393" t="s">
        <v>5524</v>
      </c>
      <c r="B393" t="s">
        <v>668</v>
      </c>
      <c r="C393" t="s">
        <v>5138</v>
      </c>
      <c r="D393" t="s">
        <v>7104</v>
      </c>
      <c r="E393" t="s">
        <v>4380</v>
      </c>
      <c r="L393" s="4" t="s">
        <v>989</v>
      </c>
    </row>
    <row r="394" spans="1:12" x14ac:dyDescent="0.3">
      <c r="A394" t="s">
        <v>521</v>
      </c>
      <c r="B394" t="s">
        <v>8266</v>
      </c>
      <c r="C394" t="s">
        <v>668</v>
      </c>
      <c r="D394" t="s">
        <v>4380</v>
      </c>
      <c r="E394" t="s">
        <v>4380</v>
      </c>
      <c r="L394" s="3" t="s">
        <v>991</v>
      </c>
    </row>
    <row r="395" spans="1:12" x14ac:dyDescent="0.3">
      <c r="A395" t="s">
        <v>1417</v>
      </c>
      <c r="B395" t="s">
        <v>362</v>
      </c>
      <c r="C395" t="s">
        <v>668</v>
      </c>
      <c r="D395" t="s">
        <v>4380</v>
      </c>
      <c r="E395" t="s">
        <v>1417</v>
      </c>
      <c r="L395" s="4" t="s">
        <v>993</v>
      </c>
    </row>
    <row r="396" spans="1:12" x14ac:dyDescent="0.3">
      <c r="A396" t="s">
        <v>521</v>
      </c>
      <c r="B396" t="s">
        <v>4380</v>
      </c>
      <c r="C396" t="s">
        <v>497</v>
      </c>
      <c r="D396" t="s">
        <v>4380</v>
      </c>
      <c r="E396" t="s">
        <v>5138</v>
      </c>
      <c r="L396" s="3" t="s">
        <v>995</v>
      </c>
    </row>
    <row r="397" spans="1:12" x14ac:dyDescent="0.3">
      <c r="A397" t="s">
        <v>521</v>
      </c>
      <c r="B397" t="s">
        <v>362</v>
      </c>
      <c r="C397" t="s">
        <v>7473</v>
      </c>
      <c r="D397" t="s">
        <v>8266</v>
      </c>
      <c r="E397" t="s">
        <v>6902</v>
      </c>
      <c r="L397" s="4" t="s">
        <v>998</v>
      </c>
    </row>
    <row r="398" spans="1:12" x14ac:dyDescent="0.3">
      <c r="A398" t="s">
        <v>362</v>
      </c>
      <c r="B398" t="s">
        <v>668</v>
      </c>
      <c r="C398" t="s">
        <v>8268</v>
      </c>
      <c r="D398" t="s">
        <v>4380</v>
      </c>
      <c r="E398" t="s">
        <v>7473</v>
      </c>
      <c r="L398" s="3" t="s">
        <v>1000</v>
      </c>
    </row>
    <row r="399" spans="1:12" x14ac:dyDescent="0.3">
      <c r="A399" t="s">
        <v>4843</v>
      </c>
      <c r="B399" t="s">
        <v>668</v>
      </c>
      <c r="C399" t="s">
        <v>8267</v>
      </c>
      <c r="D399" t="s">
        <v>5043</v>
      </c>
      <c r="E399" t="s">
        <v>4380</v>
      </c>
      <c r="L399" s="4" t="s">
        <v>1002</v>
      </c>
    </row>
    <row r="400" spans="1:12" x14ac:dyDescent="0.3">
      <c r="A400" t="s">
        <v>521</v>
      </c>
      <c r="B400" t="s">
        <v>1417</v>
      </c>
      <c r="C400" t="s">
        <v>668</v>
      </c>
      <c r="D400" t="s">
        <v>497</v>
      </c>
      <c r="E400" t="s">
        <v>4380</v>
      </c>
      <c r="L400" s="3" t="s">
        <v>1004</v>
      </c>
    </row>
    <row r="401" spans="1:12" x14ac:dyDescent="0.3">
      <c r="A401" t="s">
        <v>521</v>
      </c>
      <c r="B401" t="s">
        <v>8268</v>
      </c>
      <c r="C401" t="s">
        <v>668</v>
      </c>
      <c r="D401" t="s">
        <v>4380</v>
      </c>
      <c r="E401" t="s">
        <v>4380</v>
      </c>
      <c r="L401" s="4" t="s">
        <v>1006</v>
      </c>
    </row>
    <row r="402" spans="1:12" x14ac:dyDescent="0.3">
      <c r="A402" t="s">
        <v>8268</v>
      </c>
      <c r="B402" t="s">
        <v>668</v>
      </c>
      <c r="C402" t="s">
        <v>7473</v>
      </c>
      <c r="D402" t="s">
        <v>5138</v>
      </c>
      <c r="E402" t="s">
        <v>5138</v>
      </c>
      <c r="L402" s="3" t="s">
        <v>1008</v>
      </c>
    </row>
    <row r="403" spans="1:12" x14ac:dyDescent="0.3">
      <c r="A403" t="s">
        <v>521</v>
      </c>
      <c r="B403" t="s">
        <v>668</v>
      </c>
      <c r="C403" t="s">
        <v>7473</v>
      </c>
      <c r="D403" t="s">
        <v>1417</v>
      </c>
      <c r="E403" t="s">
        <v>6171</v>
      </c>
      <c r="L403" s="4" t="s">
        <v>1012</v>
      </c>
    </row>
    <row r="404" spans="1:12" x14ac:dyDescent="0.3">
      <c r="A404" t="s">
        <v>4843</v>
      </c>
      <c r="B404" t="s">
        <v>7473</v>
      </c>
      <c r="C404" t="s">
        <v>668</v>
      </c>
      <c r="D404" t="s">
        <v>7473</v>
      </c>
      <c r="E404" t="s">
        <v>6171</v>
      </c>
      <c r="L404" s="3" t="s">
        <v>1014</v>
      </c>
    </row>
    <row r="405" spans="1:12" x14ac:dyDescent="0.3">
      <c r="A405" t="s">
        <v>4843</v>
      </c>
      <c r="B405" t="s">
        <v>8268</v>
      </c>
      <c r="C405" t="s">
        <v>5138</v>
      </c>
      <c r="D405" t="s">
        <v>4380</v>
      </c>
      <c r="E405" t="s">
        <v>5138</v>
      </c>
      <c r="L405" s="4" t="s">
        <v>1017</v>
      </c>
    </row>
    <row r="406" spans="1:12" x14ac:dyDescent="0.3">
      <c r="A406" t="s">
        <v>8268</v>
      </c>
      <c r="B406" t="s">
        <v>1417</v>
      </c>
      <c r="C406" t="s">
        <v>497</v>
      </c>
      <c r="D406" t="s">
        <v>8046</v>
      </c>
      <c r="E406" t="s">
        <v>7473</v>
      </c>
      <c r="L406" s="3" t="s">
        <v>1020</v>
      </c>
    </row>
    <row r="407" spans="1:12" x14ac:dyDescent="0.3">
      <c r="A407" t="s">
        <v>521</v>
      </c>
      <c r="B407" t="s">
        <v>4380</v>
      </c>
      <c r="C407" t="s">
        <v>4380</v>
      </c>
      <c r="D407" t="s">
        <v>7473</v>
      </c>
      <c r="E407" t="s">
        <v>4380</v>
      </c>
      <c r="L407" s="4" t="s">
        <v>1022</v>
      </c>
    </row>
    <row r="408" spans="1:12" x14ac:dyDescent="0.3">
      <c r="A408" t="s">
        <v>362</v>
      </c>
      <c r="B408" t="s">
        <v>4843</v>
      </c>
      <c r="C408" t="s">
        <v>8268</v>
      </c>
      <c r="D408" t="s">
        <v>7473</v>
      </c>
      <c r="E408" t="s">
        <v>4380</v>
      </c>
      <c r="L408" s="3" t="s">
        <v>1025</v>
      </c>
    </row>
    <row r="409" spans="1:12" x14ac:dyDescent="0.3">
      <c r="A409" t="s">
        <v>521</v>
      </c>
      <c r="B409" t="s">
        <v>8266</v>
      </c>
      <c r="C409" t="s">
        <v>4380</v>
      </c>
      <c r="D409" t="s">
        <v>7473</v>
      </c>
      <c r="E409" t="s">
        <v>4380</v>
      </c>
      <c r="L409" s="4" t="s">
        <v>1028</v>
      </c>
    </row>
    <row r="410" spans="1:12" x14ac:dyDescent="0.3">
      <c r="A410" t="s">
        <v>668</v>
      </c>
      <c r="B410" t="s">
        <v>8046</v>
      </c>
      <c r="C410" t="s">
        <v>4380</v>
      </c>
      <c r="D410" t="s">
        <v>4380</v>
      </c>
      <c r="E410" t="s">
        <v>8269</v>
      </c>
      <c r="L410" s="3" t="s">
        <v>1030</v>
      </c>
    </row>
    <row r="411" spans="1:12" x14ac:dyDescent="0.3">
      <c r="A411" t="s">
        <v>521</v>
      </c>
      <c r="B411" t="s">
        <v>362</v>
      </c>
      <c r="C411" t="s">
        <v>8046</v>
      </c>
      <c r="D411" t="s">
        <v>7473</v>
      </c>
      <c r="E411" t="s">
        <v>6902</v>
      </c>
      <c r="L411" s="4" t="s">
        <v>1033</v>
      </c>
    </row>
    <row r="412" spans="1:12" x14ac:dyDescent="0.3">
      <c r="A412" t="s">
        <v>668</v>
      </c>
      <c r="B412" t="s">
        <v>362</v>
      </c>
      <c r="C412" t="s">
        <v>1417</v>
      </c>
      <c r="D412" t="s">
        <v>4380</v>
      </c>
      <c r="E412" t="s">
        <v>8269</v>
      </c>
      <c r="L412" s="3" t="s">
        <v>1036</v>
      </c>
    </row>
    <row r="413" spans="1:12" x14ac:dyDescent="0.3">
      <c r="A413" t="s">
        <v>8268</v>
      </c>
      <c r="B413" t="s">
        <v>7473</v>
      </c>
      <c r="C413" t="s">
        <v>5138</v>
      </c>
      <c r="D413" t="s">
        <v>8269</v>
      </c>
      <c r="E413" t="s">
        <v>8266</v>
      </c>
      <c r="L413" s="4" t="s">
        <v>1038</v>
      </c>
    </row>
    <row r="414" spans="1:12" x14ac:dyDescent="0.3">
      <c r="A414" t="s">
        <v>362</v>
      </c>
      <c r="B414" t="s">
        <v>8268</v>
      </c>
      <c r="C414" t="s">
        <v>8266</v>
      </c>
      <c r="D414" t="s">
        <v>7473</v>
      </c>
      <c r="E414" t="s">
        <v>6171</v>
      </c>
      <c r="L414" s="3" t="s">
        <v>1041</v>
      </c>
    </row>
    <row r="415" spans="1:12" x14ac:dyDescent="0.3">
      <c r="A415" t="s">
        <v>362</v>
      </c>
      <c r="B415" t="s">
        <v>4843</v>
      </c>
      <c r="C415" t="s">
        <v>668</v>
      </c>
      <c r="D415" t="s">
        <v>8046</v>
      </c>
      <c r="E415" t="s">
        <v>4380</v>
      </c>
      <c r="L415" s="4" t="s">
        <v>1043</v>
      </c>
    </row>
    <row r="416" spans="1:12" x14ac:dyDescent="0.3">
      <c r="A416" t="s">
        <v>1417</v>
      </c>
      <c r="B416" t="s">
        <v>497</v>
      </c>
      <c r="C416" t="s">
        <v>8268</v>
      </c>
      <c r="D416" t="s">
        <v>497</v>
      </c>
      <c r="E416" t="s">
        <v>7104</v>
      </c>
      <c r="L416" s="3" t="s">
        <v>1045</v>
      </c>
    </row>
    <row r="417" spans="1:12" x14ac:dyDescent="0.3">
      <c r="A417" t="s">
        <v>521</v>
      </c>
      <c r="B417" t="s">
        <v>1417</v>
      </c>
      <c r="C417" t="s">
        <v>4380</v>
      </c>
      <c r="D417" t="s">
        <v>5138</v>
      </c>
      <c r="E417" t="s">
        <v>4380</v>
      </c>
      <c r="L417" s="4" t="s">
        <v>1047</v>
      </c>
    </row>
    <row r="418" spans="1:12" x14ac:dyDescent="0.3">
      <c r="A418" t="s">
        <v>521</v>
      </c>
      <c r="B418" t="s">
        <v>1417</v>
      </c>
      <c r="C418" t="s">
        <v>8266</v>
      </c>
      <c r="D418" t="s">
        <v>8269</v>
      </c>
      <c r="E418" t="s">
        <v>497</v>
      </c>
      <c r="L418" s="3" t="s">
        <v>1049</v>
      </c>
    </row>
    <row r="419" spans="1:12" x14ac:dyDescent="0.3">
      <c r="A419" t="s">
        <v>1417</v>
      </c>
      <c r="B419" t="s">
        <v>668</v>
      </c>
      <c r="C419" t="s">
        <v>8269</v>
      </c>
      <c r="D419" t="s">
        <v>8267</v>
      </c>
      <c r="E419" t="s">
        <v>4380</v>
      </c>
      <c r="L419" s="4" t="s">
        <v>1051</v>
      </c>
    </row>
    <row r="420" spans="1:12" x14ac:dyDescent="0.3">
      <c r="A420" t="s">
        <v>521</v>
      </c>
      <c r="B420" t="s">
        <v>668</v>
      </c>
      <c r="C420" t="s">
        <v>668</v>
      </c>
      <c r="D420" t="s">
        <v>5138</v>
      </c>
      <c r="E420" t="s">
        <v>4380</v>
      </c>
      <c r="L420" s="3" t="s">
        <v>1053</v>
      </c>
    </row>
    <row r="421" spans="1:12" x14ac:dyDescent="0.3">
      <c r="A421" t="s">
        <v>362</v>
      </c>
      <c r="B421" t="s">
        <v>362</v>
      </c>
      <c r="C421" t="s">
        <v>668</v>
      </c>
      <c r="D421" t="s">
        <v>8046</v>
      </c>
      <c r="E421" t="s">
        <v>5138</v>
      </c>
      <c r="L421" s="4" t="s">
        <v>1056</v>
      </c>
    </row>
    <row r="422" spans="1:12" x14ac:dyDescent="0.3">
      <c r="A422" t="s">
        <v>1417</v>
      </c>
      <c r="B422" t="s">
        <v>7473</v>
      </c>
      <c r="C422" t="s">
        <v>7104</v>
      </c>
      <c r="D422" t="s">
        <v>1417</v>
      </c>
      <c r="E422" t="s">
        <v>8270</v>
      </c>
      <c r="L422" s="3" t="s">
        <v>1059</v>
      </c>
    </row>
    <row r="423" spans="1:12" x14ac:dyDescent="0.3">
      <c r="A423" t="s">
        <v>521</v>
      </c>
      <c r="B423" t="s">
        <v>668</v>
      </c>
      <c r="C423" t="s">
        <v>7473</v>
      </c>
      <c r="D423" t="s">
        <v>8269</v>
      </c>
      <c r="E423" t="s">
        <v>497</v>
      </c>
      <c r="L423" s="4" t="s">
        <v>1061</v>
      </c>
    </row>
    <row r="424" spans="1:12" x14ac:dyDescent="0.3">
      <c r="A424" t="s">
        <v>668</v>
      </c>
      <c r="B424" t="s">
        <v>5138</v>
      </c>
      <c r="C424" t="s">
        <v>7104</v>
      </c>
      <c r="D424" t="s">
        <v>7104</v>
      </c>
      <c r="E424" t="s">
        <v>4380</v>
      </c>
      <c r="L424" s="3" t="s">
        <v>1064</v>
      </c>
    </row>
    <row r="425" spans="1:12" x14ac:dyDescent="0.3">
      <c r="A425" t="s">
        <v>362</v>
      </c>
      <c r="B425" t="s">
        <v>1417</v>
      </c>
      <c r="C425" t="s">
        <v>5138</v>
      </c>
      <c r="D425" t="s">
        <v>497</v>
      </c>
      <c r="E425" t="s">
        <v>8046</v>
      </c>
      <c r="L425" s="4" t="s">
        <v>1066</v>
      </c>
    </row>
    <row r="426" spans="1:12" x14ac:dyDescent="0.3">
      <c r="A426" t="s">
        <v>521</v>
      </c>
      <c r="B426" t="s">
        <v>497</v>
      </c>
      <c r="C426" t="s">
        <v>7104</v>
      </c>
      <c r="D426" t="s">
        <v>7104</v>
      </c>
      <c r="E426" t="s">
        <v>5043</v>
      </c>
      <c r="L426" s="3" t="s">
        <v>1068</v>
      </c>
    </row>
    <row r="427" spans="1:12" x14ac:dyDescent="0.3">
      <c r="A427" t="s">
        <v>521</v>
      </c>
      <c r="B427" t="s">
        <v>668</v>
      </c>
      <c r="C427" t="s">
        <v>497</v>
      </c>
      <c r="D427" t="s">
        <v>7473</v>
      </c>
      <c r="E427" t="s">
        <v>4380</v>
      </c>
      <c r="L427" s="4" t="s">
        <v>1070</v>
      </c>
    </row>
    <row r="428" spans="1:12" x14ac:dyDescent="0.3">
      <c r="A428" t="s">
        <v>668</v>
      </c>
      <c r="B428" t="s">
        <v>362</v>
      </c>
      <c r="C428" t="s">
        <v>497</v>
      </c>
      <c r="D428" t="s">
        <v>7104</v>
      </c>
      <c r="E428" t="s">
        <v>4380</v>
      </c>
      <c r="L428" s="3" t="s">
        <v>1072</v>
      </c>
    </row>
    <row r="429" spans="1:12" x14ac:dyDescent="0.3">
      <c r="A429" t="s">
        <v>362</v>
      </c>
      <c r="B429" t="s">
        <v>362</v>
      </c>
      <c r="C429" t="s">
        <v>5138</v>
      </c>
      <c r="D429" t="s">
        <v>4380</v>
      </c>
      <c r="E429" t="s">
        <v>4380</v>
      </c>
      <c r="L429" s="4" t="s">
        <v>1074</v>
      </c>
    </row>
    <row r="430" spans="1:12" x14ac:dyDescent="0.3">
      <c r="A430" t="s">
        <v>521</v>
      </c>
      <c r="B430" t="s">
        <v>1417</v>
      </c>
      <c r="C430" t="s">
        <v>7104</v>
      </c>
      <c r="D430" t="s">
        <v>8269</v>
      </c>
      <c r="E430" t="s">
        <v>4380</v>
      </c>
      <c r="L430" s="3" t="s">
        <v>1076</v>
      </c>
    </row>
    <row r="431" spans="1:12" x14ac:dyDescent="0.3">
      <c r="A431" t="s">
        <v>668</v>
      </c>
      <c r="B431" t="s">
        <v>8266</v>
      </c>
      <c r="C431" t="s">
        <v>4380</v>
      </c>
      <c r="D431" t="s">
        <v>5138</v>
      </c>
      <c r="E431" t="s">
        <v>4380</v>
      </c>
      <c r="L431" s="4" t="s">
        <v>1078</v>
      </c>
    </row>
    <row r="432" spans="1:12" x14ac:dyDescent="0.3">
      <c r="A432" t="s">
        <v>668</v>
      </c>
      <c r="B432" t="s">
        <v>1417</v>
      </c>
      <c r="C432" t="s">
        <v>6171</v>
      </c>
      <c r="D432" t="s">
        <v>4380</v>
      </c>
      <c r="E432" t="s">
        <v>2701</v>
      </c>
      <c r="L432" s="3" t="s">
        <v>1080</v>
      </c>
    </row>
    <row r="433" spans="1:12" x14ac:dyDescent="0.3">
      <c r="A433" t="s">
        <v>521</v>
      </c>
      <c r="B433" t="s">
        <v>362</v>
      </c>
      <c r="C433" t="s">
        <v>7473</v>
      </c>
      <c r="D433" t="s">
        <v>4380</v>
      </c>
      <c r="E433" t="s">
        <v>5138</v>
      </c>
      <c r="L433" s="4" t="s">
        <v>1083</v>
      </c>
    </row>
    <row r="434" spans="1:12" x14ac:dyDescent="0.3">
      <c r="A434" t="s">
        <v>521</v>
      </c>
      <c r="B434" t="s">
        <v>362</v>
      </c>
      <c r="C434" t="s">
        <v>668</v>
      </c>
      <c r="D434" t="s">
        <v>6171</v>
      </c>
      <c r="E434" t="s">
        <v>497</v>
      </c>
      <c r="L434" s="3" t="s">
        <v>1085</v>
      </c>
    </row>
    <row r="435" spans="1:12" x14ac:dyDescent="0.3">
      <c r="A435" t="s">
        <v>521</v>
      </c>
      <c r="B435" t="s">
        <v>1417</v>
      </c>
      <c r="C435" t="s">
        <v>5138</v>
      </c>
      <c r="D435" t="s">
        <v>7104</v>
      </c>
      <c r="E435" t="s">
        <v>4380</v>
      </c>
      <c r="L435" s="4" t="s">
        <v>1087</v>
      </c>
    </row>
    <row r="436" spans="1:12" x14ac:dyDescent="0.3">
      <c r="A436" t="s">
        <v>8268</v>
      </c>
      <c r="B436" t="s">
        <v>4843</v>
      </c>
      <c r="C436" t="s">
        <v>8266</v>
      </c>
      <c r="D436" t="s">
        <v>6902</v>
      </c>
      <c r="E436" t="s">
        <v>4380</v>
      </c>
      <c r="L436" s="3" t="s">
        <v>1089</v>
      </c>
    </row>
    <row r="437" spans="1:12" x14ac:dyDescent="0.3">
      <c r="A437" t="s">
        <v>521</v>
      </c>
      <c r="B437" t="s">
        <v>4843</v>
      </c>
      <c r="C437" t="s">
        <v>1417</v>
      </c>
      <c r="D437" t="s">
        <v>4380</v>
      </c>
      <c r="E437" t="s">
        <v>497</v>
      </c>
      <c r="L437" s="4" t="s">
        <v>1091</v>
      </c>
    </row>
    <row r="438" spans="1:12" x14ac:dyDescent="0.3">
      <c r="A438" t="s">
        <v>668</v>
      </c>
      <c r="B438" t="s">
        <v>7104</v>
      </c>
      <c r="C438" t="s">
        <v>4380</v>
      </c>
      <c r="D438" t="s">
        <v>4380</v>
      </c>
      <c r="E438" t="s">
        <v>4380</v>
      </c>
      <c r="L438" s="3" t="s">
        <v>1094</v>
      </c>
    </row>
    <row r="439" spans="1:12" x14ac:dyDescent="0.3">
      <c r="A439" t="s">
        <v>521</v>
      </c>
      <c r="B439" t="s">
        <v>1417</v>
      </c>
      <c r="C439" t="s">
        <v>4380</v>
      </c>
      <c r="D439" t="s">
        <v>497</v>
      </c>
      <c r="E439" t="s">
        <v>8266</v>
      </c>
      <c r="L439" s="4" t="s">
        <v>1096</v>
      </c>
    </row>
    <row r="440" spans="1:12" x14ac:dyDescent="0.3">
      <c r="A440" t="s">
        <v>521</v>
      </c>
      <c r="B440" t="s">
        <v>668</v>
      </c>
      <c r="C440" t="s">
        <v>1417</v>
      </c>
      <c r="D440" t="s">
        <v>4380</v>
      </c>
      <c r="E440" t="s">
        <v>4380</v>
      </c>
      <c r="L440" s="3" t="s">
        <v>1099</v>
      </c>
    </row>
    <row r="441" spans="1:12" x14ac:dyDescent="0.3">
      <c r="A441" t="s">
        <v>362</v>
      </c>
      <c r="B441" t="s">
        <v>8268</v>
      </c>
      <c r="C441" t="s">
        <v>7104</v>
      </c>
      <c r="D441" t="s">
        <v>7104</v>
      </c>
      <c r="E441" t="s">
        <v>5138</v>
      </c>
      <c r="L441" s="4" t="s">
        <v>1102</v>
      </c>
    </row>
    <row r="442" spans="1:12" x14ac:dyDescent="0.3">
      <c r="A442" t="s">
        <v>668</v>
      </c>
      <c r="B442" t="s">
        <v>4843</v>
      </c>
      <c r="C442" t="s">
        <v>5138</v>
      </c>
      <c r="D442" t="s">
        <v>4380</v>
      </c>
      <c r="E442" t="s">
        <v>6171</v>
      </c>
      <c r="L442" s="3" t="s">
        <v>1105</v>
      </c>
    </row>
    <row r="443" spans="1:12" x14ac:dyDescent="0.3">
      <c r="A443" t="s">
        <v>521</v>
      </c>
      <c r="B443" t="s">
        <v>362</v>
      </c>
      <c r="C443" t="s">
        <v>668</v>
      </c>
      <c r="D443" t="s">
        <v>4380</v>
      </c>
      <c r="E443" t="s">
        <v>5138</v>
      </c>
      <c r="L443" s="4" t="s">
        <v>1108</v>
      </c>
    </row>
    <row r="444" spans="1:12" x14ac:dyDescent="0.3">
      <c r="A444" t="s">
        <v>362</v>
      </c>
      <c r="B444" t="s">
        <v>1417</v>
      </c>
      <c r="C444" t="s">
        <v>7473</v>
      </c>
      <c r="D444" t="s">
        <v>4380</v>
      </c>
      <c r="E444" t="s">
        <v>7473</v>
      </c>
      <c r="L444" s="3" t="s">
        <v>1111</v>
      </c>
    </row>
    <row r="445" spans="1:12" x14ac:dyDescent="0.3">
      <c r="A445" t="s">
        <v>362</v>
      </c>
      <c r="B445" t="s">
        <v>4380</v>
      </c>
      <c r="C445" t="s">
        <v>5138</v>
      </c>
      <c r="D445" t="s">
        <v>4380</v>
      </c>
      <c r="E445" t="s">
        <v>5138</v>
      </c>
      <c r="L445" s="4" t="s">
        <v>1114</v>
      </c>
    </row>
    <row r="446" spans="1:12" x14ac:dyDescent="0.3">
      <c r="A446" t="s">
        <v>668</v>
      </c>
      <c r="B446" t="s">
        <v>1417</v>
      </c>
      <c r="C446" t="s">
        <v>1417</v>
      </c>
      <c r="D446" t="s">
        <v>8269</v>
      </c>
      <c r="E446" t="s">
        <v>4380</v>
      </c>
      <c r="L446" s="3" t="s">
        <v>1116</v>
      </c>
    </row>
    <row r="447" spans="1:12" x14ac:dyDescent="0.3">
      <c r="A447" t="s">
        <v>521</v>
      </c>
      <c r="B447" t="s">
        <v>4843</v>
      </c>
      <c r="C447" t="s">
        <v>1417</v>
      </c>
      <c r="D447" t="s">
        <v>497</v>
      </c>
      <c r="E447" t="s">
        <v>4380</v>
      </c>
      <c r="L447" s="4" t="s">
        <v>1119</v>
      </c>
    </row>
    <row r="448" spans="1:12" x14ac:dyDescent="0.3">
      <c r="A448" t="s">
        <v>521</v>
      </c>
      <c r="B448" t="s">
        <v>8268</v>
      </c>
      <c r="C448" t="s">
        <v>497</v>
      </c>
      <c r="D448" t="s">
        <v>7104</v>
      </c>
      <c r="L448" s="3" t="s">
        <v>1121</v>
      </c>
    </row>
    <row r="449" spans="1:12" x14ac:dyDescent="0.3">
      <c r="A449" t="s">
        <v>668</v>
      </c>
      <c r="B449" t="s">
        <v>7104</v>
      </c>
      <c r="C449" t="s">
        <v>4380</v>
      </c>
      <c r="D449" t="s">
        <v>7104</v>
      </c>
      <c r="L449" s="4" t="s">
        <v>1124</v>
      </c>
    </row>
    <row r="450" spans="1:12" x14ac:dyDescent="0.3">
      <c r="A450" t="s">
        <v>362</v>
      </c>
      <c r="B450" t="s">
        <v>1417</v>
      </c>
      <c r="C450" t="s">
        <v>7104</v>
      </c>
      <c r="D450" t="s">
        <v>7473</v>
      </c>
      <c r="L450" s="3" t="s">
        <v>1127</v>
      </c>
    </row>
    <row r="451" spans="1:12" x14ac:dyDescent="0.3">
      <c r="A451" t="s">
        <v>668</v>
      </c>
      <c r="B451" t="s">
        <v>7473</v>
      </c>
      <c r="C451" t="s">
        <v>2701</v>
      </c>
      <c r="D451" t="s">
        <v>8269</v>
      </c>
      <c r="L451" s="4" t="s">
        <v>1130</v>
      </c>
    </row>
    <row r="452" spans="1:12" x14ac:dyDescent="0.3">
      <c r="A452" t="s">
        <v>521</v>
      </c>
      <c r="B452" t="s">
        <v>362</v>
      </c>
      <c r="C452" t="s">
        <v>1417</v>
      </c>
      <c r="D452" t="s">
        <v>4380</v>
      </c>
      <c r="L452" s="3" t="s">
        <v>1132</v>
      </c>
    </row>
    <row r="453" spans="1:12" x14ac:dyDescent="0.3">
      <c r="A453" t="s">
        <v>668</v>
      </c>
      <c r="B453" t="s">
        <v>8268</v>
      </c>
      <c r="C453" t="s">
        <v>1417</v>
      </c>
      <c r="D453" t="s">
        <v>4380</v>
      </c>
      <c r="L453" s="4" t="s">
        <v>1134</v>
      </c>
    </row>
    <row r="454" spans="1:12" x14ac:dyDescent="0.3">
      <c r="A454" t="s">
        <v>8266</v>
      </c>
      <c r="B454" t="s">
        <v>8266</v>
      </c>
      <c r="C454" t="s">
        <v>668</v>
      </c>
      <c r="D454" t="s">
        <v>5138</v>
      </c>
      <c r="L454" s="3" t="s">
        <v>1137</v>
      </c>
    </row>
    <row r="455" spans="1:12" x14ac:dyDescent="0.3">
      <c r="A455" t="s">
        <v>668</v>
      </c>
      <c r="B455" t="s">
        <v>1417</v>
      </c>
      <c r="C455" t="s">
        <v>7104</v>
      </c>
      <c r="D455" t="s">
        <v>7104</v>
      </c>
      <c r="L455" s="4" t="s">
        <v>1139</v>
      </c>
    </row>
    <row r="456" spans="1:12" x14ac:dyDescent="0.3">
      <c r="A456" t="s">
        <v>362</v>
      </c>
      <c r="B456" t="s">
        <v>362</v>
      </c>
      <c r="C456" t="s">
        <v>4380</v>
      </c>
      <c r="D456" t="s">
        <v>7473</v>
      </c>
      <c r="L456" s="3" t="s">
        <v>1142</v>
      </c>
    </row>
    <row r="457" spans="1:12" x14ac:dyDescent="0.3">
      <c r="A457" t="s">
        <v>521</v>
      </c>
      <c r="B457" t="s">
        <v>7104</v>
      </c>
      <c r="C457" t="s">
        <v>6171</v>
      </c>
      <c r="D457" t="s">
        <v>7473</v>
      </c>
      <c r="L457" s="4" t="s">
        <v>1144</v>
      </c>
    </row>
    <row r="458" spans="1:12" x14ac:dyDescent="0.3">
      <c r="A458" t="s">
        <v>668</v>
      </c>
      <c r="B458" t="s">
        <v>2701</v>
      </c>
      <c r="C458" t="s">
        <v>4380</v>
      </c>
      <c r="D458" t="s">
        <v>7104</v>
      </c>
      <c r="L458" s="3" t="s">
        <v>1147</v>
      </c>
    </row>
    <row r="459" spans="1:12" x14ac:dyDescent="0.3">
      <c r="A459" t="s">
        <v>8268</v>
      </c>
      <c r="B459" t="s">
        <v>4843</v>
      </c>
      <c r="C459" t="s">
        <v>1417</v>
      </c>
      <c r="D459" t="s">
        <v>7473</v>
      </c>
      <c r="L459" s="4" t="s">
        <v>1150</v>
      </c>
    </row>
    <row r="460" spans="1:12" x14ac:dyDescent="0.3">
      <c r="A460" t="s">
        <v>668</v>
      </c>
      <c r="B460" t="s">
        <v>668</v>
      </c>
      <c r="C460" t="s">
        <v>668</v>
      </c>
      <c r="D460" t="s">
        <v>8267</v>
      </c>
      <c r="L460" s="3" t="s">
        <v>1153</v>
      </c>
    </row>
    <row r="461" spans="1:12" x14ac:dyDescent="0.3">
      <c r="A461" t="s">
        <v>521</v>
      </c>
      <c r="B461" t="s">
        <v>5138</v>
      </c>
      <c r="C461" t="s">
        <v>7104</v>
      </c>
      <c r="D461" t="s">
        <v>7473</v>
      </c>
      <c r="L461" s="4" t="s">
        <v>1155</v>
      </c>
    </row>
    <row r="462" spans="1:12" x14ac:dyDescent="0.3">
      <c r="A462" t="s">
        <v>521</v>
      </c>
      <c r="B462" t="s">
        <v>8268</v>
      </c>
      <c r="C462" t="s">
        <v>497</v>
      </c>
      <c r="D462" t="s">
        <v>497</v>
      </c>
      <c r="L462" s="3" t="s">
        <v>1158</v>
      </c>
    </row>
    <row r="463" spans="1:12" x14ac:dyDescent="0.3">
      <c r="A463" t="s">
        <v>521</v>
      </c>
      <c r="B463" t="s">
        <v>1417</v>
      </c>
      <c r="C463" t="s">
        <v>7104</v>
      </c>
      <c r="D463" t="s">
        <v>4380</v>
      </c>
      <c r="L463" s="4" t="s">
        <v>1161</v>
      </c>
    </row>
    <row r="464" spans="1:12" x14ac:dyDescent="0.3">
      <c r="A464" t="s">
        <v>362</v>
      </c>
      <c r="B464" t="s">
        <v>362</v>
      </c>
      <c r="C464" t="s">
        <v>5138</v>
      </c>
      <c r="D464" t="s">
        <v>4380</v>
      </c>
      <c r="L464" s="3" t="s">
        <v>1163</v>
      </c>
    </row>
    <row r="465" spans="1:12" x14ac:dyDescent="0.3">
      <c r="A465" t="s">
        <v>521</v>
      </c>
      <c r="B465" t="s">
        <v>4843</v>
      </c>
      <c r="C465" t="s">
        <v>5138</v>
      </c>
      <c r="D465" t="s">
        <v>5138</v>
      </c>
      <c r="L465" s="4" t="s">
        <v>1166</v>
      </c>
    </row>
    <row r="466" spans="1:12" x14ac:dyDescent="0.3">
      <c r="A466" t="s">
        <v>668</v>
      </c>
      <c r="B466" t="s">
        <v>4843</v>
      </c>
      <c r="C466" t="s">
        <v>668</v>
      </c>
      <c r="D466" t="s">
        <v>4380</v>
      </c>
      <c r="L466" s="3" t="s">
        <v>1168</v>
      </c>
    </row>
    <row r="467" spans="1:12" x14ac:dyDescent="0.3">
      <c r="A467" t="s">
        <v>497</v>
      </c>
      <c r="B467" t="s">
        <v>7104</v>
      </c>
      <c r="C467" t="s">
        <v>4380</v>
      </c>
      <c r="D467" t="s">
        <v>497</v>
      </c>
      <c r="L467" s="4" t="s">
        <v>1170</v>
      </c>
    </row>
    <row r="468" spans="1:12" x14ac:dyDescent="0.3">
      <c r="A468" t="s">
        <v>362</v>
      </c>
      <c r="B468" t="s">
        <v>362</v>
      </c>
      <c r="C468" t="s">
        <v>5138</v>
      </c>
      <c r="D468" t="s">
        <v>497</v>
      </c>
      <c r="L468" s="3" t="s">
        <v>1173</v>
      </c>
    </row>
    <row r="469" spans="1:12" x14ac:dyDescent="0.3">
      <c r="A469" t="s">
        <v>362</v>
      </c>
      <c r="B469" t="s">
        <v>8266</v>
      </c>
      <c r="C469" t="s">
        <v>497</v>
      </c>
      <c r="D469" t="s">
        <v>7104</v>
      </c>
      <c r="L469" s="4" t="s">
        <v>1175</v>
      </c>
    </row>
    <row r="470" spans="1:12" x14ac:dyDescent="0.3">
      <c r="A470" t="s">
        <v>1417</v>
      </c>
      <c r="B470" t="s">
        <v>7473</v>
      </c>
      <c r="C470" t="s">
        <v>4380</v>
      </c>
      <c r="D470" t="s">
        <v>497</v>
      </c>
      <c r="L470" s="3" t="s">
        <v>1177</v>
      </c>
    </row>
    <row r="471" spans="1:12" x14ac:dyDescent="0.3">
      <c r="A471" t="s">
        <v>521</v>
      </c>
      <c r="B471" t="s">
        <v>668</v>
      </c>
      <c r="C471" t="s">
        <v>4843</v>
      </c>
      <c r="D471" t="s">
        <v>4380</v>
      </c>
      <c r="L471" s="4" t="s">
        <v>1179</v>
      </c>
    </row>
    <row r="472" spans="1:12" x14ac:dyDescent="0.3">
      <c r="A472" t="s">
        <v>521</v>
      </c>
      <c r="B472" t="s">
        <v>7104</v>
      </c>
      <c r="C472" t="s">
        <v>7104</v>
      </c>
      <c r="D472" t="s">
        <v>4380</v>
      </c>
      <c r="L472" s="3" t="s">
        <v>1181</v>
      </c>
    </row>
    <row r="473" spans="1:12" x14ac:dyDescent="0.3">
      <c r="A473" t="s">
        <v>521</v>
      </c>
      <c r="B473" t="s">
        <v>7104</v>
      </c>
      <c r="C473" t="s">
        <v>4380</v>
      </c>
      <c r="D473" t="s">
        <v>8269</v>
      </c>
      <c r="L473" s="4" t="s">
        <v>1183</v>
      </c>
    </row>
    <row r="474" spans="1:12" x14ac:dyDescent="0.3">
      <c r="A474" t="s">
        <v>362</v>
      </c>
      <c r="B474" t="s">
        <v>362</v>
      </c>
      <c r="C474" t="s">
        <v>668</v>
      </c>
      <c r="D474" t="s">
        <v>7104</v>
      </c>
      <c r="L474" s="3" t="s">
        <v>1185</v>
      </c>
    </row>
    <row r="475" spans="1:12" x14ac:dyDescent="0.3">
      <c r="A475" t="s">
        <v>362</v>
      </c>
      <c r="B475" t="s">
        <v>362</v>
      </c>
      <c r="C475" t="s">
        <v>4380</v>
      </c>
      <c r="D475" t="s">
        <v>4380</v>
      </c>
      <c r="L475" s="4" t="s">
        <v>1188</v>
      </c>
    </row>
    <row r="476" spans="1:12" x14ac:dyDescent="0.3">
      <c r="A476" t="s">
        <v>668</v>
      </c>
      <c r="B476" t="s">
        <v>8268</v>
      </c>
      <c r="C476" t="s">
        <v>2701</v>
      </c>
      <c r="D476" t="s">
        <v>8266</v>
      </c>
      <c r="L476" s="3" t="s">
        <v>1190</v>
      </c>
    </row>
    <row r="477" spans="1:12" x14ac:dyDescent="0.3">
      <c r="A477" t="s">
        <v>521</v>
      </c>
      <c r="B477" t="s">
        <v>362</v>
      </c>
      <c r="C477" t="s">
        <v>1417</v>
      </c>
      <c r="D477" t="s">
        <v>4380</v>
      </c>
      <c r="L477" s="4" t="s">
        <v>1194</v>
      </c>
    </row>
    <row r="478" spans="1:12" x14ac:dyDescent="0.3">
      <c r="A478" t="s">
        <v>1417</v>
      </c>
      <c r="B478" t="s">
        <v>497</v>
      </c>
      <c r="C478" t="s">
        <v>1417</v>
      </c>
      <c r="D478" t="s">
        <v>4380</v>
      </c>
      <c r="L478" s="3" t="s">
        <v>1197</v>
      </c>
    </row>
    <row r="479" spans="1:12" x14ac:dyDescent="0.3">
      <c r="A479" t="s">
        <v>1417</v>
      </c>
      <c r="B479" t="s">
        <v>497</v>
      </c>
      <c r="C479" t="s">
        <v>668</v>
      </c>
      <c r="D479" t="s">
        <v>4380</v>
      </c>
      <c r="L479" s="4" t="s">
        <v>1199</v>
      </c>
    </row>
    <row r="480" spans="1:12" x14ac:dyDescent="0.3">
      <c r="A480" t="s">
        <v>4843</v>
      </c>
      <c r="B480" t="s">
        <v>362</v>
      </c>
      <c r="C480" t="s">
        <v>6902</v>
      </c>
      <c r="D480" t="s">
        <v>497</v>
      </c>
      <c r="L480" s="3" t="s">
        <v>1202</v>
      </c>
    </row>
    <row r="481" spans="1:12" x14ac:dyDescent="0.3">
      <c r="A481" t="s">
        <v>668</v>
      </c>
      <c r="B481" t="s">
        <v>668</v>
      </c>
      <c r="C481" t="s">
        <v>8266</v>
      </c>
      <c r="D481" t="s">
        <v>4380</v>
      </c>
      <c r="L481" s="4" t="s">
        <v>1204</v>
      </c>
    </row>
    <row r="482" spans="1:12" x14ac:dyDescent="0.3">
      <c r="A482" t="s">
        <v>4843</v>
      </c>
      <c r="B482" t="s">
        <v>2701</v>
      </c>
      <c r="C482" t="s">
        <v>5043</v>
      </c>
      <c r="D482" t="s">
        <v>5138</v>
      </c>
      <c r="L482" s="3" t="s">
        <v>1206</v>
      </c>
    </row>
    <row r="483" spans="1:12" x14ac:dyDescent="0.3">
      <c r="A483" t="s">
        <v>521</v>
      </c>
      <c r="B483" t="s">
        <v>362</v>
      </c>
      <c r="C483" t="s">
        <v>4380</v>
      </c>
      <c r="D483" t="s">
        <v>8266</v>
      </c>
      <c r="L483" s="4" t="s">
        <v>1208</v>
      </c>
    </row>
    <row r="484" spans="1:12" x14ac:dyDescent="0.3">
      <c r="A484" t="s">
        <v>521</v>
      </c>
      <c r="B484" t="s">
        <v>5138</v>
      </c>
      <c r="C484" t="s">
        <v>4380</v>
      </c>
      <c r="D484" t="s">
        <v>8266</v>
      </c>
      <c r="L484" s="3" t="s">
        <v>1210</v>
      </c>
    </row>
    <row r="485" spans="1:12" x14ac:dyDescent="0.3">
      <c r="A485" t="s">
        <v>521</v>
      </c>
      <c r="B485" t="s">
        <v>8046</v>
      </c>
      <c r="C485" t="s">
        <v>7473</v>
      </c>
      <c r="D485" t="s">
        <v>8266</v>
      </c>
      <c r="L485" s="4" t="s">
        <v>1213</v>
      </c>
    </row>
    <row r="486" spans="1:12" x14ac:dyDescent="0.3">
      <c r="A486" t="s">
        <v>521</v>
      </c>
      <c r="B486" t="s">
        <v>362</v>
      </c>
      <c r="C486" t="s">
        <v>668</v>
      </c>
      <c r="D486" t="s">
        <v>4380</v>
      </c>
      <c r="L486" s="3" t="s">
        <v>1216</v>
      </c>
    </row>
    <row r="487" spans="1:12" x14ac:dyDescent="0.3">
      <c r="A487" t="s">
        <v>1417</v>
      </c>
      <c r="B487" t="s">
        <v>4843</v>
      </c>
      <c r="C487" t="s">
        <v>7473</v>
      </c>
      <c r="D487" t="s">
        <v>668</v>
      </c>
      <c r="L487" s="4" t="s">
        <v>1218</v>
      </c>
    </row>
    <row r="488" spans="1:12" x14ac:dyDescent="0.3">
      <c r="A488" t="s">
        <v>668</v>
      </c>
      <c r="B488" t="s">
        <v>362</v>
      </c>
      <c r="C488" t="s">
        <v>7104</v>
      </c>
      <c r="D488" t="s">
        <v>8046</v>
      </c>
      <c r="L488" s="3" t="s">
        <v>1221</v>
      </c>
    </row>
    <row r="489" spans="1:12" x14ac:dyDescent="0.3">
      <c r="A489" t="s">
        <v>521</v>
      </c>
      <c r="B489" t="s">
        <v>4843</v>
      </c>
      <c r="C489" t="s">
        <v>1417</v>
      </c>
      <c r="D489" t="s">
        <v>4380</v>
      </c>
      <c r="L489" s="4" t="s">
        <v>1223</v>
      </c>
    </row>
    <row r="490" spans="1:12" x14ac:dyDescent="0.3">
      <c r="A490" t="s">
        <v>521</v>
      </c>
      <c r="B490" t="s">
        <v>6902</v>
      </c>
      <c r="C490" t="s">
        <v>7473</v>
      </c>
      <c r="D490" t="s">
        <v>4380</v>
      </c>
      <c r="L490" s="3" t="s">
        <v>1225</v>
      </c>
    </row>
    <row r="491" spans="1:12" x14ac:dyDescent="0.3">
      <c r="A491" t="s">
        <v>1417</v>
      </c>
      <c r="B491" t="s">
        <v>362</v>
      </c>
      <c r="C491" t="s">
        <v>7473</v>
      </c>
      <c r="D491" t="s">
        <v>8046</v>
      </c>
      <c r="L491" s="4" t="s">
        <v>1227</v>
      </c>
    </row>
    <row r="492" spans="1:12" x14ac:dyDescent="0.3">
      <c r="A492" t="s">
        <v>521</v>
      </c>
      <c r="B492" t="s">
        <v>362</v>
      </c>
      <c r="C492" t="s">
        <v>497</v>
      </c>
      <c r="D492" t="s">
        <v>1417</v>
      </c>
      <c r="L492" s="3" t="s">
        <v>1229</v>
      </c>
    </row>
    <row r="493" spans="1:12" x14ac:dyDescent="0.3">
      <c r="A493" t="s">
        <v>521</v>
      </c>
      <c r="B493" t="s">
        <v>668</v>
      </c>
      <c r="C493" t="s">
        <v>1417</v>
      </c>
      <c r="D493" t="s">
        <v>1417</v>
      </c>
      <c r="L493" s="4" t="s">
        <v>1231</v>
      </c>
    </row>
    <row r="494" spans="1:12" x14ac:dyDescent="0.3">
      <c r="A494" t="s">
        <v>1417</v>
      </c>
      <c r="B494" t="s">
        <v>362</v>
      </c>
      <c r="C494" t="s">
        <v>4843</v>
      </c>
      <c r="D494" t="s">
        <v>4380</v>
      </c>
      <c r="L494" s="3" t="s">
        <v>1233</v>
      </c>
    </row>
    <row r="495" spans="1:12" x14ac:dyDescent="0.3">
      <c r="A495" t="s">
        <v>521</v>
      </c>
      <c r="B495" t="s">
        <v>5138</v>
      </c>
      <c r="C495" t="s">
        <v>8268</v>
      </c>
      <c r="D495" t="s">
        <v>8266</v>
      </c>
      <c r="L495" s="4" t="s">
        <v>1235</v>
      </c>
    </row>
    <row r="496" spans="1:12" x14ac:dyDescent="0.3">
      <c r="A496" t="s">
        <v>362</v>
      </c>
      <c r="B496" t="s">
        <v>4843</v>
      </c>
      <c r="C496" t="s">
        <v>5138</v>
      </c>
      <c r="D496" t="s">
        <v>8268</v>
      </c>
      <c r="L496" s="3" t="s">
        <v>1238</v>
      </c>
    </row>
    <row r="497" spans="1:12" x14ac:dyDescent="0.3">
      <c r="A497" t="s">
        <v>521</v>
      </c>
      <c r="B497" t="s">
        <v>1417</v>
      </c>
      <c r="C497" t="s">
        <v>5138</v>
      </c>
      <c r="D497" t="s">
        <v>5138</v>
      </c>
      <c r="L497" s="4" t="s">
        <v>1240</v>
      </c>
    </row>
    <row r="498" spans="1:12" x14ac:dyDescent="0.3">
      <c r="A498" t="s">
        <v>362</v>
      </c>
      <c r="B498" t="s">
        <v>362</v>
      </c>
      <c r="C498" t="s">
        <v>497</v>
      </c>
      <c r="D498" t="s">
        <v>4380</v>
      </c>
      <c r="L498" s="3" t="s">
        <v>1242</v>
      </c>
    </row>
    <row r="499" spans="1:12" x14ac:dyDescent="0.3">
      <c r="A499" t="s">
        <v>1417</v>
      </c>
      <c r="B499" t="s">
        <v>362</v>
      </c>
      <c r="C499" t="s">
        <v>1417</v>
      </c>
      <c r="D499" t="s">
        <v>1417</v>
      </c>
      <c r="L499" s="4" t="s">
        <v>1244</v>
      </c>
    </row>
    <row r="500" spans="1:12" x14ac:dyDescent="0.3">
      <c r="A500" t="s">
        <v>521</v>
      </c>
      <c r="B500" t="s">
        <v>7104</v>
      </c>
      <c r="C500" t="s">
        <v>5138</v>
      </c>
      <c r="D500" t="s">
        <v>6171</v>
      </c>
      <c r="L500" s="3" t="s">
        <v>1247</v>
      </c>
    </row>
    <row r="501" spans="1:12" x14ac:dyDescent="0.3">
      <c r="A501" t="s">
        <v>521</v>
      </c>
      <c r="B501" t="s">
        <v>1417</v>
      </c>
      <c r="C501" t="s">
        <v>668</v>
      </c>
      <c r="D501" t="s">
        <v>4380</v>
      </c>
      <c r="L501" s="4" t="s">
        <v>1250</v>
      </c>
    </row>
    <row r="502" spans="1:12" x14ac:dyDescent="0.3">
      <c r="A502" t="s">
        <v>362</v>
      </c>
      <c r="B502" t="s">
        <v>4843</v>
      </c>
      <c r="C502" t="s">
        <v>4380</v>
      </c>
      <c r="D502" t="s">
        <v>5043</v>
      </c>
      <c r="L502" s="3" t="s">
        <v>1253</v>
      </c>
    </row>
    <row r="503" spans="1:12" x14ac:dyDescent="0.3">
      <c r="A503" t="s">
        <v>521</v>
      </c>
      <c r="B503" t="s">
        <v>362</v>
      </c>
      <c r="C503" t="s">
        <v>5138</v>
      </c>
      <c r="D503" t="s">
        <v>7104</v>
      </c>
      <c r="L503" s="4" t="s">
        <v>1255</v>
      </c>
    </row>
    <row r="504" spans="1:12" x14ac:dyDescent="0.3">
      <c r="A504" t="s">
        <v>521</v>
      </c>
      <c r="B504" t="s">
        <v>668</v>
      </c>
      <c r="C504" t="s">
        <v>668</v>
      </c>
      <c r="D504" t="s">
        <v>4380</v>
      </c>
      <c r="L504" s="3" t="s">
        <v>1257</v>
      </c>
    </row>
    <row r="505" spans="1:12" x14ac:dyDescent="0.3">
      <c r="A505" t="s">
        <v>362</v>
      </c>
      <c r="B505" t="s">
        <v>1417</v>
      </c>
      <c r="C505" t="s">
        <v>668</v>
      </c>
      <c r="D505" t="s">
        <v>5138</v>
      </c>
      <c r="L505" s="4" t="s">
        <v>1259</v>
      </c>
    </row>
    <row r="506" spans="1:12" x14ac:dyDescent="0.3">
      <c r="A506" t="s">
        <v>19</v>
      </c>
      <c r="B506" t="s">
        <v>362</v>
      </c>
      <c r="C506" t="s">
        <v>4380</v>
      </c>
      <c r="D506" t="s">
        <v>4380</v>
      </c>
      <c r="L506" s="3" t="s">
        <v>1262</v>
      </c>
    </row>
    <row r="507" spans="1:12" x14ac:dyDescent="0.3">
      <c r="A507" t="s">
        <v>521</v>
      </c>
      <c r="B507" t="s">
        <v>8268</v>
      </c>
      <c r="C507" t="s">
        <v>8267</v>
      </c>
      <c r="D507" t="s">
        <v>4380</v>
      </c>
      <c r="L507" s="4" t="s">
        <v>1264</v>
      </c>
    </row>
    <row r="508" spans="1:12" x14ac:dyDescent="0.3">
      <c r="A508" t="s">
        <v>521</v>
      </c>
      <c r="B508" t="s">
        <v>4843</v>
      </c>
      <c r="C508" t="s">
        <v>497</v>
      </c>
      <c r="D508" t="s">
        <v>4380</v>
      </c>
      <c r="L508" s="3" t="s">
        <v>1267</v>
      </c>
    </row>
    <row r="509" spans="1:12" x14ac:dyDescent="0.3">
      <c r="A509" t="s">
        <v>4843</v>
      </c>
      <c r="B509" t="s">
        <v>4380</v>
      </c>
      <c r="C509" t="s">
        <v>8046</v>
      </c>
      <c r="D509" t="s">
        <v>7473</v>
      </c>
      <c r="L509" s="4" t="s">
        <v>1269</v>
      </c>
    </row>
    <row r="510" spans="1:12" x14ac:dyDescent="0.3">
      <c r="A510" t="s">
        <v>5524</v>
      </c>
      <c r="B510" t="s">
        <v>4843</v>
      </c>
      <c r="C510" t="s">
        <v>8269</v>
      </c>
      <c r="D510" t="s">
        <v>497</v>
      </c>
      <c r="L510" s="3" t="s">
        <v>1272</v>
      </c>
    </row>
    <row r="511" spans="1:12" x14ac:dyDescent="0.3">
      <c r="A511" t="s">
        <v>362</v>
      </c>
      <c r="B511" t="s">
        <v>668</v>
      </c>
      <c r="C511" t="s">
        <v>668</v>
      </c>
      <c r="D511" t="s">
        <v>4380</v>
      </c>
      <c r="L511" s="4" t="s">
        <v>1276</v>
      </c>
    </row>
    <row r="512" spans="1:12" x14ac:dyDescent="0.3">
      <c r="A512" t="s">
        <v>521</v>
      </c>
      <c r="B512" t="s">
        <v>362</v>
      </c>
      <c r="C512" t="s">
        <v>8267</v>
      </c>
      <c r="D512" t="s">
        <v>4380</v>
      </c>
      <c r="L512" s="3" t="s">
        <v>1278</v>
      </c>
    </row>
    <row r="513" spans="1:12" x14ac:dyDescent="0.3">
      <c r="A513" t="s">
        <v>4843</v>
      </c>
      <c r="B513" t="s">
        <v>668</v>
      </c>
      <c r="C513" t="s">
        <v>7104</v>
      </c>
      <c r="D513" t="s">
        <v>4380</v>
      </c>
      <c r="L513" s="4" t="s">
        <v>1280</v>
      </c>
    </row>
    <row r="514" spans="1:12" x14ac:dyDescent="0.3">
      <c r="A514" t="s">
        <v>8268</v>
      </c>
      <c r="B514" t="s">
        <v>362</v>
      </c>
      <c r="C514" t="s">
        <v>7473</v>
      </c>
      <c r="D514" t="s">
        <v>6902</v>
      </c>
      <c r="L514" s="3" t="s">
        <v>1283</v>
      </c>
    </row>
    <row r="515" spans="1:12" x14ac:dyDescent="0.3">
      <c r="A515" t="s">
        <v>521</v>
      </c>
      <c r="B515" t="s">
        <v>362</v>
      </c>
      <c r="C515" t="s">
        <v>497</v>
      </c>
      <c r="D515" t="s">
        <v>4380</v>
      </c>
      <c r="L515" s="4" t="s">
        <v>1285</v>
      </c>
    </row>
    <row r="516" spans="1:12" x14ac:dyDescent="0.3">
      <c r="A516" t="s">
        <v>668</v>
      </c>
      <c r="B516" t="s">
        <v>4843</v>
      </c>
      <c r="C516" t="s">
        <v>4380</v>
      </c>
      <c r="D516" t="s">
        <v>7473</v>
      </c>
      <c r="L516" s="3" t="s">
        <v>1287</v>
      </c>
    </row>
    <row r="517" spans="1:12" x14ac:dyDescent="0.3">
      <c r="A517" t="s">
        <v>521</v>
      </c>
      <c r="B517" t="s">
        <v>5138</v>
      </c>
      <c r="C517" t="s">
        <v>668</v>
      </c>
      <c r="D517" t="s">
        <v>7104</v>
      </c>
      <c r="L517" s="4" t="s">
        <v>1290</v>
      </c>
    </row>
    <row r="518" spans="1:12" x14ac:dyDescent="0.3">
      <c r="A518" t="s">
        <v>362</v>
      </c>
      <c r="B518" t="s">
        <v>362</v>
      </c>
      <c r="C518" t="s">
        <v>668</v>
      </c>
      <c r="D518" t="s">
        <v>7473</v>
      </c>
      <c r="L518" s="3" t="s">
        <v>1293</v>
      </c>
    </row>
    <row r="519" spans="1:12" x14ac:dyDescent="0.3">
      <c r="A519" t="s">
        <v>5138</v>
      </c>
      <c r="B519" t="s">
        <v>8268</v>
      </c>
      <c r="C519" t="s">
        <v>4380</v>
      </c>
      <c r="D519" t="s">
        <v>8267</v>
      </c>
      <c r="L519" s="4" t="s">
        <v>1296</v>
      </c>
    </row>
    <row r="520" spans="1:12" x14ac:dyDescent="0.3">
      <c r="A520" t="s">
        <v>362</v>
      </c>
      <c r="B520" t="s">
        <v>362</v>
      </c>
      <c r="C520" t="s">
        <v>668</v>
      </c>
      <c r="D520" t="s">
        <v>8267</v>
      </c>
      <c r="L520" s="3" t="s">
        <v>1299</v>
      </c>
    </row>
    <row r="521" spans="1:12" x14ac:dyDescent="0.3">
      <c r="A521" t="s">
        <v>4843</v>
      </c>
      <c r="B521" t="s">
        <v>362</v>
      </c>
      <c r="C521" t="s">
        <v>8269</v>
      </c>
      <c r="D521" t="s">
        <v>7473</v>
      </c>
      <c r="L521" s="4" t="s">
        <v>1302</v>
      </c>
    </row>
    <row r="522" spans="1:12" x14ac:dyDescent="0.3">
      <c r="A522" t="s">
        <v>521</v>
      </c>
      <c r="B522" t="s">
        <v>7473</v>
      </c>
      <c r="C522" t="s">
        <v>7104</v>
      </c>
      <c r="D522" t="s">
        <v>4380</v>
      </c>
      <c r="L522" s="3" t="s">
        <v>1304</v>
      </c>
    </row>
    <row r="523" spans="1:12" x14ac:dyDescent="0.3">
      <c r="A523" t="s">
        <v>4843</v>
      </c>
      <c r="B523" t="s">
        <v>1417</v>
      </c>
      <c r="C523" t="s">
        <v>8268</v>
      </c>
      <c r="D523" t="s">
        <v>4380</v>
      </c>
      <c r="L523" s="4" t="s">
        <v>1307</v>
      </c>
    </row>
    <row r="524" spans="1:12" x14ac:dyDescent="0.3">
      <c r="A524" t="s">
        <v>521</v>
      </c>
      <c r="B524" t="s">
        <v>8266</v>
      </c>
      <c r="C524" t="s">
        <v>497</v>
      </c>
      <c r="D524" t="s">
        <v>7104</v>
      </c>
      <c r="L524" s="3" t="s">
        <v>1309</v>
      </c>
    </row>
    <row r="525" spans="1:12" x14ac:dyDescent="0.3">
      <c r="A525" t="s">
        <v>521</v>
      </c>
      <c r="B525" t="s">
        <v>362</v>
      </c>
      <c r="C525" t="s">
        <v>7473</v>
      </c>
      <c r="D525" t="s">
        <v>7473</v>
      </c>
      <c r="L525" s="4" t="s">
        <v>1312</v>
      </c>
    </row>
    <row r="526" spans="1:12" x14ac:dyDescent="0.3">
      <c r="A526" t="s">
        <v>362</v>
      </c>
      <c r="B526" t="s">
        <v>8266</v>
      </c>
      <c r="C526" t="s">
        <v>8266</v>
      </c>
      <c r="D526" t="s">
        <v>4380</v>
      </c>
      <c r="L526" s="3" t="s">
        <v>1316</v>
      </c>
    </row>
    <row r="527" spans="1:12" x14ac:dyDescent="0.3">
      <c r="A527" t="s">
        <v>1417</v>
      </c>
      <c r="B527" t="s">
        <v>1417</v>
      </c>
      <c r="C527" t="s">
        <v>5138</v>
      </c>
      <c r="D527" t="s">
        <v>4380</v>
      </c>
      <c r="L527" s="4" t="s">
        <v>1318</v>
      </c>
    </row>
    <row r="528" spans="1:12" x14ac:dyDescent="0.3">
      <c r="A528" t="s">
        <v>521</v>
      </c>
      <c r="B528" t="s">
        <v>497</v>
      </c>
      <c r="C528" t="s">
        <v>7104</v>
      </c>
      <c r="D528" t="s">
        <v>1417</v>
      </c>
      <c r="L528" s="3" t="s">
        <v>1320</v>
      </c>
    </row>
    <row r="529" spans="1:12" x14ac:dyDescent="0.3">
      <c r="A529" t="s">
        <v>521</v>
      </c>
      <c r="B529" t="s">
        <v>7104</v>
      </c>
      <c r="C529" t="s">
        <v>8046</v>
      </c>
      <c r="D529" t="s">
        <v>497</v>
      </c>
      <c r="L529" s="4" t="s">
        <v>1322</v>
      </c>
    </row>
    <row r="530" spans="1:12" x14ac:dyDescent="0.3">
      <c r="A530" t="s">
        <v>521</v>
      </c>
      <c r="B530" t="s">
        <v>362</v>
      </c>
      <c r="C530" t="s">
        <v>5138</v>
      </c>
      <c r="D530" t="s">
        <v>4380</v>
      </c>
      <c r="L530" s="3" t="s">
        <v>1324</v>
      </c>
    </row>
    <row r="531" spans="1:12" x14ac:dyDescent="0.3">
      <c r="A531" t="s">
        <v>521</v>
      </c>
      <c r="B531" t="s">
        <v>668</v>
      </c>
      <c r="C531" t="s">
        <v>497</v>
      </c>
      <c r="D531" t="s">
        <v>497</v>
      </c>
      <c r="L531" s="4" t="s">
        <v>1326</v>
      </c>
    </row>
    <row r="532" spans="1:12" x14ac:dyDescent="0.3">
      <c r="A532" t="s">
        <v>668</v>
      </c>
      <c r="B532" t="s">
        <v>4843</v>
      </c>
      <c r="C532" t="s">
        <v>7473</v>
      </c>
      <c r="D532" t="s">
        <v>5138</v>
      </c>
      <c r="L532" s="3" t="s">
        <v>1328</v>
      </c>
    </row>
    <row r="533" spans="1:12" x14ac:dyDescent="0.3">
      <c r="A533" t="s">
        <v>668</v>
      </c>
      <c r="B533" t="s">
        <v>5043</v>
      </c>
      <c r="C533" t="s">
        <v>5138</v>
      </c>
      <c r="D533" t="s">
        <v>4380</v>
      </c>
      <c r="L533" s="4" t="s">
        <v>1331</v>
      </c>
    </row>
    <row r="534" spans="1:12" x14ac:dyDescent="0.3">
      <c r="A534" t="s">
        <v>2701</v>
      </c>
      <c r="B534" t="s">
        <v>1417</v>
      </c>
      <c r="C534" t="s">
        <v>497</v>
      </c>
      <c r="D534" t="s">
        <v>8266</v>
      </c>
      <c r="L534" s="3" t="s">
        <v>1333</v>
      </c>
    </row>
    <row r="535" spans="1:12" x14ac:dyDescent="0.3">
      <c r="A535" t="s">
        <v>521</v>
      </c>
      <c r="B535" t="s">
        <v>8268</v>
      </c>
      <c r="C535" t="s">
        <v>497</v>
      </c>
      <c r="D535" t="s">
        <v>8268</v>
      </c>
      <c r="L535" s="4" t="s">
        <v>1335</v>
      </c>
    </row>
    <row r="536" spans="1:12" x14ac:dyDescent="0.3">
      <c r="A536" t="s">
        <v>8268</v>
      </c>
      <c r="B536" t="s">
        <v>8046</v>
      </c>
      <c r="C536" t="s">
        <v>1417</v>
      </c>
      <c r="D536" t="s">
        <v>7104</v>
      </c>
      <c r="L536" s="3" t="s">
        <v>1338</v>
      </c>
    </row>
    <row r="537" spans="1:12" x14ac:dyDescent="0.3">
      <c r="A537" t="s">
        <v>668</v>
      </c>
      <c r="B537" t="s">
        <v>1417</v>
      </c>
      <c r="C537" t="s">
        <v>668</v>
      </c>
      <c r="D537" t="s">
        <v>4380</v>
      </c>
      <c r="L537" s="4" t="s">
        <v>1340</v>
      </c>
    </row>
    <row r="538" spans="1:12" x14ac:dyDescent="0.3">
      <c r="A538" t="s">
        <v>668</v>
      </c>
      <c r="B538" t="s">
        <v>668</v>
      </c>
      <c r="C538" t="s">
        <v>2701</v>
      </c>
      <c r="D538" t="s">
        <v>1417</v>
      </c>
      <c r="L538" s="3" t="s">
        <v>1343</v>
      </c>
    </row>
    <row r="539" spans="1:12" x14ac:dyDescent="0.3">
      <c r="A539" t="s">
        <v>1417</v>
      </c>
      <c r="B539" t="s">
        <v>362</v>
      </c>
      <c r="C539" t="s">
        <v>668</v>
      </c>
      <c r="D539" t="s">
        <v>8269</v>
      </c>
      <c r="L539" s="4" t="s">
        <v>1346</v>
      </c>
    </row>
    <row r="540" spans="1:12" x14ac:dyDescent="0.3">
      <c r="A540" t="s">
        <v>668</v>
      </c>
      <c r="B540" t="s">
        <v>1417</v>
      </c>
      <c r="C540" t="s">
        <v>2701</v>
      </c>
      <c r="D540" t="s">
        <v>6902</v>
      </c>
      <c r="L540" s="3" t="s">
        <v>1348</v>
      </c>
    </row>
    <row r="541" spans="1:12" x14ac:dyDescent="0.3">
      <c r="A541" t="s">
        <v>521</v>
      </c>
      <c r="B541" t="s">
        <v>668</v>
      </c>
      <c r="C541" t="s">
        <v>6902</v>
      </c>
      <c r="D541" t="s">
        <v>5138</v>
      </c>
      <c r="L541" s="4" t="s">
        <v>1351</v>
      </c>
    </row>
    <row r="542" spans="1:12" x14ac:dyDescent="0.3">
      <c r="A542" t="s">
        <v>5524</v>
      </c>
      <c r="B542" t="s">
        <v>8268</v>
      </c>
      <c r="C542" t="s">
        <v>4380</v>
      </c>
      <c r="D542" t="s">
        <v>4380</v>
      </c>
      <c r="L542" s="3" t="s">
        <v>1354</v>
      </c>
    </row>
    <row r="543" spans="1:12" x14ac:dyDescent="0.3">
      <c r="A543" t="s">
        <v>362</v>
      </c>
      <c r="B543" t="s">
        <v>362</v>
      </c>
      <c r="C543" t="s">
        <v>8267</v>
      </c>
      <c r="D543" t="s">
        <v>4380</v>
      </c>
      <c r="L543" s="4" t="s">
        <v>1357</v>
      </c>
    </row>
    <row r="544" spans="1:12" x14ac:dyDescent="0.3">
      <c r="A544" t="s">
        <v>1417</v>
      </c>
      <c r="B544" t="s">
        <v>8046</v>
      </c>
      <c r="C544" t="s">
        <v>5138</v>
      </c>
      <c r="D544" t="s">
        <v>1417</v>
      </c>
      <c r="L544" s="3" t="s">
        <v>1359</v>
      </c>
    </row>
    <row r="545" spans="1:12" x14ac:dyDescent="0.3">
      <c r="A545" t="s">
        <v>8268</v>
      </c>
      <c r="B545" t="s">
        <v>1417</v>
      </c>
      <c r="C545" t="s">
        <v>1417</v>
      </c>
      <c r="D545" t="s">
        <v>7473</v>
      </c>
      <c r="L545" s="4" t="s">
        <v>1361</v>
      </c>
    </row>
    <row r="546" spans="1:12" x14ac:dyDescent="0.3">
      <c r="A546" t="s">
        <v>668</v>
      </c>
      <c r="B546" t="s">
        <v>8268</v>
      </c>
      <c r="C546" t="s">
        <v>4843</v>
      </c>
      <c r="D546" t="s">
        <v>4380</v>
      </c>
      <c r="L546" s="3" t="s">
        <v>1364</v>
      </c>
    </row>
    <row r="547" spans="1:12" x14ac:dyDescent="0.3">
      <c r="A547" t="s">
        <v>1417</v>
      </c>
      <c r="B547" t="s">
        <v>362</v>
      </c>
      <c r="C547" t="s">
        <v>7104</v>
      </c>
      <c r="D547" t="s">
        <v>4380</v>
      </c>
      <c r="L547" s="4" t="s">
        <v>1366</v>
      </c>
    </row>
    <row r="548" spans="1:12" x14ac:dyDescent="0.3">
      <c r="A548" t="s">
        <v>521</v>
      </c>
      <c r="B548" t="s">
        <v>668</v>
      </c>
      <c r="C548" t="s">
        <v>1417</v>
      </c>
      <c r="D548" t="s">
        <v>4380</v>
      </c>
      <c r="L548" s="3" t="s">
        <v>1368</v>
      </c>
    </row>
    <row r="549" spans="1:12" x14ac:dyDescent="0.3">
      <c r="A549" t="s">
        <v>521</v>
      </c>
      <c r="B549" t="s">
        <v>1417</v>
      </c>
      <c r="C549" t="s">
        <v>8266</v>
      </c>
      <c r="D549" t="s">
        <v>4380</v>
      </c>
      <c r="L549" s="4" t="s">
        <v>1370</v>
      </c>
    </row>
    <row r="550" spans="1:12" x14ac:dyDescent="0.3">
      <c r="A550" t="s">
        <v>521</v>
      </c>
      <c r="B550" t="s">
        <v>2701</v>
      </c>
      <c r="C550" t="s">
        <v>4380</v>
      </c>
      <c r="D550" t="s">
        <v>497</v>
      </c>
      <c r="L550" s="3" t="s">
        <v>1372</v>
      </c>
    </row>
    <row r="551" spans="1:12" x14ac:dyDescent="0.3">
      <c r="A551" t="s">
        <v>668</v>
      </c>
      <c r="B551" t="s">
        <v>668</v>
      </c>
      <c r="C551" t="s">
        <v>8266</v>
      </c>
      <c r="D551" t="s">
        <v>7473</v>
      </c>
      <c r="L551" s="4" t="s">
        <v>1374</v>
      </c>
    </row>
    <row r="552" spans="1:12" x14ac:dyDescent="0.3">
      <c r="A552" t="s">
        <v>4843</v>
      </c>
      <c r="B552" t="s">
        <v>362</v>
      </c>
      <c r="C552" t="s">
        <v>497</v>
      </c>
      <c r="D552" t="s">
        <v>7104</v>
      </c>
      <c r="L552" s="3" t="s">
        <v>1377</v>
      </c>
    </row>
    <row r="553" spans="1:12" x14ac:dyDescent="0.3">
      <c r="A553" t="s">
        <v>668</v>
      </c>
      <c r="B553" t="s">
        <v>8266</v>
      </c>
      <c r="C553" t="s">
        <v>4380</v>
      </c>
      <c r="D553" t="s">
        <v>8267</v>
      </c>
      <c r="L553" s="4" t="s">
        <v>1379</v>
      </c>
    </row>
    <row r="554" spans="1:12" x14ac:dyDescent="0.3">
      <c r="A554" t="s">
        <v>521</v>
      </c>
      <c r="B554" t="s">
        <v>4843</v>
      </c>
      <c r="C554" t="s">
        <v>497</v>
      </c>
      <c r="D554" t="s">
        <v>7104</v>
      </c>
      <c r="L554" s="3" t="s">
        <v>1381</v>
      </c>
    </row>
    <row r="555" spans="1:12" x14ac:dyDescent="0.3">
      <c r="A555" t="s">
        <v>1417</v>
      </c>
      <c r="B555" t="s">
        <v>497</v>
      </c>
      <c r="C555" t="s">
        <v>4380</v>
      </c>
      <c r="D555" t="s">
        <v>4380</v>
      </c>
      <c r="L555" s="4" t="s">
        <v>1384</v>
      </c>
    </row>
    <row r="556" spans="1:12" x14ac:dyDescent="0.3">
      <c r="A556" t="s">
        <v>521</v>
      </c>
      <c r="B556" t="s">
        <v>8266</v>
      </c>
      <c r="C556" t="s">
        <v>7104</v>
      </c>
      <c r="D556" t="s">
        <v>6171</v>
      </c>
      <c r="L556" s="3" t="s">
        <v>1387</v>
      </c>
    </row>
    <row r="557" spans="1:12" x14ac:dyDescent="0.3">
      <c r="A557" t="s">
        <v>521</v>
      </c>
      <c r="B557" t="s">
        <v>8266</v>
      </c>
      <c r="C557" t="s">
        <v>8268</v>
      </c>
      <c r="D557" t="s">
        <v>7473</v>
      </c>
      <c r="L557" s="4" t="s">
        <v>1390</v>
      </c>
    </row>
    <row r="558" spans="1:12" x14ac:dyDescent="0.3">
      <c r="A558" t="s">
        <v>521</v>
      </c>
      <c r="B558" t="s">
        <v>4843</v>
      </c>
      <c r="C558" t="s">
        <v>8046</v>
      </c>
      <c r="D558" t="s">
        <v>4380</v>
      </c>
      <c r="L558" s="3" t="s">
        <v>1392</v>
      </c>
    </row>
    <row r="559" spans="1:12" x14ac:dyDescent="0.3">
      <c r="A559" t="s">
        <v>521</v>
      </c>
      <c r="B559" t="s">
        <v>362</v>
      </c>
      <c r="C559" t="s">
        <v>497</v>
      </c>
      <c r="D559" t="s">
        <v>7473</v>
      </c>
      <c r="L559" s="4" t="s">
        <v>1395</v>
      </c>
    </row>
    <row r="560" spans="1:12" x14ac:dyDescent="0.3">
      <c r="A560" t="s">
        <v>521</v>
      </c>
      <c r="B560" t="s">
        <v>1417</v>
      </c>
      <c r="C560" t="s">
        <v>4380</v>
      </c>
      <c r="D560" t="s">
        <v>7473</v>
      </c>
      <c r="L560" s="3" t="s">
        <v>1397</v>
      </c>
    </row>
    <row r="561" spans="1:12" x14ac:dyDescent="0.3">
      <c r="A561" t="s">
        <v>1417</v>
      </c>
      <c r="B561" t="s">
        <v>1417</v>
      </c>
      <c r="C561" t="s">
        <v>8046</v>
      </c>
      <c r="D561" t="s">
        <v>8269</v>
      </c>
      <c r="L561" s="4" t="s">
        <v>1399</v>
      </c>
    </row>
    <row r="562" spans="1:12" x14ac:dyDescent="0.3">
      <c r="A562" t="s">
        <v>4843</v>
      </c>
      <c r="B562" t="s">
        <v>668</v>
      </c>
      <c r="C562" t="s">
        <v>4380</v>
      </c>
      <c r="D562" t="s">
        <v>497</v>
      </c>
      <c r="L562" s="3" t="s">
        <v>1401</v>
      </c>
    </row>
    <row r="563" spans="1:12" x14ac:dyDescent="0.3">
      <c r="A563" t="s">
        <v>521</v>
      </c>
      <c r="B563" t="s">
        <v>7104</v>
      </c>
      <c r="C563" t="s">
        <v>2701</v>
      </c>
      <c r="D563" t="s">
        <v>8269</v>
      </c>
      <c r="L563" s="4" t="s">
        <v>1403</v>
      </c>
    </row>
    <row r="564" spans="1:12" x14ac:dyDescent="0.3">
      <c r="A564" t="s">
        <v>1417</v>
      </c>
      <c r="B564" t="s">
        <v>1417</v>
      </c>
      <c r="C564" t="s">
        <v>7473</v>
      </c>
      <c r="D564" t="s">
        <v>7104</v>
      </c>
      <c r="L564" s="3" t="s">
        <v>1405</v>
      </c>
    </row>
    <row r="565" spans="1:12" x14ac:dyDescent="0.3">
      <c r="A565" t="s">
        <v>521</v>
      </c>
      <c r="B565" t="s">
        <v>1417</v>
      </c>
      <c r="C565" t="s">
        <v>5138</v>
      </c>
      <c r="D565" t="s">
        <v>7473</v>
      </c>
      <c r="L565" s="4" t="s">
        <v>1408</v>
      </c>
    </row>
    <row r="566" spans="1:12" x14ac:dyDescent="0.3">
      <c r="A566" t="s">
        <v>521</v>
      </c>
      <c r="B566" t="s">
        <v>4843</v>
      </c>
      <c r="C566" t="s">
        <v>497</v>
      </c>
      <c r="D566" t="s">
        <v>4380</v>
      </c>
      <c r="L566" s="3" t="s">
        <v>1411</v>
      </c>
    </row>
    <row r="567" spans="1:12" x14ac:dyDescent="0.3">
      <c r="A567" t="s">
        <v>8268</v>
      </c>
      <c r="B567" t="s">
        <v>7473</v>
      </c>
      <c r="C567" t="s">
        <v>8269</v>
      </c>
      <c r="D567" t="s">
        <v>7104</v>
      </c>
      <c r="L567" s="4" t="s">
        <v>1413</v>
      </c>
    </row>
    <row r="568" spans="1:12" x14ac:dyDescent="0.3">
      <c r="A568" t="s">
        <v>1417</v>
      </c>
      <c r="B568" t="s">
        <v>1417</v>
      </c>
      <c r="C568" t="s">
        <v>1417</v>
      </c>
      <c r="D568" t="s">
        <v>4380</v>
      </c>
      <c r="L568" s="3" t="s">
        <v>1415</v>
      </c>
    </row>
    <row r="569" spans="1:12" x14ac:dyDescent="0.3">
      <c r="A569" t="s">
        <v>521</v>
      </c>
      <c r="B569" t="s">
        <v>1417</v>
      </c>
      <c r="C569" t="s">
        <v>7473</v>
      </c>
      <c r="D569" t="s">
        <v>4380</v>
      </c>
      <c r="L569" s="4" t="s">
        <v>1418</v>
      </c>
    </row>
    <row r="570" spans="1:12" x14ac:dyDescent="0.3">
      <c r="A570" t="s">
        <v>521</v>
      </c>
      <c r="B570" t="s">
        <v>8266</v>
      </c>
      <c r="C570" t="s">
        <v>668</v>
      </c>
      <c r="D570" t="s">
        <v>497</v>
      </c>
      <c r="L570" s="3" t="s">
        <v>1421</v>
      </c>
    </row>
    <row r="571" spans="1:12" x14ac:dyDescent="0.3">
      <c r="A571" t="s">
        <v>668</v>
      </c>
      <c r="B571" t="s">
        <v>7104</v>
      </c>
      <c r="C571" t="s">
        <v>5138</v>
      </c>
      <c r="D571" t="s">
        <v>6902</v>
      </c>
      <c r="L571" s="4" t="s">
        <v>1423</v>
      </c>
    </row>
    <row r="572" spans="1:12" x14ac:dyDescent="0.3">
      <c r="A572" t="s">
        <v>521</v>
      </c>
      <c r="B572" t="s">
        <v>5138</v>
      </c>
      <c r="C572" t="s">
        <v>8046</v>
      </c>
      <c r="D572" t="s">
        <v>4380</v>
      </c>
      <c r="L572" s="3" t="s">
        <v>1426</v>
      </c>
    </row>
    <row r="573" spans="1:12" x14ac:dyDescent="0.3">
      <c r="A573" t="s">
        <v>521</v>
      </c>
      <c r="B573" t="s">
        <v>4843</v>
      </c>
      <c r="C573" t="s">
        <v>8046</v>
      </c>
      <c r="D573" t="s">
        <v>6902</v>
      </c>
      <c r="L573" s="4" t="s">
        <v>1429</v>
      </c>
    </row>
    <row r="574" spans="1:12" x14ac:dyDescent="0.3">
      <c r="A574" t="s">
        <v>668</v>
      </c>
      <c r="B574" t="s">
        <v>4843</v>
      </c>
      <c r="C574" t="s">
        <v>497</v>
      </c>
      <c r="D574" t="s">
        <v>8267</v>
      </c>
      <c r="L574" s="3" t="s">
        <v>1431</v>
      </c>
    </row>
    <row r="575" spans="1:12" x14ac:dyDescent="0.3">
      <c r="A575" t="s">
        <v>5524</v>
      </c>
      <c r="B575" t="s">
        <v>7473</v>
      </c>
      <c r="C575" t="s">
        <v>7473</v>
      </c>
      <c r="D575" t="s">
        <v>497</v>
      </c>
      <c r="L575" s="4" t="s">
        <v>1433</v>
      </c>
    </row>
    <row r="576" spans="1:12" x14ac:dyDescent="0.3">
      <c r="A576" t="s">
        <v>521</v>
      </c>
      <c r="B576" t="s">
        <v>362</v>
      </c>
      <c r="C576" t="s">
        <v>7473</v>
      </c>
      <c r="D576" t="s">
        <v>5043</v>
      </c>
      <c r="L576" s="3" t="s">
        <v>1436</v>
      </c>
    </row>
    <row r="577" spans="1:12" x14ac:dyDescent="0.3">
      <c r="A577" t="s">
        <v>362</v>
      </c>
      <c r="B577" t="s">
        <v>4843</v>
      </c>
      <c r="C577" t="s">
        <v>668</v>
      </c>
      <c r="D577" t="s">
        <v>4380</v>
      </c>
      <c r="L577" s="4" t="s">
        <v>1438</v>
      </c>
    </row>
    <row r="578" spans="1:12" x14ac:dyDescent="0.3">
      <c r="A578" t="s">
        <v>1417</v>
      </c>
      <c r="B578" t="s">
        <v>4380</v>
      </c>
      <c r="C578" t="s">
        <v>8267</v>
      </c>
      <c r="D578" t="s">
        <v>4380</v>
      </c>
      <c r="L578" s="3" t="s">
        <v>1441</v>
      </c>
    </row>
    <row r="579" spans="1:12" x14ac:dyDescent="0.3">
      <c r="A579" t="s">
        <v>521</v>
      </c>
      <c r="B579" t="s">
        <v>1417</v>
      </c>
      <c r="C579" t="s">
        <v>4380</v>
      </c>
      <c r="D579" t="s">
        <v>7473</v>
      </c>
      <c r="L579" s="4" t="s">
        <v>1444</v>
      </c>
    </row>
    <row r="580" spans="1:12" x14ac:dyDescent="0.3">
      <c r="A580" t="s">
        <v>362</v>
      </c>
      <c r="B580" t="s">
        <v>668</v>
      </c>
      <c r="C580" t="s">
        <v>4380</v>
      </c>
      <c r="D580" t="s">
        <v>4380</v>
      </c>
      <c r="L580" s="3" t="s">
        <v>1446</v>
      </c>
    </row>
    <row r="581" spans="1:12" x14ac:dyDescent="0.3">
      <c r="A581" t="s">
        <v>1417</v>
      </c>
      <c r="B581" t="s">
        <v>362</v>
      </c>
      <c r="C581" t="s">
        <v>4380</v>
      </c>
      <c r="D581" t="s">
        <v>4380</v>
      </c>
      <c r="L581" s="4" t="s">
        <v>1448</v>
      </c>
    </row>
    <row r="582" spans="1:12" x14ac:dyDescent="0.3">
      <c r="A582" t="s">
        <v>668</v>
      </c>
      <c r="B582" t="s">
        <v>4380</v>
      </c>
      <c r="C582" t="s">
        <v>497</v>
      </c>
      <c r="D582" t="s">
        <v>1417</v>
      </c>
      <c r="L582" s="3" t="s">
        <v>1451</v>
      </c>
    </row>
    <row r="583" spans="1:12" x14ac:dyDescent="0.3">
      <c r="A583" t="s">
        <v>1417</v>
      </c>
      <c r="B583" t="s">
        <v>362</v>
      </c>
      <c r="C583" t="s">
        <v>4380</v>
      </c>
      <c r="D583" t="s">
        <v>4380</v>
      </c>
      <c r="L583" s="4" t="s">
        <v>1453</v>
      </c>
    </row>
    <row r="584" spans="1:12" x14ac:dyDescent="0.3">
      <c r="A584" t="s">
        <v>362</v>
      </c>
      <c r="B584" t="s">
        <v>1417</v>
      </c>
      <c r="C584" t="s">
        <v>4380</v>
      </c>
      <c r="D584" t="s">
        <v>7473</v>
      </c>
      <c r="L584" s="3" t="s">
        <v>1455</v>
      </c>
    </row>
    <row r="585" spans="1:12" x14ac:dyDescent="0.3">
      <c r="A585" t="s">
        <v>362</v>
      </c>
      <c r="B585" t="s">
        <v>8266</v>
      </c>
      <c r="C585" t="s">
        <v>7104</v>
      </c>
      <c r="D585" t="s">
        <v>4380</v>
      </c>
      <c r="L585" s="4" t="s">
        <v>1458</v>
      </c>
    </row>
    <row r="586" spans="1:12" x14ac:dyDescent="0.3">
      <c r="A586" t="s">
        <v>668</v>
      </c>
      <c r="B586" t="s">
        <v>497</v>
      </c>
      <c r="C586" t="s">
        <v>1417</v>
      </c>
      <c r="D586" t="s">
        <v>5043</v>
      </c>
      <c r="L586" s="3" t="s">
        <v>1461</v>
      </c>
    </row>
    <row r="587" spans="1:12" x14ac:dyDescent="0.3">
      <c r="A587" t="s">
        <v>521</v>
      </c>
      <c r="B587" t="s">
        <v>2701</v>
      </c>
      <c r="C587" t="s">
        <v>7473</v>
      </c>
      <c r="D587" t="s">
        <v>8268</v>
      </c>
      <c r="L587" s="4" t="s">
        <v>1463</v>
      </c>
    </row>
    <row r="588" spans="1:12" x14ac:dyDescent="0.3">
      <c r="A588" t="s">
        <v>362</v>
      </c>
      <c r="B588" t="s">
        <v>668</v>
      </c>
      <c r="C588" t="s">
        <v>497</v>
      </c>
      <c r="D588" t="s">
        <v>4380</v>
      </c>
      <c r="L588" s="3" t="s">
        <v>1465</v>
      </c>
    </row>
    <row r="589" spans="1:12" x14ac:dyDescent="0.3">
      <c r="A589" t="s">
        <v>8268</v>
      </c>
      <c r="B589" t="s">
        <v>1417</v>
      </c>
      <c r="C589" t="s">
        <v>8269</v>
      </c>
      <c r="D589" t="s">
        <v>7473</v>
      </c>
      <c r="L589" s="4" t="s">
        <v>1468</v>
      </c>
    </row>
    <row r="590" spans="1:12" x14ac:dyDescent="0.3">
      <c r="A590" t="s">
        <v>362</v>
      </c>
      <c r="B590" t="s">
        <v>4380</v>
      </c>
      <c r="C590" t="s">
        <v>5138</v>
      </c>
      <c r="D590" t="s">
        <v>4380</v>
      </c>
      <c r="L590" s="3" t="s">
        <v>1470</v>
      </c>
    </row>
    <row r="591" spans="1:12" x14ac:dyDescent="0.3">
      <c r="A591" t="s">
        <v>362</v>
      </c>
      <c r="B591" t="s">
        <v>362</v>
      </c>
      <c r="C591" t="s">
        <v>4380</v>
      </c>
      <c r="D591" t="s">
        <v>4380</v>
      </c>
      <c r="L591" s="4" t="s">
        <v>1472</v>
      </c>
    </row>
    <row r="592" spans="1:12" x14ac:dyDescent="0.3">
      <c r="A592" t="s">
        <v>521</v>
      </c>
      <c r="B592" t="s">
        <v>5138</v>
      </c>
      <c r="C592" t="s">
        <v>1417</v>
      </c>
      <c r="D592" t="s">
        <v>4380</v>
      </c>
      <c r="L592" s="3" t="s">
        <v>1474</v>
      </c>
    </row>
    <row r="593" spans="1:12" x14ac:dyDescent="0.3">
      <c r="A593" t="s">
        <v>521</v>
      </c>
      <c r="B593" t="s">
        <v>1417</v>
      </c>
      <c r="C593" t="s">
        <v>4380</v>
      </c>
      <c r="D593" t="s">
        <v>5138</v>
      </c>
      <c r="L593" s="4" t="s">
        <v>1476</v>
      </c>
    </row>
    <row r="594" spans="1:12" x14ac:dyDescent="0.3">
      <c r="A594" t="s">
        <v>521</v>
      </c>
      <c r="B594" t="s">
        <v>2701</v>
      </c>
      <c r="C594" t="s">
        <v>668</v>
      </c>
      <c r="D594" t="s">
        <v>4380</v>
      </c>
      <c r="L594" s="3" t="s">
        <v>1478</v>
      </c>
    </row>
    <row r="595" spans="1:12" x14ac:dyDescent="0.3">
      <c r="A595" t="s">
        <v>362</v>
      </c>
      <c r="B595" t="s">
        <v>8269</v>
      </c>
      <c r="C595" t="s">
        <v>8266</v>
      </c>
      <c r="D595" t="s">
        <v>497</v>
      </c>
      <c r="L595" s="4" t="s">
        <v>1481</v>
      </c>
    </row>
    <row r="596" spans="1:12" x14ac:dyDescent="0.3">
      <c r="A596" t="s">
        <v>497</v>
      </c>
      <c r="B596" t="s">
        <v>8269</v>
      </c>
      <c r="C596" t="s">
        <v>668</v>
      </c>
      <c r="D596" t="s">
        <v>8266</v>
      </c>
      <c r="L596" s="3" t="s">
        <v>1483</v>
      </c>
    </row>
    <row r="597" spans="1:12" x14ac:dyDescent="0.3">
      <c r="A597" t="s">
        <v>1417</v>
      </c>
      <c r="B597" t="s">
        <v>1417</v>
      </c>
      <c r="C597" t="s">
        <v>5138</v>
      </c>
      <c r="D597" t="s">
        <v>4380</v>
      </c>
      <c r="L597" s="4" t="s">
        <v>1486</v>
      </c>
    </row>
    <row r="598" spans="1:12" x14ac:dyDescent="0.3">
      <c r="A598" t="s">
        <v>521</v>
      </c>
      <c r="B598" t="s">
        <v>1417</v>
      </c>
      <c r="C598" t="s">
        <v>497</v>
      </c>
      <c r="D598" t="s">
        <v>4380</v>
      </c>
      <c r="L598" s="3" t="s">
        <v>1489</v>
      </c>
    </row>
    <row r="599" spans="1:12" x14ac:dyDescent="0.3">
      <c r="A599" t="s">
        <v>4843</v>
      </c>
      <c r="B599" t="s">
        <v>4380</v>
      </c>
      <c r="C599" t="s">
        <v>4380</v>
      </c>
      <c r="D599" t="s">
        <v>7473</v>
      </c>
      <c r="L599" s="4" t="s">
        <v>1491</v>
      </c>
    </row>
    <row r="600" spans="1:12" x14ac:dyDescent="0.3">
      <c r="A600" t="s">
        <v>521</v>
      </c>
      <c r="B600" t="s">
        <v>7104</v>
      </c>
      <c r="C600" t="s">
        <v>7473</v>
      </c>
      <c r="D600" t="s">
        <v>7473</v>
      </c>
      <c r="L600" s="3" t="s">
        <v>1494</v>
      </c>
    </row>
    <row r="601" spans="1:12" x14ac:dyDescent="0.3">
      <c r="A601" t="s">
        <v>521</v>
      </c>
      <c r="B601" t="s">
        <v>5524</v>
      </c>
      <c r="C601" t="s">
        <v>1417</v>
      </c>
      <c r="D601" t="s">
        <v>4380</v>
      </c>
      <c r="L601" s="4" t="s">
        <v>1496</v>
      </c>
    </row>
    <row r="602" spans="1:12" x14ac:dyDescent="0.3">
      <c r="A602" t="s">
        <v>521</v>
      </c>
      <c r="B602" t="s">
        <v>1417</v>
      </c>
      <c r="C602" t="s">
        <v>497</v>
      </c>
      <c r="D602" t="s">
        <v>497</v>
      </c>
      <c r="L602" s="3" t="s">
        <v>1498</v>
      </c>
    </row>
    <row r="603" spans="1:12" x14ac:dyDescent="0.3">
      <c r="A603" t="s">
        <v>521</v>
      </c>
      <c r="B603" t="s">
        <v>362</v>
      </c>
      <c r="C603" t="s">
        <v>8268</v>
      </c>
      <c r="D603" t="s">
        <v>497</v>
      </c>
      <c r="L603" s="4" t="s">
        <v>1500</v>
      </c>
    </row>
    <row r="604" spans="1:12" x14ac:dyDescent="0.3">
      <c r="A604" t="s">
        <v>362</v>
      </c>
      <c r="B604" t="s">
        <v>362</v>
      </c>
      <c r="C604" t="s">
        <v>668</v>
      </c>
      <c r="D604" t="s">
        <v>5138</v>
      </c>
      <c r="L604" s="3" t="s">
        <v>1502</v>
      </c>
    </row>
    <row r="605" spans="1:12" x14ac:dyDescent="0.3">
      <c r="A605" t="s">
        <v>1417</v>
      </c>
      <c r="B605" t="s">
        <v>362</v>
      </c>
      <c r="C605" t="s">
        <v>4380</v>
      </c>
      <c r="D605" t="s">
        <v>2701</v>
      </c>
      <c r="L605" s="4" t="s">
        <v>1505</v>
      </c>
    </row>
    <row r="606" spans="1:12" x14ac:dyDescent="0.3">
      <c r="A606" t="s">
        <v>1417</v>
      </c>
      <c r="B606" t="s">
        <v>497</v>
      </c>
      <c r="C606" t="s">
        <v>8268</v>
      </c>
      <c r="D606" t="s">
        <v>4380</v>
      </c>
      <c r="L606" s="3" t="s">
        <v>1507</v>
      </c>
    </row>
    <row r="607" spans="1:12" x14ac:dyDescent="0.3">
      <c r="A607" t="s">
        <v>1417</v>
      </c>
      <c r="B607" t="s">
        <v>1417</v>
      </c>
      <c r="C607" t="s">
        <v>1417</v>
      </c>
      <c r="D607" t="s">
        <v>8267</v>
      </c>
      <c r="L607" s="4" t="s">
        <v>1509</v>
      </c>
    </row>
    <row r="608" spans="1:12" x14ac:dyDescent="0.3">
      <c r="A608" t="s">
        <v>362</v>
      </c>
      <c r="B608" t="s">
        <v>8269</v>
      </c>
      <c r="C608" t="s">
        <v>1417</v>
      </c>
      <c r="D608" t="s">
        <v>8046</v>
      </c>
      <c r="L608" s="3" t="s">
        <v>1512</v>
      </c>
    </row>
    <row r="609" spans="1:12" x14ac:dyDescent="0.3">
      <c r="A609" t="s">
        <v>1417</v>
      </c>
      <c r="B609" t="s">
        <v>8268</v>
      </c>
      <c r="C609" t="s">
        <v>7473</v>
      </c>
      <c r="D609" t="s">
        <v>7104</v>
      </c>
      <c r="L609" s="4" t="s">
        <v>1514</v>
      </c>
    </row>
    <row r="610" spans="1:12" x14ac:dyDescent="0.3">
      <c r="A610" t="s">
        <v>521</v>
      </c>
      <c r="B610" t="s">
        <v>5138</v>
      </c>
      <c r="C610" t="s">
        <v>8267</v>
      </c>
      <c r="D610" t="s">
        <v>5138</v>
      </c>
      <c r="L610" s="3" t="s">
        <v>1516</v>
      </c>
    </row>
    <row r="611" spans="1:12" x14ac:dyDescent="0.3">
      <c r="A611" t="s">
        <v>521</v>
      </c>
      <c r="B611" t="s">
        <v>8268</v>
      </c>
      <c r="C611" t="s">
        <v>8268</v>
      </c>
      <c r="D611" t="s">
        <v>497</v>
      </c>
      <c r="L611" s="4" t="s">
        <v>1518</v>
      </c>
    </row>
    <row r="612" spans="1:12" x14ac:dyDescent="0.3">
      <c r="A612" t="s">
        <v>362</v>
      </c>
      <c r="B612" t="s">
        <v>8268</v>
      </c>
      <c r="C612" t="s">
        <v>8266</v>
      </c>
      <c r="D612" t="s">
        <v>4380</v>
      </c>
      <c r="L612" s="3" t="s">
        <v>1520</v>
      </c>
    </row>
    <row r="613" spans="1:12" x14ac:dyDescent="0.3">
      <c r="A613" t="s">
        <v>362</v>
      </c>
      <c r="B613" t="s">
        <v>362</v>
      </c>
      <c r="C613" t="s">
        <v>668</v>
      </c>
      <c r="D613" t="s">
        <v>4380</v>
      </c>
      <c r="L613" s="4" t="s">
        <v>1522</v>
      </c>
    </row>
    <row r="614" spans="1:12" x14ac:dyDescent="0.3">
      <c r="A614" t="s">
        <v>668</v>
      </c>
      <c r="B614" t="s">
        <v>4843</v>
      </c>
      <c r="C614" t="s">
        <v>497</v>
      </c>
      <c r="D614" t="s">
        <v>5138</v>
      </c>
      <c r="L614" s="3" t="s">
        <v>1524</v>
      </c>
    </row>
    <row r="615" spans="1:12" x14ac:dyDescent="0.3">
      <c r="A615" t="s">
        <v>521</v>
      </c>
      <c r="B615" t="s">
        <v>8268</v>
      </c>
      <c r="C615" t="s">
        <v>7104</v>
      </c>
      <c r="D615" t="s">
        <v>7473</v>
      </c>
      <c r="L615" s="4" t="s">
        <v>1526</v>
      </c>
    </row>
    <row r="616" spans="1:12" x14ac:dyDescent="0.3">
      <c r="A616" t="s">
        <v>521</v>
      </c>
      <c r="B616" t="s">
        <v>362</v>
      </c>
      <c r="C616" t="s">
        <v>497</v>
      </c>
      <c r="D616" t="s">
        <v>4380</v>
      </c>
      <c r="L616" s="3" t="s">
        <v>1528</v>
      </c>
    </row>
    <row r="617" spans="1:12" x14ac:dyDescent="0.3">
      <c r="A617" t="s">
        <v>521</v>
      </c>
      <c r="B617" t="s">
        <v>8266</v>
      </c>
      <c r="C617" t="s">
        <v>668</v>
      </c>
      <c r="D617" t="s">
        <v>497</v>
      </c>
      <c r="L617" s="4" t="s">
        <v>1530</v>
      </c>
    </row>
    <row r="618" spans="1:12" x14ac:dyDescent="0.3">
      <c r="A618" t="s">
        <v>521</v>
      </c>
      <c r="B618" t="s">
        <v>8268</v>
      </c>
      <c r="C618" t="s">
        <v>668</v>
      </c>
      <c r="D618" t="s">
        <v>8267</v>
      </c>
      <c r="L618" s="3" t="s">
        <v>1533</v>
      </c>
    </row>
    <row r="619" spans="1:12" x14ac:dyDescent="0.3">
      <c r="A619" t="s">
        <v>668</v>
      </c>
      <c r="B619" t="s">
        <v>362</v>
      </c>
      <c r="C619" t="s">
        <v>8266</v>
      </c>
      <c r="D619" t="s">
        <v>4380</v>
      </c>
      <c r="L619" s="4" t="s">
        <v>1535</v>
      </c>
    </row>
    <row r="620" spans="1:12" x14ac:dyDescent="0.3">
      <c r="A620" t="s">
        <v>1417</v>
      </c>
      <c r="B620" t="s">
        <v>1417</v>
      </c>
      <c r="C620" t="s">
        <v>4380</v>
      </c>
      <c r="D620" t="s">
        <v>8266</v>
      </c>
      <c r="L620" s="3" t="s">
        <v>1538</v>
      </c>
    </row>
    <row r="621" spans="1:12" x14ac:dyDescent="0.3">
      <c r="A621" t="s">
        <v>521</v>
      </c>
      <c r="B621" t="s">
        <v>1417</v>
      </c>
      <c r="C621" t="s">
        <v>4380</v>
      </c>
      <c r="D621" t="s">
        <v>1417</v>
      </c>
      <c r="L621" s="4" t="s">
        <v>1540</v>
      </c>
    </row>
    <row r="622" spans="1:12" x14ac:dyDescent="0.3">
      <c r="A622" t="s">
        <v>521</v>
      </c>
      <c r="B622" t="s">
        <v>1417</v>
      </c>
      <c r="C622" t="s">
        <v>4380</v>
      </c>
      <c r="D622" t="s">
        <v>4380</v>
      </c>
      <c r="L622" s="3" t="s">
        <v>1542</v>
      </c>
    </row>
    <row r="623" spans="1:12" x14ac:dyDescent="0.3">
      <c r="A623" t="s">
        <v>521</v>
      </c>
      <c r="B623" t="s">
        <v>668</v>
      </c>
      <c r="C623" t="s">
        <v>5138</v>
      </c>
      <c r="D623" t="s">
        <v>4380</v>
      </c>
      <c r="L623" s="4" t="s">
        <v>1544</v>
      </c>
    </row>
    <row r="624" spans="1:12" x14ac:dyDescent="0.3">
      <c r="A624" t="s">
        <v>521</v>
      </c>
      <c r="B624" t="s">
        <v>668</v>
      </c>
      <c r="C624" t="s">
        <v>5524</v>
      </c>
      <c r="D624" t="s">
        <v>4380</v>
      </c>
      <c r="L624" s="3" t="s">
        <v>1546</v>
      </c>
    </row>
    <row r="625" spans="1:12" x14ac:dyDescent="0.3">
      <c r="A625" t="s">
        <v>521</v>
      </c>
      <c r="B625" t="s">
        <v>1417</v>
      </c>
      <c r="C625" t="s">
        <v>8268</v>
      </c>
      <c r="D625" t="s">
        <v>7104</v>
      </c>
      <c r="L625" s="4" t="s">
        <v>1548</v>
      </c>
    </row>
    <row r="626" spans="1:12" x14ac:dyDescent="0.3">
      <c r="A626" t="s">
        <v>362</v>
      </c>
      <c r="B626" t="s">
        <v>668</v>
      </c>
      <c r="C626" t="s">
        <v>7104</v>
      </c>
      <c r="D626" t="s">
        <v>8046</v>
      </c>
      <c r="L626" s="3" t="s">
        <v>1550</v>
      </c>
    </row>
    <row r="627" spans="1:12" x14ac:dyDescent="0.3">
      <c r="A627" t="s">
        <v>521</v>
      </c>
      <c r="B627" t="s">
        <v>7473</v>
      </c>
      <c r="C627" t="s">
        <v>4380</v>
      </c>
      <c r="D627" t="s">
        <v>8268</v>
      </c>
      <c r="L627" s="4" t="s">
        <v>1552</v>
      </c>
    </row>
    <row r="628" spans="1:12" x14ac:dyDescent="0.3">
      <c r="A628" t="s">
        <v>521</v>
      </c>
      <c r="B628" t="s">
        <v>1417</v>
      </c>
      <c r="C628" t="s">
        <v>668</v>
      </c>
      <c r="D628" t="s">
        <v>7104</v>
      </c>
      <c r="L628" s="3" t="s">
        <v>1554</v>
      </c>
    </row>
    <row r="629" spans="1:12" x14ac:dyDescent="0.3">
      <c r="A629" t="s">
        <v>8268</v>
      </c>
      <c r="B629" t="s">
        <v>1417</v>
      </c>
      <c r="C629" t="s">
        <v>8267</v>
      </c>
      <c r="D629" t="s">
        <v>4380</v>
      </c>
      <c r="L629" s="4" t="s">
        <v>1557</v>
      </c>
    </row>
    <row r="630" spans="1:12" x14ac:dyDescent="0.3">
      <c r="A630" t="s">
        <v>521</v>
      </c>
      <c r="B630" t="s">
        <v>1417</v>
      </c>
      <c r="C630" t="s">
        <v>7104</v>
      </c>
      <c r="D630" t="s">
        <v>5138</v>
      </c>
      <c r="L630" s="3" t="s">
        <v>1559</v>
      </c>
    </row>
    <row r="631" spans="1:12" x14ac:dyDescent="0.3">
      <c r="A631" t="s">
        <v>521</v>
      </c>
      <c r="B631" t="s">
        <v>497</v>
      </c>
      <c r="C631" t="s">
        <v>4380</v>
      </c>
      <c r="D631" t="s">
        <v>4380</v>
      </c>
      <c r="L631" s="4" t="s">
        <v>1561</v>
      </c>
    </row>
    <row r="632" spans="1:12" x14ac:dyDescent="0.3">
      <c r="A632" t="s">
        <v>521</v>
      </c>
      <c r="B632" t="s">
        <v>8268</v>
      </c>
      <c r="C632" t="s">
        <v>497</v>
      </c>
      <c r="D632" t="s">
        <v>8046</v>
      </c>
      <c r="L632" s="3" t="s">
        <v>1564</v>
      </c>
    </row>
    <row r="633" spans="1:12" x14ac:dyDescent="0.3">
      <c r="A633" t="s">
        <v>362</v>
      </c>
      <c r="B633" t="s">
        <v>8266</v>
      </c>
      <c r="C633" t="s">
        <v>8268</v>
      </c>
      <c r="D633" t="s">
        <v>668</v>
      </c>
      <c r="L633" s="4" t="s">
        <v>1566</v>
      </c>
    </row>
    <row r="634" spans="1:12" x14ac:dyDescent="0.3">
      <c r="A634" t="s">
        <v>8268</v>
      </c>
      <c r="B634" t="s">
        <v>362</v>
      </c>
      <c r="C634" t="s">
        <v>6171</v>
      </c>
      <c r="D634" t="s">
        <v>8046</v>
      </c>
      <c r="L634" s="3" t="s">
        <v>1568</v>
      </c>
    </row>
    <row r="635" spans="1:12" x14ac:dyDescent="0.3">
      <c r="A635" t="s">
        <v>4843</v>
      </c>
      <c r="B635" t="s">
        <v>1417</v>
      </c>
      <c r="C635" t="s">
        <v>4380</v>
      </c>
      <c r="D635" t="s">
        <v>7473</v>
      </c>
      <c r="L635" s="4" t="s">
        <v>1570</v>
      </c>
    </row>
    <row r="636" spans="1:12" x14ac:dyDescent="0.3">
      <c r="A636" t="s">
        <v>521</v>
      </c>
      <c r="B636" t="s">
        <v>8268</v>
      </c>
      <c r="C636" t="s">
        <v>497</v>
      </c>
      <c r="D636" t="s">
        <v>5138</v>
      </c>
      <c r="L636" s="3" t="s">
        <v>1572</v>
      </c>
    </row>
    <row r="637" spans="1:12" x14ac:dyDescent="0.3">
      <c r="A637" t="s">
        <v>668</v>
      </c>
      <c r="B637" t="s">
        <v>497</v>
      </c>
      <c r="C637" t="s">
        <v>4380</v>
      </c>
      <c r="D637" t="s">
        <v>8266</v>
      </c>
      <c r="L637" s="4" t="s">
        <v>1574</v>
      </c>
    </row>
    <row r="638" spans="1:12" x14ac:dyDescent="0.3">
      <c r="A638" t="s">
        <v>362</v>
      </c>
      <c r="B638" t="s">
        <v>4843</v>
      </c>
      <c r="C638" t="s">
        <v>8266</v>
      </c>
      <c r="D638" t="s">
        <v>8267</v>
      </c>
      <c r="L638" s="3" t="s">
        <v>1576</v>
      </c>
    </row>
    <row r="639" spans="1:12" x14ac:dyDescent="0.3">
      <c r="A639" t="s">
        <v>521</v>
      </c>
      <c r="B639" t="s">
        <v>2701</v>
      </c>
      <c r="C639" t="s">
        <v>4380</v>
      </c>
      <c r="D639" t="s">
        <v>4380</v>
      </c>
      <c r="L639" s="4" t="s">
        <v>1579</v>
      </c>
    </row>
    <row r="640" spans="1:12" x14ac:dyDescent="0.3">
      <c r="A640" t="s">
        <v>668</v>
      </c>
      <c r="B640" t="s">
        <v>1417</v>
      </c>
      <c r="C640" t="s">
        <v>668</v>
      </c>
      <c r="D640" t="s">
        <v>5138</v>
      </c>
      <c r="L640" s="3" t="s">
        <v>1581</v>
      </c>
    </row>
    <row r="641" spans="1:12" x14ac:dyDescent="0.3">
      <c r="A641" t="s">
        <v>5524</v>
      </c>
      <c r="B641" t="s">
        <v>5138</v>
      </c>
      <c r="C641" t="s">
        <v>497</v>
      </c>
      <c r="D641" t="s">
        <v>4380</v>
      </c>
      <c r="L641" s="4" t="s">
        <v>1583</v>
      </c>
    </row>
    <row r="642" spans="1:12" x14ac:dyDescent="0.3">
      <c r="A642" t="s">
        <v>521</v>
      </c>
      <c r="B642" t="s">
        <v>1417</v>
      </c>
      <c r="C642" t="s">
        <v>1417</v>
      </c>
      <c r="D642" t="s">
        <v>4380</v>
      </c>
      <c r="L642" s="3" t="s">
        <v>1586</v>
      </c>
    </row>
    <row r="643" spans="1:12" x14ac:dyDescent="0.3">
      <c r="A643" t="s">
        <v>521</v>
      </c>
      <c r="B643" t="s">
        <v>5138</v>
      </c>
      <c r="C643" t="s">
        <v>497</v>
      </c>
      <c r="D643" t="s">
        <v>4380</v>
      </c>
      <c r="L643" s="4" t="s">
        <v>1588</v>
      </c>
    </row>
    <row r="644" spans="1:12" x14ac:dyDescent="0.3">
      <c r="A644" t="s">
        <v>668</v>
      </c>
      <c r="B644" t="s">
        <v>7104</v>
      </c>
      <c r="C644" t="s">
        <v>2701</v>
      </c>
      <c r="D644" t="s">
        <v>7473</v>
      </c>
      <c r="L644" s="3" t="s">
        <v>1590</v>
      </c>
    </row>
    <row r="645" spans="1:12" x14ac:dyDescent="0.3">
      <c r="A645" t="s">
        <v>521</v>
      </c>
      <c r="B645" t="s">
        <v>6902</v>
      </c>
      <c r="C645" t="s">
        <v>668</v>
      </c>
      <c r="D645" t="s">
        <v>7104</v>
      </c>
      <c r="L645" s="4" t="s">
        <v>1592</v>
      </c>
    </row>
    <row r="646" spans="1:12" x14ac:dyDescent="0.3">
      <c r="A646" t="s">
        <v>521</v>
      </c>
      <c r="B646" t="s">
        <v>1417</v>
      </c>
      <c r="C646" t="s">
        <v>8268</v>
      </c>
      <c r="D646" t="s">
        <v>4380</v>
      </c>
      <c r="L646" s="3" t="s">
        <v>1595</v>
      </c>
    </row>
    <row r="647" spans="1:12" x14ac:dyDescent="0.3">
      <c r="A647" t="s">
        <v>668</v>
      </c>
      <c r="B647" t="s">
        <v>362</v>
      </c>
      <c r="C647" t="s">
        <v>5138</v>
      </c>
      <c r="D647" t="s">
        <v>8269</v>
      </c>
      <c r="L647" s="4" t="s">
        <v>1598</v>
      </c>
    </row>
    <row r="648" spans="1:12" x14ac:dyDescent="0.3">
      <c r="A648" t="s">
        <v>1417</v>
      </c>
      <c r="B648" t="s">
        <v>1417</v>
      </c>
      <c r="C648" t="s">
        <v>668</v>
      </c>
      <c r="D648" t="s">
        <v>4380</v>
      </c>
      <c r="L648" s="3" t="s">
        <v>1601</v>
      </c>
    </row>
    <row r="649" spans="1:12" x14ac:dyDescent="0.3">
      <c r="A649" t="s">
        <v>521</v>
      </c>
      <c r="B649" t="s">
        <v>1417</v>
      </c>
      <c r="C649" t="s">
        <v>5138</v>
      </c>
      <c r="D649" t="s">
        <v>8269</v>
      </c>
      <c r="L649" s="4" t="s">
        <v>1603</v>
      </c>
    </row>
    <row r="650" spans="1:12" x14ac:dyDescent="0.3">
      <c r="A650" t="s">
        <v>521</v>
      </c>
      <c r="B650" t="s">
        <v>362</v>
      </c>
      <c r="C650" t="s">
        <v>4380</v>
      </c>
      <c r="D650" t="s">
        <v>7473</v>
      </c>
      <c r="L650" s="3" t="s">
        <v>1605</v>
      </c>
    </row>
    <row r="651" spans="1:12" x14ac:dyDescent="0.3">
      <c r="A651" t="s">
        <v>521</v>
      </c>
      <c r="B651" t="s">
        <v>362</v>
      </c>
      <c r="C651" t="s">
        <v>1417</v>
      </c>
      <c r="D651" t="s">
        <v>4380</v>
      </c>
      <c r="L651" s="4" t="s">
        <v>1608</v>
      </c>
    </row>
    <row r="652" spans="1:12" x14ac:dyDescent="0.3">
      <c r="A652" t="s">
        <v>668</v>
      </c>
      <c r="B652" t="s">
        <v>8268</v>
      </c>
      <c r="C652" t="s">
        <v>1417</v>
      </c>
      <c r="D652" t="s">
        <v>4380</v>
      </c>
      <c r="L652" s="3" t="s">
        <v>1611</v>
      </c>
    </row>
    <row r="653" spans="1:12" x14ac:dyDescent="0.3">
      <c r="A653" t="s">
        <v>362</v>
      </c>
      <c r="B653" t="s">
        <v>7104</v>
      </c>
      <c r="C653" t="s">
        <v>5138</v>
      </c>
      <c r="D653" t="s">
        <v>4380</v>
      </c>
      <c r="L653" s="4" t="s">
        <v>1613</v>
      </c>
    </row>
    <row r="654" spans="1:12" x14ac:dyDescent="0.3">
      <c r="A654" t="s">
        <v>1417</v>
      </c>
      <c r="B654" t="s">
        <v>8046</v>
      </c>
      <c r="C654" t="s">
        <v>1417</v>
      </c>
      <c r="D654" t="s">
        <v>5138</v>
      </c>
      <c r="L654" s="3" t="s">
        <v>1615</v>
      </c>
    </row>
    <row r="655" spans="1:12" x14ac:dyDescent="0.3">
      <c r="A655" t="s">
        <v>5524</v>
      </c>
      <c r="B655" t="s">
        <v>7473</v>
      </c>
      <c r="C655" t="s">
        <v>668</v>
      </c>
      <c r="D655" t="s">
        <v>4380</v>
      </c>
      <c r="L655" s="4" t="s">
        <v>1617</v>
      </c>
    </row>
    <row r="656" spans="1:12" x14ac:dyDescent="0.3">
      <c r="A656" t="s">
        <v>521</v>
      </c>
      <c r="B656" t="s">
        <v>8266</v>
      </c>
      <c r="C656" t="s">
        <v>497</v>
      </c>
      <c r="D656" t="s">
        <v>4380</v>
      </c>
      <c r="L656" s="3" t="s">
        <v>1620</v>
      </c>
    </row>
    <row r="657" spans="1:12" x14ac:dyDescent="0.3">
      <c r="A657" t="s">
        <v>362</v>
      </c>
      <c r="B657" t="s">
        <v>1417</v>
      </c>
      <c r="C657" t="s">
        <v>4843</v>
      </c>
      <c r="D657" t="s">
        <v>4380</v>
      </c>
      <c r="L657" s="4" t="s">
        <v>1622</v>
      </c>
    </row>
    <row r="658" spans="1:12" x14ac:dyDescent="0.3">
      <c r="A658" t="s">
        <v>521</v>
      </c>
      <c r="B658" t="s">
        <v>8268</v>
      </c>
      <c r="C658" t="s">
        <v>8268</v>
      </c>
      <c r="D658" t="s">
        <v>4380</v>
      </c>
      <c r="L658" s="3" t="s">
        <v>1625</v>
      </c>
    </row>
    <row r="659" spans="1:12" x14ac:dyDescent="0.3">
      <c r="A659" t="s">
        <v>668</v>
      </c>
      <c r="B659" t="s">
        <v>668</v>
      </c>
      <c r="C659" t="s">
        <v>497</v>
      </c>
      <c r="D659" t="s">
        <v>8269</v>
      </c>
      <c r="L659" s="4" t="s">
        <v>1627</v>
      </c>
    </row>
    <row r="660" spans="1:12" x14ac:dyDescent="0.3">
      <c r="A660" t="s">
        <v>1417</v>
      </c>
      <c r="B660" t="s">
        <v>362</v>
      </c>
      <c r="C660" t="s">
        <v>1417</v>
      </c>
      <c r="D660" t="s">
        <v>8269</v>
      </c>
      <c r="L660" s="3" t="s">
        <v>1630</v>
      </c>
    </row>
    <row r="661" spans="1:12" x14ac:dyDescent="0.3">
      <c r="A661" t="s">
        <v>668</v>
      </c>
      <c r="B661" t="s">
        <v>1417</v>
      </c>
      <c r="C661" t="s">
        <v>8046</v>
      </c>
      <c r="D661" t="s">
        <v>6171</v>
      </c>
      <c r="L661" s="4" t="s">
        <v>1633</v>
      </c>
    </row>
    <row r="662" spans="1:12" x14ac:dyDescent="0.3">
      <c r="A662" t="s">
        <v>668</v>
      </c>
      <c r="B662" t="s">
        <v>1417</v>
      </c>
      <c r="C662" t="s">
        <v>8266</v>
      </c>
      <c r="D662" t="s">
        <v>5138</v>
      </c>
      <c r="L662" s="3" t="s">
        <v>1635</v>
      </c>
    </row>
    <row r="663" spans="1:12" x14ac:dyDescent="0.3">
      <c r="A663" t="s">
        <v>521</v>
      </c>
      <c r="B663" t="s">
        <v>2701</v>
      </c>
      <c r="C663" t="s">
        <v>7473</v>
      </c>
      <c r="D663" t="s">
        <v>6171</v>
      </c>
      <c r="L663" s="4" t="s">
        <v>1637</v>
      </c>
    </row>
    <row r="664" spans="1:12" x14ac:dyDescent="0.3">
      <c r="A664" t="s">
        <v>668</v>
      </c>
      <c r="B664" t="s">
        <v>5138</v>
      </c>
      <c r="C664" t="s">
        <v>5138</v>
      </c>
      <c r="D664" t="s">
        <v>4380</v>
      </c>
      <c r="L664" s="3" t="s">
        <v>1639</v>
      </c>
    </row>
    <row r="665" spans="1:12" x14ac:dyDescent="0.3">
      <c r="A665" t="s">
        <v>5524</v>
      </c>
      <c r="B665" t="s">
        <v>8268</v>
      </c>
      <c r="C665" t="s">
        <v>4380</v>
      </c>
      <c r="D665" t="s">
        <v>1417</v>
      </c>
      <c r="L665" s="4" t="s">
        <v>1642</v>
      </c>
    </row>
    <row r="666" spans="1:12" x14ac:dyDescent="0.3">
      <c r="A666" t="s">
        <v>521</v>
      </c>
      <c r="B666" t="s">
        <v>1417</v>
      </c>
      <c r="C666" t="s">
        <v>668</v>
      </c>
      <c r="D666" t="s">
        <v>4380</v>
      </c>
      <c r="L666" s="3" t="s">
        <v>1645</v>
      </c>
    </row>
    <row r="667" spans="1:12" x14ac:dyDescent="0.3">
      <c r="A667" t="s">
        <v>521</v>
      </c>
      <c r="B667" t="s">
        <v>362</v>
      </c>
      <c r="C667" t="s">
        <v>5138</v>
      </c>
      <c r="D667" t="s">
        <v>497</v>
      </c>
      <c r="L667" s="4" t="s">
        <v>1647</v>
      </c>
    </row>
    <row r="668" spans="1:12" x14ac:dyDescent="0.3">
      <c r="A668" t="s">
        <v>521</v>
      </c>
      <c r="B668" t="s">
        <v>8267</v>
      </c>
      <c r="C668" t="s">
        <v>7473</v>
      </c>
      <c r="D668" t="s">
        <v>7473</v>
      </c>
      <c r="L668" s="3" t="s">
        <v>1649</v>
      </c>
    </row>
    <row r="669" spans="1:12" x14ac:dyDescent="0.3">
      <c r="A669" t="s">
        <v>668</v>
      </c>
      <c r="B669" t="s">
        <v>1417</v>
      </c>
      <c r="C669" t="s">
        <v>8266</v>
      </c>
      <c r="D669" t="s">
        <v>1417</v>
      </c>
      <c r="L669" s="4" t="s">
        <v>1651</v>
      </c>
    </row>
    <row r="670" spans="1:12" x14ac:dyDescent="0.3">
      <c r="A670" t="s">
        <v>1417</v>
      </c>
      <c r="B670" t="s">
        <v>362</v>
      </c>
      <c r="C670" t="s">
        <v>5138</v>
      </c>
      <c r="D670" t="s">
        <v>7104</v>
      </c>
      <c r="L670" s="3" t="s">
        <v>1653</v>
      </c>
    </row>
    <row r="671" spans="1:12" x14ac:dyDescent="0.3">
      <c r="A671" t="s">
        <v>1417</v>
      </c>
      <c r="B671" t="s">
        <v>8268</v>
      </c>
      <c r="C671" t="s">
        <v>1417</v>
      </c>
      <c r="D671" t="s">
        <v>5138</v>
      </c>
      <c r="L671" s="4" t="s">
        <v>1655</v>
      </c>
    </row>
    <row r="672" spans="1:12" x14ac:dyDescent="0.3">
      <c r="A672" t="s">
        <v>668</v>
      </c>
      <c r="B672" t="s">
        <v>497</v>
      </c>
      <c r="C672" t="s">
        <v>1417</v>
      </c>
      <c r="D672" t="s">
        <v>1417</v>
      </c>
      <c r="L672" s="3" t="s">
        <v>1657</v>
      </c>
    </row>
    <row r="673" spans="1:12" x14ac:dyDescent="0.3">
      <c r="A673" t="s">
        <v>1417</v>
      </c>
      <c r="B673" t="s">
        <v>1417</v>
      </c>
      <c r="C673" t="s">
        <v>5043</v>
      </c>
      <c r="D673" t="s">
        <v>4380</v>
      </c>
      <c r="L673" s="4" t="s">
        <v>1660</v>
      </c>
    </row>
    <row r="674" spans="1:12" x14ac:dyDescent="0.3">
      <c r="A674" t="s">
        <v>668</v>
      </c>
      <c r="B674" t="s">
        <v>8268</v>
      </c>
      <c r="C674" t="s">
        <v>8267</v>
      </c>
      <c r="D674" t="s">
        <v>4380</v>
      </c>
      <c r="L674" s="3" t="s">
        <v>1662</v>
      </c>
    </row>
    <row r="675" spans="1:12" x14ac:dyDescent="0.3">
      <c r="A675" t="s">
        <v>668</v>
      </c>
      <c r="B675" t="s">
        <v>8268</v>
      </c>
      <c r="C675" t="s">
        <v>1417</v>
      </c>
      <c r="D675" t="s">
        <v>5138</v>
      </c>
      <c r="L675" s="4" t="s">
        <v>1664</v>
      </c>
    </row>
    <row r="676" spans="1:12" x14ac:dyDescent="0.3">
      <c r="A676" t="s">
        <v>521</v>
      </c>
      <c r="B676" t="s">
        <v>8266</v>
      </c>
      <c r="C676" t="s">
        <v>7104</v>
      </c>
      <c r="D676" t="s">
        <v>7473</v>
      </c>
      <c r="L676" s="3" t="s">
        <v>1666</v>
      </c>
    </row>
    <row r="677" spans="1:12" x14ac:dyDescent="0.3">
      <c r="A677" t="s">
        <v>521</v>
      </c>
      <c r="B677" t="s">
        <v>5524</v>
      </c>
      <c r="C677" t="s">
        <v>8268</v>
      </c>
      <c r="D677" t="s">
        <v>5138</v>
      </c>
      <c r="L677" s="4" t="s">
        <v>1668</v>
      </c>
    </row>
    <row r="678" spans="1:12" x14ac:dyDescent="0.3">
      <c r="A678" t="s">
        <v>521</v>
      </c>
      <c r="B678" t="s">
        <v>1417</v>
      </c>
      <c r="C678" t="s">
        <v>2701</v>
      </c>
      <c r="D678" t="s">
        <v>8267</v>
      </c>
      <c r="L678" s="3" t="s">
        <v>1670</v>
      </c>
    </row>
    <row r="679" spans="1:12" x14ac:dyDescent="0.3">
      <c r="A679" t="s">
        <v>668</v>
      </c>
      <c r="B679" t="s">
        <v>668</v>
      </c>
      <c r="C679" t="s">
        <v>668</v>
      </c>
      <c r="D679" t="s">
        <v>4380</v>
      </c>
      <c r="L679" s="4" t="s">
        <v>1672</v>
      </c>
    </row>
    <row r="680" spans="1:12" x14ac:dyDescent="0.3">
      <c r="A680" t="s">
        <v>521</v>
      </c>
      <c r="B680" t="s">
        <v>4843</v>
      </c>
      <c r="C680" t="s">
        <v>4380</v>
      </c>
      <c r="D680" t="s">
        <v>7104</v>
      </c>
      <c r="L680" s="3" t="s">
        <v>1674</v>
      </c>
    </row>
    <row r="681" spans="1:12" x14ac:dyDescent="0.3">
      <c r="A681" t="s">
        <v>521</v>
      </c>
      <c r="B681" t="s">
        <v>5138</v>
      </c>
      <c r="C681" t="s">
        <v>5138</v>
      </c>
      <c r="D681" t="s">
        <v>4380</v>
      </c>
      <c r="L681" s="4" t="s">
        <v>1676</v>
      </c>
    </row>
    <row r="682" spans="1:12" x14ac:dyDescent="0.3">
      <c r="A682" t="s">
        <v>521</v>
      </c>
      <c r="B682" t="s">
        <v>5524</v>
      </c>
      <c r="C682" t="s">
        <v>8266</v>
      </c>
      <c r="D682" t="s">
        <v>2701</v>
      </c>
      <c r="L682" s="3" t="s">
        <v>1678</v>
      </c>
    </row>
    <row r="683" spans="1:12" x14ac:dyDescent="0.3">
      <c r="A683" t="s">
        <v>521</v>
      </c>
      <c r="B683" t="s">
        <v>8268</v>
      </c>
      <c r="C683" t="s">
        <v>8266</v>
      </c>
      <c r="D683" t="s">
        <v>497</v>
      </c>
      <c r="L683" s="4" t="s">
        <v>1680</v>
      </c>
    </row>
    <row r="684" spans="1:12" x14ac:dyDescent="0.3">
      <c r="A684" t="s">
        <v>521</v>
      </c>
      <c r="B684" t="s">
        <v>362</v>
      </c>
      <c r="C684" t="s">
        <v>1417</v>
      </c>
      <c r="D684" t="s">
        <v>497</v>
      </c>
      <c r="L684" s="3" t="s">
        <v>1682</v>
      </c>
    </row>
    <row r="685" spans="1:12" x14ac:dyDescent="0.3">
      <c r="A685" t="s">
        <v>1417</v>
      </c>
      <c r="B685" t="s">
        <v>8268</v>
      </c>
      <c r="C685" t="s">
        <v>4380</v>
      </c>
      <c r="D685" t="s">
        <v>8266</v>
      </c>
      <c r="L685" s="4" t="s">
        <v>1684</v>
      </c>
    </row>
    <row r="686" spans="1:12" x14ac:dyDescent="0.3">
      <c r="A686" t="s">
        <v>1417</v>
      </c>
      <c r="B686" t="s">
        <v>8269</v>
      </c>
      <c r="C686" t="s">
        <v>4380</v>
      </c>
      <c r="D686" t="s">
        <v>4380</v>
      </c>
      <c r="L686" s="3" t="s">
        <v>1686</v>
      </c>
    </row>
    <row r="687" spans="1:12" x14ac:dyDescent="0.3">
      <c r="A687" t="s">
        <v>8268</v>
      </c>
      <c r="B687" t="s">
        <v>1417</v>
      </c>
      <c r="C687" t="s">
        <v>8266</v>
      </c>
      <c r="D687" t="s">
        <v>1417</v>
      </c>
      <c r="L687" s="4" t="s">
        <v>1689</v>
      </c>
    </row>
    <row r="688" spans="1:12" x14ac:dyDescent="0.3">
      <c r="A688" t="s">
        <v>521</v>
      </c>
      <c r="B688" t="s">
        <v>7473</v>
      </c>
      <c r="C688" t="s">
        <v>8266</v>
      </c>
      <c r="D688" t="s">
        <v>4380</v>
      </c>
      <c r="L688" s="3" t="s">
        <v>1691</v>
      </c>
    </row>
    <row r="689" spans="1:12" x14ac:dyDescent="0.3">
      <c r="A689" t="s">
        <v>668</v>
      </c>
      <c r="B689" t="s">
        <v>668</v>
      </c>
      <c r="C689" t="s">
        <v>7104</v>
      </c>
      <c r="D689" t="s">
        <v>5138</v>
      </c>
      <c r="L689" s="4" t="s">
        <v>1693</v>
      </c>
    </row>
    <row r="690" spans="1:12" x14ac:dyDescent="0.3">
      <c r="A690" t="s">
        <v>521</v>
      </c>
      <c r="B690" t="s">
        <v>1417</v>
      </c>
      <c r="C690" t="s">
        <v>4380</v>
      </c>
      <c r="D690" t="s">
        <v>5138</v>
      </c>
      <c r="L690" s="3" t="s">
        <v>1695</v>
      </c>
    </row>
    <row r="691" spans="1:12" x14ac:dyDescent="0.3">
      <c r="A691" t="s">
        <v>8268</v>
      </c>
      <c r="B691" t="s">
        <v>8267</v>
      </c>
      <c r="C691" t="s">
        <v>497</v>
      </c>
      <c r="D691" t="s">
        <v>7104</v>
      </c>
      <c r="L691" s="4" t="s">
        <v>1697</v>
      </c>
    </row>
    <row r="692" spans="1:12" x14ac:dyDescent="0.3">
      <c r="A692" t="s">
        <v>521</v>
      </c>
      <c r="B692" t="s">
        <v>4843</v>
      </c>
      <c r="C692" t="s">
        <v>497</v>
      </c>
      <c r="D692" t="s">
        <v>4380</v>
      </c>
      <c r="L692" s="3" t="s">
        <v>1699</v>
      </c>
    </row>
    <row r="693" spans="1:12" x14ac:dyDescent="0.3">
      <c r="A693" t="s">
        <v>521</v>
      </c>
      <c r="B693" t="s">
        <v>1417</v>
      </c>
      <c r="C693" t="s">
        <v>8266</v>
      </c>
      <c r="D693" t="s">
        <v>4380</v>
      </c>
      <c r="L693" s="4" t="s">
        <v>1702</v>
      </c>
    </row>
    <row r="694" spans="1:12" x14ac:dyDescent="0.3">
      <c r="A694" t="s">
        <v>1417</v>
      </c>
      <c r="B694" t="s">
        <v>7473</v>
      </c>
      <c r="C694" t="s">
        <v>497</v>
      </c>
      <c r="D694" t="s">
        <v>7104</v>
      </c>
      <c r="L694" s="3" t="s">
        <v>1705</v>
      </c>
    </row>
    <row r="695" spans="1:12" x14ac:dyDescent="0.3">
      <c r="A695" t="s">
        <v>362</v>
      </c>
      <c r="B695" t="s">
        <v>1417</v>
      </c>
      <c r="C695" t="s">
        <v>7473</v>
      </c>
      <c r="D695" t="s">
        <v>4380</v>
      </c>
      <c r="L695" s="4" t="s">
        <v>1707</v>
      </c>
    </row>
    <row r="696" spans="1:12" x14ac:dyDescent="0.3">
      <c r="A696" t="s">
        <v>8268</v>
      </c>
      <c r="B696" t="s">
        <v>1417</v>
      </c>
      <c r="C696" t="s">
        <v>497</v>
      </c>
      <c r="D696" t="s">
        <v>5043</v>
      </c>
      <c r="L696" s="3" t="s">
        <v>1710</v>
      </c>
    </row>
    <row r="697" spans="1:12" x14ac:dyDescent="0.3">
      <c r="A697" t="s">
        <v>521</v>
      </c>
      <c r="B697" t="s">
        <v>362</v>
      </c>
      <c r="C697" t="s">
        <v>8269</v>
      </c>
      <c r="D697" t="s">
        <v>7104</v>
      </c>
      <c r="L697" s="4" t="s">
        <v>1712</v>
      </c>
    </row>
    <row r="698" spans="1:12" x14ac:dyDescent="0.3">
      <c r="A698" t="s">
        <v>521</v>
      </c>
      <c r="B698" t="s">
        <v>4843</v>
      </c>
      <c r="C698" t="s">
        <v>668</v>
      </c>
      <c r="D698" t="s">
        <v>6171</v>
      </c>
      <c r="L698" s="3" t="s">
        <v>1714</v>
      </c>
    </row>
    <row r="699" spans="1:12" x14ac:dyDescent="0.3">
      <c r="A699" t="s">
        <v>362</v>
      </c>
      <c r="B699" t="s">
        <v>1417</v>
      </c>
      <c r="C699" t="s">
        <v>1417</v>
      </c>
      <c r="D699" t="s">
        <v>5138</v>
      </c>
      <c r="L699" s="4" t="s">
        <v>1716</v>
      </c>
    </row>
    <row r="700" spans="1:12" x14ac:dyDescent="0.3">
      <c r="A700" t="s">
        <v>362</v>
      </c>
      <c r="B700" t="s">
        <v>8266</v>
      </c>
      <c r="C700" t="s">
        <v>7104</v>
      </c>
      <c r="D700" t="s">
        <v>8266</v>
      </c>
      <c r="L700" s="3" t="s">
        <v>1718</v>
      </c>
    </row>
    <row r="701" spans="1:12" x14ac:dyDescent="0.3">
      <c r="A701" t="s">
        <v>521</v>
      </c>
      <c r="B701" t="s">
        <v>362</v>
      </c>
      <c r="C701" t="s">
        <v>497</v>
      </c>
      <c r="D701" t="s">
        <v>7104</v>
      </c>
      <c r="L701" s="4" t="s">
        <v>1720</v>
      </c>
    </row>
    <row r="702" spans="1:12" x14ac:dyDescent="0.3">
      <c r="A702" t="s">
        <v>521</v>
      </c>
      <c r="B702" t="s">
        <v>8266</v>
      </c>
      <c r="C702" t="s">
        <v>7473</v>
      </c>
      <c r="D702" t="s">
        <v>4380</v>
      </c>
      <c r="L702" s="3" t="s">
        <v>1723</v>
      </c>
    </row>
    <row r="703" spans="1:12" x14ac:dyDescent="0.3">
      <c r="A703" t="s">
        <v>668</v>
      </c>
      <c r="B703" t="s">
        <v>1417</v>
      </c>
      <c r="C703" t="s">
        <v>7473</v>
      </c>
      <c r="D703" t="s">
        <v>8267</v>
      </c>
      <c r="L703" s="4" t="s">
        <v>1725</v>
      </c>
    </row>
    <row r="704" spans="1:12" x14ac:dyDescent="0.3">
      <c r="A704" t="s">
        <v>521</v>
      </c>
      <c r="B704" t="s">
        <v>4843</v>
      </c>
      <c r="C704" t="s">
        <v>4380</v>
      </c>
      <c r="D704" t="s">
        <v>8266</v>
      </c>
      <c r="L704" s="3" t="s">
        <v>1727</v>
      </c>
    </row>
    <row r="705" spans="1:12" x14ac:dyDescent="0.3">
      <c r="A705" t="s">
        <v>668</v>
      </c>
      <c r="B705" t="s">
        <v>7104</v>
      </c>
      <c r="C705" t="s">
        <v>7473</v>
      </c>
      <c r="D705" t="s">
        <v>7104</v>
      </c>
      <c r="L705" s="4" t="s">
        <v>1729</v>
      </c>
    </row>
    <row r="706" spans="1:12" x14ac:dyDescent="0.3">
      <c r="A706" t="s">
        <v>668</v>
      </c>
      <c r="B706" t="s">
        <v>668</v>
      </c>
      <c r="C706" t="s">
        <v>7473</v>
      </c>
      <c r="D706" t="s">
        <v>8269</v>
      </c>
      <c r="L706" s="3" t="s">
        <v>1731</v>
      </c>
    </row>
    <row r="707" spans="1:12" x14ac:dyDescent="0.3">
      <c r="A707" t="s">
        <v>521</v>
      </c>
      <c r="B707" t="s">
        <v>668</v>
      </c>
      <c r="C707" t="s">
        <v>2701</v>
      </c>
      <c r="D707" t="s">
        <v>497</v>
      </c>
      <c r="L707" s="4" t="s">
        <v>1733</v>
      </c>
    </row>
    <row r="708" spans="1:12" x14ac:dyDescent="0.3">
      <c r="A708" t="s">
        <v>8268</v>
      </c>
      <c r="B708" t="s">
        <v>8268</v>
      </c>
      <c r="C708" t="s">
        <v>1417</v>
      </c>
      <c r="D708" t="s">
        <v>8266</v>
      </c>
      <c r="L708" s="3" t="s">
        <v>1735</v>
      </c>
    </row>
    <row r="709" spans="1:12" x14ac:dyDescent="0.3">
      <c r="A709" t="s">
        <v>668</v>
      </c>
      <c r="B709" t="s">
        <v>7473</v>
      </c>
      <c r="C709" t="s">
        <v>4380</v>
      </c>
      <c r="D709" t="s">
        <v>7473</v>
      </c>
      <c r="L709" s="4" t="s">
        <v>1737</v>
      </c>
    </row>
    <row r="710" spans="1:12" x14ac:dyDescent="0.3">
      <c r="A710" t="s">
        <v>362</v>
      </c>
      <c r="B710" t="s">
        <v>4843</v>
      </c>
      <c r="C710" t="s">
        <v>497</v>
      </c>
      <c r="D710" t="s">
        <v>4380</v>
      </c>
      <c r="L710" s="3" t="s">
        <v>1739</v>
      </c>
    </row>
    <row r="711" spans="1:12" x14ac:dyDescent="0.3">
      <c r="A711" t="s">
        <v>521</v>
      </c>
      <c r="B711" t="s">
        <v>1417</v>
      </c>
      <c r="C711" t="s">
        <v>8268</v>
      </c>
      <c r="D711" t="s">
        <v>4380</v>
      </c>
      <c r="L711" s="4" t="s">
        <v>1741</v>
      </c>
    </row>
    <row r="712" spans="1:12" x14ac:dyDescent="0.3">
      <c r="A712" t="s">
        <v>668</v>
      </c>
      <c r="B712" t="s">
        <v>668</v>
      </c>
      <c r="C712" t="s">
        <v>4380</v>
      </c>
      <c r="D712" t="s">
        <v>4380</v>
      </c>
      <c r="L712" s="3" t="s">
        <v>1744</v>
      </c>
    </row>
    <row r="713" spans="1:12" x14ac:dyDescent="0.3">
      <c r="A713" t="s">
        <v>668</v>
      </c>
      <c r="B713" t="s">
        <v>5138</v>
      </c>
      <c r="C713" t="s">
        <v>7473</v>
      </c>
      <c r="D713" t="s">
        <v>5138</v>
      </c>
      <c r="L713" s="4" t="s">
        <v>1746</v>
      </c>
    </row>
    <row r="714" spans="1:12" x14ac:dyDescent="0.3">
      <c r="A714" t="s">
        <v>8268</v>
      </c>
      <c r="B714" t="s">
        <v>7473</v>
      </c>
      <c r="C714" t="s">
        <v>1417</v>
      </c>
      <c r="D714" t="s">
        <v>5138</v>
      </c>
      <c r="L714" s="3" t="s">
        <v>1749</v>
      </c>
    </row>
    <row r="715" spans="1:12" x14ac:dyDescent="0.3">
      <c r="A715" t="s">
        <v>521</v>
      </c>
      <c r="B715" t="s">
        <v>1417</v>
      </c>
      <c r="C715" t="s">
        <v>7104</v>
      </c>
      <c r="D715" t="s">
        <v>1417</v>
      </c>
      <c r="L715" s="4" t="s">
        <v>1751</v>
      </c>
    </row>
    <row r="716" spans="1:12" x14ac:dyDescent="0.3">
      <c r="A716" t="s">
        <v>362</v>
      </c>
      <c r="B716" t="s">
        <v>668</v>
      </c>
      <c r="C716" t="s">
        <v>1417</v>
      </c>
      <c r="D716" t="s">
        <v>7104</v>
      </c>
      <c r="L716" s="3" t="s">
        <v>1753</v>
      </c>
    </row>
    <row r="717" spans="1:12" x14ac:dyDescent="0.3">
      <c r="A717" t="s">
        <v>8268</v>
      </c>
      <c r="B717" t="s">
        <v>8267</v>
      </c>
      <c r="C717" t="s">
        <v>1417</v>
      </c>
      <c r="D717" t="s">
        <v>4380</v>
      </c>
      <c r="L717" s="4" t="s">
        <v>1755</v>
      </c>
    </row>
    <row r="718" spans="1:12" x14ac:dyDescent="0.3">
      <c r="A718" t="s">
        <v>521</v>
      </c>
      <c r="B718" t="s">
        <v>7473</v>
      </c>
      <c r="C718" t="s">
        <v>5138</v>
      </c>
      <c r="D718" t="s">
        <v>8267</v>
      </c>
      <c r="L718" s="3" t="s">
        <v>1757</v>
      </c>
    </row>
    <row r="719" spans="1:12" x14ac:dyDescent="0.3">
      <c r="A719" t="s">
        <v>521</v>
      </c>
      <c r="B719" t="s">
        <v>1417</v>
      </c>
      <c r="C719" t="s">
        <v>668</v>
      </c>
      <c r="D719" t="s">
        <v>4380</v>
      </c>
      <c r="L719" s="4" t="s">
        <v>1759</v>
      </c>
    </row>
    <row r="720" spans="1:12" x14ac:dyDescent="0.3">
      <c r="A720" t="s">
        <v>1417</v>
      </c>
      <c r="B720" t="s">
        <v>362</v>
      </c>
      <c r="C720" t="s">
        <v>4380</v>
      </c>
      <c r="D720" t="s">
        <v>4380</v>
      </c>
      <c r="L720" s="3" t="s">
        <v>1761</v>
      </c>
    </row>
    <row r="721" spans="1:12" x14ac:dyDescent="0.3">
      <c r="A721" t="s">
        <v>668</v>
      </c>
      <c r="B721" t="s">
        <v>1417</v>
      </c>
      <c r="C721" t="s">
        <v>7473</v>
      </c>
      <c r="D721" t="s">
        <v>4380</v>
      </c>
      <c r="L721" s="4" t="s">
        <v>1763</v>
      </c>
    </row>
    <row r="722" spans="1:12" x14ac:dyDescent="0.3">
      <c r="A722" t="s">
        <v>362</v>
      </c>
      <c r="B722" t="s">
        <v>8268</v>
      </c>
      <c r="C722" t="s">
        <v>497</v>
      </c>
      <c r="D722" t="s">
        <v>1417</v>
      </c>
      <c r="L722" s="3" t="s">
        <v>1766</v>
      </c>
    </row>
    <row r="723" spans="1:12" x14ac:dyDescent="0.3">
      <c r="A723" t="s">
        <v>668</v>
      </c>
      <c r="B723" t="s">
        <v>5138</v>
      </c>
      <c r="C723" t="s">
        <v>4380</v>
      </c>
      <c r="D723" t="s">
        <v>4380</v>
      </c>
      <c r="L723" s="4" t="s">
        <v>1769</v>
      </c>
    </row>
    <row r="724" spans="1:12" x14ac:dyDescent="0.3">
      <c r="A724" t="s">
        <v>521</v>
      </c>
      <c r="B724" t="s">
        <v>5043</v>
      </c>
      <c r="C724" t="s">
        <v>7473</v>
      </c>
      <c r="D724" t="s">
        <v>7473</v>
      </c>
      <c r="L724" s="3" t="s">
        <v>1772</v>
      </c>
    </row>
    <row r="725" spans="1:12" x14ac:dyDescent="0.3">
      <c r="A725" t="s">
        <v>521</v>
      </c>
      <c r="B725" t="s">
        <v>4380</v>
      </c>
      <c r="C725" t="s">
        <v>4380</v>
      </c>
      <c r="D725" t="s">
        <v>4380</v>
      </c>
      <c r="L725" s="4" t="s">
        <v>1774</v>
      </c>
    </row>
    <row r="726" spans="1:12" x14ac:dyDescent="0.3">
      <c r="A726" t="s">
        <v>521</v>
      </c>
      <c r="B726" t="s">
        <v>362</v>
      </c>
      <c r="C726" t="s">
        <v>4380</v>
      </c>
      <c r="D726" t="s">
        <v>7473</v>
      </c>
      <c r="L726" s="3" t="s">
        <v>1776</v>
      </c>
    </row>
    <row r="727" spans="1:12" x14ac:dyDescent="0.3">
      <c r="A727" t="s">
        <v>668</v>
      </c>
      <c r="B727" t="s">
        <v>7104</v>
      </c>
      <c r="C727" t="s">
        <v>7473</v>
      </c>
      <c r="D727" t="s">
        <v>5138</v>
      </c>
      <c r="L727" s="4" t="s">
        <v>1778</v>
      </c>
    </row>
    <row r="728" spans="1:12" x14ac:dyDescent="0.3">
      <c r="A728" t="s">
        <v>362</v>
      </c>
      <c r="B728" t="s">
        <v>4380</v>
      </c>
      <c r="C728" t="s">
        <v>1417</v>
      </c>
      <c r="D728" t="s">
        <v>4380</v>
      </c>
      <c r="L728" s="3" t="s">
        <v>1780</v>
      </c>
    </row>
    <row r="729" spans="1:12" x14ac:dyDescent="0.3">
      <c r="A729" t="s">
        <v>668</v>
      </c>
      <c r="B729" t="s">
        <v>8268</v>
      </c>
      <c r="C729" t="s">
        <v>1417</v>
      </c>
      <c r="D729" t="s">
        <v>4380</v>
      </c>
      <c r="L729" s="4" t="s">
        <v>1783</v>
      </c>
    </row>
    <row r="730" spans="1:12" x14ac:dyDescent="0.3">
      <c r="A730" t="s">
        <v>521</v>
      </c>
      <c r="B730" t="s">
        <v>7104</v>
      </c>
      <c r="C730" t="s">
        <v>8268</v>
      </c>
      <c r="D730" t="s">
        <v>4380</v>
      </c>
      <c r="L730" s="3" t="s">
        <v>1785</v>
      </c>
    </row>
    <row r="731" spans="1:12" x14ac:dyDescent="0.3">
      <c r="A731" t="s">
        <v>362</v>
      </c>
      <c r="B731" t="s">
        <v>8268</v>
      </c>
      <c r="C731" t="s">
        <v>2701</v>
      </c>
      <c r="D731" t="s">
        <v>7473</v>
      </c>
      <c r="L731" s="4" t="s">
        <v>1788</v>
      </c>
    </row>
    <row r="732" spans="1:12" x14ac:dyDescent="0.3">
      <c r="A732" t="s">
        <v>521</v>
      </c>
      <c r="B732" t="s">
        <v>7104</v>
      </c>
      <c r="C732" t="s">
        <v>668</v>
      </c>
      <c r="D732" t="s">
        <v>8267</v>
      </c>
      <c r="L732" s="3" t="s">
        <v>1790</v>
      </c>
    </row>
    <row r="733" spans="1:12" x14ac:dyDescent="0.3">
      <c r="A733" t="s">
        <v>1417</v>
      </c>
      <c r="B733" t="s">
        <v>497</v>
      </c>
      <c r="C733" t="s">
        <v>4380</v>
      </c>
      <c r="D733" t="s">
        <v>8046</v>
      </c>
      <c r="L733" s="4" t="s">
        <v>1792</v>
      </c>
    </row>
    <row r="734" spans="1:12" x14ac:dyDescent="0.3">
      <c r="A734" t="s">
        <v>668</v>
      </c>
      <c r="B734" t="s">
        <v>4843</v>
      </c>
      <c r="C734" t="s">
        <v>497</v>
      </c>
      <c r="D734" t="s">
        <v>8046</v>
      </c>
      <c r="L734" s="3" t="s">
        <v>1794</v>
      </c>
    </row>
    <row r="735" spans="1:12" x14ac:dyDescent="0.3">
      <c r="A735" t="s">
        <v>521</v>
      </c>
      <c r="B735" t="s">
        <v>362</v>
      </c>
      <c r="C735" t="s">
        <v>497</v>
      </c>
      <c r="D735" t="s">
        <v>4380</v>
      </c>
      <c r="L735" s="4" t="s">
        <v>1797</v>
      </c>
    </row>
    <row r="736" spans="1:12" x14ac:dyDescent="0.3">
      <c r="A736" t="s">
        <v>1417</v>
      </c>
      <c r="B736" t="s">
        <v>8266</v>
      </c>
      <c r="C736" t="s">
        <v>668</v>
      </c>
      <c r="D736" t="s">
        <v>1417</v>
      </c>
      <c r="L736" s="3" t="s">
        <v>1800</v>
      </c>
    </row>
    <row r="737" spans="1:12" x14ac:dyDescent="0.3">
      <c r="A737" t="s">
        <v>1417</v>
      </c>
      <c r="B737" t="s">
        <v>7473</v>
      </c>
      <c r="C737" t="s">
        <v>5138</v>
      </c>
      <c r="D737" t="s">
        <v>4380</v>
      </c>
      <c r="L737" s="4" t="s">
        <v>1803</v>
      </c>
    </row>
    <row r="738" spans="1:12" x14ac:dyDescent="0.3">
      <c r="A738" t="s">
        <v>8268</v>
      </c>
      <c r="B738" t="s">
        <v>4843</v>
      </c>
      <c r="C738" t="s">
        <v>8046</v>
      </c>
      <c r="D738" t="s">
        <v>497</v>
      </c>
      <c r="L738" s="3" t="s">
        <v>1805</v>
      </c>
    </row>
    <row r="739" spans="1:12" x14ac:dyDescent="0.3">
      <c r="A739" t="s">
        <v>521</v>
      </c>
      <c r="B739" t="s">
        <v>7473</v>
      </c>
      <c r="C739" t="s">
        <v>8268</v>
      </c>
      <c r="D739" t="s">
        <v>7473</v>
      </c>
      <c r="L739" s="4" t="s">
        <v>1808</v>
      </c>
    </row>
    <row r="740" spans="1:12" x14ac:dyDescent="0.3">
      <c r="A740" t="s">
        <v>521</v>
      </c>
      <c r="B740" t="s">
        <v>668</v>
      </c>
      <c r="C740" t="s">
        <v>2701</v>
      </c>
      <c r="D740" t="s">
        <v>5138</v>
      </c>
      <c r="L740" s="3" t="s">
        <v>1811</v>
      </c>
    </row>
    <row r="741" spans="1:12" x14ac:dyDescent="0.3">
      <c r="A741" t="s">
        <v>521</v>
      </c>
      <c r="B741" t="s">
        <v>4380</v>
      </c>
      <c r="C741" t="s">
        <v>7104</v>
      </c>
      <c r="D741" t="s">
        <v>497</v>
      </c>
      <c r="L741" s="4" t="s">
        <v>1814</v>
      </c>
    </row>
    <row r="742" spans="1:12" x14ac:dyDescent="0.3">
      <c r="A742" t="s">
        <v>521</v>
      </c>
      <c r="B742" t="s">
        <v>1417</v>
      </c>
      <c r="C742" t="s">
        <v>5138</v>
      </c>
      <c r="D742" t="s">
        <v>1417</v>
      </c>
      <c r="L742" s="3" t="s">
        <v>1817</v>
      </c>
    </row>
    <row r="743" spans="1:12" x14ac:dyDescent="0.3">
      <c r="A743" t="s">
        <v>19</v>
      </c>
      <c r="B743" t="s">
        <v>668</v>
      </c>
      <c r="C743" t="s">
        <v>1417</v>
      </c>
      <c r="D743" t="s">
        <v>4380</v>
      </c>
      <c r="L743" s="4" t="s">
        <v>1819</v>
      </c>
    </row>
    <row r="744" spans="1:12" x14ac:dyDescent="0.3">
      <c r="A744" t="s">
        <v>1417</v>
      </c>
      <c r="B744" t="s">
        <v>8268</v>
      </c>
      <c r="C744" t="s">
        <v>668</v>
      </c>
      <c r="D744" t="s">
        <v>4380</v>
      </c>
      <c r="L744" s="3" t="s">
        <v>1822</v>
      </c>
    </row>
    <row r="745" spans="1:12" x14ac:dyDescent="0.3">
      <c r="A745" t="s">
        <v>521</v>
      </c>
      <c r="B745" t="s">
        <v>2701</v>
      </c>
      <c r="C745" t="s">
        <v>8266</v>
      </c>
      <c r="D745" t="s">
        <v>7104</v>
      </c>
      <c r="L745" s="4" t="s">
        <v>1824</v>
      </c>
    </row>
    <row r="746" spans="1:12" x14ac:dyDescent="0.3">
      <c r="A746" t="s">
        <v>4843</v>
      </c>
      <c r="B746" t="s">
        <v>8268</v>
      </c>
      <c r="C746" t="s">
        <v>5138</v>
      </c>
      <c r="D746" t="s">
        <v>8046</v>
      </c>
      <c r="L746" s="3" t="s">
        <v>1826</v>
      </c>
    </row>
    <row r="747" spans="1:12" x14ac:dyDescent="0.3">
      <c r="A747" t="s">
        <v>5138</v>
      </c>
      <c r="B747" t="s">
        <v>4843</v>
      </c>
      <c r="C747" t="s">
        <v>8267</v>
      </c>
      <c r="D747" t="s">
        <v>1417</v>
      </c>
      <c r="L747" s="4" t="s">
        <v>1829</v>
      </c>
    </row>
    <row r="748" spans="1:12" x14ac:dyDescent="0.3">
      <c r="A748" t="s">
        <v>521</v>
      </c>
      <c r="B748" t="s">
        <v>1417</v>
      </c>
      <c r="C748" t="s">
        <v>7473</v>
      </c>
      <c r="D748" t="s">
        <v>5043</v>
      </c>
      <c r="L748" s="3" t="s">
        <v>1832</v>
      </c>
    </row>
    <row r="749" spans="1:12" x14ac:dyDescent="0.3">
      <c r="A749" t="s">
        <v>668</v>
      </c>
      <c r="B749" t="s">
        <v>362</v>
      </c>
      <c r="C749" t="s">
        <v>8046</v>
      </c>
      <c r="D749" t="s">
        <v>8046</v>
      </c>
      <c r="L749" s="4" t="s">
        <v>1835</v>
      </c>
    </row>
    <row r="750" spans="1:12" x14ac:dyDescent="0.3">
      <c r="A750" t="s">
        <v>668</v>
      </c>
      <c r="B750" t="s">
        <v>668</v>
      </c>
      <c r="C750" t="s">
        <v>8269</v>
      </c>
      <c r="D750" t="s">
        <v>8267</v>
      </c>
      <c r="L750" s="3" t="s">
        <v>1837</v>
      </c>
    </row>
    <row r="751" spans="1:12" x14ac:dyDescent="0.3">
      <c r="A751" t="s">
        <v>668</v>
      </c>
      <c r="B751" t="s">
        <v>362</v>
      </c>
      <c r="C751" t="s">
        <v>7104</v>
      </c>
      <c r="D751" t="s">
        <v>4380</v>
      </c>
      <c r="L751" s="4" t="s">
        <v>1839</v>
      </c>
    </row>
    <row r="752" spans="1:12" x14ac:dyDescent="0.3">
      <c r="A752" t="s">
        <v>521</v>
      </c>
      <c r="B752" t="s">
        <v>8268</v>
      </c>
      <c r="C752" t="s">
        <v>8268</v>
      </c>
      <c r="D752" t="s">
        <v>4380</v>
      </c>
      <c r="L752" s="3" t="s">
        <v>1841</v>
      </c>
    </row>
    <row r="753" spans="1:12" x14ac:dyDescent="0.3">
      <c r="A753" t="s">
        <v>1417</v>
      </c>
      <c r="B753" t="s">
        <v>668</v>
      </c>
      <c r="C753" t="s">
        <v>668</v>
      </c>
      <c r="D753" t="s">
        <v>8269</v>
      </c>
      <c r="L753" s="4" t="s">
        <v>1844</v>
      </c>
    </row>
    <row r="754" spans="1:12" x14ac:dyDescent="0.3">
      <c r="A754" t="s">
        <v>362</v>
      </c>
      <c r="B754" t="s">
        <v>1417</v>
      </c>
      <c r="C754" t="s">
        <v>6902</v>
      </c>
      <c r="D754" t="s">
        <v>7473</v>
      </c>
      <c r="L754" s="3" t="s">
        <v>1846</v>
      </c>
    </row>
    <row r="755" spans="1:12" x14ac:dyDescent="0.3">
      <c r="A755" t="s">
        <v>521</v>
      </c>
      <c r="B755" t="s">
        <v>1417</v>
      </c>
      <c r="C755" t="s">
        <v>7473</v>
      </c>
      <c r="D755" t="s">
        <v>4380</v>
      </c>
      <c r="L755" s="4" t="s">
        <v>1848</v>
      </c>
    </row>
    <row r="756" spans="1:12" x14ac:dyDescent="0.3">
      <c r="A756" t="s">
        <v>521</v>
      </c>
      <c r="B756" t="s">
        <v>8268</v>
      </c>
      <c r="C756" t="s">
        <v>7473</v>
      </c>
      <c r="D756" t="s">
        <v>4380</v>
      </c>
      <c r="L756" s="3" t="s">
        <v>1850</v>
      </c>
    </row>
    <row r="757" spans="1:12" x14ac:dyDescent="0.3">
      <c r="A757" t="s">
        <v>1417</v>
      </c>
      <c r="B757" t="s">
        <v>7104</v>
      </c>
      <c r="C757" t="s">
        <v>8266</v>
      </c>
      <c r="D757" t="s">
        <v>4380</v>
      </c>
      <c r="L757" s="4" t="s">
        <v>1854</v>
      </c>
    </row>
    <row r="758" spans="1:12" x14ac:dyDescent="0.3">
      <c r="A758" t="s">
        <v>362</v>
      </c>
      <c r="B758" t="s">
        <v>8268</v>
      </c>
      <c r="C758" t="s">
        <v>5138</v>
      </c>
      <c r="D758" t="s">
        <v>4380</v>
      </c>
      <c r="L758" s="3" t="s">
        <v>1856</v>
      </c>
    </row>
    <row r="759" spans="1:12" x14ac:dyDescent="0.3">
      <c r="A759" t="s">
        <v>668</v>
      </c>
      <c r="B759" t="s">
        <v>4843</v>
      </c>
      <c r="C759" t="s">
        <v>7473</v>
      </c>
      <c r="D759" t="s">
        <v>497</v>
      </c>
      <c r="L759" s="4" t="s">
        <v>1859</v>
      </c>
    </row>
    <row r="760" spans="1:12" x14ac:dyDescent="0.3">
      <c r="A760" t="s">
        <v>521</v>
      </c>
      <c r="B760" t="s">
        <v>362</v>
      </c>
      <c r="C760" t="s">
        <v>7473</v>
      </c>
      <c r="D760" t="s">
        <v>4380</v>
      </c>
      <c r="L760" s="3" t="s">
        <v>1862</v>
      </c>
    </row>
    <row r="761" spans="1:12" x14ac:dyDescent="0.3">
      <c r="A761" t="s">
        <v>521</v>
      </c>
      <c r="B761" t="s">
        <v>8268</v>
      </c>
      <c r="C761" t="s">
        <v>7473</v>
      </c>
      <c r="D761" t="s">
        <v>5043</v>
      </c>
      <c r="L761" s="4" t="s">
        <v>1864</v>
      </c>
    </row>
    <row r="762" spans="1:12" x14ac:dyDescent="0.3">
      <c r="A762" t="s">
        <v>521</v>
      </c>
      <c r="B762" t="s">
        <v>8267</v>
      </c>
      <c r="C762" t="s">
        <v>4380</v>
      </c>
      <c r="D762" t="s">
        <v>7473</v>
      </c>
      <c r="L762" s="3" t="s">
        <v>1867</v>
      </c>
    </row>
    <row r="763" spans="1:12" x14ac:dyDescent="0.3">
      <c r="A763" t="s">
        <v>5524</v>
      </c>
      <c r="B763" t="s">
        <v>1417</v>
      </c>
      <c r="C763" t="s">
        <v>1417</v>
      </c>
      <c r="D763" t="s">
        <v>4380</v>
      </c>
      <c r="L763" s="4" t="s">
        <v>1870</v>
      </c>
    </row>
    <row r="764" spans="1:12" x14ac:dyDescent="0.3">
      <c r="A764" t="s">
        <v>521</v>
      </c>
      <c r="B764" t="s">
        <v>8266</v>
      </c>
      <c r="C764" t="s">
        <v>7473</v>
      </c>
      <c r="D764" t="s">
        <v>497</v>
      </c>
      <c r="L764" s="3" t="s">
        <v>1873</v>
      </c>
    </row>
    <row r="765" spans="1:12" x14ac:dyDescent="0.3">
      <c r="A765" t="s">
        <v>521</v>
      </c>
      <c r="B765" t="s">
        <v>8268</v>
      </c>
      <c r="C765" t="s">
        <v>4380</v>
      </c>
      <c r="D765" t="s">
        <v>8266</v>
      </c>
      <c r="L765" s="4" t="s">
        <v>1876</v>
      </c>
    </row>
    <row r="766" spans="1:12" x14ac:dyDescent="0.3">
      <c r="A766" t="s">
        <v>521</v>
      </c>
      <c r="B766" t="s">
        <v>8268</v>
      </c>
      <c r="C766" t="s">
        <v>1417</v>
      </c>
      <c r="D766" t="s">
        <v>7473</v>
      </c>
      <c r="L766" s="3" t="s">
        <v>1878</v>
      </c>
    </row>
    <row r="767" spans="1:12" x14ac:dyDescent="0.3">
      <c r="A767" t="s">
        <v>362</v>
      </c>
      <c r="B767" t="s">
        <v>8268</v>
      </c>
      <c r="C767" t="s">
        <v>8269</v>
      </c>
      <c r="D767" t="s">
        <v>2701</v>
      </c>
      <c r="L767" s="4" t="s">
        <v>1880</v>
      </c>
    </row>
    <row r="768" spans="1:12" x14ac:dyDescent="0.3">
      <c r="A768" t="s">
        <v>668</v>
      </c>
      <c r="B768" t="s">
        <v>1417</v>
      </c>
      <c r="C768" t="s">
        <v>4380</v>
      </c>
      <c r="D768" t="s">
        <v>8046</v>
      </c>
      <c r="L768" s="3" t="s">
        <v>1882</v>
      </c>
    </row>
    <row r="769" spans="1:12" x14ac:dyDescent="0.3">
      <c r="A769" t="s">
        <v>521</v>
      </c>
      <c r="B769" t="s">
        <v>497</v>
      </c>
      <c r="C769" t="s">
        <v>4380</v>
      </c>
      <c r="D769" t="s">
        <v>4380</v>
      </c>
      <c r="L769" s="4" t="s">
        <v>1884</v>
      </c>
    </row>
    <row r="770" spans="1:12" x14ac:dyDescent="0.3">
      <c r="A770" t="s">
        <v>521</v>
      </c>
      <c r="B770" t="s">
        <v>668</v>
      </c>
      <c r="C770" t="s">
        <v>2701</v>
      </c>
      <c r="D770" t="s">
        <v>7104</v>
      </c>
      <c r="L770" s="3" t="s">
        <v>1886</v>
      </c>
    </row>
    <row r="771" spans="1:12" x14ac:dyDescent="0.3">
      <c r="A771" t="s">
        <v>521</v>
      </c>
      <c r="B771" t="s">
        <v>668</v>
      </c>
      <c r="C771" t="s">
        <v>8267</v>
      </c>
      <c r="D771" t="s">
        <v>4380</v>
      </c>
      <c r="L771" s="4" t="s">
        <v>1888</v>
      </c>
    </row>
    <row r="772" spans="1:12" x14ac:dyDescent="0.3">
      <c r="A772" t="s">
        <v>521</v>
      </c>
      <c r="B772" t="s">
        <v>362</v>
      </c>
      <c r="C772" t="s">
        <v>1417</v>
      </c>
      <c r="D772" t="s">
        <v>4380</v>
      </c>
      <c r="L772" s="3" t="s">
        <v>1891</v>
      </c>
    </row>
    <row r="773" spans="1:12" x14ac:dyDescent="0.3">
      <c r="A773" t="s">
        <v>362</v>
      </c>
      <c r="B773" t="s">
        <v>497</v>
      </c>
      <c r="C773" t="s">
        <v>4380</v>
      </c>
      <c r="D773" t="s">
        <v>5043</v>
      </c>
      <c r="L773" s="4" t="s">
        <v>1893</v>
      </c>
    </row>
    <row r="774" spans="1:12" x14ac:dyDescent="0.3">
      <c r="A774" t="s">
        <v>5524</v>
      </c>
      <c r="B774" t="s">
        <v>4843</v>
      </c>
      <c r="C774" t="s">
        <v>7473</v>
      </c>
      <c r="D774" t="s">
        <v>4380</v>
      </c>
      <c r="L774" s="3" t="s">
        <v>1896</v>
      </c>
    </row>
    <row r="775" spans="1:12" x14ac:dyDescent="0.3">
      <c r="A775" t="s">
        <v>8268</v>
      </c>
      <c r="B775" t="s">
        <v>5138</v>
      </c>
      <c r="C775" t="s">
        <v>6902</v>
      </c>
      <c r="D775" t="s">
        <v>4380</v>
      </c>
      <c r="L775" s="4" t="s">
        <v>1899</v>
      </c>
    </row>
    <row r="776" spans="1:12" x14ac:dyDescent="0.3">
      <c r="A776" t="s">
        <v>668</v>
      </c>
      <c r="B776" t="s">
        <v>362</v>
      </c>
      <c r="C776" t="s">
        <v>668</v>
      </c>
      <c r="D776" t="s">
        <v>5043</v>
      </c>
      <c r="L776" s="3" t="s">
        <v>1902</v>
      </c>
    </row>
    <row r="777" spans="1:12" x14ac:dyDescent="0.3">
      <c r="A777" t="s">
        <v>668</v>
      </c>
      <c r="B777" t="s">
        <v>497</v>
      </c>
      <c r="C777" t="s">
        <v>1417</v>
      </c>
      <c r="D777" t="s">
        <v>5138</v>
      </c>
      <c r="L777" s="4" t="s">
        <v>1904</v>
      </c>
    </row>
    <row r="778" spans="1:12" x14ac:dyDescent="0.3">
      <c r="A778" t="s">
        <v>521</v>
      </c>
      <c r="B778" t="s">
        <v>1417</v>
      </c>
      <c r="C778" t="s">
        <v>1417</v>
      </c>
      <c r="D778" t="s">
        <v>6171</v>
      </c>
      <c r="L778" s="3" t="s">
        <v>1906</v>
      </c>
    </row>
    <row r="779" spans="1:12" x14ac:dyDescent="0.3">
      <c r="A779" t="s">
        <v>362</v>
      </c>
      <c r="B779" t="s">
        <v>362</v>
      </c>
      <c r="C779" t="s">
        <v>497</v>
      </c>
      <c r="D779" t="s">
        <v>7104</v>
      </c>
      <c r="L779" s="4" t="s">
        <v>1908</v>
      </c>
    </row>
    <row r="780" spans="1:12" x14ac:dyDescent="0.3">
      <c r="A780" t="s">
        <v>521</v>
      </c>
      <c r="B780" t="s">
        <v>1417</v>
      </c>
      <c r="C780" t="s">
        <v>7104</v>
      </c>
      <c r="D780" t="s">
        <v>4380</v>
      </c>
      <c r="L780" s="3" t="s">
        <v>1911</v>
      </c>
    </row>
    <row r="781" spans="1:12" x14ac:dyDescent="0.3">
      <c r="A781" t="s">
        <v>668</v>
      </c>
      <c r="B781" t="s">
        <v>5138</v>
      </c>
      <c r="C781" t="s">
        <v>497</v>
      </c>
      <c r="D781" t="s">
        <v>5138</v>
      </c>
      <c r="L781" s="4" t="s">
        <v>1914</v>
      </c>
    </row>
    <row r="782" spans="1:12" x14ac:dyDescent="0.3">
      <c r="A782" t="s">
        <v>1417</v>
      </c>
      <c r="B782" t="s">
        <v>497</v>
      </c>
      <c r="C782" t="s">
        <v>668</v>
      </c>
      <c r="D782" t="s">
        <v>7473</v>
      </c>
      <c r="L782" s="3" t="s">
        <v>1916</v>
      </c>
    </row>
    <row r="783" spans="1:12" x14ac:dyDescent="0.3">
      <c r="A783" t="s">
        <v>8268</v>
      </c>
      <c r="B783" t="s">
        <v>2701</v>
      </c>
      <c r="C783" t="s">
        <v>4380</v>
      </c>
      <c r="D783" t="s">
        <v>4380</v>
      </c>
      <c r="L783" s="4" t="s">
        <v>1918</v>
      </c>
    </row>
    <row r="784" spans="1:12" x14ac:dyDescent="0.3">
      <c r="A784" t="s">
        <v>2701</v>
      </c>
      <c r="B784" t="s">
        <v>668</v>
      </c>
      <c r="C784" t="s">
        <v>1417</v>
      </c>
      <c r="D784" t="s">
        <v>4380</v>
      </c>
      <c r="L784" s="3" t="s">
        <v>1921</v>
      </c>
    </row>
    <row r="785" spans="1:12" x14ac:dyDescent="0.3">
      <c r="A785" t="s">
        <v>668</v>
      </c>
      <c r="B785" t="s">
        <v>2701</v>
      </c>
      <c r="C785" t="s">
        <v>7473</v>
      </c>
      <c r="D785" t="s">
        <v>7473</v>
      </c>
      <c r="L785" s="4" t="s">
        <v>1923</v>
      </c>
    </row>
    <row r="786" spans="1:12" x14ac:dyDescent="0.3">
      <c r="A786" t="s">
        <v>521</v>
      </c>
      <c r="B786" t="s">
        <v>1417</v>
      </c>
      <c r="C786" t="s">
        <v>7473</v>
      </c>
      <c r="D786" t="s">
        <v>7473</v>
      </c>
      <c r="L786" s="3" t="s">
        <v>1925</v>
      </c>
    </row>
    <row r="787" spans="1:12" x14ac:dyDescent="0.3">
      <c r="A787" t="s">
        <v>521</v>
      </c>
      <c r="B787" t="s">
        <v>7104</v>
      </c>
      <c r="C787" t="s">
        <v>1417</v>
      </c>
      <c r="D787" t="s">
        <v>497</v>
      </c>
      <c r="L787" s="4" t="s">
        <v>1927</v>
      </c>
    </row>
    <row r="788" spans="1:12" x14ac:dyDescent="0.3">
      <c r="A788" t="s">
        <v>5524</v>
      </c>
      <c r="B788" t="s">
        <v>8268</v>
      </c>
      <c r="C788" t="s">
        <v>4380</v>
      </c>
      <c r="D788" t="s">
        <v>4380</v>
      </c>
      <c r="L788" s="3" t="s">
        <v>1929</v>
      </c>
    </row>
    <row r="789" spans="1:12" x14ac:dyDescent="0.3">
      <c r="A789" t="s">
        <v>1417</v>
      </c>
      <c r="B789" t="s">
        <v>668</v>
      </c>
      <c r="C789" t="s">
        <v>8268</v>
      </c>
      <c r="D789" t="s">
        <v>668</v>
      </c>
      <c r="L789" s="4" t="s">
        <v>1931</v>
      </c>
    </row>
    <row r="790" spans="1:12" x14ac:dyDescent="0.3">
      <c r="A790" t="s">
        <v>362</v>
      </c>
      <c r="B790" t="s">
        <v>362</v>
      </c>
      <c r="C790" t="s">
        <v>2701</v>
      </c>
      <c r="D790" t="s">
        <v>5138</v>
      </c>
      <c r="L790" s="3" t="s">
        <v>1933</v>
      </c>
    </row>
    <row r="791" spans="1:12" x14ac:dyDescent="0.3">
      <c r="A791" t="s">
        <v>4843</v>
      </c>
      <c r="B791" t="s">
        <v>1417</v>
      </c>
      <c r="C791" t="s">
        <v>8268</v>
      </c>
      <c r="D791" t="s">
        <v>7104</v>
      </c>
      <c r="L791" s="4" t="s">
        <v>1935</v>
      </c>
    </row>
    <row r="792" spans="1:12" x14ac:dyDescent="0.3">
      <c r="A792" t="s">
        <v>521</v>
      </c>
      <c r="B792" t="s">
        <v>362</v>
      </c>
      <c r="C792" t="s">
        <v>1417</v>
      </c>
      <c r="D792" t="s">
        <v>7473</v>
      </c>
      <c r="L792" s="3" t="s">
        <v>1937</v>
      </c>
    </row>
    <row r="793" spans="1:12" x14ac:dyDescent="0.3">
      <c r="A793" t="s">
        <v>521</v>
      </c>
      <c r="B793" t="s">
        <v>1417</v>
      </c>
      <c r="C793" t="s">
        <v>8266</v>
      </c>
      <c r="D793" t="s">
        <v>8046</v>
      </c>
      <c r="L793" s="4" t="s">
        <v>1939</v>
      </c>
    </row>
    <row r="794" spans="1:12" x14ac:dyDescent="0.3">
      <c r="A794" t="s">
        <v>362</v>
      </c>
      <c r="B794" t="s">
        <v>362</v>
      </c>
      <c r="C794" t="s">
        <v>1417</v>
      </c>
      <c r="D794" t="s">
        <v>497</v>
      </c>
      <c r="L794" s="3" t="s">
        <v>1941</v>
      </c>
    </row>
    <row r="795" spans="1:12" x14ac:dyDescent="0.3">
      <c r="A795" t="s">
        <v>2701</v>
      </c>
      <c r="B795" t="s">
        <v>1417</v>
      </c>
      <c r="C795" t="s">
        <v>8266</v>
      </c>
      <c r="D795" t="s">
        <v>4380</v>
      </c>
      <c r="L795" s="4" t="s">
        <v>1943</v>
      </c>
    </row>
    <row r="796" spans="1:12" x14ac:dyDescent="0.3">
      <c r="A796" t="s">
        <v>521</v>
      </c>
      <c r="B796" t="s">
        <v>5524</v>
      </c>
      <c r="C796" t="s">
        <v>7104</v>
      </c>
      <c r="D796" t="s">
        <v>4380</v>
      </c>
      <c r="L796" s="3" t="s">
        <v>1945</v>
      </c>
    </row>
    <row r="797" spans="1:12" x14ac:dyDescent="0.3">
      <c r="A797" t="s">
        <v>1417</v>
      </c>
      <c r="B797" t="s">
        <v>668</v>
      </c>
      <c r="C797" t="s">
        <v>5138</v>
      </c>
      <c r="D797" t="s">
        <v>8268</v>
      </c>
      <c r="L797" s="4" t="s">
        <v>1947</v>
      </c>
    </row>
    <row r="798" spans="1:12" x14ac:dyDescent="0.3">
      <c r="A798" t="s">
        <v>8268</v>
      </c>
      <c r="B798" t="s">
        <v>7104</v>
      </c>
      <c r="C798" t="s">
        <v>7473</v>
      </c>
      <c r="D798" t="s">
        <v>8268</v>
      </c>
      <c r="L798" s="3" t="s">
        <v>1949</v>
      </c>
    </row>
    <row r="799" spans="1:12" x14ac:dyDescent="0.3">
      <c r="A799" t="s">
        <v>521</v>
      </c>
      <c r="B799" t="s">
        <v>497</v>
      </c>
      <c r="C799" t="s">
        <v>7104</v>
      </c>
      <c r="D799" t="s">
        <v>4380</v>
      </c>
      <c r="L799" s="4" t="s">
        <v>1951</v>
      </c>
    </row>
    <row r="800" spans="1:12" x14ac:dyDescent="0.3">
      <c r="A800" t="s">
        <v>521</v>
      </c>
      <c r="B800" t="s">
        <v>7104</v>
      </c>
      <c r="C800" t="s">
        <v>8267</v>
      </c>
      <c r="D800" t="s">
        <v>4380</v>
      </c>
      <c r="L800" s="3" t="s">
        <v>1953</v>
      </c>
    </row>
    <row r="801" spans="1:12" x14ac:dyDescent="0.3">
      <c r="A801" t="s">
        <v>2701</v>
      </c>
      <c r="B801" t="s">
        <v>362</v>
      </c>
      <c r="C801" t="s">
        <v>4380</v>
      </c>
      <c r="D801" t="s">
        <v>7104</v>
      </c>
      <c r="L801" s="4" t="s">
        <v>1956</v>
      </c>
    </row>
    <row r="802" spans="1:12" x14ac:dyDescent="0.3">
      <c r="A802" t="s">
        <v>1417</v>
      </c>
      <c r="B802" t="s">
        <v>1417</v>
      </c>
      <c r="C802" t="s">
        <v>4380</v>
      </c>
      <c r="D802" t="s">
        <v>7104</v>
      </c>
      <c r="L802" s="3" t="s">
        <v>1958</v>
      </c>
    </row>
    <row r="803" spans="1:12" x14ac:dyDescent="0.3">
      <c r="A803" t="s">
        <v>497</v>
      </c>
      <c r="B803" t="s">
        <v>6171</v>
      </c>
      <c r="C803" t="s">
        <v>7104</v>
      </c>
      <c r="D803" t="s">
        <v>7473</v>
      </c>
      <c r="L803" s="4" t="s">
        <v>1960</v>
      </c>
    </row>
    <row r="804" spans="1:12" x14ac:dyDescent="0.3">
      <c r="A804" t="s">
        <v>362</v>
      </c>
      <c r="B804" t="s">
        <v>1417</v>
      </c>
      <c r="C804" t="s">
        <v>4380</v>
      </c>
      <c r="D804" t="s">
        <v>4380</v>
      </c>
      <c r="L804" s="3" t="s">
        <v>1962</v>
      </c>
    </row>
    <row r="805" spans="1:12" x14ac:dyDescent="0.3">
      <c r="A805" t="s">
        <v>1417</v>
      </c>
      <c r="B805" t="s">
        <v>362</v>
      </c>
      <c r="C805" t="s">
        <v>668</v>
      </c>
      <c r="D805" t="s">
        <v>7473</v>
      </c>
      <c r="L805" s="4" t="s">
        <v>1964</v>
      </c>
    </row>
    <row r="806" spans="1:12" x14ac:dyDescent="0.3">
      <c r="A806" t="s">
        <v>668</v>
      </c>
      <c r="B806" t="s">
        <v>362</v>
      </c>
      <c r="C806" t="s">
        <v>668</v>
      </c>
      <c r="D806" t="s">
        <v>4380</v>
      </c>
      <c r="L806" s="3" t="s">
        <v>1966</v>
      </c>
    </row>
    <row r="807" spans="1:12" x14ac:dyDescent="0.3">
      <c r="A807" t="s">
        <v>362</v>
      </c>
      <c r="B807" t="s">
        <v>7473</v>
      </c>
      <c r="C807" t="s">
        <v>7104</v>
      </c>
      <c r="D807" t="s">
        <v>4380</v>
      </c>
      <c r="L807" s="4" t="s">
        <v>1968</v>
      </c>
    </row>
    <row r="808" spans="1:12" x14ac:dyDescent="0.3">
      <c r="A808" t="s">
        <v>521</v>
      </c>
      <c r="B808" t="s">
        <v>8266</v>
      </c>
      <c r="C808" t="s">
        <v>8266</v>
      </c>
      <c r="D808" t="s">
        <v>7473</v>
      </c>
      <c r="L808" s="3" t="s">
        <v>1971</v>
      </c>
    </row>
    <row r="809" spans="1:12" x14ac:dyDescent="0.3">
      <c r="A809" t="s">
        <v>521</v>
      </c>
      <c r="B809" t="s">
        <v>362</v>
      </c>
      <c r="C809" t="s">
        <v>2701</v>
      </c>
      <c r="D809" t="s">
        <v>8269</v>
      </c>
      <c r="L809" s="4" t="s">
        <v>1973</v>
      </c>
    </row>
    <row r="810" spans="1:12" x14ac:dyDescent="0.3">
      <c r="A810" t="s">
        <v>521</v>
      </c>
      <c r="B810" t="s">
        <v>668</v>
      </c>
      <c r="C810" t="s">
        <v>5138</v>
      </c>
      <c r="D810" t="s">
        <v>8267</v>
      </c>
      <c r="L810" s="3" t="s">
        <v>1975</v>
      </c>
    </row>
    <row r="811" spans="1:12" x14ac:dyDescent="0.3">
      <c r="A811" t="s">
        <v>362</v>
      </c>
      <c r="B811" t="s">
        <v>497</v>
      </c>
      <c r="C811" t="s">
        <v>4380</v>
      </c>
      <c r="D811" t="s">
        <v>8267</v>
      </c>
      <c r="L811" s="4" t="s">
        <v>1977</v>
      </c>
    </row>
    <row r="812" spans="1:12" x14ac:dyDescent="0.3">
      <c r="A812" t="s">
        <v>521</v>
      </c>
      <c r="B812" t="s">
        <v>5043</v>
      </c>
      <c r="C812" t="s">
        <v>668</v>
      </c>
      <c r="D812" t="s">
        <v>8266</v>
      </c>
      <c r="L812" s="3" t="s">
        <v>1979</v>
      </c>
    </row>
    <row r="813" spans="1:12" x14ac:dyDescent="0.3">
      <c r="A813" t="s">
        <v>521</v>
      </c>
      <c r="B813" t="s">
        <v>7473</v>
      </c>
      <c r="C813" t="s">
        <v>1417</v>
      </c>
      <c r="D813" t="s">
        <v>4380</v>
      </c>
      <c r="L813" s="4" t="s">
        <v>1981</v>
      </c>
    </row>
    <row r="814" spans="1:12" x14ac:dyDescent="0.3">
      <c r="A814" t="s">
        <v>521</v>
      </c>
      <c r="B814" t="s">
        <v>668</v>
      </c>
      <c r="C814" t="s">
        <v>8269</v>
      </c>
      <c r="D814" t="s">
        <v>7473</v>
      </c>
      <c r="L814" s="3" t="s">
        <v>1983</v>
      </c>
    </row>
    <row r="815" spans="1:12" x14ac:dyDescent="0.3">
      <c r="A815" t="s">
        <v>668</v>
      </c>
      <c r="B815" t="s">
        <v>8268</v>
      </c>
      <c r="C815" t="s">
        <v>4380</v>
      </c>
      <c r="D815" t="s">
        <v>6902</v>
      </c>
      <c r="L815" s="4" t="s">
        <v>1985</v>
      </c>
    </row>
    <row r="816" spans="1:12" x14ac:dyDescent="0.3">
      <c r="A816" t="s">
        <v>521</v>
      </c>
      <c r="B816" t="s">
        <v>1417</v>
      </c>
      <c r="C816" t="s">
        <v>8266</v>
      </c>
      <c r="D816" t="s">
        <v>4380</v>
      </c>
      <c r="L816" s="3" t="s">
        <v>1987</v>
      </c>
    </row>
    <row r="817" spans="1:12" x14ac:dyDescent="0.3">
      <c r="A817" t="s">
        <v>362</v>
      </c>
      <c r="B817" t="s">
        <v>668</v>
      </c>
      <c r="C817" t="s">
        <v>1417</v>
      </c>
      <c r="D817" t="s">
        <v>7473</v>
      </c>
      <c r="L817" s="4" t="s">
        <v>1990</v>
      </c>
    </row>
    <row r="818" spans="1:12" x14ac:dyDescent="0.3">
      <c r="A818" t="s">
        <v>668</v>
      </c>
      <c r="B818" t="s">
        <v>4843</v>
      </c>
      <c r="C818" t="s">
        <v>8268</v>
      </c>
      <c r="D818" t="s">
        <v>8046</v>
      </c>
      <c r="L818" s="3" t="s">
        <v>1993</v>
      </c>
    </row>
    <row r="819" spans="1:12" x14ac:dyDescent="0.3">
      <c r="A819" t="s">
        <v>668</v>
      </c>
      <c r="B819" t="s">
        <v>362</v>
      </c>
      <c r="C819" t="s">
        <v>2701</v>
      </c>
      <c r="D819" t="s">
        <v>4380</v>
      </c>
      <c r="L819" s="4" t="s">
        <v>1995</v>
      </c>
    </row>
    <row r="820" spans="1:12" x14ac:dyDescent="0.3">
      <c r="A820" t="s">
        <v>668</v>
      </c>
      <c r="B820" t="s">
        <v>7473</v>
      </c>
      <c r="C820" t="s">
        <v>5138</v>
      </c>
      <c r="D820" t="s">
        <v>7104</v>
      </c>
      <c r="L820" s="3" t="s">
        <v>1997</v>
      </c>
    </row>
    <row r="821" spans="1:12" x14ac:dyDescent="0.3">
      <c r="A821" t="s">
        <v>521</v>
      </c>
      <c r="B821" t="s">
        <v>7473</v>
      </c>
      <c r="C821" t="s">
        <v>7473</v>
      </c>
      <c r="D821" t="s">
        <v>497</v>
      </c>
      <c r="L821" s="4" t="s">
        <v>1999</v>
      </c>
    </row>
    <row r="822" spans="1:12" x14ac:dyDescent="0.3">
      <c r="A822" t="s">
        <v>668</v>
      </c>
      <c r="B822" t="s">
        <v>362</v>
      </c>
      <c r="C822" t="s">
        <v>7473</v>
      </c>
      <c r="D822" t="s">
        <v>8269</v>
      </c>
      <c r="L822" s="3" t="s">
        <v>2002</v>
      </c>
    </row>
    <row r="823" spans="1:12" x14ac:dyDescent="0.3">
      <c r="A823" t="s">
        <v>668</v>
      </c>
      <c r="B823" t="s">
        <v>7473</v>
      </c>
      <c r="C823" t="s">
        <v>4380</v>
      </c>
      <c r="D823" t="s">
        <v>7473</v>
      </c>
      <c r="L823" s="4" t="s">
        <v>2005</v>
      </c>
    </row>
    <row r="824" spans="1:12" x14ac:dyDescent="0.3">
      <c r="A824" t="s">
        <v>668</v>
      </c>
      <c r="B824" t="s">
        <v>1417</v>
      </c>
      <c r="C824" t="s">
        <v>7104</v>
      </c>
      <c r="D824" t="s">
        <v>4380</v>
      </c>
      <c r="L824" s="3" t="s">
        <v>2007</v>
      </c>
    </row>
    <row r="825" spans="1:12" x14ac:dyDescent="0.3">
      <c r="A825" t="s">
        <v>668</v>
      </c>
      <c r="B825" t="s">
        <v>8268</v>
      </c>
      <c r="C825" t="s">
        <v>4380</v>
      </c>
      <c r="D825" t="s">
        <v>1417</v>
      </c>
      <c r="L825" s="4" t="s">
        <v>2010</v>
      </c>
    </row>
    <row r="826" spans="1:12" x14ac:dyDescent="0.3">
      <c r="A826" t="s">
        <v>521</v>
      </c>
      <c r="B826" t="s">
        <v>7104</v>
      </c>
      <c r="C826" t="s">
        <v>7473</v>
      </c>
      <c r="D826" t="s">
        <v>1417</v>
      </c>
      <c r="L826" s="3" t="s">
        <v>2013</v>
      </c>
    </row>
    <row r="827" spans="1:12" x14ac:dyDescent="0.3">
      <c r="A827" t="s">
        <v>521</v>
      </c>
      <c r="B827" t="s">
        <v>8268</v>
      </c>
      <c r="C827" t="s">
        <v>4380</v>
      </c>
      <c r="D827" t="s">
        <v>4380</v>
      </c>
      <c r="L827" s="4" t="s">
        <v>2017</v>
      </c>
    </row>
    <row r="828" spans="1:12" x14ac:dyDescent="0.3">
      <c r="A828" t="s">
        <v>668</v>
      </c>
      <c r="B828" t="s">
        <v>1417</v>
      </c>
      <c r="C828" t="s">
        <v>8267</v>
      </c>
      <c r="D828" t="s">
        <v>2701</v>
      </c>
      <c r="L828" s="3" t="s">
        <v>2019</v>
      </c>
    </row>
    <row r="829" spans="1:12" x14ac:dyDescent="0.3">
      <c r="A829" t="s">
        <v>1417</v>
      </c>
      <c r="B829" t="s">
        <v>1417</v>
      </c>
      <c r="C829" t="s">
        <v>8266</v>
      </c>
      <c r="D829" t="s">
        <v>4380</v>
      </c>
      <c r="L829" s="4" t="s">
        <v>2021</v>
      </c>
    </row>
    <row r="830" spans="1:12" x14ac:dyDescent="0.3">
      <c r="A830" t="s">
        <v>668</v>
      </c>
      <c r="B830" t="s">
        <v>1417</v>
      </c>
      <c r="C830" t="s">
        <v>1417</v>
      </c>
      <c r="D830" t="s">
        <v>7473</v>
      </c>
      <c r="L830" s="3" t="s">
        <v>2023</v>
      </c>
    </row>
    <row r="831" spans="1:12" x14ac:dyDescent="0.3">
      <c r="A831" t="s">
        <v>521</v>
      </c>
      <c r="B831" t="s">
        <v>8266</v>
      </c>
      <c r="C831" t="s">
        <v>4380</v>
      </c>
      <c r="D831" t="s">
        <v>8267</v>
      </c>
      <c r="L831" s="4" t="s">
        <v>2025</v>
      </c>
    </row>
    <row r="832" spans="1:12" x14ac:dyDescent="0.3">
      <c r="A832" t="s">
        <v>521</v>
      </c>
      <c r="B832" t="s">
        <v>4380</v>
      </c>
      <c r="C832" t="s">
        <v>4380</v>
      </c>
      <c r="D832" t="s">
        <v>7104</v>
      </c>
      <c r="L832" s="3" t="s">
        <v>2027</v>
      </c>
    </row>
    <row r="833" spans="1:12" x14ac:dyDescent="0.3">
      <c r="A833" t="s">
        <v>521</v>
      </c>
      <c r="B833" t="s">
        <v>497</v>
      </c>
      <c r="C833" t="s">
        <v>4380</v>
      </c>
      <c r="D833" t="s">
        <v>7473</v>
      </c>
      <c r="L833" s="4" t="s">
        <v>2029</v>
      </c>
    </row>
    <row r="834" spans="1:12" x14ac:dyDescent="0.3">
      <c r="A834" t="s">
        <v>1417</v>
      </c>
      <c r="B834" t="s">
        <v>362</v>
      </c>
      <c r="C834" t="s">
        <v>7473</v>
      </c>
      <c r="D834" t="s">
        <v>8269</v>
      </c>
      <c r="L834" s="3" t="s">
        <v>2031</v>
      </c>
    </row>
    <row r="835" spans="1:12" x14ac:dyDescent="0.3">
      <c r="A835" t="s">
        <v>668</v>
      </c>
      <c r="B835" t="s">
        <v>8268</v>
      </c>
      <c r="C835" t="s">
        <v>7473</v>
      </c>
      <c r="D835" t="s">
        <v>4380</v>
      </c>
      <c r="L835" s="4" t="s">
        <v>2033</v>
      </c>
    </row>
    <row r="836" spans="1:12" x14ac:dyDescent="0.3">
      <c r="A836" t="s">
        <v>521</v>
      </c>
      <c r="B836" t="s">
        <v>668</v>
      </c>
      <c r="C836" t="s">
        <v>1417</v>
      </c>
      <c r="D836" t="s">
        <v>4380</v>
      </c>
      <c r="L836" s="3" t="s">
        <v>2035</v>
      </c>
    </row>
    <row r="837" spans="1:12" x14ac:dyDescent="0.3">
      <c r="A837" t="s">
        <v>521</v>
      </c>
      <c r="B837" t="s">
        <v>497</v>
      </c>
      <c r="C837" t="s">
        <v>1417</v>
      </c>
      <c r="D837" t="s">
        <v>497</v>
      </c>
      <c r="L837" s="4" t="s">
        <v>2038</v>
      </c>
    </row>
    <row r="838" spans="1:12" x14ac:dyDescent="0.3">
      <c r="A838" t="s">
        <v>668</v>
      </c>
      <c r="B838" t="s">
        <v>362</v>
      </c>
      <c r="C838" t="s">
        <v>1417</v>
      </c>
      <c r="D838" t="s">
        <v>5043</v>
      </c>
      <c r="L838" s="3" t="s">
        <v>2040</v>
      </c>
    </row>
    <row r="839" spans="1:12" x14ac:dyDescent="0.3">
      <c r="A839" t="s">
        <v>4843</v>
      </c>
      <c r="B839" t="s">
        <v>362</v>
      </c>
      <c r="C839" t="s">
        <v>5138</v>
      </c>
      <c r="D839" t="s">
        <v>6902</v>
      </c>
      <c r="L839" s="4" t="s">
        <v>2042</v>
      </c>
    </row>
    <row r="840" spans="1:12" x14ac:dyDescent="0.3">
      <c r="A840" t="s">
        <v>668</v>
      </c>
      <c r="B840" t="s">
        <v>7104</v>
      </c>
      <c r="C840" t="s">
        <v>4380</v>
      </c>
      <c r="D840" t="s">
        <v>668</v>
      </c>
      <c r="L840" s="3" t="s">
        <v>2044</v>
      </c>
    </row>
    <row r="841" spans="1:12" x14ac:dyDescent="0.3">
      <c r="A841" t="s">
        <v>362</v>
      </c>
      <c r="B841" t="s">
        <v>362</v>
      </c>
      <c r="C841" t="s">
        <v>4843</v>
      </c>
      <c r="D841" t="s">
        <v>4380</v>
      </c>
      <c r="L841" s="4" t="s">
        <v>2046</v>
      </c>
    </row>
    <row r="842" spans="1:12" x14ac:dyDescent="0.3">
      <c r="A842" t="s">
        <v>521</v>
      </c>
      <c r="B842" t="s">
        <v>4843</v>
      </c>
      <c r="C842" t="s">
        <v>1417</v>
      </c>
      <c r="D842" t="s">
        <v>497</v>
      </c>
      <c r="L842" s="3" t="s">
        <v>2048</v>
      </c>
    </row>
    <row r="843" spans="1:12" x14ac:dyDescent="0.3">
      <c r="A843" t="s">
        <v>668</v>
      </c>
      <c r="B843" t="s">
        <v>2701</v>
      </c>
      <c r="C843" t="s">
        <v>1417</v>
      </c>
      <c r="D843" t="s">
        <v>5138</v>
      </c>
      <c r="L843" s="4" t="s">
        <v>2051</v>
      </c>
    </row>
    <row r="844" spans="1:12" x14ac:dyDescent="0.3">
      <c r="A844" t="s">
        <v>668</v>
      </c>
      <c r="B844" t="s">
        <v>1417</v>
      </c>
      <c r="C844" t="s">
        <v>4380</v>
      </c>
      <c r="D844" t="s">
        <v>7473</v>
      </c>
      <c r="L844" s="3" t="s">
        <v>2054</v>
      </c>
    </row>
    <row r="845" spans="1:12" x14ac:dyDescent="0.3">
      <c r="A845" t="s">
        <v>521</v>
      </c>
      <c r="B845" t="s">
        <v>362</v>
      </c>
      <c r="C845" t="s">
        <v>1417</v>
      </c>
      <c r="D845" t="s">
        <v>5138</v>
      </c>
      <c r="L845" s="4" t="s">
        <v>2057</v>
      </c>
    </row>
    <row r="846" spans="1:12" x14ac:dyDescent="0.3">
      <c r="A846" t="s">
        <v>668</v>
      </c>
      <c r="B846" t="s">
        <v>1417</v>
      </c>
      <c r="C846" t="s">
        <v>4380</v>
      </c>
      <c r="D846" t="s">
        <v>1417</v>
      </c>
      <c r="L846" s="3" t="s">
        <v>2059</v>
      </c>
    </row>
    <row r="847" spans="1:12" x14ac:dyDescent="0.3">
      <c r="A847" t="s">
        <v>5524</v>
      </c>
      <c r="B847" t="s">
        <v>668</v>
      </c>
      <c r="C847" t="s">
        <v>8268</v>
      </c>
      <c r="D847" t="s">
        <v>8267</v>
      </c>
      <c r="L847" s="4" t="s">
        <v>2061</v>
      </c>
    </row>
    <row r="848" spans="1:12" x14ac:dyDescent="0.3">
      <c r="A848" t="s">
        <v>668</v>
      </c>
      <c r="B848" t="s">
        <v>668</v>
      </c>
      <c r="C848" t="s">
        <v>1417</v>
      </c>
      <c r="D848" t="s">
        <v>7104</v>
      </c>
      <c r="L848" s="3" t="s">
        <v>2064</v>
      </c>
    </row>
    <row r="849" spans="1:12" x14ac:dyDescent="0.3">
      <c r="A849" t="s">
        <v>668</v>
      </c>
      <c r="B849" t="s">
        <v>8268</v>
      </c>
      <c r="C849" t="s">
        <v>497</v>
      </c>
      <c r="D849" t="s">
        <v>4380</v>
      </c>
      <c r="L849" s="4" t="s">
        <v>2066</v>
      </c>
    </row>
    <row r="850" spans="1:12" x14ac:dyDescent="0.3">
      <c r="A850" t="s">
        <v>521</v>
      </c>
      <c r="B850" t="s">
        <v>4380</v>
      </c>
      <c r="C850" t="s">
        <v>4380</v>
      </c>
      <c r="D850" t="s">
        <v>4380</v>
      </c>
      <c r="L850" s="3" t="s">
        <v>2068</v>
      </c>
    </row>
    <row r="851" spans="1:12" x14ac:dyDescent="0.3">
      <c r="A851" t="s">
        <v>668</v>
      </c>
      <c r="B851" t="s">
        <v>8267</v>
      </c>
      <c r="C851" t="s">
        <v>4380</v>
      </c>
      <c r="D851" t="s">
        <v>4380</v>
      </c>
      <c r="I851" t="s">
        <v>7473</v>
      </c>
      <c r="L851" s="4" t="s">
        <v>2070</v>
      </c>
    </row>
    <row r="852" spans="1:12" x14ac:dyDescent="0.3">
      <c r="A852" t="s">
        <v>521</v>
      </c>
      <c r="B852" t="s">
        <v>4843</v>
      </c>
      <c r="C852" t="s">
        <v>8268</v>
      </c>
      <c r="D852" t="s">
        <v>4380</v>
      </c>
      <c r="L852" s="3" t="s">
        <v>2072</v>
      </c>
    </row>
    <row r="853" spans="1:12" x14ac:dyDescent="0.3">
      <c r="A853" t="s">
        <v>5524</v>
      </c>
      <c r="B853" t="s">
        <v>1417</v>
      </c>
      <c r="C853" t="s">
        <v>4380</v>
      </c>
      <c r="D853" t="s">
        <v>497</v>
      </c>
      <c r="L853" s="4" t="s">
        <v>2074</v>
      </c>
    </row>
    <row r="854" spans="1:12" x14ac:dyDescent="0.3">
      <c r="A854" t="s">
        <v>1417</v>
      </c>
      <c r="B854" t="s">
        <v>1417</v>
      </c>
      <c r="C854" t="s">
        <v>5138</v>
      </c>
      <c r="D854" t="s">
        <v>8266</v>
      </c>
      <c r="L854" s="3" t="s">
        <v>2076</v>
      </c>
    </row>
    <row r="855" spans="1:12" x14ac:dyDescent="0.3">
      <c r="A855" t="s">
        <v>1417</v>
      </c>
      <c r="B855" t="s">
        <v>1417</v>
      </c>
      <c r="C855" t="s">
        <v>8268</v>
      </c>
      <c r="D855" t="s">
        <v>4380</v>
      </c>
      <c r="L855" s="4" t="s">
        <v>2078</v>
      </c>
    </row>
    <row r="856" spans="1:12" x14ac:dyDescent="0.3">
      <c r="A856" t="s">
        <v>1417</v>
      </c>
      <c r="B856" t="s">
        <v>6902</v>
      </c>
      <c r="C856" t="s">
        <v>4380</v>
      </c>
      <c r="D856" t="s">
        <v>4380</v>
      </c>
      <c r="L856" s="3" t="s">
        <v>2080</v>
      </c>
    </row>
    <row r="857" spans="1:12" x14ac:dyDescent="0.3">
      <c r="A857" t="s">
        <v>521</v>
      </c>
      <c r="B857" t="s">
        <v>1417</v>
      </c>
      <c r="C857" t="s">
        <v>4380</v>
      </c>
      <c r="D857" t="s">
        <v>4380</v>
      </c>
      <c r="L857" s="4" t="s">
        <v>2082</v>
      </c>
    </row>
    <row r="858" spans="1:12" x14ac:dyDescent="0.3">
      <c r="A858" t="s">
        <v>668</v>
      </c>
      <c r="B858" t="s">
        <v>5138</v>
      </c>
      <c r="C858" t="s">
        <v>7473</v>
      </c>
      <c r="D858" t="s">
        <v>5138</v>
      </c>
      <c r="L858" s="3" t="s">
        <v>2084</v>
      </c>
    </row>
    <row r="859" spans="1:12" x14ac:dyDescent="0.3">
      <c r="A859" t="s">
        <v>521</v>
      </c>
      <c r="B859" t="s">
        <v>8046</v>
      </c>
      <c r="C859" t="s">
        <v>1417</v>
      </c>
      <c r="D859" t="s">
        <v>4380</v>
      </c>
      <c r="L859" s="4" t="s">
        <v>2086</v>
      </c>
    </row>
    <row r="860" spans="1:12" x14ac:dyDescent="0.3">
      <c r="A860" t="s">
        <v>521</v>
      </c>
      <c r="B860" t="s">
        <v>4380</v>
      </c>
      <c r="C860" t="s">
        <v>4380</v>
      </c>
      <c r="D860" t="s">
        <v>4380</v>
      </c>
      <c r="L860" s="3" t="s">
        <v>2088</v>
      </c>
    </row>
    <row r="861" spans="1:12" x14ac:dyDescent="0.3">
      <c r="A861" t="s">
        <v>521</v>
      </c>
      <c r="B861" t="s">
        <v>1417</v>
      </c>
      <c r="C861" t="s">
        <v>1417</v>
      </c>
      <c r="D861" t="s">
        <v>497</v>
      </c>
      <c r="L861" s="4" t="s">
        <v>2091</v>
      </c>
    </row>
    <row r="862" spans="1:12" x14ac:dyDescent="0.3">
      <c r="A862" t="s">
        <v>668</v>
      </c>
      <c r="B862" t="s">
        <v>668</v>
      </c>
      <c r="C862" t="s">
        <v>4380</v>
      </c>
      <c r="D862" t="s">
        <v>4380</v>
      </c>
      <c r="L862" s="3" t="s">
        <v>2093</v>
      </c>
    </row>
    <row r="863" spans="1:12" x14ac:dyDescent="0.3">
      <c r="A863" t="s">
        <v>521</v>
      </c>
      <c r="B863" t="s">
        <v>362</v>
      </c>
      <c r="C863" t="s">
        <v>5138</v>
      </c>
      <c r="D863" t="s">
        <v>5138</v>
      </c>
      <c r="L863" s="4" t="s">
        <v>2095</v>
      </c>
    </row>
    <row r="864" spans="1:12" x14ac:dyDescent="0.3">
      <c r="A864" t="s">
        <v>521</v>
      </c>
      <c r="B864" t="s">
        <v>5043</v>
      </c>
      <c r="C864" t="s">
        <v>668</v>
      </c>
      <c r="D864" t="s">
        <v>7473</v>
      </c>
      <c r="L864" s="3" t="s">
        <v>2097</v>
      </c>
    </row>
    <row r="865" spans="1:12" x14ac:dyDescent="0.3">
      <c r="A865" t="s">
        <v>668</v>
      </c>
      <c r="B865" t="s">
        <v>8266</v>
      </c>
      <c r="C865" t="s">
        <v>5043</v>
      </c>
      <c r="D865" t="s">
        <v>7473</v>
      </c>
      <c r="L865" s="4" t="s">
        <v>2099</v>
      </c>
    </row>
    <row r="866" spans="1:12" x14ac:dyDescent="0.3">
      <c r="A866" t="s">
        <v>521</v>
      </c>
      <c r="B866" t="s">
        <v>1417</v>
      </c>
      <c r="C866" t="s">
        <v>4380</v>
      </c>
      <c r="D866" t="s">
        <v>4380</v>
      </c>
      <c r="L866" s="3" t="s">
        <v>2102</v>
      </c>
    </row>
    <row r="867" spans="1:12" x14ac:dyDescent="0.3">
      <c r="A867" t="s">
        <v>362</v>
      </c>
      <c r="B867" t="s">
        <v>2701</v>
      </c>
      <c r="C867" t="s">
        <v>497</v>
      </c>
      <c r="D867" t="s">
        <v>8267</v>
      </c>
      <c r="L867" s="4" t="s">
        <v>2104</v>
      </c>
    </row>
    <row r="868" spans="1:12" x14ac:dyDescent="0.3">
      <c r="A868" t="s">
        <v>521</v>
      </c>
      <c r="B868" t="s">
        <v>2701</v>
      </c>
      <c r="C868" t="s">
        <v>1417</v>
      </c>
      <c r="D868" t="s">
        <v>6902</v>
      </c>
      <c r="L868" s="3" t="s">
        <v>2106</v>
      </c>
    </row>
    <row r="869" spans="1:12" x14ac:dyDescent="0.3">
      <c r="A869" t="s">
        <v>5524</v>
      </c>
      <c r="B869" t="s">
        <v>7473</v>
      </c>
      <c r="C869" t="s">
        <v>8266</v>
      </c>
      <c r="D869" t="s">
        <v>7104</v>
      </c>
      <c r="L869" s="4" t="s">
        <v>2109</v>
      </c>
    </row>
    <row r="870" spans="1:12" x14ac:dyDescent="0.3">
      <c r="A870" t="s">
        <v>521</v>
      </c>
      <c r="B870" t="s">
        <v>4380</v>
      </c>
      <c r="C870" t="s">
        <v>4380</v>
      </c>
      <c r="D870" t="s">
        <v>4380</v>
      </c>
      <c r="L870" s="3" t="s">
        <v>2111</v>
      </c>
    </row>
    <row r="871" spans="1:12" x14ac:dyDescent="0.3">
      <c r="A871" t="s">
        <v>362</v>
      </c>
      <c r="B871" t="s">
        <v>1417</v>
      </c>
      <c r="C871" t="s">
        <v>668</v>
      </c>
      <c r="D871" t="s">
        <v>4380</v>
      </c>
      <c r="L871" s="4" t="s">
        <v>2113</v>
      </c>
    </row>
    <row r="872" spans="1:12" x14ac:dyDescent="0.3">
      <c r="A872" t="s">
        <v>4843</v>
      </c>
      <c r="B872" t="s">
        <v>1417</v>
      </c>
      <c r="C872" t="s">
        <v>4380</v>
      </c>
      <c r="D872" t="s">
        <v>4380</v>
      </c>
      <c r="L872" s="3" t="s">
        <v>2115</v>
      </c>
    </row>
    <row r="873" spans="1:12" x14ac:dyDescent="0.3">
      <c r="A873" t="s">
        <v>521</v>
      </c>
      <c r="B873" t="s">
        <v>7473</v>
      </c>
      <c r="C873" t="s">
        <v>5138</v>
      </c>
      <c r="D873" t="s">
        <v>7104</v>
      </c>
      <c r="L873" s="4" t="s">
        <v>2118</v>
      </c>
    </row>
    <row r="874" spans="1:12" x14ac:dyDescent="0.3">
      <c r="A874" t="s">
        <v>521</v>
      </c>
      <c r="B874" t="s">
        <v>362</v>
      </c>
      <c r="C874" t="s">
        <v>7473</v>
      </c>
      <c r="D874" t="s">
        <v>7473</v>
      </c>
      <c r="L874" s="3" t="s">
        <v>2120</v>
      </c>
    </row>
    <row r="875" spans="1:12" x14ac:dyDescent="0.3">
      <c r="A875" t="s">
        <v>1417</v>
      </c>
      <c r="B875" t="s">
        <v>8268</v>
      </c>
      <c r="C875" t="s">
        <v>7473</v>
      </c>
      <c r="D875" t="s">
        <v>5138</v>
      </c>
      <c r="L875" s="4" t="s">
        <v>2122</v>
      </c>
    </row>
    <row r="876" spans="1:12" x14ac:dyDescent="0.3">
      <c r="A876" t="s">
        <v>668</v>
      </c>
      <c r="B876" t="s">
        <v>4380</v>
      </c>
      <c r="C876" t="s">
        <v>5043</v>
      </c>
      <c r="D876" t="s">
        <v>4380</v>
      </c>
      <c r="L876" s="3" t="s">
        <v>2124</v>
      </c>
    </row>
    <row r="877" spans="1:12" x14ac:dyDescent="0.3">
      <c r="A877" t="s">
        <v>668</v>
      </c>
      <c r="B877" t="s">
        <v>8268</v>
      </c>
      <c r="C877" t="s">
        <v>1417</v>
      </c>
      <c r="D877" t="s">
        <v>7104</v>
      </c>
      <c r="L877" s="4" t="s">
        <v>2126</v>
      </c>
    </row>
    <row r="878" spans="1:12" x14ac:dyDescent="0.3">
      <c r="A878" t="s">
        <v>362</v>
      </c>
      <c r="B878" t="s">
        <v>4843</v>
      </c>
      <c r="C878" t="s">
        <v>7473</v>
      </c>
      <c r="D878" t="s">
        <v>7473</v>
      </c>
      <c r="L878" s="3" t="s">
        <v>2129</v>
      </c>
    </row>
    <row r="879" spans="1:12" x14ac:dyDescent="0.3">
      <c r="A879" t="s">
        <v>8268</v>
      </c>
      <c r="B879" t="s">
        <v>6902</v>
      </c>
      <c r="C879" t="s">
        <v>4380</v>
      </c>
      <c r="D879" t="s">
        <v>7473</v>
      </c>
      <c r="L879" s="4" t="s">
        <v>2131</v>
      </c>
    </row>
    <row r="880" spans="1:12" x14ac:dyDescent="0.3">
      <c r="A880" t="s">
        <v>521</v>
      </c>
      <c r="B880" t="s">
        <v>8266</v>
      </c>
      <c r="C880" t="s">
        <v>8269</v>
      </c>
      <c r="D880" t="s">
        <v>4380</v>
      </c>
      <c r="L880" s="3" t="s">
        <v>2133</v>
      </c>
    </row>
    <row r="881" spans="1:12" x14ac:dyDescent="0.3">
      <c r="A881" t="s">
        <v>521</v>
      </c>
      <c r="B881" t="s">
        <v>8268</v>
      </c>
      <c r="C881" t="s">
        <v>8268</v>
      </c>
      <c r="D881" t="s">
        <v>497</v>
      </c>
      <c r="L881" s="4" t="s">
        <v>2135</v>
      </c>
    </row>
    <row r="882" spans="1:12" x14ac:dyDescent="0.3">
      <c r="A882" t="s">
        <v>1417</v>
      </c>
      <c r="B882" t="s">
        <v>8046</v>
      </c>
      <c r="C882" t="s">
        <v>4380</v>
      </c>
      <c r="D882" t="s">
        <v>6902</v>
      </c>
      <c r="L882" s="3" t="s">
        <v>2137</v>
      </c>
    </row>
    <row r="883" spans="1:12" x14ac:dyDescent="0.3">
      <c r="A883" t="s">
        <v>5524</v>
      </c>
      <c r="B883" t="s">
        <v>1417</v>
      </c>
      <c r="C883" t="s">
        <v>1417</v>
      </c>
      <c r="D883" t="s">
        <v>4380</v>
      </c>
      <c r="L883" s="4" t="s">
        <v>2139</v>
      </c>
    </row>
    <row r="884" spans="1:12" x14ac:dyDescent="0.3">
      <c r="A884" t="s">
        <v>521</v>
      </c>
      <c r="B884" t="s">
        <v>2701</v>
      </c>
      <c r="C884" t="s">
        <v>1417</v>
      </c>
      <c r="D884" t="s">
        <v>7104</v>
      </c>
      <c r="L884" s="3" t="s">
        <v>2142</v>
      </c>
    </row>
    <row r="885" spans="1:12" x14ac:dyDescent="0.3">
      <c r="A885" t="s">
        <v>1417</v>
      </c>
      <c r="B885" t="s">
        <v>8046</v>
      </c>
      <c r="C885" t="s">
        <v>5138</v>
      </c>
      <c r="D885" t="s">
        <v>8046</v>
      </c>
      <c r="L885" s="4" t="s">
        <v>2144</v>
      </c>
    </row>
    <row r="886" spans="1:12" x14ac:dyDescent="0.3">
      <c r="A886" t="s">
        <v>521</v>
      </c>
      <c r="B886" t="s">
        <v>7473</v>
      </c>
      <c r="C886" t="s">
        <v>668</v>
      </c>
      <c r="D886" t="s">
        <v>5043</v>
      </c>
      <c r="L886" s="3" t="s">
        <v>2146</v>
      </c>
    </row>
    <row r="887" spans="1:12" x14ac:dyDescent="0.3">
      <c r="A887" t="s">
        <v>668</v>
      </c>
      <c r="B887" t="s">
        <v>8268</v>
      </c>
      <c r="C887" t="s">
        <v>7473</v>
      </c>
      <c r="D887" t="s">
        <v>4380</v>
      </c>
      <c r="L887" s="4" t="s">
        <v>2148</v>
      </c>
    </row>
    <row r="888" spans="1:12" x14ac:dyDescent="0.3">
      <c r="A888" t="s">
        <v>362</v>
      </c>
      <c r="B888" t="s">
        <v>8046</v>
      </c>
      <c r="C888" t="s">
        <v>4380</v>
      </c>
      <c r="D888" t="s">
        <v>4380</v>
      </c>
      <c r="L888" s="3" t="s">
        <v>2150</v>
      </c>
    </row>
    <row r="889" spans="1:12" x14ac:dyDescent="0.3">
      <c r="A889" t="s">
        <v>521</v>
      </c>
      <c r="B889" t="s">
        <v>1417</v>
      </c>
      <c r="C889" t="s">
        <v>1417</v>
      </c>
      <c r="D889" t="s">
        <v>7473</v>
      </c>
      <c r="L889" s="4" t="s">
        <v>2152</v>
      </c>
    </row>
    <row r="890" spans="1:12" x14ac:dyDescent="0.3">
      <c r="A890" t="s">
        <v>1417</v>
      </c>
      <c r="B890" t="s">
        <v>7104</v>
      </c>
      <c r="C890" t="s">
        <v>497</v>
      </c>
      <c r="D890" t="s">
        <v>8266</v>
      </c>
      <c r="L890" s="3" t="s">
        <v>2155</v>
      </c>
    </row>
    <row r="891" spans="1:12" x14ac:dyDescent="0.3">
      <c r="A891" t="s">
        <v>1417</v>
      </c>
      <c r="B891" t="s">
        <v>7473</v>
      </c>
      <c r="C891" t="s">
        <v>8266</v>
      </c>
      <c r="D891" t="s">
        <v>4380</v>
      </c>
      <c r="L891" s="4" t="s">
        <v>2157</v>
      </c>
    </row>
    <row r="892" spans="1:12" x14ac:dyDescent="0.3">
      <c r="A892" t="s">
        <v>8268</v>
      </c>
      <c r="B892" t="s">
        <v>362</v>
      </c>
      <c r="C892" t="s">
        <v>7473</v>
      </c>
      <c r="D892" t="s">
        <v>7473</v>
      </c>
      <c r="L892" s="3" t="s">
        <v>2159</v>
      </c>
    </row>
    <row r="893" spans="1:12" x14ac:dyDescent="0.3">
      <c r="A893" t="s">
        <v>8268</v>
      </c>
      <c r="B893" t="s">
        <v>8269</v>
      </c>
      <c r="C893" t="s">
        <v>1417</v>
      </c>
      <c r="D893" t="s">
        <v>4380</v>
      </c>
      <c r="L893" s="4" t="s">
        <v>2161</v>
      </c>
    </row>
    <row r="894" spans="1:12" x14ac:dyDescent="0.3">
      <c r="A894" t="s">
        <v>521</v>
      </c>
      <c r="B894" t="s">
        <v>497</v>
      </c>
      <c r="C894" t="s">
        <v>8269</v>
      </c>
      <c r="D894" t="s">
        <v>5138</v>
      </c>
      <c r="L894" s="3" t="s">
        <v>2164</v>
      </c>
    </row>
    <row r="895" spans="1:12" x14ac:dyDescent="0.3">
      <c r="A895" t="s">
        <v>1417</v>
      </c>
      <c r="B895" t="s">
        <v>668</v>
      </c>
      <c r="C895" t="s">
        <v>497</v>
      </c>
      <c r="D895" t="s">
        <v>4380</v>
      </c>
      <c r="L895" s="4" t="s">
        <v>2166</v>
      </c>
    </row>
    <row r="896" spans="1:12" x14ac:dyDescent="0.3">
      <c r="A896" t="s">
        <v>521</v>
      </c>
      <c r="B896" t="s">
        <v>8268</v>
      </c>
      <c r="C896" t="s">
        <v>4380</v>
      </c>
      <c r="D896" t="s">
        <v>8266</v>
      </c>
      <c r="L896" s="3" t="s">
        <v>2168</v>
      </c>
    </row>
    <row r="897" spans="1:12" x14ac:dyDescent="0.3">
      <c r="A897" t="s">
        <v>8268</v>
      </c>
      <c r="B897" t="s">
        <v>4380</v>
      </c>
      <c r="C897" t="s">
        <v>8268</v>
      </c>
      <c r="D897" t="s">
        <v>4380</v>
      </c>
      <c r="L897" s="4" t="s">
        <v>2170</v>
      </c>
    </row>
    <row r="898" spans="1:12" x14ac:dyDescent="0.3">
      <c r="A898" t="s">
        <v>668</v>
      </c>
      <c r="B898" t="s">
        <v>668</v>
      </c>
      <c r="C898" t="s">
        <v>7104</v>
      </c>
      <c r="D898" t="s">
        <v>7473</v>
      </c>
      <c r="L898" s="3" t="s">
        <v>2172</v>
      </c>
    </row>
    <row r="899" spans="1:12" x14ac:dyDescent="0.3">
      <c r="A899" t="s">
        <v>668</v>
      </c>
      <c r="B899" t="s">
        <v>668</v>
      </c>
      <c r="C899" t="s">
        <v>7473</v>
      </c>
      <c r="D899" t="s">
        <v>7473</v>
      </c>
      <c r="L899" s="4" t="s">
        <v>2174</v>
      </c>
    </row>
    <row r="900" spans="1:12" x14ac:dyDescent="0.3">
      <c r="A900" t="s">
        <v>521</v>
      </c>
      <c r="B900" t="s">
        <v>7104</v>
      </c>
      <c r="C900" t="s">
        <v>8266</v>
      </c>
      <c r="D900" t="s">
        <v>7104</v>
      </c>
      <c r="L900" s="3" t="s">
        <v>2176</v>
      </c>
    </row>
    <row r="901" spans="1:12" x14ac:dyDescent="0.3">
      <c r="A901" t="s">
        <v>668</v>
      </c>
      <c r="B901" t="s">
        <v>1417</v>
      </c>
      <c r="C901" t="s">
        <v>8266</v>
      </c>
      <c r="D901" t="s">
        <v>4380</v>
      </c>
      <c r="L901" s="4" t="s">
        <v>2178</v>
      </c>
    </row>
    <row r="902" spans="1:12" x14ac:dyDescent="0.3">
      <c r="A902" t="s">
        <v>1417</v>
      </c>
      <c r="B902" t="s">
        <v>4843</v>
      </c>
      <c r="C902" t="s">
        <v>1417</v>
      </c>
      <c r="D902" t="s">
        <v>5138</v>
      </c>
      <c r="L902" s="3" t="s">
        <v>2180</v>
      </c>
    </row>
    <row r="903" spans="1:12" x14ac:dyDescent="0.3">
      <c r="A903" t="s">
        <v>521</v>
      </c>
      <c r="B903" t="s">
        <v>5138</v>
      </c>
      <c r="C903" t="s">
        <v>8266</v>
      </c>
      <c r="D903" t="s">
        <v>7104</v>
      </c>
      <c r="L903" s="4" t="s">
        <v>2182</v>
      </c>
    </row>
    <row r="904" spans="1:12" x14ac:dyDescent="0.3">
      <c r="A904" t="s">
        <v>362</v>
      </c>
      <c r="B904" t="s">
        <v>362</v>
      </c>
      <c r="C904" t="s">
        <v>4380</v>
      </c>
      <c r="D904" t="s">
        <v>497</v>
      </c>
      <c r="L904" s="3" t="s">
        <v>2184</v>
      </c>
    </row>
    <row r="905" spans="1:12" x14ac:dyDescent="0.3">
      <c r="A905" t="s">
        <v>1417</v>
      </c>
      <c r="B905" t="s">
        <v>1417</v>
      </c>
      <c r="C905" t="s">
        <v>5138</v>
      </c>
      <c r="D905" t="s">
        <v>8266</v>
      </c>
      <c r="L905" s="4" t="s">
        <v>2186</v>
      </c>
    </row>
    <row r="906" spans="1:12" x14ac:dyDescent="0.3">
      <c r="A906" t="s">
        <v>8268</v>
      </c>
      <c r="B906" t="s">
        <v>497</v>
      </c>
      <c r="C906" t="s">
        <v>7104</v>
      </c>
      <c r="D906" t="s">
        <v>8266</v>
      </c>
      <c r="L906" s="3" t="s">
        <v>2189</v>
      </c>
    </row>
    <row r="907" spans="1:12" x14ac:dyDescent="0.3">
      <c r="A907" t="s">
        <v>5524</v>
      </c>
      <c r="B907" t="s">
        <v>1417</v>
      </c>
      <c r="C907" t="s">
        <v>2701</v>
      </c>
      <c r="D907" t="s">
        <v>497</v>
      </c>
      <c r="L907" s="4" t="s">
        <v>2191</v>
      </c>
    </row>
    <row r="908" spans="1:12" x14ac:dyDescent="0.3">
      <c r="A908" t="s">
        <v>1417</v>
      </c>
      <c r="B908" t="s">
        <v>668</v>
      </c>
      <c r="C908" t="s">
        <v>5043</v>
      </c>
      <c r="D908" t="s">
        <v>6902</v>
      </c>
      <c r="L908" s="3" t="s">
        <v>2193</v>
      </c>
    </row>
    <row r="909" spans="1:12" x14ac:dyDescent="0.3">
      <c r="A909" t="s">
        <v>8268</v>
      </c>
      <c r="B909" t="s">
        <v>7473</v>
      </c>
      <c r="C909" t="s">
        <v>7473</v>
      </c>
      <c r="D909" t="s">
        <v>4380</v>
      </c>
      <c r="L909" s="4" t="s">
        <v>2195</v>
      </c>
    </row>
    <row r="910" spans="1:12" x14ac:dyDescent="0.3">
      <c r="A910" t="s">
        <v>521</v>
      </c>
      <c r="B910" t="s">
        <v>5138</v>
      </c>
      <c r="C910" t="s">
        <v>668</v>
      </c>
      <c r="D910" t="s">
        <v>4380</v>
      </c>
      <c r="L910" s="3" t="s">
        <v>2197</v>
      </c>
    </row>
    <row r="911" spans="1:12" x14ac:dyDescent="0.3">
      <c r="A911" t="s">
        <v>1417</v>
      </c>
      <c r="B911" t="s">
        <v>1417</v>
      </c>
      <c r="C911" t="s">
        <v>4380</v>
      </c>
      <c r="D911" t="s">
        <v>4380</v>
      </c>
      <c r="L911" s="4" t="s">
        <v>2199</v>
      </c>
    </row>
    <row r="912" spans="1:12" x14ac:dyDescent="0.3">
      <c r="A912" t="s">
        <v>1417</v>
      </c>
      <c r="B912" t="s">
        <v>7473</v>
      </c>
      <c r="C912" t="s">
        <v>1417</v>
      </c>
      <c r="D912" t="s">
        <v>4380</v>
      </c>
      <c r="L912" s="3" t="s">
        <v>2201</v>
      </c>
    </row>
    <row r="913" spans="1:12" x14ac:dyDescent="0.3">
      <c r="A913" t="s">
        <v>5524</v>
      </c>
      <c r="B913" t="s">
        <v>668</v>
      </c>
      <c r="C913" t="s">
        <v>7473</v>
      </c>
      <c r="D913" t="s">
        <v>4380</v>
      </c>
      <c r="L913" s="4" t="s">
        <v>2203</v>
      </c>
    </row>
    <row r="914" spans="1:12" x14ac:dyDescent="0.3">
      <c r="A914" t="s">
        <v>1417</v>
      </c>
      <c r="B914" t="s">
        <v>497</v>
      </c>
      <c r="C914" t="s">
        <v>7473</v>
      </c>
      <c r="D914" t="s">
        <v>4380</v>
      </c>
      <c r="L914" s="3" t="s">
        <v>2205</v>
      </c>
    </row>
    <row r="915" spans="1:12" x14ac:dyDescent="0.3">
      <c r="A915" t="s">
        <v>668</v>
      </c>
      <c r="B915" t="s">
        <v>7473</v>
      </c>
      <c r="C915" t="s">
        <v>5138</v>
      </c>
      <c r="D915" t="s">
        <v>8267</v>
      </c>
      <c r="L915" s="4" t="s">
        <v>2207</v>
      </c>
    </row>
    <row r="916" spans="1:12" x14ac:dyDescent="0.3">
      <c r="A916" t="s">
        <v>668</v>
      </c>
      <c r="B916" t="s">
        <v>668</v>
      </c>
      <c r="C916" t="s">
        <v>497</v>
      </c>
      <c r="D916" t="s">
        <v>7473</v>
      </c>
      <c r="L916" s="3" t="s">
        <v>2209</v>
      </c>
    </row>
    <row r="917" spans="1:12" x14ac:dyDescent="0.3">
      <c r="A917" t="s">
        <v>668</v>
      </c>
      <c r="B917" t="s">
        <v>1417</v>
      </c>
      <c r="C917" t="s">
        <v>5138</v>
      </c>
      <c r="D917" t="s">
        <v>8266</v>
      </c>
      <c r="L917" s="4" t="s">
        <v>2212</v>
      </c>
    </row>
    <row r="918" spans="1:12" x14ac:dyDescent="0.3">
      <c r="A918" t="s">
        <v>521</v>
      </c>
      <c r="B918" t="s">
        <v>7104</v>
      </c>
      <c r="C918" t="s">
        <v>1417</v>
      </c>
      <c r="D918" t="s">
        <v>8269</v>
      </c>
      <c r="L918" s="3" t="s">
        <v>2214</v>
      </c>
    </row>
    <row r="919" spans="1:12" x14ac:dyDescent="0.3">
      <c r="A919" t="s">
        <v>1417</v>
      </c>
      <c r="B919" t="s">
        <v>668</v>
      </c>
      <c r="C919" t="s">
        <v>8268</v>
      </c>
      <c r="D919" t="s">
        <v>4380</v>
      </c>
      <c r="L919" s="4" t="s">
        <v>2216</v>
      </c>
    </row>
    <row r="920" spans="1:12" x14ac:dyDescent="0.3">
      <c r="A920" t="s">
        <v>668</v>
      </c>
      <c r="B920" t="s">
        <v>1417</v>
      </c>
      <c r="C920" t="s">
        <v>497</v>
      </c>
      <c r="D920" t="s">
        <v>6902</v>
      </c>
      <c r="L920" s="3" t="s">
        <v>2218</v>
      </c>
    </row>
    <row r="921" spans="1:12" x14ac:dyDescent="0.3">
      <c r="A921" t="s">
        <v>5524</v>
      </c>
      <c r="B921" t="s">
        <v>8268</v>
      </c>
      <c r="C921" t="s">
        <v>4380</v>
      </c>
      <c r="D921" t="s">
        <v>8266</v>
      </c>
      <c r="L921" s="4" t="s">
        <v>2220</v>
      </c>
    </row>
    <row r="922" spans="1:12" x14ac:dyDescent="0.3">
      <c r="A922" t="s">
        <v>5524</v>
      </c>
      <c r="B922" t="s">
        <v>362</v>
      </c>
      <c r="C922" t="s">
        <v>4380</v>
      </c>
      <c r="D922" t="s">
        <v>7104</v>
      </c>
      <c r="L922" s="3" t="s">
        <v>2222</v>
      </c>
    </row>
    <row r="923" spans="1:12" x14ac:dyDescent="0.3">
      <c r="A923" t="s">
        <v>521</v>
      </c>
      <c r="B923" t="s">
        <v>1417</v>
      </c>
      <c r="C923" t="s">
        <v>668</v>
      </c>
      <c r="D923" t="s">
        <v>4380</v>
      </c>
      <c r="L923" s="4" t="s">
        <v>2224</v>
      </c>
    </row>
    <row r="924" spans="1:12" x14ac:dyDescent="0.3">
      <c r="A924" t="s">
        <v>521</v>
      </c>
      <c r="B924" t="s">
        <v>8266</v>
      </c>
      <c r="C924" t="s">
        <v>668</v>
      </c>
      <c r="D924" t="s">
        <v>4380</v>
      </c>
      <c r="L924" s="3" t="s">
        <v>2227</v>
      </c>
    </row>
    <row r="925" spans="1:12" x14ac:dyDescent="0.3">
      <c r="A925" t="s">
        <v>668</v>
      </c>
      <c r="B925" t="s">
        <v>7473</v>
      </c>
      <c r="C925" t="s">
        <v>5138</v>
      </c>
      <c r="D925" t="s">
        <v>4380</v>
      </c>
      <c r="L925" s="4" t="s">
        <v>2229</v>
      </c>
    </row>
    <row r="926" spans="1:12" x14ac:dyDescent="0.3">
      <c r="A926" t="s">
        <v>4843</v>
      </c>
      <c r="B926" t="s">
        <v>8266</v>
      </c>
      <c r="C926" t="s">
        <v>6902</v>
      </c>
      <c r="D926" t="s">
        <v>8046</v>
      </c>
      <c r="L926" s="3" t="s">
        <v>2232</v>
      </c>
    </row>
    <row r="927" spans="1:12" x14ac:dyDescent="0.3">
      <c r="A927" t="s">
        <v>668</v>
      </c>
      <c r="B927" t="s">
        <v>1417</v>
      </c>
      <c r="C927" t="s">
        <v>1417</v>
      </c>
      <c r="D927" t="s">
        <v>5138</v>
      </c>
      <c r="L927" s="4" t="s">
        <v>2234</v>
      </c>
    </row>
    <row r="928" spans="1:12" x14ac:dyDescent="0.3">
      <c r="A928" t="s">
        <v>362</v>
      </c>
      <c r="B928" t="s">
        <v>668</v>
      </c>
      <c r="C928" t="s">
        <v>5138</v>
      </c>
      <c r="D928" t="s">
        <v>5043</v>
      </c>
      <c r="L928" s="3" t="s">
        <v>2236</v>
      </c>
    </row>
    <row r="929" spans="1:12" x14ac:dyDescent="0.3">
      <c r="A929" t="s">
        <v>362</v>
      </c>
      <c r="B929" t="s">
        <v>7104</v>
      </c>
      <c r="C929" t="s">
        <v>8268</v>
      </c>
      <c r="D929" t="s">
        <v>4380</v>
      </c>
      <c r="L929" s="4" t="s">
        <v>2238</v>
      </c>
    </row>
    <row r="930" spans="1:12" x14ac:dyDescent="0.3">
      <c r="A930" t="s">
        <v>7473</v>
      </c>
      <c r="B930" t="s">
        <v>1417</v>
      </c>
      <c r="C930" t="s">
        <v>5138</v>
      </c>
      <c r="D930" t="s">
        <v>4380</v>
      </c>
      <c r="L930" s="3" t="s">
        <v>2240</v>
      </c>
    </row>
    <row r="931" spans="1:12" x14ac:dyDescent="0.3">
      <c r="A931" t="s">
        <v>521</v>
      </c>
      <c r="B931" t="s">
        <v>1417</v>
      </c>
      <c r="C931" t="s">
        <v>7104</v>
      </c>
      <c r="D931" t="s">
        <v>8269</v>
      </c>
      <c r="L931" s="4" t="s">
        <v>2242</v>
      </c>
    </row>
    <row r="932" spans="1:12" x14ac:dyDescent="0.3">
      <c r="A932" t="s">
        <v>668</v>
      </c>
      <c r="B932" t="s">
        <v>8266</v>
      </c>
      <c r="C932" t="s">
        <v>8266</v>
      </c>
      <c r="D932" t="s">
        <v>7473</v>
      </c>
      <c r="L932" s="3" t="s">
        <v>2244</v>
      </c>
    </row>
    <row r="933" spans="1:12" x14ac:dyDescent="0.3">
      <c r="A933" t="s">
        <v>668</v>
      </c>
      <c r="B933" t="s">
        <v>362</v>
      </c>
      <c r="C933" t="s">
        <v>668</v>
      </c>
      <c r="D933" t="s">
        <v>7473</v>
      </c>
      <c r="L933" s="4" t="s">
        <v>2246</v>
      </c>
    </row>
    <row r="934" spans="1:12" x14ac:dyDescent="0.3">
      <c r="A934" t="s">
        <v>668</v>
      </c>
      <c r="B934" t="s">
        <v>1417</v>
      </c>
      <c r="C934" t="s">
        <v>6171</v>
      </c>
      <c r="D934" t="s">
        <v>4380</v>
      </c>
      <c r="L934" s="3" t="s">
        <v>2248</v>
      </c>
    </row>
    <row r="935" spans="1:12" x14ac:dyDescent="0.3">
      <c r="A935" t="s">
        <v>5524</v>
      </c>
      <c r="B935" t="s">
        <v>362</v>
      </c>
      <c r="C935" t="s">
        <v>8046</v>
      </c>
      <c r="D935" t="s">
        <v>4380</v>
      </c>
      <c r="L935" s="4" t="s">
        <v>2250</v>
      </c>
    </row>
    <row r="936" spans="1:12" x14ac:dyDescent="0.3">
      <c r="A936" t="s">
        <v>668</v>
      </c>
      <c r="B936" t="s">
        <v>1417</v>
      </c>
      <c r="C936" t="s">
        <v>2701</v>
      </c>
      <c r="D936" t="s">
        <v>6902</v>
      </c>
      <c r="L936" s="3" t="s">
        <v>2252</v>
      </c>
    </row>
    <row r="937" spans="1:12" x14ac:dyDescent="0.3">
      <c r="A937" t="s">
        <v>668</v>
      </c>
      <c r="B937" t="s">
        <v>4843</v>
      </c>
      <c r="C937" t="s">
        <v>1417</v>
      </c>
      <c r="D937" t="s">
        <v>7104</v>
      </c>
      <c r="L937" s="4" t="s">
        <v>2255</v>
      </c>
    </row>
    <row r="938" spans="1:12" x14ac:dyDescent="0.3">
      <c r="A938" t="s">
        <v>8266</v>
      </c>
      <c r="B938" t="s">
        <v>668</v>
      </c>
      <c r="C938" t="s">
        <v>4380</v>
      </c>
      <c r="D938" t="s">
        <v>7473</v>
      </c>
      <c r="L938" s="3" t="s">
        <v>2258</v>
      </c>
    </row>
    <row r="939" spans="1:12" x14ac:dyDescent="0.3">
      <c r="A939" t="s">
        <v>5524</v>
      </c>
      <c r="B939" t="s">
        <v>1417</v>
      </c>
      <c r="C939" t="s">
        <v>4380</v>
      </c>
      <c r="D939" t="s">
        <v>8046</v>
      </c>
      <c r="L939" s="4" t="s">
        <v>2260</v>
      </c>
    </row>
    <row r="940" spans="1:12" x14ac:dyDescent="0.3">
      <c r="A940" t="s">
        <v>668</v>
      </c>
      <c r="B940" t="s">
        <v>497</v>
      </c>
      <c r="C940" t="s">
        <v>2701</v>
      </c>
      <c r="D940" t="s">
        <v>5138</v>
      </c>
      <c r="L940" s="3" t="s">
        <v>2262</v>
      </c>
    </row>
    <row r="941" spans="1:12" x14ac:dyDescent="0.3">
      <c r="A941" t="s">
        <v>521</v>
      </c>
      <c r="B941" t="s">
        <v>4380</v>
      </c>
      <c r="C941" t="s">
        <v>668</v>
      </c>
      <c r="D941" t="s">
        <v>497</v>
      </c>
      <c r="L941" s="4" t="s">
        <v>2264</v>
      </c>
    </row>
    <row r="942" spans="1:12" x14ac:dyDescent="0.3">
      <c r="A942" t="s">
        <v>1417</v>
      </c>
      <c r="B942" t="s">
        <v>362</v>
      </c>
      <c r="C942" t="s">
        <v>668</v>
      </c>
      <c r="D942" t="s">
        <v>7473</v>
      </c>
      <c r="L942" s="3" t="s">
        <v>2266</v>
      </c>
    </row>
    <row r="943" spans="1:12" x14ac:dyDescent="0.3">
      <c r="A943" t="s">
        <v>668</v>
      </c>
      <c r="B943" t="s">
        <v>4380</v>
      </c>
      <c r="C943" t="s">
        <v>8046</v>
      </c>
      <c r="D943" t="s">
        <v>4380</v>
      </c>
      <c r="L943" s="4" t="s">
        <v>2268</v>
      </c>
    </row>
    <row r="944" spans="1:12" x14ac:dyDescent="0.3">
      <c r="A944" t="s">
        <v>521</v>
      </c>
      <c r="B944" t="s">
        <v>1417</v>
      </c>
      <c r="C944" t="s">
        <v>8268</v>
      </c>
      <c r="D944" t="s">
        <v>8269</v>
      </c>
      <c r="L944" s="3" t="s">
        <v>2270</v>
      </c>
    </row>
    <row r="945" spans="1:12" x14ac:dyDescent="0.3">
      <c r="A945" t="s">
        <v>668</v>
      </c>
      <c r="B945" t="s">
        <v>4843</v>
      </c>
      <c r="C945" t="s">
        <v>7473</v>
      </c>
      <c r="D945" t="s">
        <v>7104</v>
      </c>
      <c r="L945" s="4" t="s">
        <v>2273</v>
      </c>
    </row>
    <row r="946" spans="1:12" x14ac:dyDescent="0.3">
      <c r="A946" t="s">
        <v>668</v>
      </c>
      <c r="B946" t="s">
        <v>4380</v>
      </c>
      <c r="C946" t="s">
        <v>4380</v>
      </c>
      <c r="D946" t="s">
        <v>8267</v>
      </c>
      <c r="L946" s="3" t="s">
        <v>2275</v>
      </c>
    </row>
    <row r="947" spans="1:12" x14ac:dyDescent="0.3">
      <c r="A947" t="s">
        <v>362</v>
      </c>
      <c r="B947" t="s">
        <v>8268</v>
      </c>
      <c r="C947" t="s">
        <v>4380</v>
      </c>
      <c r="D947" t="s">
        <v>4380</v>
      </c>
      <c r="L947" s="4" t="s">
        <v>2277</v>
      </c>
    </row>
    <row r="948" spans="1:12" x14ac:dyDescent="0.3">
      <c r="A948" t="s">
        <v>8268</v>
      </c>
      <c r="B948" t="s">
        <v>1417</v>
      </c>
      <c r="C948" t="s">
        <v>497</v>
      </c>
      <c r="D948" t="s">
        <v>1417</v>
      </c>
      <c r="L948" s="3" t="s">
        <v>2280</v>
      </c>
    </row>
    <row r="949" spans="1:12" x14ac:dyDescent="0.3">
      <c r="A949" t="s">
        <v>521</v>
      </c>
      <c r="B949" t="s">
        <v>8266</v>
      </c>
      <c r="C949" t="s">
        <v>6171</v>
      </c>
      <c r="D949" t="s">
        <v>4380</v>
      </c>
      <c r="L949" s="4" t="s">
        <v>2282</v>
      </c>
    </row>
    <row r="950" spans="1:12" x14ac:dyDescent="0.3">
      <c r="A950" t="s">
        <v>521</v>
      </c>
      <c r="B950" t="s">
        <v>2701</v>
      </c>
      <c r="C950" t="s">
        <v>497</v>
      </c>
      <c r="D950" t="s">
        <v>7473</v>
      </c>
      <c r="L950" s="3" t="s">
        <v>2285</v>
      </c>
    </row>
    <row r="951" spans="1:12" x14ac:dyDescent="0.3">
      <c r="A951" t="s">
        <v>668</v>
      </c>
      <c r="B951" t="s">
        <v>8267</v>
      </c>
      <c r="C951" t="s">
        <v>5138</v>
      </c>
      <c r="D951" t="s">
        <v>7104</v>
      </c>
      <c r="L951" s="4" t="s">
        <v>2287</v>
      </c>
    </row>
    <row r="952" spans="1:12" x14ac:dyDescent="0.3">
      <c r="A952" t="s">
        <v>1417</v>
      </c>
      <c r="B952" t="s">
        <v>8268</v>
      </c>
      <c r="C952" t="s">
        <v>1417</v>
      </c>
      <c r="D952" t="s">
        <v>497</v>
      </c>
      <c r="L952" s="3" t="s">
        <v>2289</v>
      </c>
    </row>
    <row r="953" spans="1:12" x14ac:dyDescent="0.3">
      <c r="A953" t="s">
        <v>668</v>
      </c>
      <c r="B953" t="s">
        <v>4380</v>
      </c>
      <c r="C953" t="s">
        <v>4380</v>
      </c>
      <c r="D953" t="s">
        <v>8046</v>
      </c>
      <c r="L953" s="4" t="s">
        <v>2291</v>
      </c>
    </row>
    <row r="954" spans="1:12" x14ac:dyDescent="0.3">
      <c r="A954" t="s">
        <v>2701</v>
      </c>
      <c r="B954" t="s">
        <v>668</v>
      </c>
      <c r="C954" t="s">
        <v>7473</v>
      </c>
      <c r="D954" t="s">
        <v>4380</v>
      </c>
      <c r="L954" s="3" t="s">
        <v>2293</v>
      </c>
    </row>
    <row r="955" spans="1:12" x14ac:dyDescent="0.3">
      <c r="A955" t="s">
        <v>668</v>
      </c>
      <c r="B955" t="s">
        <v>497</v>
      </c>
      <c r="C955" t="s">
        <v>4380</v>
      </c>
      <c r="D955" t="s">
        <v>4380</v>
      </c>
      <c r="L955" s="4" t="s">
        <v>2295</v>
      </c>
    </row>
    <row r="956" spans="1:12" x14ac:dyDescent="0.3">
      <c r="A956" t="s">
        <v>4843</v>
      </c>
      <c r="B956" t="s">
        <v>1417</v>
      </c>
      <c r="C956" t="s">
        <v>8268</v>
      </c>
      <c r="D956" t="s">
        <v>497</v>
      </c>
      <c r="L956" s="3" t="s">
        <v>2297</v>
      </c>
    </row>
    <row r="957" spans="1:12" x14ac:dyDescent="0.3">
      <c r="A957" t="s">
        <v>668</v>
      </c>
      <c r="B957" t="s">
        <v>4380</v>
      </c>
      <c r="C957" t="s">
        <v>7473</v>
      </c>
      <c r="D957" t="s">
        <v>497</v>
      </c>
      <c r="L957" s="4" t="s">
        <v>2300</v>
      </c>
    </row>
    <row r="958" spans="1:12" x14ac:dyDescent="0.3">
      <c r="A958" t="s">
        <v>5524</v>
      </c>
      <c r="B958" t="s">
        <v>2701</v>
      </c>
      <c r="C958" t="s">
        <v>668</v>
      </c>
      <c r="D958" t="s">
        <v>8266</v>
      </c>
      <c r="L958" s="3" t="s">
        <v>2302</v>
      </c>
    </row>
    <row r="959" spans="1:12" x14ac:dyDescent="0.3">
      <c r="A959" t="s">
        <v>521</v>
      </c>
      <c r="B959" t="s">
        <v>1417</v>
      </c>
      <c r="C959" t="s">
        <v>7473</v>
      </c>
      <c r="D959" t="s">
        <v>5043</v>
      </c>
      <c r="L959" s="4" t="s">
        <v>2304</v>
      </c>
    </row>
    <row r="960" spans="1:12" x14ac:dyDescent="0.3">
      <c r="A960" t="s">
        <v>521</v>
      </c>
      <c r="B960" t="s">
        <v>1417</v>
      </c>
      <c r="C960" t="s">
        <v>8268</v>
      </c>
      <c r="D960" t="s">
        <v>7473</v>
      </c>
      <c r="L960" s="3" t="s">
        <v>2306</v>
      </c>
    </row>
    <row r="961" spans="1:12" x14ac:dyDescent="0.3">
      <c r="A961" t="s">
        <v>521</v>
      </c>
      <c r="B961" t="s">
        <v>362</v>
      </c>
      <c r="C961" t="s">
        <v>8046</v>
      </c>
      <c r="D961" t="s">
        <v>8267</v>
      </c>
      <c r="L961" s="4" t="s">
        <v>2310</v>
      </c>
    </row>
    <row r="962" spans="1:12" x14ac:dyDescent="0.3">
      <c r="A962" t="s">
        <v>521</v>
      </c>
      <c r="B962" t="s">
        <v>362</v>
      </c>
      <c r="C962" t="s">
        <v>8267</v>
      </c>
      <c r="D962" t="s">
        <v>4380</v>
      </c>
      <c r="L962" s="3" t="s">
        <v>2313</v>
      </c>
    </row>
    <row r="963" spans="1:12" x14ac:dyDescent="0.3">
      <c r="A963" t="s">
        <v>521</v>
      </c>
      <c r="B963" t="s">
        <v>1417</v>
      </c>
      <c r="C963" t="s">
        <v>8266</v>
      </c>
      <c r="D963" t="s">
        <v>7473</v>
      </c>
      <c r="L963" s="4" t="s">
        <v>2315</v>
      </c>
    </row>
    <row r="964" spans="1:12" x14ac:dyDescent="0.3">
      <c r="A964" t="s">
        <v>8268</v>
      </c>
      <c r="B964" t="s">
        <v>1417</v>
      </c>
      <c r="C964" t="s">
        <v>7473</v>
      </c>
      <c r="D964" t="s">
        <v>4380</v>
      </c>
      <c r="L964" s="3" t="s">
        <v>2318</v>
      </c>
    </row>
    <row r="965" spans="1:12" x14ac:dyDescent="0.3">
      <c r="A965" t="s">
        <v>362</v>
      </c>
      <c r="B965" t="s">
        <v>8268</v>
      </c>
      <c r="C965" t="s">
        <v>8266</v>
      </c>
      <c r="D965" t="s">
        <v>8046</v>
      </c>
      <c r="L965" s="4" t="s">
        <v>2320</v>
      </c>
    </row>
    <row r="966" spans="1:12" x14ac:dyDescent="0.3">
      <c r="A966" t="s">
        <v>362</v>
      </c>
      <c r="B966" t="s">
        <v>7473</v>
      </c>
      <c r="C966" t="s">
        <v>4380</v>
      </c>
      <c r="D966" t="s">
        <v>7473</v>
      </c>
      <c r="L966" s="3" t="s">
        <v>2322</v>
      </c>
    </row>
    <row r="967" spans="1:12" x14ac:dyDescent="0.3">
      <c r="A967" t="s">
        <v>8268</v>
      </c>
      <c r="B967" t="s">
        <v>1417</v>
      </c>
      <c r="C967" t="s">
        <v>8266</v>
      </c>
      <c r="D967" t="s">
        <v>4380</v>
      </c>
      <c r="L967" s="4" t="s">
        <v>2326</v>
      </c>
    </row>
    <row r="968" spans="1:12" x14ac:dyDescent="0.3">
      <c r="A968" t="s">
        <v>521</v>
      </c>
      <c r="B968" t="s">
        <v>8268</v>
      </c>
      <c r="C968" t="s">
        <v>1417</v>
      </c>
      <c r="D968" t="s">
        <v>8269</v>
      </c>
      <c r="L968" s="3" t="s">
        <v>2328</v>
      </c>
    </row>
    <row r="969" spans="1:12" x14ac:dyDescent="0.3">
      <c r="A969" t="s">
        <v>1417</v>
      </c>
      <c r="B969" t="s">
        <v>7104</v>
      </c>
      <c r="C969" t="s">
        <v>7104</v>
      </c>
      <c r="D969" t="s">
        <v>5138</v>
      </c>
      <c r="L969" s="4" t="s">
        <v>2331</v>
      </c>
    </row>
    <row r="970" spans="1:12" x14ac:dyDescent="0.3">
      <c r="A970" t="s">
        <v>521</v>
      </c>
      <c r="B970" t="s">
        <v>497</v>
      </c>
      <c r="C970" t="s">
        <v>4380</v>
      </c>
      <c r="D970" t="s">
        <v>4380</v>
      </c>
      <c r="L970" s="3" t="s">
        <v>2334</v>
      </c>
    </row>
    <row r="971" spans="1:12" x14ac:dyDescent="0.3">
      <c r="A971" t="s">
        <v>1417</v>
      </c>
      <c r="B971" t="s">
        <v>8266</v>
      </c>
      <c r="C971" t="s">
        <v>8046</v>
      </c>
      <c r="D971" t="s">
        <v>4380</v>
      </c>
      <c r="L971" s="4" t="s">
        <v>2336</v>
      </c>
    </row>
    <row r="972" spans="1:12" x14ac:dyDescent="0.3">
      <c r="A972" t="s">
        <v>521</v>
      </c>
      <c r="B972" t="s">
        <v>8268</v>
      </c>
      <c r="C972" t="s">
        <v>8268</v>
      </c>
      <c r="D972" t="s">
        <v>7473</v>
      </c>
      <c r="L972" s="3" t="s">
        <v>2338</v>
      </c>
    </row>
    <row r="973" spans="1:12" x14ac:dyDescent="0.3">
      <c r="A973" t="s">
        <v>362</v>
      </c>
      <c r="B973" t="s">
        <v>1417</v>
      </c>
      <c r="C973" t="s">
        <v>6171</v>
      </c>
      <c r="D973" t="s">
        <v>4380</v>
      </c>
      <c r="L973" s="4" t="s">
        <v>2341</v>
      </c>
    </row>
    <row r="974" spans="1:12" x14ac:dyDescent="0.3">
      <c r="A974" t="s">
        <v>8268</v>
      </c>
      <c r="B974" t="s">
        <v>1417</v>
      </c>
      <c r="C974" t="s">
        <v>8268</v>
      </c>
      <c r="D974" t="s">
        <v>4380</v>
      </c>
      <c r="L974" s="3" t="s">
        <v>2344</v>
      </c>
    </row>
    <row r="975" spans="1:12" x14ac:dyDescent="0.3">
      <c r="A975" t="s">
        <v>521</v>
      </c>
      <c r="B975" t="s">
        <v>362</v>
      </c>
      <c r="C975" t="s">
        <v>668</v>
      </c>
      <c r="D975" t="s">
        <v>4380</v>
      </c>
      <c r="L975" s="4" t="s">
        <v>2346</v>
      </c>
    </row>
    <row r="976" spans="1:12" x14ac:dyDescent="0.3">
      <c r="A976" t="s">
        <v>521</v>
      </c>
      <c r="B976" t="s">
        <v>8268</v>
      </c>
      <c r="C976" t="s">
        <v>7473</v>
      </c>
      <c r="D976" t="s">
        <v>7473</v>
      </c>
      <c r="L976" s="3" t="s">
        <v>2348</v>
      </c>
    </row>
    <row r="977" spans="1:12" x14ac:dyDescent="0.3">
      <c r="A977" t="s">
        <v>1417</v>
      </c>
      <c r="B977" t="s">
        <v>8268</v>
      </c>
      <c r="C977" t="s">
        <v>497</v>
      </c>
      <c r="D977" t="s">
        <v>8268</v>
      </c>
      <c r="L977" s="4" t="s">
        <v>2351</v>
      </c>
    </row>
    <row r="978" spans="1:12" x14ac:dyDescent="0.3">
      <c r="A978" t="s">
        <v>362</v>
      </c>
      <c r="B978" t="s">
        <v>8268</v>
      </c>
      <c r="C978" t="s">
        <v>4380</v>
      </c>
      <c r="D978" t="s">
        <v>4380</v>
      </c>
      <c r="L978" s="3" t="s">
        <v>2357</v>
      </c>
    </row>
    <row r="979" spans="1:12" x14ac:dyDescent="0.3">
      <c r="A979" t="s">
        <v>668</v>
      </c>
      <c r="B979" t="s">
        <v>362</v>
      </c>
      <c r="C979" t="s">
        <v>4380</v>
      </c>
      <c r="D979" t="s">
        <v>6902</v>
      </c>
      <c r="L979" s="4" t="s">
        <v>2360</v>
      </c>
    </row>
    <row r="980" spans="1:12" x14ac:dyDescent="0.3">
      <c r="A980" t="s">
        <v>668</v>
      </c>
      <c r="B980" t="s">
        <v>8266</v>
      </c>
      <c r="C980" t="s">
        <v>7104</v>
      </c>
      <c r="D980" t="s">
        <v>7473</v>
      </c>
      <c r="L980" s="3" t="s">
        <v>2363</v>
      </c>
    </row>
    <row r="981" spans="1:12" x14ac:dyDescent="0.3">
      <c r="A981" t="s">
        <v>521</v>
      </c>
      <c r="B981" t="s">
        <v>362</v>
      </c>
      <c r="C981" t="s">
        <v>7473</v>
      </c>
      <c r="D981" t="s">
        <v>7473</v>
      </c>
      <c r="L981" s="4" t="s">
        <v>2365</v>
      </c>
    </row>
    <row r="982" spans="1:12" x14ac:dyDescent="0.3">
      <c r="A982" t="s">
        <v>521</v>
      </c>
      <c r="B982" t="s">
        <v>668</v>
      </c>
      <c r="C982" t="s">
        <v>4380</v>
      </c>
      <c r="D982" t="s">
        <v>497</v>
      </c>
      <c r="L982" s="3" t="s">
        <v>2367</v>
      </c>
    </row>
    <row r="983" spans="1:12" x14ac:dyDescent="0.3">
      <c r="A983" t="s">
        <v>521</v>
      </c>
      <c r="B983" t="s">
        <v>5524</v>
      </c>
      <c r="C983" t="s">
        <v>5138</v>
      </c>
      <c r="D983" t="s">
        <v>4380</v>
      </c>
      <c r="L983" s="4" t="s">
        <v>2369</v>
      </c>
    </row>
    <row r="984" spans="1:12" x14ac:dyDescent="0.3">
      <c r="A984" t="s">
        <v>668</v>
      </c>
      <c r="B984" t="s">
        <v>1417</v>
      </c>
      <c r="C984" t="s">
        <v>4380</v>
      </c>
      <c r="D984" t="s">
        <v>5043</v>
      </c>
      <c r="L984" s="3" t="s">
        <v>2371</v>
      </c>
    </row>
    <row r="985" spans="1:12" x14ac:dyDescent="0.3">
      <c r="A985" t="s">
        <v>8268</v>
      </c>
      <c r="B985" t="s">
        <v>668</v>
      </c>
      <c r="C985" t="s">
        <v>668</v>
      </c>
      <c r="D985" t="s">
        <v>8267</v>
      </c>
      <c r="L985" s="4" t="s">
        <v>2374</v>
      </c>
    </row>
    <row r="986" spans="1:12" x14ac:dyDescent="0.3">
      <c r="A986" t="s">
        <v>521</v>
      </c>
      <c r="B986" t="s">
        <v>8268</v>
      </c>
      <c r="C986" t="s">
        <v>4380</v>
      </c>
      <c r="D986" t="s">
        <v>497</v>
      </c>
      <c r="L986" s="3" t="s">
        <v>2377</v>
      </c>
    </row>
    <row r="987" spans="1:12" x14ac:dyDescent="0.3">
      <c r="A987" t="s">
        <v>521</v>
      </c>
      <c r="B987" t="s">
        <v>8266</v>
      </c>
      <c r="C987" t="s">
        <v>1417</v>
      </c>
      <c r="D987" t="s">
        <v>8046</v>
      </c>
      <c r="L987" s="4" t="s">
        <v>2380</v>
      </c>
    </row>
    <row r="988" spans="1:12" x14ac:dyDescent="0.3">
      <c r="A988" t="s">
        <v>668</v>
      </c>
      <c r="B988" t="s">
        <v>362</v>
      </c>
      <c r="C988" t="s">
        <v>8267</v>
      </c>
      <c r="D988" t="s">
        <v>5138</v>
      </c>
      <c r="L988" s="3" t="s">
        <v>2382</v>
      </c>
    </row>
    <row r="989" spans="1:12" x14ac:dyDescent="0.3">
      <c r="A989" t="s">
        <v>8268</v>
      </c>
      <c r="B989" t="s">
        <v>5524</v>
      </c>
      <c r="C989" t="s">
        <v>4380</v>
      </c>
      <c r="D989" t="s">
        <v>4380</v>
      </c>
      <c r="L989" s="4" t="s">
        <v>2385</v>
      </c>
    </row>
    <row r="990" spans="1:12" x14ac:dyDescent="0.3">
      <c r="A990" t="s">
        <v>521</v>
      </c>
      <c r="B990" t="s">
        <v>668</v>
      </c>
      <c r="C990" t="s">
        <v>7473</v>
      </c>
      <c r="D990" t="s">
        <v>8267</v>
      </c>
      <c r="L990" s="3" t="s">
        <v>2388</v>
      </c>
    </row>
    <row r="991" spans="1:12" x14ac:dyDescent="0.3">
      <c r="A991" t="s">
        <v>521</v>
      </c>
      <c r="B991" t="s">
        <v>8266</v>
      </c>
      <c r="C991" t="s">
        <v>5138</v>
      </c>
      <c r="D991" t="s">
        <v>7473</v>
      </c>
      <c r="L991" s="4" t="s">
        <v>2390</v>
      </c>
    </row>
    <row r="992" spans="1:12" x14ac:dyDescent="0.3">
      <c r="A992" t="s">
        <v>362</v>
      </c>
      <c r="B992" t="s">
        <v>1417</v>
      </c>
      <c r="C992" t="s">
        <v>7473</v>
      </c>
      <c r="D992" t="s">
        <v>4380</v>
      </c>
      <c r="L992" s="3" t="s">
        <v>2393</v>
      </c>
    </row>
    <row r="993" spans="1:12" x14ac:dyDescent="0.3">
      <c r="A993" t="s">
        <v>668</v>
      </c>
      <c r="B993" t="s">
        <v>668</v>
      </c>
      <c r="C993" t="s">
        <v>7473</v>
      </c>
      <c r="D993" t="s">
        <v>4380</v>
      </c>
      <c r="L993" s="4" t="s">
        <v>2396</v>
      </c>
    </row>
    <row r="994" spans="1:12" x14ac:dyDescent="0.3">
      <c r="A994" t="s">
        <v>521</v>
      </c>
      <c r="B994" t="s">
        <v>7473</v>
      </c>
      <c r="C994" t="s">
        <v>8267</v>
      </c>
      <c r="D994" t="s">
        <v>4380</v>
      </c>
      <c r="L994" s="3" t="s">
        <v>2398</v>
      </c>
    </row>
    <row r="995" spans="1:12" x14ac:dyDescent="0.3">
      <c r="A995" t="s">
        <v>1417</v>
      </c>
      <c r="B995" t="s">
        <v>1417</v>
      </c>
      <c r="C995" t="s">
        <v>4380</v>
      </c>
      <c r="D995" t="s">
        <v>4380</v>
      </c>
      <c r="L995" s="4" t="s">
        <v>2400</v>
      </c>
    </row>
    <row r="996" spans="1:12" x14ac:dyDescent="0.3">
      <c r="A996" t="s">
        <v>8268</v>
      </c>
      <c r="B996" t="s">
        <v>1417</v>
      </c>
      <c r="C996" t="s">
        <v>7104</v>
      </c>
      <c r="D996" t="s">
        <v>497</v>
      </c>
      <c r="L996" s="3" t="s">
        <v>2402</v>
      </c>
    </row>
    <row r="997" spans="1:12" x14ac:dyDescent="0.3">
      <c r="A997" t="s">
        <v>668</v>
      </c>
      <c r="B997" t="s">
        <v>5524</v>
      </c>
      <c r="C997" t="s">
        <v>1417</v>
      </c>
      <c r="D997" t="s">
        <v>7473</v>
      </c>
      <c r="L997" s="4" t="s">
        <v>2404</v>
      </c>
    </row>
    <row r="998" spans="1:12" x14ac:dyDescent="0.3">
      <c r="A998" t="s">
        <v>668</v>
      </c>
      <c r="B998" t="s">
        <v>1417</v>
      </c>
      <c r="C998" t="s">
        <v>5043</v>
      </c>
      <c r="D998" t="s">
        <v>4380</v>
      </c>
      <c r="L998" s="3" t="s">
        <v>2406</v>
      </c>
    </row>
    <row r="999" spans="1:12" x14ac:dyDescent="0.3">
      <c r="A999" t="s">
        <v>1417</v>
      </c>
      <c r="B999" t="s">
        <v>5138</v>
      </c>
      <c r="C999" t="s">
        <v>8266</v>
      </c>
      <c r="D999" t="s">
        <v>8267</v>
      </c>
      <c r="L999" s="4" t="s">
        <v>2408</v>
      </c>
    </row>
    <row r="1000" spans="1:12" x14ac:dyDescent="0.3">
      <c r="A1000" t="s">
        <v>8268</v>
      </c>
      <c r="B1000" t="s">
        <v>497</v>
      </c>
      <c r="C1000" t="s">
        <v>497</v>
      </c>
      <c r="D1000" t="s">
        <v>8266</v>
      </c>
      <c r="L1000" s="3" t="s">
        <v>2410</v>
      </c>
    </row>
    <row r="1001" spans="1:12" x14ac:dyDescent="0.3">
      <c r="A1001" t="s">
        <v>521</v>
      </c>
      <c r="B1001" t="s">
        <v>8268</v>
      </c>
      <c r="C1001" t="s">
        <v>4380</v>
      </c>
      <c r="D1001" t="s">
        <v>7473</v>
      </c>
      <c r="L1001" s="4" t="s">
        <v>2412</v>
      </c>
    </row>
    <row r="1002" spans="1:12" x14ac:dyDescent="0.3">
      <c r="A1002" t="s">
        <v>8268</v>
      </c>
      <c r="B1002" t="s">
        <v>8268</v>
      </c>
      <c r="C1002" t="s">
        <v>8268</v>
      </c>
      <c r="D1002" t="s">
        <v>4380</v>
      </c>
      <c r="L1002" s="3" t="s">
        <v>2414</v>
      </c>
    </row>
    <row r="1003" spans="1:12" x14ac:dyDescent="0.3">
      <c r="A1003" t="s">
        <v>668</v>
      </c>
      <c r="B1003" t="s">
        <v>5138</v>
      </c>
      <c r="C1003" t="s">
        <v>8267</v>
      </c>
      <c r="D1003" t="s">
        <v>7104</v>
      </c>
      <c r="L1003" s="4" t="s">
        <v>2416</v>
      </c>
    </row>
    <row r="1004" spans="1:12" x14ac:dyDescent="0.3">
      <c r="A1004" t="s">
        <v>521</v>
      </c>
      <c r="B1004" t="s">
        <v>497</v>
      </c>
      <c r="C1004" t="s">
        <v>7104</v>
      </c>
      <c r="D1004" t="s">
        <v>4380</v>
      </c>
      <c r="L1004" s="3" t="s">
        <v>2419</v>
      </c>
    </row>
    <row r="1005" spans="1:12" x14ac:dyDescent="0.3">
      <c r="A1005" t="s">
        <v>521</v>
      </c>
      <c r="B1005" t="s">
        <v>8268</v>
      </c>
      <c r="C1005" t="s">
        <v>4380</v>
      </c>
      <c r="D1005" t="s">
        <v>7473</v>
      </c>
      <c r="L1005" s="4" t="s">
        <v>2422</v>
      </c>
    </row>
    <row r="1006" spans="1:12" x14ac:dyDescent="0.3">
      <c r="A1006" t="s">
        <v>521</v>
      </c>
      <c r="B1006" t="s">
        <v>5138</v>
      </c>
      <c r="C1006" t="s">
        <v>4380</v>
      </c>
      <c r="D1006" t="s">
        <v>8266</v>
      </c>
      <c r="L1006" s="3" t="s">
        <v>2424</v>
      </c>
    </row>
    <row r="1007" spans="1:12" x14ac:dyDescent="0.3">
      <c r="A1007" t="s">
        <v>521</v>
      </c>
      <c r="B1007" t="s">
        <v>7473</v>
      </c>
      <c r="C1007" t="s">
        <v>7473</v>
      </c>
      <c r="D1007" t="s">
        <v>4380</v>
      </c>
      <c r="L1007" s="4" t="s">
        <v>2427</v>
      </c>
    </row>
    <row r="1008" spans="1:12" x14ac:dyDescent="0.3">
      <c r="A1008" t="s">
        <v>521</v>
      </c>
      <c r="B1008" t="s">
        <v>362</v>
      </c>
      <c r="C1008" t="s">
        <v>668</v>
      </c>
      <c r="D1008" t="s">
        <v>8269</v>
      </c>
      <c r="L1008" s="3" t="s">
        <v>2430</v>
      </c>
    </row>
    <row r="1009" spans="1:12" x14ac:dyDescent="0.3">
      <c r="A1009" t="s">
        <v>1417</v>
      </c>
      <c r="B1009" t="s">
        <v>1417</v>
      </c>
      <c r="C1009" t="s">
        <v>1417</v>
      </c>
      <c r="D1009" t="s">
        <v>4380</v>
      </c>
      <c r="L1009" s="4" t="s">
        <v>2432</v>
      </c>
    </row>
    <row r="1010" spans="1:12" x14ac:dyDescent="0.3">
      <c r="A1010" t="s">
        <v>521</v>
      </c>
      <c r="B1010" t="s">
        <v>1417</v>
      </c>
      <c r="C1010" t="s">
        <v>4380</v>
      </c>
      <c r="D1010" t="s">
        <v>8267</v>
      </c>
      <c r="L1010" s="3" t="s">
        <v>2434</v>
      </c>
    </row>
    <row r="1011" spans="1:12" x14ac:dyDescent="0.3">
      <c r="A1011" t="s">
        <v>362</v>
      </c>
      <c r="B1011" t="s">
        <v>362</v>
      </c>
      <c r="C1011" t="s">
        <v>4380</v>
      </c>
      <c r="D1011" t="s">
        <v>1417</v>
      </c>
      <c r="L1011" s="4" t="s">
        <v>2436</v>
      </c>
    </row>
    <row r="1012" spans="1:12" x14ac:dyDescent="0.3">
      <c r="A1012" t="s">
        <v>521</v>
      </c>
      <c r="B1012" t="s">
        <v>7473</v>
      </c>
      <c r="C1012" t="s">
        <v>5138</v>
      </c>
      <c r="D1012" t="s">
        <v>7473</v>
      </c>
      <c r="L1012" s="3" t="s">
        <v>2439</v>
      </c>
    </row>
    <row r="1013" spans="1:12" x14ac:dyDescent="0.3">
      <c r="A1013" t="s">
        <v>8268</v>
      </c>
      <c r="B1013" t="s">
        <v>8268</v>
      </c>
      <c r="C1013" t="s">
        <v>668</v>
      </c>
      <c r="D1013" t="s">
        <v>8266</v>
      </c>
      <c r="L1013" s="4" t="s">
        <v>2442</v>
      </c>
    </row>
    <row r="1014" spans="1:12" x14ac:dyDescent="0.3">
      <c r="A1014" t="s">
        <v>521</v>
      </c>
      <c r="B1014" t="s">
        <v>1417</v>
      </c>
      <c r="C1014" t="s">
        <v>1417</v>
      </c>
      <c r="D1014" t="s">
        <v>4380</v>
      </c>
      <c r="L1014" s="3" t="s">
        <v>2445</v>
      </c>
    </row>
    <row r="1015" spans="1:12" x14ac:dyDescent="0.3">
      <c r="A1015" t="s">
        <v>521</v>
      </c>
      <c r="B1015" t="s">
        <v>1417</v>
      </c>
      <c r="C1015" t="s">
        <v>4380</v>
      </c>
      <c r="D1015" t="s">
        <v>8269</v>
      </c>
      <c r="L1015" s="4" t="s">
        <v>2447</v>
      </c>
    </row>
    <row r="1016" spans="1:12" x14ac:dyDescent="0.3">
      <c r="A1016" t="s">
        <v>8268</v>
      </c>
      <c r="B1016" t="s">
        <v>4380</v>
      </c>
      <c r="C1016" t="s">
        <v>5138</v>
      </c>
      <c r="D1016" t="s">
        <v>6902</v>
      </c>
      <c r="L1016" s="3" t="s">
        <v>2449</v>
      </c>
    </row>
    <row r="1017" spans="1:12" x14ac:dyDescent="0.3">
      <c r="A1017" t="s">
        <v>521</v>
      </c>
      <c r="B1017" t="s">
        <v>362</v>
      </c>
      <c r="C1017" t="s">
        <v>7473</v>
      </c>
      <c r="D1017" t="s">
        <v>4380</v>
      </c>
      <c r="L1017" s="4" t="s">
        <v>2451</v>
      </c>
    </row>
    <row r="1018" spans="1:12" x14ac:dyDescent="0.3">
      <c r="A1018" t="s">
        <v>362</v>
      </c>
      <c r="B1018" t="s">
        <v>1417</v>
      </c>
      <c r="C1018" t="s">
        <v>7473</v>
      </c>
      <c r="D1018" t="s">
        <v>5043</v>
      </c>
      <c r="L1018" s="3" t="s">
        <v>2453</v>
      </c>
    </row>
    <row r="1019" spans="1:12" x14ac:dyDescent="0.3">
      <c r="A1019" t="s">
        <v>362</v>
      </c>
      <c r="B1019" t="s">
        <v>668</v>
      </c>
      <c r="C1019" t="s">
        <v>4380</v>
      </c>
      <c r="D1019" t="s">
        <v>4380</v>
      </c>
      <c r="L1019" s="4" t="s">
        <v>2455</v>
      </c>
    </row>
    <row r="1020" spans="1:12" x14ac:dyDescent="0.3">
      <c r="A1020" t="s">
        <v>1417</v>
      </c>
      <c r="B1020" t="s">
        <v>8266</v>
      </c>
      <c r="C1020" t="s">
        <v>7104</v>
      </c>
      <c r="D1020" t="s">
        <v>8046</v>
      </c>
      <c r="L1020" s="3" t="s">
        <v>2458</v>
      </c>
    </row>
    <row r="1021" spans="1:12" x14ac:dyDescent="0.3">
      <c r="A1021" t="s">
        <v>8268</v>
      </c>
      <c r="B1021" t="s">
        <v>497</v>
      </c>
      <c r="C1021" t="s">
        <v>5043</v>
      </c>
      <c r="D1021" t="s">
        <v>7473</v>
      </c>
      <c r="L1021" s="4" t="s">
        <v>2460</v>
      </c>
    </row>
    <row r="1022" spans="1:12" x14ac:dyDescent="0.3">
      <c r="A1022" t="s">
        <v>362</v>
      </c>
      <c r="B1022" t="s">
        <v>497</v>
      </c>
      <c r="C1022" t="s">
        <v>4380</v>
      </c>
      <c r="D1022" t="s">
        <v>7473</v>
      </c>
      <c r="L1022" s="3" t="s">
        <v>2462</v>
      </c>
    </row>
    <row r="1023" spans="1:12" x14ac:dyDescent="0.3">
      <c r="A1023" t="s">
        <v>1417</v>
      </c>
      <c r="B1023" t="s">
        <v>1417</v>
      </c>
      <c r="C1023" t="s">
        <v>4380</v>
      </c>
      <c r="D1023" t="s">
        <v>7473</v>
      </c>
      <c r="L1023" s="4" t="s">
        <v>2464</v>
      </c>
    </row>
    <row r="1024" spans="1:12" x14ac:dyDescent="0.3">
      <c r="A1024" t="s">
        <v>5524</v>
      </c>
      <c r="B1024" t="s">
        <v>8268</v>
      </c>
      <c r="C1024" t="s">
        <v>7473</v>
      </c>
      <c r="D1024" t="s">
        <v>8266</v>
      </c>
      <c r="L1024" s="3" t="s">
        <v>2466</v>
      </c>
    </row>
    <row r="1025" spans="1:12" x14ac:dyDescent="0.3">
      <c r="A1025" t="s">
        <v>521</v>
      </c>
      <c r="B1025" t="s">
        <v>4380</v>
      </c>
      <c r="C1025" t="s">
        <v>5138</v>
      </c>
      <c r="D1025" t="s">
        <v>4380</v>
      </c>
      <c r="L1025" s="4" t="s">
        <v>2468</v>
      </c>
    </row>
    <row r="1026" spans="1:12" x14ac:dyDescent="0.3">
      <c r="A1026" t="s">
        <v>521</v>
      </c>
      <c r="B1026" t="s">
        <v>1417</v>
      </c>
      <c r="C1026" t="s">
        <v>7473</v>
      </c>
      <c r="D1026" t="s">
        <v>497</v>
      </c>
      <c r="L1026" s="3" t="s">
        <v>2471</v>
      </c>
    </row>
    <row r="1027" spans="1:12" x14ac:dyDescent="0.3">
      <c r="A1027" t="s">
        <v>8268</v>
      </c>
      <c r="B1027" t="s">
        <v>1417</v>
      </c>
      <c r="C1027" t="s">
        <v>5138</v>
      </c>
      <c r="D1027" t="s">
        <v>7473</v>
      </c>
      <c r="L1027" s="4" t="s">
        <v>2473</v>
      </c>
    </row>
    <row r="1028" spans="1:12" x14ac:dyDescent="0.3">
      <c r="A1028" t="s">
        <v>521</v>
      </c>
      <c r="B1028" t="s">
        <v>7473</v>
      </c>
      <c r="C1028" t="s">
        <v>5043</v>
      </c>
      <c r="D1028" t="s">
        <v>7473</v>
      </c>
      <c r="L1028" s="3" t="s">
        <v>2475</v>
      </c>
    </row>
    <row r="1029" spans="1:12" x14ac:dyDescent="0.3">
      <c r="A1029" t="s">
        <v>1417</v>
      </c>
      <c r="B1029" t="s">
        <v>668</v>
      </c>
      <c r="C1029" t="s">
        <v>7473</v>
      </c>
      <c r="D1029" t="s">
        <v>4380</v>
      </c>
      <c r="L1029" s="4" t="s">
        <v>2477</v>
      </c>
    </row>
    <row r="1030" spans="1:12" x14ac:dyDescent="0.3">
      <c r="A1030" t="s">
        <v>668</v>
      </c>
      <c r="B1030" t="s">
        <v>7473</v>
      </c>
      <c r="C1030" t="s">
        <v>7473</v>
      </c>
      <c r="D1030" t="s">
        <v>8269</v>
      </c>
      <c r="L1030" s="3" t="s">
        <v>2479</v>
      </c>
    </row>
    <row r="1031" spans="1:12" x14ac:dyDescent="0.3">
      <c r="A1031" t="s">
        <v>668</v>
      </c>
      <c r="B1031" t="s">
        <v>668</v>
      </c>
      <c r="C1031" t="s">
        <v>7104</v>
      </c>
      <c r="D1031" t="s">
        <v>4380</v>
      </c>
      <c r="L1031" s="4" t="s">
        <v>2481</v>
      </c>
    </row>
    <row r="1032" spans="1:12" x14ac:dyDescent="0.3">
      <c r="A1032" t="s">
        <v>668</v>
      </c>
      <c r="B1032" t="s">
        <v>362</v>
      </c>
      <c r="C1032" t="s">
        <v>8268</v>
      </c>
      <c r="D1032" t="s">
        <v>7104</v>
      </c>
      <c r="L1032" s="3" t="s">
        <v>2484</v>
      </c>
    </row>
    <row r="1033" spans="1:12" x14ac:dyDescent="0.3">
      <c r="A1033" t="s">
        <v>668</v>
      </c>
      <c r="B1033" t="s">
        <v>8266</v>
      </c>
      <c r="C1033" t="s">
        <v>8266</v>
      </c>
      <c r="D1033" t="s">
        <v>5138</v>
      </c>
      <c r="L1033" s="4" t="s">
        <v>2486</v>
      </c>
    </row>
    <row r="1034" spans="1:12" x14ac:dyDescent="0.3">
      <c r="A1034" t="s">
        <v>521</v>
      </c>
      <c r="B1034" t="s">
        <v>4843</v>
      </c>
      <c r="C1034" t="s">
        <v>7473</v>
      </c>
      <c r="D1034" t="s">
        <v>7473</v>
      </c>
      <c r="L1034" s="3" t="s">
        <v>2489</v>
      </c>
    </row>
    <row r="1035" spans="1:12" x14ac:dyDescent="0.3">
      <c r="A1035" t="s">
        <v>521</v>
      </c>
      <c r="B1035" t="s">
        <v>2701</v>
      </c>
      <c r="C1035" t="s">
        <v>1417</v>
      </c>
      <c r="D1035" t="s">
        <v>6902</v>
      </c>
      <c r="L1035" s="4" t="s">
        <v>2491</v>
      </c>
    </row>
    <row r="1036" spans="1:12" x14ac:dyDescent="0.3">
      <c r="A1036" t="s">
        <v>521</v>
      </c>
      <c r="B1036" t="s">
        <v>7473</v>
      </c>
      <c r="C1036" t="s">
        <v>8268</v>
      </c>
      <c r="D1036" t="s">
        <v>5138</v>
      </c>
      <c r="L1036" s="3" t="s">
        <v>2493</v>
      </c>
    </row>
    <row r="1037" spans="1:12" x14ac:dyDescent="0.3">
      <c r="A1037" t="s">
        <v>1417</v>
      </c>
      <c r="B1037" t="s">
        <v>7473</v>
      </c>
      <c r="C1037" t="s">
        <v>7473</v>
      </c>
      <c r="D1037" t="s">
        <v>4380</v>
      </c>
      <c r="L1037" s="4" t="s">
        <v>2496</v>
      </c>
    </row>
    <row r="1038" spans="1:12" x14ac:dyDescent="0.3">
      <c r="A1038" t="s">
        <v>521</v>
      </c>
      <c r="B1038" t="s">
        <v>8266</v>
      </c>
      <c r="C1038" t="s">
        <v>2701</v>
      </c>
      <c r="D1038" t="s">
        <v>4380</v>
      </c>
      <c r="L1038" s="3" t="s">
        <v>2498</v>
      </c>
    </row>
    <row r="1039" spans="1:12" x14ac:dyDescent="0.3">
      <c r="A1039" t="s">
        <v>668</v>
      </c>
      <c r="B1039" t="s">
        <v>362</v>
      </c>
      <c r="C1039" t="s">
        <v>4380</v>
      </c>
      <c r="D1039" t="s">
        <v>8266</v>
      </c>
      <c r="L1039" s="4" t="s">
        <v>2500</v>
      </c>
    </row>
    <row r="1040" spans="1:12" x14ac:dyDescent="0.3">
      <c r="A1040" t="s">
        <v>8268</v>
      </c>
      <c r="B1040" t="s">
        <v>1417</v>
      </c>
      <c r="C1040" t="s">
        <v>7473</v>
      </c>
      <c r="D1040" t="s">
        <v>4380</v>
      </c>
      <c r="L1040" s="3" t="s">
        <v>2503</v>
      </c>
    </row>
    <row r="1041" spans="1:12" x14ac:dyDescent="0.3">
      <c r="A1041" t="s">
        <v>521</v>
      </c>
      <c r="B1041" t="s">
        <v>1417</v>
      </c>
      <c r="C1041" t="s">
        <v>8046</v>
      </c>
      <c r="D1041" t="s">
        <v>7473</v>
      </c>
      <c r="L1041" s="4" t="s">
        <v>2505</v>
      </c>
    </row>
    <row r="1042" spans="1:12" x14ac:dyDescent="0.3">
      <c r="A1042" t="s">
        <v>1417</v>
      </c>
      <c r="B1042" t="s">
        <v>497</v>
      </c>
      <c r="C1042" t="s">
        <v>7473</v>
      </c>
      <c r="D1042" t="s">
        <v>4380</v>
      </c>
      <c r="L1042" s="3" t="s">
        <v>2507</v>
      </c>
    </row>
    <row r="1043" spans="1:12" x14ac:dyDescent="0.3">
      <c r="A1043" t="s">
        <v>521</v>
      </c>
      <c r="B1043" t="s">
        <v>8268</v>
      </c>
      <c r="C1043" t="s">
        <v>1417</v>
      </c>
      <c r="D1043" t="s">
        <v>4380</v>
      </c>
      <c r="L1043" s="4" t="s">
        <v>2510</v>
      </c>
    </row>
    <row r="1044" spans="1:12" x14ac:dyDescent="0.3">
      <c r="A1044" t="s">
        <v>8268</v>
      </c>
      <c r="B1044" t="s">
        <v>8046</v>
      </c>
      <c r="C1044" t="s">
        <v>668</v>
      </c>
      <c r="D1044" t="s">
        <v>4380</v>
      </c>
      <c r="L1044" s="3" t="s">
        <v>2512</v>
      </c>
    </row>
    <row r="1045" spans="1:12" x14ac:dyDescent="0.3">
      <c r="A1045" t="s">
        <v>8268</v>
      </c>
      <c r="B1045" t="s">
        <v>7104</v>
      </c>
      <c r="C1045" t="s">
        <v>8266</v>
      </c>
      <c r="D1045" t="s">
        <v>8046</v>
      </c>
      <c r="L1045" s="4" t="s">
        <v>2515</v>
      </c>
    </row>
    <row r="1046" spans="1:12" x14ac:dyDescent="0.3">
      <c r="A1046" t="s">
        <v>2701</v>
      </c>
      <c r="B1046" t="s">
        <v>8268</v>
      </c>
      <c r="C1046" t="s">
        <v>8268</v>
      </c>
      <c r="D1046" t="s">
        <v>8269</v>
      </c>
      <c r="L1046" s="3" t="s">
        <v>2517</v>
      </c>
    </row>
    <row r="1047" spans="1:12" x14ac:dyDescent="0.3">
      <c r="A1047" t="s">
        <v>521</v>
      </c>
      <c r="B1047" t="s">
        <v>668</v>
      </c>
      <c r="C1047" t="s">
        <v>8046</v>
      </c>
      <c r="D1047" t="s">
        <v>5043</v>
      </c>
      <c r="L1047" s="4" t="s">
        <v>2520</v>
      </c>
    </row>
    <row r="1048" spans="1:12" x14ac:dyDescent="0.3">
      <c r="A1048" t="s">
        <v>8268</v>
      </c>
      <c r="B1048" t="s">
        <v>362</v>
      </c>
      <c r="C1048" t="s">
        <v>4380</v>
      </c>
      <c r="D1048" t="s">
        <v>8046</v>
      </c>
      <c r="L1048" s="3" t="s">
        <v>2523</v>
      </c>
    </row>
    <row r="1049" spans="1:12" x14ac:dyDescent="0.3">
      <c r="A1049" t="s">
        <v>362</v>
      </c>
      <c r="B1049" t="s">
        <v>7104</v>
      </c>
      <c r="C1049" t="s">
        <v>1417</v>
      </c>
      <c r="D1049" t="s">
        <v>4380</v>
      </c>
      <c r="L1049" s="4" t="s">
        <v>2525</v>
      </c>
    </row>
    <row r="1050" spans="1:12" x14ac:dyDescent="0.3">
      <c r="A1050" t="s">
        <v>1417</v>
      </c>
      <c r="B1050" t="s">
        <v>1417</v>
      </c>
      <c r="C1050" t="s">
        <v>668</v>
      </c>
      <c r="D1050" t="s">
        <v>8266</v>
      </c>
      <c r="L1050" s="3" t="s">
        <v>2527</v>
      </c>
    </row>
    <row r="1051" spans="1:12" x14ac:dyDescent="0.3">
      <c r="A1051" t="s">
        <v>668</v>
      </c>
      <c r="B1051" t="s">
        <v>1417</v>
      </c>
      <c r="C1051" t="s">
        <v>668</v>
      </c>
      <c r="D1051" t="s">
        <v>8267</v>
      </c>
      <c r="L1051" s="4" t="s">
        <v>2529</v>
      </c>
    </row>
    <row r="1052" spans="1:12" x14ac:dyDescent="0.3">
      <c r="A1052" t="s">
        <v>668</v>
      </c>
      <c r="B1052" t="s">
        <v>668</v>
      </c>
      <c r="C1052" t="s">
        <v>5138</v>
      </c>
      <c r="D1052" t="s">
        <v>4380</v>
      </c>
      <c r="L1052" s="3" t="s">
        <v>2531</v>
      </c>
    </row>
    <row r="1053" spans="1:12" x14ac:dyDescent="0.3">
      <c r="A1053" t="s">
        <v>8268</v>
      </c>
      <c r="B1053" t="s">
        <v>4380</v>
      </c>
      <c r="C1053" t="s">
        <v>7104</v>
      </c>
      <c r="D1053" t="s">
        <v>1417</v>
      </c>
      <c r="L1053" s="4" t="s">
        <v>2534</v>
      </c>
    </row>
    <row r="1054" spans="1:12" x14ac:dyDescent="0.3">
      <c r="A1054" t="s">
        <v>362</v>
      </c>
      <c r="B1054" t="s">
        <v>7473</v>
      </c>
      <c r="C1054" t="s">
        <v>7473</v>
      </c>
      <c r="D1054" t="s">
        <v>4380</v>
      </c>
      <c r="L1054" s="3" t="s">
        <v>2537</v>
      </c>
    </row>
    <row r="1055" spans="1:12" x14ac:dyDescent="0.3">
      <c r="A1055" t="s">
        <v>521</v>
      </c>
      <c r="B1055" t="s">
        <v>1417</v>
      </c>
      <c r="C1055" t="s">
        <v>7473</v>
      </c>
      <c r="D1055" t="s">
        <v>7473</v>
      </c>
      <c r="L1055" s="4" t="s">
        <v>2539</v>
      </c>
    </row>
    <row r="1056" spans="1:12" x14ac:dyDescent="0.3">
      <c r="A1056" t="s">
        <v>8268</v>
      </c>
      <c r="B1056" t="s">
        <v>1417</v>
      </c>
      <c r="C1056" t="s">
        <v>4380</v>
      </c>
      <c r="D1056" t="s">
        <v>7473</v>
      </c>
      <c r="L1056" s="3" t="s">
        <v>2541</v>
      </c>
    </row>
    <row r="1057" spans="1:12" x14ac:dyDescent="0.3">
      <c r="A1057" t="s">
        <v>668</v>
      </c>
      <c r="B1057" t="s">
        <v>668</v>
      </c>
      <c r="C1057" t="s">
        <v>497</v>
      </c>
      <c r="D1057" t="s">
        <v>4380</v>
      </c>
      <c r="L1057" s="4" t="s">
        <v>2543</v>
      </c>
    </row>
    <row r="1058" spans="1:12" x14ac:dyDescent="0.3">
      <c r="A1058" t="s">
        <v>1417</v>
      </c>
      <c r="B1058" t="s">
        <v>668</v>
      </c>
      <c r="C1058" t="s">
        <v>5138</v>
      </c>
      <c r="D1058" t="s">
        <v>4380</v>
      </c>
      <c r="L1058" s="3" t="s">
        <v>2545</v>
      </c>
    </row>
    <row r="1059" spans="1:12" x14ac:dyDescent="0.3">
      <c r="A1059" t="s">
        <v>521</v>
      </c>
      <c r="B1059" t="s">
        <v>2701</v>
      </c>
      <c r="C1059" t="s">
        <v>5043</v>
      </c>
      <c r="D1059" t="s">
        <v>7473</v>
      </c>
      <c r="L1059" s="4" t="s">
        <v>2547</v>
      </c>
    </row>
    <row r="1060" spans="1:12" x14ac:dyDescent="0.3">
      <c r="A1060" t="s">
        <v>8268</v>
      </c>
      <c r="B1060" t="s">
        <v>8267</v>
      </c>
      <c r="C1060" t="s">
        <v>1417</v>
      </c>
      <c r="D1060" t="s">
        <v>8269</v>
      </c>
      <c r="L1060" s="3" t="s">
        <v>2549</v>
      </c>
    </row>
    <row r="1061" spans="1:12" x14ac:dyDescent="0.3">
      <c r="A1061" t="s">
        <v>5524</v>
      </c>
      <c r="B1061" t="s">
        <v>4380</v>
      </c>
      <c r="C1061" t="s">
        <v>8266</v>
      </c>
      <c r="D1061" t="s">
        <v>5138</v>
      </c>
      <c r="L1061" s="4" t="s">
        <v>2551</v>
      </c>
    </row>
    <row r="1062" spans="1:12" x14ac:dyDescent="0.3">
      <c r="A1062" t="s">
        <v>521</v>
      </c>
      <c r="B1062" t="s">
        <v>362</v>
      </c>
      <c r="C1062" t="s">
        <v>5138</v>
      </c>
      <c r="D1062" t="s">
        <v>8266</v>
      </c>
      <c r="L1062" s="3" t="s">
        <v>2553</v>
      </c>
    </row>
    <row r="1063" spans="1:12" x14ac:dyDescent="0.3">
      <c r="A1063" t="s">
        <v>1417</v>
      </c>
      <c r="B1063" t="s">
        <v>1417</v>
      </c>
      <c r="C1063" t="s">
        <v>4380</v>
      </c>
      <c r="D1063" t="s">
        <v>4380</v>
      </c>
      <c r="L1063" s="4" t="s">
        <v>2555</v>
      </c>
    </row>
    <row r="1064" spans="1:12" x14ac:dyDescent="0.3">
      <c r="A1064" t="s">
        <v>362</v>
      </c>
      <c r="B1064" t="s">
        <v>1417</v>
      </c>
      <c r="C1064" t="s">
        <v>5138</v>
      </c>
      <c r="D1064" t="s">
        <v>8269</v>
      </c>
      <c r="L1064" s="3" t="s">
        <v>2557</v>
      </c>
    </row>
    <row r="1065" spans="1:12" x14ac:dyDescent="0.3">
      <c r="A1065" t="s">
        <v>1417</v>
      </c>
      <c r="B1065" t="s">
        <v>4843</v>
      </c>
      <c r="C1065" t="s">
        <v>4380</v>
      </c>
      <c r="D1065" t="s">
        <v>4380</v>
      </c>
      <c r="L1065" s="4" t="s">
        <v>2559</v>
      </c>
    </row>
    <row r="1066" spans="1:12" x14ac:dyDescent="0.3">
      <c r="A1066" t="s">
        <v>668</v>
      </c>
      <c r="B1066" t="s">
        <v>8266</v>
      </c>
      <c r="C1066" t="s">
        <v>668</v>
      </c>
      <c r="D1066" t="s">
        <v>8269</v>
      </c>
      <c r="L1066" s="3" t="s">
        <v>2561</v>
      </c>
    </row>
    <row r="1067" spans="1:12" x14ac:dyDescent="0.3">
      <c r="A1067" t="s">
        <v>668</v>
      </c>
      <c r="B1067" t="s">
        <v>8268</v>
      </c>
      <c r="C1067" t="s">
        <v>1417</v>
      </c>
      <c r="D1067" t="s">
        <v>4380</v>
      </c>
      <c r="L1067" s="4" t="s">
        <v>2563</v>
      </c>
    </row>
    <row r="1068" spans="1:12" x14ac:dyDescent="0.3">
      <c r="A1068" t="s">
        <v>1417</v>
      </c>
      <c r="B1068" t="s">
        <v>1417</v>
      </c>
      <c r="C1068" t="s">
        <v>7104</v>
      </c>
      <c r="D1068" t="s">
        <v>4380</v>
      </c>
      <c r="L1068" s="3" t="s">
        <v>2565</v>
      </c>
    </row>
    <row r="1069" spans="1:12" x14ac:dyDescent="0.3">
      <c r="A1069" t="s">
        <v>521</v>
      </c>
      <c r="B1069" t="s">
        <v>7104</v>
      </c>
      <c r="C1069" t="s">
        <v>4380</v>
      </c>
      <c r="D1069" t="s">
        <v>5138</v>
      </c>
      <c r="L1069" s="4" t="s">
        <v>2567</v>
      </c>
    </row>
    <row r="1070" spans="1:12" x14ac:dyDescent="0.3">
      <c r="A1070" t="s">
        <v>521</v>
      </c>
      <c r="B1070" t="s">
        <v>7104</v>
      </c>
      <c r="C1070" t="s">
        <v>1417</v>
      </c>
      <c r="D1070" t="s">
        <v>4380</v>
      </c>
      <c r="L1070" s="3" t="s">
        <v>2570</v>
      </c>
    </row>
    <row r="1071" spans="1:12" x14ac:dyDescent="0.3">
      <c r="A1071" t="s">
        <v>521</v>
      </c>
      <c r="B1071" t="s">
        <v>668</v>
      </c>
      <c r="C1071" t="s">
        <v>1417</v>
      </c>
      <c r="D1071" t="s">
        <v>4380</v>
      </c>
      <c r="L1071" s="4" t="s">
        <v>2572</v>
      </c>
    </row>
    <row r="1072" spans="1:12" x14ac:dyDescent="0.3">
      <c r="A1072" t="s">
        <v>668</v>
      </c>
      <c r="B1072" t="s">
        <v>7104</v>
      </c>
      <c r="C1072" t="s">
        <v>8046</v>
      </c>
      <c r="D1072" t="s">
        <v>4380</v>
      </c>
      <c r="L1072" s="3" t="s">
        <v>2574</v>
      </c>
    </row>
    <row r="1073" spans="1:12" x14ac:dyDescent="0.3">
      <c r="A1073" t="s">
        <v>5524</v>
      </c>
      <c r="B1073" t="s">
        <v>2701</v>
      </c>
      <c r="C1073" t="s">
        <v>8269</v>
      </c>
      <c r="D1073" t="s">
        <v>5138</v>
      </c>
      <c r="L1073" s="4" t="s">
        <v>2576</v>
      </c>
    </row>
    <row r="1074" spans="1:12" x14ac:dyDescent="0.3">
      <c r="A1074" t="s">
        <v>1417</v>
      </c>
      <c r="B1074" t="s">
        <v>7473</v>
      </c>
      <c r="C1074" t="s">
        <v>5138</v>
      </c>
      <c r="D1074" t="s">
        <v>4380</v>
      </c>
      <c r="L1074" s="3" t="s">
        <v>2579</v>
      </c>
    </row>
    <row r="1075" spans="1:12" x14ac:dyDescent="0.3">
      <c r="A1075" t="s">
        <v>668</v>
      </c>
      <c r="B1075" t="s">
        <v>668</v>
      </c>
      <c r="C1075" t="s">
        <v>668</v>
      </c>
      <c r="D1075" t="s">
        <v>1417</v>
      </c>
      <c r="L1075" s="4" t="s">
        <v>2581</v>
      </c>
    </row>
    <row r="1076" spans="1:12" x14ac:dyDescent="0.3">
      <c r="A1076" t="s">
        <v>521</v>
      </c>
      <c r="B1076" t="s">
        <v>362</v>
      </c>
      <c r="C1076" t="s">
        <v>497</v>
      </c>
      <c r="D1076" t="s">
        <v>4380</v>
      </c>
      <c r="L1076" s="3" t="s">
        <v>2583</v>
      </c>
    </row>
    <row r="1077" spans="1:12" x14ac:dyDescent="0.3">
      <c r="A1077" t="s">
        <v>668</v>
      </c>
      <c r="B1077" t="s">
        <v>7104</v>
      </c>
      <c r="C1077" t="s">
        <v>1417</v>
      </c>
      <c r="D1077" t="s">
        <v>8269</v>
      </c>
      <c r="L1077" s="4" t="s">
        <v>2585</v>
      </c>
    </row>
    <row r="1078" spans="1:12" x14ac:dyDescent="0.3">
      <c r="A1078" t="s">
        <v>521</v>
      </c>
      <c r="B1078" t="s">
        <v>1417</v>
      </c>
      <c r="C1078" t="s">
        <v>7473</v>
      </c>
      <c r="D1078" t="s">
        <v>7104</v>
      </c>
      <c r="L1078" s="3" t="s">
        <v>2587</v>
      </c>
    </row>
    <row r="1079" spans="1:12" x14ac:dyDescent="0.3">
      <c r="A1079" t="s">
        <v>521</v>
      </c>
      <c r="B1079" t="s">
        <v>8268</v>
      </c>
      <c r="C1079" t="s">
        <v>4380</v>
      </c>
      <c r="D1079" t="s">
        <v>1417</v>
      </c>
      <c r="L1079" s="4" t="s">
        <v>2589</v>
      </c>
    </row>
    <row r="1080" spans="1:12" x14ac:dyDescent="0.3">
      <c r="A1080" t="s">
        <v>668</v>
      </c>
      <c r="B1080" t="s">
        <v>362</v>
      </c>
      <c r="C1080" t="s">
        <v>7104</v>
      </c>
      <c r="D1080" t="s">
        <v>7473</v>
      </c>
      <c r="L1080" s="3" t="s">
        <v>2591</v>
      </c>
    </row>
    <row r="1081" spans="1:12" x14ac:dyDescent="0.3">
      <c r="A1081" t="s">
        <v>8268</v>
      </c>
      <c r="B1081" t="s">
        <v>4843</v>
      </c>
      <c r="C1081" t="s">
        <v>5138</v>
      </c>
      <c r="D1081" t="s">
        <v>1417</v>
      </c>
      <c r="L1081" s="4" t="s">
        <v>2593</v>
      </c>
    </row>
    <row r="1082" spans="1:12" x14ac:dyDescent="0.3">
      <c r="A1082" t="s">
        <v>8268</v>
      </c>
      <c r="B1082" t="s">
        <v>362</v>
      </c>
      <c r="C1082" t="s">
        <v>7473</v>
      </c>
      <c r="D1082" t="s">
        <v>8267</v>
      </c>
      <c r="L1082" s="3" t="s">
        <v>2595</v>
      </c>
    </row>
    <row r="1083" spans="1:12" x14ac:dyDescent="0.3">
      <c r="A1083" t="s">
        <v>362</v>
      </c>
      <c r="B1083" t="s">
        <v>497</v>
      </c>
      <c r="C1083" t="s">
        <v>5138</v>
      </c>
      <c r="D1083" t="s">
        <v>1417</v>
      </c>
      <c r="L1083" s="4" t="s">
        <v>2597</v>
      </c>
    </row>
    <row r="1084" spans="1:12" x14ac:dyDescent="0.3">
      <c r="A1084" t="s">
        <v>521</v>
      </c>
      <c r="B1084" t="s">
        <v>7473</v>
      </c>
      <c r="C1084" t="s">
        <v>1417</v>
      </c>
      <c r="D1084" t="s">
        <v>497</v>
      </c>
      <c r="L1084" s="3" t="s">
        <v>2600</v>
      </c>
    </row>
    <row r="1085" spans="1:12" x14ac:dyDescent="0.3">
      <c r="A1085" t="s">
        <v>668</v>
      </c>
      <c r="B1085" t="s">
        <v>8268</v>
      </c>
      <c r="C1085" t="s">
        <v>668</v>
      </c>
      <c r="D1085" t="s">
        <v>4380</v>
      </c>
      <c r="L1085" s="4" t="s">
        <v>2603</v>
      </c>
    </row>
    <row r="1086" spans="1:12" x14ac:dyDescent="0.3">
      <c r="A1086" t="s">
        <v>8268</v>
      </c>
      <c r="B1086" t="s">
        <v>362</v>
      </c>
      <c r="C1086" t="s">
        <v>8266</v>
      </c>
      <c r="D1086" t="s">
        <v>4380</v>
      </c>
      <c r="L1086" s="3" t="s">
        <v>2606</v>
      </c>
    </row>
    <row r="1087" spans="1:12" x14ac:dyDescent="0.3">
      <c r="A1087" t="s">
        <v>8268</v>
      </c>
      <c r="B1087" t="s">
        <v>668</v>
      </c>
      <c r="C1087" t="s">
        <v>1417</v>
      </c>
      <c r="D1087" t="s">
        <v>7473</v>
      </c>
      <c r="L1087" s="4" t="s">
        <v>2608</v>
      </c>
    </row>
    <row r="1088" spans="1:12" x14ac:dyDescent="0.3">
      <c r="A1088" t="s">
        <v>362</v>
      </c>
      <c r="B1088" t="s">
        <v>7473</v>
      </c>
      <c r="C1088" t="s">
        <v>5138</v>
      </c>
      <c r="D1088" t="s">
        <v>8268</v>
      </c>
      <c r="L1088" s="3" t="s">
        <v>2610</v>
      </c>
    </row>
    <row r="1089" spans="1:12" x14ac:dyDescent="0.3">
      <c r="A1089" t="s">
        <v>668</v>
      </c>
      <c r="B1089" t="s">
        <v>668</v>
      </c>
      <c r="C1089" t="s">
        <v>7104</v>
      </c>
      <c r="D1089" t="s">
        <v>5138</v>
      </c>
      <c r="L1089" s="4" t="s">
        <v>2612</v>
      </c>
    </row>
    <row r="1090" spans="1:12" x14ac:dyDescent="0.3">
      <c r="A1090" t="s">
        <v>362</v>
      </c>
      <c r="B1090" t="s">
        <v>1417</v>
      </c>
      <c r="C1090" t="s">
        <v>8267</v>
      </c>
      <c r="D1090" t="s">
        <v>497</v>
      </c>
      <c r="L1090" s="3" t="s">
        <v>2614</v>
      </c>
    </row>
    <row r="1091" spans="1:12" x14ac:dyDescent="0.3">
      <c r="A1091" t="s">
        <v>521</v>
      </c>
      <c r="B1091" t="s">
        <v>6902</v>
      </c>
      <c r="C1091" t="s">
        <v>4380</v>
      </c>
      <c r="D1091" t="s">
        <v>1417</v>
      </c>
      <c r="L1091" s="4" t="s">
        <v>2616</v>
      </c>
    </row>
    <row r="1092" spans="1:12" x14ac:dyDescent="0.3">
      <c r="A1092" t="s">
        <v>1417</v>
      </c>
      <c r="B1092" t="s">
        <v>5138</v>
      </c>
      <c r="C1092" t="s">
        <v>7473</v>
      </c>
      <c r="D1092" t="s">
        <v>7473</v>
      </c>
      <c r="L1092" s="3" t="s">
        <v>2619</v>
      </c>
    </row>
    <row r="1093" spans="1:12" x14ac:dyDescent="0.3">
      <c r="A1093" t="s">
        <v>1417</v>
      </c>
      <c r="B1093" t="s">
        <v>362</v>
      </c>
      <c r="C1093" t="s">
        <v>8268</v>
      </c>
      <c r="D1093" t="s">
        <v>4380</v>
      </c>
      <c r="L1093" s="4" t="s">
        <v>2621</v>
      </c>
    </row>
    <row r="1094" spans="1:12" x14ac:dyDescent="0.3">
      <c r="A1094" t="s">
        <v>521</v>
      </c>
      <c r="B1094" t="s">
        <v>7473</v>
      </c>
      <c r="C1094" t="s">
        <v>8266</v>
      </c>
      <c r="D1094" t="s">
        <v>4380</v>
      </c>
      <c r="L1094" s="3" t="s">
        <v>2623</v>
      </c>
    </row>
    <row r="1095" spans="1:12" x14ac:dyDescent="0.3">
      <c r="A1095" t="s">
        <v>668</v>
      </c>
      <c r="B1095" t="s">
        <v>1417</v>
      </c>
      <c r="C1095" t="s">
        <v>5138</v>
      </c>
      <c r="D1095" t="s">
        <v>8269</v>
      </c>
      <c r="L1095" s="4" t="s">
        <v>2625</v>
      </c>
    </row>
    <row r="1096" spans="1:12" x14ac:dyDescent="0.3">
      <c r="A1096" t="s">
        <v>668</v>
      </c>
      <c r="B1096" t="s">
        <v>4380</v>
      </c>
      <c r="C1096" t="s">
        <v>4380</v>
      </c>
      <c r="D1096" t="s">
        <v>6171</v>
      </c>
      <c r="L1096" s="3" t="s">
        <v>2627</v>
      </c>
    </row>
    <row r="1097" spans="1:12" x14ac:dyDescent="0.3">
      <c r="A1097" t="s">
        <v>362</v>
      </c>
      <c r="B1097" t="s">
        <v>362</v>
      </c>
      <c r="C1097" t="s">
        <v>4380</v>
      </c>
      <c r="D1097" t="s">
        <v>7473</v>
      </c>
      <c r="L1097" s="4" t="s">
        <v>2629</v>
      </c>
    </row>
    <row r="1098" spans="1:12" x14ac:dyDescent="0.3">
      <c r="A1098" t="s">
        <v>2701</v>
      </c>
      <c r="B1098" t="s">
        <v>8268</v>
      </c>
      <c r="C1098" t="s">
        <v>1417</v>
      </c>
      <c r="D1098" t="s">
        <v>4380</v>
      </c>
      <c r="L1098" s="3" t="s">
        <v>2631</v>
      </c>
    </row>
    <row r="1099" spans="1:12" x14ac:dyDescent="0.3">
      <c r="A1099" t="s">
        <v>521</v>
      </c>
      <c r="B1099" t="s">
        <v>7473</v>
      </c>
      <c r="C1099" t="s">
        <v>497</v>
      </c>
      <c r="D1099" t="s">
        <v>5138</v>
      </c>
      <c r="L1099" s="4" t="s">
        <v>2633</v>
      </c>
    </row>
    <row r="1100" spans="1:12" x14ac:dyDescent="0.3">
      <c r="A1100" t="s">
        <v>668</v>
      </c>
      <c r="B1100" t="s">
        <v>8268</v>
      </c>
      <c r="C1100" t="s">
        <v>8046</v>
      </c>
      <c r="D1100" t="s">
        <v>4380</v>
      </c>
      <c r="L1100" s="3" t="s">
        <v>2635</v>
      </c>
    </row>
    <row r="1101" spans="1:12" x14ac:dyDescent="0.3">
      <c r="A1101" t="s">
        <v>668</v>
      </c>
      <c r="B1101" t="s">
        <v>8268</v>
      </c>
      <c r="C1101" t="s">
        <v>8267</v>
      </c>
      <c r="D1101" t="s">
        <v>7104</v>
      </c>
      <c r="L1101" s="4" t="s">
        <v>2637</v>
      </c>
    </row>
    <row r="1102" spans="1:12" x14ac:dyDescent="0.3">
      <c r="A1102" t="s">
        <v>668</v>
      </c>
      <c r="B1102" t="s">
        <v>7473</v>
      </c>
      <c r="C1102" t="s">
        <v>5138</v>
      </c>
      <c r="D1102" t="s">
        <v>668</v>
      </c>
      <c r="L1102" s="3" t="s">
        <v>2640</v>
      </c>
    </row>
    <row r="1103" spans="1:12" x14ac:dyDescent="0.3">
      <c r="A1103" t="s">
        <v>362</v>
      </c>
      <c r="B1103" t="s">
        <v>497</v>
      </c>
      <c r="C1103" t="s">
        <v>4380</v>
      </c>
      <c r="D1103" t="s">
        <v>5138</v>
      </c>
      <c r="L1103" s="4" t="s">
        <v>2643</v>
      </c>
    </row>
    <row r="1104" spans="1:12" x14ac:dyDescent="0.3">
      <c r="A1104" t="s">
        <v>668</v>
      </c>
      <c r="B1104" t="s">
        <v>4380</v>
      </c>
      <c r="C1104" t="s">
        <v>7473</v>
      </c>
      <c r="D1104" t="s">
        <v>5138</v>
      </c>
      <c r="L1104" s="3" t="s">
        <v>2645</v>
      </c>
    </row>
    <row r="1105" spans="1:12" x14ac:dyDescent="0.3">
      <c r="A1105" t="s">
        <v>521</v>
      </c>
      <c r="B1105" t="s">
        <v>362</v>
      </c>
      <c r="C1105" t="s">
        <v>7104</v>
      </c>
      <c r="D1105" t="s">
        <v>8266</v>
      </c>
      <c r="L1105" s="4" t="s">
        <v>2647</v>
      </c>
    </row>
    <row r="1106" spans="1:12" x14ac:dyDescent="0.3">
      <c r="A1106" t="s">
        <v>668</v>
      </c>
      <c r="B1106" t="s">
        <v>4843</v>
      </c>
      <c r="C1106" t="s">
        <v>1417</v>
      </c>
      <c r="D1106" t="s">
        <v>5043</v>
      </c>
      <c r="L1106" s="3" t="s">
        <v>2649</v>
      </c>
    </row>
    <row r="1107" spans="1:12" x14ac:dyDescent="0.3">
      <c r="A1107" t="s">
        <v>362</v>
      </c>
      <c r="B1107" t="s">
        <v>1417</v>
      </c>
      <c r="C1107" t="s">
        <v>8268</v>
      </c>
      <c r="D1107" t="s">
        <v>7473</v>
      </c>
      <c r="L1107" s="4" t="s">
        <v>2651</v>
      </c>
    </row>
    <row r="1108" spans="1:12" x14ac:dyDescent="0.3">
      <c r="A1108" t="s">
        <v>521</v>
      </c>
      <c r="B1108" t="s">
        <v>362</v>
      </c>
      <c r="C1108" t="s">
        <v>7473</v>
      </c>
      <c r="D1108" t="s">
        <v>8269</v>
      </c>
      <c r="L1108" s="3" t="s">
        <v>2653</v>
      </c>
    </row>
    <row r="1109" spans="1:12" x14ac:dyDescent="0.3">
      <c r="A1109" t="s">
        <v>1417</v>
      </c>
      <c r="B1109" t="s">
        <v>668</v>
      </c>
      <c r="C1109" t="s">
        <v>4380</v>
      </c>
      <c r="D1109" t="s">
        <v>4380</v>
      </c>
      <c r="L1109" s="4" t="s">
        <v>2656</v>
      </c>
    </row>
    <row r="1110" spans="1:12" x14ac:dyDescent="0.3">
      <c r="A1110" t="s">
        <v>8268</v>
      </c>
      <c r="B1110" t="s">
        <v>1417</v>
      </c>
      <c r="C1110" t="s">
        <v>8268</v>
      </c>
      <c r="D1110" t="s">
        <v>6171</v>
      </c>
      <c r="L1110" s="3" t="s">
        <v>2658</v>
      </c>
    </row>
    <row r="1111" spans="1:12" x14ac:dyDescent="0.3">
      <c r="A1111" t="s">
        <v>521</v>
      </c>
      <c r="B1111" t="s">
        <v>362</v>
      </c>
      <c r="C1111" t="s">
        <v>5138</v>
      </c>
      <c r="D1111" t="s">
        <v>4380</v>
      </c>
      <c r="L1111" s="4" t="s">
        <v>2661</v>
      </c>
    </row>
    <row r="1112" spans="1:12" x14ac:dyDescent="0.3">
      <c r="A1112" t="s">
        <v>521</v>
      </c>
      <c r="B1112" t="s">
        <v>4380</v>
      </c>
      <c r="C1112" t="s">
        <v>1417</v>
      </c>
      <c r="D1112" t="s">
        <v>4380</v>
      </c>
      <c r="L1112" s="3" t="s">
        <v>2664</v>
      </c>
    </row>
    <row r="1113" spans="1:12" x14ac:dyDescent="0.3">
      <c r="A1113" t="s">
        <v>362</v>
      </c>
      <c r="B1113" t="s">
        <v>7104</v>
      </c>
      <c r="C1113" t="s">
        <v>4380</v>
      </c>
      <c r="D1113" t="s">
        <v>8269</v>
      </c>
      <c r="L1113" s="4" t="s">
        <v>2666</v>
      </c>
    </row>
    <row r="1114" spans="1:12" x14ac:dyDescent="0.3">
      <c r="A1114" t="s">
        <v>521</v>
      </c>
      <c r="B1114" t="s">
        <v>1417</v>
      </c>
      <c r="C1114" t="s">
        <v>8268</v>
      </c>
      <c r="D1114" t="s">
        <v>8267</v>
      </c>
      <c r="L1114" s="3" t="s">
        <v>2668</v>
      </c>
    </row>
    <row r="1115" spans="1:12" x14ac:dyDescent="0.3">
      <c r="A1115" t="s">
        <v>1417</v>
      </c>
      <c r="B1115" t="s">
        <v>362</v>
      </c>
      <c r="C1115" t="s">
        <v>1417</v>
      </c>
      <c r="D1115" t="s">
        <v>5138</v>
      </c>
      <c r="L1115" s="4" t="s">
        <v>2670</v>
      </c>
    </row>
    <row r="1116" spans="1:12" x14ac:dyDescent="0.3">
      <c r="A1116" t="s">
        <v>1417</v>
      </c>
      <c r="B1116" t="s">
        <v>2701</v>
      </c>
      <c r="C1116" t="s">
        <v>7473</v>
      </c>
      <c r="D1116" t="s">
        <v>8266</v>
      </c>
      <c r="L1116" s="3" t="s">
        <v>2672</v>
      </c>
    </row>
    <row r="1117" spans="1:12" x14ac:dyDescent="0.3">
      <c r="A1117" t="s">
        <v>521</v>
      </c>
      <c r="B1117" t="s">
        <v>1417</v>
      </c>
      <c r="C1117" t="s">
        <v>7473</v>
      </c>
      <c r="D1117" t="s">
        <v>4380</v>
      </c>
      <c r="L1117" s="4" t="s">
        <v>2674</v>
      </c>
    </row>
    <row r="1118" spans="1:12" x14ac:dyDescent="0.3">
      <c r="A1118" t="s">
        <v>521</v>
      </c>
      <c r="B1118" t="s">
        <v>8268</v>
      </c>
      <c r="C1118" t="s">
        <v>8266</v>
      </c>
      <c r="D1118" t="s">
        <v>5043</v>
      </c>
      <c r="L1118" s="3" t="s">
        <v>2677</v>
      </c>
    </row>
    <row r="1119" spans="1:12" x14ac:dyDescent="0.3">
      <c r="A1119" t="s">
        <v>521</v>
      </c>
      <c r="B1119" t="s">
        <v>7473</v>
      </c>
      <c r="C1119" t="s">
        <v>4380</v>
      </c>
      <c r="D1119" t="s">
        <v>7473</v>
      </c>
      <c r="L1119" s="4" t="s">
        <v>2679</v>
      </c>
    </row>
    <row r="1120" spans="1:12" x14ac:dyDescent="0.3">
      <c r="A1120" t="s">
        <v>668</v>
      </c>
      <c r="B1120" t="s">
        <v>8266</v>
      </c>
      <c r="C1120" t="s">
        <v>7473</v>
      </c>
      <c r="D1120" t="s">
        <v>497</v>
      </c>
      <c r="L1120" s="3" t="s">
        <v>2681</v>
      </c>
    </row>
    <row r="1121" spans="1:12" x14ac:dyDescent="0.3">
      <c r="A1121" t="s">
        <v>362</v>
      </c>
      <c r="B1121" t="s">
        <v>497</v>
      </c>
      <c r="C1121" t="s">
        <v>668</v>
      </c>
      <c r="D1121" t="s">
        <v>7473</v>
      </c>
      <c r="L1121" s="4" t="s">
        <v>2683</v>
      </c>
    </row>
    <row r="1122" spans="1:12" x14ac:dyDescent="0.3">
      <c r="A1122" t="s">
        <v>8268</v>
      </c>
      <c r="B1122" t="s">
        <v>8268</v>
      </c>
      <c r="C1122" t="s">
        <v>1417</v>
      </c>
      <c r="D1122" t="s">
        <v>8266</v>
      </c>
      <c r="L1122" s="3" t="s">
        <v>2685</v>
      </c>
    </row>
    <row r="1123" spans="1:12" x14ac:dyDescent="0.3">
      <c r="A1123" t="s">
        <v>668</v>
      </c>
      <c r="B1123" t="s">
        <v>668</v>
      </c>
      <c r="C1123" t="s">
        <v>668</v>
      </c>
      <c r="D1123" t="s">
        <v>7104</v>
      </c>
      <c r="L1123" s="4" t="s">
        <v>2687</v>
      </c>
    </row>
    <row r="1124" spans="1:12" x14ac:dyDescent="0.3">
      <c r="A1124" t="s">
        <v>521</v>
      </c>
      <c r="B1124" t="s">
        <v>1417</v>
      </c>
      <c r="C1124" t="s">
        <v>8269</v>
      </c>
      <c r="D1124" t="s">
        <v>4380</v>
      </c>
      <c r="L1124" s="3" t="s">
        <v>2689</v>
      </c>
    </row>
    <row r="1125" spans="1:12" x14ac:dyDescent="0.3">
      <c r="A1125" t="s">
        <v>521</v>
      </c>
      <c r="B1125" t="s">
        <v>4843</v>
      </c>
      <c r="C1125" t="s">
        <v>4380</v>
      </c>
      <c r="D1125" t="s">
        <v>7473</v>
      </c>
      <c r="L1125" s="4" t="s">
        <v>2691</v>
      </c>
    </row>
    <row r="1126" spans="1:12" x14ac:dyDescent="0.3">
      <c r="A1126" t="s">
        <v>1417</v>
      </c>
      <c r="B1126" t="s">
        <v>7473</v>
      </c>
      <c r="C1126" t="s">
        <v>8267</v>
      </c>
      <c r="D1126" t="s">
        <v>7473</v>
      </c>
      <c r="L1126" s="3" t="s">
        <v>2694</v>
      </c>
    </row>
    <row r="1127" spans="1:12" x14ac:dyDescent="0.3">
      <c r="A1127" t="s">
        <v>5524</v>
      </c>
      <c r="B1127" t="s">
        <v>1417</v>
      </c>
      <c r="C1127" t="s">
        <v>8268</v>
      </c>
      <c r="D1127" t="s">
        <v>8266</v>
      </c>
      <c r="L1127" s="4" t="s">
        <v>2697</v>
      </c>
    </row>
    <row r="1128" spans="1:12" x14ac:dyDescent="0.3">
      <c r="A1128" t="s">
        <v>8266</v>
      </c>
      <c r="B1128" t="s">
        <v>668</v>
      </c>
      <c r="C1128" t="s">
        <v>668</v>
      </c>
      <c r="D1128" t="s">
        <v>497</v>
      </c>
      <c r="L1128" s="3" t="s">
        <v>2699</v>
      </c>
    </row>
    <row r="1129" spans="1:12" x14ac:dyDescent="0.3">
      <c r="A1129" t="s">
        <v>521</v>
      </c>
      <c r="B1129" t="s">
        <v>1417</v>
      </c>
      <c r="C1129" t="s">
        <v>6171</v>
      </c>
      <c r="D1129" t="s">
        <v>7473</v>
      </c>
      <c r="L1129" s="4" t="s">
        <v>2702</v>
      </c>
    </row>
    <row r="1130" spans="1:12" x14ac:dyDescent="0.3">
      <c r="A1130" t="s">
        <v>521</v>
      </c>
      <c r="B1130" t="s">
        <v>668</v>
      </c>
      <c r="C1130" t="s">
        <v>7473</v>
      </c>
      <c r="D1130" t="s">
        <v>8269</v>
      </c>
      <c r="L1130" s="3" t="s">
        <v>2704</v>
      </c>
    </row>
    <row r="1131" spans="1:12" x14ac:dyDescent="0.3">
      <c r="A1131" t="s">
        <v>1417</v>
      </c>
      <c r="B1131" t="s">
        <v>1417</v>
      </c>
      <c r="C1131" t="s">
        <v>5138</v>
      </c>
      <c r="D1131" t="s">
        <v>4380</v>
      </c>
      <c r="L1131" s="4" t="s">
        <v>2706</v>
      </c>
    </row>
    <row r="1132" spans="1:12" x14ac:dyDescent="0.3">
      <c r="A1132" t="s">
        <v>521</v>
      </c>
      <c r="B1132" t="s">
        <v>1417</v>
      </c>
      <c r="C1132" t="s">
        <v>4380</v>
      </c>
      <c r="D1132" t="s">
        <v>4380</v>
      </c>
      <c r="L1132" s="3" t="s">
        <v>2709</v>
      </c>
    </row>
    <row r="1133" spans="1:12" x14ac:dyDescent="0.3">
      <c r="A1133" t="s">
        <v>668</v>
      </c>
      <c r="B1133" t="s">
        <v>2701</v>
      </c>
      <c r="C1133" t="s">
        <v>8269</v>
      </c>
      <c r="D1133" t="s">
        <v>5138</v>
      </c>
      <c r="L1133" s="4" t="s">
        <v>2711</v>
      </c>
    </row>
    <row r="1134" spans="1:12" x14ac:dyDescent="0.3">
      <c r="A1134" t="s">
        <v>1417</v>
      </c>
      <c r="B1134" t="s">
        <v>362</v>
      </c>
      <c r="C1134" t="s">
        <v>8266</v>
      </c>
      <c r="D1134" t="s">
        <v>4380</v>
      </c>
      <c r="L1134" s="3" t="s">
        <v>2713</v>
      </c>
    </row>
    <row r="1135" spans="1:12" x14ac:dyDescent="0.3">
      <c r="A1135" t="s">
        <v>1417</v>
      </c>
      <c r="B1135" t="s">
        <v>2701</v>
      </c>
      <c r="C1135" t="s">
        <v>7104</v>
      </c>
      <c r="D1135" t="s">
        <v>4380</v>
      </c>
      <c r="L1135" s="4" t="s">
        <v>2716</v>
      </c>
    </row>
    <row r="1136" spans="1:12" x14ac:dyDescent="0.3">
      <c r="A1136" t="s">
        <v>521</v>
      </c>
      <c r="B1136" t="s">
        <v>8268</v>
      </c>
      <c r="C1136" t="s">
        <v>5138</v>
      </c>
      <c r="D1136" t="s">
        <v>7473</v>
      </c>
      <c r="L1136" s="3" t="s">
        <v>2718</v>
      </c>
    </row>
    <row r="1137" spans="1:12" x14ac:dyDescent="0.3">
      <c r="A1137" t="s">
        <v>521</v>
      </c>
      <c r="B1137" t="s">
        <v>668</v>
      </c>
      <c r="C1137" t="s">
        <v>4380</v>
      </c>
      <c r="D1137" t="s">
        <v>6171</v>
      </c>
      <c r="L1137" s="4" t="s">
        <v>2720</v>
      </c>
    </row>
    <row r="1138" spans="1:12" x14ac:dyDescent="0.3">
      <c r="A1138" t="s">
        <v>521</v>
      </c>
      <c r="B1138" t="s">
        <v>1417</v>
      </c>
      <c r="C1138" t="s">
        <v>7104</v>
      </c>
      <c r="D1138" t="s">
        <v>6171</v>
      </c>
      <c r="L1138" s="3" t="s">
        <v>2722</v>
      </c>
    </row>
    <row r="1139" spans="1:12" x14ac:dyDescent="0.3">
      <c r="A1139" t="s">
        <v>5524</v>
      </c>
      <c r="B1139" t="s">
        <v>362</v>
      </c>
      <c r="C1139" t="s">
        <v>4843</v>
      </c>
      <c r="D1139" t="s">
        <v>4380</v>
      </c>
      <c r="L1139" s="4" t="s">
        <v>2724</v>
      </c>
    </row>
    <row r="1140" spans="1:12" x14ac:dyDescent="0.3">
      <c r="A1140" t="s">
        <v>521</v>
      </c>
      <c r="B1140" t="s">
        <v>668</v>
      </c>
      <c r="C1140" t="s">
        <v>8267</v>
      </c>
      <c r="D1140" t="s">
        <v>1417</v>
      </c>
      <c r="L1140" s="3" t="s">
        <v>2726</v>
      </c>
    </row>
    <row r="1141" spans="1:12" x14ac:dyDescent="0.3">
      <c r="A1141" t="s">
        <v>521</v>
      </c>
      <c r="B1141" t="s">
        <v>497</v>
      </c>
      <c r="C1141" t="s">
        <v>1417</v>
      </c>
      <c r="D1141" t="s">
        <v>8268</v>
      </c>
      <c r="L1141" s="4" t="s">
        <v>2728</v>
      </c>
    </row>
    <row r="1142" spans="1:12" x14ac:dyDescent="0.3">
      <c r="A1142" t="s">
        <v>8268</v>
      </c>
      <c r="B1142" t="s">
        <v>8269</v>
      </c>
      <c r="C1142" t="s">
        <v>8046</v>
      </c>
      <c r="D1142" t="s">
        <v>8266</v>
      </c>
      <c r="L1142" s="3" t="s">
        <v>2731</v>
      </c>
    </row>
    <row r="1143" spans="1:12" x14ac:dyDescent="0.3">
      <c r="A1143" t="s">
        <v>521</v>
      </c>
      <c r="B1143" t="s">
        <v>668</v>
      </c>
      <c r="C1143" t="s">
        <v>497</v>
      </c>
      <c r="D1143" t="s">
        <v>2701</v>
      </c>
      <c r="L1143" s="4" t="s">
        <v>2733</v>
      </c>
    </row>
    <row r="1144" spans="1:12" x14ac:dyDescent="0.3">
      <c r="A1144" t="s">
        <v>1417</v>
      </c>
      <c r="B1144" t="s">
        <v>5043</v>
      </c>
      <c r="C1144" t="s">
        <v>8267</v>
      </c>
      <c r="D1144" t="s">
        <v>4380</v>
      </c>
      <c r="L1144" s="3" t="s">
        <v>2735</v>
      </c>
    </row>
    <row r="1145" spans="1:12" x14ac:dyDescent="0.3">
      <c r="A1145" t="s">
        <v>4843</v>
      </c>
      <c r="B1145" t="s">
        <v>4843</v>
      </c>
      <c r="C1145" t="s">
        <v>1417</v>
      </c>
      <c r="D1145" t="s">
        <v>7104</v>
      </c>
      <c r="L1145" s="4" t="s">
        <v>2737</v>
      </c>
    </row>
    <row r="1146" spans="1:12" x14ac:dyDescent="0.3">
      <c r="A1146" t="s">
        <v>362</v>
      </c>
      <c r="B1146" t="s">
        <v>362</v>
      </c>
      <c r="C1146" t="s">
        <v>5138</v>
      </c>
      <c r="D1146" t="s">
        <v>7473</v>
      </c>
      <c r="L1146" s="3" t="s">
        <v>2739</v>
      </c>
    </row>
    <row r="1147" spans="1:12" x14ac:dyDescent="0.3">
      <c r="A1147" t="s">
        <v>521</v>
      </c>
      <c r="B1147" t="s">
        <v>668</v>
      </c>
      <c r="C1147" t="s">
        <v>4380</v>
      </c>
      <c r="D1147" t="s">
        <v>7473</v>
      </c>
      <c r="L1147" s="4" t="s">
        <v>2741</v>
      </c>
    </row>
    <row r="1148" spans="1:12" x14ac:dyDescent="0.3">
      <c r="A1148" t="s">
        <v>1417</v>
      </c>
      <c r="B1148" t="s">
        <v>8266</v>
      </c>
      <c r="C1148" t="s">
        <v>1417</v>
      </c>
      <c r="D1148" t="s">
        <v>4380</v>
      </c>
      <c r="L1148" s="3" t="s">
        <v>2743</v>
      </c>
    </row>
    <row r="1149" spans="1:12" x14ac:dyDescent="0.3">
      <c r="A1149" t="s">
        <v>1417</v>
      </c>
      <c r="B1149" t="s">
        <v>8268</v>
      </c>
      <c r="C1149" t="s">
        <v>4380</v>
      </c>
      <c r="D1149" t="s">
        <v>8046</v>
      </c>
      <c r="L1149" s="4" t="s">
        <v>2745</v>
      </c>
    </row>
    <row r="1150" spans="1:12" x14ac:dyDescent="0.3">
      <c r="A1150" t="s">
        <v>668</v>
      </c>
      <c r="B1150" t="s">
        <v>1417</v>
      </c>
      <c r="C1150" t="s">
        <v>7473</v>
      </c>
      <c r="D1150" t="s">
        <v>4380</v>
      </c>
      <c r="L1150" s="3" t="s">
        <v>2748</v>
      </c>
    </row>
    <row r="1151" spans="1:12" x14ac:dyDescent="0.3">
      <c r="A1151" t="s">
        <v>521</v>
      </c>
      <c r="B1151" t="s">
        <v>1417</v>
      </c>
      <c r="C1151" t="s">
        <v>497</v>
      </c>
      <c r="D1151" t="s">
        <v>7473</v>
      </c>
      <c r="L1151" s="4" t="s">
        <v>2750</v>
      </c>
    </row>
    <row r="1152" spans="1:12" x14ac:dyDescent="0.3">
      <c r="A1152" t="s">
        <v>668</v>
      </c>
      <c r="B1152" t="s">
        <v>1417</v>
      </c>
      <c r="C1152" t="s">
        <v>7104</v>
      </c>
      <c r="D1152" t="s">
        <v>4380</v>
      </c>
      <c r="L1152" s="3" t="s">
        <v>2752</v>
      </c>
    </row>
    <row r="1153" spans="1:12" x14ac:dyDescent="0.3">
      <c r="A1153" t="s">
        <v>1417</v>
      </c>
      <c r="B1153" t="s">
        <v>8266</v>
      </c>
      <c r="C1153" t="s">
        <v>668</v>
      </c>
      <c r="D1153" t="s">
        <v>8046</v>
      </c>
      <c r="L1153" s="4" t="s">
        <v>2755</v>
      </c>
    </row>
    <row r="1154" spans="1:12" x14ac:dyDescent="0.3">
      <c r="A1154" t="s">
        <v>1417</v>
      </c>
      <c r="B1154" t="s">
        <v>668</v>
      </c>
      <c r="C1154" t="s">
        <v>8269</v>
      </c>
      <c r="D1154" t="s">
        <v>8269</v>
      </c>
      <c r="L1154" s="3" t="s">
        <v>2757</v>
      </c>
    </row>
    <row r="1155" spans="1:12" x14ac:dyDescent="0.3">
      <c r="A1155" t="s">
        <v>521</v>
      </c>
      <c r="B1155" t="s">
        <v>5138</v>
      </c>
      <c r="C1155" t="s">
        <v>4380</v>
      </c>
      <c r="D1155" t="s">
        <v>4380</v>
      </c>
      <c r="L1155" s="4" t="s">
        <v>2759</v>
      </c>
    </row>
    <row r="1156" spans="1:12" x14ac:dyDescent="0.3">
      <c r="A1156" t="s">
        <v>521</v>
      </c>
      <c r="B1156" t="s">
        <v>7473</v>
      </c>
      <c r="C1156" t="s">
        <v>497</v>
      </c>
      <c r="D1156" t="s">
        <v>2701</v>
      </c>
      <c r="L1156" s="3" t="s">
        <v>2761</v>
      </c>
    </row>
    <row r="1157" spans="1:12" x14ac:dyDescent="0.3">
      <c r="A1157" t="s">
        <v>668</v>
      </c>
      <c r="B1157" t="s">
        <v>362</v>
      </c>
      <c r="C1157" t="s">
        <v>1417</v>
      </c>
      <c r="D1157" t="s">
        <v>1417</v>
      </c>
      <c r="L1157" s="4" t="s">
        <v>2764</v>
      </c>
    </row>
    <row r="1158" spans="1:12" x14ac:dyDescent="0.3">
      <c r="A1158" t="s">
        <v>362</v>
      </c>
      <c r="B1158" t="s">
        <v>1417</v>
      </c>
      <c r="C1158" t="s">
        <v>2701</v>
      </c>
      <c r="D1158" t="s">
        <v>5138</v>
      </c>
      <c r="L1158" s="3" t="s">
        <v>2766</v>
      </c>
    </row>
    <row r="1159" spans="1:12" x14ac:dyDescent="0.3">
      <c r="A1159" t="s">
        <v>668</v>
      </c>
      <c r="B1159" t="s">
        <v>7104</v>
      </c>
      <c r="C1159" t="s">
        <v>5138</v>
      </c>
      <c r="D1159" t="s">
        <v>4380</v>
      </c>
      <c r="L1159" s="4" t="s">
        <v>2768</v>
      </c>
    </row>
    <row r="1160" spans="1:12" x14ac:dyDescent="0.3">
      <c r="A1160" t="s">
        <v>668</v>
      </c>
      <c r="B1160" t="s">
        <v>5524</v>
      </c>
      <c r="C1160" t="s">
        <v>4380</v>
      </c>
      <c r="D1160" t="s">
        <v>7473</v>
      </c>
      <c r="L1160" s="3" t="s">
        <v>2770</v>
      </c>
    </row>
    <row r="1161" spans="1:12" x14ac:dyDescent="0.3">
      <c r="A1161" t="s">
        <v>521</v>
      </c>
      <c r="B1161" t="s">
        <v>1417</v>
      </c>
      <c r="C1161" t="s">
        <v>7473</v>
      </c>
      <c r="D1161" t="s">
        <v>8267</v>
      </c>
      <c r="L1161" s="4" t="s">
        <v>2772</v>
      </c>
    </row>
    <row r="1162" spans="1:12" x14ac:dyDescent="0.3">
      <c r="A1162" t="s">
        <v>5524</v>
      </c>
      <c r="B1162" t="s">
        <v>8266</v>
      </c>
      <c r="C1162" t="s">
        <v>5138</v>
      </c>
      <c r="D1162" t="s">
        <v>7473</v>
      </c>
      <c r="L1162" s="3" t="s">
        <v>2774</v>
      </c>
    </row>
    <row r="1163" spans="1:12" x14ac:dyDescent="0.3">
      <c r="A1163" t="s">
        <v>521</v>
      </c>
      <c r="B1163" t="s">
        <v>1417</v>
      </c>
      <c r="C1163" t="s">
        <v>7473</v>
      </c>
      <c r="D1163" t="s">
        <v>6902</v>
      </c>
      <c r="L1163" s="4" t="s">
        <v>2776</v>
      </c>
    </row>
    <row r="1164" spans="1:12" x14ac:dyDescent="0.3">
      <c r="A1164" t="s">
        <v>8268</v>
      </c>
      <c r="B1164" t="s">
        <v>1417</v>
      </c>
      <c r="C1164" t="s">
        <v>8266</v>
      </c>
      <c r="D1164" t="s">
        <v>6902</v>
      </c>
      <c r="L1164" s="3" t="s">
        <v>2778</v>
      </c>
    </row>
    <row r="1165" spans="1:12" x14ac:dyDescent="0.3">
      <c r="A1165" t="s">
        <v>668</v>
      </c>
      <c r="B1165" t="s">
        <v>8266</v>
      </c>
      <c r="C1165" t="s">
        <v>8266</v>
      </c>
      <c r="D1165" t="s">
        <v>4380</v>
      </c>
      <c r="L1165" s="4" t="s">
        <v>2780</v>
      </c>
    </row>
    <row r="1166" spans="1:12" x14ac:dyDescent="0.3">
      <c r="A1166" t="s">
        <v>1417</v>
      </c>
      <c r="B1166" t="s">
        <v>668</v>
      </c>
      <c r="C1166" t="s">
        <v>4380</v>
      </c>
      <c r="D1166" t="s">
        <v>7473</v>
      </c>
      <c r="L1166" s="3" t="s">
        <v>2782</v>
      </c>
    </row>
    <row r="1167" spans="1:12" x14ac:dyDescent="0.3">
      <c r="A1167" t="s">
        <v>668</v>
      </c>
      <c r="B1167" t="s">
        <v>8268</v>
      </c>
      <c r="C1167" t="s">
        <v>497</v>
      </c>
      <c r="D1167" t="s">
        <v>7473</v>
      </c>
      <c r="L1167" s="4" t="s">
        <v>2784</v>
      </c>
    </row>
    <row r="1168" spans="1:12" x14ac:dyDescent="0.3">
      <c r="A1168" t="s">
        <v>521</v>
      </c>
      <c r="B1168" t="s">
        <v>2701</v>
      </c>
      <c r="C1168" t="s">
        <v>1417</v>
      </c>
      <c r="D1168" t="s">
        <v>4380</v>
      </c>
      <c r="L1168" s="3" t="s">
        <v>2786</v>
      </c>
    </row>
    <row r="1169" spans="1:12" x14ac:dyDescent="0.3">
      <c r="A1169" t="s">
        <v>497</v>
      </c>
      <c r="B1169" t="s">
        <v>1417</v>
      </c>
      <c r="C1169" t="s">
        <v>5138</v>
      </c>
      <c r="D1169" t="s">
        <v>4380</v>
      </c>
      <c r="L1169" s="4" t="s">
        <v>2788</v>
      </c>
    </row>
    <row r="1170" spans="1:12" x14ac:dyDescent="0.3">
      <c r="A1170" t="s">
        <v>521</v>
      </c>
      <c r="B1170" t="s">
        <v>1417</v>
      </c>
      <c r="C1170" t="s">
        <v>497</v>
      </c>
      <c r="D1170" t="s">
        <v>4380</v>
      </c>
      <c r="L1170" s="3" t="s">
        <v>2791</v>
      </c>
    </row>
    <row r="1171" spans="1:12" x14ac:dyDescent="0.3">
      <c r="A1171" t="s">
        <v>362</v>
      </c>
      <c r="B1171" t="s">
        <v>1417</v>
      </c>
      <c r="C1171" t="s">
        <v>8267</v>
      </c>
      <c r="D1171" t="s">
        <v>8266</v>
      </c>
      <c r="L1171" s="4" t="s">
        <v>2794</v>
      </c>
    </row>
    <row r="1172" spans="1:12" x14ac:dyDescent="0.3">
      <c r="A1172" t="s">
        <v>8268</v>
      </c>
      <c r="B1172" t="s">
        <v>1417</v>
      </c>
      <c r="C1172" t="s">
        <v>4380</v>
      </c>
      <c r="D1172" t="s">
        <v>7473</v>
      </c>
      <c r="L1172" s="3" t="s">
        <v>2796</v>
      </c>
    </row>
    <row r="1173" spans="1:12" x14ac:dyDescent="0.3">
      <c r="A1173" t="s">
        <v>521</v>
      </c>
      <c r="B1173" t="s">
        <v>1417</v>
      </c>
      <c r="C1173" t="s">
        <v>668</v>
      </c>
      <c r="D1173" t="s">
        <v>7473</v>
      </c>
      <c r="L1173" s="4" t="s">
        <v>2799</v>
      </c>
    </row>
    <row r="1174" spans="1:12" x14ac:dyDescent="0.3">
      <c r="A1174" t="s">
        <v>521</v>
      </c>
      <c r="B1174" t="s">
        <v>668</v>
      </c>
      <c r="C1174" t="s">
        <v>5138</v>
      </c>
      <c r="D1174" t="s">
        <v>4380</v>
      </c>
      <c r="L1174" s="3" t="s">
        <v>2801</v>
      </c>
    </row>
    <row r="1175" spans="1:12" x14ac:dyDescent="0.3">
      <c r="A1175" t="s">
        <v>668</v>
      </c>
      <c r="B1175" t="s">
        <v>362</v>
      </c>
      <c r="C1175" t="s">
        <v>4380</v>
      </c>
      <c r="D1175" t="s">
        <v>8046</v>
      </c>
      <c r="L1175" s="4" t="s">
        <v>2803</v>
      </c>
    </row>
    <row r="1176" spans="1:12" x14ac:dyDescent="0.3">
      <c r="A1176" t="s">
        <v>521</v>
      </c>
      <c r="B1176" t="s">
        <v>1417</v>
      </c>
      <c r="C1176" t="s">
        <v>4380</v>
      </c>
      <c r="D1176" t="s">
        <v>8267</v>
      </c>
      <c r="L1176" s="3" t="s">
        <v>2806</v>
      </c>
    </row>
    <row r="1177" spans="1:12" x14ac:dyDescent="0.3">
      <c r="A1177" t="s">
        <v>668</v>
      </c>
      <c r="B1177" t="s">
        <v>4380</v>
      </c>
      <c r="C1177" t="s">
        <v>8268</v>
      </c>
      <c r="D1177" t="s">
        <v>497</v>
      </c>
      <c r="L1177" s="4" t="s">
        <v>2808</v>
      </c>
    </row>
    <row r="1178" spans="1:12" x14ac:dyDescent="0.3">
      <c r="A1178" t="s">
        <v>521</v>
      </c>
      <c r="B1178" t="s">
        <v>1417</v>
      </c>
      <c r="C1178" t="s">
        <v>7473</v>
      </c>
      <c r="D1178" t="s">
        <v>8266</v>
      </c>
      <c r="L1178" s="3" t="s">
        <v>2810</v>
      </c>
    </row>
    <row r="1179" spans="1:12" x14ac:dyDescent="0.3">
      <c r="A1179" t="s">
        <v>1417</v>
      </c>
      <c r="B1179" t="s">
        <v>7473</v>
      </c>
      <c r="C1179" t="s">
        <v>7473</v>
      </c>
      <c r="D1179" t="s">
        <v>5138</v>
      </c>
      <c r="L1179" s="4" t="s">
        <v>2812</v>
      </c>
    </row>
    <row r="1180" spans="1:12" x14ac:dyDescent="0.3">
      <c r="A1180" t="s">
        <v>362</v>
      </c>
      <c r="B1180" t="s">
        <v>1417</v>
      </c>
      <c r="C1180" t="s">
        <v>8267</v>
      </c>
      <c r="D1180" t="s">
        <v>7473</v>
      </c>
      <c r="L1180" s="3" t="s">
        <v>2814</v>
      </c>
    </row>
    <row r="1181" spans="1:12" x14ac:dyDescent="0.3">
      <c r="A1181" t="s">
        <v>521</v>
      </c>
      <c r="B1181" t="s">
        <v>8046</v>
      </c>
      <c r="C1181" t="s">
        <v>5138</v>
      </c>
      <c r="D1181" t="s">
        <v>4380</v>
      </c>
      <c r="L1181" s="4" t="s">
        <v>2816</v>
      </c>
    </row>
    <row r="1182" spans="1:12" x14ac:dyDescent="0.3">
      <c r="A1182" t="s">
        <v>521</v>
      </c>
      <c r="B1182" t="s">
        <v>8268</v>
      </c>
      <c r="C1182" t="s">
        <v>497</v>
      </c>
      <c r="D1182" t="s">
        <v>7473</v>
      </c>
      <c r="L1182" s="3" t="s">
        <v>2818</v>
      </c>
    </row>
    <row r="1183" spans="1:12" x14ac:dyDescent="0.3">
      <c r="A1183" t="s">
        <v>1417</v>
      </c>
      <c r="B1183" t="s">
        <v>668</v>
      </c>
      <c r="C1183" t="s">
        <v>8269</v>
      </c>
      <c r="D1183" t="s">
        <v>4380</v>
      </c>
      <c r="L1183" s="4" t="s">
        <v>2820</v>
      </c>
    </row>
    <row r="1184" spans="1:12" x14ac:dyDescent="0.3">
      <c r="A1184" t="s">
        <v>521</v>
      </c>
      <c r="B1184" t="s">
        <v>1417</v>
      </c>
      <c r="C1184" t="s">
        <v>4380</v>
      </c>
      <c r="D1184" t="s">
        <v>4380</v>
      </c>
      <c r="L1184" s="3" t="s">
        <v>2822</v>
      </c>
    </row>
    <row r="1185" spans="1:12" x14ac:dyDescent="0.3">
      <c r="A1185" t="s">
        <v>668</v>
      </c>
      <c r="B1185" t="s">
        <v>1417</v>
      </c>
      <c r="C1185" t="s">
        <v>8046</v>
      </c>
      <c r="D1185" t="s">
        <v>8267</v>
      </c>
      <c r="L1185" s="4" t="s">
        <v>2824</v>
      </c>
    </row>
    <row r="1186" spans="1:12" x14ac:dyDescent="0.3">
      <c r="A1186" t="s">
        <v>521</v>
      </c>
      <c r="B1186" t="s">
        <v>7473</v>
      </c>
      <c r="C1186" t="s">
        <v>8266</v>
      </c>
      <c r="D1186" t="s">
        <v>7473</v>
      </c>
      <c r="L1186" s="3" t="s">
        <v>2827</v>
      </c>
    </row>
    <row r="1187" spans="1:12" x14ac:dyDescent="0.3">
      <c r="A1187" t="s">
        <v>8268</v>
      </c>
      <c r="B1187" t="s">
        <v>8046</v>
      </c>
      <c r="C1187" t="s">
        <v>4380</v>
      </c>
      <c r="D1187" t="s">
        <v>4380</v>
      </c>
      <c r="L1187" s="4" t="s">
        <v>2829</v>
      </c>
    </row>
    <row r="1188" spans="1:12" x14ac:dyDescent="0.3">
      <c r="A1188" t="s">
        <v>668</v>
      </c>
      <c r="B1188" t="s">
        <v>1417</v>
      </c>
      <c r="C1188" t="s">
        <v>1417</v>
      </c>
      <c r="D1188" t="s">
        <v>4380</v>
      </c>
      <c r="L1188" s="3" t="s">
        <v>2831</v>
      </c>
    </row>
    <row r="1189" spans="1:12" x14ac:dyDescent="0.3">
      <c r="A1189" t="s">
        <v>8268</v>
      </c>
      <c r="B1189" t="s">
        <v>5043</v>
      </c>
      <c r="C1189" t="s">
        <v>4380</v>
      </c>
      <c r="D1189" t="s">
        <v>8269</v>
      </c>
      <c r="L1189" s="4" t="s">
        <v>2833</v>
      </c>
    </row>
    <row r="1190" spans="1:12" x14ac:dyDescent="0.3">
      <c r="A1190" t="s">
        <v>362</v>
      </c>
      <c r="B1190" t="s">
        <v>1417</v>
      </c>
      <c r="C1190" t="s">
        <v>1417</v>
      </c>
      <c r="D1190" t="s">
        <v>4380</v>
      </c>
      <c r="L1190" s="3" t="s">
        <v>2835</v>
      </c>
    </row>
    <row r="1191" spans="1:12" x14ac:dyDescent="0.3">
      <c r="A1191" t="s">
        <v>521</v>
      </c>
      <c r="B1191" t="s">
        <v>362</v>
      </c>
      <c r="C1191" t="s">
        <v>7104</v>
      </c>
      <c r="D1191" t="s">
        <v>5138</v>
      </c>
      <c r="L1191" s="4" t="s">
        <v>2837</v>
      </c>
    </row>
    <row r="1192" spans="1:12" x14ac:dyDescent="0.3">
      <c r="A1192" t="s">
        <v>1417</v>
      </c>
      <c r="B1192" t="s">
        <v>2701</v>
      </c>
      <c r="C1192" t="s">
        <v>1417</v>
      </c>
      <c r="D1192" t="s">
        <v>4380</v>
      </c>
      <c r="L1192" s="3" t="s">
        <v>2839</v>
      </c>
    </row>
    <row r="1193" spans="1:12" x14ac:dyDescent="0.3">
      <c r="A1193" t="s">
        <v>521</v>
      </c>
      <c r="B1193" t="s">
        <v>362</v>
      </c>
      <c r="C1193" t="s">
        <v>497</v>
      </c>
      <c r="D1193" t="s">
        <v>7473</v>
      </c>
      <c r="L1193" s="4" t="s">
        <v>2841</v>
      </c>
    </row>
    <row r="1194" spans="1:12" x14ac:dyDescent="0.3">
      <c r="A1194" t="s">
        <v>8268</v>
      </c>
      <c r="B1194" t="s">
        <v>1417</v>
      </c>
      <c r="C1194" t="s">
        <v>7473</v>
      </c>
      <c r="D1194" t="s">
        <v>4380</v>
      </c>
      <c r="L1194" s="3" t="s">
        <v>2843</v>
      </c>
    </row>
    <row r="1195" spans="1:12" x14ac:dyDescent="0.3">
      <c r="A1195" t="s">
        <v>668</v>
      </c>
      <c r="B1195" t="s">
        <v>8266</v>
      </c>
      <c r="C1195" t="s">
        <v>8266</v>
      </c>
      <c r="D1195" t="s">
        <v>7473</v>
      </c>
      <c r="L1195" s="4" t="s">
        <v>2845</v>
      </c>
    </row>
    <row r="1196" spans="1:12" x14ac:dyDescent="0.3">
      <c r="A1196" t="s">
        <v>521</v>
      </c>
      <c r="B1196" t="s">
        <v>8266</v>
      </c>
      <c r="C1196" t="s">
        <v>5138</v>
      </c>
      <c r="D1196" t="s">
        <v>8046</v>
      </c>
      <c r="L1196" s="3" t="s">
        <v>2848</v>
      </c>
    </row>
    <row r="1197" spans="1:12" x14ac:dyDescent="0.3">
      <c r="A1197" t="s">
        <v>668</v>
      </c>
      <c r="B1197" t="s">
        <v>8268</v>
      </c>
      <c r="C1197" t="s">
        <v>8266</v>
      </c>
      <c r="D1197" t="s">
        <v>5138</v>
      </c>
      <c r="L1197" s="4" t="s">
        <v>2851</v>
      </c>
    </row>
    <row r="1198" spans="1:12" x14ac:dyDescent="0.3">
      <c r="A1198" t="s">
        <v>2701</v>
      </c>
      <c r="B1198" t="s">
        <v>4843</v>
      </c>
      <c r="C1198" t="s">
        <v>8046</v>
      </c>
      <c r="D1198" t="s">
        <v>4380</v>
      </c>
      <c r="L1198" s="3" t="s">
        <v>2853</v>
      </c>
    </row>
    <row r="1199" spans="1:12" x14ac:dyDescent="0.3">
      <c r="A1199" t="s">
        <v>5524</v>
      </c>
      <c r="B1199" t="s">
        <v>362</v>
      </c>
      <c r="C1199" t="s">
        <v>7473</v>
      </c>
      <c r="D1199" t="s">
        <v>5138</v>
      </c>
      <c r="L1199" s="4" t="s">
        <v>2856</v>
      </c>
    </row>
    <row r="1200" spans="1:12" x14ac:dyDescent="0.3">
      <c r="A1200" t="s">
        <v>668</v>
      </c>
      <c r="B1200" t="s">
        <v>362</v>
      </c>
      <c r="C1200" t="s">
        <v>8269</v>
      </c>
      <c r="D1200" t="s">
        <v>8269</v>
      </c>
      <c r="L1200" s="3" t="s">
        <v>2858</v>
      </c>
    </row>
    <row r="1201" spans="1:12" x14ac:dyDescent="0.3">
      <c r="A1201" t="s">
        <v>668</v>
      </c>
      <c r="B1201" t="s">
        <v>362</v>
      </c>
      <c r="C1201" t="s">
        <v>7473</v>
      </c>
      <c r="D1201" t="s">
        <v>8266</v>
      </c>
      <c r="L1201" s="4" t="s">
        <v>2861</v>
      </c>
    </row>
    <row r="1202" spans="1:12" x14ac:dyDescent="0.3">
      <c r="A1202" t="s">
        <v>2701</v>
      </c>
      <c r="B1202" t="s">
        <v>8268</v>
      </c>
      <c r="C1202" t="s">
        <v>8268</v>
      </c>
      <c r="D1202" t="s">
        <v>668</v>
      </c>
      <c r="L1202" s="3" t="s">
        <v>2863</v>
      </c>
    </row>
    <row r="1203" spans="1:12" x14ac:dyDescent="0.3">
      <c r="A1203" t="s">
        <v>362</v>
      </c>
      <c r="B1203" t="s">
        <v>4380</v>
      </c>
      <c r="C1203" t="s">
        <v>5138</v>
      </c>
      <c r="D1203" t="s">
        <v>497</v>
      </c>
      <c r="L1203" s="4" t="s">
        <v>2865</v>
      </c>
    </row>
    <row r="1204" spans="1:12" x14ac:dyDescent="0.3">
      <c r="A1204" t="s">
        <v>668</v>
      </c>
      <c r="B1204" t="s">
        <v>497</v>
      </c>
      <c r="C1204" t="s">
        <v>668</v>
      </c>
      <c r="D1204" t="s">
        <v>5043</v>
      </c>
      <c r="L1204" s="3" t="s">
        <v>2867</v>
      </c>
    </row>
    <row r="1205" spans="1:12" x14ac:dyDescent="0.3">
      <c r="A1205" t="s">
        <v>497</v>
      </c>
      <c r="B1205" t="s">
        <v>8266</v>
      </c>
      <c r="C1205" t="s">
        <v>1417</v>
      </c>
      <c r="D1205" t="s">
        <v>8269</v>
      </c>
      <c r="L1205" s="4" t="s">
        <v>2870</v>
      </c>
    </row>
    <row r="1206" spans="1:12" x14ac:dyDescent="0.3">
      <c r="A1206" t="s">
        <v>5524</v>
      </c>
      <c r="B1206" t="s">
        <v>1417</v>
      </c>
      <c r="C1206" t="s">
        <v>7104</v>
      </c>
      <c r="D1206" t="s">
        <v>1417</v>
      </c>
      <c r="L1206" s="3" t="s">
        <v>2872</v>
      </c>
    </row>
    <row r="1207" spans="1:12" x14ac:dyDescent="0.3">
      <c r="A1207" t="s">
        <v>5524</v>
      </c>
      <c r="B1207" t="s">
        <v>7473</v>
      </c>
      <c r="C1207" t="s">
        <v>4380</v>
      </c>
      <c r="D1207" t="s">
        <v>4380</v>
      </c>
      <c r="L1207" s="4" t="s">
        <v>2874</v>
      </c>
    </row>
    <row r="1208" spans="1:12" x14ac:dyDescent="0.3">
      <c r="A1208" t="s">
        <v>8268</v>
      </c>
      <c r="B1208" t="s">
        <v>1417</v>
      </c>
      <c r="C1208" t="s">
        <v>7473</v>
      </c>
      <c r="D1208" t="s">
        <v>7104</v>
      </c>
      <c r="L1208" s="3" t="s">
        <v>2876</v>
      </c>
    </row>
    <row r="1209" spans="1:12" x14ac:dyDescent="0.3">
      <c r="A1209" t="s">
        <v>668</v>
      </c>
      <c r="B1209" t="s">
        <v>1417</v>
      </c>
      <c r="C1209" t="s">
        <v>8267</v>
      </c>
      <c r="D1209" t="s">
        <v>6171</v>
      </c>
      <c r="L1209" s="4" t="s">
        <v>2878</v>
      </c>
    </row>
    <row r="1210" spans="1:12" x14ac:dyDescent="0.3">
      <c r="A1210" t="s">
        <v>362</v>
      </c>
      <c r="B1210" t="s">
        <v>8266</v>
      </c>
      <c r="C1210" t="s">
        <v>8046</v>
      </c>
      <c r="D1210" t="s">
        <v>6171</v>
      </c>
      <c r="L1210" s="3" t="s">
        <v>2881</v>
      </c>
    </row>
    <row r="1211" spans="1:12" x14ac:dyDescent="0.3">
      <c r="A1211" t="s">
        <v>668</v>
      </c>
      <c r="B1211" t="s">
        <v>8046</v>
      </c>
      <c r="C1211" t="s">
        <v>8046</v>
      </c>
      <c r="D1211" t="s">
        <v>6902</v>
      </c>
      <c r="L1211" s="4" t="s">
        <v>2883</v>
      </c>
    </row>
    <row r="1212" spans="1:12" x14ac:dyDescent="0.3">
      <c r="A1212" t="s">
        <v>521</v>
      </c>
      <c r="B1212" t="s">
        <v>1417</v>
      </c>
      <c r="C1212" t="s">
        <v>8268</v>
      </c>
      <c r="D1212" t="s">
        <v>7473</v>
      </c>
      <c r="L1212" s="3" t="s">
        <v>2885</v>
      </c>
    </row>
    <row r="1213" spans="1:12" x14ac:dyDescent="0.3">
      <c r="A1213" t="s">
        <v>521</v>
      </c>
      <c r="B1213" t="s">
        <v>2701</v>
      </c>
      <c r="C1213" t="s">
        <v>8268</v>
      </c>
      <c r="D1213" t="s">
        <v>4380</v>
      </c>
      <c r="L1213" s="4" t="s">
        <v>2888</v>
      </c>
    </row>
    <row r="1214" spans="1:12" x14ac:dyDescent="0.3">
      <c r="A1214" t="s">
        <v>5524</v>
      </c>
      <c r="B1214" t="s">
        <v>7104</v>
      </c>
      <c r="C1214" t="s">
        <v>668</v>
      </c>
      <c r="D1214" t="s">
        <v>4380</v>
      </c>
      <c r="L1214" s="3" t="s">
        <v>2890</v>
      </c>
    </row>
    <row r="1215" spans="1:12" x14ac:dyDescent="0.3">
      <c r="A1215" t="s">
        <v>8268</v>
      </c>
      <c r="B1215" t="s">
        <v>7473</v>
      </c>
      <c r="C1215" t="s">
        <v>2701</v>
      </c>
      <c r="D1215" t="s">
        <v>8269</v>
      </c>
      <c r="L1215" s="4" t="s">
        <v>2892</v>
      </c>
    </row>
    <row r="1216" spans="1:12" x14ac:dyDescent="0.3">
      <c r="A1216" t="s">
        <v>8268</v>
      </c>
      <c r="B1216" t="s">
        <v>5043</v>
      </c>
      <c r="C1216" t="s">
        <v>7473</v>
      </c>
      <c r="D1216" t="s">
        <v>7473</v>
      </c>
      <c r="L1216" s="3" t="s">
        <v>2895</v>
      </c>
    </row>
    <row r="1217" spans="1:12" x14ac:dyDescent="0.3">
      <c r="A1217" t="s">
        <v>668</v>
      </c>
      <c r="B1217" t="s">
        <v>668</v>
      </c>
      <c r="C1217" t="s">
        <v>8268</v>
      </c>
      <c r="D1217" t="s">
        <v>4380</v>
      </c>
      <c r="L1217" s="4" t="s">
        <v>2897</v>
      </c>
    </row>
    <row r="1218" spans="1:12" x14ac:dyDescent="0.3">
      <c r="A1218" t="s">
        <v>668</v>
      </c>
      <c r="B1218" t="s">
        <v>1417</v>
      </c>
      <c r="C1218" t="s">
        <v>8266</v>
      </c>
      <c r="D1218" t="s">
        <v>4380</v>
      </c>
      <c r="L1218" s="3" t="s">
        <v>2900</v>
      </c>
    </row>
    <row r="1219" spans="1:12" x14ac:dyDescent="0.3">
      <c r="A1219" t="s">
        <v>1417</v>
      </c>
      <c r="B1219" t="s">
        <v>8266</v>
      </c>
      <c r="C1219" t="s">
        <v>1417</v>
      </c>
      <c r="D1219" t="s">
        <v>7473</v>
      </c>
      <c r="L1219" s="4" t="s">
        <v>2902</v>
      </c>
    </row>
    <row r="1220" spans="1:12" x14ac:dyDescent="0.3">
      <c r="A1220" t="s">
        <v>668</v>
      </c>
      <c r="B1220" t="s">
        <v>4380</v>
      </c>
      <c r="C1220" t="s">
        <v>8267</v>
      </c>
      <c r="D1220" t="s">
        <v>7473</v>
      </c>
      <c r="L1220" s="3" t="s">
        <v>2904</v>
      </c>
    </row>
    <row r="1221" spans="1:12" x14ac:dyDescent="0.3">
      <c r="A1221" t="s">
        <v>362</v>
      </c>
      <c r="B1221" t="s">
        <v>1417</v>
      </c>
      <c r="C1221" t="s">
        <v>4380</v>
      </c>
      <c r="D1221" t="s">
        <v>6902</v>
      </c>
      <c r="L1221" s="4" t="s">
        <v>2907</v>
      </c>
    </row>
    <row r="1222" spans="1:12" x14ac:dyDescent="0.3">
      <c r="A1222" t="s">
        <v>5524</v>
      </c>
      <c r="B1222" t="s">
        <v>1417</v>
      </c>
      <c r="C1222" t="s">
        <v>7473</v>
      </c>
      <c r="D1222" t="s">
        <v>4380</v>
      </c>
      <c r="L1222" s="3" t="s">
        <v>2909</v>
      </c>
    </row>
    <row r="1223" spans="1:12" x14ac:dyDescent="0.3">
      <c r="A1223" t="s">
        <v>668</v>
      </c>
      <c r="B1223" t="s">
        <v>8268</v>
      </c>
      <c r="C1223" t="s">
        <v>497</v>
      </c>
      <c r="D1223" t="s">
        <v>4380</v>
      </c>
      <c r="L1223" s="4" t="s">
        <v>2911</v>
      </c>
    </row>
    <row r="1224" spans="1:12" x14ac:dyDescent="0.3">
      <c r="A1224" t="s">
        <v>668</v>
      </c>
      <c r="B1224" t="s">
        <v>1417</v>
      </c>
      <c r="C1224" t="s">
        <v>4380</v>
      </c>
      <c r="D1224" t="s">
        <v>4380</v>
      </c>
      <c r="L1224" s="3" t="s">
        <v>2913</v>
      </c>
    </row>
    <row r="1225" spans="1:12" x14ac:dyDescent="0.3">
      <c r="A1225" t="s">
        <v>2701</v>
      </c>
      <c r="B1225" t="s">
        <v>668</v>
      </c>
      <c r="C1225" t="s">
        <v>497</v>
      </c>
      <c r="D1225" t="s">
        <v>5138</v>
      </c>
      <c r="L1225" s="4" t="s">
        <v>2916</v>
      </c>
    </row>
    <row r="1226" spans="1:12" x14ac:dyDescent="0.3">
      <c r="A1226" t="s">
        <v>1417</v>
      </c>
      <c r="B1226" t="s">
        <v>1417</v>
      </c>
      <c r="C1226" t="s">
        <v>7473</v>
      </c>
      <c r="D1226" t="s">
        <v>4380</v>
      </c>
      <c r="L1226" s="3" t="s">
        <v>2919</v>
      </c>
    </row>
    <row r="1227" spans="1:12" x14ac:dyDescent="0.3">
      <c r="A1227" t="s">
        <v>521</v>
      </c>
      <c r="B1227" t="s">
        <v>6171</v>
      </c>
      <c r="C1227" t="s">
        <v>7104</v>
      </c>
      <c r="D1227" t="s">
        <v>4380</v>
      </c>
      <c r="L1227" s="4" t="s">
        <v>2922</v>
      </c>
    </row>
    <row r="1228" spans="1:12" x14ac:dyDescent="0.3">
      <c r="A1228" t="s">
        <v>668</v>
      </c>
      <c r="B1228" t="s">
        <v>362</v>
      </c>
      <c r="C1228" t="s">
        <v>497</v>
      </c>
      <c r="D1228" t="s">
        <v>8267</v>
      </c>
      <c r="L1228" s="3" t="s">
        <v>2926</v>
      </c>
    </row>
    <row r="1229" spans="1:12" x14ac:dyDescent="0.3">
      <c r="A1229" t="s">
        <v>668</v>
      </c>
      <c r="B1229" t="s">
        <v>1417</v>
      </c>
      <c r="C1229" t="s">
        <v>8267</v>
      </c>
      <c r="D1229" t="s">
        <v>7473</v>
      </c>
      <c r="L1229" s="4" t="s">
        <v>2929</v>
      </c>
    </row>
    <row r="1230" spans="1:12" x14ac:dyDescent="0.3">
      <c r="A1230" t="s">
        <v>521</v>
      </c>
      <c r="B1230" t="s">
        <v>1417</v>
      </c>
      <c r="C1230" t="s">
        <v>4380</v>
      </c>
      <c r="D1230" t="s">
        <v>4380</v>
      </c>
      <c r="L1230" s="3" t="s">
        <v>2931</v>
      </c>
    </row>
    <row r="1231" spans="1:12" x14ac:dyDescent="0.3">
      <c r="A1231" t="s">
        <v>521</v>
      </c>
      <c r="B1231" t="s">
        <v>8268</v>
      </c>
      <c r="C1231" t="s">
        <v>8268</v>
      </c>
      <c r="D1231" t="s">
        <v>7473</v>
      </c>
      <c r="L1231" s="4" t="s">
        <v>2934</v>
      </c>
    </row>
    <row r="1232" spans="1:12" x14ac:dyDescent="0.3">
      <c r="A1232" t="s">
        <v>521</v>
      </c>
      <c r="B1232" t="s">
        <v>362</v>
      </c>
      <c r="C1232" t="s">
        <v>4380</v>
      </c>
      <c r="D1232" t="s">
        <v>4380</v>
      </c>
      <c r="L1232" s="3" t="s">
        <v>2936</v>
      </c>
    </row>
    <row r="1233" spans="1:12" x14ac:dyDescent="0.3">
      <c r="A1233" t="s">
        <v>8268</v>
      </c>
      <c r="B1233" t="s">
        <v>6902</v>
      </c>
      <c r="C1233" t="s">
        <v>1417</v>
      </c>
      <c r="D1233" t="s">
        <v>7473</v>
      </c>
      <c r="L1233" s="4" t="s">
        <v>2938</v>
      </c>
    </row>
    <row r="1234" spans="1:12" x14ac:dyDescent="0.3">
      <c r="A1234" t="s">
        <v>521</v>
      </c>
      <c r="B1234" t="s">
        <v>1417</v>
      </c>
      <c r="C1234" t="s">
        <v>1417</v>
      </c>
      <c r="D1234" t="s">
        <v>4380</v>
      </c>
      <c r="L1234" s="3" t="s">
        <v>2940</v>
      </c>
    </row>
    <row r="1235" spans="1:12" x14ac:dyDescent="0.3">
      <c r="A1235" t="s">
        <v>1417</v>
      </c>
      <c r="B1235" t="s">
        <v>5138</v>
      </c>
      <c r="C1235" t="s">
        <v>8269</v>
      </c>
      <c r="D1235" t="s">
        <v>4380</v>
      </c>
      <c r="L1235" s="4" t="s">
        <v>2942</v>
      </c>
    </row>
    <row r="1236" spans="1:12" x14ac:dyDescent="0.3">
      <c r="A1236" t="s">
        <v>668</v>
      </c>
      <c r="B1236" t="s">
        <v>362</v>
      </c>
      <c r="C1236" t="s">
        <v>8267</v>
      </c>
      <c r="D1236" t="s">
        <v>4380</v>
      </c>
      <c r="L1236" s="3" t="s">
        <v>2944</v>
      </c>
    </row>
    <row r="1237" spans="1:12" x14ac:dyDescent="0.3">
      <c r="A1237" t="s">
        <v>362</v>
      </c>
      <c r="B1237" t="s">
        <v>1417</v>
      </c>
      <c r="C1237" t="s">
        <v>4380</v>
      </c>
      <c r="D1237" t="s">
        <v>5138</v>
      </c>
      <c r="L1237" s="4" t="s">
        <v>2946</v>
      </c>
    </row>
    <row r="1238" spans="1:12" x14ac:dyDescent="0.3">
      <c r="A1238" t="s">
        <v>521</v>
      </c>
      <c r="B1238" t="s">
        <v>7473</v>
      </c>
      <c r="C1238" t="s">
        <v>4380</v>
      </c>
      <c r="D1238" t="s">
        <v>4380</v>
      </c>
      <c r="L1238" s="3" t="s">
        <v>2948</v>
      </c>
    </row>
    <row r="1239" spans="1:12" x14ac:dyDescent="0.3">
      <c r="A1239" t="s">
        <v>521</v>
      </c>
      <c r="B1239" t="s">
        <v>4380</v>
      </c>
      <c r="C1239" t="s">
        <v>6171</v>
      </c>
      <c r="D1239" t="s">
        <v>4380</v>
      </c>
      <c r="L1239" s="4" t="s">
        <v>2950</v>
      </c>
    </row>
    <row r="1240" spans="1:12" x14ac:dyDescent="0.3">
      <c r="A1240" t="s">
        <v>521</v>
      </c>
      <c r="B1240" t="s">
        <v>1417</v>
      </c>
      <c r="C1240" t="s">
        <v>5138</v>
      </c>
      <c r="D1240" t="s">
        <v>4380</v>
      </c>
      <c r="L1240" s="3" t="s">
        <v>2953</v>
      </c>
    </row>
    <row r="1241" spans="1:12" x14ac:dyDescent="0.3">
      <c r="A1241" t="s">
        <v>668</v>
      </c>
      <c r="B1241" t="s">
        <v>1417</v>
      </c>
      <c r="C1241" t="s">
        <v>497</v>
      </c>
      <c r="D1241" t="s">
        <v>497</v>
      </c>
      <c r="L1241" s="4" t="s">
        <v>2955</v>
      </c>
    </row>
    <row r="1242" spans="1:12" x14ac:dyDescent="0.3">
      <c r="A1242" t="s">
        <v>8266</v>
      </c>
      <c r="B1242" t="s">
        <v>8268</v>
      </c>
      <c r="C1242" t="s">
        <v>497</v>
      </c>
      <c r="D1242" t="s">
        <v>7473</v>
      </c>
      <c r="L1242" s="3" t="s">
        <v>2957</v>
      </c>
    </row>
    <row r="1243" spans="1:12" x14ac:dyDescent="0.3">
      <c r="A1243" t="s">
        <v>1417</v>
      </c>
      <c r="B1243" t="s">
        <v>4843</v>
      </c>
      <c r="C1243" t="s">
        <v>7104</v>
      </c>
      <c r="D1243" t="s">
        <v>7473</v>
      </c>
      <c r="L1243" s="4" t="s">
        <v>2959</v>
      </c>
    </row>
    <row r="1244" spans="1:12" x14ac:dyDescent="0.3">
      <c r="A1244" t="s">
        <v>2701</v>
      </c>
      <c r="B1244" t="s">
        <v>1417</v>
      </c>
      <c r="C1244" t="s">
        <v>4380</v>
      </c>
      <c r="D1244" t="s">
        <v>7473</v>
      </c>
      <c r="L1244" s="3" t="s">
        <v>2961</v>
      </c>
    </row>
    <row r="1245" spans="1:12" x14ac:dyDescent="0.3">
      <c r="A1245" t="s">
        <v>668</v>
      </c>
      <c r="B1245" t="s">
        <v>7473</v>
      </c>
      <c r="C1245" t="s">
        <v>668</v>
      </c>
      <c r="D1245" t="s">
        <v>4380</v>
      </c>
      <c r="L1245" s="4" t="s">
        <v>2963</v>
      </c>
    </row>
    <row r="1246" spans="1:12" x14ac:dyDescent="0.3">
      <c r="A1246" t="s">
        <v>668</v>
      </c>
      <c r="B1246" t="s">
        <v>668</v>
      </c>
      <c r="C1246" t="s">
        <v>1417</v>
      </c>
      <c r="D1246" t="s">
        <v>4380</v>
      </c>
      <c r="L1246" s="3" t="s">
        <v>2965</v>
      </c>
    </row>
    <row r="1247" spans="1:12" x14ac:dyDescent="0.3">
      <c r="A1247" t="s">
        <v>5524</v>
      </c>
      <c r="B1247" t="s">
        <v>4380</v>
      </c>
      <c r="C1247" t="s">
        <v>7473</v>
      </c>
      <c r="D1247" t="s">
        <v>8269</v>
      </c>
      <c r="L1247" s="4" t="s">
        <v>2967</v>
      </c>
    </row>
    <row r="1248" spans="1:12" x14ac:dyDescent="0.3">
      <c r="A1248" t="s">
        <v>8268</v>
      </c>
      <c r="B1248" t="s">
        <v>1417</v>
      </c>
      <c r="C1248" t="s">
        <v>5138</v>
      </c>
      <c r="D1248" t="s">
        <v>7104</v>
      </c>
      <c r="L1248" s="3" t="s">
        <v>2969</v>
      </c>
    </row>
    <row r="1249" spans="1:12" x14ac:dyDescent="0.3">
      <c r="A1249" t="s">
        <v>2701</v>
      </c>
      <c r="B1249" t="s">
        <v>8268</v>
      </c>
      <c r="C1249" t="s">
        <v>8268</v>
      </c>
      <c r="D1249" t="s">
        <v>8266</v>
      </c>
      <c r="L1249" s="4" t="s">
        <v>2971</v>
      </c>
    </row>
    <row r="1250" spans="1:12" x14ac:dyDescent="0.3">
      <c r="A1250" t="s">
        <v>1417</v>
      </c>
      <c r="B1250" t="s">
        <v>8268</v>
      </c>
      <c r="C1250" t="s">
        <v>2701</v>
      </c>
      <c r="D1250" t="s">
        <v>4380</v>
      </c>
      <c r="L1250" s="3" t="s">
        <v>2973</v>
      </c>
    </row>
    <row r="1251" spans="1:12" x14ac:dyDescent="0.3">
      <c r="A1251" t="s">
        <v>362</v>
      </c>
      <c r="B1251" t="s">
        <v>4380</v>
      </c>
      <c r="C1251" t="s">
        <v>8266</v>
      </c>
      <c r="D1251" t="s">
        <v>7473</v>
      </c>
      <c r="L1251" s="4" t="s">
        <v>2976</v>
      </c>
    </row>
    <row r="1252" spans="1:12" x14ac:dyDescent="0.3">
      <c r="A1252" t="s">
        <v>521</v>
      </c>
      <c r="B1252" t="s">
        <v>362</v>
      </c>
      <c r="C1252" t="s">
        <v>497</v>
      </c>
      <c r="D1252" t="s">
        <v>8266</v>
      </c>
      <c r="L1252" s="3" t="s">
        <v>2979</v>
      </c>
    </row>
    <row r="1253" spans="1:12" x14ac:dyDescent="0.3">
      <c r="A1253" t="s">
        <v>668</v>
      </c>
      <c r="B1253" t="s">
        <v>4843</v>
      </c>
      <c r="C1253" t="s">
        <v>4380</v>
      </c>
      <c r="D1253" t="s">
        <v>8266</v>
      </c>
      <c r="L1253" s="4" t="s">
        <v>2981</v>
      </c>
    </row>
    <row r="1254" spans="1:12" x14ac:dyDescent="0.3">
      <c r="A1254" t="s">
        <v>1417</v>
      </c>
      <c r="B1254" t="s">
        <v>7473</v>
      </c>
      <c r="C1254" t="s">
        <v>6902</v>
      </c>
      <c r="D1254" t="s">
        <v>4380</v>
      </c>
      <c r="L1254" s="3" t="s">
        <v>2983</v>
      </c>
    </row>
    <row r="1255" spans="1:12" x14ac:dyDescent="0.3">
      <c r="A1255" t="s">
        <v>668</v>
      </c>
      <c r="B1255" t="s">
        <v>7473</v>
      </c>
      <c r="C1255" t="s">
        <v>668</v>
      </c>
      <c r="D1255" t="s">
        <v>4380</v>
      </c>
      <c r="L1255" s="4" t="s">
        <v>2986</v>
      </c>
    </row>
    <row r="1256" spans="1:12" x14ac:dyDescent="0.3">
      <c r="A1256" t="s">
        <v>362</v>
      </c>
      <c r="B1256" t="s">
        <v>7473</v>
      </c>
      <c r="C1256" t="s">
        <v>8268</v>
      </c>
      <c r="D1256" t="s">
        <v>4380</v>
      </c>
      <c r="L1256" s="3" t="s">
        <v>2989</v>
      </c>
    </row>
    <row r="1257" spans="1:12" x14ac:dyDescent="0.3">
      <c r="A1257" t="s">
        <v>668</v>
      </c>
      <c r="B1257" t="s">
        <v>8268</v>
      </c>
      <c r="C1257" t="s">
        <v>8267</v>
      </c>
      <c r="D1257" t="s">
        <v>8269</v>
      </c>
      <c r="L1257" s="4" t="s">
        <v>2991</v>
      </c>
    </row>
    <row r="1258" spans="1:12" x14ac:dyDescent="0.3">
      <c r="A1258" t="s">
        <v>2701</v>
      </c>
      <c r="B1258" t="s">
        <v>1417</v>
      </c>
      <c r="C1258" t="s">
        <v>4380</v>
      </c>
      <c r="D1258" t="s">
        <v>4380</v>
      </c>
      <c r="L1258" s="3" t="s">
        <v>2994</v>
      </c>
    </row>
    <row r="1259" spans="1:12" x14ac:dyDescent="0.3">
      <c r="A1259" t="s">
        <v>8266</v>
      </c>
      <c r="B1259" t="s">
        <v>1417</v>
      </c>
      <c r="C1259" t="s">
        <v>7473</v>
      </c>
      <c r="D1259" t="s">
        <v>8269</v>
      </c>
      <c r="L1259" s="4" t="s">
        <v>2996</v>
      </c>
    </row>
    <row r="1260" spans="1:12" x14ac:dyDescent="0.3">
      <c r="A1260" t="s">
        <v>5524</v>
      </c>
      <c r="B1260" t="s">
        <v>2701</v>
      </c>
      <c r="C1260" t="s">
        <v>8266</v>
      </c>
      <c r="D1260" t="s">
        <v>4380</v>
      </c>
      <c r="L1260" s="3" t="s">
        <v>2998</v>
      </c>
    </row>
    <row r="1261" spans="1:12" x14ac:dyDescent="0.3">
      <c r="A1261" t="s">
        <v>668</v>
      </c>
      <c r="B1261" t="s">
        <v>362</v>
      </c>
      <c r="C1261" t="s">
        <v>4380</v>
      </c>
      <c r="D1261" t="s">
        <v>6171</v>
      </c>
      <c r="L1261" s="4" t="s">
        <v>3000</v>
      </c>
    </row>
    <row r="1262" spans="1:12" x14ac:dyDescent="0.3">
      <c r="A1262" t="s">
        <v>668</v>
      </c>
      <c r="B1262" t="s">
        <v>2701</v>
      </c>
      <c r="C1262" t="s">
        <v>668</v>
      </c>
      <c r="D1262" t="s">
        <v>4380</v>
      </c>
      <c r="L1262" s="3" t="s">
        <v>3002</v>
      </c>
    </row>
    <row r="1263" spans="1:12" x14ac:dyDescent="0.3">
      <c r="A1263" t="s">
        <v>2701</v>
      </c>
      <c r="B1263" t="s">
        <v>1417</v>
      </c>
      <c r="C1263" t="s">
        <v>8266</v>
      </c>
      <c r="D1263" t="s">
        <v>8269</v>
      </c>
      <c r="L1263" s="4" t="s">
        <v>3004</v>
      </c>
    </row>
    <row r="1264" spans="1:12" x14ac:dyDescent="0.3">
      <c r="A1264" t="s">
        <v>668</v>
      </c>
      <c r="B1264" t="s">
        <v>362</v>
      </c>
      <c r="C1264" t="s">
        <v>7104</v>
      </c>
      <c r="D1264" t="s">
        <v>7473</v>
      </c>
      <c r="L1264" s="3" t="s">
        <v>3006</v>
      </c>
    </row>
    <row r="1265" spans="1:12" x14ac:dyDescent="0.3">
      <c r="A1265" t="s">
        <v>1417</v>
      </c>
      <c r="B1265" t="s">
        <v>5138</v>
      </c>
      <c r="C1265" t="s">
        <v>668</v>
      </c>
      <c r="D1265" t="s">
        <v>4380</v>
      </c>
      <c r="L1265" s="4" t="s">
        <v>3009</v>
      </c>
    </row>
    <row r="1266" spans="1:12" x14ac:dyDescent="0.3">
      <c r="A1266" t="s">
        <v>668</v>
      </c>
      <c r="B1266" t="s">
        <v>2701</v>
      </c>
      <c r="C1266" t="s">
        <v>8269</v>
      </c>
      <c r="D1266" t="s">
        <v>4380</v>
      </c>
      <c r="L1266" s="3" t="s">
        <v>3011</v>
      </c>
    </row>
    <row r="1267" spans="1:12" x14ac:dyDescent="0.3">
      <c r="A1267" t="s">
        <v>4843</v>
      </c>
      <c r="B1267" t="s">
        <v>8266</v>
      </c>
      <c r="C1267" t="s">
        <v>7473</v>
      </c>
      <c r="D1267" t="s">
        <v>4380</v>
      </c>
      <c r="L1267" s="4" t="s">
        <v>3013</v>
      </c>
    </row>
    <row r="1268" spans="1:12" x14ac:dyDescent="0.3">
      <c r="A1268" t="s">
        <v>668</v>
      </c>
      <c r="B1268" t="s">
        <v>362</v>
      </c>
      <c r="C1268" t="s">
        <v>1417</v>
      </c>
      <c r="D1268" t="s">
        <v>5043</v>
      </c>
      <c r="L1268" s="3" t="s">
        <v>3015</v>
      </c>
    </row>
    <row r="1269" spans="1:12" x14ac:dyDescent="0.3">
      <c r="A1269" t="s">
        <v>668</v>
      </c>
      <c r="B1269" t="s">
        <v>497</v>
      </c>
      <c r="C1269" t="s">
        <v>7104</v>
      </c>
      <c r="D1269" t="s">
        <v>4380</v>
      </c>
      <c r="L1269" s="4" t="s">
        <v>3018</v>
      </c>
    </row>
    <row r="1270" spans="1:12" x14ac:dyDescent="0.3">
      <c r="A1270" t="s">
        <v>521</v>
      </c>
      <c r="B1270" t="s">
        <v>5138</v>
      </c>
      <c r="C1270" t="s">
        <v>7473</v>
      </c>
      <c r="D1270" t="s">
        <v>4380</v>
      </c>
      <c r="L1270" s="3" t="s">
        <v>3020</v>
      </c>
    </row>
    <row r="1271" spans="1:12" x14ac:dyDescent="0.3">
      <c r="A1271" t="s">
        <v>362</v>
      </c>
      <c r="B1271" t="s">
        <v>1417</v>
      </c>
      <c r="C1271" t="s">
        <v>7473</v>
      </c>
      <c r="D1271" t="s">
        <v>497</v>
      </c>
      <c r="L1271" s="4" t="s">
        <v>3022</v>
      </c>
    </row>
    <row r="1272" spans="1:12" x14ac:dyDescent="0.3">
      <c r="A1272" t="s">
        <v>668</v>
      </c>
      <c r="B1272" t="s">
        <v>4843</v>
      </c>
      <c r="C1272" t="s">
        <v>1417</v>
      </c>
      <c r="D1272" t="s">
        <v>4380</v>
      </c>
      <c r="L1272" s="3" t="s">
        <v>3024</v>
      </c>
    </row>
    <row r="1273" spans="1:12" x14ac:dyDescent="0.3">
      <c r="A1273" t="s">
        <v>5524</v>
      </c>
      <c r="B1273" t="s">
        <v>8268</v>
      </c>
      <c r="C1273" t="s">
        <v>8266</v>
      </c>
      <c r="D1273" t="s">
        <v>7473</v>
      </c>
      <c r="L1273" s="4" t="s">
        <v>3026</v>
      </c>
    </row>
    <row r="1274" spans="1:12" x14ac:dyDescent="0.3">
      <c r="A1274" t="s">
        <v>521</v>
      </c>
      <c r="B1274" t="s">
        <v>362</v>
      </c>
      <c r="C1274" t="s">
        <v>7473</v>
      </c>
      <c r="D1274" t="s">
        <v>4380</v>
      </c>
      <c r="L1274" s="3" t="s">
        <v>3029</v>
      </c>
    </row>
    <row r="1275" spans="1:12" x14ac:dyDescent="0.3">
      <c r="A1275" t="s">
        <v>1417</v>
      </c>
      <c r="B1275" t="s">
        <v>8266</v>
      </c>
      <c r="C1275" t="s">
        <v>7473</v>
      </c>
      <c r="D1275" t="s">
        <v>4380</v>
      </c>
      <c r="L1275" s="4" t="s">
        <v>3031</v>
      </c>
    </row>
    <row r="1276" spans="1:12" x14ac:dyDescent="0.3">
      <c r="A1276" t="s">
        <v>8268</v>
      </c>
      <c r="B1276" t="s">
        <v>8268</v>
      </c>
      <c r="C1276" t="s">
        <v>668</v>
      </c>
      <c r="D1276" t="s">
        <v>4380</v>
      </c>
      <c r="L1276" s="3" t="s">
        <v>3033</v>
      </c>
    </row>
    <row r="1277" spans="1:12" x14ac:dyDescent="0.3">
      <c r="A1277" t="s">
        <v>668</v>
      </c>
      <c r="B1277" t="s">
        <v>668</v>
      </c>
      <c r="C1277" t="s">
        <v>1417</v>
      </c>
      <c r="D1277" t="s">
        <v>4380</v>
      </c>
      <c r="L1277" s="4" t="s">
        <v>3035</v>
      </c>
    </row>
    <row r="1278" spans="1:12" x14ac:dyDescent="0.3">
      <c r="A1278" t="s">
        <v>2701</v>
      </c>
      <c r="B1278" t="s">
        <v>497</v>
      </c>
      <c r="C1278" t="s">
        <v>5138</v>
      </c>
      <c r="D1278" t="s">
        <v>6902</v>
      </c>
      <c r="L1278" s="3" t="s">
        <v>3038</v>
      </c>
    </row>
    <row r="1279" spans="1:12" x14ac:dyDescent="0.3">
      <c r="A1279" t="s">
        <v>521</v>
      </c>
      <c r="B1279" t="s">
        <v>1417</v>
      </c>
      <c r="C1279" t="s">
        <v>497</v>
      </c>
      <c r="D1279" t="s">
        <v>4380</v>
      </c>
      <c r="L1279" s="4" t="s">
        <v>3040</v>
      </c>
    </row>
    <row r="1280" spans="1:12" x14ac:dyDescent="0.3">
      <c r="A1280" t="s">
        <v>5524</v>
      </c>
      <c r="B1280" t="s">
        <v>8046</v>
      </c>
      <c r="C1280" t="s">
        <v>4380</v>
      </c>
      <c r="D1280" t="s">
        <v>7473</v>
      </c>
      <c r="L1280" s="3" t="s">
        <v>3042</v>
      </c>
    </row>
    <row r="1281" spans="1:12" x14ac:dyDescent="0.3">
      <c r="A1281" t="s">
        <v>1417</v>
      </c>
      <c r="B1281" t="s">
        <v>1417</v>
      </c>
      <c r="C1281" t="s">
        <v>7104</v>
      </c>
      <c r="D1281" t="s">
        <v>8269</v>
      </c>
      <c r="L1281" s="4" t="s">
        <v>3044</v>
      </c>
    </row>
    <row r="1282" spans="1:12" x14ac:dyDescent="0.3">
      <c r="A1282" t="s">
        <v>2701</v>
      </c>
      <c r="B1282" t="s">
        <v>4843</v>
      </c>
      <c r="C1282" t="s">
        <v>1417</v>
      </c>
      <c r="D1282" t="s">
        <v>7473</v>
      </c>
      <c r="L1282" s="3" t="s">
        <v>3046</v>
      </c>
    </row>
    <row r="1283" spans="1:12" x14ac:dyDescent="0.3">
      <c r="A1283" t="s">
        <v>8268</v>
      </c>
      <c r="B1283" t="s">
        <v>1417</v>
      </c>
      <c r="C1283" t="s">
        <v>7473</v>
      </c>
      <c r="D1283" t="s">
        <v>7473</v>
      </c>
      <c r="L1283" s="4" t="s">
        <v>3048</v>
      </c>
    </row>
    <row r="1284" spans="1:12" x14ac:dyDescent="0.3">
      <c r="A1284" t="s">
        <v>668</v>
      </c>
      <c r="B1284" t="s">
        <v>362</v>
      </c>
      <c r="C1284" t="s">
        <v>7473</v>
      </c>
      <c r="D1284" t="s">
        <v>4380</v>
      </c>
      <c r="L1284" s="3" t="s">
        <v>3050</v>
      </c>
    </row>
    <row r="1285" spans="1:12" x14ac:dyDescent="0.3">
      <c r="A1285" t="s">
        <v>521</v>
      </c>
      <c r="B1285" t="s">
        <v>497</v>
      </c>
      <c r="C1285" t="s">
        <v>4380</v>
      </c>
      <c r="D1285" t="s">
        <v>6171</v>
      </c>
      <c r="L1285" s="4" t="s">
        <v>3053</v>
      </c>
    </row>
    <row r="1286" spans="1:12" x14ac:dyDescent="0.3">
      <c r="A1286" t="s">
        <v>362</v>
      </c>
      <c r="B1286" t="s">
        <v>7473</v>
      </c>
      <c r="C1286" t="s">
        <v>7104</v>
      </c>
      <c r="D1286" t="s">
        <v>8046</v>
      </c>
      <c r="L1286" s="3" t="s">
        <v>3055</v>
      </c>
    </row>
    <row r="1287" spans="1:12" x14ac:dyDescent="0.3">
      <c r="A1287" t="s">
        <v>8268</v>
      </c>
      <c r="B1287" t="s">
        <v>8268</v>
      </c>
      <c r="C1287" t="s">
        <v>8267</v>
      </c>
      <c r="D1287" t="s">
        <v>8266</v>
      </c>
      <c r="L1287" s="4" t="s">
        <v>3057</v>
      </c>
    </row>
    <row r="1288" spans="1:12" x14ac:dyDescent="0.3">
      <c r="A1288" t="s">
        <v>1417</v>
      </c>
      <c r="B1288" t="s">
        <v>668</v>
      </c>
      <c r="C1288" t="s">
        <v>1417</v>
      </c>
      <c r="D1288" t="s">
        <v>4380</v>
      </c>
      <c r="L1288" s="3" t="s">
        <v>3059</v>
      </c>
    </row>
    <row r="1289" spans="1:12" x14ac:dyDescent="0.3">
      <c r="A1289" t="s">
        <v>521</v>
      </c>
      <c r="B1289" t="s">
        <v>362</v>
      </c>
      <c r="C1289" t="s">
        <v>7473</v>
      </c>
      <c r="D1289" t="s">
        <v>6902</v>
      </c>
      <c r="L1289" s="4" t="s">
        <v>3062</v>
      </c>
    </row>
    <row r="1290" spans="1:12" x14ac:dyDescent="0.3">
      <c r="A1290" t="s">
        <v>1417</v>
      </c>
      <c r="B1290" t="s">
        <v>1417</v>
      </c>
      <c r="C1290" t="s">
        <v>7104</v>
      </c>
      <c r="D1290" t="s">
        <v>2701</v>
      </c>
      <c r="L1290" s="3" t="s">
        <v>3065</v>
      </c>
    </row>
    <row r="1291" spans="1:12" x14ac:dyDescent="0.3">
      <c r="A1291" t="s">
        <v>1417</v>
      </c>
      <c r="B1291" t="s">
        <v>668</v>
      </c>
      <c r="C1291" t="s">
        <v>7473</v>
      </c>
      <c r="D1291" t="s">
        <v>1417</v>
      </c>
      <c r="L1291" s="4" t="s">
        <v>3067</v>
      </c>
    </row>
    <row r="1292" spans="1:12" x14ac:dyDescent="0.3">
      <c r="A1292" t="s">
        <v>5524</v>
      </c>
      <c r="B1292" t="s">
        <v>8267</v>
      </c>
      <c r="C1292" t="s">
        <v>8267</v>
      </c>
      <c r="D1292" t="s">
        <v>4380</v>
      </c>
      <c r="L1292" s="3" t="s">
        <v>3070</v>
      </c>
    </row>
    <row r="1293" spans="1:12" x14ac:dyDescent="0.3">
      <c r="A1293" t="s">
        <v>521</v>
      </c>
      <c r="B1293" t="s">
        <v>362</v>
      </c>
      <c r="C1293" t="s">
        <v>497</v>
      </c>
      <c r="D1293" t="s">
        <v>4380</v>
      </c>
      <c r="L1293" s="4" t="s">
        <v>3072</v>
      </c>
    </row>
    <row r="1294" spans="1:12" x14ac:dyDescent="0.3">
      <c r="A1294" t="s">
        <v>521</v>
      </c>
      <c r="B1294" t="s">
        <v>7473</v>
      </c>
      <c r="C1294" t="s">
        <v>8266</v>
      </c>
      <c r="D1294" t="s">
        <v>5138</v>
      </c>
      <c r="L1294" s="3" t="s">
        <v>3074</v>
      </c>
    </row>
    <row r="1295" spans="1:12" x14ac:dyDescent="0.3">
      <c r="A1295" t="s">
        <v>1417</v>
      </c>
      <c r="B1295" t="s">
        <v>7473</v>
      </c>
      <c r="C1295" t="s">
        <v>8268</v>
      </c>
      <c r="D1295" t="s">
        <v>4380</v>
      </c>
      <c r="L1295" s="4" t="s">
        <v>3076</v>
      </c>
    </row>
    <row r="1296" spans="1:12" x14ac:dyDescent="0.3">
      <c r="A1296" t="s">
        <v>521</v>
      </c>
      <c r="B1296" t="s">
        <v>362</v>
      </c>
      <c r="C1296" t="s">
        <v>5138</v>
      </c>
      <c r="D1296" t="s">
        <v>4380</v>
      </c>
      <c r="L1296" s="3" t="s">
        <v>3078</v>
      </c>
    </row>
    <row r="1297" spans="1:12" x14ac:dyDescent="0.3">
      <c r="A1297" t="s">
        <v>362</v>
      </c>
      <c r="B1297" t="s">
        <v>362</v>
      </c>
      <c r="C1297" t="s">
        <v>6902</v>
      </c>
      <c r="D1297" t="s">
        <v>4380</v>
      </c>
      <c r="L1297" s="4" t="s">
        <v>3080</v>
      </c>
    </row>
    <row r="1298" spans="1:12" x14ac:dyDescent="0.3">
      <c r="A1298" t="s">
        <v>668</v>
      </c>
      <c r="B1298" t="s">
        <v>5524</v>
      </c>
      <c r="C1298" t="s">
        <v>4380</v>
      </c>
      <c r="D1298" t="s">
        <v>4380</v>
      </c>
      <c r="L1298" s="3" t="s">
        <v>3082</v>
      </c>
    </row>
    <row r="1299" spans="1:12" x14ac:dyDescent="0.3">
      <c r="A1299" t="s">
        <v>668</v>
      </c>
      <c r="B1299" t="s">
        <v>7473</v>
      </c>
      <c r="C1299" t="s">
        <v>497</v>
      </c>
      <c r="D1299" t="s">
        <v>7473</v>
      </c>
      <c r="L1299" s="4" t="s">
        <v>3084</v>
      </c>
    </row>
    <row r="1300" spans="1:12" x14ac:dyDescent="0.3">
      <c r="A1300" t="s">
        <v>668</v>
      </c>
      <c r="B1300" t="s">
        <v>7104</v>
      </c>
      <c r="C1300" t="s">
        <v>7473</v>
      </c>
      <c r="D1300" t="s">
        <v>8267</v>
      </c>
      <c r="L1300" s="3" t="s">
        <v>3086</v>
      </c>
    </row>
    <row r="1301" spans="1:12" x14ac:dyDescent="0.3">
      <c r="A1301" t="s">
        <v>668</v>
      </c>
      <c r="B1301" t="s">
        <v>4843</v>
      </c>
      <c r="C1301" t="s">
        <v>2701</v>
      </c>
      <c r="D1301" t="s">
        <v>7104</v>
      </c>
      <c r="I1301" t="s">
        <v>4380</v>
      </c>
      <c r="L1301" s="4" t="s">
        <v>3088</v>
      </c>
    </row>
    <row r="1302" spans="1:12" x14ac:dyDescent="0.3">
      <c r="A1302" t="s">
        <v>668</v>
      </c>
      <c r="B1302" t="s">
        <v>1417</v>
      </c>
      <c r="C1302" t="s">
        <v>8267</v>
      </c>
      <c r="D1302" t="s">
        <v>6171</v>
      </c>
      <c r="L1302" s="3" t="s">
        <v>3090</v>
      </c>
    </row>
    <row r="1303" spans="1:12" x14ac:dyDescent="0.3">
      <c r="A1303" t="s">
        <v>5524</v>
      </c>
      <c r="B1303" t="s">
        <v>1417</v>
      </c>
      <c r="C1303" t="s">
        <v>4843</v>
      </c>
      <c r="D1303" t="s">
        <v>5138</v>
      </c>
      <c r="L1303" s="4" t="s">
        <v>3092</v>
      </c>
    </row>
    <row r="1304" spans="1:12" x14ac:dyDescent="0.3">
      <c r="A1304" t="s">
        <v>1417</v>
      </c>
      <c r="B1304" t="s">
        <v>8268</v>
      </c>
      <c r="C1304" t="s">
        <v>4380</v>
      </c>
      <c r="D1304" t="s">
        <v>7473</v>
      </c>
      <c r="L1304" s="3" t="s">
        <v>3094</v>
      </c>
    </row>
    <row r="1305" spans="1:12" x14ac:dyDescent="0.3">
      <c r="A1305" t="s">
        <v>8268</v>
      </c>
      <c r="B1305" t="s">
        <v>668</v>
      </c>
      <c r="C1305" t="s">
        <v>7473</v>
      </c>
      <c r="D1305" t="s">
        <v>4380</v>
      </c>
      <c r="L1305" s="4" t="s">
        <v>3096</v>
      </c>
    </row>
    <row r="1306" spans="1:12" x14ac:dyDescent="0.3">
      <c r="A1306" t="s">
        <v>521</v>
      </c>
      <c r="B1306" t="s">
        <v>7473</v>
      </c>
      <c r="C1306" t="s">
        <v>668</v>
      </c>
      <c r="D1306" t="s">
        <v>5138</v>
      </c>
      <c r="L1306" s="3" t="s">
        <v>3098</v>
      </c>
    </row>
    <row r="1307" spans="1:12" x14ac:dyDescent="0.3">
      <c r="A1307" t="s">
        <v>1417</v>
      </c>
      <c r="B1307" t="s">
        <v>1417</v>
      </c>
      <c r="C1307" t="s">
        <v>7473</v>
      </c>
      <c r="D1307" t="s">
        <v>8267</v>
      </c>
      <c r="L1307" s="4" t="s">
        <v>3101</v>
      </c>
    </row>
    <row r="1308" spans="1:12" x14ac:dyDescent="0.3">
      <c r="A1308" t="s">
        <v>668</v>
      </c>
      <c r="B1308" t="s">
        <v>4380</v>
      </c>
      <c r="C1308" t="s">
        <v>5043</v>
      </c>
      <c r="D1308" t="s">
        <v>4380</v>
      </c>
      <c r="L1308" s="3" t="s">
        <v>3103</v>
      </c>
    </row>
    <row r="1309" spans="1:12" x14ac:dyDescent="0.3">
      <c r="A1309" t="s">
        <v>668</v>
      </c>
      <c r="B1309" t="s">
        <v>1417</v>
      </c>
      <c r="C1309" t="s">
        <v>5138</v>
      </c>
      <c r="D1309" t="s">
        <v>7473</v>
      </c>
      <c r="L1309" s="4" t="s">
        <v>3105</v>
      </c>
    </row>
    <row r="1310" spans="1:12" x14ac:dyDescent="0.3">
      <c r="A1310" t="s">
        <v>521</v>
      </c>
      <c r="B1310" t="s">
        <v>5043</v>
      </c>
      <c r="C1310" t="s">
        <v>5138</v>
      </c>
      <c r="D1310" t="s">
        <v>1417</v>
      </c>
      <c r="L1310" s="3" t="s">
        <v>3107</v>
      </c>
    </row>
    <row r="1311" spans="1:12" x14ac:dyDescent="0.3">
      <c r="A1311" t="s">
        <v>521</v>
      </c>
      <c r="B1311" t="s">
        <v>1417</v>
      </c>
      <c r="C1311" t="s">
        <v>4380</v>
      </c>
      <c r="D1311" t="s">
        <v>4380</v>
      </c>
      <c r="L1311" s="4" t="s">
        <v>3109</v>
      </c>
    </row>
    <row r="1312" spans="1:12" x14ac:dyDescent="0.3">
      <c r="A1312" t="s">
        <v>521</v>
      </c>
      <c r="B1312" t="s">
        <v>8266</v>
      </c>
      <c r="C1312" t="s">
        <v>4380</v>
      </c>
      <c r="D1312" t="s">
        <v>5138</v>
      </c>
      <c r="L1312" s="3" t="s">
        <v>3111</v>
      </c>
    </row>
    <row r="1313" spans="1:12" x14ac:dyDescent="0.3">
      <c r="A1313" t="s">
        <v>1417</v>
      </c>
      <c r="B1313" t="s">
        <v>5138</v>
      </c>
      <c r="C1313" t="s">
        <v>7473</v>
      </c>
      <c r="D1313" t="s">
        <v>6902</v>
      </c>
      <c r="L1313" s="4" t="s">
        <v>3114</v>
      </c>
    </row>
    <row r="1314" spans="1:12" x14ac:dyDescent="0.3">
      <c r="A1314" t="s">
        <v>521</v>
      </c>
      <c r="B1314" t="s">
        <v>8266</v>
      </c>
      <c r="C1314" t="s">
        <v>7473</v>
      </c>
      <c r="D1314" t="s">
        <v>668</v>
      </c>
      <c r="L1314" s="3" t="s">
        <v>3116</v>
      </c>
    </row>
    <row r="1315" spans="1:12" x14ac:dyDescent="0.3">
      <c r="A1315" t="s">
        <v>668</v>
      </c>
      <c r="B1315" t="s">
        <v>362</v>
      </c>
      <c r="C1315" t="s">
        <v>7473</v>
      </c>
      <c r="D1315" t="s">
        <v>8269</v>
      </c>
      <c r="L1315" s="4" t="s">
        <v>3118</v>
      </c>
    </row>
    <row r="1316" spans="1:12" x14ac:dyDescent="0.3">
      <c r="A1316" t="s">
        <v>362</v>
      </c>
      <c r="B1316" t="s">
        <v>7104</v>
      </c>
      <c r="C1316" t="s">
        <v>5138</v>
      </c>
      <c r="D1316" t="s">
        <v>4380</v>
      </c>
      <c r="L1316" s="3" t="s">
        <v>3120</v>
      </c>
    </row>
    <row r="1317" spans="1:12" x14ac:dyDescent="0.3">
      <c r="A1317" t="s">
        <v>668</v>
      </c>
      <c r="B1317" t="s">
        <v>668</v>
      </c>
      <c r="C1317" t="s">
        <v>1417</v>
      </c>
      <c r="D1317" t="s">
        <v>4380</v>
      </c>
      <c r="L1317" s="4" t="s">
        <v>3122</v>
      </c>
    </row>
    <row r="1318" spans="1:12" x14ac:dyDescent="0.3">
      <c r="A1318" t="s">
        <v>362</v>
      </c>
      <c r="B1318" t="s">
        <v>1417</v>
      </c>
      <c r="C1318" t="s">
        <v>4380</v>
      </c>
      <c r="D1318" t="s">
        <v>5138</v>
      </c>
      <c r="L1318" s="3" t="s">
        <v>3125</v>
      </c>
    </row>
    <row r="1319" spans="1:12" x14ac:dyDescent="0.3">
      <c r="A1319" t="s">
        <v>521</v>
      </c>
      <c r="B1319" t="s">
        <v>362</v>
      </c>
      <c r="C1319" t="s">
        <v>8268</v>
      </c>
      <c r="D1319" t="s">
        <v>7473</v>
      </c>
      <c r="L1319" s="4" t="s">
        <v>3127</v>
      </c>
    </row>
    <row r="1320" spans="1:12" x14ac:dyDescent="0.3">
      <c r="A1320" t="s">
        <v>521</v>
      </c>
      <c r="B1320" t="s">
        <v>8267</v>
      </c>
      <c r="C1320" t="s">
        <v>2701</v>
      </c>
      <c r="D1320" t="s">
        <v>4380</v>
      </c>
      <c r="L1320" s="3" t="s">
        <v>3129</v>
      </c>
    </row>
    <row r="1321" spans="1:12" x14ac:dyDescent="0.3">
      <c r="A1321" t="s">
        <v>1417</v>
      </c>
      <c r="B1321" t="s">
        <v>1417</v>
      </c>
      <c r="C1321" t="s">
        <v>7473</v>
      </c>
      <c r="D1321" t="s">
        <v>7473</v>
      </c>
      <c r="L1321" s="4" t="s">
        <v>3131</v>
      </c>
    </row>
    <row r="1322" spans="1:12" x14ac:dyDescent="0.3">
      <c r="A1322" t="s">
        <v>668</v>
      </c>
      <c r="B1322" t="s">
        <v>1417</v>
      </c>
      <c r="C1322" t="s">
        <v>8266</v>
      </c>
      <c r="D1322" t="s">
        <v>4380</v>
      </c>
      <c r="L1322" s="3" t="s">
        <v>3133</v>
      </c>
    </row>
    <row r="1323" spans="1:12" x14ac:dyDescent="0.3">
      <c r="A1323" t="s">
        <v>362</v>
      </c>
      <c r="B1323" t="s">
        <v>1417</v>
      </c>
      <c r="C1323" t="s">
        <v>4380</v>
      </c>
      <c r="D1323" t="s">
        <v>7473</v>
      </c>
      <c r="L1323" s="4" t="s">
        <v>3135</v>
      </c>
    </row>
    <row r="1324" spans="1:12" x14ac:dyDescent="0.3">
      <c r="A1324" t="s">
        <v>668</v>
      </c>
      <c r="B1324" t="s">
        <v>668</v>
      </c>
      <c r="C1324" t="s">
        <v>5138</v>
      </c>
      <c r="D1324" t="s">
        <v>7104</v>
      </c>
      <c r="L1324" s="3" t="s">
        <v>3137</v>
      </c>
    </row>
    <row r="1325" spans="1:12" x14ac:dyDescent="0.3">
      <c r="A1325" t="s">
        <v>521</v>
      </c>
      <c r="B1325" t="s">
        <v>5524</v>
      </c>
      <c r="C1325" t="s">
        <v>668</v>
      </c>
      <c r="D1325" t="s">
        <v>5043</v>
      </c>
      <c r="L1325" s="4" t="s">
        <v>3139</v>
      </c>
    </row>
    <row r="1326" spans="1:12" x14ac:dyDescent="0.3">
      <c r="A1326" t="s">
        <v>1417</v>
      </c>
      <c r="B1326" t="s">
        <v>668</v>
      </c>
      <c r="C1326" t="s">
        <v>4380</v>
      </c>
      <c r="D1326" t="s">
        <v>4380</v>
      </c>
      <c r="L1326" s="3" t="s">
        <v>3141</v>
      </c>
    </row>
    <row r="1327" spans="1:12" x14ac:dyDescent="0.3">
      <c r="A1327" t="s">
        <v>521</v>
      </c>
      <c r="B1327" t="s">
        <v>7473</v>
      </c>
      <c r="C1327" t="s">
        <v>4380</v>
      </c>
      <c r="D1327" t="s">
        <v>7473</v>
      </c>
      <c r="L1327" s="4" t="s">
        <v>3144</v>
      </c>
    </row>
    <row r="1328" spans="1:12" x14ac:dyDescent="0.3">
      <c r="A1328" t="s">
        <v>362</v>
      </c>
      <c r="B1328" t="s">
        <v>7104</v>
      </c>
      <c r="C1328" t="s">
        <v>7473</v>
      </c>
      <c r="D1328" t="s">
        <v>5138</v>
      </c>
      <c r="L1328" s="3" t="s">
        <v>3146</v>
      </c>
    </row>
    <row r="1329" spans="1:12" x14ac:dyDescent="0.3">
      <c r="A1329" t="s">
        <v>668</v>
      </c>
      <c r="B1329" t="s">
        <v>497</v>
      </c>
      <c r="C1329" t="s">
        <v>8046</v>
      </c>
      <c r="D1329" t="s">
        <v>4380</v>
      </c>
      <c r="L1329" s="4" t="s">
        <v>3148</v>
      </c>
    </row>
    <row r="1330" spans="1:12" x14ac:dyDescent="0.3">
      <c r="A1330" t="s">
        <v>521</v>
      </c>
      <c r="B1330" t="s">
        <v>1417</v>
      </c>
      <c r="C1330" t="s">
        <v>5138</v>
      </c>
      <c r="D1330" t="s">
        <v>7473</v>
      </c>
      <c r="L1330" s="3" t="s">
        <v>3150</v>
      </c>
    </row>
    <row r="1331" spans="1:12" x14ac:dyDescent="0.3">
      <c r="A1331" t="s">
        <v>521</v>
      </c>
      <c r="B1331" t="s">
        <v>668</v>
      </c>
      <c r="C1331" t="s">
        <v>4380</v>
      </c>
      <c r="D1331" t="s">
        <v>4380</v>
      </c>
      <c r="L1331" s="4" t="s">
        <v>3152</v>
      </c>
    </row>
    <row r="1332" spans="1:12" x14ac:dyDescent="0.3">
      <c r="A1332" t="s">
        <v>1417</v>
      </c>
      <c r="B1332" t="s">
        <v>8268</v>
      </c>
      <c r="C1332" t="s">
        <v>497</v>
      </c>
      <c r="D1332" t="s">
        <v>6171</v>
      </c>
      <c r="L1332" s="3" t="s">
        <v>3154</v>
      </c>
    </row>
    <row r="1333" spans="1:12" x14ac:dyDescent="0.3">
      <c r="A1333" t="s">
        <v>668</v>
      </c>
      <c r="B1333" t="s">
        <v>362</v>
      </c>
      <c r="C1333" t="s">
        <v>4380</v>
      </c>
      <c r="D1333" t="s">
        <v>8267</v>
      </c>
      <c r="L1333" s="4" t="s">
        <v>3156</v>
      </c>
    </row>
    <row r="1334" spans="1:12" x14ac:dyDescent="0.3">
      <c r="A1334" t="s">
        <v>521</v>
      </c>
      <c r="B1334" t="s">
        <v>8268</v>
      </c>
      <c r="C1334" t="s">
        <v>5138</v>
      </c>
      <c r="D1334" t="s">
        <v>4380</v>
      </c>
      <c r="L1334" s="3" t="s">
        <v>3159</v>
      </c>
    </row>
    <row r="1335" spans="1:12" x14ac:dyDescent="0.3">
      <c r="A1335" t="s">
        <v>4843</v>
      </c>
      <c r="B1335" t="s">
        <v>362</v>
      </c>
      <c r="C1335" t="s">
        <v>7104</v>
      </c>
      <c r="D1335" t="s">
        <v>4380</v>
      </c>
      <c r="L1335" s="4" t="s">
        <v>3161</v>
      </c>
    </row>
    <row r="1336" spans="1:12" x14ac:dyDescent="0.3">
      <c r="A1336" t="s">
        <v>521</v>
      </c>
      <c r="B1336" t="s">
        <v>5138</v>
      </c>
      <c r="C1336" t="s">
        <v>8266</v>
      </c>
      <c r="D1336" t="s">
        <v>1417</v>
      </c>
      <c r="L1336" s="3" t="s">
        <v>3163</v>
      </c>
    </row>
    <row r="1337" spans="1:12" x14ac:dyDescent="0.3">
      <c r="A1337" t="s">
        <v>5524</v>
      </c>
      <c r="B1337" t="s">
        <v>7104</v>
      </c>
      <c r="C1337" t="s">
        <v>4380</v>
      </c>
      <c r="D1337" t="s">
        <v>4380</v>
      </c>
      <c r="L1337" s="4" t="s">
        <v>3165</v>
      </c>
    </row>
    <row r="1338" spans="1:12" x14ac:dyDescent="0.3">
      <c r="A1338" t="s">
        <v>521</v>
      </c>
      <c r="B1338" t="s">
        <v>362</v>
      </c>
      <c r="C1338" t="s">
        <v>1417</v>
      </c>
      <c r="D1338" t="s">
        <v>1417</v>
      </c>
      <c r="L1338" s="3" t="s">
        <v>3167</v>
      </c>
    </row>
    <row r="1339" spans="1:12" x14ac:dyDescent="0.3">
      <c r="A1339" t="s">
        <v>668</v>
      </c>
      <c r="B1339" t="s">
        <v>8268</v>
      </c>
      <c r="C1339" t="s">
        <v>8269</v>
      </c>
      <c r="D1339" t="s">
        <v>4380</v>
      </c>
      <c r="L1339" s="4" t="s">
        <v>3169</v>
      </c>
    </row>
    <row r="1340" spans="1:12" x14ac:dyDescent="0.3">
      <c r="A1340" t="s">
        <v>521</v>
      </c>
      <c r="B1340" t="s">
        <v>1417</v>
      </c>
      <c r="C1340" t="s">
        <v>1417</v>
      </c>
      <c r="D1340" t="s">
        <v>5043</v>
      </c>
      <c r="L1340" s="3" t="s">
        <v>3171</v>
      </c>
    </row>
    <row r="1341" spans="1:12" x14ac:dyDescent="0.3">
      <c r="A1341" t="s">
        <v>668</v>
      </c>
      <c r="B1341" t="s">
        <v>8046</v>
      </c>
      <c r="C1341" t="s">
        <v>1417</v>
      </c>
      <c r="D1341" t="s">
        <v>8267</v>
      </c>
      <c r="L1341" s="4" t="s">
        <v>3173</v>
      </c>
    </row>
    <row r="1342" spans="1:12" x14ac:dyDescent="0.3">
      <c r="A1342" t="s">
        <v>668</v>
      </c>
      <c r="B1342" t="s">
        <v>8266</v>
      </c>
      <c r="C1342" t="s">
        <v>7473</v>
      </c>
      <c r="D1342" t="s">
        <v>7473</v>
      </c>
      <c r="L1342" s="3" t="s">
        <v>3175</v>
      </c>
    </row>
    <row r="1343" spans="1:12" x14ac:dyDescent="0.3">
      <c r="A1343" t="s">
        <v>668</v>
      </c>
      <c r="B1343" t="s">
        <v>2701</v>
      </c>
      <c r="C1343" t="s">
        <v>7473</v>
      </c>
      <c r="D1343" t="s">
        <v>7473</v>
      </c>
      <c r="L1343" s="4" t="s">
        <v>3177</v>
      </c>
    </row>
    <row r="1344" spans="1:12" x14ac:dyDescent="0.3">
      <c r="A1344" t="s">
        <v>521</v>
      </c>
      <c r="B1344" t="s">
        <v>5138</v>
      </c>
      <c r="C1344" t="s">
        <v>497</v>
      </c>
      <c r="D1344" t="s">
        <v>5138</v>
      </c>
      <c r="L1344" s="3" t="s">
        <v>3180</v>
      </c>
    </row>
    <row r="1345" spans="1:12" x14ac:dyDescent="0.3">
      <c r="A1345" t="s">
        <v>521</v>
      </c>
      <c r="B1345" t="s">
        <v>668</v>
      </c>
      <c r="C1345" t="s">
        <v>1417</v>
      </c>
      <c r="D1345" t="s">
        <v>2701</v>
      </c>
      <c r="L1345" s="4" t="s">
        <v>3182</v>
      </c>
    </row>
    <row r="1346" spans="1:12" x14ac:dyDescent="0.3">
      <c r="A1346" t="s">
        <v>521</v>
      </c>
      <c r="B1346" t="s">
        <v>4843</v>
      </c>
      <c r="C1346" t="s">
        <v>1417</v>
      </c>
      <c r="D1346" t="s">
        <v>8266</v>
      </c>
      <c r="L1346" s="3" t="s">
        <v>3184</v>
      </c>
    </row>
    <row r="1347" spans="1:12" x14ac:dyDescent="0.3">
      <c r="A1347" t="s">
        <v>1417</v>
      </c>
      <c r="B1347" t="s">
        <v>5524</v>
      </c>
      <c r="C1347" t="s">
        <v>1417</v>
      </c>
      <c r="D1347" t="s">
        <v>4380</v>
      </c>
      <c r="L1347" s="4" t="s">
        <v>3186</v>
      </c>
    </row>
    <row r="1348" spans="1:12" x14ac:dyDescent="0.3">
      <c r="A1348" t="s">
        <v>668</v>
      </c>
      <c r="B1348" t="s">
        <v>362</v>
      </c>
      <c r="C1348" t="s">
        <v>8268</v>
      </c>
      <c r="D1348" t="s">
        <v>8266</v>
      </c>
      <c r="L1348" s="3" t="s">
        <v>3188</v>
      </c>
    </row>
    <row r="1349" spans="1:12" x14ac:dyDescent="0.3">
      <c r="A1349" t="s">
        <v>362</v>
      </c>
      <c r="B1349" t="s">
        <v>362</v>
      </c>
      <c r="C1349" t="s">
        <v>7104</v>
      </c>
      <c r="D1349" t="s">
        <v>5138</v>
      </c>
      <c r="L1349" s="4" t="s">
        <v>3190</v>
      </c>
    </row>
    <row r="1350" spans="1:12" x14ac:dyDescent="0.3">
      <c r="A1350" t="s">
        <v>5524</v>
      </c>
      <c r="B1350" t="s">
        <v>1417</v>
      </c>
      <c r="C1350" t="s">
        <v>8046</v>
      </c>
      <c r="D1350" t="s">
        <v>6171</v>
      </c>
      <c r="L1350" s="3" t="s">
        <v>3192</v>
      </c>
    </row>
    <row r="1351" spans="1:12" x14ac:dyDescent="0.3">
      <c r="A1351" t="s">
        <v>8268</v>
      </c>
      <c r="B1351" t="s">
        <v>8268</v>
      </c>
      <c r="C1351" t="s">
        <v>8267</v>
      </c>
      <c r="D1351" t="s">
        <v>4380</v>
      </c>
      <c r="L1351" s="4" t="s">
        <v>3194</v>
      </c>
    </row>
    <row r="1352" spans="1:12" x14ac:dyDescent="0.3">
      <c r="A1352" t="s">
        <v>668</v>
      </c>
      <c r="B1352" t="s">
        <v>1417</v>
      </c>
      <c r="C1352" t="s">
        <v>7473</v>
      </c>
      <c r="D1352" t="s">
        <v>9936</v>
      </c>
      <c r="L1352" s="3" t="s">
        <v>3196</v>
      </c>
    </row>
    <row r="1353" spans="1:12" x14ac:dyDescent="0.3">
      <c r="A1353" t="s">
        <v>521</v>
      </c>
      <c r="B1353" t="s">
        <v>668</v>
      </c>
      <c r="C1353" t="s">
        <v>497</v>
      </c>
      <c r="D1353" t="s">
        <v>8046</v>
      </c>
      <c r="L1353" s="4" t="s">
        <v>3198</v>
      </c>
    </row>
    <row r="1354" spans="1:12" x14ac:dyDescent="0.3">
      <c r="A1354" t="s">
        <v>1417</v>
      </c>
      <c r="B1354" t="s">
        <v>362</v>
      </c>
      <c r="C1354" t="s">
        <v>8266</v>
      </c>
      <c r="D1354" t="s">
        <v>8267</v>
      </c>
      <c r="L1354" s="3" t="s">
        <v>3201</v>
      </c>
    </row>
    <row r="1355" spans="1:12" x14ac:dyDescent="0.3">
      <c r="A1355" t="s">
        <v>668</v>
      </c>
      <c r="B1355" t="s">
        <v>8268</v>
      </c>
      <c r="C1355" t="s">
        <v>668</v>
      </c>
      <c r="D1355" t="s">
        <v>4380</v>
      </c>
      <c r="L1355" s="4" t="s">
        <v>3203</v>
      </c>
    </row>
    <row r="1356" spans="1:12" x14ac:dyDescent="0.3">
      <c r="A1356" t="s">
        <v>8266</v>
      </c>
      <c r="B1356" t="s">
        <v>1417</v>
      </c>
      <c r="C1356" t="s">
        <v>5043</v>
      </c>
      <c r="D1356" t="s">
        <v>7473</v>
      </c>
      <c r="L1356" s="3" t="s">
        <v>3206</v>
      </c>
    </row>
    <row r="1357" spans="1:12" x14ac:dyDescent="0.3">
      <c r="A1357" t="s">
        <v>8268</v>
      </c>
      <c r="B1357" t="s">
        <v>1417</v>
      </c>
      <c r="C1357" t="s">
        <v>8266</v>
      </c>
      <c r="D1357" t="s">
        <v>4380</v>
      </c>
      <c r="L1357" s="4" t="s">
        <v>3208</v>
      </c>
    </row>
    <row r="1358" spans="1:12" x14ac:dyDescent="0.3">
      <c r="A1358" t="s">
        <v>1417</v>
      </c>
      <c r="B1358" t="s">
        <v>8266</v>
      </c>
      <c r="C1358" t="s">
        <v>7473</v>
      </c>
      <c r="D1358" t="s">
        <v>4380</v>
      </c>
      <c r="L1358" s="3" t="s">
        <v>3211</v>
      </c>
    </row>
    <row r="1359" spans="1:12" x14ac:dyDescent="0.3">
      <c r="A1359" t="s">
        <v>1417</v>
      </c>
      <c r="B1359" t="s">
        <v>8268</v>
      </c>
      <c r="C1359" t="s">
        <v>7104</v>
      </c>
      <c r="D1359" t="s">
        <v>4380</v>
      </c>
      <c r="L1359" s="4" t="s">
        <v>3213</v>
      </c>
    </row>
    <row r="1360" spans="1:12" x14ac:dyDescent="0.3">
      <c r="A1360" t="s">
        <v>362</v>
      </c>
      <c r="B1360" t="s">
        <v>4380</v>
      </c>
      <c r="C1360" t="s">
        <v>8268</v>
      </c>
      <c r="D1360" t="s">
        <v>4380</v>
      </c>
      <c r="L1360" s="3" t="s">
        <v>3215</v>
      </c>
    </row>
    <row r="1361" spans="1:12" x14ac:dyDescent="0.3">
      <c r="A1361" t="s">
        <v>2701</v>
      </c>
      <c r="B1361" t="s">
        <v>1417</v>
      </c>
      <c r="C1361" t="s">
        <v>8046</v>
      </c>
      <c r="D1361" t="s">
        <v>4380</v>
      </c>
      <c r="L1361" s="4" t="s">
        <v>3217</v>
      </c>
    </row>
    <row r="1362" spans="1:12" x14ac:dyDescent="0.3">
      <c r="A1362" t="s">
        <v>521</v>
      </c>
      <c r="B1362" t="s">
        <v>7473</v>
      </c>
      <c r="C1362" t="s">
        <v>2701</v>
      </c>
      <c r="D1362" t="s">
        <v>6902</v>
      </c>
      <c r="L1362" s="3" t="s">
        <v>3219</v>
      </c>
    </row>
    <row r="1363" spans="1:12" x14ac:dyDescent="0.3">
      <c r="A1363" t="s">
        <v>8268</v>
      </c>
      <c r="B1363" t="s">
        <v>7473</v>
      </c>
      <c r="C1363" t="s">
        <v>5138</v>
      </c>
      <c r="D1363" t="s">
        <v>8266</v>
      </c>
      <c r="L1363" s="4" t="s">
        <v>3221</v>
      </c>
    </row>
    <row r="1364" spans="1:12" x14ac:dyDescent="0.3">
      <c r="A1364" t="s">
        <v>521</v>
      </c>
      <c r="B1364" t="s">
        <v>7473</v>
      </c>
      <c r="C1364" t="s">
        <v>668</v>
      </c>
      <c r="D1364" t="s">
        <v>4380</v>
      </c>
      <c r="L1364" s="3" t="s">
        <v>3223</v>
      </c>
    </row>
    <row r="1365" spans="1:12" x14ac:dyDescent="0.3">
      <c r="A1365" t="s">
        <v>362</v>
      </c>
      <c r="B1365" t="s">
        <v>1417</v>
      </c>
      <c r="C1365" t="s">
        <v>1417</v>
      </c>
      <c r="D1365" t="s">
        <v>8046</v>
      </c>
      <c r="L1365" s="4" t="s">
        <v>3226</v>
      </c>
    </row>
    <row r="1366" spans="1:12" x14ac:dyDescent="0.3">
      <c r="A1366" t="s">
        <v>1417</v>
      </c>
      <c r="B1366" t="s">
        <v>668</v>
      </c>
      <c r="C1366" t="s">
        <v>668</v>
      </c>
      <c r="D1366" t="s">
        <v>4380</v>
      </c>
      <c r="L1366" s="3" t="s">
        <v>3228</v>
      </c>
    </row>
    <row r="1367" spans="1:12" x14ac:dyDescent="0.3">
      <c r="A1367" t="s">
        <v>362</v>
      </c>
      <c r="B1367" t="s">
        <v>2701</v>
      </c>
      <c r="C1367" t="s">
        <v>4380</v>
      </c>
      <c r="D1367" t="s">
        <v>4380</v>
      </c>
      <c r="L1367" s="4" t="s">
        <v>3230</v>
      </c>
    </row>
    <row r="1368" spans="1:12" x14ac:dyDescent="0.3">
      <c r="A1368" t="s">
        <v>5524</v>
      </c>
      <c r="B1368" t="s">
        <v>5138</v>
      </c>
      <c r="C1368" t="s">
        <v>1417</v>
      </c>
      <c r="D1368" t="s">
        <v>8269</v>
      </c>
      <c r="L1368" s="3" t="s">
        <v>3232</v>
      </c>
    </row>
    <row r="1369" spans="1:12" x14ac:dyDescent="0.3">
      <c r="A1369" t="s">
        <v>521</v>
      </c>
      <c r="B1369" t="s">
        <v>362</v>
      </c>
      <c r="C1369" t="s">
        <v>4380</v>
      </c>
      <c r="D1369" t="s">
        <v>4380</v>
      </c>
      <c r="L1369" s="4" t="s">
        <v>3235</v>
      </c>
    </row>
    <row r="1370" spans="1:12" x14ac:dyDescent="0.3">
      <c r="A1370" t="s">
        <v>1417</v>
      </c>
      <c r="B1370" t="s">
        <v>1417</v>
      </c>
      <c r="C1370" t="s">
        <v>1417</v>
      </c>
      <c r="D1370" t="s">
        <v>4380</v>
      </c>
      <c r="L1370" s="3" t="s">
        <v>3237</v>
      </c>
    </row>
    <row r="1371" spans="1:12" x14ac:dyDescent="0.3">
      <c r="A1371" t="s">
        <v>8268</v>
      </c>
      <c r="B1371" t="s">
        <v>362</v>
      </c>
      <c r="C1371" t="s">
        <v>5043</v>
      </c>
      <c r="D1371" t="s">
        <v>4380</v>
      </c>
      <c r="L1371" s="4" t="s">
        <v>3239</v>
      </c>
    </row>
    <row r="1372" spans="1:12" x14ac:dyDescent="0.3">
      <c r="A1372" t="s">
        <v>668</v>
      </c>
      <c r="B1372" t="s">
        <v>1417</v>
      </c>
      <c r="C1372" t="s">
        <v>8046</v>
      </c>
      <c r="D1372" t="s">
        <v>4380</v>
      </c>
      <c r="L1372" s="3" t="s">
        <v>3241</v>
      </c>
    </row>
    <row r="1373" spans="1:12" x14ac:dyDescent="0.3">
      <c r="A1373" t="s">
        <v>668</v>
      </c>
      <c r="B1373" t="s">
        <v>7473</v>
      </c>
      <c r="C1373" t="s">
        <v>4380</v>
      </c>
      <c r="D1373" t="s">
        <v>4380</v>
      </c>
      <c r="L1373" s="4" t="s">
        <v>3243</v>
      </c>
    </row>
    <row r="1374" spans="1:12" x14ac:dyDescent="0.3">
      <c r="A1374" t="s">
        <v>362</v>
      </c>
      <c r="B1374" t="s">
        <v>668</v>
      </c>
      <c r="C1374" t="s">
        <v>5138</v>
      </c>
      <c r="D1374" t="s">
        <v>5138</v>
      </c>
      <c r="L1374" s="3" t="s">
        <v>3246</v>
      </c>
    </row>
    <row r="1375" spans="1:12" x14ac:dyDescent="0.3">
      <c r="A1375" t="s">
        <v>521</v>
      </c>
      <c r="B1375" t="s">
        <v>1417</v>
      </c>
      <c r="C1375" t="s">
        <v>4380</v>
      </c>
      <c r="D1375" t="s">
        <v>8269</v>
      </c>
      <c r="L1375" s="4" t="s">
        <v>3248</v>
      </c>
    </row>
    <row r="1376" spans="1:12" x14ac:dyDescent="0.3">
      <c r="A1376" t="s">
        <v>1417</v>
      </c>
      <c r="B1376" t="s">
        <v>7104</v>
      </c>
      <c r="C1376" t="s">
        <v>5138</v>
      </c>
      <c r="D1376" t="s">
        <v>7473</v>
      </c>
      <c r="L1376" s="3" t="s">
        <v>3250</v>
      </c>
    </row>
    <row r="1377" spans="1:12" x14ac:dyDescent="0.3">
      <c r="A1377" t="s">
        <v>521</v>
      </c>
      <c r="B1377" t="s">
        <v>362</v>
      </c>
      <c r="C1377" t="s">
        <v>4380</v>
      </c>
      <c r="D1377" t="s">
        <v>8267</v>
      </c>
      <c r="L1377" s="4" t="s">
        <v>3253</v>
      </c>
    </row>
    <row r="1378" spans="1:12" x14ac:dyDescent="0.3">
      <c r="A1378" t="s">
        <v>668</v>
      </c>
      <c r="B1378" t="s">
        <v>7473</v>
      </c>
      <c r="C1378" t="s">
        <v>497</v>
      </c>
      <c r="D1378" t="s">
        <v>497</v>
      </c>
      <c r="L1378" s="3" t="s">
        <v>3256</v>
      </c>
    </row>
    <row r="1379" spans="1:12" x14ac:dyDescent="0.3">
      <c r="A1379" t="s">
        <v>1417</v>
      </c>
      <c r="B1379" t="s">
        <v>7473</v>
      </c>
      <c r="C1379" t="s">
        <v>7473</v>
      </c>
      <c r="D1379" t="s">
        <v>7473</v>
      </c>
      <c r="L1379" s="4" t="s">
        <v>3258</v>
      </c>
    </row>
    <row r="1380" spans="1:12" x14ac:dyDescent="0.3">
      <c r="A1380" t="s">
        <v>1417</v>
      </c>
      <c r="B1380" t="s">
        <v>7473</v>
      </c>
      <c r="C1380" t="s">
        <v>8268</v>
      </c>
      <c r="D1380" t="s">
        <v>8046</v>
      </c>
      <c r="L1380" s="3" t="s">
        <v>3260</v>
      </c>
    </row>
    <row r="1381" spans="1:12" x14ac:dyDescent="0.3">
      <c r="A1381" t="s">
        <v>8268</v>
      </c>
      <c r="B1381" t="s">
        <v>8268</v>
      </c>
      <c r="C1381" t="s">
        <v>2701</v>
      </c>
      <c r="D1381" t="s">
        <v>1417</v>
      </c>
      <c r="L1381" s="4" t="s">
        <v>3262</v>
      </c>
    </row>
    <row r="1382" spans="1:12" x14ac:dyDescent="0.3">
      <c r="A1382" t="s">
        <v>521</v>
      </c>
      <c r="B1382" t="s">
        <v>2701</v>
      </c>
      <c r="C1382" t="s">
        <v>4380</v>
      </c>
      <c r="D1382" t="s">
        <v>5138</v>
      </c>
      <c r="L1382" s="3" t="s">
        <v>3264</v>
      </c>
    </row>
    <row r="1383" spans="1:12" x14ac:dyDescent="0.3">
      <c r="A1383" t="s">
        <v>668</v>
      </c>
      <c r="B1383" t="s">
        <v>2701</v>
      </c>
      <c r="C1383" t="s">
        <v>4380</v>
      </c>
      <c r="D1383" t="s">
        <v>497</v>
      </c>
      <c r="L1383" s="4" t="s">
        <v>3267</v>
      </c>
    </row>
    <row r="1384" spans="1:12" x14ac:dyDescent="0.3">
      <c r="A1384" t="s">
        <v>521</v>
      </c>
      <c r="B1384" t="s">
        <v>8268</v>
      </c>
      <c r="C1384" t="s">
        <v>4380</v>
      </c>
      <c r="D1384" t="s">
        <v>4380</v>
      </c>
      <c r="L1384" s="3" t="s">
        <v>3270</v>
      </c>
    </row>
    <row r="1385" spans="1:12" x14ac:dyDescent="0.3">
      <c r="A1385" t="s">
        <v>521</v>
      </c>
      <c r="B1385" t="s">
        <v>8268</v>
      </c>
      <c r="C1385" t="s">
        <v>7473</v>
      </c>
      <c r="D1385" t="s">
        <v>5138</v>
      </c>
      <c r="L1385" s="4" t="s">
        <v>3272</v>
      </c>
    </row>
    <row r="1386" spans="1:12" x14ac:dyDescent="0.3">
      <c r="A1386" t="s">
        <v>521</v>
      </c>
      <c r="B1386" t="s">
        <v>5138</v>
      </c>
      <c r="C1386" t="s">
        <v>8267</v>
      </c>
      <c r="D1386" t="s">
        <v>8269</v>
      </c>
      <c r="L1386" s="3" t="s">
        <v>3274</v>
      </c>
    </row>
    <row r="1387" spans="1:12" x14ac:dyDescent="0.3">
      <c r="A1387" t="s">
        <v>668</v>
      </c>
      <c r="B1387" t="s">
        <v>7473</v>
      </c>
      <c r="C1387" t="s">
        <v>7104</v>
      </c>
      <c r="D1387" t="s">
        <v>4380</v>
      </c>
      <c r="L1387" s="4" t="s">
        <v>3276</v>
      </c>
    </row>
    <row r="1388" spans="1:12" x14ac:dyDescent="0.3">
      <c r="A1388" t="s">
        <v>1417</v>
      </c>
      <c r="B1388" t="s">
        <v>1417</v>
      </c>
      <c r="C1388" t="s">
        <v>497</v>
      </c>
      <c r="D1388" t="s">
        <v>668</v>
      </c>
      <c r="L1388" s="3" t="s">
        <v>3278</v>
      </c>
    </row>
    <row r="1389" spans="1:12" x14ac:dyDescent="0.3">
      <c r="A1389" t="s">
        <v>521</v>
      </c>
      <c r="B1389" t="s">
        <v>7473</v>
      </c>
      <c r="C1389" t="s">
        <v>5138</v>
      </c>
      <c r="D1389" t="s">
        <v>8266</v>
      </c>
      <c r="L1389" s="4" t="s">
        <v>3281</v>
      </c>
    </row>
    <row r="1390" spans="1:12" x14ac:dyDescent="0.3">
      <c r="A1390" t="s">
        <v>521</v>
      </c>
      <c r="B1390" t="s">
        <v>668</v>
      </c>
      <c r="C1390" t="s">
        <v>7473</v>
      </c>
      <c r="D1390" t="s">
        <v>4380</v>
      </c>
      <c r="L1390" s="3" t="s">
        <v>3283</v>
      </c>
    </row>
    <row r="1391" spans="1:12" x14ac:dyDescent="0.3">
      <c r="A1391" t="s">
        <v>668</v>
      </c>
      <c r="B1391" t="s">
        <v>1417</v>
      </c>
      <c r="C1391" t="s">
        <v>8046</v>
      </c>
      <c r="D1391" t="s">
        <v>5138</v>
      </c>
      <c r="L1391" s="4" t="s">
        <v>3285</v>
      </c>
    </row>
    <row r="1392" spans="1:12" x14ac:dyDescent="0.3">
      <c r="A1392" t="s">
        <v>1417</v>
      </c>
      <c r="B1392" t="s">
        <v>362</v>
      </c>
      <c r="C1392" t="s">
        <v>7473</v>
      </c>
      <c r="D1392" t="s">
        <v>7473</v>
      </c>
      <c r="L1392" s="3" t="s">
        <v>3287</v>
      </c>
    </row>
    <row r="1393" spans="1:12" x14ac:dyDescent="0.3">
      <c r="A1393" t="s">
        <v>1417</v>
      </c>
      <c r="B1393" t="s">
        <v>1417</v>
      </c>
      <c r="C1393" t="s">
        <v>8268</v>
      </c>
      <c r="D1393" t="s">
        <v>4380</v>
      </c>
      <c r="L1393" s="4" t="s">
        <v>3289</v>
      </c>
    </row>
    <row r="1394" spans="1:12" x14ac:dyDescent="0.3">
      <c r="A1394" t="s">
        <v>1417</v>
      </c>
      <c r="B1394" t="s">
        <v>8266</v>
      </c>
      <c r="C1394" t="s">
        <v>8046</v>
      </c>
      <c r="D1394" t="s">
        <v>2701</v>
      </c>
      <c r="L1394" s="3" t="s">
        <v>3291</v>
      </c>
    </row>
    <row r="1395" spans="1:12" x14ac:dyDescent="0.3">
      <c r="A1395" t="s">
        <v>1417</v>
      </c>
      <c r="B1395" t="s">
        <v>7104</v>
      </c>
      <c r="C1395" t="s">
        <v>1417</v>
      </c>
      <c r="D1395" t="s">
        <v>7104</v>
      </c>
      <c r="L1395" s="4" t="s">
        <v>3293</v>
      </c>
    </row>
    <row r="1396" spans="1:12" x14ac:dyDescent="0.3">
      <c r="A1396" t="s">
        <v>5524</v>
      </c>
      <c r="B1396" t="s">
        <v>7473</v>
      </c>
      <c r="C1396" t="s">
        <v>4380</v>
      </c>
      <c r="D1396" t="s">
        <v>8267</v>
      </c>
      <c r="L1396" s="3" t="s">
        <v>3295</v>
      </c>
    </row>
    <row r="1397" spans="1:12" x14ac:dyDescent="0.3">
      <c r="A1397" t="s">
        <v>362</v>
      </c>
      <c r="B1397" t="s">
        <v>8268</v>
      </c>
      <c r="C1397" t="s">
        <v>7473</v>
      </c>
      <c r="D1397" t="s">
        <v>5138</v>
      </c>
      <c r="L1397" s="4" t="s">
        <v>3297</v>
      </c>
    </row>
    <row r="1398" spans="1:12" x14ac:dyDescent="0.3">
      <c r="A1398" t="s">
        <v>668</v>
      </c>
      <c r="B1398" t="s">
        <v>8266</v>
      </c>
      <c r="C1398" t="s">
        <v>8046</v>
      </c>
      <c r="D1398" t="s">
        <v>7473</v>
      </c>
      <c r="L1398" s="3" t="s">
        <v>3299</v>
      </c>
    </row>
    <row r="1399" spans="1:12" x14ac:dyDescent="0.3">
      <c r="A1399" t="s">
        <v>668</v>
      </c>
      <c r="B1399" t="s">
        <v>497</v>
      </c>
      <c r="C1399" t="s">
        <v>7473</v>
      </c>
      <c r="D1399" t="s">
        <v>4380</v>
      </c>
      <c r="L1399" s="4" t="s">
        <v>3301</v>
      </c>
    </row>
    <row r="1400" spans="1:12" x14ac:dyDescent="0.3">
      <c r="A1400" t="s">
        <v>521</v>
      </c>
      <c r="B1400" t="s">
        <v>2701</v>
      </c>
      <c r="C1400" t="s">
        <v>5138</v>
      </c>
      <c r="D1400" t="s">
        <v>6902</v>
      </c>
      <c r="L1400" s="3" t="s">
        <v>3303</v>
      </c>
    </row>
    <row r="1401" spans="1:12" x14ac:dyDescent="0.3">
      <c r="A1401" t="s">
        <v>521</v>
      </c>
      <c r="B1401" t="s">
        <v>1417</v>
      </c>
      <c r="C1401" t="s">
        <v>5138</v>
      </c>
      <c r="D1401" t="s">
        <v>4380</v>
      </c>
      <c r="L1401" s="4" t="s">
        <v>3305</v>
      </c>
    </row>
    <row r="1402" spans="1:12" x14ac:dyDescent="0.3">
      <c r="A1402" t="s">
        <v>521</v>
      </c>
      <c r="B1402" t="s">
        <v>1417</v>
      </c>
      <c r="C1402" t="s">
        <v>7104</v>
      </c>
      <c r="D1402" t="s">
        <v>4380</v>
      </c>
      <c r="L1402" s="3" t="s">
        <v>3308</v>
      </c>
    </row>
    <row r="1403" spans="1:12" x14ac:dyDescent="0.3">
      <c r="A1403" t="s">
        <v>5524</v>
      </c>
      <c r="B1403" t="s">
        <v>362</v>
      </c>
      <c r="C1403" t="s">
        <v>8266</v>
      </c>
      <c r="D1403" t="s">
        <v>5138</v>
      </c>
      <c r="L1403" s="4" t="s">
        <v>3311</v>
      </c>
    </row>
    <row r="1404" spans="1:12" x14ac:dyDescent="0.3">
      <c r="A1404" t="s">
        <v>521</v>
      </c>
      <c r="B1404" t="s">
        <v>1417</v>
      </c>
      <c r="C1404" t="s">
        <v>8268</v>
      </c>
      <c r="D1404" t="s">
        <v>8266</v>
      </c>
      <c r="L1404" s="3" t="s">
        <v>3313</v>
      </c>
    </row>
    <row r="1405" spans="1:12" x14ac:dyDescent="0.3">
      <c r="A1405" t="s">
        <v>5524</v>
      </c>
      <c r="B1405" t="s">
        <v>8268</v>
      </c>
      <c r="C1405" t="s">
        <v>7104</v>
      </c>
      <c r="D1405" t="s">
        <v>7473</v>
      </c>
      <c r="L1405" s="4" t="s">
        <v>3315</v>
      </c>
    </row>
    <row r="1406" spans="1:12" x14ac:dyDescent="0.3">
      <c r="A1406" t="s">
        <v>521</v>
      </c>
      <c r="B1406" t="s">
        <v>1417</v>
      </c>
      <c r="C1406" t="s">
        <v>7473</v>
      </c>
      <c r="D1406" t="s">
        <v>8267</v>
      </c>
      <c r="L1406" s="3" t="s">
        <v>3317</v>
      </c>
    </row>
    <row r="1407" spans="1:12" x14ac:dyDescent="0.3">
      <c r="A1407" t="s">
        <v>521</v>
      </c>
      <c r="B1407" t="s">
        <v>8268</v>
      </c>
      <c r="C1407" t="s">
        <v>2701</v>
      </c>
      <c r="D1407" t="s">
        <v>2701</v>
      </c>
      <c r="L1407" s="4" t="s">
        <v>3319</v>
      </c>
    </row>
    <row r="1408" spans="1:12" x14ac:dyDescent="0.3">
      <c r="A1408" t="s">
        <v>668</v>
      </c>
      <c r="B1408" t="s">
        <v>7104</v>
      </c>
      <c r="C1408" t="s">
        <v>8266</v>
      </c>
      <c r="D1408" t="s">
        <v>4380</v>
      </c>
      <c r="L1408" s="3" t="s">
        <v>3321</v>
      </c>
    </row>
    <row r="1409" spans="1:12" x14ac:dyDescent="0.3">
      <c r="A1409" t="s">
        <v>362</v>
      </c>
      <c r="B1409" t="s">
        <v>8268</v>
      </c>
      <c r="C1409" t="s">
        <v>8046</v>
      </c>
      <c r="D1409" t="s">
        <v>7473</v>
      </c>
      <c r="L1409" s="4" t="s">
        <v>3323</v>
      </c>
    </row>
    <row r="1410" spans="1:12" x14ac:dyDescent="0.3">
      <c r="A1410" t="s">
        <v>668</v>
      </c>
      <c r="B1410" t="s">
        <v>8266</v>
      </c>
      <c r="C1410" t="s">
        <v>4380</v>
      </c>
      <c r="D1410" t="s">
        <v>497</v>
      </c>
      <c r="L1410" s="3" t="s">
        <v>3325</v>
      </c>
    </row>
    <row r="1411" spans="1:12" x14ac:dyDescent="0.3">
      <c r="A1411" t="s">
        <v>362</v>
      </c>
      <c r="B1411" t="s">
        <v>7104</v>
      </c>
      <c r="C1411" t="s">
        <v>7104</v>
      </c>
      <c r="D1411" t="s">
        <v>5138</v>
      </c>
      <c r="L1411" s="4" t="s">
        <v>3327</v>
      </c>
    </row>
    <row r="1412" spans="1:12" x14ac:dyDescent="0.3">
      <c r="A1412" t="s">
        <v>668</v>
      </c>
      <c r="B1412" t="s">
        <v>1417</v>
      </c>
      <c r="C1412" t="s">
        <v>497</v>
      </c>
      <c r="D1412" t="s">
        <v>1417</v>
      </c>
      <c r="L1412" s="3" t="s">
        <v>3329</v>
      </c>
    </row>
    <row r="1413" spans="1:12" x14ac:dyDescent="0.3">
      <c r="A1413" t="s">
        <v>8268</v>
      </c>
      <c r="B1413" t="s">
        <v>8266</v>
      </c>
      <c r="C1413" t="s">
        <v>8046</v>
      </c>
      <c r="D1413" t="s">
        <v>4380</v>
      </c>
      <c r="L1413" s="4" t="s">
        <v>3331</v>
      </c>
    </row>
    <row r="1414" spans="1:12" x14ac:dyDescent="0.3">
      <c r="A1414" t="s">
        <v>8268</v>
      </c>
      <c r="B1414" t="s">
        <v>4843</v>
      </c>
      <c r="C1414" t="s">
        <v>497</v>
      </c>
      <c r="D1414" t="s">
        <v>497</v>
      </c>
      <c r="L1414" s="3" t="s">
        <v>3334</v>
      </c>
    </row>
    <row r="1415" spans="1:12" x14ac:dyDescent="0.3">
      <c r="A1415" t="s">
        <v>668</v>
      </c>
      <c r="B1415" t="s">
        <v>1417</v>
      </c>
      <c r="C1415" t="s">
        <v>1417</v>
      </c>
      <c r="D1415" t="s">
        <v>4380</v>
      </c>
      <c r="L1415" s="4" t="s">
        <v>3337</v>
      </c>
    </row>
    <row r="1416" spans="1:12" x14ac:dyDescent="0.3">
      <c r="A1416" t="s">
        <v>668</v>
      </c>
      <c r="B1416" t="s">
        <v>668</v>
      </c>
      <c r="C1416" t="s">
        <v>4380</v>
      </c>
      <c r="D1416" t="s">
        <v>6902</v>
      </c>
      <c r="L1416" s="3" t="s">
        <v>3340</v>
      </c>
    </row>
    <row r="1417" spans="1:12" x14ac:dyDescent="0.3">
      <c r="A1417" t="s">
        <v>1417</v>
      </c>
      <c r="B1417" t="s">
        <v>1417</v>
      </c>
      <c r="C1417" t="s">
        <v>8266</v>
      </c>
      <c r="D1417" t="s">
        <v>4380</v>
      </c>
      <c r="L1417" s="4" t="s">
        <v>3342</v>
      </c>
    </row>
    <row r="1418" spans="1:12" x14ac:dyDescent="0.3">
      <c r="A1418" t="s">
        <v>8268</v>
      </c>
      <c r="B1418" t="s">
        <v>2701</v>
      </c>
      <c r="C1418" t="s">
        <v>7104</v>
      </c>
      <c r="D1418" t="s">
        <v>7473</v>
      </c>
      <c r="L1418" s="3" t="s">
        <v>3344</v>
      </c>
    </row>
    <row r="1419" spans="1:12" x14ac:dyDescent="0.3">
      <c r="A1419" t="s">
        <v>362</v>
      </c>
      <c r="B1419" t="s">
        <v>8268</v>
      </c>
      <c r="C1419" t="s">
        <v>668</v>
      </c>
      <c r="D1419" t="s">
        <v>4380</v>
      </c>
      <c r="L1419" s="4" t="s">
        <v>3346</v>
      </c>
    </row>
    <row r="1420" spans="1:12" x14ac:dyDescent="0.3">
      <c r="A1420" t="s">
        <v>668</v>
      </c>
      <c r="B1420" t="s">
        <v>668</v>
      </c>
      <c r="C1420" t="s">
        <v>4380</v>
      </c>
      <c r="D1420" t="s">
        <v>7473</v>
      </c>
      <c r="L1420" s="3" t="s">
        <v>3348</v>
      </c>
    </row>
    <row r="1421" spans="1:12" x14ac:dyDescent="0.3">
      <c r="A1421" t="s">
        <v>521</v>
      </c>
      <c r="B1421" t="s">
        <v>1417</v>
      </c>
      <c r="C1421" t="s">
        <v>8268</v>
      </c>
      <c r="D1421" t="s">
        <v>4380</v>
      </c>
      <c r="L1421" s="4" t="s">
        <v>3350</v>
      </c>
    </row>
    <row r="1422" spans="1:12" x14ac:dyDescent="0.3">
      <c r="A1422" t="s">
        <v>2701</v>
      </c>
      <c r="B1422" t="s">
        <v>8268</v>
      </c>
      <c r="C1422" t="s">
        <v>1417</v>
      </c>
      <c r="D1422" t="s">
        <v>2701</v>
      </c>
      <c r="L1422" s="3" t="s">
        <v>3352</v>
      </c>
    </row>
    <row r="1423" spans="1:12" x14ac:dyDescent="0.3">
      <c r="A1423" t="s">
        <v>2701</v>
      </c>
      <c r="B1423" t="s">
        <v>7473</v>
      </c>
      <c r="C1423" t="s">
        <v>8266</v>
      </c>
      <c r="D1423" t="s">
        <v>4380</v>
      </c>
      <c r="L1423" s="4" t="s">
        <v>3354</v>
      </c>
    </row>
    <row r="1424" spans="1:12" x14ac:dyDescent="0.3">
      <c r="A1424" t="s">
        <v>521</v>
      </c>
      <c r="B1424" t="s">
        <v>7104</v>
      </c>
      <c r="C1424" t="s">
        <v>7473</v>
      </c>
      <c r="D1424" t="s">
        <v>4380</v>
      </c>
      <c r="L1424" s="3" t="s">
        <v>3356</v>
      </c>
    </row>
    <row r="1425" spans="1:12" x14ac:dyDescent="0.3">
      <c r="A1425" t="s">
        <v>5524</v>
      </c>
      <c r="B1425" t="s">
        <v>2701</v>
      </c>
      <c r="C1425" t="s">
        <v>8268</v>
      </c>
      <c r="D1425" t="s">
        <v>4380</v>
      </c>
      <c r="L1425" s="4" t="s">
        <v>3358</v>
      </c>
    </row>
    <row r="1426" spans="1:12" x14ac:dyDescent="0.3">
      <c r="A1426" t="s">
        <v>521</v>
      </c>
      <c r="B1426" t="s">
        <v>362</v>
      </c>
      <c r="C1426" t="s">
        <v>497</v>
      </c>
      <c r="D1426" t="s">
        <v>4380</v>
      </c>
      <c r="L1426" s="3" t="s">
        <v>3361</v>
      </c>
    </row>
    <row r="1427" spans="1:12" x14ac:dyDescent="0.3">
      <c r="A1427" t="s">
        <v>5524</v>
      </c>
      <c r="B1427" t="s">
        <v>4380</v>
      </c>
      <c r="C1427" t="s">
        <v>7473</v>
      </c>
      <c r="D1427" t="s">
        <v>7473</v>
      </c>
      <c r="L1427" s="4" t="s">
        <v>3365</v>
      </c>
    </row>
    <row r="1428" spans="1:12" x14ac:dyDescent="0.3">
      <c r="A1428" t="s">
        <v>668</v>
      </c>
      <c r="B1428" t="s">
        <v>1417</v>
      </c>
      <c r="C1428" t="s">
        <v>8266</v>
      </c>
      <c r="D1428" t="s">
        <v>4380</v>
      </c>
      <c r="L1428" s="3" t="s">
        <v>3367</v>
      </c>
    </row>
    <row r="1429" spans="1:12" x14ac:dyDescent="0.3">
      <c r="A1429" t="s">
        <v>668</v>
      </c>
      <c r="B1429" t="s">
        <v>5043</v>
      </c>
      <c r="C1429" t="s">
        <v>8268</v>
      </c>
      <c r="L1429" s="4" t="s">
        <v>3369</v>
      </c>
    </row>
    <row r="1430" spans="1:12" x14ac:dyDescent="0.3">
      <c r="A1430" t="s">
        <v>5524</v>
      </c>
      <c r="B1430" t="s">
        <v>6171</v>
      </c>
      <c r="C1430" t="s">
        <v>8268</v>
      </c>
      <c r="L1430" s="3" t="s">
        <v>3372</v>
      </c>
    </row>
    <row r="1431" spans="1:12" x14ac:dyDescent="0.3">
      <c r="A1431" t="s">
        <v>5524</v>
      </c>
      <c r="B1431" t="s">
        <v>1417</v>
      </c>
      <c r="C1431" t="s">
        <v>7473</v>
      </c>
      <c r="L1431" s="4" t="s">
        <v>3374</v>
      </c>
    </row>
    <row r="1432" spans="1:12" x14ac:dyDescent="0.3">
      <c r="A1432" t="s">
        <v>668</v>
      </c>
      <c r="B1432" t="s">
        <v>8268</v>
      </c>
      <c r="C1432" t="s">
        <v>6171</v>
      </c>
      <c r="L1432" s="3" t="s">
        <v>3377</v>
      </c>
    </row>
    <row r="1433" spans="1:12" x14ac:dyDescent="0.3">
      <c r="A1433" t="s">
        <v>668</v>
      </c>
      <c r="B1433" t="s">
        <v>497</v>
      </c>
      <c r="C1433" t="s">
        <v>5138</v>
      </c>
      <c r="L1433" s="4" t="s">
        <v>3379</v>
      </c>
    </row>
    <row r="1434" spans="1:12" x14ac:dyDescent="0.3">
      <c r="A1434" t="s">
        <v>521</v>
      </c>
      <c r="B1434" t="s">
        <v>668</v>
      </c>
      <c r="C1434" t="s">
        <v>8269</v>
      </c>
      <c r="L1434" s="3" t="s">
        <v>3382</v>
      </c>
    </row>
    <row r="1435" spans="1:12" x14ac:dyDescent="0.3">
      <c r="A1435" t="s">
        <v>668</v>
      </c>
      <c r="B1435" t="s">
        <v>8268</v>
      </c>
      <c r="C1435" t="s">
        <v>8268</v>
      </c>
      <c r="L1435" s="4" t="s">
        <v>3384</v>
      </c>
    </row>
    <row r="1436" spans="1:12" x14ac:dyDescent="0.3">
      <c r="A1436" t="s">
        <v>668</v>
      </c>
      <c r="B1436" t="s">
        <v>8266</v>
      </c>
      <c r="C1436" t="s">
        <v>2701</v>
      </c>
      <c r="L1436" s="3" t="s">
        <v>3386</v>
      </c>
    </row>
    <row r="1437" spans="1:12" x14ac:dyDescent="0.3">
      <c r="A1437" t="s">
        <v>668</v>
      </c>
      <c r="B1437" t="s">
        <v>8268</v>
      </c>
      <c r="C1437" t="s">
        <v>1417</v>
      </c>
      <c r="L1437" s="4" t="s">
        <v>3389</v>
      </c>
    </row>
    <row r="1438" spans="1:12" x14ac:dyDescent="0.3">
      <c r="A1438" t="s">
        <v>5524</v>
      </c>
      <c r="B1438" t="s">
        <v>362</v>
      </c>
      <c r="C1438" t="s">
        <v>7473</v>
      </c>
      <c r="L1438" s="3" t="s">
        <v>3391</v>
      </c>
    </row>
    <row r="1439" spans="1:12" x14ac:dyDescent="0.3">
      <c r="A1439" t="s">
        <v>521</v>
      </c>
      <c r="B1439" t="s">
        <v>5524</v>
      </c>
      <c r="C1439" t="s">
        <v>668</v>
      </c>
      <c r="L1439" s="4" t="s">
        <v>3393</v>
      </c>
    </row>
    <row r="1440" spans="1:12" x14ac:dyDescent="0.3">
      <c r="A1440" t="s">
        <v>497</v>
      </c>
      <c r="B1440" t="s">
        <v>362</v>
      </c>
      <c r="C1440" t="s">
        <v>1417</v>
      </c>
      <c r="L1440" s="3" t="s">
        <v>3395</v>
      </c>
    </row>
    <row r="1441" spans="1:12" x14ac:dyDescent="0.3">
      <c r="A1441" t="s">
        <v>668</v>
      </c>
      <c r="B1441" t="s">
        <v>1417</v>
      </c>
      <c r="C1441" t="s">
        <v>668</v>
      </c>
      <c r="L1441" s="4" t="s">
        <v>3397</v>
      </c>
    </row>
    <row r="1442" spans="1:12" x14ac:dyDescent="0.3">
      <c r="A1442" t="s">
        <v>521</v>
      </c>
      <c r="B1442" t="s">
        <v>1417</v>
      </c>
      <c r="C1442" t="s">
        <v>7473</v>
      </c>
      <c r="L1442" s="3" t="s">
        <v>3399</v>
      </c>
    </row>
    <row r="1443" spans="1:12" x14ac:dyDescent="0.3">
      <c r="A1443" t="s">
        <v>521</v>
      </c>
      <c r="B1443" t="s">
        <v>1417</v>
      </c>
      <c r="C1443" t="s">
        <v>4380</v>
      </c>
      <c r="L1443" s="4" t="s">
        <v>3402</v>
      </c>
    </row>
    <row r="1444" spans="1:12" x14ac:dyDescent="0.3">
      <c r="A1444" t="s">
        <v>668</v>
      </c>
      <c r="B1444" t="s">
        <v>1417</v>
      </c>
      <c r="C1444" t="s">
        <v>7473</v>
      </c>
      <c r="L1444" s="3" t="s">
        <v>3404</v>
      </c>
    </row>
    <row r="1445" spans="1:12" x14ac:dyDescent="0.3">
      <c r="A1445" t="s">
        <v>668</v>
      </c>
      <c r="B1445" t="s">
        <v>1417</v>
      </c>
      <c r="C1445" t="s">
        <v>4380</v>
      </c>
      <c r="L1445" s="4" t="s">
        <v>3406</v>
      </c>
    </row>
    <row r="1446" spans="1:12" x14ac:dyDescent="0.3">
      <c r="A1446" t="s">
        <v>1417</v>
      </c>
      <c r="B1446" t="s">
        <v>1417</v>
      </c>
      <c r="C1446" t="s">
        <v>8266</v>
      </c>
      <c r="L1446" s="3" t="s">
        <v>3408</v>
      </c>
    </row>
    <row r="1447" spans="1:12" x14ac:dyDescent="0.3">
      <c r="A1447" t="s">
        <v>362</v>
      </c>
      <c r="B1447" t="s">
        <v>1417</v>
      </c>
      <c r="C1447" t="s">
        <v>5138</v>
      </c>
      <c r="L1447" s="4" t="s">
        <v>3411</v>
      </c>
    </row>
    <row r="1448" spans="1:12" x14ac:dyDescent="0.3">
      <c r="A1448" t="s">
        <v>668</v>
      </c>
      <c r="B1448" t="s">
        <v>7473</v>
      </c>
      <c r="C1448" t="s">
        <v>7473</v>
      </c>
      <c r="L1448" s="3" t="s">
        <v>3414</v>
      </c>
    </row>
    <row r="1449" spans="1:12" x14ac:dyDescent="0.3">
      <c r="A1449" t="s">
        <v>521</v>
      </c>
      <c r="B1449" t="s">
        <v>362</v>
      </c>
      <c r="C1449" t="s">
        <v>7104</v>
      </c>
      <c r="L1449" s="4" t="s">
        <v>3417</v>
      </c>
    </row>
    <row r="1450" spans="1:12" x14ac:dyDescent="0.3">
      <c r="A1450" t="s">
        <v>5524</v>
      </c>
      <c r="B1450" t="s">
        <v>668</v>
      </c>
      <c r="C1450" t="s">
        <v>8046</v>
      </c>
      <c r="L1450" s="3" t="s">
        <v>3420</v>
      </c>
    </row>
    <row r="1451" spans="1:12" x14ac:dyDescent="0.3">
      <c r="A1451" t="s">
        <v>2701</v>
      </c>
      <c r="B1451" t="s">
        <v>1417</v>
      </c>
      <c r="C1451" t="s">
        <v>5043</v>
      </c>
      <c r="L1451" s="4" t="s">
        <v>3422</v>
      </c>
    </row>
    <row r="1452" spans="1:12" x14ac:dyDescent="0.3">
      <c r="A1452" t="s">
        <v>1417</v>
      </c>
      <c r="B1452" t="s">
        <v>8266</v>
      </c>
      <c r="C1452" t="s">
        <v>8046</v>
      </c>
      <c r="L1452" s="3" t="s">
        <v>3424</v>
      </c>
    </row>
    <row r="1453" spans="1:12" x14ac:dyDescent="0.3">
      <c r="A1453" t="s">
        <v>2701</v>
      </c>
      <c r="B1453" t="s">
        <v>7473</v>
      </c>
      <c r="C1453" t="s">
        <v>4380</v>
      </c>
      <c r="L1453" s="4" t="s">
        <v>3427</v>
      </c>
    </row>
    <row r="1454" spans="1:12" x14ac:dyDescent="0.3">
      <c r="A1454" t="s">
        <v>1417</v>
      </c>
      <c r="B1454" t="s">
        <v>5138</v>
      </c>
      <c r="C1454" t="s">
        <v>7104</v>
      </c>
      <c r="L1454" s="3" t="s">
        <v>3429</v>
      </c>
    </row>
    <row r="1455" spans="1:12" x14ac:dyDescent="0.3">
      <c r="A1455" t="s">
        <v>5524</v>
      </c>
      <c r="B1455" t="s">
        <v>362</v>
      </c>
      <c r="C1455" t="s">
        <v>8266</v>
      </c>
      <c r="L1455" s="4" t="s">
        <v>3431</v>
      </c>
    </row>
    <row r="1456" spans="1:12" x14ac:dyDescent="0.3">
      <c r="A1456" t="s">
        <v>2701</v>
      </c>
      <c r="B1456" t="s">
        <v>8268</v>
      </c>
      <c r="C1456" t="s">
        <v>4380</v>
      </c>
      <c r="L1456" s="3" t="s">
        <v>3433</v>
      </c>
    </row>
    <row r="1457" spans="1:12" x14ac:dyDescent="0.3">
      <c r="A1457" t="s">
        <v>1417</v>
      </c>
      <c r="B1457" t="s">
        <v>4843</v>
      </c>
      <c r="C1457" t="s">
        <v>4843</v>
      </c>
      <c r="L1457" s="4" t="s">
        <v>3435</v>
      </c>
    </row>
    <row r="1458" spans="1:12" x14ac:dyDescent="0.3">
      <c r="A1458" t="s">
        <v>521</v>
      </c>
      <c r="B1458" t="s">
        <v>7473</v>
      </c>
      <c r="C1458" t="s">
        <v>2701</v>
      </c>
      <c r="L1458" s="3" t="s">
        <v>3437</v>
      </c>
    </row>
    <row r="1459" spans="1:12" x14ac:dyDescent="0.3">
      <c r="A1459" t="s">
        <v>8268</v>
      </c>
      <c r="B1459" t="s">
        <v>5138</v>
      </c>
      <c r="C1459" t="s">
        <v>668</v>
      </c>
      <c r="L1459" s="4" t="s">
        <v>3439</v>
      </c>
    </row>
    <row r="1460" spans="1:12" x14ac:dyDescent="0.3">
      <c r="A1460" t="s">
        <v>668</v>
      </c>
      <c r="B1460" t="s">
        <v>1417</v>
      </c>
      <c r="C1460" t="s">
        <v>4380</v>
      </c>
      <c r="L1460" s="3" t="s">
        <v>3441</v>
      </c>
    </row>
    <row r="1461" spans="1:12" x14ac:dyDescent="0.3">
      <c r="A1461" t="s">
        <v>521</v>
      </c>
      <c r="B1461" t="s">
        <v>7473</v>
      </c>
      <c r="C1461" t="s">
        <v>4380</v>
      </c>
      <c r="L1461" s="4" t="s">
        <v>3443</v>
      </c>
    </row>
    <row r="1462" spans="1:12" x14ac:dyDescent="0.3">
      <c r="A1462" t="s">
        <v>668</v>
      </c>
      <c r="B1462" t="s">
        <v>1417</v>
      </c>
      <c r="C1462" t="s">
        <v>8268</v>
      </c>
      <c r="L1462" s="3" t="s">
        <v>3445</v>
      </c>
    </row>
    <row r="1463" spans="1:12" x14ac:dyDescent="0.3">
      <c r="A1463" t="s">
        <v>521</v>
      </c>
      <c r="B1463" t="s">
        <v>1417</v>
      </c>
      <c r="C1463" t="s">
        <v>7473</v>
      </c>
      <c r="L1463" s="4" t="s">
        <v>3447</v>
      </c>
    </row>
    <row r="1464" spans="1:12" x14ac:dyDescent="0.3">
      <c r="A1464" t="s">
        <v>8268</v>
      </c>
      <c r="B1464" t="s">
        <v>4380</v>
      </c>
      <c r="C1464" t="s">
        <v>1417</v>
      </c>
      <c r="L1464" s="3" t="s">
        <v>3449</v>
      </c>
    </row>
    <row r="1465" spans="1:12" x14ac:dyDescent="0.3">
      <c r="A1465" t="s">
        <v>521</v>
      </c>
      <c r="B1465" t="s">
        <v>668</v>
      </c>
      <c r="C1465" t="s">
        <v>4380</v>
      </c>
      <c r="L1465" s="4" t="s">
        <v>3451</v>
      </c>
    </row>
    <row r="1466" spans="1:12" x14ac:dyDescent="0.3">
      <c r="A1466" t="s">
        <v>668</v>
      </c>
      <c r="B1466" t="s">
        <v>668</v>
      </c>
      <c r="C1466" t="s">
        <v>8266</v>
      </c>
      <c r="L1466" s="3" t="s">
        <v>3453</v>
      </c>
    </row>
    <row r="1467" spans="1:12" x14ac:dyDescent="0.3">
      <c r="A1467" t="s">
        <v>5524</v>
      </c>
      <c r="B1467" t="s">
        <v>4843</v>
      </c>
      <c r="C1467" t="s">
        <v>7104</v>
      </c>
      <c r="L1467" s="4" t="s">
        <v>3455</v>
      </c>
    </row>
    <row r="1468" spans="1:12" x14ac:dyDescent="0.3">
      <c r="A1468" t="s">
        <v>1417</v>
      </c>
      <c r="B1468" t="s">
        <v>362</v>
      </c>
      <c r="C1468" t="s">
        <v>7104</v>
      </c>
      <c r="L1468" s="3" t="s">
        <v>3457</v>
      </c>
    </row>
    <row r="1469" spans="1:12" x14ac:dyDescent="0.3">
      <c r="A1469" t="s">
        <v>668</v>
      </c>
      <c r="B1469" t="s">
        <v>5043</v>
      </c>
      <c r="C1469" t="s">
        <v>1417</v>
      </c>
      <c r="L1469" s="4" t="s">
        <v>3459</v>
      </c>
    </row>
    <row r="1470" spans="1:12" x14ac:dyDescent="0.3">
      <c r="A1470" t="s">
        <v>5524</v>
      </c>
      <c r="B1470" t="s">
        <v>362</v>
      </c>
      <c r="C1470" t="s">
        <v>8266</v>
      </c>
      <c r="L1470" s="3" t="s">
        <v>3462</v>
      </c>
    </row>
    <row r="1471" spans="1:12" x14ac:dyDescent="0.3">
      <c r="A1471" t="s">
        <v>521</v>
      </c>
      <c r="B1471" t="s">
        <v>2701</v>
      </c>
      <c r="C1471" t="s">
        <v>1417</v>
      </c>
      <c r="L1471" s="4" t="s">
        <v>3464</v>
      </c>
    </row>
    <row r="1472" spans="1:12" x14ac:dyDescent="0.3">
      <c r="A1472" t="s">
        <v>362</v>
      </c>
      <c r="B1472" t="s">
        <v>8268</v>
      </c>
      <c r="C1472" t="s">
        <v>668</v>
      </c>
      <c r="L1472" s="3" t="s">
        <v>3466</v>
      </c>
    </row>
    <row r="1473" spans="1:12" x14ac:dyDescent="0.3">
      <c r="A1473" t="s">
        <v>668</v>
      </c>
      <c r="B1473" t="s">
        <v>7473</v>
      </c>
      <c r="C1473" t="s">
        <v>497</v>
      </c>
      <c r="L1473" s="4" t="s">
        <v>3468</v>
      </c>
    </row>
    <row r="1474" spans="1:12" x14ac:dyDescent="0.3">
      <c r="A1474" t="s">
        <v>521</v>
      </c>
      <c r="B1474" t="s">
        <v>8268</v>
      </c>
      <c r="C1474" t="s">
        <v>668</v>
      </c>
      <c r="L1474" s="3" t="s">
        <v>3470</v>
      </c>
    </row>
    <row r="1475" spans="1:12" x14ac:dyDescent="0.3">
      <c r="A1475" t="s">
        <v>8268</v>
      </c>
      <c r="B1475" t="s">
        <v>1417</v>
      </c>
      <c r="C1475" t="s">
        <v>8046</v>
      </c>
      <c r="L1475" s="4" t="s">
        <v>3473</v>
      </c>
    </row>
    <row r="1476" spans="1:12" x14ac:dyDescent="0.3">
      <c r="A1476" t="s">
        <v>668</v>
      </c>
      <c r="B1476" t="s">
        <v>362</v>
      </c>
      <c r="C1476" t="s">
        <v>1417</v>
      </c>
      <c r="L1476" s="3" t="s">
        <v>3475</v>
      </c>
    </row>
    <row r="1477" spans="1:12" x14ac:dyDescent="0.3">
      <c r="A1477" t="s">
        <v>521</v>
      </c>
      <c r="B1477" t="s">
        <v>5138</v>
      </c>
      <c r="C1477" t="s">
        <v>8268</v>
      </c>
      <c r="L1477" s="4" t="s">
        <v>3477</v>
      </c>
    </row>
    <row r="1478" spans="1:12" x14ac:dyDescent="0.3">
      <c r="A1478" t="s">
        <v>521</v>
      </c>
      <c r="B1478" t="s">
        <v>7473</v>
      </c>
      <c r="C1478" t="s">
        <v>668</v>
      </c>
      <c r="L1478" s="3" t="s">
        <v>3479</v>
      </c>
    </row>
    <row r="1479" spans="1:12" x14ac:dyDescent="0.3">
      <c r="A1479" t="s">
        <v>362</v>
      </c>
      <c r="B1479" t="s">
        <v>7104</v>
      </c>
      <c r="C1479" t="s">
        <v>668</v>
      </c>
      <c r="L1479" s="4" t="s">
        <v>3481</v>
      </c>
    </row>
    <row r="1480" spans="1:12" x14ac:dyDescent="0.3">
      <c r="A1480" t="s">
        <v>521</v>
      </c>
      <c r="B1480" t="s">
        <v>497</v>
      </c>
      <c r="C1480" t="s">
        <v>7104</v>
      </c>
      <c r="L1480" s="3" t="s">
        <v>3483</v>
      </c>
    </row>
    <row r="1481" spans="1:12" x14ac:dyDescent="0.3">
      <c r="A1481" t="s">
        <v>668</v>
      </c>
      <c r="B1481" t="s">
        <v>668</v>
      </c>
      <c r="C1481" t="s">
        <v>1417</v>
      </c>
      <c r="L1481" s="4" t="s">
        <v>3486</v>
      </c>
    </row>
    <row r="1482" spans="1:12" x14ac:dyDescent="0.3">
      <c r="A1482" t="s">
        <v>668</v>
      </c>
      <c r="B1482" t="s">
        <v>1417</v>
      </c>
      <c r="C1482" t="s">
        <v>8267</v>
      </c>
      <c r="L1482" s="3" t="s">
        <v>3488</v>
      </c>
    </row>
    <row r="1483" spans="1:12" x14ac:dyDescent="0.3">
      <c r="A1483" t="s">
        <v>521</v>
      </c>
      <c r="B1483" t="s">
        <v>7104</v>
      </c>
      <c r="C1483" t="s">
        <v>5138</v>
      </c>
      <c r="L1483" s="4" t="s">
        <v>3490</v>
      </c>
    </row>
    <row r="1484" spans="1:12" x14ac:dyDescent="0.3">
      <c r="A1484" t="s">
        <v>521</v>
      </c>
      <c r="B1484" t="s">
        <v>7473</v>
      </c>
      <c r="C1484" t="s">
        <v>7104</v>
      </c>
      <c r="L1484" s="3" t="s">
        <v>3492</v>
      </c>
    </row>
    <row r="1485" spans="1:12" x14ac:dyDescent="0.3">
      <c r="A1485" t="s">
        <v>1417</v>
      </c>
      <c r="B1485" t="s">
        <v>497</v>
      </c>
      <c r="C1485" t="s">
        <v>1417</v>
      </c>
      <c r="L1485" s="4" t="s">
        <v>3494</v>
      </c>
    </row>
    <row r="1486" spans="1:12" x14ac:dyDescent="0.3">
      <c r="A1486" t="s">
        <v>521</v>
      </c>
      <c r="B1486" t="s">
        <v>1417</v>
      </c>
      <c r="C1486" t="s">
        <v>2701</v>
      </c>
      <c r="L1486" s="3" t="s">
        <v>3496</v>
      </c>
    </row>
    <row r="1487" spans="1:12" x14ac:dyDescent="0.3">
      <c r="A1487" t="s">
        <v>668</v>
      </c>
      <c r="B1487" t="s">
        <v>8268</v>
      </c>
      <c r="C1487" t="s">
        <v>4380</v>
      </c>
      <c r="L1487" s="4" t="s">
        <v>3498</v>
      </c>
    </row>
    <row r="1488" spans="1:12" x14ac:dyDescent="0.3">
      <c r="A1488" t="s">
        <v>1417</v>
      </c>
      <c r="B1488" t="s">
        <v>668</v>
      </c>
      <c r="C1488" t="s">
        <v>8046</v>
      </c>
      <c r="L1488" s="3" t="s">
        <v>3500</v>
      </c>
    </row>
    <row r="1489" spans="1:12" x14ac:dyDescent="0.3">
      <c r="A1489" t="s">
        <v>521</v>
      </c>
      <c r="B1489" t="s">
        <v>5138</v>
      </c>
      <c r="C1489" t="s">
        <v>2701</v>
      </c>
      <c r="L1489" s="4" t="s">
        <v>3502</v>
      </c>
    </row>
    <row r="1490" spans="1:12" x14ac:dyDescent="0.3">
      <c r="A1490" t="s">
        <v>5524</v>
      </c>
      <c r="B1490" t="s">
        <v>5524</v>
      </c>
      <c r="C1490" t="s">
        <v>8046</v>
      </c>
      <c r="L1490" s="3" t="s">
        <v>3504</v>
      </c>
    </row>
    <row r="1491" spans="1:12" x14ac:dyDescent="0.3">
      <c r="A1491" t="s">
        <v>521</v>
      </c>
      <c r="B1491" t="s">
        <v>4380</v>
      </c>
      <c r="C1491" t="s">
        <v>5043</v>
      </c>
      <c r="L1491" s="4" t="s">
        <v>3506</v>
      </c>
    </row>
    <row r="1492" spans="1:12" x14ac:dyDescent="0.3">
      <c r="A1492" t="s">
        <v>1417</v>
      </c>
      <c r="B1492" t="s">
        <v>362</v>
      </c>
      <c r="C1492" t="s">
        <v>5043</v>
      </c>
      <c r="L1492" s="3" t="s">
        <v>3508</v>
      </c>
    </row>
    <row r="1493" spans="1:12" x14ac:dyDescent="0.3">
      <c r="A1493" t="s">
        <v>521</v>
      </c>
      <c r="B1493" t="s">
        <v>668</v>
      </c>
      <c r="C1493" t="s">
        <v>8268</v>
      </c>
      <c r="L1493" s="4" t="s">
        <v>3510</v>
      </c>
    </row>
    <row r="1494" spans="1:12" x14ac:dyDescent="0.3">
      <c r="A1494" t="s">
        <v>521</v>
      </c>
      <c r="B1494" t="s">
        <v>7104</v>
      </c>
      <c r="C1494" t="s">
        <v>4380</v>
      </c>
      <c r="L1494" s="3" t="s">
        <v>3512</v>
      </c>
    </row>
    <row r="1495" spans="1:12" x14ac:dyDescent="0.3">
      <c r="A1495" t="s">
        <v>521</v>
      </c>
      <c r="B1495" t="s">
        <v>1417</v>
      </c>
      <c r="C1495" t="s">
        <v>7104</v>
      </c>
      <c r="L1495" s="4" t="s">
        <v>3514</v>
      </c>
    </row>
    <row r="1496" spans="1:12" x14ac:dyDescent="0.3">
      <c r="A1496" t="s">
        <v>521</v>
      </c>
      <c r="B1496" t="s">
        <v>8268</v>
      </c>
      <c r="C1496" t="s">
        <v>7473</v>
      </c>
      <c r="L1496" s="3" t="s">
        <v>3516</v>
      </c>
    </row>
    <row r="1497" spans="1:12" x14ac:dyDescent="0.3">
      <c r="A1497" t="s">
        <v>521</v>
      </c>
      <c r="B1497" t="s">
        <v>4380</v>
      </c>
      <c r="C1497" t="s">
        <v>1417</v>
      </c>
      <c r="L1497" s="4" t="s">
        <v>3518</v>
      </c>
    </row>
    <row r="1498" spans="1:12" x14ac:dyDescent="0.3">
      <c r="A1498" t="s">
        <v>362</v>
      </c>
      <c r="B1498" t="s">
        <v>7473</v>
      </c>
      <c r="C1498" t="s">
        <v>7473</v>
      </c>
      <c r="L1498" s="3" t="s">
        <v>3521</v>
      </c>
    </row>
    <row r="1499" spans="1:12" x14ac:dyDescent="0.3">
      <c r="A1499" t="s">
        <v>521</v>
      </c>
      <c r="B1499" t="s">
        <v>4380</v>
      </c>
      <c r="C1499" t="s">
        <v>7104</v>
      </c>
      <c r="L1499" s="4" t="s">
        <v>3523</v>
      </c>
    </row>
    <row r="1500" spans="1:12" x14ac:dyDescent="0.3">
      <c r="A1500" t="s">
        <v>668</v>
      </c>
      <c r="B1500" t="s">
        <v>8268</v>
      </c>
      <c r="C1500" t="s">
        <v>8269</v>
      </c>
      <c r="L1500" s="3" t="s">
        <v>3525</v>
      </c>
    </row>
    <row r="1501" spans="1:12" x14ac:dyDescent="0.3">
      <c r="A1501" t="s">
        <v>8268</v>
      </c>
      <c r="B1501" t="s">
        <v>1417</v>
      </c>
      <c r="C1501" t="s">
        <v>1417</v>
      </c>
      <c r="L1501" s="4" t="s">
        <v>3528</v>
      </c>
    </row>
    <row r="1502" spans="1:12" x14ac:dyDescent="0.3">
      <c r="A1502" t="s">
        <v>1417</v>
      </c>
      <c r="B1502" t="s">
        <v>7104</v>
      </c>
      <c r="C1502" t="s">
        <v>4380</v>
      </c>
      <c r="L1502" s="3" t="s">
        <v>3530</v>
      </c>
    </row>
    <row r="1503" spans="1:12" x14ac:dyDescent="0.3">
      <c r="A1503" t="s">
        <v>8268</v>
      </c>
      <c r="B1503" t="s">
        <v>668</v>
      </c>
      <c r="C1503" t="s">
        <v>4380</v>
      </c>
      <c r="L1503" s="4" t="s">
        <v>3532</v>
      </c>
    </row>
    <row r="1504" spans="1:12" x14ac:dyDescent="0.3">
      <c r="A1504" t="s">
        <v>521</v>
      </c>
      <c r="B1504" t="s">
        <v>8266</v>
      </c>
      <c r="C1504" t="s">
        <v>7473</v>
      </c>
      <c r="L1504" s="3" t="s">
        <v>3534</v>
      </c>
    </row>
    <row r="1505" spans="1:12" x14ac:dyDescent="0.3">
      <c r="A1505" t="s">
        <v>8268</v>
      </c>
      <c r="B1505" t="s">
        <v>362</v>
      </c>
      <c r="C1505" t="s">
        <v>4380</v>
      </c>
      <c r="L1505" s="4" t="s">
        <v>3536</v>
      </c>
    </row>
    <row r="1506" spans="1:12" x14ac:dyDescent="0.3">
      <c r="A1506" t="s">
        <v>5524</v>
      </c>
      <c r="B1506" t="s">
        <v>8269</v>
      </c>
      <c r="C1506" t="s">
        <v>7104</v>
      </c>
      <c r="L1506" s="3" t="s">
        <v>3539</v>
      </c>
    </row>
    <row r="1507" spans="1:12" x14ac:dyDescent="0.3">
      <c r="A1507" t="s">
        <v>362</v>
      </c>
      <c r="B1507" t="s">
        <v>7473</v>
      </c>
      <c r="C1507" t="s">
        <v>497</v>
      </c>
      <c r="L1507" s="4" t="s">
        <v>3541</v>
      </c>
    </row>
    <row r="1508" spans="1:12" x14ac:dyDescent="0.3">
      <c r="A1508" t="s">
        <v>1417</v>
      </c>
      <c r="B1508" t="s">
        <v>5043</v>
      </c>
      <c r="C1508" t="s">
        <v>8267</v>
      </c>
      <c r="L1508" s="3" t="s">
        <v>3543</v>
      </c>
    </row>
    <row r="1509" spans="1:12" x14ac:dyDescent="0.3">
      <c r="A1509" t="s">
        <v>1417</v>
      </c>
      <c r="B1509" t="s">
        <v>8268</v>
      </c>
      <c r="C1509" t="s">
        <v>8266</v>
      </c>
      <c r="L1509" s="4" t="s">
        <v>3545</v>
      </c>
    </row>
    <row r="1510" spans="1:12" x14ac:dyDescent="0.3">
      <c r="A1510" t="s">
        <v>521</v>
      </c>
      <c r="B1510" t="s">
        <v>1417</v>
      </c>
      <c r="C1510" t="s">
        <v>7473</v>
      </c>
      <c r="L1510" s="3" t="s">
        <v>3547</v>
      </c>
    </row>
    <row r="1511" spans="1:12" x14ac:dyDescent="0.3">
      <c r="A1511" t="s">
        <v>521</v>
      </c>
      <c r="B1511" t="s">
        <v>4380</v>
      </c>
      <c r="C1511" t="s">
        <v>4380</v>
      </c>
      <c r="L1511" s="4" t="s">
        <v>3549</v>
      </c>
    </row>
    <row r="1512" spans="1:12" x14ac:dyDescent="0.3">
      <c r="A1512" t="s">
        <v>8268</v>
      </c>
      <c r="B1512" t="s">
        <v>362</v>
      </c>
      <c r="C1512" t="s">
        <v>7473</v>
      </c>
      <c r="L1512" s="3" t="s">
        <v>3551</v>
      </c>
    </row>
    <row r="1513" spans="1:12" x14ac:dyDescent="0.3">
      <c r="A1513" t="s">
        <v>521</v>
      </c>
      <c r="B1513" t="s">
        <v>668</v>
      </c>
      <c r="C1513" t="s">
        <v>8266</v>
      </c>
      <c r="L1513" s="4" t="s">
        <v>3553</v>
      </c>
    </row>
    <row r="1514" spans="1:12" x14ac:dyDescent="0.3">
      <c r="A1514" t="s">
        <v>668</v>
      </c>
      <c r="B1514" t="s">
        <v>8266</v>
      </c>
      <c r="C1514" t="s">
        <v>1417</v>
      </c>
      <c r="L1514" s="3" t="s">
        <v>3555</v>
      </c>
    </row>
    <row r="1515" spans="1:12" x14ac:dyDescent="0.3">
      <c r="A1515" t="s">
        <v>1417</v>
      </c>
      <c r="B1515" t="s">
        <v>497</v>
      </c>
      <c r="C1515" t="s">
        <v>5138</v>
      </c>
      <c r="L1515" s="4" t="s">
        <v>3557</v>
      </c>
    </row>
    <row r="1516" spans="1:12" x14ac:dyDescent="0.3">
      <c r="A1516" t="s">
        <v>1417</v>
      </c>
      <c r="B1516" t="s">
        <v>1417</v>
      </c>
      <c r="C1516" t="s">
        <v>668</v>
      </c>
      <c r="L1516" s="3" t="s">
        <v>3559</v>
      </c>
    </row>
    <row r="1517" spans="1:12" x14ac:dyDescent="0.3">
      <c r="A1517" t="s">
        <v>521</v>
      </c>
      <c r="B1517" t="s">
        <v>668</v>
      </c>
      <c r="C1517" t="s">
        <v>8046</v>
      </c>
      <c r="L1517" s="4" t="s">
        <v>3561</v>
      </c>
    </row>
    <row r="1518" spans="1:12" x14ac:dyDescent="0.3">
      <c r="A1518" t="s">
        <v>521</v>
      </c>
      <c r="B1518" t="s">
        <v>668</v>
      </c>
      <c r="C1518" t="s">
        <v>8267</v>
      </c>
      <c r="L1518" s="3" t="s">
        <v>3563</v>
      </c>
    </row>
    <row r="1519" spans="1:12" x14ac:dyDescent="0.3">
      <c r="A1519" t="s">
        <v>362</v>
      </c>
      <c r="B1519" t="s">
        <v>8268</v>
      </c>
      <c r="C1519" t="s">
        <v>8046</v>
      </c>
      <c r="L1519" s="4" t="s">
        <v>3565</v>
      </c>
    </row>
    <row r="1520" spans="1:12" x14ac:dyDescent="0.3">
      <c r="A1520" t="s">
        <v>1417</v>
      </c>
      <c r="B1520" t="s">
        <v>8268</v>
      </c>
      <c r="C1520" t="s">
        <v>668</v>
      </c>
      <c r="L1520" s="3" t="s">
        <v>3568</v>
      </c>
    </row>
    <row r="1521" spans="1:12" x14ac:dyDescent="0.3">
      <c r="A1521" t="s">
        <v>1417</v>
      </c>
      <c r="B1521" t="s">
        <v>1417</v>
      </c>
      <c r="C1521" t="s">
        <v>4380</v>
      </c>
      <c r="L1521" s="4" t="s">
        <v>3570</v>
      </c>
    </row>
    <row r="1522" spans="1:12" x14ac:dyDescent="0.3">
      <c r="A1522" t="s">
        <v>362</v>
      </c>
      <c r="B1522" t="s">
        <v>4843</v>
      </c>
      <c r="C1522" t="s">
        <v>8269</v>
      </c>
      <c r="L1522" s="3" t="s">
        <v>3572</v>
      </c>
    </row>
    <row r="1523" spans="1:12" x14ac:dyDescent="0.3">
      <c r="A1523" t="s">
        <v>668</v>
      </c>
      <c r="B1523" t="s">
        <v>362</v>
      </c>
      <c r="C1523" t="s">
        <v>8266</v>
      </c>
      <c r="L1523" s="4" t="s">
        <v>3574</v>
      </c>
    </row>
    <row r="1524" spans="1:12" x14ac:dyDescent="0.3">
      <c r="A1524" t="s">
        <v>5524</v>
      </c>
      <c r="B1524" t="s">
        <v>7473</v>
      </c>
      <c r="C1524" t="s">
        <v>4380</v>
      </c>
      <c r="L1524" s="3" t="s">
        <v>3576</v>
      </c>
    </row>
    <row r="1525" spans="1:12" x14ac:dyDescent="0.3">
      <c r="A1525" t="s">
        <v>5524</v>
      </c>
      <c r="B1525" t="s">
        <v>1417</v>
      </c>
      <c r="C1525" t="s">
        <v>7473</v>
      </c>
      <c r="L1525" s="4" t="s">
        <v>3578</v>
      </c>
    </row>
    <row r="1526" spans="1:12" x14ac:dyDescent="0.3">
      <c r="A1526" t="s">
        <v>1417</v>
      </c>
      <c r="B1526" t="s">
        <v>362</v>
      </c>
      <c r="C1526" t="s">
        <v>4380</v>
      </c>
      <c r="L1526" s="3" t="s">
        <v>3581</v>
      </c>
    </row>
    <row r="1527" spans="1:12" x14ac:dyDescent="0.3">
      <c r="A1527" t="s">
        <v>521</v>
      </c>
      <c r="B1527" t="s">
        <v>1417</v>
      </c>
      <c r="C1527" t="s">
        <v>1417</v>
      </c>
      <c r="L1527" s="4" t="s">
        <v>3583</v>
      </c>
    </row>
    <row r="1528" spans="1:12" x14ac:dyDescent="0.3">
      <c r="A1528" t="s">
        <v>521</v>
      </c>
      <c r="B1528" t="s">
        <v>8267</v>
      </c>
      <c r="C1528" t="s">
        <v>8268</v>
      </c>
      <c r="L1528" s="3" t="s">
        <v>3586</v>
      </c>
    </row>
    <row r="1529" spans="1:12" x14ac:dyDescent="0.3">
      <c r="A1529" t="s">
        <v>362</v>
      </c>
      <c r="B1529" t="s">
        <v>497</v>
      </c>
      <c r="C1529" t="s">
        <v>8267</v>
      </c>
      <c r="L1529" s="4" t="s">
        <v>3588</v>
      </c>
    </row>
    <row r="1530" spans="1:12" x14ac:dyDescent="0.3">
      <c r="A1530" t="s">
        <v>521</v>
      </c>
      <c r="B1530" t="s">
        <v>668</v>
      </c>
      <c r="C1530" t="s">
        <v>8268</v>
      </c>
      <c r="L1530" s="3" t="s">
        <v>3590</v>
      </c>
    </row>
    <row r="1531" spans="1:12" x14ac:dyDescent="0.3">
      <c r="A1531" t="s">
        <v>1417</v>
      </c>
      <c r="B1531" t="s">
        <v>7104</v>
      </c>
      <c r="C1531" t="s">
        <v>5138</v>
      </c>
      <c r="L1531" s="4" t="s">
        <v>3592</v>
      </c>
    </row>
    <row r="1532" spans="1:12" x14ac:dyDescent="0.3">
      <c r="A1532" t="s">
        <v>521</v>
      </c>
      <c r="B1532" t="s">
        <v>1417</v>
      </c>
      <c r="C1532" t="s">
        <v>5138</v>
      </c>
      <c r="L1532" s="3" t="s">
        <v>3594</v>
      </c>
    </row>
    <row r="1533" spans="1:12" x14ac:dyDescent="0.3">
      <c r="A1533" t="s">
        <v>8268</v>
      </c>
      <c r="B1533" t="s">
        <v>5138</v>
      </c>
      <c r="C1533" t="s">
        <v>497</v>
      </c>
      <c r="L1533" s="4" t="s">
        <v>3596</v>
      </c>
    </row>
    <row r="1534" spans="1:12" x14ac:dyDescent="0.3">
      <c r="A1534" t="s">
        <v>521</v>
      </c>
      <c r="B1534" t="s">
        <v>4843</v>
      </c>
      <c r="C1534" t="s">
        <v>8266</v>
      </c>
      <c r="L1534" s="3" t="s">
        <v>3598</v>
      </c>
    </row>
    <row r="1535" spans="1:12" x14ac:dyDescent="0.3">
      <c r="A1535" t="s">
        <v>1417</v>
      </c>
      <c r="B1535" t="s">
        <v>1417</v>
      </c>
      <c r="C1535" t="s">
        <v>8267</v>
      </c>
      <c r="L1535" s="4" t="s">
        <v>3600</v>
      </c>
    </row>
    <row r="1536" spans="1:12" x14ac:dyDescent="0.3">
      <c r="A1536" t="s">
        <v>521</v>
      </c>
      <c r="B1536" t="s">
        <v>8267</v>
      </c>
      <c r="C1536" t="s">
        <v>8266</v>
      </c>
      <c r="L1536" s="3" t="s">
        <v>3602</v>
      </c>
    </row>
    <row r="1537" spans="1:12" x14ac:dyDescent="0.3">
      <c r="A1537" t="s">
        <v>668</v>
      </c>
      <c r="B1537" t="s">
        <v>8268</v>
      </c>
      <c r="C1537" t="s">
        <v>7104</v>
      </c>
      <c r="L1537" s="4" t="s">
        <v>3604</v>
      </c>
    </row>
    <row r="1538" spans="1:12" x14ac:dyDescent="0.3">
      <c r="A1538" t="s">
        <v>521</v>
      </c>
      <c r="B1538" t="s">
        <v>7473</v>
      </c>
      <c r="C1538" t="s">
        <v>7473</v>
      </c>
      <c r="L1538" s="3" t="s">
        <v>3606</v>
      </c>
    </row>
    <row r="1539" spans="1:12" x14ac:dyDescent="0.3">
      <c r="A1539" t="s">
        <v>521</v>
      </c>
      <c r="B1539" t="s">
        <v>7473</v>
      </c>
      <c r="C1539" t="s">
        <v>668</v>
      </c>
      <c r="L1539" s="4" t="s">
        <v>3608</v>
      </c>
    </row>
    <row r="1540" spans="1:12" x14ac:dyDescent="0.3">
      <c r="A1540" t="s">
        <v>1417</v>
      </c>
      <c r="B1540" t="s">
        <v>1417</v>
      </c>
      <c r="C1540" t="s">
        <v>668</v>
      </c>
      <c r="L1540" s="3" t="s">
        <v>3610</v>
      </c>
    </row>
    <row r="1541" spans="1:12" x14ac:dyDescent="0.3">
      <c r="A1541" t="s">
        <v>668</v>
      </c>
      <c r="B1541" t="s">
        <v>4843</v>
      </c>
      <c r="C1541" t="s">
        <v>4380</v>
      </c>
      <c r="L1541" s="4" t="s">
        <v>3612</v>
      </c>
    </row>
    <row r="1542" spans="1:12" x14ac:dyDescent="0.3">
      <c r="A1542" t="s">
        <v>668</v>
      </c>
      <c r="B1542" t="s">
        <v>7473</v>
      </c>
      <c r="C1542" t="s">
        <v>8046</v>
      </c>
      <c r="L1542" s="3" t="s">
        <v>3614</v>
      </c>
    </row>
    <row r="1543" spans="1:12" x14ac:dyDescent="0.3">
      <c r="A1543" t="s">
        <v>1417</v>
      </c>
      <c r="B1543" t="s">
        <v>7473</v>
      </c>
      <c r="C1543" t="s">
        <v>8046</v>
      </c>
      <c r="L1543" s="4" t="s">
        <v>3616</v>
      </c>
    </row>
    <row r="1544" spans="1:12" x14ac:dyDescent="0.3">
      <c r="A1544" t="s">
        <v>362</v>
      </c>
      <c r="B1544" t="s">
        <v>7473</v>
      </c>
      <c r="C1544" t="s">
        <v>5138</v>
      </c>
      <c r="L1544" s="3" t="s">
        <v>3618</v>
      </c>
    </row>
    <row r="1545" spans="1:12" x14ac:dyDescent="0.3">
      <c r="A1545" t="s">
        <v>668</v>
      </c>
      <c r="B1545" t="s">
        <v>1417</v>
      </c>
      <c r="C1545" t="s">
        <v>8267</v>
      </c>
      <c r="L1545" s="4" t="s">
        <v>3620</v>
      </c>
    </row>
    <row r="1546" spans="1:12" x14ac:dyDescent="0.3">
      <c r="A1546" t="s">
        <v>668</v>
      </c>
      <c r="B1546" t="s">
        <v>2701</v>
      </c>
      <c r="C1546" t="s">
        <v>6171</v>
      </c>
      <c r="L1546" s="3" t="s">
        <v>3623</v>
      </c>
    </row>
    <row r="1547" spans="1:12" x14ac:dyDescent="0.3">
      <c r="A1547" t="s">
        <v>668</v>
      </c>
      <c r="B1547" t="s">
        <v>8268</v>
      </c>
      <c r="C1547" t="s">
        <v>7473</v>
      </c>
      <c r="L1547" s="4" t="s">
        <v>3626</v>
      </c>
    </row>
    <row r="1548" spans="1:12" x14ac:dyDescent="0.3">
      <c r="A1548" t="s">
        <v>668</v>
      </c>
      <c r="B1548" t="s">
        <v>497</v>
      </c>
      <c r="C1548" t="s">
        <v>497</v>
      </c>
      <c r="L1548" s="3" t="s">
        <v>3628</v>
      </c>
    </row>
    <row r="1549" spans="1:12" x14ac:dyDescent="0.3">
      <c r="A1549" t="s">
        <v>2701</v>
      </c>
      <c r="B1549" t="s">
        <v>1417</v>
      </c>
      <c r="C1549" t="s">
        <v>7473</v>
      </c>
      <c r="L1549" s="4" t="s">
        <v>3630</v>
      </c>
    </row>
    <row r="1550" spans="1:12" x14ac:dyDescent="0.3">
      <c r="A1550" t="s">
        <v>5524</v>
      </c>
      <c r="B1550" t="s">
        <v>1417</v>
      </c>
      <c r="C1550" t="s">
        <v>1417</v>
      </c>
      <c r="L1550" s="3" t="s">
        <v>3632</v>
      </c>
    </row>
    <row r="1551" spans="1:12" x14ac:dyDescent="0.3">
      <c r="A1551" t="s">
        <v>521</v>
      </c>
      <c r="B1551" t="s">
        <v>1417</v>
      </c>
      <c r="C1551" t="s">
        <v>8268</v>
      </c>
      <c r="L1551" s="4" t="s">
        <v>3634</v>
      </c>
    </row>
    <row r="1552" spans="1:12" x14ac:dyDescent="0.3">
      <c r="A1552" t="s">
        <v>668</v>
      </c>
      <c r="B1552" t="s">
        <v>8267</v>
      </c>
      <c r="C1552" t="s">
        <v>7104</v>
      </c>
      <c r="L1552" s="3" t="s">
        <v>3636</v>
      </c>
    </row>
    <row r="1553" spans="1:12" x14ac:dyDescent="0.3">
      <c r="A1553" t="s">
        <v>521</v>
      </c>
      <c r="B1553" t="s">
        <v>8268</v>
      </c>
      <c r="C1553" t="s">
        <v>497</v>
      </c>
      <c r="L1553" s="4" t="s">
        <v>3638</v>
      </c>
    </row>
    <row r="1554" spans="1:12" x14ac:dyDescent="0.3">
      <c r="A1554" t="s">
        <v>8266</v>
      </c>
      <c r="B1554" t="s">
        <v>7473</v>
      </c>
      <c r="C1554" t="s">
        <v>8267</v>
      </c>
      <c r="L1554" s="3" t="s">
        <v>3640</v>
      </c>
    </row>
    <row r="1555" spans="1:12" x14ac:dyDescent="0.3">
      <c r="A1555" t="s">
        <v>362</v>
      </c>
      <c r="B1555" t="s">
        <v>7473</v>
      </c>
      <c r="C1555" t="s">
        <v>5043</v>
      </c>
      <c r="L1555" s="4" t="s">
        <v>3643</v>
      </c>
    </row>
    <row r="1556" spans="1:12" x14ac:dyDescent="0.3">
      <c r="A1556" t="s">
        <v>8266</v>
      </c>
      <c r="B1556" t="s">
        <v>7473</v>
      </c>
      <c r="C1556" t="s">
        <v>4843</v>
      </c>
      <c r="L1556" s="3" t="s">
        <v>3645</v>
      </c>
    </row>
    <row r="1557" spans="1:12" x14ac:dyDescent="0.3">
      <c r="A1557" t="s">
        <v>521</v>
      </c>
      <c r="B1557" t="s">
        <v>668</v>
      </c>
      <c r="C1557" t="s">
        <v>1417</v>
      </c>
      <c r="L1557" s="4" t="s">
        <v>3647</v>
      </c>
    </row>
    <row r="1558" spans="1:12" x14ac:dyDescent="0.3">
      <c r="A1558" t="s">
        <v>521</v>
      </c>
      <c r="B1558" t="s">
        <v>497</v>
      </c>
      <c r="C1558" t="s">
        <v>7104</v>
      </c>
      <c r="L1558" s="3" t="s">
        <v>3649</v>
      </c>
    </row>
    <row r="1559" spans="1:12" x14ac:dyDescent="0.3">
      <c r="A1559" t="s">
        <v>1417</v>
      </c>
      <c r="B1559" t="s">
        <v>497</v>
      </c>
      <c r="C1559" t="s">
        <v>2701</v>
      </c>
      <c r="L1559" s="4" t="s">
        <v>3651</v>
      </c>
    </row>
    <row r="1560" spans="1:12" x14ac:dyDescent="0.3">
      <c r="A1560" t="s">
        <v>8268</v>
      </c>
      <c r="B1560" t="s">
        <v>4843</v>
      </c>
      <c r="C1560" t="s">
        <v>1417</v>
      </c>
      <c r="L1560" s="3" t="s">
        <v>3653</v>
      </c>
    </row>
    <row r="1561" spans="1:12" x14ac:dyDescent="0.3">
      <c r="A1561" t="s">
        <v>521</v>
      </c>
      <c r="B1561" t="s">
        <v>8268</v>
      </c>
      <c r="C1561" t="s">
        <v>497</v>
      </c>
      <c r="L1561" s="4" t="s">
        <v>3655</v>
      </c>
    </row>
    <row r="1562" spans="1:12" x14ac:dyDescent="0.3">
      <c r="A1562" t="s">
        <v>521</v>
      </c>
      <c r="B1562" t="s">
        <v>7473</v>
      </c>
      <c r="C1562" t="s">
        <v>8268</v>
      </c>
      <c r="L1562" s="3" t="s">
        <v>3657</v>
      </c>
    </row>
    <row r="1563" spans="1:12" x14ac:dyDescent="0.3">
      <c r="A1563" t="s">
        <v>668</v>
      </c>
      <c r="B1563" t="s">
        <v>362</v>
      </c>
      <c r="C1563" t="s">
        <v>5138</v>
      </c>
      <c r="L1563" s="4" t="s">
        <v>3659</v>
      </c>
    </row>
    <row r="1564" spans="1:12" x14ac:dyDescent="0.3">
      <c r="A1564" t="s">
        <v>1417</v>
      </c>
      <c r="B1564" t="s">
        <v>7104</v>
      </c>
      <c r="C1564" t="s">
        <v>1417</v>
      </c>
      <c r="L1564" s="3" t="s">
        <v>3661</v>
      </c>
    </row>
    <row r="1565" spans="1:12" x14ac:dyDescent="0.3">
      <c r="A1565" t="s">
        <v>521</v>
      </c>
      <c r="B1565" t="s">
        <v>8268</v>
      </c>
      <c r="C1565" t="s">
        <v>497</v>
      </c>
      <c r="L1565" s="4" t="s">
        <v>3663</v>
      </c>
    </row>
    <row r="1566" spans="1:12" x14ac:dyDescent="0.3">
      <c r="A1566" t="s">
        <v>521</v>
      </c>
      <c r="B1566" t="s">
        <v>362</v>
      </c>
      <c r="C1566" t="s">
        <v>4380</v>
      </c>
      <c r="L1566" s="3" t="s">
        <v>3665</v>
      </c>
    </row>
    <row r="1567" spans="1:12" x14ac:dyDescent="0.3">
      <c r="A1567" t="s">
        <v>668</v>
      </c>
      <c r="B1567" t="s">
        <v>668</v>
      </c>
      <c r="C1567" t="s">
        <v>1417</v>
      </c>
      <c r="L1567" s="4" t="s">
        <v>3667</v>
      </c>
    </row>
    <row r="1568" spans="1:12" x14ac:dyDescent="0.3">
      <c r="A1568" t="s">
        <v>668</v>
      </c>
      <c r="B1568" t="s">
        <v>7473</v>
      </c>
      <c r="C1568" t="s">
        <v>1417</v>
      </c>
      <c r="L1568" s="3" t="s">
        <v>3670</v>
      </c>
    </row>
    <row r="1569" spans="1:12" x14ac:dyDescent="0.3">
      <c r="A1569" t="s">
        <v>4843</v>
      </c>
      <c r="B1569" t="s">
        <v>668</v>
      </c>
      <c r="C1569" t="s">
        <v>8266</v>
      </c>
      <c r="L1569" s="4" t="s">
        <v>3674</v>
      </c>
    </row>
    <row r="1570" spans="1:12" x14ac:dyDescent="0.3">
      <c r="A1570" t="s">
        <v>1417</v>
      </c>
      <c r="B1570" t="s">
        <v>8266</v>
      </c>
      <c r="C1570" t="s">
        <v>7473</v>
      </c>
      <c r="L1570" s="3" t="s">
        <v>3676</v>
      </c>
    </row>
    <row r="1571" spans="1:12" x14ac:dyDescent="0.3">
      <c r="A1571" t="s">
        <v>1417</v>
      </c>
      <c r="B1571" t="s">
        <v>1417</v>
      </c>
      <c r="C1571" t="s">
        <v>1417</v>
      </c>
      <c r="L1571" s="4" t="s">
        <v>3678</v>
      </c>
    </row>
    <row r="1572" spans="1:12" x14ac:dyDescent="0.3">
      <c r="A1572" t="s">
        <v>521</v>
      </c>
      <c r="B1572" t="s">
        <v>8268</v>
      </c>
      <c r="C1572" t="s">
        <v>8046</v>
      </c>
      <c r="L1572" s="3" t="s">
        <v>3680</v>
      </c>
    </row>
    <row r="1573" spans="1:12" x14ac:dyDescent="0.3">
      <c r="A1573" t="s">
        <v>1417</v>
      </c>
      <c r="B1573" t="s">
        <v>1417</v>
      </c>
      <c r="C1573" t="s">
        <v>5138</v>
      </c>
      <c r="L1573" s="4" t="s">
        <v>3682</v>
      </c>
    </row>
    <row r="1574" spans="1:12" x14ac:dyDescent="0.3">
      <c r="A1574" t="s">
        <v>668</v>
      </c>
      <c r="B1574" t="s">
        <v>1417</v>
      </c>
      <c r="C1574" t="s">
        <v>7473</v>
      </c>
      <c r="L1574" s="3" t="s">
        <v>3684</v>
      </c>
    </row>
    <row r="1575" spans="1:12" x14ac:dyDescent="0.3">
      <c r="A1575" t="s">
        <v>1417</v>
      </c>
      <c r="B1575" t="s">
        <v>8268</v>
      </c>
      <c r="C1575" t="s">
        <v>7104</v>
      </c>
      <c r="L1575" s="4" t="s">
        <v>3686</v>
      </c>
    </row>
    <row r="1576" spans="1:12" x14ac:dyDescent="0.3">
      <c r="A1576" t="s">
        <v>521</v>
      </c>
      <c r="B1576" t="s">
        <v>8267</v>
      </c>
      <c r="C1576" t="s">
        <v>8267</v>
      </c>
      <c r="L1576" s="3" t="s">
        <v>3688</v>
      </c>
    </row>
    <row r="1577" spans="1:12" x14ac:dyDescent="0.3">
      <c r="A1577" t="s">
        <v>5524</v>
      </c>
      <c r="B1577" t="s">
        <v>4380</v>
      </c>
      <c r="C1577" t="s">
        <v>8267</v>
      </c>
      <c r="L1577" s="4" t="s">
        <v>3690</v>
      </c>
    </row>
    <row r="1578" spans="1:12" x14ac:dyDescent="0.3">
      <c r="A1578" t="s">
        <v>1417</v>
      </c>
      <c r="B1578" t="s">
        <v>497</v>
      </c>
      <c r="C1578" t="s">
        <v>8046</v>
      </c>
      <c r="L1578" s="3" t="s">
        <v>3692</v>
      </c>
    </row>
    <row r="1579" spans="1:12" x14ac:dyDescent="0.3">
      <c r="A1579" t="s">
        <v>521</v>
      </c>
      <c r="B1579" t="s">
        <v>1417</v>
      </c>
      <c r="C1579" t="s">
        <v>1417</v>
      </c>
      <c r="L1579" s="4" t="s">
        <v>3695</v>
      </c>
    </row>
    <row r="1580" spans="1:12" x14ac:dyDescent="0.3">
      <c r="A1580" t="s">
        <v>362</v>
      </c>
      <c r="B1580" t="s">
        <v>5043</v>
      </c>
      <c r="C1580" t="s">
        <v>8046</v>
      </c>
      <c r="L1580" s="3" t="s">
        <v>3697</v>
      </c>
    </row>
    <row r="1581" spans="1:12" x14ac:dyDescent="0.3">
      <c r="A1581" t="s">
        <v>1417</v>
      </c>
      <c r="B1581" t="s">
        <v>7473</v>
      </c>
      <c r="C1581" t="s">
        <v>4380</v>
      </c>
      <c r="L1581" s="4" t="s">
        <v>3700</v>
      </c>
    </row>
    <row r="1582" spans="1:12" x14ac:dyDescent="0.3">
      <c r="A1582" t="s">
        <v>668</v>
      </c>
      <c r="B1582" t="s">
        <v>1417</v>
      </c>
      <c r="C1582" t="s">
        <v>1417</v>
      </c>
      <c r="L1582" s="3" t="s">
        <v>3704</v>
      </c>
    </row>
    <row r="1583" spans="1:12" x14ac:dyDescent="0.3">
      <c r="A1583" t="s">
        <v>8268</v>
      </c>
      <c r="B1583" t="s">
        <v>2701</v>
      </c>
      <c r="C1583" t="s">
        <v>7473</v>
      </c>
      <c r="L1583" s="4" t="s">
        <v>3707</v>
      </c>
    </row>
    <row r="1584" spans="1:12" x14ac:dyDescent="0.3">
      <c r="A1584" t="s">
        <v>521</v>
      </c>
      <c r="B1584" t="s">
        <v>668</v>
      </c>
      <c r="C1584" t="s">
        <v>5138</v>
      </c>
      <c r="L1584" s="3" t="s">
        <v>3709</v>
      </c>
    </row>
    <row r="1585" spans="1:12" x14ac:dyDescent="0.3">
      <c r="A1585" t="s">
        <v>362</v>
      </c>
      <c r="B1585" t="s">
        <v>8268</v>
      </c>
      <c r="C1585" t="s">
        <v>7473</v>
      </c>
      <c r="L1585" s="4" t="s">
        <v>3711</v>
      </c>
    </row>
    <row r="1586" spans="1:12" x14ac:dyDescent="0.3">
      <c r="A1586" t="s">
        <v>668</v>
      </c>
      <c r="B1586" t="s">
        <v>2701</v>
      </c>
      <c r="C1586" t="s">
        <v>7473</v>
      </c>
      <c r="L1586" s="3" t="s">
        <v>3713</v>
      </c>
    </row>
    <row r="1587" spans="1:12" x14ac:dyDescent="0.3">
      <c r="A1587" t="s">
        <v>668</v>
      </c>
      <c r="B1587" t="s">
        <v>1417</v>
      </c>
      <c r="C1587" t="s">
        <v>7473</v>
      </c>
      <c r="L1587" s="4" t="s">
        <v>3715</v>
      </c>
    </row>
    <row r="1588" spans="1:12" x14ac:dyDescent="0.3">
      <c r="A1588" t="s">
        <v>668</v>
      </c>
      <c r="B1588" t="s">
        <v>8266</v>
      </c>
      <c r="C1588" t="s">
        <v>8266</v>
      </c>
      <c r="L1588" s="3" t="s">
        <v>3717</v>
      </c>
    </row>
    <row r="1589" spans="1:12" x14ac:dyDescent="0.3">
      <c r="A1589" t="s">
        <v>668</v>
      </c>
      <c r="B1589" t="s">
        <v>362</v>
      </c>
      <c r="C1589" t="s">
        <v>1417</v>
      </c>
      <c r="L1589" s="4" t="s">
        <v>3719</v>
      </c>
    </row>
    <row r="1590" spans="1:12" x14ac:dyDescent="0.3">
      <c r="A1590" t="s">
        <v>362</v>
      </c>
      <c r="B1590" t="s">
        <v>1417</v>
      </c>
      <c r="C1590" t="s">
        <v>7104</v>
      </c>
      <c r="L1590" s="3" t="s">
        <v>3721</v>
      </c>
    </row>
    <row r="1591" spans="1:12" x14ac:dyDescent="0.3">
      <c r="A1591" t="s">
        <v>521</v>
      </c>
      <c r="B1591" t="s">
        <v>497</v>
      </c>
      <c r="C1591" t="s">
        <v>5138</v>
      </c>
      <c r="L1591" s="4" t="s">
        <v>3723</v>
      </c>
    </row>
    <row r="1592" spans="1:12" x14ac:dyDescent="0.3">
      <c r="A1592" t="s">
        <v>1417</v>
      </c>
      <c r="B1592" t="s">
        <v>5043</v>
      </c>
      <c r="C1592" t="s">
        <v>497</v>
      </c>
      <c r="L1592" s="3" t="s">
        <v>3726</v>
      </c>
    </row>
    <row r="1593" spans="1:12" x14ac:dyDescent="0.3">
      <c r="A1593" t="s">
        <v>1417</v>
      </c>
      <c r="B1593" t="s">
        <v>1417</v>
      </c>
      <c r="C1593" t="s">
        <v>6902</v>
      </c>
      <c r="L1593" s="4" t="s">
        <v>3728</v>
      </c>
    </row>
    <row r="1594" spans="1:12" x14ac:dyDescent="0.3">
      <c r="A1594" t="s">
        <v>5524</v>
      </c>
      <c r="B1594" t="s">
        <v>1417</v>
      </c>
      <c r="C1594" t="s">
        <v>7473</v>
      </c>
      <c r="L1594" s="3" t="s">
        <v>3731</v>
      </c>
    </row>
    <row r="1595" spans="1:12" x14ac:dyDescent="0.3">
      <c r="A1595" t="s">
        <v>521</v>
      </c>
      <c r="B1595" t="s">
        <v>8268</v>
      </c>
      <c r="C1595" t="s">
        <v>4380</v>
      </c>
      <c r="L1595" s="4" t="s">
        <v>3734</v>
      </c>
    </row>
    <row r="1596" spans="1:12" x14ac:dyDescent="0.3">
      <c r="A1596" t="s">
        <v>5524</v>
      </c>
      <c r="B1596" t="s">
        <v>362</v>
      </c>
      <c r="C1596" t="s">
        <v>8269</v>
      </c>
      <c r="L1596" s="3" t="s">
        <v>3736</v>
      </c>
    </row>
    <row r="1597" spans="1:12" x14ac:dyDescent="0.3">
      <c r="A1597" t="s">
        <v>668</v>
      </c>
      <c r="B1597" t="s">
        <v>1417</v>
      </c>
      <c r="C1597" t="s">
        <v>5043</v>
      </c>
      <c r="L1597" s="4" t="s">
        <v>3738</v>
      </c>
    </row>
    <row r="1598" spans="1:12" x14ac:dyDescent="0.3">
      <c r="A1598" t="s">
        <v>668</v>
      </c>
      <c r="B1598" t="s">
        <v>7104</v>
      </c>
      <c r="C1598" t="s">
        <v>7473</v>
      </c>
      <c r="L1598" s="3" t="s">
        <v>3740</v>
      </c>
    </row>
    <row r="1599" spans="1:12" x14ac:dyDescent="0.3">
      <c r="A1599" t="s">
        <v>362</v>
      </c>
      <c r="B1599" t="s">
        <v>4843</v>
      </c>
      <c r="C1599" t="s">
        <v>4380</v>
      </c>
      <c r="L1599" s="4" t="s">
        <v>3742</v>
      </c>
    </row>
    <row r="1600" spans="1:12" x14ac:dyDescent="0.3">
      <c r="A1600" t="s">
        <v>668</v>
      </c>
      <c r="B1600" t="s">
        <v>1417</v>
      </c>
      <c r="C1600" t="s">
        <v>4380</v>
      </c>
      <c r="L1600" s="3" t="s">
        <v>3744</v>
      </c>
    </row>
    <row r="1601" spans="1:12" x14ac:dyDescent="0.3">
      <c r="A1601" t="s">
        <v>668</v>
      </c>
      <c r="B1601" t="s">
        <v>1417</v>
      </c>
      <c r="C1601" t="s">
        <v>4380</v>
      </c>
      <c r="L1601" s="4" t="s">
        <v>3746</v>
      </c>
    </row>
    <row r="1602" spans="1:12" x14ac:dyDescent="0.3">
      <c r="A1602" t="s">
        <v>8268</v>
      </c>
      <c r="B1602" t="s">
        <v>8268</v>
      </c>
      <c r="C1602" t="s">
        <v>4380</v>
      </c>
      <c r="L1602" s="3" t="s">
        <v>3748</v>
      </c>
    </row>
    <row r="1603" spans="1:12" x14ac:dyDescent="0.3">
      <c r="A1603" t="s">
        <v>521</v>
      </c>
      <c r="B1603" t="s">
        <v>7473</v>
      </c>
      <c r="C1603" t="s">
        <v>8266</v>
      </c>
      <c r="L1603" s="4" t="s">
        <v>3750</v>
      </c>
    </row>
    <row r="1604" spans="1:12" x14ac:dyDescent="0.3">
      <c r="A1604" t="s">
        <v>362</v>
      </c>
      <c r="B1604" t="s">
        <v>8266</v>
      </c>
      <c r="C1604" t="s">
        <v>4380</v>
      </c>
      <c r="L1604" s="3" t="s">
        <v>3752</v>
      </c>
    </row>
    <row r="1605" spans="1:12" x14ac:dyDescent="0.3">
      <c r="A1605" t="s">
        <v>8268</v>
      </c>
      <c r="B1605" t="s">
        <v>1417</v>
      </c>
      <c r="C1605" t="s">
        <v>7104</v>
      </c>
      <c r="L1605" s="4" t="s">
        <v>3754</v>
      </c>
    </row>
    <row r="1606" spans="1:12" x14ac:dyDescent="0.3">
      <c r="A1606" t="s">
        <v>1417</v>
      </c>
      <c r="B1606" t="s">
        <v>1417</v>
      </c>
      <c r="C1606" t="s">
        <v>4380</v>
      </c>
      <c r="L1606" s="3" t="s">
        <v>3756</v>
      </c>
    </row>
    <row r="1607" spans="1:12" x14ac:dyDescent="0.3">
      <c r="A1607" t="s">
        <v>668</v>
      </c>
      <c r="B1607" t="s">
        <v>7473</v>
      </c>
      <c r="C1607" t="s">
        <v>497</v>
      </c>
      <c r="L1607" s="4" t="s">
        <v>3758</v>
      </c>
    </row>
    <row r="1608" spans="1:12" x14ac:dyDescent="0.3">
      <c r="A1608" t="s">
        <v>1417</v>
      </c>
      <c r="B1608" t="s">
        <v>1417</v>
      </c>
      <c r="C1608" t="s">
        <v>668</v>
      </c>
      <c r="L1608" s="3" t="s">
        <v>3760</v>
      </c>
    </row>
    <row r="1609" spans="1:12" x14ac:dyDescent="0.3">
      <c r="A1609" t="s">
        <v>668</v>
      </c>
      <c r="B1609" t="s">
        <v>1417</v>
      </c>
      <c r="C1609" t="s">
        <v>7473</v>
      </c>
      <c r="L1609" s="4" t="s">
        <v>3762</v>
      </c>
    </row>
    <row r="1610" spans="1:12" x14ac:dyDescent="0.3">
      <c r="A1610" t="s">
        <v>668</v>
      </c>
      <c r="B1610" t="s">
        <v>2701</v>
      </c>
      <c r="C1610" t="s">
        <v>1417</v>
      </c>
      <c r="L1610" s="3" t="s">
        <v>3764</v>
      </c>
    </row>
    <row r="1611" spans="1:12" x14ac:dyDescent="0.3">
      <c r="A1611" t="s">
        <v>362</v>
      </c>
      <c r="B1611" t="s">
        <v>8268</v>
      </c>
      <c r="C1611" t="s">
        <v>4380</v>
      </c>
      <c r="L1611" s="4" t="s">
        <v>3766</v>
      </c>
    </row>
    <row r="1612" spans="1:12" x14ac:dyDescent="0.3">
      <c r="A1612" t="s">
        <v>1417</v>
      </c>
      <c r="B1612" t="s">
        <v>8268</v>
      </c>
      <c r="C1612" t="s">
        <v>8267</v>
      </c>
      <c r="L1612" s="3" t="s">
        <v>3769</v>
      </c>
    </row>
    <row r="1613" spans="1:12" x14ac:dyDescent="0.3">
      <c r="A1613" t="s">
        <v>1417</v>
      </c>
      <c r="B1613" t="s">
        <v>362</v>
      </c>
      <c r="C1613" t="s">
        <v>4380</v>
      </c>
      <c r="L1613" s="4" t="s">
        <v>3771</v>
      </c>
    </row>
    <row r="1614" spans="1:12" x14ac:dyDescent="0.3">
      <c r="A1614" t="s">
        <v>1417</v>
      </c>
      <c r="B1614" t="s">
        <v>668</v>
      </c>
      <c r="C1614" t="s">
        <v>7473</v>
      </c>
      <c r="L1614" s="3" t="s">
        <v>3773</v>
      </c>
    </row>
    <row r="1615" spans="1:12" x14ac:dyDescent="0.3">
      <c r="A1615" t="s">
        <v>668</v>
      </c>
      <c r="B1615" t="s">
        <v>1417</v>
      </c>
      <c r="C1615" t="s">
        <v>7473</v>
      </c>
      <c r="L1615" s="4" t="s">
        <v>3775</v>
      </c>
    </row>
    <row r="1616" spans="1:12" x14ac:dyDescent="0.3">
      <c r="A1616" t="s">
        <v>668</v>
      </c>
      <c r="B1616" t="s">
        <v>1417</v>
      </c>
      <c r="C1616" t="s">
        <v>4380</v>
      </c>
      <c r="L1616" s="3" t="s">
        <v>3777</v>
      </c>
    </row>
    <row r="1617" spans="1:12" x14ac:dyDescent="0.3">
      <c r="A1617" t="s">
        <v>521</v>
      </c>
      <c r="B1617" t="s">
        <v>8268</v>
      </c>
      <c r="C1617" t="s">
        <v>7473</v>
      </c>
      <c r="L1617" s="4" t="s">
        <v>3780</v>
      </c>
    </row>
    <row r="1618" spans="1:12" x14ac:dyDescent="0.3">
      <c r="A1618" t="s">
        <v>668</v>
      </c>
      <c r="B1618" t="s">
        <v>2701</v>
      </c>
      <c r="C1618" t="s">
        <v>4380</v>
      </c>
      <c r="L1618" s="3" t="s">
        <v>3782</v>
      </c>
    </row>
    <row r="1619" spans="1:12" x14ac:dyDescent="0.3">
      <c r="A1619" t="s">
        <v>668</v>
      </c>
      <c r="B1619" t="s">
        <v>362</v>
      </c>
      <c r="C1619" t="s">
        <v>7104</v>
      </c>
      <c r="L1619" s="4" t="s">
        <v>3784</v>
      </c>
    </row>
    <row r="1620" spans="1:12" x14ac:dyDescent="0.3">
      <c r="A1620" t="s">
        <v>668</v>
      </c>
      <c r="B1620" t="s">
        <v>1417</v>
      </c>
      <c r="C1620" t="s">
        <v>5138</v>
      </c>
      <c r="L1620" s="3" t="s">
        <v>3786</v>
      </c>
    </row>
    <row r="1621" spans="1:12" x14ac:dyDescent="0.3">
      <c r="A1621" t="s">
        <v>668</v>
      </c>
      <c r="B1621" t="s">
        <v>2701</v>
      </c>
      <c r="C1621" t="s">
        <v>8268</v>
      </c>
      <c r="L1621" s="4" t="s">
        <v>3789</v>
      </c>
    </row>
    <row r="1622" spans="1:12" x14ac:dyDescent="0.3">
      <c r="A1622" t="s">
        <v>1417</v>
      </c>
      <c r="B1622" t="s">
        <v>7473</v>
      </c>
      <c r="C1622" t="s">
        <v>2701</v>
      </c>
      <c r="L1622" s="3" t="s">
        <v>3791</v>
      </c>
    </row>
    <row r="1623" spans="1:12" x14ac:dyDescent="0.3">
      <c r="A1623" t="s">
        <v>521</v>
      </c>
      <c r="B1623" t="s">
        <v>8266</v>
      </c>
      <c r="C1623" t="s">
        <v>19</v>
      </c>
      <c r="L1623" s="4" t="s">
        <v>3793</v>
      </c>
    </row>
    <row r="1624" spans="1:12" x14ac:dyDescent="0.3">
      <c r="A1624" t="s">
        <v>668</v>
      </c>
      <c r="B1624" t="s">
        <v>2701</v>
      </c>
      <c r="C1624" t="s">
        <v>4380</v>
      </c>
      <c r="L1624" s="3" t="s">
        <v>3795</v>
      </c>
    </row>
    <row r="1625" spans="1:12" x14ac:dyDescent="0.3">
      <c r="A1625" t="s">
        <v>1417</v>
      </c>
      <c r="B1625" t="s">
        <v>1417</v>
      </c>
      <c r="C1625" t="s">
        <v>1417</v>
      </c>
      <c r="L1625" s="4" t="s">
        <v>3797</v>
      </c>
    </row>
    <row r="1626" spans="1:12" x14ac:dyDescent="0.3">
      <c r="A1626" t="s">
        <v>668</v>
      </c>
      <c r="B1626" t="s">
        <v>362</v>
      </c>
      <c r="C1626" t="s">
        <v>4380</v>
      </c>
      <c r="L1626" s="3" t="s">
        <v>3799</v>
      </c>
    </row>
    <row r="1627" spans="1:12" x14ac:dyDescent="0.3">
      <c r="A1627" t="s">
        <v>362</v>
      </c>
      <c r="B1627" t="s">
        <v>497</v>
      </c>
      <c r="C1627" t="s">
        <v>7104</v>
      </c>
      <c r="L1627" s="4" t="s">
        <v>3801</v>
      </c>
    </row>
    <row r="1628" spans="1:12" x14ac:dyDescent="0.3">
      <c r="A1628" t="s">
        <v>668</v>
      </c>
      <c r="B1628" t="s">
        <v>362</v>
      </c>
      <c r="C1628" t="s">
        <v>4380</v>
      </c>
      <c r="L1628" s="3" t="s">
        <v>3804</v>
      </c>
    </row>
    <row r="1629" spans="1:12" x14ac:dyDescent="0.3">
      <c r="A1629" t="s">
        <v>668</v>
      </c>
      <c r="B1629" t="s">
        <v>8268</v>
      </c>
      <c r="C1629" t="s">
        <v>497</v>
      </c>
      <c r="L1629" s="4" t="s">
        <v>3806</v>
      </c>
    </row>
    <row r="1630" spans="1:12" x14ac:dyDescent="0.3">
      <c r="A1630" t="s">
        <v>362</v>
      </c>
      <c r="B1630" t="s">
        <v>2701</v>
      </c>
      <c r="C1630" t="s">
        <v>7473</v>
      </c>
      <c r="L1630" s="3" t="s">
        <v>3808</v>
      </c>
    </row>
    <row r="1631" spans="1:12" x14ac:dyDescent="0.3">
      <c r="A1631" t="s">
        <v>5524</v>
      </c>
      <c r="B1631" t="s">
        <v>7473</v>
      </c>
      <c r="C1631" t="s">
        <v>1417</v>
      </c>
      <c r="L1631" s="4" t="s">
        <v>3810</v>
      </c>
    </row>
    <row r="1632" spans="1:12" x14ac:dyDescent="0.3">
      <c r="A1632" t="s">
        <v>1417</v>
      </c>
      <c r="B1632" t="s">
        <v>668</v>
      </c>
      <c r="C1632" t="s">
        <v>5043</v>
      </c>
      <c r="L1632" s="3" t="s">
        <v>3813</v>
      </c>
    </row>
    <row r="1633" spans="1:12" x14ac:dyDescent="0.3">
      <c r="A1633" t="s">
        <v>521</v>
      </c>
      <c r="B1633" t="s">
        <v>497</v>
      </c>
      <c r="C1633" t="s">
        <v>8046</v>
      </c>
      <c r="L1633" s="4" t="s">
        <v>3815</v>
      </c>
    </row>
    <row r="1634" spans="1:12" x14ac:dyDescent="0.3">
      <c r="A1634" t="s">
        <v>668</v>
      </c>
      <c r="B1634" t="s">
        <v>1417</v>
      </c>
      <c r="C1634" t="s">
        <v>5043</v>
      </c>
      <c r="L1634" s="3" t="s">
        <v>3817</v>
      </c>
    </row>
    <row r="1635" spans="1:12" x14ac:dyDescent="0.3">
      <c r="A1635" t="s">
        <v>668</v>
      </c>
      <c r="B1635" t="s">
        <v>1417</v>
      </c>
      <c r="C1635" t="s">
        <v>7473</v>
      </c>
      <c r="L1635" s="4" t="s">
        <v>3819</v>
      </c>
    </row>
    <row r="1636" spans="1:12" x14ac:dyDescent="0.3">
      <c r="A1636" t="s">
        <v>521</v>
      </c>
      <c r="B1636" t="s">
        <v>4380</v>
      </c>
      <c r="C1636" t="s">
        <v>1417</v>
      </c>
      <c r="L1636" s="3" t="s">
        <v>3821</v>
      </c>
    </row>
    <row r="1637" spans="1:12" x14ac:dyDescent="0.3">
      <c r="A1637" t="s">
        <v>4843</v>
      </c>
      <c r="B1637" t="s">
        <v>8268</v>
      </c>
      <c r="C1637" t="s">
        <v>1417</v>
      </c>
      <c r="L1637" s="4" t="s">
        <v>3823</v>
      </c>
    </row>
    <row r="1638" spans="1:12" x14ac:dyDescent="0.3">
      <c r="A1638" t="s">
        <v>1417</v>
      </c>
      <c r="B1638" t="s">
        <v>8046</v>
      </c>
      <c r="C1638" t="s">
        <v>7104</v>
      </c>
      <c r="L1638" s="3" t="s">
        <v>3825</v>
      </c>
    </row>
    <row r="1639" spans="1:12" x14ac:dyDescent="0.3">
      <c r="A1639" t="s">
        <v>362</v>
      </c>
      <c r="B1639" t="s">
        <v>1417</v>
      </c>
      <c r="C1639" t="s">
        <v>8046</v>
      </c>
      <c r="L1639" s="4" t="s">
        <v>3827</v>
      </c>
    </row>
    <row r="1640" spans="1:12" x14ac:dyDescent="0.3">
      <c r="A1640" t="s">
        <v>1417</v>
      </c>
      <c r="B1640" t="s">
        <v>8268</v>
      </c>
      <c r="C1640" t="s">
        <v>7104</v>
      </c>
      <c r="L1640" s="3" t="s">
        <v>3829</v>
      </c>
    </row>
    <row r="1641" spans="1:12" x14ac:dyDescent="0.3">
      <c r="A1641" t="s">
        <v>668</v>
      </c>
      <c r="B1641" t="s">
        <v>7473</v>
      </c>
      <c r="C1641" t="s">
        <v>8266</v>
      </c>
      <c r="L1641" s="4" t="s">
        <v>3831</v>
      </c>
    </row>
    <row r="1642" spans="1:12" x14ac:dyDescent="0.3">
      <c r="A1642" t="s">
        <v>521</v>
      </c>
      <c r="B1642" t="s">
        <v>8268</v>
      </c>
      <c r="C1642" t="s">
        <v>4380</v>
      </c>
      <c r="L1642" s="3" t="s">
        <v>3833</v>
      </c>
    </row>
    <row r="1643" spans="1:12" x14ac:dyDescent="0.3">
      <c r="A1643" t="s">
        <v>668</v>
      </c>
      <c r="B1643" t="s">
        <v>1417</v>
      </c>
      <c r="C1643" t="s">
        <v>1417</v>
      </c>
      <c r="L1643" s="4" t="s">
        <v>3835</v>
      </c>
    </row>
    <row r="1644" spans="1:12" x14ac:dyDescent="0.3">
      <c r="A1644" t="s">
        <v>4843</v>
      </c>
      <c r="B1644" t="s">
        <v>1417</v>
      </c>
      <c r="C1644" t="s">
        <v>4380</v>
      </c>
      <c r="L1644" s="3" t="s">
        <v>3837</v>
      </c>
    </row>
    <row r="1645" spans="1:12" x14ac:dyDescent="0.3">
      <c r="A1645" t="s">
        <v>5524</v>
      </c>
      <c r="B1645" t="s">
        <v>1417</v>
      </c>
      <c r="C1645" t="s">
        <v>1417</v>
      </c>
      <c r="L1645" s="4" t="s">
        <v>3840</v>
      </c>
    </row>
    <row r="1646" spans="1:12" x14ac:dyDescent="0.3">
      <c r="A1646" t="s">
        <v>521</v>
      </c>
      <c r="B1646" t="s">
        <v>362</v>
      </c>
      <c r="C1646" t="s">
        <v>4380</v>
      </c>
      <c r="L1646" s="3" t="s">
        <v>3843</v>
      </c>
    </row>
    <row r="1647" spans="1:12" x14ac:dyDescent="0.3">
      <c r="A1647" t="s">
        <v>1417</v>
      </c>
      <c r="B1647" t="s">
        <v>8268</v>
      </c>
      <c r="C1647" t="s">
        <v>7473</v>
      </c>
      <c r="L1647" s="4" t="s">
        <v>3845</v>
      </c>
    </row>
    <row r="1648" spans="1:12" x14ac:dyDescent="0.3">
      <c r="A1648" t="s">
        <v>2701</v>
      </c>
      <c r="B1648" t="s">
        <v>362</v>
      </c>
      <c r="C1648" t="s">
        <v>497</v>
      </c>
      <c r="L1648" s="3" t="s">
        <v>3847</v>
      </c>
    </row>
    <row r="1649" spans="1:12" x14ac:dyDescent="0.3">
      <c r="A1649" t="s">
        <v>1417</v>
      </c>
      <c r="B1649" t="s">
        <v>7104</v>
      </c>
      <c r="C1649" t="s">
        <v>7473</v>
      </c>
      <c r="L1649" s="4" t="s">
        <v>3849</v>
      </c>
    </row>
    <row r="1650" spans="1:12" x14ac:dyDescent="0.3">
      <c r="A1650" t="s">
        <v>668</v>
      </c>
      <c r="B1650" t="s">
        <v>8268</v>
      </c>
      <c r="C1650" t="s">
        <v>4380</v>
      </c>
      <c r="L1650" s="3" t="s">
        <v>3851</v>
      </c>
    </row>
    <row r="1651" spans="1:12" x14ac:dyDescent="0.3">
      <c r="A1651" t="s">
        <v>1417</v>
      </c>
      <c r="B1651" t="s">
        <v>5524</v>
      </c>
      <c r="C1651" t="s">
        <v>5043</v>
      </c>
      <c r="L1651" s="4" t="s">
        <v>3853</v>
      </c>
    </row>
    <row r="1652" spans="1:12" x14ac:dyDescent="0.3">
      <c r="A1652" t="s">
        <v>1417</v>
      </c>
      <c r="B1652" t="s">
        <v>668</v>
      </c>
      <c r="C1652" t="s">
        <v>8266</v>
      </c>
      <c r="L1652" s="3" t="s">
        <v>3857</v>
      </c>
    </row>
    <row r="1653" spans="1:12" x14ac:dyDescent="0.3">
      <c r="A1653" t="s">
        <v>668</v>
      </c>
      <c r="B1653" t="s">
        <v>1417</v>
      </c>
      <c r="C1653" t="s">
        <v>6902</v>
      </c>
      <c r="L1653" s="4" t="s">
        <v>3859</v>
      </c>
    </row>
    <row r="1654" spans="1:12" x14ac:dyDescent="0.3">
      <c r="A1654" t="s">
        <v>2701</v>
      </c>
      <c r="B1654" t="s">
        <v>8046</v>
      </c>
      <c r="C1654" t="s">
        <v>8046</v>
      </c>
      <c r="L1654" s="3" t="s">
        <v>3862</v>
      </c>
    </row>
    <row r="1655" spans="1:12" x14ac:dyDescent="0.3">
      <c r="A1655" t="s">
        <v>497</v>
      </c>
      <c r="B1655" t="s">
        <v>1417</v>
      </c>
      <c r="C1655" t="s">
        <v>1417</v>
      </c>
      <c r="L1655" s="4" t="s">
        <v>3864</v>
      </c>
    </row>
    <row r="1656" spans="1:12" x14ac:dyDescent="0.3">
      <c r="A1656" t="s">
        <v>668</v>
      </c>
      <c r="B1656" t="s">
        <v>4843</v>
      </c>
      <c r="C1656" t="s">
        <v>8266</v>
      </c>
      <c r="L1656" s="3" t="s">
        <v>3866</v>
      </c>
    </row>
    <row r="1657" spans="1:12" x14ac:dyDescent="0.3">
      <c r="A1657" t="s">
        <v>521</v>
      </c>
      <c r="B1657" t="s">
        <v>1417</v>
      </c>
      <c r="C1657" t="s">
        <v>5043</v>
      </c>
      <c r="L1657" s="4" t="s">
        <v>3868</v>
      </c>
    </row>
    <row r="1658" spans="1:12" x14ac:dyDescent="0.3">
      <c r="A1658" t="s">
        <v>521</v>
      </c>
      <c r="B1658" t="s">
        <v>4843</v>
      </c>
      <c r="C1658" t="s">
        <v>4380</v>
      </c>
      <c r="L1658" s="3" t="s">
        <v>3870</v>
      </c>
    </row>
    <row r="1659" spans="1:12" x14ac:dyDescent="0.3">
      <c r="A1659" t="s">
        <v>668</v>
      </c>
      <c r="B1659" t="s">
        <v>5043</v>
      </c>
      <c r="C1659" t="s">
        <v>7473</v>
      </c>
      <c r="L1659" s="4" t="s">
        <v>3872</v>
      </c>
    </row>
    <row r="1660" spans="1:12" x14ac:dyDescent="0.3">
      <c r="A1660" t="s">
        <v>521</v>
      </c>
      <c r="B1660" t="s">
        <v>1417</v>
      </c>
      <c r="C1660" t="s">
        <v>7473</v>
      </c>
      <c r="L1660" s="3" t="s">
        <v>3874</v>
      </c>
    </row>
    <row r="1661" spans="1:12" x14ac:dyDescent="0.3">
      <c r="A1661" t="s">
        <v>1417</v>
      </c>
      <c r="B1661" t="s">
        <v>1417</v>
      </c>
      <c r="C1661" t="s">
        <v>7473</v>
      </c>
      <c r="L1661" s="4" t="s">
        <v>3877</v>
      </c>
    </row>
    <row r="1662" spans="1:12" x14ac:dyDescent="0.3">
      <c r="A1662" t="s">
        <v>521</v>
      </c>
      <c r="B1662" t="s">
        <v>1417</v>
      </c>
      <c r="C1662" t="s">
        <v>1417</v>
      </c>
      <c r="L1662" s="3" t="s">
        <v>3879</v>
      </c>
    </row>
    <row r="1663" spans="1:12" x14ac:dyDescent="0.3">
      <c r="A1663" t="s">
        <v>668</v>
      </c>
      <c r="B1663" t="s">
        <v>668</v>
      </c>
      <c r="C1663" t="s">
        <v>5138</v>
      </c>
      <c r="L1663" s="4" t="s">
        <v>3881</v>
      </c>
    </row>
    <row r="1664" spans="1:12" x14ac:dyDescent="0.3">
      <c r="A1664" t="s">
        <v>1417</v>
      </c>
      <c r="B1664" t="s">
        <v>668</v>
      </c>
      <c r="C1664" t="s">
        <v>7104</v>
      </c>
      <c r="L1664" s="3" t="s">
        <v>3883</v>
      </c>
    </row>
    <row r="1665" spans="1:12" x14ac:dyDescent="0.3">
      <c r="A1665" t="s">
        <v>1417</v>
      </c>
      <c r="B1665" t="s">
        <v>7473</v>
      </c>
      <c r="C1665" t="s">
        <v>5138</v>
      </c>
      <c r="L1665" s="4" t="s">
        <v>3885</v>
      </c>
    </row>
    <row r="1666" spans="1:12" x14ac:dyDescent="0.3">
      <c r="A1666" t="s">
        <v>668</v>
      </c>
      <c r="B1666" t="s">
        <v>1417</v>
      </c>
      <c r="C1666" t="s">
        <v>7104</v>
      </c>
      <c r="L1666" s="3" t="s">
        <v>3888</v>
      </c>
    </row>
    <row r="1667" spans="1:12" x14ac:dyDescent="0.3">
      <c r="A1667" t="s">
        <v>8268</v>
      </c>
      <c r="B1667" t="s">
        <v>1417</v>
      </c>
      <c r="C1667" t="s">
        <v>1417</v>
      </c>
      <c r="L1667" s="4" t="s">
        <v>3890</v>
      </c>
    </row>
    <row r="1668" spans="1:12" x14ac:dyDescent="0.3">
      <c r="A1668" t="s">
        <v>668</v>
      </c>
      <c r="B1668" t="s">
        <v>497</v>
      </c>
      <c r="C1668" t="s">
        <v>668</v>
      </c>
      <c r="L1668" s="3" t="s">
        <v>3892</v>
      </c>
    </row>
    <row r="1669" spans="1:12" x14ac:dyDescent="0.3">
      <c r="A1669" t="s">
        <v>521</v>
      </c>
      <c r="B1669" t="s">
        <v>8266</v>
      </c>
      <c r="C1669" t="s">
        <v>2701</v>
      </c>
      <c r="L1669" s="4" t="s">
        <v>3894</v>
      </c>
    </row>
    <row r="1670" spans="1:12" x14ac:dyDescent="0.3">
      <c r="A1670" t="s">
        <v>8268</v>
      </c>
      <c r="B1670" t="s">
        <v>4843</v>
      </c>
      <c r="C1670" t="s">
        <v>8267</v>
      </c>
      <c r="L1670" s="3" t="s">
        <v>3896</v>
      </c>
    </row>
    <row r="1671" spans="1:12" x14ac:dyDescent="0.3">
      <c r="A1671" t="s">
        <v>668</v>
      </c>
      <c r="B1671" t="s">
        <v>8268</v>
      </c>
      <c r="C1671" t="s">
        <v>497</v>
      </c>
      <c r="L1671" s="4" t="s">
        <v>3898</v>
      </c>
    </row>
    <row r="1672" spans="1:12" x14ac:dyDescent="0.3">
      <c r="A1672" t="s">
        <v>362</v>
      </c>
      <c r="B1672" t="s">
        <v>362</v>
      </c>
      <c r="C1672" t="s">
        <v>1417</v>
      </c>
      <c r="L1672" s="3" t="s">
        <v>3900</v>
      </c>
    </row>
    <row r="1673" spans="1:12" x14ac:dyDescent="0.3">
      <c r="A1673" t="s">
        <v>668</v>
      </c>
      <c r="B1673" t="s">
        <v>4843</v>
      </c>
      <c r="C1673" t="s">
        <v>8266</v>
      </c>
      <c r="L1673" s="4" t="s">
        <v>3902</v>
      </c>
    </row>
    <row r="1674" spans="1:12" x14ac:dyDescent="0.3">
      <c r="A1674" t="s">
        <v>668</v>
      </c>
      <c r="B1674" t="s">
        <v>1417</v>
      </c>
      <c r="C1674" t="s">
        <v>6171</v>
      </c>
      <c r="L1674" s="3" t="s">
        <v>3904</v>
      </c>
    </row>
    <row r="1675" spans="1:12" x14ac:dyDescent="0.3">
      <c r="A1675" t="s">
        <v>5524</v>
      </c>
      <c r="B1675" t="s">
        <v>668</v>
      </c>
      <c r="C1675" t="s">
        <v>4380</v>
      </c>
      <c r="L1675" s="4" t="s">
        <v>3906</v>
      </c>
    </row>
    <row r="1676" spans="1:12" x14ac:dyDescent="0.3">
      <c r="A1676" t="s">
        <v>1417</v>
      </c>
      <c r="B1676" t="s">
        <v>8268</v>
      </c>
      <c r="C1676" t="s">
        <v>4843</v>
      </c>
      <c r="L1676" s="3" t="s">
        <v>3908</v>
      </c>
    </row>
    <row r="1677" spans="1:12" x14ac:dyDescent="0.3">
      <c r="A1677" t="s">
        <v>521</v>
      </c>
      <c r="B1677" t="s">
        <v>4380</v>
      </c>
      <c r="C1677" t="s">
        <v>4380</v>
      </c>
      <c r="L1677" s="4" t="s">
        <v>3910</v>
      </c>
    </row>
    <row r="1678" spans="1:12" x14ac:dyDescent="0.3">
      <c r="A1678" t="s">
        <v>668</v>
      </c>
      <c r="B1678" t="s">
        <v>668</v>
      </c>
      <c r="C1678" t="s">
        <v>1417</v>
      </c>
      <c r="L1678" s="3" t="s">
        <v>3913</v>
      </c>
    </row>
    <row r="1679" spans="1:12" x14ac:dyDescent="0.3">
      <c r="A1679" t="s">
        <v>2701</v>
      </c>
      <c r="B1679" t="s">
        <v>1417</v>
      </c>
      <c r="C1679" t="s">
        <v>7104</v>
      </c>
      <c r="L1679" s="4" t="s">
        <v>3915</v>
      </c>
    </row>
    <row r="1680" spans="1:12" x14ac:dyDescent="0.3">
      <c r="A1680" t="s">
        <v>362</v>
      </c>
      <c r="B1680" t="s">
        <v>1417</v>
      </c>
      <c r="C1680" t="s">
        <v>1417</v>
      </c>
      <c r="L1680" s="3" t="s">
        <v>3917</v>
      </c>
    </row>
    <row r="1681" spans="1:12" x14ac:dyDescent="0.3">
      <c r="A1681" t="s">
        <v>668</v>
      </c>
      <c r="B1681" t="s">
        <v>2701</v>
      </c>
      <c r="C1681" t="s">
        <v>2701</v>
      </c>
      <c r="L1681" s="4" t="s">
        <v>3919</v>
      </c>
    </row>
    <row r="1682" spans="1:12" x14ac:dyDescent="0.3">
      <c r="A1682" t="s">
        <v>668</v>
      </c>
      <c r="B1682" t="s">
        <v>7473</v>
      </c>
      <c r="C1682" t="s">
        <v>2701</v>
      </c>
      <c r="L1682" s="3" t="s">
        <v>3922</v>
      </c>
    </row>
    <row r="1683" spans="1:12" x14ac:dyDescent="0.3">
      <c r="A1683" t="s">
        <v>668</v>
      </c>
      <c r="B1683" t="s">
        <v>4843</v>
      </c>
      <c r="C1683" t="s">
        <v>497</v>
      </c>
      <c r="L1683" s="4" t="s">
        <v>3924</v>
      </c>
    </row>
    <row r="1684" spans="1:12" x14ac:dyDescent="0.3">
      <c r="A1684" t="s">
        <v>8268</v>
      </c>
      <c r="B1684" t="s">
        <v>1417</v>
      </c>
      <c r="C1684" t="s">
        <v>7473</v>
      </c>
      <c r="L1684" s="3" t="s">
        <v>3927</v>
      </c>
    </row>
    <row r="1685" spans="1:12" x14ac:dyDescent="0.3">
      <c r="A1685" t="s">
        <v>521</v>
      </c>
      <c r="B1685" t="s">
        <v>4380</v>
      </c>
      <c r="C1685" t="s">
        <v>8268</v>
      </c>
      <c r="L1685" s="4" t="s">
        <v>3929</v>
      </c>
    </row>
    <row r="1686" spans="1:12" x14ac:dyDescent="0.3">
      <c r="A1686" t="s">
        <v>521</v>
      </c>
      <c r="B1686" t="s">
        <v>7473</v>
      </c>
      <c r="C1686" t="s">
        <v>5043</v>
      </c>
      <c r="L1686" s="3" t="s">
        <v>3931</v>
      </c>
    </row>
    <row r="1687" spans="1:12" x14ac:dyDescent="0.3">
      <c r="A1687" t="s">
        <v>521</v>
      </c>
      <c r="B1687" t="s">
        <v>362</v>
      </c>
      <c r="C1687" t="s">
        <v>1417</v>
      </c>
      <c r="L1687" s="4" t="s">
        <v>3933</v>
      </c>
    </row>
    <row r="1688" spans="1:12" x14ac:dyDescent="0.3">
      <c r="A1688" t="s">
        <v>521</v>
      </c>
      <c r="B1688" t="s">
        <v>7473</v>
      </c>
      <c r="C1688" t="s">
        <v>7473</v>
      </c>
      <c r="L1688" s="3" t="s">
        <v>3935</v>
      </c>
    </row>
    <row r="1689" spans="1:12" x14ac:dyDescent="0.3">
      <c r="A1689" t="s">
        <v>521</v>
      </c>
      <c r="B1689" t="s">
        <v>8268</v>
      </c>
      <c r="C1689" t="s">
        <v>9936</v>
      </c>
      <c r="L1689" s="4" t="s">
        <v>3938</v>
      </c>
    </row>
    <row r="1690" spans="1:12" x14ac:dyDescent="0.3">
      <c r="A1690" t="s">
        <v>668</v>
      </c>
      <c r="B1690" t="s">
        <v>7473</v>
      </c>
      <c r="C1690" t="s">
        <v>8046</v>
      </c>
      <c r="L1690" s="3" t="s">
        <v>3940</v>
      </c>
    </row>
    <row r="1691" spans="1:12" x14ac:dyDescent="0.3">
      <c r="A1691" t="s">
        <v>8268</v>
      </c>
      <c r="B1691" t="s">
        <v>7104</v>
      </c>
      <c r="C1691" t="s">
        <v>8266</v>
      </c>
      <c r="L1691" s="4" t="s">
        <v>3943</v>
      </c>
    </row>
    <row r="1692" spans="1:12" x14ac:dyDescent="0.3">
      <c r="A1692" t="s">
        <v>1417</v>
      </c>
      <c r="B1692" t="s">
        <v>1417</v>
      </c>
      <c r="C1692" t="s">
        <v>4380</v>
      </c>
      <c r="L1692" s="3" t="s">
        <v>3946</v>
      </c>
    </row>
    <row r="1693" spans="1:12" x14ac:dyDescent="0.3">
      <c r="A1693" t="s">
        <v>668</v>
      </c>
      <c r="B1693" t="s">
        <v>668</v>
      </c>
      <c r="C1693" t="s">
        <v>8268</v>
      </c>
      <c r="L1693" s="4" t="s">
        <v>3948</v>
      </c>
    </row>
    <row r="1694" spans="1:12" x14ac:dyDescent="0.3">
      <c r="A1694" t="s">
        <v>1417</v>
      </c>
      <c r="B1694" t="s">
        <v>668</v>
      </c>
      <c r="C1694" t="s">
        <v>5138</v>
      </c>
      <c r="L1694" s="3" t="s">
        <v>3950</v>
      </c>
    </row>
    <row r="1695" spans="1:12" x14ac:dyDescent="0.3">
      <c r="A1695" t="s">
        <v>521</v>
      </c>
      <c r="B1695" t="s">
        <v>497</v>
      </c>
      <c r="C1695" t="s">
        <v>5138</v>
      </c>
      <c r="L1695" s="4" t="s">
        <v>3952</v>
      </c>
    </row>
    <row r="1696" spans="1:12" x14ac:dyDescent="0.3">
      <c r="A1696" t="s">
        <v>8268</v>
      </c>
      <c r="B1696" t="s">
        <v>7104</v>
      </c>
      <c r="C1696" t="s">
        <v>8046</v>
      </c>
      <c r="L1696" s="3" t="s">
        <v>3955</v>
      </c>
    </row>
    <row r="1697" spans="1:12" x14ac:dyDescent="0.3">
      <c r="A1697" t="s">
        <v>362</v>
      </c>
      <c r="B1697" t="s">
        <v>7473</v>
      </c>
      <c r="C1697" t="s">
        <v>7473</v>
      </c>
      <c r="L1697" s="4" t="s">
        <v>3957</v>
      </c>
    </row>
    <row r="1698" spans="1:12" x14ac:dyDescent="0.3">
      <c r="A1698" t="s">
        <v>668</v>
      </c>
      <c r="B1698" t="s">
        <v>4380</v>
      </c>
      <c r="C1698" t="s">
        <v>1417</v>
      </c>
      <c r="L1698" s="3" t="s">
        <v>3959</v>
      </c>
    </row>
    <row r="1699" spans="1:12" x14ac:dyDescent="0.3">
      <c r="A1699" t="s">
        <v>1417</v>
      </c>
      <c r="B1699" t="s">
        <v>5524</v>
      </c>
      <c r="C1699" t="s">
        <v>497</v>
      </c>
      <c r="L1699" s="4" t="s">
        <v>3961</v>
      </c>
    </row>
    <row r="1700" spans="1:12" x14ac:dyDescent="0.3">
      <c r="A1700" t="s">
        <v>668</v>
      </c>
      <c r="B1700" t="s">
        <v>1417</v>
      </c>
      <c r="C1700" t="s">
        <v>4380</v>
      </c>
      <c r="L1700" s="3" t="s">
        <v>3963</v>
      </c>
    </row>
    <row r="1701" spans="1:12" x14ac:dyDescent="0.3">
      <c r="A1701" t="s">
        <v>5524</v>
      </c>
      <c r="B1701" t="s">
        <v>1417</v>
      </c>
      <c r="C1701" t="s">
        <v>2701</v>
      </c>
      <c r="L1701" s="4" t="s">
        <v>3965</v>
      </c>
    </row>
    <row r="1702" spans="1:12" x14ac:dyDescent="0.3">
      <c r="A1702" t="s">
        <v>521</v>
      </c>
      <c r="B1702" t="s">
        <v>2701</v>
      </c>
      <c r="C1702" t="s">
        <v>7104</v>
      </c>
      <c r="L1702" s="3" t="s">
        <v>3968</v>
      </c>
    </row>
    <row r="1703" spans="1:12" x14ac:dyDescent="0.3">
      <c r="A1703" t="s">
        <v>1417</v>
      </c>
      <c r="B1703" t="s">
        <v>497</v>
      </c>
      <c r="C1703" t="s">
        <v>5043</v>
      </c>
      <c r="L1703" s="4" t="s">
        <v>3970</v>
      </c>
    </row>
    <row r="1704" spans="1:12" x14ac:dyDescent="0.3">
      <c r="A1704" t="s">
        <v>521</v>
      </c>
      <c r="B1704" t="s">
        <v>1417</v>
      </c>
      <c r="C1704" t="s">
        <v>1417</v>
      </c>
      <c r="L1704" s="3" t="s">
        <v>3972</v>
      </c>
    </row>
    <row r="1705" spans="1:12" x14ac:dyDescent="0.3">
      <c r="A1705" t="s">
        <v>521</v>
      </c>
      <c r="B1705" t="s">
        <v>668</v>
      </c>
      <c r="C1705" t="s">
        <v>7473</v>
      </c>
      <c r="L1705" s="4" t="s">
        <v>3974</v>
      </c>
    </row>
    <row r="1706" spans="1:12" x14ac:dyDescent="0.3">
      <c r="A1706" t="s">
        <v>1417</v>
      </c>
      <c r="B1706" t="s">
        <v>7104</v>
      </c>
      <c r="C1706" t="s">
        <v>4380</v>
      </c>
      <c r="L1706" s="3" t="s">
        <v>3977</v>
      </c>
    </row>
    <row r="1707" spans="1:12" x14ac:dyDescent="0.3">
      <c r="A1707" t="s">
        <v>668</v>
      </c>
      <c r="B1707" t="s">
        <v>2701</v>
      </c>
      <c r="C1707" t="s">
        <v>5138</v>
      </c>
      <c r="L1707" s="4" t="s">
        <v>3980</v>
      </c>
    </row>
    <row r="1708" spans="1:12" x14ac:dyDescent="0.3">
      <c r="A1708" t="s">
        <v>4843</v>
      </c>
      <c r="B1708" t="s">
        <v>1417</v>
      </c>
      <c r="C1708" t="s">
        <v>8268</v>
      </c>
      <c r="L1708" s="3" t="s">
        <v>3982</v>
      </c>
    </row>
    <row r="1709" spans="1:12" x14ac:dyDescent="0.3">
      <c r="A1709" t="s">
        <v>1417</v>
      </c>
      <c r="B1709" t="s">
        <v>2701</v>
      </c>
      <c r="C1709" t="s">
        <v>8268</v>
      </c>
      <c r="L1709" s="4" t="s">
        <v>3984</v>
      </c>
    </row>
    <row r="1710" spans="1:12" x14ac:dyDescent="0.3">
      <c r="A1710" t="s">
        <v>362</v>
      </c>
      <c r="B1710" t="s">
        <v>1417</v>
      </c>
      <c r="C1710" t="s">
        <v>5043</v>
      </c>
      <c r="L1710" s="3" t="s">
        <v>3986</v>
      </c>
    </row>
    <row r="1711" spans="1:12" x14ac:dyDescent="0.3">
      <c r="A1711" t="s">
        <v>668</v>
      </c>
      <c r="B1711" t="s">
        <v>1417</v>
      </c>
      <c r="C1711" t="s">
        <v>5043</v>
      </c>
      <c r="L1711" s="4" t="s">
        <v>3988</v>
      </c>
    </row>
    <row r="1712" spans="1:12" x14ac:dyDescent="0.3">
      <c r="A1712" t="s">
        <v>8268</v>
      </c>
      <c r="B1712" t="s">
        <v>668</v>
      </c>
      <c r="C1712" t="s">
        <v>1417</v>
      </c>
      <c r="L1712" s="3" t="s">
        <v>3990</v>
      </c>
    </row>
    <row r="1713" spans="1:12" x14ac:dyDescent="0.3">
      <c r="A1713" t="s">
        <v>8268</v>
      </c>
      <c r="B1713" t="s">
        <v>1417</v>
      </c>
      <c r="C1713" t="s">
        <v>668</v>
      </c>
      <c r="L1713" s="4" t="s">
        <v>3992</v>
      </c>
    </row>
    <row r="1714" spans="1:12" x14ac:dyDescent="0.3">
      <c r="A1714" t="s">
        <v>521</v>
      </c>
      <c r="B1714" t="s">
        <v>8268</v>
      </c>
      <c r="C1714" t="s">
        <v>8266</v>
      </c>
      <c r="L1714" s="3" t="s">
        <v>3994</v>
      </c>
    </row>
    <row r="1715" spans="1:12" x14ac:dyDescent="0.3">
      <c r="A1715" t="s">
        <v>1417</v>
      </c>
      <c r="B1715" t="s">
        <v>362</v>
      </c>
      <c r="C1715" t="s">
        <v>8268</v>
      </c>
      <c r="L1715" s="4" t="s">
        <v>3996</v>
      </c>
    </row>
    <row r="1716" spans="1:12" x14ac:dyDescent="0.3">
      <c r="A1716" t="s">
        <v>8268</v>
      </c>
      <c r="B1716" t="s">
        <v>7473</v>
      </c>
      <c r="C1716" t="s">
        <v>5138</v>
      </c>
      <c r="L1716" s="3" t="s">
        <v>3998</v>
      </c>
    </row>
    <row r="1717" spans="1:12" x14ac:dyDescent="0.3">
      <c r="A1717" t="s">
        <v>521</v>
      </c>
      <c r="B1717" t="s">
        <v>1417</v>
      </c>
      <c r="C1717" t="s">
        <v>1417</v>
      </c>
      <c r="L1717" s="4" t="s">
        <v>4000</v>
      </c>
    </row>
    <row r="1718" spans="1:12" x14ac:dyDescent="0.3">
      <c r="A1718" t="s">
        <v>1417</v>
      </c>
      <c r="B1718" t="s">
        <v>1417</v>
      </c>
      <c r="C1718" t="s">
        <v>4380</v>
      </c>
      <c r="L1718" s="3" t="s">
        <v>4003</v>
      </c>
    </row>
    <row r="1719" spans="1:12" x14ac:dyDescent="0.3">
      <c r="A1719" t="s">
        <v>521</v>
      </c>
      <c r="B1719" t="s">
        <v>1417</v>
      </c>
      <c r="C1719" t="s">
        <v>8266</v>
      </c>
      <c r="L1719" s="4" t="s">
        <v>4005</v>
      </c>
    </row>
    <row r="1720" spans="1:12" x14ac:dyDescent="0.3">
      <c r="A1720" t="s">
        <v>521</v>
      </c>
      <c r="B1720" t="s">
        <v>4380</v>
      </c>
      <c r="C1720" t="s">
        <v>8267</v>
      </c>
      <c r="L1720" s="3" t="s">
        <v>4007</v>
      </c>
    </row>
    <row r="1721" spans="1:12" x14ac:dyDescent="0.3">
      <c r="A1721" t="s">
        <v>5524</v>
      </c>
      <c r="B1721" t="s">
        <v>1417</v>
      </c>
      <c r="C1721" t="s">
        <v>7104</v>
      </c>
      <c r="L1721" s="4" t="s">
        <v>4009</v>
      </c>
    </row>
    <row r="1722" spans="1:12" x14ac:dyDescent="0.3">
      <c r="A1722" t="s">
        <v>521</v>
      </c>
      <c r="B1722" t="s">
        <v>362</v>
      </c>
      <c r="C1722" t="s">
        <v>7473</v>
      </c>
      <c r="L1722" s="3" t="s">
        <v>4011</v>
      </c>
    </row>
    <row r="1723" spans="1:12" x14ac:dyDescent="0.3">
      <c r="A1723" t="s">
        <v>521</v>
      </c>
      <c r="B1723" t="s">
        <v>1417</v>
      </c>
      <c r="C1723" t="s">
        <v>1417</v>
      </c>
      <c r="L1723" s="4" t="s">
        <v>4014</v>
      </c>
    </row>
    <row r="1724" spans="1:12" x14ac:dyDescent="0.3">
      <c r="A1724" t="s">
        <v>5524</v>
      </c>
      <c r="B1724" t="s">
        <v>1417</v>
      </c>
      <c r="C1724" t="s">
        <v>7473</v>
      </c>
      <c r="L1724" s="3" t="s">
        <v>4016</v>
      </c>
    </row>
    <row r="1725" spans="1:12" x14ac:dyDescent="0.3">
      <c r="A1725" t="s">
        <v>521</v>
      </c>
      <c r="B1725" t="s">
        <v>668</v>
      </c>
      <c r="C1725" t="s">
        <v>5043</v>
      </c>
      <c r="L1725" s="4" t="s">
        <v>4018</v>
      </c>
    </row>
    <row r="1726" spans="1:12" x14ac:dyDescent="0.3">
      <c r="A1726" t="s">
        <v>668</v>
      </c>
      <c r="B1726" t="s">
        <v>1417</v>
      </c>
      <c r="C1726" t="s">
        <v>1417</v>
      </c>
      <c r="L1726" s="3" t="s">
        <v>4020</v>
      </c>
    </row>
    <row r="1727" spans="1:12" x14ac:dyDescent="0.3">
      <c r="A1727" t="s">
        <v>521</v>
      </c>
      <c r="B1727" t="s">
        <v>5043</v>
      </c>
      <c r="C1727" t="s">
        <v>7473</v>
      </c>
      <c r="L1727" s="4" t="s">
        <v>4022</v>
      </c>
    </row>
    <row r="1728" spans="1:12" x14ac:dyDescent="0.3">
      <c r="A1728" t="s">
        <v>521</v>
      </c>
      <c r="B1728" t="s">
        <v>1417</v>
      </c>
      <c r="C1728" t="s">
        <v>497</v>
      </c>
      <c r="L1728" s="3" t="s">
        <v>4024</v>
      </c>
    </row>
    <row r="1729" spans="1:12" x14ac:dyDescent="0.3">
      <c r="A1729" t="s">
        <v>4843</v>
      </c>
      <c r="B1729" t="s">
        <v>668</v>
      </c>
      <c r="C1729" t="s">
        <v>8266</v>
      </c>
      <c r="L1729" s="4" t="s">
        <v>4027</v>
      </c>
    </row>
    <row r="1730" spans="1:12" x14ac:dyDescent="0.3">
      <c r="A1730" t="s">
        <v>5524</v>
      </c>
      <c r="B1730" t="s">
        <v>1417</v>
      </c>
      <c r="C1730" t="s">
        <v>6902</v>
      </c>
      <c r="L1730" s="3" t="s">
        <v>4029</v>
      </c>
    </row>
    <row r="1731" spans="1:12" x14ac:dyDescent="0.3">
      <c r="A1731" t="s">
        <v>1417</v>
      </c>
      <c r="B1731" t="s">
        <v>1417</v>
      </c>
      <c r="C1731" t="s">
        <v>6171</v>
      </c>
      <c r="L1731" s="4" t="s">
        <v>4031</v>
      </c>
    </row>
    <row r="1732" spans="1:12" x14ac:dyDescent="0.3">
      <c r="A1732" t="s">
        <v>5524</v>
      </c>
      <c r="B1732" t="s">
        <v>8046</v>
      </c>
      <c r="C1732" t="s">
        <v>8267</v>
      </c>
      <c r="L1732" s="3" t="s">
        <v>4033</v>
      </c>
    </row>
    <row r="1733" spans="1:12" x14ac:dyDescent="0.3">
      <c r="A1733" t="s">
        <v>362</v>
      </c>
      <c r="B1733" t="s">
        <v>1417</v>
      </c>
      <c r="C1733" t="s">
        <v>5138</v>
      </c>
      <c r="L1733" s="4" t="s">
        <v>4035</v>
      </c>
    </row>
    <row r="1734" spans="1:12" x14ac:dyDescent="0.3">
      <c r="A1734" t="s">
        <v>8268</v>
      </c>
      <c r="B1734" t="s">
        <v>1417</v>
      </c>
      <c r="C1734" t="s">
        <v>7473</v>
      </c>
      <c r="L1734" s="3" t="s">
        <v>4037</v>
      </c>
    </row>
    <row r="1735" spans="1:12" x14ac:dyDescent="0.3">
      <c r="A1735" t="s">
        <v>362</v>
      </c>
      <c r="B1735" t="s">
        <v>1417</v>
      </c>
      <c r="C1735" t="s">
        <v>497</v>
      </c>
      <c r="L1735" s="4" t="s">
        <v>4039</v>
      </c>
    </row>
    <row r="1736" spans="1:12" x14ac:dyDescent="0.3">
      <c r="A1736" t="s">
        <v>668</v>
      </c>
      <c r="B1736" t="s">
        <v>7104</v>
      </c>
      <c r="C1736" t="s">
        <v>4843</v>
      </c>
      <c r="L1736" s="3" t="s">
        <v>4041</v>
      </c>
    </row>
    <row r="1737" spans="1:12" x14ac:dyDescent="0.3">
      <c r="A1737" t="s">
        <v>5524</v>
      </c>
      <c r="B1737" t="s">
        <v>7104</v>
      </c>
      <c r="C1737" t="s">
        <v>8267</v>
      </c>
      <c r="L1737" s="4" t="s">
        <v>4043</v>
      </c>
    </row>
    <row r="1738" spans="1:12" x14ac:dyDescent="0.3">
      <c r="A1738" t="s">
        <v>362</v>
      </c>
      <c r="B1738" t="s">
        <v>8268</v>
      </c>
      <c r="C1738" t="s">
        <v>8266</v>
      </c>
      <c r="L1738" s="3" t="s">
        <v>4045</v>
      </c>
    </row>
    <row r="1739" spans="1:12" x14ac:dyDescent="0.3">
      <c r="A1739" t="s">
        <v>668</v>
      </c>
      <c r="B1739" t="s">
        <v>8266</v>
      </c>
      <c r="C1739" t="s">
        <v>1417</v>
      </c>
      <c r="L1739" s="4" t="s">
        <v>4047</v>
      </c>
    </row>
    <row r="1740" spans="1:12" x14ac:dyDescent="0.3">
      <c r="A1740" t="s">
        <v>362</v>
      </c>
      <c r="B1740" t="s">
        <v>1417</v>
      </c>
      <c r="C1740" t="s">
        <v>5138</v>
      </c>
      <c r="L1740" s="3" t="s">
        <v>4049</v>
      </c>
    </row>
    <row r="1741" spans="1:12" x14ac:dyDescent="0.3">
      <c r="A1741" t="s">
        <v>1417</v>
      </c>
      <c r="B1741" t="s">
        <v>1417</v>
      </c>
      <c r="C1741" t="s">
        <v>497</v>
      </c>
      <c r="L1741" s="4" t="s">
        <v>4051</v>
      </c>
    </row>
    <row r="1742" spans="1:12" x14ac:dyDescent="0.3">
      <c r="A1742" t="s">
        <v>5524</v>
      </c>
      <c r="B1742" t="s">
        <v>362</v>
      </c>
      <c r="C1742" t="s">
        <v>8268</v>
      </c>
      <c r="L1742" s="3" t="s">
        <v>4053</v>
      </c>
    </row>
    <row r="1743" spans="1:12" x14ac:dyDescent="0.3">
      <c r="A1743" t="s">
        <v>668</v>
      </c>
      <c r="B1743" t="s">
        <v>1417</v>
      </c>
      <c r="C1743" t="s">
        <v>8266</v>
      </c>
      <c r="L1743" s="4" t="s">
        <v>4055</v>
      </c>
    </row>
    <row r="1744" spans="1:12" x14ac:dyDescent="0.3">
      <c r="A1744" t="s">
        <v>668</v>
      </c>
      <c r="B1744" t="s">
        <v>668</v>
      </c>
      <c r="C1744" t="s">
        <v>497</v>
      </c>
      <c r="L1744" s="3" t="s">
        <v>4057</v>
      </c>
    </row>
    <row r="1745" spans="1:12" x14ac:dyDescent="0.3">
      <c r="A1745" t="s">
        <v>5524</v>
      </c>
      <c r="B1745" t="s">
        <v>8268</v>
      </c>
      <c r="C1745" t="s">
        <v>8266</v>
      </c>
      <c r="L1745" s="4" t="s">
        <v>4059</v>
      </c>
    </row>
    <row r="1746" spans="1:12" x14ac:dyDescent="0.3">
      <c r="A1746" t="s">
        <v>668</v>
      </c>
      <c r="B1746" t="s">
        <v>2701</v>
      </c>
      <c r="C1746" t="s">
        <v>8046</v>
      </c>
      <c r="L1746" s="3" t="s">
        <v>4061</v>
      </c>
    </row>
    <row r="1747" spans="1:12" x14ac:dyDescent="0.3">
      <c r="A1747" t="s">
        <v>668</v>
      </c>
      <c r="B1747" t="s">
        <v>1417</v>
      </c>
      <c r="C1747" t="s">
        <v>4380</v>
      </c>
      <c r="L1747" s="4" t="s">
        <v>4063</v>
      </c>
    </row>
    <row r="1748" spans="1:12" x14ac:dyDescent="0.3">
      <c r="A1748" t="s">
        <v>1417</v>
      </c>
      <c r="B1748" t="s">
        <v>4380</v>
      </c>
      <c r="C1748" t="s">
        <v>668</v>
      </c>
      <c r="L1748" s="3" t="s">
        <v>4065</v>
      </c>
    </row>
    <row r="1749" spans="1:12" x14ac:dyDescent="0.3">
      <c r="A1749" t="s">
        <v>362</v>
      </c>
      <c r="B1749" t="s">
        <v>6902</v>
      </c>
      <c r="C1749" t="s">
        <v>8046</v>
      </c>
      <c r="L1749" s="4" t="s">
        <v>4067</v>
      </c>
    </row>
    <row r="1750" spans="1:12" x14ac:dyDescent="0.3">
      <c r="A1750" t="s">
        <v>5524</v>
      </c>
      <c r="B1750" t="s">
        <v>668</v>
      </c>
      <c r="C1750" t="s">
        <v>1417</v>
      </c>
      <c r="L1750" s="3" t="s">
        <v>4069</v>
      </c>
    </row>
    <row r="1751" spans="1:12" x14ac:dyDescent="0.3">
      <c r="A1751" t="s">
        <v>521</v>
      </c>
      <c r="B1751" t="s">
        <v>7104</v>
      </c>
      <c r="C1751" t="s">
        <v>4380</v>
      </c>
      <c r="L1751" s="4" t="s">
        <v>4071</v>
      </c>
    </row>
    <row r="1752" spans="1:12" x14ac:dyDescent="0.3">
      <c r="A1752" t="s">
        <v>362</v>
      </c>
      <c r="B1752" t="s">
        <v>7473</v>
      </c>
      <c r="C1752" t="s">
        <v>8266</v>
      </c>
      <c r="L1752" s="3" t="s">
        <v>4073</v>
      </c>
    </row>
    <row r="1753" spans="1:12" x14ac:dyDescent="0.3">
      <c r="A1753" t="s">
        <v>8268</v>
      </c>
      <c r="B1753" t="s">
        <v>1417</v>
      </c>
      <c r="C1753" t="s">
        <v>8268</v>
      </c>
      <c r="L1753" s="4" t="s">
        <v>4075</v>
      </c>
    </row>
    <row r="1754" spans="1:12" x14ac:dyDescent="0.3">
      <c r="A1754" t="s">
        <v>5524</v>
      </c>
      <c r="B1754" t="s">
        <v>1417</v>
      </c>
      <c r="C1754" t="s">
        <v>6171</v>
      </c>
      <c r="L1754" s="3" t="s">
        <v>4077</v>
      </c>
    </row>
    <row r="1755" spans="1:12" x14ac:dyDescent="0.3">
      <c r="A1755" t="s">
        <v>521</v>
      </c>
      <c r="B1755" t="s">
        <v>668</v>
      </c>
      <c r="C1755" t="s">
        <v>8266</v>
      </c>
      <c r="L1755" s="4" t="s">
        <v>4079</v>
      </c>
    </row>
    <row r="1756" spans="1:12" x14ac:dyDescent="0.3">
      <c r="A1756" t="s">
        <v>521</v>
      </c>
      <c r="B1756" t="s">
        <v>668</v>
      </c>
      <c r="C1756" t="s">
        <v>7473</v>
      </c>
      <c r="L1756" s="3" t="s">
        <v>4082</v>
      </c>
    </row>
    <row r="1757" spans="1:12" x14ac:dyDescent="0.3">
      <c r="A1757" t="s">
        <v>668</v>
      </c>
      <c r="B1757" t="s">
        <v>1417</v>
      </c>
      <c r="C1757" t="s">
        <v>5138</v>
      </c>
      <c r="L1757" s="4" t="s">
        <v>4084</v>
      </c>
    </row>
    <row r="1758" spans="1:12" x14ac:dyDescent="0.3">
      <c r="A1758" t="s">
        <v>5524</v>
      </c>
      <c r="B1758" t="s">
        <v>7473</v>
      </c>
      <c r="C1758" t="s">
        <v>4380</v>
      </c>
      <c r="L1758" s="3" t="s">
        <v>4087</v>
      </c>
    </row>
    <row r="1759" spans="1:12" x14ac:dyDescent="0.3">
      <c r="A1759" t="s">
        <v>668</v>
      </c>
      <c r="B1759" t="s">
        <v>2701</v>
      </c>
      <c r="C1759" t="s">
        <v>7473</v>
      </c>
      <c r="L1759" s="4" t="s">
        <v>4090</v>
      </c>
    </row>
    <row r="1760" spans="1:12" x14ac:dyDescent="0.3">
      <c r="A1760" t="s">
        <v>5524</v>
      </c>
      <c r="B1760" t="s">
        <v>8046</v>
      </c>
      <c r="C1760" t="s">
        <v>4380</v>
      </c>
      <c r="L1760" s="3" t="s">
        <v>4092</v>
      </c>
    </row>
    <row r="1761" spans="1:12" x14ac:dyDescent="0.3">
      <c r="A1761" t="s">
        <v>521</v>
      </c>
      <c r="B1761" t="s">
        <v>4380</v>
      </c>
      <c r="C1761" t="s">
        <v>9937</v>
      </c>
      <c r="L1761" s="4" t="s">
        <v>4095</v>
      </c>
    </row>
    <row r="1762" spans="1:12" x14ac:dyDescent="0.3">
      <c r="A1762" t="s">
        <v>668</v>
      </c>
      <c r="B1762" t="s">
        <v>4380</v>
      </c>
      <c r="C1762" t="s">
        <v>1417</v>
      </c>
      <c r="L1762" s="3" t="s">
        <v>4097</v>
      </c>
    </row>
    <row r="1763" spans="1:12" x14ac:dyDescent="0.3">
      <c r="A1763" t="s">
        <v>362</v>
      </c>
      <c r="B1763" t="s">
        <v>668</v>
      </c>
      <c r="C1763" t="s">
        <v>7104</v>
      </c>
      <c r="L1763" s="4" t="s">
        <v>4099</v>
      </c>
    </row>
    <row r="1764" spans="1:12" x14ac:dyDescent="0.3">
      <c r="A1764" t="s">
        <v>668</v>
      </c>
      <c r="B1764" t="s">
        <v>497</v>
      </c>
      <c r="C1764" t="s">
        <v>4380</v>
      </c>
      <c r="L1764" s="3" t="s">
        <v>4101</v>
      </c>
    </row>
    <row r="1765" spans="1:12" x14ac:dyDescent="0.3">
      <c r="A1765" t="s">
        <v>8266</v>
      </c>
      <c r="B1765" t="s">
        <v>8268</v>
      </c>
      <c r="C1765" t="s">
        <v>1417</v>
      </c>
      <c r="L1765" s="4" t="s">
        <v>4103</v>
      </c>
    </row>
    <row r="1766" spans="1:12" x14ac:dyDescent="0.3">
      <c r="A1766" t="s">
        <v>668</v>
      </c>
      <c r="B1766" t="s">
        <v>1417</v>
      </c>
      <c r="C1766" t="s">
        <v>7473</v>
      </c>
      <c r="L1766" s="3" t="s">
        <v>4106</v>
      </c>
    </row>
    <row r="1767" spans="1:12" x14ac:dyDescent="0.3">
      <c r="A1767" t="s">
        <v>521</v>
      </c>
      <c r="B1767" t="s">
        <v>362</v>
      </c>
      <c r="C1767" t="s">
        <v>8269</v>
      </c>
      <c r="L1767" s="4" t="s">
        <v>4108</v>
      </c>
    </row>
    <row r="1768" spans="1:12" x14ac:dyDescent="0.3">
      <c r="A1768" t="s">
        <v>668</v>
      </c>
      <c r="B1768" t="s">
        <v>8268</v>
      </c>
      <c r="C1768" t="s">
        <v>7473</v>
      </c>
      <c r="L1768" s="3" t="s">
        <v>4110</v>
      </c>
    </row>
    <row r="1769" spans="1:12" x14ac:dyDescent="0.3">
      <c r="A1769" t="s">
        <v>521</v>
      </c>
      <c r="B1769" t="s">
        <v>4380</v>
      </c>
      <c r="C1769" t="s">
        <v>5043</v>
      </c>
      <c r="L1769" s="4" t="s">
        <v>4112</v>
      </c>
    </row>
    <row r="1770" spans="1:12" x14ac:dyDescent="0.3">
      <c r="A1770" t="s">
        <v>668</v>
      </c>
      <c r="B1770" t="s">
        <v>362</v>
      </c>
      <c r="C1770" t="s">
        <v>5043</v>
      </c>
      <c r="L1770" s="3" t="s">
        <v>4114</v>
      </c>
    </row>
    <row r="1771" spans="1:12" x14ac:dyDescent="0.3">
      <c r="A1771" t="s">
        <v>1417</v>
      </c>
      <c r="B1771" t="s">
        <v>7473</v>
      </c>
      <c r="C1771" t="s">
        <v>8266</v>
      </c>
      <c r="L1771" s="4" t="s">
        <v>4117</v>
      </c>
    </row>
    <row r="1772" spans="1:12" x14ac:dyDescent="0.3">
      <c r="A1772" t="s">
        <v>668</v>
      </c>
      <c r="B1772" t="s">
        <v>8266</v>
      </c>
      <c r="C1772" t="s">
        <v>1417</v>
      </c>
      <c r="L1772" s="3" t="s">
        <v>4120</v>
      </c>
    </row>
    <row r="1773" spans="1:12" x14ac:dyDescent="0.3">
      <c r="A1773" t="s">
        <v>668</v>
      </c>
      <c r="B1773" t="s">
        <v>8266</v>
      </c>
      <c r="C1773" t="s">
        <v>7473</v>
      </c>
      <c r="L1773" s="4" t="s">
        <v>4122</v>
      </c>
    </row>
    <row r="1774" spans="1:12" x14ac:dyDescent="0.3">
      <c r="A1774" t="s">
        <v>521</v>
      </c>
      <c r="B1774" t="s">
        <v>7473</v>
      </c>
      <c r="C1774" t="s">
        <v>8268</v>
      </c>
      <c r="L1774" s="3" t="s">
        <v>4124</v>
      </c>
    </row>
    <row r="1775" spans="1:12" x14ac:dyDescent="0.3">
      <c r="A1775" t="s">
        <v>521</v>
      </c>
      <c r="B1775" t="s">
        <v>497</v>
      </c>
      <c r="C1775" t="s">
        <v>7104</v>
      </c>
      <c r="L1775" s="4" t="s">
        <v>4127</v>
      </c>
    </row>
    <row r="1776" spans="1:12" x14ac:dyDescent="0.3">
      <c r="A1776" t="s">
        <v>521</v>
      </c>
      <c r="B1776" t="s">
        <v>1417</v>
      </c>
      <c r="C1776" t="s">
        <v>5138</v>
      </c>
      <c r="L1776" s="3" t="s">
        <v>4129</v>
      </c>
    </row>
    <row r="1777" spans="1:12" x14ac:dyDescent="0.3">
      <c r="A1777" t="s">
        <v>668</v>
      </c>
      <c r="B1777" t="s">
        <v>2701</v>
      </c>
      <c r="C1777" t="s">
        <v>4380</v>
      </c>
      <c r="L1777" s="4" t="s">
        <v>4132</v>
      </c>
    </row>
    <row r="1778" spans="1:12" x14ac:dyDescent="0.3">
      <c r="A1778" t="s">
        <v>1417</v>
      </c>
      <c r="B1778" t="s">
        <v>8268</v>
      </c>
      <c r="C1778" t="s">
        <v>497</v>
      </c>
      <c r="L1778" s="3" t="s">
        <v>4135</v>
      </c>
    </row>
    <row r="1779" spans="1:12" x14ac:dyDescent="0.3">
      <c r="A1779" t="s">
        <v>5138</v>
      </c>
      <c r="B1779" t="s">
        <v>7473</v>
      </c>
      <c r="C1779" t="s">
        <v>7473</v>
      </c>
      <c r="L1779" s="4" t="s">
        <v>4137</v>
      </c>
    </row>
    <row r="1780" spans="1:12" x14ac:dyDescent="0.3">
      <c r="A1780" t="s">
        <v>362</v>
      </c>
      <c r="B1780" t="s">
        <v>7104</v>
      </c>
      <c r="C1780" t="s">
        <v>1417</v>
      </c>
      <c r="L1780" s="3" t="s">
        <v>4139</v>
      </c>
    </row>
    <row r="1781" spans="1:12" x14ac:dyDescent="0.3">
      <c r="A1781" t="s">
        <v>521</v>
      </c>
      <c r="B1781" t="s">
        <v>8266</v>
      </c>
      <c r="C1781" t="s">
        <v>7473</v>
      </c>
      <c r="L1781" s="4" t="s">
        <v>4141</v>
      </c>
    </row>
    <row r="1782" spans="1:12" x14ac:dyDescent="0.3">
      <c r="A1782" t="s">
        <v>8268</v>
      </c>
      <c r="B1782" t="s">
        <v>8266</v>
      </c>
      <c r="C1782" t="s">
        <v>5138</v>
      </c>
      <c r="L1782" s="3" t="s">
        <v>4143</v>
      </c>
    </row>
    <row r="1783" spans="1:12" x14ac:dyDescent="0.3">
      <c r="A1783" t="s">
        <v>1417</v>
      </c>
      <c r="B1783" t="s">
        <v>1417</v>
      </c>
      <c r="C1783" t="s">
        <v>8046</v>
      </c>
      <c r="L1783" s="4" t="s">
        <v>4145</v>
      </c>
    </row>
    <row r="1784" spans="1:12" x14ac:dyDescent="0.3">
      <c r="A1784" t="s">
        <v>19</v>
      </c>
      <c r="B1784" t="s">
        <v>1417</v>
      </c>
      <c r="C1784" t="s">
        <v>7473</v>
      </c>
      <c r="L1784" s="3" t="s">
        <v>4147</v>
      </c>
    </row>
    <row r="1785" spans="1:12" x14ac:dyDescent="0.3">
      <c r="A1785" t="s">
        <v>668</v>
      </c>
      <c r="B1785" t="s">
        <v>4380</v>
      </c>
      <c r="C1785" t="s">
        <v>7473</v>
      </c>
      <c r="L1785" s="4" t="s">
        <v>4150</v>
      </c>
    </row>
    <row r="1786" spans="1:12" x14ac:dyDescent="0.3">
      <c r="A1786" t="s">
        <v>668</v>
      </c>
      <c r="B1786" t="s">
        <v>7473</v>
      </c>
      <c r="C1786" t="s">
        <v>497</v>
      </c>
      <c r="L1786" s="3" t="s">
        <v>4152</v>
      </c>
    </row>
    <row r="1787" spans="1:12" x14ac:dyDescent="0.3">
      <c r="A1787" t="s">
        <v>521</v>
      </c>
      <c r="B1787" t="s">
        <v>1417</v>
      </c>
      <c r="C1787" t="s">
        <v>7473</v>
      </c>
      <c r="L1787" s="4" t="s">
        <v>4154</v>
      </c>
    </row>
    <row r="1788" spans="1:12" x14ac:dyDescent="0.3">
      <c r="A1788" t="s">
        <v>668</v>
      </c>
      <c r="B1788" t="s">
        <v>1417</v>
      </c>
      <c r="C1788" t="s">
        <v>4380</v>
      </c>
      <c r="L1788" s="3" t="s">
        <v>4157</v>
      </c>
    </row>
    <row r="1789" spans="1:12" x14ac:dyDescent="0.3">
      <c r="A1789" t="s">
        <v>521</v>
      </c>
      <c r="B1789" t="s">
        <v>1417</v>
      </c>
      <c r="C1789" t="s">
        <v>7473</v>
      </c>
      <c r="L1789" s="4" t="s">
        <v>4159</v>
      </c>
    </row>
    <row r="1790" spans="1:12" x14ac:dyDescent="0.3">
      <c r="A1790" t="s">
        <v>668</v>
      </c>
      <c r="B1790" t="s">
        <v>668</v>
      </c>
      <c r="C1790" t="s">
        <v>8269</v>
      </c>
      <c r="L1790" s="3" t="s">
        <v>4161</v>
      </c>
    </row>
    <row r="1791" spans="1:12" x14ac:dyDescent="0.3">
      <c r="A1791" t="s">
        <v>521</v>
      </c>
      <c r="B1791" t="s">
        <v>497</v>
      </c>
      <c r="C1791" t="s">
        <v>7104</v>
      </c>
      <c r="L1791" s="4" t="s">
        <v>4164</v>
      </c>
    </row>
    <row r="1792" spans="1:12" x14ac:dyDescent="0.3">
      <c r="A1792" t="s">
        <v>5524</v>
      </c>
      <c r="B1792" t="s">
        <v>2701</v>
      </c>
      <c r="C1792" t="s">
        <v>8269</v>
      </c>
      <c r="L1792" s="3" t="s">
        <v>4166</v>
      </c>
    </row>
    <row r="1793" spans="1:12" x14ac:dyDescent="0.3">
      <c r="A1793" t="s">
        <v>668</v>
      </c>
      <c r="B1793" t="s">
        <v>362</v>
      </c>
      <c r="C1793" t="s">
        <v>1417</v>
      </c>
      <c r="L1793" s="4" t="s">
        <v>4169</v>
      </c>
    </row>
    <row r="1794" spans="1:12" x14ac:dyDescent="0.3">
      <c r="A1794" t="s">
        <v>521</v>
      </c>
      <c r="B1794" t="s">
        <v>362</v>
      </c>
      <c r="C1794" t="s">
        <v>497</v>
      </c>
      <c r="L1794" s="3" t="s">
        <v>4171</v>
      </c>
    </row>
    <row r="1795" spans="1:12" x14ac:dyDescent="0.3">
      <c r="A1795" t="s">
        <v>362</v>
      </c>
      <c r="B1795" t="s">
        <v>362</v>
      </c>
      <c r="C1795" t="s">
        <v>8267</v>
      </c>
      <c r="L1795" s="4" t="s">
        <v>4173</v>
      </c>
    </row>
    <row r="1796" spans="1:12" x14ac:dyDescent="0.3">
      <c r="A1796" t="s">
        <v>521</v>
      </c>
      <c r="B1796" t="s">
        <v>1417</v>
      </c>
      <c r="C1796" t="s">
        <v>8266</v>
      </c>
      <c r="L1796" s="3" t="s">
        <v>4176</v>
      </c>
    </row>
    <row r="1797" spans="1:12" x14ac:dyDescent="0.3">
      <c r="A1797" t="s">
        <v>521</v>
      </c>
      <c r="B1797" t="s">
        <v>1417</v>
      </c>
      <c r="C1797" t="s">
        <v>6902</v>
      </c>
      <c r="L1797" s="4" t="s">
        <v>4178</v>
      </c>
    </row>
    <row r="1798" spans="1:12" x14ac:dyDescent="0.3">
      <c r="A1798" t="s">
        <v>668</v>
      </c>
      <c r="B1798" t="s">
        <v>668</v>
      </c>
      <c r="C1798" t="s">
        <v>1417</v>
      </c>
      <c r="L1798" s="3" t="s">
        <v>4180</v>
      </c>
    </row>
    <row r="1799" spans="1:12" x14ac:dyDescent="0.3">
      <c r="A1799" t="s">
        <v>1417</v>
      </c>
      <c r="B1799" t="s">
        <v>1417</v>
      </c>
      <c r="C1799" t="s">
        <v>7473</v>
      </c>
      <c r="L1799" s="4" t="s">
        <v>4182</v>
      </c>
    </row>
    <row r="1800" spans="1:12" x14ac:dyDescent="0.3">
      <c r="A1800" t="s">
        <v>668</v>
      </c>
      <c r="B1800" t="s">
        <v>7473</v>
      </c>
      <c r="C1800" t="s">
        <v>7473</v>
      </c>
      <c r="L1800" s="3" t="s">
        <v>4184</v>
      </c>
    </row>
    <row r="1801" spans="1:12" x14ac:dyDescent="0.3">
      <c r="A1801" t="s">
        <v>362</v>
      </c>
      <c r="B1801" t="s">
        <v>7104</v>
      </c>
      <c r="C1801" t="s">
        <v>6171</v>
      </c>
      <c r="L1801" s="4" t="s">
        <v>4186</v>
      </c>
    </row>
    <row r="1802" spans="1:12" x14ac:dyDescent="0.3">
      <c r="A1802" t="s">
        <v>8268</v>
      </c>
      <c r="B1802" t="s">
        <v>7473</v>
      </c>
      <c r="C1802" t="s">
        <v>4380</v>
      </c>
      <c r="L1802" s="3" t="s">
        <v>4188</v>
      </c>
    </row>
    <row r="1803" spans="1:12" x14ac:dyDescent="0.3">
      <c r="A1803" t="s">
        <v>1417</v>
      </c>
      <c r="B1803" t="s">
        <v>5524</v>
      </c>
      <c r="C1803" t="s">
        <v>7473</v>
      </c>
      <c r="L1803" s="4" t="s">
        <v>4190</v>
      </c>
    </row>
    <row r="1804" spans="1:12" x14ac:dyDescent="0.3">
      <c r="A1804" t="s">
        <v>8268</v>
      </c>
      <c r="B1804" t="s">
        <v>8268</v>
      </c>
      <c r="C1804" t="s">
        <v>7473</v>
      </c>
      <c r="L1804" s="3" t="s">
        <v>4192</v>
      </c>
    </row>
    <row r="1805" spans="1:12" x14ac:dyDescent="0.3">
      <c r="A1805" t="s">
        <v>521</v>
      </c>
      <c r="B1805" t="s">
        <v>2701</v>
      </c>
      <c r="C1805" t="s">
        <v>497</v>
      </c>
      <c r="L1805" s="4" t="s">
        <v>4194</v>
      </c>
    </row>
    <row r="1806" spans="1:12" x14ac:dyDescent="0.3">
      <c r="A1806" t="s">
        <v>1417</v>
      </c>
      <c r="B1806" t="s">
        <v>7473</v>
      </c>
      <c r="C1806" t="s">
        <v>7473</v>
      </c>
      <c r="L1806" s="3" t="s">
        <v>4196</v>
      </c>
    </row>
    <row r="1807" spans="1:12" x14ac:dyDescent="0.3">
      <c r="A1807" t="s">
        <v>362</v>
      </c>
      <c r="B1807" t="s">
        <v>1417</v>
      </c>
      <c r="C1807" t="s">
        <v>1417</v>
      </c>
      <c r="L1807" s="4" t="s">
        <v>4198</v>
      </c>
    </row>
    <row r="1808" spans="1:12" x14ac:dyDescent="0.3">
      <c r="A1808" t="s">
        <v>8268</v>
      </c>
      <c r="B1808" t="s">
        <v>1417</v>
      </c>
      <c r="C1808" t="s">
        <v>1417</v>
      </c>
      <c r="L1808" s="3" t="s">
        <v>4200</v>
      </c>
    </row>
    <row r="1809" spans="1:12" x14ac:dyDescent="0.3">
      <c r="A1809" t="s">
        <v>521</v>
      </c>
      <c r="B1809" t="s">
        <v>1417</v>
      </c>
      <c r="C1809" t="s">
        <v>4380</v>
      </c>
      <c r="L1809" s="4" t="s">
        <v>4202</v>
      </c>
    </row>
    <row r="1810" spans="1:12" x14ac:dyDescent="0.3">
      <c r="A1810" t="s">
        <v>668</v>
      </c>
      <c r="B1810" t="s">
        <v>362</v>
      </c>
      <c r="C1810" t="s">
        <v>5043</v>
      </c>
      <c r="L1810" s="3" t="s">
        <v>4204</v>
      </c>
    </row>
    <row r="1811" spans="1:12" x14ac:dyDescent="0.3">
      <c r="A1811" t="s">
        <v>668</v>
      </c>
      <c r="B1811" t="s">
        <v>2701</v>
      </c>
      <c r="C1811" t="s">
        <v>5138</v>
      </c>
      <c r="L1811" s="4" t="s">
        <v>4206</v>
      </c>
    </row>
    <row r="1812" spans="1:12" x14ac:dyDescent="0.3">
      <c r="A1812" t="s">
        <v>668</v>
      </c>
      <c r="B1812" t="s">
        <v>8268</v>
      </c>
      <c r="C1812" t="s">
        <v>7473</v>
      </c>
      <c r="L1812" s="3" t="s">
        <v>4208</v>
      </c>
    </row>
    <row r="1813" spans="1:12" x14ac:dyDescent="0.3">
      <c r="A1813" t="s">
        <v>521</v>
      </c>
      <c r="B1813" t="s">
        <v>362</v>
      </c>
      <c r="C1813" t="s">
        <v>7473</v>
      </c>
      <c r="L1813" s="4" t="s">
        <v>4211</v>
      </c>
    </row>
    <row r="1814" spans="1:12" x14ac:dyDescent="0.3">
      <c r="A1814" t="s">
        <v>8268</v>
      </c>
      <c r="B1814" t="s">
        <v>7104</v>
      </c>
      <c r="C1814" t="s">
        <v>8266</v>
      </c>
      <c r="L1814" s="3" t="s">
        <v>4213</v>
      </c>
    </row>
    <row r="1815" spans="1:12" x14ac:dyDescent="0.3">
      <c r="A1815" t="s">
        <v>362</v>
      </c>
      <c r="B1815" t="s">
        <v>1417</v>
      </c>
      <c r="C1815" t="s">
        <v>4380</v>
      </c>
      <c r="L1815" s="4" t="s">
        <v>4215</v>
      </c>
    </row>
    <row r="1816" spans="1:12" x14ac:dyDescent="0.3">
      <c r="A1816" t="s">
        <v>1417</v>
      </c>
      <c r="B1816" t="s">
        <v>362</v>
      </c>
      <c r="C1816" t="s">
        <v>1417</v>
      </c>
      <c r="L1816" s="3" t="s">
        <v>4217</v>
      </c>
    </row>
    <row r="1817" spans="1:12" x14ac:dyDescent="0.3">
      <c r="A1817" t="s">
        <v>362</v>
      </c>
      <c r="B1817" t="s">
        <v>1417</v>
      </c>
      <c r="C1817" t="s">
        <v>8046</v>
      </c>
      <c r="L1817" s="4" t="s">
        <v>4219</v>
      </c>
    </row>
    <row r="1818" spans="1:12" x14ac:dyDescent="0.3">
      <c r="A1818" t="s">
        <v>521</v>
      </c>
      <c r="B1818" t="s">
        <v>8268</v>
      </c>
      <c r="C1818" t="s">
        <v>1417</v>
      </c>
      <c r="L1818" s="3" t="s">
        <v>4221</v>
      </c>
    </row>
    <row r="1819" spans="1:12" x14ac:dyDescent="0.3">
      <c r="A1819" t="s">
        <v>5524</v>
      </c>
      <c r="B1819" t="s">
        <v>668</v>
      </c>
      <c r="C1819" t="s">
        <v>5138</v>
      </c>
      <c r="L1819" s="4" t="s">
        <v>4223</v>
      </c>
    </row>
    <row r="1820" spans="1:12" x14ac:dyDescent="0.3">
      <c r="A1820" t="s">
        <v>668</v>
      </c>
      <c r="B1820" t="s">
        <v>4843</v>
      </c>
      <c r="C1820" t="s">
        <v>497</v>
      </c>
      <c r="L1820" s="3" t="s">
        <v>4225</v>
      </c>
    </row>
    <row r="1821" spans="1:12" x14ac:dyDescent="0.3">
      <c r="A1821" t="s">
        <v>362</v>
      </c>
      <c r="B1821" t="s">
        <v>4843</v>
      </c>
      <c r="C1821" t="s">
        <v>8266</v>
      </c>
      <c r="L1821" s="4" t="s">
        <v>4227</v>
      </c>
    </row>
    <row r="1822" spans="1:12" x14ac:dyDescent="0.3">
      <c r="A1822" t="s">
        <v>521</v>
      </c>
      <c r="B1822" t="s">
        <v>668</v>
      </c>
      <c r="C1822" t="s">
        <v>1417</v>
      </c>
      <c r="L1822" s="3" t="s">
        <v>4229</v>
      </c>
    </row>
    <row r="1823" spans="1:12" x14ac:dyDescent="0.3">
      <c r="A1823" t="s">
        <v>2701</v>
      </c>
      <c r="B1823" t="s">
        <v>1417</v>
      </c>
      <c r="C1823" t="s">
        <v>6902</v>
      </c>
      <c r="L1823" s="4" t="s">
        <v>4231</v>
      </c>
    </row>
    <row r="1824" spans="1:12" x14ac:dyDescent="0.3">
      <c r="A1824" t="s">
        <v>8268</v>
      </c>
      <c r="B1824" t="s">
        <v>8268</v>
      </c>
      <c r="C1824" t="s">
        <v>668</v>
      </c>
      <c r="L1824" s="3" t="s">
        <v>4234</v>
      </c>
    </row>
    <row r="1825" spans="1:12" x14ac:dyDescent="0.3">
      <c r="A1825" t="s">
        <v>668</v>
      </c>
      <c r="B1825" t="s">
        <v>7473</v>
      </c>
      <c r="C1825" t="s">
        <v>8269</v>
      </c>
      <c r="L1825" s="4" t="s">
        <v>4236</v>
      </c>
    </row>
    <row r="1826" spans="1:12" x14ac:dyDescent="0.3">
      <c r="A1826" t="s">
        <v>521</v>
      </c>
      <c r="B1826" t="s">
        <v>1417</v>
      </c>
      <c r="C1826" t="s">
        <v>1417</v>
      </c>
      <c r="L1826" s="3" t="s">
        <v>4238</v>
      </c>
    </row>
    <row r="1827" spans="1:12" x14ac:dyDescent="0.3">
      <c r="A1827" t="s">
        <v>8268</v>
      </c>
      <c r="B1827" t="s">
        <v>7473</v>
      </c>
      <c r="C1827" t="s">
        <v>5043</v>
      </c>
      <c r="L1827" s="4" t="s">
        <v>4240</v>
      </c>
    </row>
    <row r="1828" spans="1:12" x14ac:dyDescent="0.3">
      <c r="A1828" t="s">
        <v>521</v>
      </c>
      <c r="B1828" t="s">
        <v>1417</v>
      </c>
      <c r="C1828" t="s">
        <v>4380</v>
      </c>
      <c r="L1828" s="3" t="s">
        <v>4242</v>
      </c>
    </row>
    <row r="1829" spans="1:12" x14ac:dyDescent="0.3">
      <c r="A1829" t="s">
        <v>668</v>
      </c>
      <c r="B1829" t="s">
        <v>7473</v>
      </c>
      <c r="C1829" t="s">
        <v>4380</v>
      </c>
      <c r="L1829" s="4" t="s">
        <v>4244</v>
      </c>
    </row>
    <row r="1830" spans="1:12" x14ac:dyDescent="0.3">
      <c r="A1830" t="s">
        <v>8268</v>
      </c>
      <c r="B1830" t="s">
        <v>8268</v>
      </c>
      <c r="C1830" t="s">
        <v>5138</v>
      </c>
      <c r="L1830" s="3" t="s">
        <v>4246</v>
      </c>
    </row>
    <row r="1831" spans="1:12" x14ac:dyDescent="0.3">
      <c r="A1831" t="s">
        <v>668</v>
      </c>
      <c r="B1831" t="s">
        <v>7473</v>
      </c>
      <c r="C1831" t="s">
        <v>6902</v>
      </c>
      <c r="L1831" s="4" t="s">
        <v>4248</v>
      </c>
    </row>
    <row r="1832" spans="1:12" x14ac:dyDescent="0.3">
      <c r="A1832" t="s">
        <v>1417</v>
      </c>
      <c r="B1832" t="s">
        <v>7473</v>
      </c>
      <c r="C1832" t="s">
        <v>4380</v>
      </c>
      <c r="L1832" s="3" t="s">
        <v>4250</v>
      </c>
    </row>
    <row r="1833" spans="1:12" x14ac:dyDescent="0.3">
      <c r="A1833" t="s">
        <v>1417</v>
      </c>
      <c r="B1833" t="s">
        <v>7104</v>
      </c>
      <c r="C1833" t="s">
        <v>1417</v>
      </c>
      <c r="L1833" s="4" t="s">
        <v>4252</v>
      </c>
    </row>
    <row r="1834" spans="1:12" x14ac:dyDescent="0.3">
      <c r="A1834" t="s">
        <v>521</v>
      </c>
      <c r="B1834" t="s">
        <v>362</v>
      </c>
      <c r="C1834" t="s">
        <v>8046</v>
      </c>
      <c r="L1834" s="3" t="s">
        <v>4254</v>
      </c>
    </row>
    <row r="1835" spans="1:12" x14ac:dyDescent="0.3">
      <c r="A1835" t="s">
        <v>668</v>
      </c>
      <c r="B1835" t="s">
        <v>1417</v>
      </c>
      <c r="C1835" t="s">
        <v>7104</v>
      </c>
      <c r="L1835" s="4" t="s">
        <v>4256</v>
      </c>
    </row>
    <row r="1836" spans="1:12" x14ac:dyDescent="0.3">
      <c r="A1836" t="s">
        <v>668</v>
      </c>
      <c r="B1836" t="s">
        <v>5043</v>
      </c>
      <c r="C1836" t="s">
        <v>1417</v>
      </c>
      <c r="L1836" s="3" t="s">
        <v>4258</v>
      </c>
    </row>
    <row r="1837" spans="1:12" x14ac:dyDescent="0.3">
      <c r="A1837" t="s">
        <v>668</v>
      </c>
      <c r="B1837" t="s">
        <v>1417</v>
      </c>
      <c r="C1837" t="s">
        <v>5138</v>
      </c>
      <c r="L1837" s="4" t="s">
        <v>4260</v>
      </c>
    </row>
    <row r="1838" spans="1:12" x14ac:dyDescent="0.3">
      <c r="A1838" t="s">
        <v>8268</v>
      </c>
      <c r="B1838" t="s">
        <v>497</v>
      </c>
      <c r="C1838" t="s">
        <v>7473</v>
      </c>
      <c r="L1838" s="3" t="s">
        <v>4263</v>
      </c>
    </row>
    <row r="1839" spans="1:12" x14ac:dyDescent="0.3">
      <c r="A1839" t="s">
        <v>521</v>
      </c>
      <c r="B1839" t="s">
        <v>1417</v>
      </c>
      <c r="C1839" t="s">
        <v>7473</v>
      </c>
      <c r="L1839" s="4" t="s">
        <v>4266</v>
      </c>
    </row>
    <row r="1840" spans="1:12" x14ac:dyDescent="0.3">
      <c r="A1840" t="s">
        <v>521</v>
      </c>
      <c r="B1840" t="s">
        <v>7104</v>
      </c>
      <c r="C1840" t="s">
        <v>8267</v>
      </c>
      <c r="L1840" s="3" t="s">
        <v>4268</v>
      </c>
    </row>
    <row r="1841" spans="1:12" x14ac:dyDescent="0.3">
      <c r="A1841" t="s">
        <v>668</v>
      </c>
      <c r="B1841" t="s">
        <v>668</v>
      </c>
      <c r="C1841" t="s">
        <v>1417</v>
      </c>
      <c r="L1841" s="4" t="s">
        <v>4270</v>
      </c>
    </row>
    <row r="1842" spans="1:12" x14ac:dyDescent="0.3">
      <c r="A1842" t="s">
        <v>1417</v>
      </c>
      <c r="B1842" t="s">
        <v>1417</v>
      </c>
      <c r="C1842" t="s">
        <v>7473</v>
      </c>
      <c r="L1842" s="3" t="s">
        <v>4272</v>
      </c>
    </row>
    <row r="1843" spans="1:12" x14ac:dyDescent="0.3">
      <c r="A1843" t="s">
        <v>1417</v>
      </c>
      <c r="B1843" t="s">
        <v>668</v>
      </c>
      <c r="C1843" t="s">
        <v>7473</v>
      </c>
      <c r="L1843" s="4" t="s">
        <v>4274</v>
      </c>
    </row>
    <row r="1844" spans="1:12" x14ac:dyDescent="0.3">
      <c r="A1844" t="s">
        <v>668</v>
      </c>
      <c r="B1844" t="s">
        <v>8267</v>
      </c>
      <c r="C1844" t="s">
        <v>4380</v>
      </c>
      <c r="L1844" s="3" t="s">
        <v>4276</v>
      </c>
    </row>
    <row r="1845" spans="1:12" x14ac:dyDescent="0.3">
      <c r="A1845" t="s">
        <v>1417</v>
      </c>
      <c r="B1845" t="s">
        <v>1417</v>
      </c>
      <c r="C1845" t="s">
        <v>4380</v>
      </c>
      <c r="L1845" s="4" t="s">
        <v>4278</v>
      </c>
    </row>
    <row r="1846" spans="1:12" x14ac:dyDescent="0.3">
      <c r="A1846" t="s">
        <v>8266</v>
      </c>
      <c r="B1846" t="s">
        <v>1417</v>
      </c>
      <c r="C1846" t="s">
        <v>7104</v>
      </c>
      <c r="L1846" s="3" t="s">
        <v>4281</v>
      </c>
    </row>
    <row r="1847" spans="1:12" x14ac:dyDescent="0.3">
      <c r="A1847" t="s">
        <v>2701</v>
      </c>
      <c r="B1847" t="s">
        <v>1417</v>
      </c>
      <c r="C1847" t="s">
        <v>4380</v>
      </c>
      <c r="L1847" s="4" t="s">
        <v>4283</v>
      </c>
    </row>
    <row r="1848" spans="1:12" x14ac:dyDescent="0.3">
      <c r="A1848" t="s">
        <v>362</v>
      </c>
      <c r="B1848" t="s">
        <v>668</v>
      </c>
      <c r="C1848" t="s">
        <v>1417</v>
      </c>
      <c r="L1848" s="3" t="s">
        <v>4285</v>
      </c>
    </row>
    <row r="1849" spans="1:12" x14ac:dyDescent="0.3">
      <c r="A1849" t="s">
        <v>521</v>
      </c>
      <c r="B1849" t="s">
        <v>8267</v>
      </c>
      <c r="C1849" t="s">
        <v>7104</v>
      </c>
      <c r="L1849" s="4" t="s">
        <v>4287</v>
      </c>
    </row>
    <row r="1850" spans="1:12" x14ac:dyDescent="0.3">
      <c r="A1850" t="s">
        <v>668</v>
      </c>
      <c r="B1850" t="s">
        <v>1417</v>
      </c>
      <c r="C1850" t="s">
        <v>1417</v>
      </c>
      <c r="L1850" s="3" t="s">
        <v>4290</v>
      </c>
    </row>
    <row r="1851" spans="1:12" x14ac:dyDescent="0.3">
      <c r="A1851" t="s">
        <v>668</v>
      </c>
      <c r="B1851" t="s">
        <v>668</v>
      </c>
      <c r="C1851" t="s">
        <v>7473</v>
      </c>
      <c r="L1851" s="4" t="s">
        <v>4292</v>
      </c>
    </row>
    <row r="1852" spans="1:12" x14ac:dyDescent="0.3">
      <c r="A1852" t="s">
        <v>521</v>
      </c>
      <c r="B1852" t="s">
        <v>7473</v>
      </c>
      <c r="C1852" t="s">
        <v>1417</v>
      </c>
      <c r="L1852" s="3" t="s">
        <v>4294</v>
      </c>
    </row>
    <row r="1853" spans="1:12" x14ac:dyDescent="0.3">
      <c r="A1853" t="s">
        <v>521</v>
      </c>
      <c r="B1853" t="s">
        <v>8268</v>
      </c>
      <c r="C1853" t="s">
        <v>7473</v>
      </c>
      <c r="L1853" s="4" t="s">
        <v>4296</v>
      </c>
    </row>
    <row r="1854" spans="1:12" x14ac:dyDescent="0.3">
      <c r="A1854" t="s">
        <v>1417</v>
      </c>
      <c r="B1854" t="s">
        <v>2701</v>
      </c>
      <c r="C1854" t="s">
        <v>4380</v>
      </c>
      <c r="L1854" s="3" t="s">
        <v>4298</v>
      </c>
    </row>
    <row r="1855" spans="1:12" x14ac:dyDescent="0.3">
      <c r="A1855" t="s">
        <v>521</v>
      </c>
      <c r="B1855" t="s">
        <v>8268</v>
      </c>
      <c r="C1855" t="s">
        <v>1417</v>
      </c>
      <c r="L1855" s="4" t="s">
        <v>4300</v>
      </c>
    </row>
    <row r="1856" spans="1:12" x14ac:dyDescent="0.3">
      <c r="A1856" t="s">
        <v>668</v>
      </c>
      <c r="B1856" t="s">
        <v>1417</v>
      </c>
      <c r="C1856" t="s">
        <v>7473</v>
      </c>
      <c r="L1856" s="3" t="s">
        <v>4302</v>
      </c>
    </row>
    <row r="1857" spans="1:12" x14ac:dyDescent="0.3">
      <c r="A1857" t="s">
        <v>1417</v>
      </c>
      <c r="B1857" t="s">
        <v>8268</v>
      </c>
      <c r="C1857" t="s">
        <v>5138</v>
      </c>
      <c r="L1857" s="4" t="s">
        <v>4305</v>
      </c>
    </row>
    <row r="1858" spans="1:12" x14ac:dyDescent="0.3">
      <c r="A1858" t="s">
        <v>8268</v>
      </c>
      <c r="B1858" t="s">
        <v>668</v>
      </c>
      <c r="C1858" t="s">
        <v>7104</v>
      </c>
      <c r="L1858" s="3" t="s">
        <v>4307</v>
      </c>
    </row>
    <row r="1859" spans="1:12" x14ac:dyDescent="0.3">
      <c r="A1859" t="s">
        <v>668</v>
      </c>
      <c r="B1859" t="s">
        <v>7104</v>
      </c>
      <c r="C1859" t="s">
        <v>7104</v>
      </c>
      <c r="L1859" s="4" t="s">
        <v>4309</v>
      </c>
    </row>
    <row r="1860" spans="1:12" x14ac:dyDescent="0.3">
      <c r="A1860" t="s">
        <v>521</v>
      </c>
      <c r="B1860" t="s">
        <v>8046</v>
      </c>
      <c r="C1860" t="s">
        <v>7473</v>
      </c>
      <c r="L1860" s="3" t="s">
        <v>4311</v>
      </c>
    </row>
    <row r="1861" spans="1:12" x14ac:dyDescent="0.3">
      <c r="A1861" t="s">
        <v>8268</v>
      </c>
      <c r="B1861" t="s">
        <v>497</v>
      </c>
      <c r="C1861" t="s">
        <v>7473</v>
      </c>
      <c r="L1861" s="4" t="s">
        <v>4313</v>
      </c>
    </row>
    <row r="1862" spans="1:12" x14ac:dyDescent="0.3">
      <c r="A1862" t="s">
        <v>497</v>
      </c>
      <c r="B1862" t="s">
        <v>1417</v>
      </c>
      <c r="C1862" t="s">
        <v>7473</v>
      </c>
      <c r="L1862" s="3" t="s">
        <v>4315</v>
      </c>
    </row>
    <row r="1863" spans="1:12" x14ac:dyDescent="0.3">
      <c r="A1863" t="s">
        <v>668</v>
      </c>
      <c r="B1863" t="s">
        <v>8266</v>
      </c>
      <c r="C1863" t="s">
        <v>7473</v>
      </c>
      <c r="L1863" s="4" t="s">
        <v>4317</v>
      </c>
    </row>
    <row r="1864" spans="1:12" x14ac:dyDescent="0.3">
      <c r="A1864" t="s">
        <v>668</v>
      </c>
      <c r="B1864" t="s">
        <v>1417</v>
      </c>
      <c r="C1864" t="s">
        <v>7473</v>
      </c>
      <c r="L1864" s="3" t="s">
        <v>4319</v>
      </c>
    </row>
    <row r="1865" spans="1:12" x14ac:dyDescent="0.3">
      <c r="A1865" t="s">
        <v>362</v>
      </c>
      <c r="B1865" t="s">
        <v>8268</v>
      </c>
      <c r="C1865" t="s">
        <v>7473</v>
      </c>
      <c r="L1865" s="4" t="s">
        <v>4321</v>
      </c>
    </row>
    <row r="1866" spans="1:12" x14ac:dyDescent="0.3">
      <c r="A1866" t="s">
        <v>521</v>
      </c>
      <c r="B1866" t="s">
        <v>8268</v>
      </c>
      <c r="C1866" t="s">
        <v>2701</v>
      </c>
      <c r="L1866" s="3" t="s">
        <v>4323</v>
      </c>
    </row>
    <row r="1867" spans="1:12" x14ac:dyDescent="0.3">
      <c r="A1867" t="s">
        <v>1417</v>
      </c>
      <c r="B1867" t="s">
        <v>8268</v>
      </c>
      <c r="C1867" t="s">
        <v>1417</v>
      </c>
      <c r="L1867" s="4" t="s">
        <v>4326</v>
      </c>
    </row>
    <row r="1868" spans="1:12" x14ac:dyDescent="0.3">
      <c r="A1868" t="s">
        <v>1417</v>
      </c>
      <c r="B1868" t="s">
        <v>4380</v>
      </c>
      <c r="C1868" t="s">
        <v>8269</v>
      </c>
      <c r="L1868" s="3" t="s">
        <v>4328</v>
      </c>
    </row>
    <row r="1869" spans="1:12" x14ac:dyDescent="0.3">
      <c r="A1869" t="s">
        <v>668</v>
      </c>
      <c r="B1869" t="s">
        <v>8267</v>
      </c>
      <c r="C1869" t="s">
        <v>8266</v>
      </c>
      <c r="L1869" s="4" t="s">
        <v>4331</v>
      </c>
    </row>
    <row r="1870" spans="1:12" x14ac:dyDescent="0.3">
      <c r="A1870" t="s">
        <v>1417</v>
      </c>
      <c r="B1870" t="s">
        <v>2701</v>
      </c>
      <c r="C1870" t="s">
        <v>8268</v>
      </c>
      <c r="L1870" s="3" t="s">
        <v>4333</v>
      </c>
    </row>
    <row r="1871" spans="1:12" x14ac:dyDescent="0.3">
      <c r="A1871" t="s">
        <v>1417</v>
      </c>
      <c r="B1871" t="s">
        <v>4843</v>
      </c>
      <c r="C1871" t="s">
        <v>7473</v>
      </c>
      <c r="L1871" s="4" t="s">
        <v>4335</v>
      </c>
    </row>
    <row r="1872" spans="1:12" x14ac:dyDescent="0.3">
      <c r="A1872" t="s">
        <v>5524</v>
      </c>
      <c r="B1872" t="s">
        <v>1417</v>
      </c>
      <c r="C1872" t="s">
        <v>4380</v>
      </c>
      <c r="L1872" s="3" t="s">
        <v>4337</v>
      </c>
    </row>
    <row r="1873" spans="1:12" x14ac:dyDescent="0.3">
      <c r="A1873" t="s">
        <v>521</v>
      </c>
      <c r="B1873" t="s">
        <v>1417</v>
      </c>
      <c r="C1873" t="s">
        <v>1417</v>
      </c>
      <c r="L1873" s="4" t="s">
        <v>4339</v>
      </c>
    </row>
    <row r="1874" spans="1:12" x14ac:dyDescent="0.3">
      <c r="A1874" t="s">
        <v>1417</v>
      </c>
      <c r="B1874" t="s">
        <v>1417</v>
      </c>
      <c r="C1874" t="s">
        <v>8266</v>
      </c>
      <c r="L1874" s="3" t="s">
        <v>4341</v>
      </c>
    </row>
    <row r="1875" spans="1:12" x14ac:dyDescent="0.3">
      <c r="A1875" t="s">
        <v>521</v>
      </c>
      <c r="B1875" t="s">
        <v>362</v>
      </c>
      <c r="C1875" t="s">
        <v>1417</v>
      </c>
      <c r="L1875" s="4" t="s">
        <v>4343</v>
      </c>
    </row>
    <row r="1876" spans="1:12" x14ac:dyDescent="0.3">
      <c r="A1876" t="s">
        <v>5524</v>
      </c>
      <c r="B1876" t="s">
        <v>7473</v>
      </c>
      <c r="C1876" t="s">
        <v>7473</v>
      </c>
      <c r="L1876" s="3" t="s">
        <v>4346</v>
      </c>
    </row>
    <row r="1877" spans="1:12" x14ac:dyDescent="0.3">
      <c r="A1877" t="s">
        <v>1417</v>
      </c>
      <c r="B1877" t="s">
        <v>8267</v>
      </c>
      <c r="C1877" t="s">
        <v>2701</v>
      </c>
      <c r="L1877" s="4" t="s">
        <v>4348</v>
      </c>
    </row>
    <row r="1878" spans="1:12" x14ac:dyDescent="0.3">
      <c r="A1878" t="s">
        <v>5524</v>
      </c>
      <c r="B1878" t="s">
        <v>1417</v>
      </c>
      <c r="C1878" t="s">
        <v>8266</v>
      </c>
      <c r="L1878" s="3" t="s">
        <v>4350</v>
      </c>
    </row>
    <row r="1879" spans="1:12" x14ac:dyDescent="0.3">
      <c r="A1879" t="s">
        <v>362</v>
      </c>
      <c r="B1879" t="s">
        <v>8046</v>
      </c>
      <c r="C1879" t="s">
        <v>497</v>
      </c>
      <c r="L1879" s="4" t="s">
        <v>4352</v>
      </c>
    </row>
    <row r="1880" spans="1:12" x14ac:dyDescent="0.3">
      <c r="A1880" t="s">
        <v>362</v>
      </c>
      <c r="B1880" t="s">
        <v>8269</v>
      </c>
      <c r="C1880" t="s">
        <v>7473</v>
      </c>
      <c r="L1880" s="3" t="s">
        <v>4354</v>
      </c>
    </row>
    <row r="1881" spans="1:12" x14ac:dyDescent="0.3">
      <c r="A1881" t="s">
        <v>521</v>
      </c>
      <c r="B1881" t="s">
        <v>5043</v>
      </c>
      <c r="C1881" t="s">
        <v>5138</v>
      </c>
      <c r="L1881" s="4" t="s">
        <v>4356</v>
      </c>
    </row>
    <row r="1882" spans="1:12" x14ac:dyDescent="0.3">
      <c r="A1882" t="s">
        <v>1417</v>
      </c>
      <c r="B1882" t="s">
        <v>8266</v>
      </c>
      <c r="C1882" t="s">
        <v>4380</v>
      </c>
      <c r="L1882" s="3" t="s">
        <v>4358</v>
      </c>
    </row>
    <row r="1883" spans="1:12" x14ac:dyDescent="0.3">
      <c r="A1883" t="s">
        <v>521</v>
      </c>
      <c r="B1883" t="s">
        <v>4380</v>
      </c>
      <c r="C1883" t="s">
        <v>5138</v>
      </c>
      <c r="L1883" s="4" t="s">
        <v>4360</v>
      </c>
    </row>
    <row r="1884" spans="1:12" x14ac:dyDescent="0.3">
      <c r="A1884" t="s">
        <v>521</v>
      </c>
      <c r="B1884" t="s">
        <v>1417</v>
      </c>
      <c r="C1884" t="s">
        <v>5043</v>
      </c>
      <c r="L1884" s="3" t="s">
        <v>4362</v>
      </c>
    </row>
    <row r="1885" spans="1:12" x14ac:dyDescent="0.3">
      <c r="A1885" t="s">
        <v>521</v>
      </c>
      <c r="B1885" t="s">
        <v>1417</v>
      </c>
      <c r="C1885" t="s">
        <v>497</v>
      </c>
      <c r="L1885" s="4" t="s">
        <v>4364</v>
      </c>
    </row>
    <row r="1886" spans="1:12" x14ac:dyDescent="0.3">
      <c r="A1886" t="s">
        <v>8268</v>
      </c>
      <c r="B1886" t="s">
        <v>1417</v>
      </c>
      <c r="C1886" t="s">
        <v>5138</v>
      </c>
      <c r="L1886" s="3" t="s">
        <v>4366</v>
      </c>
    </row>
    <row r="1887" spans="1:12" x14ac:dyDescent="0.3">
      <c r="A1887" t="s">
        <v>8268</v>
      </c>
      <c r="B1887" t="s">
        <v>8268</v>
      </c>
      <c r="C1887" t="s">
        <v>7473</v>
      </c>
      <c r="L1887" s="4" t="s">
        <v>4368</v>
      </c>
    </row>
    <row r="1888" spans="1:12" x14ac:dyDescent="0.3">
      <c r="A1888" t="s">
        <v>521</v>
      </c>
      <c r="B1888" t="s">
        <v>1417</v>
      </c>
      <c r="C1888" t="s">
        <v>8266</v>
      </c>
      <c r="L1888" s="3" t="s">
        <v>4370</v>
      </c>
    </row>
    <row r="1889" spans="1:12" x14ac:dyDescent="0.3">
      <c r="A1889" t="s">
        <v>668</v>
      </c>
      <c r="B1889" t="s">
        <v>497</v>
      </c>
      <c r="C1889" t="s">
        <v>8269</v>
      </c>
      <c r="L1889" s="4" t="s">
        <v>4372</v>
      </c>
    </row>
    <row r="1890" spans="1:12" x14ac:dyDescent="0.3">
      <c r="A1890" t="s">
        <v>1417</v>
      </c>
      <c r="B1890" t="s">
        <v>668</v>
      </c>
      <c r="C1890" t="s">
        <v>7473</v>
      </c>
      <c r="L1890" s="3" t="s">
        <v>4374</v>
      </c>
    </row>
    <row r="1891" spans="1:12" x14ac:dyDescent="0.3">
      <c r="A1891" t="s">
        <v>668</v>
      </c>
      <c r="B1891" t="s">
        <v>7473</v>
      </c>
      <c r="C1891" t="s">
        <v>4380</v>
      </c>
      <c r="L1891" s="4" t="s">
        <v>4376</v>
      </c>
    </row>
    <row r="1892" spans="1:12" x14ac:dyDescent="0.3">
      <c r="A1892" t="s">
        <v>668</v>
      </c>
      <c r="B1892" t="s">
        <v>1417</v>
      </c>
      <c r="C1892" t="s">
        <v>7473</v>
      </c>
      <c r="L1892" s="3" t="s">
        <v>4378</v>
      </c>
    </row>
    <row r="1893" spans="1:12" x14ac:dyDescent="0.3">
      <c r="A1893" t="s">
        <v>668</v>
      </c>
      <c r="B1893" t="s">
        <v>362</v>
      </c>
      <c r="C1893" t="s">
        <v>1417</v>
      </c>
      <c r="L1893" s="4" t="s">
        <v>4381</v>
      </c>
    </row>
    <row r="1894" spans="1:12" x14ac:dyDescent="0.3">
      <c r="A1894" t="s">
        <v>521</v>
      </c>
      <c r="B1894" t="s">
        <v>668</v>
      </c>
      <c r="C1894" t="s">
        <v>4380</v>
      </c>
      <c r="L1894" s="3" t="s">
        <v>4383</v>
      </c>
    </row>
    <row r="1895" spans="1:12" x14ac:dyDescent="0.3">
      <c r="A1895" t="s">
        <v>521</v>
      </c>
      <c r="B1895" t="s">
        <v>8268</v>
      </c>
      <c r="C1895" t="s">
        <v>8268</v>
      </c>
      <c r="L1895" s="4" t="s">
        <v>4385</v>
      </c>
    </row>
    <row r="1896" spans="1:12" x14ac:dyDescent="0.3">
      <c r="A1896" t="s">
        <v>497</v>
      </c>
      <c r="B1896" t="s">
        <v>8266</v>
      </c>
      <c r="C1896" t="s">
        <v>5138</v>
      </c>
      <c r="L1896" s="3" t="s">
        <v>4387</v>
      </c>
    </row>
    <row r="1897" spans="1:12" x14ac:dyDescent="0.3">
      <c r="A1897" t="s">
        <v>2701</v>
      </c>
      <c r="B1897" t="s">
        <v>362</v>
      </c>
      <c r="C1897" t="s">
        <v>8268</v>
      </c>
      <c r="L1897" s="4" t="s">
        <v>4389</v>
      </c>
    </row>
    <row r="1898" spans="1:12" x14ac:dyDescent="0.3">
      <c r="A1898" t="s">
        <v>1417</v>
      </c>
      <c r="B1898" t="s">
        <v>1417</v>
      </c>
      <c r="C1898" t="s">
        <v>7104</v>
      </c>
      <c r="L1898" s="3" t="s">
        <v>4392</v>
      </c>
    </row>
    <row r="1899" spans="1:12" x14ac:dyDescent="0.3">
      <c r="A1899" t="s">
        <v>362</v>
      </c>
      <c r="B1899" t="s">
        <v>1417</v>
      </c>
      <c r="C1899" t="s">
        <v>7473</v>
      </c>
      <c r="L1899" s="4" t="s">
        <v>4394</v>
      </c>
    </row>
    <row r="1900" spans="1:12" x14ac:dyDescent="0.3">
      <c r="A1900" t="s">
        <v>5524</v>
      </c>
      <c r="B1900" t="s">
        <v>1417</v>
      </c>
      <c r="C1900" t="s">
        <v>7473</v>
      </c>
      <c r="L1900" s="3" t="s">
        <v>4396</v>
      </c>
    </row>
    <row r="1901" spans="1:12" x14ac:dyDescent="0.3">
      <c r="A1901" t="s">
        <v>668</v>
      </c>
      <c r="B1901" t="s">
        <v>1417</v>
      </c>
      <c r="C1901" t="s">
        <v>7473</v>
      </c>
      <c r="L1901" s="4" t="s">
        <v>4398</v>
      </c>
    </row>
    <row r="1902" spans="1:12" x14ac:dyDescent="0.3">
      <c r="A1902" t="s">
        <v>521</v>
      </c>
      <c r="B1902" t="s">
        <v>1417</v>
      </c>
      <c r="C1902" t="s">
        <v>8046</v>
      </c>
      <c r="L1902" s="3" t="s">
        <v>4400</v>
      </c>
    </row>
    <row r="1903" spans="1:12" x14ac:dyDescent="0.3">
      <c r="A1903" t="s">
        <v>1417</v>
      </c>
      <c r="B1903" t="s">
        <v>4843</v>
      </c>
      <c r="C1903" t="s">
        <v>2701</v>
      </c>
      <c r="L1903" s="4" t="s">
        <v>4402</v>
      </c>
    </row>
    <row r="1904" spans="1:12" x14ac:dyDescent="0.3">
      <c r="A1904" t="s">
        <v>668</v>
      </c>
      <c r="B1904" t="s">
        <v>1417</v>
      </c>
      <c r="C1904" t="s">
        <v>1417</v>
      </c>
      <c r="L1904" s="3" t="s">
        <v>4404</v>
      </c>
    </row>
    <row r="1905" spans="1:12" x14ac:dyDescent="0.3">
      <c r="A1905" t="s">
        <v>5524</v>
      </c>
      <c r="B1905" t="s">
        <v>1417</v>
      </c>
      <c r="C1905" t="s">
        <v>8046</v>
      </c>
      <c r="L1905" s="4" t="s">
        <v>4407</v>
      </c>
    </row>
    <row r="1906" spans="1:12" x14ac:dyDescent="0.3">
      <c r="A1906" t="s">
        <v>521</v>
      </c>
      <c r="B1906" t="s">
        <v>4843</v>
      </c>
      <c r="C1906" t="s">
        <v>4380</v>
      </c>
      <c r="L1906" s="3" t="s">
        <v>4409</v>
      </c>
    </row>
    <row r="1907" spans="1:12" x14ac:dyDescent="0.3">
      <c r="A1907" t="s">
        <v>668</v>
      </c>
      <c r="B1907" t="s">
        <v>4843</v>
      </c>
      <c r="C1907" t="s">
        <v>5043</v>
      </c>
      <c r="L1907" s="4" t="s">
        <v>4411</v>
      </c>
    </row>
    <row r="1908" spans="1:12" x14ac:dyDescent="0.3">
      <c r="A1908" t="s">
        <v>8268</v>
      </c>
      <c r="B1908" t="s">
        <v>1417</v>
      </c>
      <c r="C1908" t="s">
        <v>7473</v>
      </c>
      <c r="L1908" s="3" t="s">
        <v>4413</v>
      </c>
    </row>
    <row r="1909" spans="1:12" x14ac:dyDescent="0.3">
      <c r="A1909" t="s">
        <v>521</v>
      </c>
      <c r="B1909" t="s">
        <v>362</v>
      </c>
      <c r="C1909" t="s">
        <v>2701</v>
      </c>
      <c r="L1909" s="4" t="s">
        <v>4418</v>
      </c>
    </row>
    <row r="1910" spans="1:12" x14ac:dyDescent="0.3">
      <c r="A1910" t="s">
        <v>5524</v>
      </c>
      <c r="B1910" t="s">
        <v>1417</v>
      </c>
      <c r="C1910" t="s">
        <v>7104</v>
      </c>
      <c r="L1910" s="3" t="s">
        <v>4420</v>
      </c>
    </row>
    <row r="1911" spans="1:12" x14ac:dyDescent="0.3">
      <c r="A1911" t="s">
        <v>521</v>
      </c>
      <c r="B1911" t="s">
        <v>1417</v>
      </c>
      <c r="C1911" t="s">
        <v>7104</v>
      </c>
      <c r="L1911" s="4" t="s">
        <v>4422</v>
      </c>
    </row>
    <row r="1912" spans="1:12" x14ac:dyDescent="0.3">
      <c r="A1912" t="s">
        <v>521</v>
      </c>
      <c r="B1912" t="s">
        <v>4380</v>
      </c>
      <c r="C1912" t="s">
        <v>4380</v>
      </c>
      <c r="L1912" s="3" t="s">
        <v>4424</v>
      </c>
    </row>
    <row r="1913" spans="1:12" x14ac:dyDescent="0.3">
      <c r="A1913" t="s">
        <v>1417</v>
      </c>
      <c r="B1913" t="s">
        <v>7473</v>
      </c>
      <c r="C1913" t="s">
        <v>2701</v>
      </c>
      <c r="L1913" s="4" t="s">
        <v>4426</v>
      </c>
    </row>
    <row r="1914" spans="1:12" x14ac:dyDescent="0.3">
      <c r="A1914" t="s">
        <v>362</v>
      </c>
      <c r="B1914" t="s">
        <v>1417</v>
      </c>
      <c r="C1914" t="s">
        <v>5138</v>
      </c>
      <c r="L1914" s="3" t="s">
        <v>4428</v>
      </c>
    </row>
    <row r="1915" spans="1:12" x14ac:dyDescent="0.3">
      <c r="A1915" t="s">
        <v>362</v>
      </c>
      <c r="B1915" t="s">
        <v>668</v>
      </c>
      <c r="C1915" t="s">
        <v>5043</v>
      </c>
      <c r="L1915" s="4" t="s">
        <v>4430</v>
      </c>
    </row>
    <row r="1916" spans="1:12" x14ac:dyDescent="0.3">
      <c r="A1916" t="s">
        <v>521</v>
      </c>
      <c r="B1916" t="s">
        <v>8267</v>
      </c>
      <c r="C1916" t="s">
        <v>4380</v>
      </c>
      <c r="L1916" s="3" t="s">
        <v>4432</v>
      </c>
    </row>
    <row r="1917" spans="1:12" x14ac:dyDescent="0.3">
      <c r="A1917" t="s">
        <v>668</v>
      </c>
      <c r="B1917" t="s">
        <v>8268</v>
      </c>
      <c r="C1917" t="s">
        <v>4380</v>
      </c>
      <c r="L1917" s="4" t="s">
        <v>4434</v>
      </c>
    </row>
    <row r="1918" spans="1:12" x14ac:dyDescent="0.3">
      <c r="A1918" t="s">
        <v>521</v>
      </c>
      <c r="B1918" t="s">
        <v>8266</v>
      </c>
      <c r="C1918" t="s">
        <v>7473</v>
      </c>
      <c r="L1918" s="3" t="s">
        <v>4436</v>
      </c>
    </row>
    <row r="1919" spans="1:12" x14ac:dyDescent="0.3">
      <c r="A1919" t="s">
        <v>668</v>
      </c>
      <c r="B1919" t="s">
        <v>1417</v>
      </c>
      <c r="C1919" t="s">
        <v>1417</v>
      </c>
      <c r="L1919" s="4" t="s">
        <v>4438</v>
      </c>
    </row>
    <row r="1920" spans="1:12" x14ac:dyDescent="0.3">
      <c r="A1920" t="s">
        <v>668</v>
      </c>
      <c r="B1920" t="s">
        <v>7473</v>
      </c>
      <c r="C1920" t="s">
        <v>7473</v>
      </c>
      <c r="L1920" s="3" t="s">
        <v>4441</v>
      </c>
    </row>
    <row r="1921" spans="1:12" x14ac:dyDescent="0.3">
      <c r="A1921" t="s">
        <v>5524</v>
      </c>
      <c r="B1921" t="s">
        <v>8268</v>
      </c>
      <c r="C1921" t="s">
        <v>7473</v>
      </c>
      <c r="L1921" s="4" t="s">
        <v>4443</v>
      </c>
    </row>
    <row r="1922" spans="1:12" x14ac:dyDescent="0.3">
      <c r="A1922" t="s">
        <v>1417</v>
      </c>
      <c r="B1922" t="s">
        <v>5043</v>
      </c>
      <c r="C1922" t="s">
        <v>1417</v>
      </c>
      <c r="L1922" s="3" t="s">
        <v>4445</v>
      </c>
    </row>
    <row r="1923" spans="1:12" x14ac:dyDescent="0.3">
      <c r="A1923" t="s">
        <v>668</v>
      </c>
      <c r="B1923" t="s">
        <v>1417</v>
      </c>
      <c r="C1923" t="s">
        <v>1417</v>
      </c>
      <c r="L1923" s="4" t="s">
        <v>4447</v>
      </c>
    </row>
    <row r="1924" spans="1:12" x14ac:dyDescent="0.3">
      <c r="A1924" t="s">
        <v>2701</v>
      </c>
      <c r="B1924" t="s">
        <v>8266</v>
      </c>
      <c r="C1924" t="s">
        <v>4380</v>
      </c>
      <c r="L1924" s="3" t="s">
        <v>4449</v>
      </c>
    </row>
    <row r="1925" spans="1:12" x14ac:dyDescent="0.3">
      <c r="A1925" t="s">
        <v>668</v>
      </c>
      <c r="B1925" t="s">
        <v>1417</v>
      </c>
      <c r="C1925" t="s">
        <v>4380</v>
      </c>
      <c r="L1925" s="4" t="s">
        <v>4451</v>
      </c>
    </row>
    <row r="1926" spans="1:12" x14ac:dyDescent="0.3">
      <c r="A1926" t="s">
        <v>521</v>
      </c>
      <c r="B1926" t="s">
        <v>7473</v>
      </c>
      <c r="C1926" t="s">
        <v>497</v>
      </c>
      <c r="L1926" s="3" t="s">
        <v>4453</v>
      </c>
    </row>
    <row r="1927" spans="1:12" x14ac:dyDescent="0.3">
      <c r="A1927" t="s">
        <v>1417</v>
      </c>
      <c r="B1927" t="s">
        <v>8268</v>
      </c>
      <c r="C1927" t="s">
        <v>497</v>
      </c>
      <c r="L1927" s="4" t="s">
        <v>4455</v>
      </c>
    </row>
    <row r="1928" spans="1:12" x14ac:dyDescent="0.3">
      <c r="A1928" t="s">
        <v>668</v>
      </c>
      <c r="B1928" t="s">
        <v>8269</v>
      </c>
      <c r="C1928" t="s">
        <v>5043</v>
      </c>
      <c r="L1928" s="3" t="s">
        <v>4457</v>
      </c>
    </row>
    <row r="1929" spans="1:12" x14ac:dyDescent="0.3">
      <c r="A1929" t="s">
        <v>668</v>
      </c>
      <c r="B1929" t="s">
        <v>668</v>
      </c>
      <c r="C1929" t="s">
        <v>7473</v>
      </c>
      <c r="L1929" s="4" t="s">
        <v>4459</v>
      </c>
    </row>
    <row r="1930" spans="1:12" x14ac:dyDescent="0.3">
      <c r="A1930" t="s">
        <v>521</v>
      </c>
      <c r="B1930" t="s">
        <v>1417</v>
      </c>
      <c r="C1930" t="s">
        <v>5138</v>
      </c>
      <c r="L1930" s="3" t="s">
        <v>4461</v>
      </c>
    </row>
    <row r="1931" spans="1:12" x14ac:dyDescent="0.3">
      <c r="A1931" t="s">
        <v>8268</v>
      </c>
      <c r="B1931" t="s">
        <v>7473</v>
      </c>
      <c r="C1931" t="s">
        <v>8267</v>
      </c>
      <c r="L1931" s="4" t="s">
        <v>4463</v>
      </c>
    </row>
    <row r="1932" spans="1:12" x14ac:dyDescent="0.3">
      <c r="A1932" t="s">
        <v>1417</v>
      </c>
      <c r="B1932" t="s">
        <v>668</v>
      </c>
      <c r="C1932" t="s">
        <v>7104</v>
      </c>
      <c r="L1932" s="3" t="s">
        <v>4465</v>
      </c>
    </row>
    <row r="1933" spans="1:12" x14ac:dyDescent="0.3">
      <c r="A1933" t="s">
        <v>5524</v>
      </c>
      <c r="B1933" t="s">
        <v>7104</v>
      </c>
      <c r="C1933" t="s">
        <v>8267</v>
      </c>
      <c r="L1933" s="4" t="s">
        <v>4467</v>
      </c>
    </row>
    <row r="1934" spans="1:12" x14ac:dyDescent="0.3">
      <c r="A1934" t="s">
        <v>668</v>
      </c>
      <c r="B1934" t="s">
        <v>8267</v>
      </c>
      <c r="C1934" t="s">
        <v>8268</v>
      </c>
      <c r="L1934" s="3" t="s">
        <v>4469</v>
      </c>
    </row>
    <row r="1935" spans="1:12" x14ac:dyDescent="0.3">
      <c r="A1935" t="s">
        <v>521</v>
      </c>
      <c r="B1935" t="s">
        <v>1417</v>
      </c>
      <c r="C1935" t="s">
        <v>2701</v>
      </c>
      <c r="L1935" s="4" t="s">
        <v>4471</v>
      </c>
    </row>
    <row r="1936" spans="1:12" x14ac:dyDescent="0.3">
      <c r="A1936" t="s">
        <v>668</v>
      </c>
      <c r="B1936" t="s">
        <v>7473</v>
      </c>
      <c r="C1936" t="s">
        <v>2701</v>
      </c>
      <c r="L1936" s="3" t="s">
        <v>4473</v>
      </c>
    </row>
    <row r="1937" spans="1:12" x14ac:dyDescent="0.3">
      <c r="A1937" t="s">
        <v>668</v>
      </c>
      <c r="B1937" t="s">
        <v>2701</v>
      </c>
      <c r="C1937" t="s">
        <v>4380</v>
      </c>
      <c r="L1937" s="4" t="s">
        <v>4475</v>
      </c>
    </row>
    <row r="1938" spans="1:12" x14ac:dyDescent="0.3">
      <c r="A1938" t="s">
        <v>521</v>
      </c>
      <c r="B1938" t="s">
        <v>1417</v>
      </c>
      <c r="C1938" t="s">
        <v>7104</v>
      </c>
      <c r="L1938" s="3" t="s">
        <v>4477</v>
      </c>
    </row>
    <row r="1939" spans="1:12" x14ac:dyDescent="0.3">
      <c r="A1939" t="s">
        <v>8268</v>
      </c>
      <c r="B1939" t="s">
        <v>7104</v>
      </c>
      <c r="C1939" t="s">
        <v>1417</v>
      </c>
      <c r="L1939" s="4" t="s">
        <v>4479</v>
      </c>
    </row>
    <row r="1940" spans="1:12" x14ac:dyDescent="0.3">
      <c r="A1940" t="s">
        <v>362</v>
      </c>
      <c r="B1940" t="s">
        <v>362</v>
      </c>
      <c r="C1940" t="s">
        <v>7104</v>
      </c>
      <c r="L1940" s="3" t="s">
        <v>4481</v>
      </c>
    </row>
    <row r="1941" spans="1:12" x14ac:dyDescent="0.3">
      <c r="A1941" t="s">
        <v>668</v>
      </c>
      <c r="B1941" t="s">
        <v>7473</v>
      </c>
      <c r="C1941" t="s">
        <v>4380</v>
      </c>
      <c r="L1941" s="4" t="s">
        <v>4483</v>
      </c>
    </row>
    <row r="1942" spans="1:12" x14ac:dyDescent="0.3">
      <c r="A1942" t="s">
        <v>8268</v>
      </c>
      <c r="B1942" t="s">
        <v>8268</v>
      </c>
      <c r="C1942" t="s">
        <v>497</v>
      </c>
      <c r="L1942" s="3" t="s">
        <v>4485</v>
      </c>
    </row>
    <row r="1943" spans="1:12" x14ac:dyDescent="0.3">
      <c r="A1943" t="s">
        <v>1417</v>
      </c>
      <c r="B1943" t="s">
        <v>4843</v>
      </c>
      <c r="C1943" t="s">
        <v>4380</v>
      </c>
      <c r="L1943" s="4" t="s">
        <v>4487</v>
      </c>
    </row>
    <row r="1944" spans="1:12" x14ac:dyDescent="0.3">
      <c r="A1944" t="s">
        <v>668</v>
      </c>
      <c r="B1944" t="s">
        <v>668</v>
      </c>
      <c r="C1944" t="s">
        <v>5138</v>
      </c>
      <c r="L1944" s="3" t="s">
        <v>4490</v>
      </c>
    </row>
    <row r="1945" spans="1:12" x14ac:dyDescent="0.3">
      <c r="A1945" t="s">
        <v>668</v>
      </c>
      <c r="B1945" t="s">
        <v>362</v>
      </c>
      <c r="C1945" t="s">
        <v>4380</v>
      </c>
      <c r="L1945" s="4" t="s">
        <v>4492</v>
      </c>
    </row>
    <row r="1946" spans="1:12" x14ac:dyDescent="0.3">
      <c r="A1946" t="s">
        <v>5524</v>
      </c>
      <c r="B1946" t="s">
        <v>8267</v>
      </c>
      <c r="C1946" t="s">
        <v>4380</v>
      </c>
      <c r="L1946" s="3" t="s">
        <v>4495</v>
      </c>
    </row>
    <row r="1947" spans="1:12" x14ac:dyDescent="0.3">
      <c r="A1947" t="s">
        <v>1417</v>
      </c>
      <c r="B1947" t="s">
        <v>362</v>
      </c>
      <c r="C1947" t="s">
        <v>4380</v>
      </c>
      <c r="L1947" s="4" t="s">
        <v>4497</v>
      </c>
    </row>
    <row r="1948" spans="1:12" x14ac:dyDescent="0.3">
      <c r="A1948" t="s">
        <v>668</v>
      </c>
      <c r="B1948" t="s">
        <v>668</v>
      </c>
      <c r="C1948" t="s">
        <v>4380</v>
      </c>
      <c r="L1948" s="3" t="s">
        <v>4499</v>
      </c>
    </row>
    <row r="1949" spans="1:12" x14ac:dyDescent="0.3">
      <c r="A1949" t="s">
        <v>4843</v>
      </c>
      <c r="B1949" t="s">
        <v>8268</v>
      </c>
      <c r="C1949" t="s">
        <v>5138</v>
      </c>
      <c r="L1949" s="4" t="s">
        <v>4501</v>
      </c>
    </row>
    <row r="1950" spans="1:12" x14ac:dyDescent="0.3">
      <c r="A1950" t="s">
        <v>1417</v>
      </c>
      <c r="B1950" t="s">
        <v>4380</v>
      </c>
      <c r="C1950" t="s">
        <v>4380</v>
      </c>
      <c r="L1950" s="3" t="s">
        <v>4503</v>
      </c>
    </row>
    <row r="1951" spans="1:12" x14ac:dyDescent="0.3">
      <c r="A1951" t="s">
        <v>521</v>
      </c>
      <c r="B1951" t="s">
        <v>5138</v>
      </c>
      <c r="C1951" t="s">
        <v>668</v>
      </c>
      <c r="L1951" s="4" t="s">
        <v>4505</v>
      </c>
    </row>
    <row r="1952" spans="1:12" x14ac:dyDescent="0.3">
      <c r="A1952" t="s">
        <v>497</v>
      </c>
      <c r="B1952" t="s">
        <v>7473</v>
      </c>
      <c r="C1952" t="s">
        <v>497</v>
      </c>
      <c r="L1952" s="3" t="s">
        <v>4507</v>
      </c>
    </row>
    <row r="1953" spans="1:12" x14ac:dyDescent="0.3">
      <c r="A1953" t="s">
        <v>521</v>
      </c>
      <c r="B1953" t="s">
        <v>7473</v>
      </c>
      <c r="C1953" t="s">
        <v>6902</v>
      </c>
      <c r="L1953" s="4" t="s">
        <v>4509</v>
      </c>
    </row>
    <row r="1954" spans="1:12" x14ac:dyDescent="0.3">
      <c r="A1954" t="s">
        <v>668</v>
      </c>
      <c r="B1954" t="s">
        <v>668</v>
      </c>
      <c r="C1954" t="s">
        <v>4380</v>
      </c>
      <c r="L1954" s="3" t="s">
        <v>4512</v>
      </c>
    </row>
    <row r="1955" spans="1:12" x14ac:dyDescent="0.3">
      <c r="A1955" t="s">
        <v>668</v>
      </c>
      <c r="B1955" t="s">
        <v>4380</v>
      </c>
      <c r="C1955" t="s">
        <v>5043</v>
      </c>
      <c r="L1955" s="4" t="s">
        <v>4515</v>
      </c>
    </row>
    <row r="1956" spans="1:12" x14ac:dyDescent="0.3">
      <c r="A1956" t="s">
        <v>521</v>
      </c>
      <c r="B1956" t="s">
        <v>7104</v>
      </c>
      <c r="C1956" t="s">
        <v>7473</v>
      </c>
      <c r="L1956" s="3" t="s">
        <v>4517</v>
      </c>
    </row>
    <row r="1957" spans="1:12" x14ac:dyDescent="0.3">
      <c r="A1957" t="s">
        <v>362</v>
      </c>
      <c r="B1957" t="s">
        <v>1417</v>
      </c>
      <c r="C1957" t="s">
        <v>7473</v>
      </c>
      <c r="L1957" s="4" t="s">
        <v>4519</v>
      </c>
    </row>
    <row r="1958" spans="1:12" x14ac:dyDescent="0.3">
      <c r="A1958" t="s">
        <v>1417</v>
      </c>
      <c r="B1958" t="s">
        <v>7473</v>
      </c>
      <c r="C1958" t="s">
        <v>7473</v>
      </c>
      <c r="L1958" s="3" t="s">
        <v>4521</v>
      </c>
    </row>
    <row r="1959" spans="1:12" x14ac:dyDescent="0.3">
      <c r="A1959" t="s">
        <v>362</v>
      </c>
      <c r="B1959" t="s">
        <v>8268</v>
      </c>
      <c r="C1959" t="s">
        <v>8266</v>
      </c>
      <c r="L1959" s="4" t="s">
        <v>4524</v>
      </c>
    </row>
    <row r="1960" spans="1:12" x14ac:dyDescent="0.3">
      <c r="A1960" t="s">
        <v>1417</v>
      </c>
      <c r="B1960" t="s">
        <v>4380</v>
      </c>
      <c r="C1960" t="s">
        <v>7473</v>
      </c>
      <c r="L1960" s="3" t="s">
        <v>4526</v>
      </c>
    </row>
    <row r="1961" spans="1:12" x14ac:dyDescent="0.3">
      <c r="A1961" t="s">
        <v>1417</v>
      </c>
      <c r="B1961" t="s">
        <v>2701</v>
      </c>
      <c r="C1961" t="s">
        <v>8046</v>
      </c>
      <c r="L1961" s="4" t="s">
        <v>4528</v>
      </c>
    </row>
    <row r="1962" spans="1:12" x14ac:dyDescent="0.3">
      <c r="A1962" t="s">
        <v>2701</v>
      </c>
      <c r="B1962" t="s">
        <v>668</v>
      </c>
      <c r="C1962" t="s">
        <v>7473</v>
      </c>
      <c r="L1962" s="3" t="s">
        <v>4530</v>
      </c>
    </row>
    <row r="1963" spans="1:12" x14ac:dyDescent="0.3">
      <c r="A1963" t="s">
        <v>668</v>
      </c>
      <c r="B1963" t="s">
        <v>7473</v>
      </c>
      <c r="C1963" t="s">
        <v>7473</v>
      </c>
      <c r="L1963" s="4" t="s">
        <v>4532</v>
      </c>
    </row>
    <row r="1964" spans="1:12" x14ac:dyDescent="0.3">
      <c r="A1964" t="s">
        <v>2701</v>
      </c>
      <c r="B1964" t="s">
        <v>8268</v>
      </c>
      <c r="C1964" t="s">
        <v>7104</v>
      </c>
      <c r="L1964" s="3" t="s">
        <v>4534</v>
      </c>
    </row>
    <row r="1965" spans="1:12" x14ac:dyDescent="0.3">
      <c r="A1965" t="s">
        <v>668</v>
      </c>
      <c r="B1965" t="s">
        <v>1417</v>
      </c>
      <c r="C1965" t="s">
        <v>1417</v>
      </c>
      <c r="L1965" s="4" t="s">
        <v>4536</v>
      </c>
    </row>
    <row r="1966" spans="1:12" x14ac:dyDescent="0.3">
      <c r="A1966" t="s">
        <v>521</v>
      </c>
      <c r="B1966" t="s">
        <v>1417</v>
      </c>
      <c r="C1966" t="s">
        <v>4380</v>
      </c>
      <c r="L1966" s="3" t="s">
        <v>4539</v>
      </c>
    </row>
    <row r="1967" spans="1:12" x14ac:dyDescent="0.3">
      <c r="A1967" t="s">
        <v>668</v>
      </c>
      <c r="B1967" t="s">
        <v>6171</v>
      </c>
      <c r="C1967" t="s">
        <v>1417</v>
      </c>
      <c r="L1967" s="4" t="s">
        <v>4541</v>
      </c>
    </row>
    <row r="1968" spans="1:12" x14ac:dyDescent="0.3">
      <c r="A1968" t="s">
        <v>5524</v>
      </c>
      <c r="B1968" t="s">
        <v>1417</v>
      </c>
      <c r="C1968" t="s">
        <v>8266</v>
      </c>
      <c r="L1968" s="3" t="s">
        <v>4543</v>
      </c>
    </row>
    <row r="1969" spans="1:12" x14ac:dyDescent="0.3">
      <c r="A1969" t="s">
        <v>668</v>
      </c>
      <c r="B1969" t="s">
        <v>8268</v>
      </c>
      <c r="C1969" t="s">
        <v>2701</v>
      </c>
      <c r="L1969" s="4" t="s">
        <v>4546</v>
      </c>
    </row>
    <row r="1970" spans="1:12" x14ac:dyDescent="0.3">
      <c r="A1970" t="s">
        <v>2701</v>
      </c>
      <c r="B1970" t="s">
        <v>1417</v>
      </c>
      <c r="C1970" t="s">
        <v>4380</v>
      </c>
      <c r="L1970" s="3" t="s">
        <v>4548</v>
      </c>
    </row>
    <row r="1971" spans="1:12" x14ac:dyDescent="0.3">
      <c r="A1971" t="s">
        <v>1417</v>
      </c>
      <c r="B1971" t="s">
        <v>2701</v>
      </c>
      <c r="C1971" t="s">
        <v>2701</v>
      </c>
      <c r="L1971" s="4" t="s">
        <v>4550</v>
      </c>
    </row>
    <row r="1972" spans="1:12" x14ac:dyDescent="0.3">
      <c r="A1972" t="s">
        <v>1417</v>
      </c>
      <c r="B1972" t="s">
        <v>668</v>
      </c>
      <c r="C1972" t="s">
        <v>7473</v>
      </c>
      <c r="L1972" s="3" t="s">
        <v>4553</v>
      </c>
    </row>
    <row r="1973" spans="1:12" x14ac:dyDescent="0.3">
      <c r="A1973" t="s">
        <v>521</v>
      </c>
      <c r="B1973" t="s">
        <v>8269</v>
      </c>
      <c r="C1973" t="s">
        <v>5138</v>
      </c>
      <c r="L1973" s="4" t="s">
        <v>4555</v>
      </c>
    </row>
    <row r="1974" spans="1:12" x14ac:dyDescent="0.3">
      <c r="A1974" t="s">
        <v>521</v>
      </c>
      <c r="B1974" t="s">
        <v>497</v>
      </c>
      <c r="C1974" t="s">
        <v>4380</v>
      </c>
      <c r="L1974" s="3" t="s">
        <v>4557</v>
      </c>
    </row>
    <row r="1975" spans="1:12" x14ac:dyDescent="0.3">
      <c r="A1975" t="s">
        <v>8268</v>
      </c>
      <c r="B1975" t="s">
        <v>7473</v>
      </c>
      <c r="C1975" t="s">
        <v>8266</v>
      </c>
      <c r="L1975" s="4" t="s">
        <v>4559</v>
      </c>
    </row>
    <row r="1976" spans="1:12" x14ac:dyDescent="0.3">
      <c r="A1976" t="s">
        <v>5524</v>
      </c>
      <c r="B1976" t="s">
        <v>1417</v>
      </c>
      <c r="C1976" t="s">
        <v>497</v>
      </c>
      <c r="L1976" s="3" t="s">
        <v>4562</v>
      </c>
    </row>
    <row r="1977" spans="1:12" x14ac:dyDescent="0.3">
      <c r="A1977" t="s">
        <v>5524</v>
      </c>
      <c r="B1977" t="s">
        <v>7104</v>
      </c>
      <c r="C1977" t="s">
        <v>1417</v>
      </c>
      <c r="L1977" s="4" t="s">
        <v>4564</v>
      </c>
    </row>
    <row r="1978" spans="1:12" x14ac:dyDescent="0.3">
      <c r="A1978" t="s">
        <v>521</v>
      </c>
      <c r="B1978" t="s">
        <v>7104</v>
      </c>
      <c r="C1978" t="s">
        <v>2701</v>
      </c>
      <c r="L1978" s="3" t="s">
        <v>4566</v>
      </c>
    </row>
    <row r="1979" spans="1:12" x14ac:dyDescent="0.3">
      <c r="A1979" t="s">
        <v>668</v>
      </c>
      <c r="B1979" t="s">
        <v>7473</v>
      </c>
      <c r="C1979" t="s">
        <v>4380</v>
      </c>
      <c r="L1979" s="4" t="s">
        <v>4568</v>
      </c>
    </row>
    <row r="1980" spans="1:12" x14ac:dyDescent="0.3">
      <c r="A1980" t="s">
        <v>1417</v>
      </c>
      <c r="B1980" t="s">
        <v>5138</v>
      </c>
      <c r="C1980" t="s">
        <v>4380</v>
      </c>
      <c r="L1980" s="3" t="s">
        <v>4570</v>
      </c>
    </row>
    <row r="1981" spans="1:12" x14ac:dyDescent="0.3">
      <c r="A1981" t="s">
        <v>5524</v>
      </c>
      <c r="B1981" t="s">
        <v>1417</v>
      </c>
      <c r="C1981" t="s">
        <v>1417</v>
      </c>
      <c r="L1981" s="4" t="s">
        <v>4572</v>
      </c>
    </row>
    <row r="1982" spans="1:12" x14ac:dyDescent="0.3">
      <c r="A1982" t="s">
        <v>1417</v>
      </c>
      <c r="B1982" t="s">
        <v>1417</v>
      </c>
      <c r="C1982" t="s">
        <v>4380</v>
      </c>
      <c r="L1982" s="3" t="s">
        <v>4574</v>
      </c>
    </row>
    <row r="1983" spans="1:12" x14ac:dyDescent="0.3">
      <c r="A1983" t="s">
        <v>1417</v>
      </c>
      <c r="B1983" t="s">
        <v>8268</v>
      </c>
      <c r="C1983" t="s">
        <v>1417</v>
      </c>
      <c r="L1983" s="4" t="s">
        <v>4576</v>
      </c>
    </row>
    <row r="1984" spans="1:12" x14ac:dyDescent="0.3">
      <c r="A1984" t="s">
        <v>1417</v>
      </c>
      <c r="B1984" t="s">
        <v>1417</v>
      </c>
      <c r="C1984" t="s">
        <v>4380</v>
      </c>
      <c r="L1984" s="3" t="s">
        <v>4578</v>
      </c>
    </row>
    <row r="1985" spans="1:12" x14ac:dyDescent="0.3">
      <c r="A1985" t="s">
        <v>1417</v>
      </c>
      <c r="B1985" t="s">
        <v>497</v>
      </c>
      <c r="C1985" t="s">
        <v>8266</v>
      </c>
      <c r="L1985" s="4" t="s">
        <v>4580</v>
      </c>
    </row>
    <row r="1986" spans="1:12" x14ac:dyDescent="0.3">
      <c r="A1986" t="s">
        <v>2701</v>
      </c>
      <c r="B1986" t="s">
        <v>4380</v>
      </c>
      <c r="C1986" t="s">
        <v>8046</v>
      </c>
      <c r="L1986" s="3" t="s">
        <v>4582</v>
      </c>
    </row>
    <row r="1987" spans="1:12" x14ac:dyDescent="0.3">
      <c r="A1987" t="s">
        <v>668</v>
      </c>
      <c r="B1987" t="s">
        <v>8268</v>
      </c>
      <c r="C1987" t="s">
        <v>4380</v>
      </c>
      <c r="L1987" s="4" t="s">
        <v>4584</v>
      </c>
    </row>
    <row r="1988" spans="1:12" x14ac:dyDescent="0.3">
      <c r="A1988" t="s">
        <v>521</v>
      </c>
      <c r="B1988" t="s">
        <v>1417</v>
      </c>
      <c r="C1988" t="s">
        <v>1417</v>
      </c>
      <c r="L1988" s="3" t="s">
        <v>4586</v>
      </c>
    </row>
    <row r="1989" spans="1:12" x14ac:dyDescent="0.3">
      <c r="A1989" t="s">
        <v>668</v>
      </c>
      <c r="B1989" t="s">
        <v>1417</v>
      </c>
      <c r="C1989" t="s">
        <v>497</v>
      </c>
      <c r="L1989" s="4" t="s">
        <v>4589</v>
      </c>
    </row>
    <row r="1990" spans="1:12" x14ac:dyDescent="0.3">
      <c r="A1990" t="s">
        <v>521</v>
      </c>
      <c r="B1990" t="s">
        <v>2701</v>
      </c>
      <c r="C1990" t="s">
        <v>497</v>
      </c>
      <c r="L1990" s="3" t="s">
        <v>4591</v>
      </c>
    </row>
    <row r="1991" spans="1:12" x14ac:dyDescent="0.3">
      <c r="A1991" t="s">
        <v>362</v>
      </c>
      <c r="B1991" t="s">
        <v>8268</v>
      </c>
      <c r="C1991" t="s">
        <v>7104</v>
      </c>
      <c r="L1991" s="4" t="s">
        <v>4593</v>
      </c>
    </row>
    <row r="1992" spans="1:12" x14ac:dyDescent="0.3">
      <c r="A1992" t="s">
        <v>362</v>
      </c>
      <c r="B1992" t="s">
        <v>7104</v>
      </c>
      <c r="C1992" t="s">
        <v>4380</v>
      </c>
      <c r="L1992" s="3" t="s">
        <v>4595</v>
      </c>
    </row>
    <row r="1993" spans="1:12" x14ac:dyDescent="0.3">
      <c r="A1993" t="s">
        <v>521</v>
      </c>
      <c r="B1993" t="s">
        <v>1417</v>
      </c>
      <c r="C1993" t="s">
        <v>497</v>
      </c>
      <c r="L1993" s="4" t="s">
        <v>4597</v>
      </c>
    </row>
    <row r="1994" spans="1:12" x14ac:dyDescent="0.3">
      <c r="A1994" t="s">
        <v>668</v>
      </c>
      <c r="B1994" t="s">
        <v>362</v>
      </c>
      <c r="C1994" t="s">
        <v>1417</v>
      </c>
      <c r="L1994" s="3" t="s">
        <v>4599</v>
      </c>
    </row>
    <row r="1995" spans="1:12" x14ac:dyDescent="0.3">
      <c r="A1995" t="s">
        <v>5524</v>
      </c>
      <c r="B1995" t="s">
        <v>1417</v>
      </c>
      <c r="C1995" t="s">
        <v>7473</v>
      </c>
      <c r="L1995" s="4" t="s">
        <v>4601</v>
      </c>
    </row>
    <row r="1996" spans="1:12" x14ac:dyDescent="0.3">
      <c r="A1996" t="s">
        <v>521</v>
      </c>
      <c r="B1996" t="s">
        <v>8266</v>
      </c>
      <c r="C1996" t="s">
        <v>5043</v>
      </c>
      <c r="L1996" s="3" t="s">
        <v>4603</v>
      </c>
    </row>
    <row r="1997" spans="1:12" x14ac:dyDescent="0.3">
      <c r="A1997" t="s">
        <v>521</v>
      </c>
      <c r="B1997" t="s">
        <v>5043</v>
      </c>
      <c r="C1997" t="s">
        <v>5043</v>
      </c>
      <c r="L1997" s="4" t="s">
        <v>4605</v>
      </c>
    </row>
    <row r="1998" spans="1:12" x14ac:dyDescent="0.3">
      <c r="A1998" t="s">
        <v>668</v>
      </c>
      <c r="B1998" t="s">
        <v>8268</v>
      </c>
      <c r="C1998" t="s">
        <v>4380</v>
      </c>
      <c r="L1998" s="3" t="s">
        <v>4607</v>
      </c>
    </row>
    <row r="1999" spans="1:12" x14ac:dyDescent="0.3">
      <c r="A1999" t="s">
        <v>1417</v>
      </c>
      <c r="B1999" t="s">
        <v>668</v>
      </c>
      <c r="C1999" t="s">
        <v>668</v>
      </c>
      <c r="L1999" s="4" t="s">
        <v>4609</v>
      </c>
    </row>
    <row r="2000" spans="1:12" x14ac:dyDescent="0.3">
      <c r="A2000" t="s">
        <v>521</v>
      </c>
      <c r="B2000" t="s">
        <v>8268</v>
      </c>
      <c r="C2000" t="s">
        <v>1417</v>
      </c>
      <c r="L2000" s="3" t="s">
        <v>4611</v>
      </c>
    </row>
    <row r="2001" spans="1:12" x14ac:dyDescent="0.3">
      <c r="A2001" t="s">
        <v>668</v>
      </c>
      <c r="B2001" t="s">
        <v>362</v>
      </c>
      <c r="C2001" t="s">
        <v>8269</v>
      </c>
      <c r="L2001" s="4" t="s">
        <v>4613</v>
      </c>
    </row>
    <row r="2002" spans="1:12" x14ac:dyDescent="0.3">
      <c r="A2002" t="s">
        <v>8268</v>
      </c>
      <c r="B2002" t="s">
        <v>1417</v>
      </c>
      <c r="C2002" t="s">
        <v>7104</v>
      </c>
      <c r="L2002" s="3" t="s">
        <v>4616</v>
      </c>
    </row>
    <row r="2003" spans="1:12" x14ac:dyDescent="0.3">
      <c r="A2003" t="s">
        <v>497</v>
      </c>
      <c r="B2003" t="s">
        <v>7104</v>
      </c>
      <c r="C2003" t="s">
        <v>1417</v>
      </c>
      <c r="L2003" s="4" t="s">
        <v>4618</v>
      </c>
    </row>
    <row r="2004" spans="1:12" x14ac:dyDescent="0.3">
      <c r="A2004" t="s">
        <v>5524</v>
      </c>
      <c r="B2004" t="s">
        <v>8268</v>
      </c>
      <c r="C2004" t="s">
        <v>7473</v>
      </c>
      <c r="L2004" s="3" t="s">
        <v>4620</v>
      </c>
    </row>
    <row r="2005" spans="1:12" x14ac:dyDescent="0.3">
      <c r="A2005" t="s">
        <v>1417</v>
      </c>
      <c r="B2005" t="s">
        <v>7473</v>
      </c>
      <c r="C2005" t="s">
        <v>5138</v>
      </c>
      <c r="L2005" s="4" t="s">
        <v>4622</v>
      </c>
    </row>
    <row r="2006" spans="1:12" x14ac:dyDescent="0.3">
      <c r="A2006" t="s">
        <v>8268</v>
      </c>
      <c r="B2006" t="s">
        <v>4380</v>
      </c>
      <c r="C2006" t="s">
        <v>4380</v>
      </c>
      <c r="L2006" s="3" t="s">
        <v>4625</v>
      </c>
    </row>
    <row r="2007" spans="1:12" x14ac:dyDescent="0.3">
      <c r="A2007" t="s">
        <v>8268</v>
      </c>
      <c r="B2007" t="s">
        <v>8046</v>
      </c>
      <c r="C2007" t="s">
        <v>7473</v>
      </c>
      <c r="L2007" s="4" t="s">
        <v>4628</v>
      </c>
    </row>
    <row r="2008" spans="1:12" x14ac:dyDescent="0.3">
      <c r="A2008" t="s">
        <v>362</v>
      </c>
      <c r="B2008" t="s">
        <v>668</v>
      </c>
      <c r="C2008" t="s">
        <v>8046</v>
      </c>
      <c r="L2008" s="3" t="s">
        <v>4630</v>
      </c>
    </row>
    <row r="2009" spans="1:12" x14ac:dyDescent="0.3">
      <c r="A2009" t="s">
        <v>668</v>
      </c>
      <c r="B2009" t="s">
        <v>8268</v>
      </c>
      <c r="C2009" t="s">
        <v>668</v>
      </c>
      <c r="L2009" s="4" t="s">
        <v>4632</v>
      </c>
    </row>
    <row r="2010" spans="1:12" x14ac:dyDescent="0.3">
      <c r="A2010" t="s">
        <v>668</v>
      </c>
      <c r="B2010" t="s">
        <v>8266</v>
      </c>
      <c r="C2010" t="s">
        <v>8268</v>
      </c>
      <c r="L2010" s="3" t="s">
        <v>4634</v>
      </c>
    </row>
    <row r="2011" spans="1:12" x14ac:dyDescent="0.3">
      <c r="A2011" t="s">
        <v>362</v>
      </c>
      <c r="B2011" t="s">
        <v>1417</v>
      </c>
      <c r="C2011" t="s">
        <v>2701</v>
      </c>
      <c r="L2011" s="4" t="s">
        <v>4636</v>
      </c>
    </row>
    <row r="2012" spans="1:12" x14ac:dyDescent="0.3">
      <c r="A2012" t="s">
        <v>362</v>
      </c>
      <c r="B2012" t="s">
        <v>4380</v>
      </c>
      <c r="C2012" t="s">
        <v>4380</v>
      </c>
      <c r="L2012" s="3" t="s">
        <v>4639</v>
      </c>
    </row>
    <row r="2013" spans="1:12" x14ac:dyDescent="0.3">
      <c r="A2013" t="s">
        <v>8268</v>
      </c>
      <c r="B2013" t="s">
        <v>8046</v>
      </c>
      <c r="C2013" t="s">
        <v>4380</v>
      </c>
      <c r="L2013" s="4" t="s">
        <v>4642</v>
      </c>
    </row>
    <row r="2014" spans="1:12" x14ac:dyDescent="0.3">
      <c r="A2014" t="s">
        <v>521</v>
      </c>
      <c r="B2014" t="s">
        <v>1417</v>
      </c>
      <c r="C2014" t="s">
        <v>8269</v>
      </c>
      <c r="L2014" s="3" t="s">
        <v>4644</v>
      </c>
    </row>
    <row r="2015" spans="1:12" x14ac:dyDescent="0.3">
      <c r="A2015" t="s">
        <v>521</v>
      </c>
      <c r="B2015" t="s">
        <v>1417</v>
      </c>
      <c r="C2015" t="s">
        <v>6902</v>
      </c>
      <c r="L2015" s="4" t="s">
        <v>4646</v>
      </c>
    </row>
    <row r="2016" spans="1:12" x14ac:dyDescent="0.3">
      <c r="A2016" t="s">
        <v>521</v>
      </c>
      <c r="B2016" t="s">
        <v>668</v>
      </c>
      <c r="C2016" t="s">
        <v>7473</v>
      </c>
      <c r="L2016" s="3" t="s">
        <v>4648</v>
      </c>
    </row>
    <row r="2017" spans="1:12" x14ac:dyDescent="0.3">
      <c r="A2017" t="s">
        <v>521</v>
      </c>
      <c r="B2017" t="s">
        <v>1417</v>
      </c>
      <c r="C2017" t="s">
        <v>5138</v>
      </c>
      <c r="L2017" s="4" t="s">
        <v>4650</v>
      </c>
    </row>
    <row r="2018" spans="1:12" x14ac:dyDescent="0.3">
      <c r="A2018" t="s">
        <v>1417</v>
      </c>
      <c r="B2018" t="s">
        <v>4843</v>
      </c>
      <c r="C2018" t="s">
        <v>7104</v>
      </c>
      <c r="L2018" s="3" t="s">
        <v>4652</v>
      </c>
    </row>
    <row r="2019" spans="1:12" x14ac:dyDescent="0.3">
      <c r="A2019" t="s">
        <v>362</v>
      </c>
      <c r="B2019" t="s">
        <v>7473</v>
      </c>
      <c r="C2019" t="s">
        <v>7473</v>
      </c>
      <c r="L2019" s="4" t="s">
        <v>4655</v>
      </c>
    </row>
    <row r="2020" spans="1:12" x14ac:dyDescent="0.3">
      <c r="A2020" t="s">
        <v>362</v>
      </c>
      <c r="B2020" t="s">
        <v>362</v>
      </c>
      <c r="C2020" t="s">
        <v>4380</v>
      </c>
      <c r="L2020" s="3" t="s">
        <v>4657</v>
      </c>
    </row>
    <row r="2021" spans="1:12" x14ac:dyDescent="0.3">
      <c r="A2021" t="s">
        <v>1417</v>
      </c>
      <c r="B2021" t="s">
        <v>668</v>
      </c>
      <c r="C2021" t="s">
        <v>8046</v>
      </c>
      <c r="L2021" s="4" t="s">
        <v>4660</v>
      </c>
    </row>
    <row r="2022" spans="1:12" x14ac:dyDescent="0.3">
      <c r="A2022" t="s">
        <v>521</v>
      </c>
      <c r="B2022" t="s">
        <v>362</v>
      </c>
      <c r="C2022" t="s">
        <v>8266</v>
      </c>
      <c r="L2022" s="3" t="s">
        <v>4662</v>
      </c>
    </row>
    <row r="2023" spans="1:12" x14ac:dyDescent="0.3">
      <c r="A2023" t="s">
        <v>2701</v>
      </c>
      <c r="B2023" t="s">
        <v>8267</v>
      </c>
      <c r="C2023" t="s">
        <v>8046</v>
      </c>
      <c r="L2023" s="4" t="s">
        <v>4665</v>
      </c>
    </row>
    <row r="2024" spans="1:12" x14ac:dyDescent="0.3">
      <c r="A2024" t="s">
        <v>521</v>
      </c>
      <c r="B2024" t="s">
        <v>1417</v>
      </c>
      <c r="C2024" t="s">
        <v>8046</v>
      </c>
      <c r="L2024" s="3" t="s">
        <v>4668</v>
      </c>
    </row>
    <row r="2025" spans="1:12" x14ac:dyDescent="0.3">
      <c r="A2025" t="s">
        <v>668</v>
      </c>
      <c r="B2025" t="s">
        <v>8268</v>
      </c>
      <c r="C2025" t="s">
        <v>8046</v>
      </c>
      <c r="L2025" s="4" t="s">
        <v>4671</v>
      </c>
    </row>
    <row r="2026" spans="1:12" x14ac:dyDescent="0.3">
      <c r="A2026" t="s">
        <v>668</v>
      </c>
      <c r="B2026" t="s">
        <v>8268</v>
      </c>
      <c r="C2026" t="s">
        <v>1417</v>
      </c>
      <c r="L2026" s="3" t="s">
        <v>4673</v>
      </c>
    </row>
    <row r="2027" spans="1:12" x14ac:dyDescent="0.3">
      <c r="A2027" t="s">
        <v>1417</v>
      </c>
      <c r="B2027" t="s">
        <v>1417</v>
      </c>
      <c r="C2027" t="s">
        <v>8269</v>
      </c>
      <c r="L2027" s="4" t="s">
        <v>4676</v>
      </c>
    </row>
    <row r="2028" spans="1:12" x14ac:dyDescent="0.3">
      <c r="A2028" t="s">
        <v>668</v>
      </c>
      <c r="B2028" t="s">
        <v>5138</v>
      </c>
      <c r="C2028" t="s">
        <v>7473</v>
      </c>
      <c r="L2028" s="3" t="s">
        <v>4679</v>
      </c>
    </row>
    <row r="2029" spans="1:12" x14ac:dyDescent="0.3">
      <c r="A2029" t="s">
        <v>668</v>
      </c>
      <c r="B2029" t="s">
        <v>9937</v>
      </c>
      <c r="C2029" t="s">
        <v>668</v>
      </c>
      <c r="L2029" s="4" t="s">
        <v>4681</v>
      </c>
    </row>
    <row r="2030" spans="1:12" x14ac:dyDescent="0.3">
      <c r="A2030" t="s">
        <v>2701</v>
      </c>
      <c r="B2030" t="s">
        <v>1417</v>
      </c>
      <c r="C2030" t="s">
        <v>5043</v>
      </c>
      <c r="L2030" s="3" t="s">
        <v>4684</v>
      </c>
    </row>
    <row r="2031" spans="1:12" x14ac:dyDescent="0.3">
      <c r="A2031" t="s">
        <v>668</v>
      </c>
      <c r="B2031" t="s">
        <v>1417</v>
      </c>
      <c r="C2031" t="s">
        <v>1417</v>
      </c>
      <c r="L2031" s="4" t="s">
        <v>4686</v>
      </c>
    </row>
    <row r="2032" spans="1:12" x14ac:dyDescent="0.3">
      <c r="A2032" t="s">
        <v>668</v>
      </c>
      <c r="B2032" t="s">
        <v>7473</v>
      </c>
      <c r="C2032" t="s">
        <v>8046</v>
      </c>
      <c r="L2032" s="3" t="s">
        <v>4688</v>
      </c>
    </row>
    <row r="2033" spans="1:12" x14ac:dyDescent="0.3">
      <c r="A2033" t="s">
        <v>668</v>
      </c>
      <c r="B2033" t="s">
        <v>8266</v>
      </c>
      <c r="C2033" t="s">
        <v>7473</v>
      </c>
      <c r="L2033" s="4" t="s">
        <v>4690</v>
      </c>
    </row>
    <row r="2034" spans="1:12" x14ac:dyDescent="0.3">
      <c r="A2034" t="s">
        <v>668</v>
      </c>
      <c r="B2034" t="s">
        <v>1417</v>
      </c>
      <c r="C2034" t="s">
        <v>5138</v>
      </c>
      <c r="L2034" s="3" t="s">
        <v>4692</v>
      </c>
    </row>
    <row r="2035" spans="1:12" x14ac:dyDescent="0.3">
      <c r="A2035" t="s">
        <v>521</v>
      </c>
      <c r="B2035" t="s">
        <v>6902</v>
      </c>
      <c r="C2035" t="s">
        <v>1417</v>
      </c>
      <c r="L2035" s="4" t="s">
        <v>4694</v>
      </c>
    </row>
    <row r="2036" spans="1:12" x14ac:dyDescent="0.3">
      <c r="A2036" t="s">
        <v>5524</v>
      </c>
      <c r="B2036" t="s">
        <v>5138</v>
      </c>
      <c r="C2036" t="s">
        <v>5138</v>
      </c>
      <c r="L2036" s="3" t="s">
        <v>4696</v>
      </c>
    </row>
    <row r="2037" spans="1:12" x14ac:dyDescent="0.3">
      <c r="A2037" t="s">
        <v>668</v>
      </c>
      <c r="B2037" t="s">
        <v>362</v>
      </c>
      <c r="C2037" t="s">
        <v>7473</v>
      </c>
      <c r="L2037" s="4" t="s">
        <v>4698</v>
      </c>
    </row>
    <row r="2038" spans="1:12" x14ac:dyDescent="0.3">
      <c r="A2038" t="s">
        <v>362</v>
      </c>
      <c r="B2038" t="s">
        <v>668</v>
      </c>
      <c r="C2038" t="s">
        <v>4380</v>
      </c>
      <c r="L2038" s="3" t="s">
        <v>4700</v>
      </c>
    </row>
    <row r="2039" spans="1:12" x14ac:dyDescent="0.3">
      <c r="A2039" t="s">
        <v>362</v>
      </c>
      <c r="B2039" t="s">
        <v>5138</v>
      </c>
      <c r="C2039" t="s">
        <v>1417</v>
      </c>
      <c r="L2039" s="4" t="s">
        <v>4702</v>
      </c>
    </row>
    <row r="2040" spans="1:12" x14ac:dyDescent="0.3">
      <c r="A2040" t="s">
        <v>668</v>
      </c>
      <c r="B2040" t="s">
        <v>2701</v>
      </c>
      <c r="C2040" t="s">
        <v>7473</v>
      </c>
      <c r="L2040" s="3" t="s">
        <v>4704</v>
      </c>
    </row>
    <row r="2041" spans="1:12" x14ac:dyDescent="0.3">
      <c r="A2041" t="s">
        <v>668</v>
      </c>
      <c r="B2041" t="s">
        <v>668</v>
      </c>
      <c r="C2041" t="s">
        <v>8268</v>
      </c>
      <c r="L2041" s="4" t="s">
        <v>4706</v>
      </c>
    </row>
    <row r="2042" spans="1:12" x14ac:dyDescent="0.3">
      <c r="A2042" t="s">
        <v>668</v>
      </c>
      <c r="B2042" t="s">
        <v>1417</v>
      </c>
      <c r="C2042" t="s">
        <v>4380</v>
      </c>
      <c r="L2042" s="3" t="s">
        <v>4708</v>
      </c>
    </row>
    <row r="2043" spans="1:12" x14ac:dyDescent="0.3">
      <c r="A2043" t="s">
        <v>668</v>
      </c>
      <c r="B2043" t="s">
        <v>5043</v>
      </c>
      <c r="C2043" t="s">
        <v>7104</v>
      </c>
      <c r="L2043" s="4" t="s">
        <v>4711</v>
      </c>
    </row>
    <row r="2044" spans="1:12" x14ac:dyDescent="0.3">
      <c r="A2044" t="s">
        <v>5524</v>
      </c>
      <c r="B2044" t="s">
        <v>668</v>
      </c>
      <c r="C2044" t="s">
        <v>7473</v>
      </c>
      <c r="L2044" s="3" t="s">
        <v>4713</v>
      </c>
    </row>
    <row r="2045" spans="1:12" x14ac:dyDescent="0.3">
      <c r="A2045" t="s">
        <v>668</v>
      </c>
      <c r="B2045" t="s">
        <v>2701</v>
      </c>
      <c r="C2045" t="s">
        <v>7104</v>
      </c>
      <c r="L2045" s="4" t="s">
        <v>4716</v>
      </c>
    </row>
    <row r="2046" spans="1:12" x14ac:dyDescent="0.3">
      <c r="A2046" t="s">
        <v>521</v>
      </c>
      <c r="B2046" t="s">
        <v>668</v>
      </c>
      <c r="C2046" t="s">
        <v>8268</v>
      </c>
      <c r="L2046" s="3" t="s">
        <v>4718</v>
      </c>
    </row>
    <row r="2047" spans="1:12" x14ac:dyDescent="0.3">
      <c r="A2047" t="s">
        <v>1417</v>
      </c>
      <c r="B2047" t="s">
        <v>8266</v>
      </c>
      <c r="C2047" t="s">
        <v>7104</v>
      </c>
      <c r="L2047" s="4" t="s">
        <v>4720</v>
      </c>
    </row>
    <row r="2048" spans="1:12" x14ac:dyDescent="0.3">
      <c r="A2048" t="s">
        <v>521</v>
      </c>
      <c r="B2048" t="s">
        <v>668</v>
      </c>
      <c r="C2048" t="s">
        <v>5138</v>
      </c>
      <c r="L2048" s="3" t="s">
        <v>4722</v>
      </c>
    </row>
    <row r="2049" spans="1:12" x14ac:dyDescent="0.3">
      <c r="A2049" t="s">
        <v>362</v>
      </c>
      <c r="B2049" t="s">
        <v>8266</v>
      </c>
      <c r="C2049" t="s">
        <v>497</v>
      </c>
      <c r="L2049" s="4" t="s">
        <v>4724</v>
      </c>
    </row>
    <row r="2050" spans="1:12" x14ac:dyDescent="0.3">
      <c r="A2050" t="s">
        <v>362</v>
      </c>
      <c r="B2050" t="s">
        <v>5043</v>
      </c>
      <c r="C2050" t="s">
        <v>5138</v>
      </c>
      <c r="L2050" s="3" t="s">
        <v>4726</v>
      </c>
    </row>
    <row r="2051" spans="1:12" x14ac:dyDescent="0.3">
      <c r="A2051" t="s">
        <v>521</v>
      </c>
      <c r="B2051" t="s">
        <v>362</v>
      </c>
      <c r="C2051" t="s">
        <v>8269</v>
      </c>
      <c r="L2051" s="4" t="s">
        <v>4729</v>
      </c>
    </row>
    <row r="2052" spans="1:12" x14ac:dyDescent="0.3">
      <c r="A2052" t="s">
        <v>668</v>
      </c>
      <c r="B2052" t="s">
        <v>8266</v>
      </c>
      <c r="C2052" t="s">
        <v>5138</v>
      </c>
      <c r="L2052" s="3" t="s">
        <v>4731</v>
      </c>
    </row>
    <row r="2053" spans="1:12" x14ac:dyDescent="0.3">
      <c r="A2053" t="s">
        <v>521</v>
      </c>
      <c r="B2053" t="s">
        <v>8268</v>
      </c>
      <c r="C2053" t="s">
        <v>4380</v>
      </c>
      <c r="L2053" s="4" t="s">
        <v>4733</v>
      </c>
    </row>
    <row r="2054" spans="1:12" x14ac:dyDescent="0.3">
      <c r="A2054" t="s">
        <v>521</v>
      </c>
      <c r="B2054" t="s">
        <v>1417</v>
      </c>
      <c r="C2054" t="s">
        <v>8266</v>
      </c>
      <c r="L2054" s="3" t="s">
        <v>4735</v>
      </c>
    </row>
    <row r="2055" spans="1:12" x14ac:dyDescent="0.3">
      <c r="A2055" t="s">
        <v>668</v>
      </c>
      <c r="B2055" t="s">
        <v>668</v>
      </c>
      <c r="C2055" t="s">
        <v>7473</v>
      </c>
      <c r="L2055" s="4" t="s">
        <v>4737</v>
      </c>
    </row>
    <row r="2056" spans="1:12" x14ac:dyDescent="0.3">
      <c r="A2056" t="s">
        <v>2701</v>
      </c>
      <c r="B2056" t="s">
        <v>7104</v>
      </c>
      <c r="C2056" t="s">
        <v>4380</v>
      </c>
      <c r="L2056" s="3" t="s">
        <v>4739</v>
      </c>
    </row>
    <row r="2057" spans="1:12" x14ac:dyDescent="0.3">
      <c r="A2057" t="s">
        <v>1417</v>
      </c>
      <c r="B2057" t="s">
        <v>1417</v>
      </c>
      <c r="C2057" t="s">
        <v>7473</v>
      </c>
      <c r="L2057" s="4" t="s">
        <v>4742</v>
      </c>
    </row>
    <row r="2058" spans="1:12" x14ac:dyDescent="0.3">
      <c r="A2058" t="s">
        <v>2701</v>
      </c>
      <c r="B2058" t="s">
        <v>1417</v>
      </c>
      <c r="C2058" t="s">
        <v>7473</v>
      </c>
      <c r="L2058" s="3" t="s">
        <v>4744</v>
      </c>
    </row>
    <row r="2059" spans="1:12" x14ac:dyDescent="0.3">
      <c r="A2059" t="s">
        <v>668</v>
      </c>
      <c r="B2059" t="s">
        <v>1417</v>
      </c>
      <c r="C2059" t="s">
        <v>7473</v>
      </c>
      <c r="L2059" s="4" t="s">
        <v>4746</v>
      </c>
    </row>
    <row r="2060" spans="1:12" x14ac:dyDescent="0.3">
      <c r="A2060" t="s">
        <v>1417</v>
      </c>
      <c r="B2060" t="s">
        <v>7473</v>
      </c>
      <c r="C2060" t="s">
        <v>1417</v>
      </c>
      <c r="L2060" s="3" t="s">
        <v>4748</v>
      </c>
    </row>
    <row r="2061" spans="1:12" x14ac:dyDescent="0.3">
      <c r="A2061" t="s">
        <v>5524</v>
      </c>
      <c r="B2061" t="s">
        <v>7473</v>
      </c>
      <c r="C2061" t="s">
        <v>8268</v>
      </c>
      <c r="L2061" s="4" t="s">
        <v>4750</v>
      </c>
    </row>
    <row r="2062" spans="1:12" x14ac:dyDescent="0.3">
      <c r="A2062" t="s">
        <v>8266</v>
      </c>
      <c r="B2062" t="s">
        <v>8268</v>
      </c>
      <c r="C2062" t="s">
        <v>1417</v>
      </c>
      <c r="L2062" s="3" t="s">
        <v>4752</v>
      </c>
    </row>
    <row r="2063" spans="1:12" x14ac:dyDescent="0.3">
      <c r="A2063" t="s">
        <v>362</v>
      </c>
      <c r="B2063" t="s">
        <v>8268</v>
      </c>
      <c r="C2063" t="s">
        <v>6171</v>
      </c>
      <c r="L2063" s="4" t="s">
        <v>4754</v>
      </c>
    </row>
    <row r="2064" spans="1:12" x14ac:dyDescent="0.3">
      <c r="A2064" t="s">
        <v>668</v>
      </c>
      <c r="B2064" t="s">
        <v>7473</v>
      </c>
      <c r="C2064" t="s">
        <v>5138</v>
      </c>
      <c r="L2064" s="3" t="s">
        <v>4757</v>
      </c>
    </row>
    <row r="2065" spans="1:12" x14ac:dyDescent="0.3">
      <c r="A2065" t="s">
        <v>668</v>
      </c>
      <c r="B2065" t="s">
        <v>4843</v>
      </c>
      <c r="C2065" t="s">
        <v>8269</v>
      </c>
      <c r="L2065" s="4" t="s">
        <v>4759</v>
      </c>
    </row>
    <row r="2066" spans="1:12" x14ac:dyDescent="0.3">
      <c r="A2066" t="s">
        <v>668</v>
      </c>
      <c r="B2066" t="s">
        <v>1417</v>
      </c>
      <c r="C2066" t="s">
        <v>8046</v>
      </c>
      <c r="L2066" s="3" t="s">
        <v>4761</v>
      </c>
    </row>
    <row r="2067" spans="1:12" x14ac:dyDescent="0.3">
      <c r="A2067" t="s">
        <v>521</v>
      </c>
      <c r="B2067" t="s">
        <v>4843</v>
      </c>
      <c r="C2067" t="s">
        <v>668</v>
      </c>
      <c r="L2067" s="4" t="s">
        <v>4763</v>
      </c>
    </row>
    <row r="2068" spans="1:12" x14ac:dyDescent="0.3">
      <c r="A2068" t="s">
        <v>362</v>
      </c>
      <c r="B2068" t="s">
        <v>2701</v>
      </c>
      <c r="C2068" t="s">
        <v>8268</v>
      </c>
      <c r="L2068" s="3" t="s">
        <v>4765</v>
      </c>
    </row>
    <row r="2069" spans="1:12" x14ac:dyDescent="0.3">
      <c r="A2069" t="s">
        <v>1417</v>
      </c>
      <c r="B2069" t="s">
        <v>8266</v>
      </c>
      <c r="C2069" t="s">
        <v>8046</v>
      </c>
      <c r="L2069" s="4" t="s">
        <v>4767</v>
      </c>
    </row>
    <row r="2070" spans="1:12" x14ac:dyDescent="0.3">
      <c r="A2070" t="s">
        <v>5524</v>
      </c>
      <c r="B2070" t="s">
        <v>668</v>
      </c>
      <c r="C2070" t="s">
        <v>1417</v>
      </c>
      <c r="L2070" s="3" t="s">
        <v>4769</v>
      </c>
    </row>
    <row r="2071" spans="1:12" x14ac:dyDescent="0.3">
      <c r="A2071" t="s">
        <v>1417</v>
      </c>
      <c r="B2071" t="s">
        <v>8266</v>
      </c>
      <c r="C2071" t="s">
        <v>5138</v>
      </c>
      <c r="L2071" s="4" t="s">
        <v>4772</v>
      </c>
    </row>
    <row r="2072" spans="1:12" x14ac:dyDescent="0.3">
      <c r="A2072" t="s">
        <v>521</v>
      </c>
      <c r="B2072" t="s">
        <v>7104</v>
      </c>
      <c r="C2072" t="s">
        <v>8266</v>
      </c>
      <c r="L2072" s="3" t="s">
        <v>4774</v>
      </c>
    </row>
    <row r="2073" spans="1:12" x14ac:dyDescent="0.3">
      <c r="A2073" t="s">
        <v>8268</v>
      </c>
      <c r="B2073" t="s">
        <v>668</v>
      </c>
      <c r="C2073" t="s">
        <v>4380</v>
      </c>
      <c r="L2073" s="4" t="s">
        <v>4776</v>
      </c>
    </row>
    <row r="2074" spans="1:12" x14ac:dyDescent="0.3">
      <c r="A2074" t="s">
        <v>5524</v>
      </c>
      <c r="B2074" t="s">
        <v>497</v>
      </c>
      <c r="C2074" t="s">
        <v>4380</v>
      </c>
      <c r="L2074" s="3" t="s">
        <v>4779</v>
      </c>
    </row>
    <row r="2075" spans="1:12" x14ac:dyDescent="0.3">
      <c r="A2075" t="s">
        <v>1417</v>
      </c>
      <c r="B2075" t="s">
        <v>8268</v>
      </c>
      <c r="C2075" t="s">
        <v>7473</v>
      </c>
      <c r="L2075" s="4" t="s">
        <v>4781</v>
      </c>
    </row>
    <row r="2076" spans="1:12" x14ac:dyDescent="0.3">
      <c r="A2076" t="s">
        <v>668</v>
      </c>
      <c r="B2076" t="s">
        <v>1417</v>
      </c>
      <c r="C2076" t="s">
        <v>7473</v>
      </c>
      <c r="L2076" s="3" t="s">
        <v>4783</v>
      </c>
    </row>
    <row r="2077" spans="1:12" x14ac:dyDescent="0.3">
      <c r="A2077" t="s">
        <v>521</v>
      </c>
      <c r="B2077" t="s">
        <v>4380</v>
      </c>
      <c r="C2077" t="s">
        <v>6902</v>
      </c>
      <c r="L2077" s="4" t="s">
        <v>4785</v>
      </c>
    </row>
    <row r="2078" spans="1:12" x14ac:dyDescent="0.3">
      <c r="A2078" t="s">
        <v>1417</v>
      </c>
      <c r="B2078" t="s">
        <v>1417</v>
      </c>
      <c r="C2078" t="s">
        <v>7473</v>
      </c>
      <c r="L2078" s="3" t="s">
        <v>4787</v>
      </c>
    </row>
    <row r="2079" spans="1:12" x14ac:dyDescent="0.3">
      <c r="A2079" t="s">
        <v>521</v>
      </c>
      <c r="B2079" t="s">
        <v>668</v>
      </c>
      <c r="C2079" t="s">
        <v>4380</v>
      </c>
      <c r="L2079" s="4" t="s">
        <v>4789</v>
      </c>
    </row>
    <row r="2080" spans="1:12" x14ac:dyDescent="0.3">
      <c r="A2080" t="s">
        <v>497</v>
      </c>
      <c r="B2080" t="s">
        <v>1417</v>
      </c>
      <c r="C2080" t="s">
        <v>8268</v>
      </c>
      <c r="L2080" s="3" t="s">
        <v>4791</v>
      </c>
    </row>
    <row r="2081" spans="1:12" x14ac:dyDescent="0.3">
      <c r="A2081" t="s">
        <v>362</v>
      </c>
      <c r="B2081" t="s">
        <v>5138</v>
      </c>
      <c r="C2081" t="s">
        <v>7104</v>
      </c>
      <c r="L2081" s="4" t="s">
        <v>4793</v>
      </c>
    </row>
    <row r="2082" spans="1:12" x14ac:dyDescent="0.3">
      <c r="A2082" t="s">
        <v>1417</v>
      </c>
      <c r="B2082" t="s">
        <v>1417</v>
      </c>
      <c r="C2082" t="s">
        <v>8269</v>
      </c>
      <c r="L2082" s="3" t="s">
        <v>4795</v>
      </c>
    </row>
    <row r="2083" spans="1:12" x14ac:dyDescent="0.3">
      <c r="A2083" t="s">
        <v>1417</v>
      </c>
      <c r="B2083" t="s">
        <v>1417</v>
      </c>
      <c r="C2083" t="s">
        <v>7104</v>
      </c>
      <c r="L2083" s="4" t="s">
        <v>4798</v>
      </c>
    </row>
    <row r="2084" spans="1:12" x14ac:dyDescent="0.3">
      <c r="A2084" t="s">
        <v>668</v>
      </c>
      <c r="B2084" t="s">
        <v>1417</v>
      </c>
      <c r="C2084" t="s">
        <v>4380</v>
      </c>
      <c r="L2084" s="3" t="s">
        <v>4800</v>
      </c>
    </row>
    <row r="2085" spans="1:12" x14ac:dyDescent="0.3">
      <c r="A2085" t="s">
        <v>668</v>
      </c>
      <c r="B2085" t="s">
        <v>8266</v>
      </c>
      <c r="C2085" t="s">
        <v>8268</v>
      </c>
      <c r="L2085" s="4" t="s">
        <v>4802</v>
      </c>
    </row>
    <row r="2086" spans="1:12" x14ac:dyDescent="0.3">
      <c r="A2086" t="s">
        <v>1417</v>
      </c>
      <c r="B2086" t="s">
        <v>668</v>
      </c>
      <c r="C2086" t="s">
        <v>668</v>
      </c>
      <c r="L2086" s="3" t="s">
        <v>4805</v>
      </c>
    </row>
    <row r="2087" spans="1:12" x14ac:dyDescent="0.3">
      <c r="A2087" t="s">
        <v>668</v>
      </c>
      <c r="B2087" t="s">
        <v>4380</v>
      </c>
      <c r="C2087" t="s">
        <v>5138</v>
      </c>
      <c r="L2087" s="4" t="s">
        <v>4808</v>
      </c>
    </row>
    <row r="2088" spans="1:12" x14ac:dyDescent="0.3">
      <c r="A2088" t="s">
        <v>1417</v>
      </c>
      <c r="B2088" t="s">
        <v>1417</v>
      </c>
      <c r="C2088" t="s">
        <v>7473</v>
      </c>
      <c r="L2088" s="3" t="s">
        <v>4810</v>
      </c>
    </row>
    <row r="2089" spans="1:12" x14ac:dyDescent="0.3">
      <c r="A2089" t="s">
        <v>668</v>
      </c>
      <c r="B2089" t="s">
        <v>1417</v>
      </c>
      <c r="C2089" t="s">
        <v>1417</v>
      </c>
      <c r="L2089" s="4" t="s">
        <v>4812</v>
      </c>
    </row>
    <row r="2090" spans="1:12" x14ac:dyDescent="0.3">
      <c r="A2090" t="s">
        <v>5524</v>
      </c>
      <c r="B2090" t="s">
        <v>1417</v>
      </c>
      <c r="C2090" t="s">
        <v>5043</v>
      </c>
      <c r="L2090" s="3" t="s">
        <v>4814</v>
      </c>
    </row>
    <row r="2091" spans="1:12" x14ac:dyDescent="0.3">
      <c r="A2091" t="s">
        <v>668</v>
      </c>
      <c r="B2091" t="s">
        <v>362</v>
      </c>
      <c r="C2091" t="s">
        <v>668</v>
      </c>
      <c r="L2091" s="4" t="s">
        <v>4816</v>
      </c>
    </row>
    <row r="2092" spans="1:12" x14ac:dyDescent="0.3">
      <c r="A2092" t="s">
        <v>521</v>
      </c>
      <c r="B2092" t="s">
        <v>668</v>
      </c>
      <c r="C2092" t="s">
        <v>4380</v>
      </c>
      <c r="L2092" s="3" t="s">
        <v>4818</v>
      </c>
    </row>
    <row r="2093" spans="1:12" x14ac:dyDescent="0.3">
      <c r="A2093" t="s">
        <v>1417</v>
      </c>
      <c r="B2093" t="s">
        <v>1417</v>
      </c>
      <c r="C2093" t="s">
        <v>7473</v>
      </c>
      <c r="L2093" s="4" t="s">
        <v>4820</v>
      </c>
    </row>
    <row r="2094" spans="1:12" x14ac:dyDescent="0.3">
      <c r="A2094" t="s">
        <v>5524</v>
      </c>
      <c r="B2094" t="s">
        <v>4380</v>
      </c>
      <c r="C2094" t="s">
        <v>497</v>
      </c>
      <c r="L2094" s="3" t="s">
        <v>4822</v>
      </c>
    </row>
    <row r="2095" spans="1:12" x14ac:dyDescent="0.3">
      <c r="A2095" t="s">
        <v>521</v>
      </c>
      <c r="B2095" t="s">
        <v>4380</v>
      </c>
      <c r="C2095" t="s">
        <v>8269</v>
      </c>
      <c r="L2095" s="4" t="s">
        <v>4824</v>
      </c>
    </row>
    <row r="2096" spans="1:12" x14ac:dyDescent="0.3">
      <c r="A2096" t="s">
        <v>1417</v>
      </c>
      <c r="B2096" t="s">
        <v>1417</v>
      </c>
      <c r="C2096" t="s">
        <v>4380</v>
      </c>
      <c r="L2096" s="3" t="s">
        <v>4827</v>
      </c>
    </row>
    <row r="2097" spans="1:12" x14ac:dyDescent="0.3">
      <c r="A2097" t="s">
        <v>668</v>
      </c>
      <c r="B2097" t="s">
        <v>8266</v>
      </c>
      <c r="C2097" t="s">
        <v>7104</v>
      </c>
      <c r="L2097" s="4" t="s">
        <v>4829</v>
      </c>
    </row>
    <row r="2098" spans="1:12" x14ac:dyDescent="0.3">
      <c r="A2098" t="s">
        <v>5524</v>
      </c>
      <c r="B2098" t="s">
        <v>1417</v>
      </c>
      <c r="C2098" t="s">
        <v>4380</v>
      </c>
      <c r="L2098" s="3" t="s">
        <v>4831</v>
      </c>
    </row>
    <row r="2099" spans="1:12" x14ac:dyDescent="0.3">
      <c r="A2099" t="s">
        <v>668</v>
      </c>
      <c r="B2099" t="s">
        <v>1417</v>
      </c>
      <c r="C2099" t="s">
        <v>7473</v>
      </c>
      <c r="L2099" s="4" t="s">
        <v>4834</v>
      </c>
    </row>
    <row r="2100" spans="1:12" x14ac:dyDescent="0.3">
      <c r="A2100" t="s">
        <v>668</v>
      </c>
      <c r="B2100" t="s">
        <v>497</v>
      </c>
      <c r="C2100" t="s">
        <v>4380</v>
      </c>
      <c r="L2100" s="3" t="s">
        <v>4837</v>
      </c>
    </row>
    <row r="2101" spans="1:12" x14ac:dyDescent="0.3">
      <c r="A2101" t="s">
        <v>1417</v>
      </c>
      <c r="B2101" t="s">
        <v>7104</v>
      </c>
      <c r="C2101" t="s">
        <v>5524</v>
      </c>
      <c r="L2101" s="4" t="s">
        <v>4839</v>
      </c>
    </row>
    <row r="2102" spans="1:12" x14ac:dyDescent="0.3">
      <c r="A2102" t="s">
        <v>4380</v>
      </c>
      <c r="B2102" t="s">
        <v>8268</v>
      </c>
      <c r="C2102" t="s">
        <v>497</v>
      </c>
      <c r="L2102" s="3" t="s">
        <v>4841</v>
      </c>
    </row>
    <row r="2103" spans="1:12" x14ac:dyDescent="0.3">
      <c r="A2103" t="s">
        <v>668</v>
      </c>
      <c r="B2103" t="s">
        <v>668</v>
      </c>
      <c r="C2103" t="s">
        <v>7473</v>
      </c>
      <c r="L2103" s="4" t="s">
        <v>4844</v>
      </c>
    </row>
    <row r="2104" spans="1:12" x14ac:dyDescent="0.3">
      <c r="A2104" t="s">
        <v>668</v>
      </c>
      <c r="B2104" t="s">
        <v>8268</v>
      </c>
      <c r="C2104" t="s">
        <v>1417</v>
      </c>
      <c r="L2104" s="3" t="s">
        <v>4846</v>
      </c>
    </row>
    <row r="2105" spans="1:12" x14ac:dyDescent="0.3">
      <c r="A2105" t="s">
        <v>8268</v>
      </c>
      <c r="B2105" t="s">
        <v>2701</v>
      </c>
      <c r="C2105" t="s">
        <v>2701</v>
      </c>
      <c r="L2105" s="4" t="s">
        <v>4848</v>
      </c>
    </row>
    <row r="2106" spans="1:12" x14ac:dyDescent="0.3">
      <c r="A2106" t="s">
        <v>668</v>
      </c>
      <c r="B2106" t="s">
        <v>7473</v>
      </c>
      <c r="C2106" t="s">
        <v>7104</v>
      </c>
      <c r="L2106" s="3" t="s">
        <v>4850</v>
      </c>
    </row>
    <row r="2107" spans="1:12" x14ac:dyDescent="0.3">
      <c r="A2107" t="s">
        <v>521</v>
      </c>
      <c r="B2107" t="s">
        <v>668</v>
      </c>
      <c r="C2107" t="s">
        <v>4380</v>
      </c>
      <c r="L2107" s="4" t="s">
        <v>4852</v>
      </c>
    </row>
    <row r="2108" spans="1:12" x14ac:dyDescent="0.3">
      <c r="A2108" t="s">
        <v>8268</v>
      </c>
      <c r="B2108" t="s">
        <v>4380</v>
      </c>
      <c r="C2108" t="s">
        <v>7473</v>
      </c>
      <c r="L2108" s="3" t="s">
        <v>4854</v>
      </c>
    </row>
    <row r="2109" spans="1:12" x14ac:dyDescent="0.3">
      <c r="A2109" t="s">
        <v>668</v>
      </c>
      <c r="B2109" t="s">
        <v>362</v>
      </c>
      <c r="C2109" t="s">
        <v>8267</v>
      </c>
      <c r="L2109" s="4" t="s">
        <v>4856</v>
      </c>
    </row>
    <row r="2110" spans="1:12" x14ac:dyDescent="0.3">
      <c r="A2110" t="s">
        <v>668</v>
      </c>
      <c r="B2110" t="s">
        <v>4843</v>
      </c>
      <c r="C2110" t="s">
        <v>7473</v>
      </c>
      <c r="L2110" s="3" t="s">
        <v>4859</v>
      </c>
    </row>
    <row r="2111" spans="1:12" x14ac:dyDescent="0.3">
      <c r="A2111" t="s">
        <v>521</v>
      </c>
      <c r="B2111" t="s">
        <v>497</v>
      </c>
      <c r="C2111" t="s">
        <v>7473</v>
      </c>
      <c r="L2111" s="4" t="s">
        <v>4861</v>
      </c>
    </row>
    <row r="2112" spans="1:12" x14ac:dyDescent="0.3">
      <c r="A2112" t="s">
        <v>362</v>
      </c>
      <c r="B2112" t="s">
        <v>1417</v>
      </c>
      <c r="C2112" t="s">
        <v>4380</v>
      </c>
      <c r="L2112" s="3" t="s">
        <v>4863</v>
      </c>
    </row>
    <row r="2113" spans="1:12" x14ac:dyDescent="0.3">
      <c r="A2113" t="s">
        <v>668</v>
      </c>
      <c r="B2113" t="s">
        <v>7104</v>
      </c>
      <c r="C2113" t="s">
        <v>8269</v>
      </c>
      <c r="L2113" s="4" t="s">
        <v>4865</v>
      </c>
    </row>
    <row r="2114" spans="1:12" x14ac:dyDescent="0.3">
      <c r="A2114" t="s">
        <v>521</v>
      </c>
      <c r="B2114" t="s">
        <v>8268</v>
      </c>
      <c r="C2114" t="s">
        <v>7473</v>
      </c>
      <c r="L2114" s="3" t="s">
        <v>4867</v>
      </c>
    </row>
    <row r="2115" spans="1:12" x14ac:dyDescent="0.3">
      <c r="A2115" t="s">
        <v>521</v>
      </c>
      <c r="B2115" t="s">
        <v>8268</v>
      </c>
      <c r="C2115" t="s">
        <v>1417</v>
      </c>
      <c r="L2115" s="4" t="s">
        <v>4869</v>
      </c>
    </row>
    <row r="2116" spans="1:12" x14ac:dyDescent="0.3">
      <c r="A2116" t="s">
        <v>668</v>
      </c>
      <c r="B2116" t="s">
        <v>1417</v>
      </c>
      <c r="C2116" t="s">
        <v>5043</v>
      </c>
      <c r="L2116" s="3" t="s">
        <v>4871</v>
      </c>
    </row>
    <row r="2117" spans="1:12" x14ac:dyDescent="0.3">
      <c r="A2117" t="s">
        <v>668</v>
      </c>
      <c r="B2117" t="s">
        <v>2701</v>
      </c>
      <c r="C2117" t="s">
        <v>5138</v>
      </c>
      <c r="L2117" s="4" t="s">
        <v>4873</v>
      </c>
    </row>
    <row r="2118" spans="1:12" x14ac:dyDescent="0.3">
      <c r="A2118" t="s">
        <v>521</v>
      </c>
      <c r="B2118" t="s">
        <v>362</v>
      </c>
      <c r="C2118" t="s">
        <v>7473</v>
      </c>
      <c r="L2118" s="3" t="s">
        <v>4875</v>
      </c>
    </row>
    <row r="2119" spans="1:12" x14ac:dyDescent="0.3">
      <c r="A2119" t="s">
        <v>1417</v>
      </c>
      <c r="B2119" t="s">
        <v>8266</v>
      </c>
      <c r="C2119" t="s">
        <v>2701</v>
      </c>
      <c r="L2119" s="4" t="s">
        <v>4877</v>
      </c>
    </row>
    <row r="2120" spans="1:12" x14ac:dyDescent="0.3">
      <c r="A2120" t="s">
        <v>1417</v>
      </c>
      <c r="B2120" t="s">
        <v>7473</v>
      </c>
      <c r="C2120" t="s">
        <v>4380</v>
      </c>
      <c r="L2120" s="3" t="s">
        <v>4879</v>
      </c>
    </row>
    <row r="2121" spans="1:12" x14ac:dyDescent="0.3">
      <c r="A2121" t="s">
        <v>1417</v>
      </c>
      <c r="B2121" t="s">
        <v>7473</v>
      </c>
      <c r="C2121" t="s">
        <v>4380</v>
      </c>
      <c r="L2121" s="4" t="s">
        <v>4882</v>
      </c>
    </row>
    <row r="2122" spans="1:12" x14ac:dyDescent="0.3">
      <c r="A2122" t="s">
        <v>521</v>
      </c>
      <c r="B2122" t="s">
        <v>1417</v>
      </c>
      <c r="C2122" t="s">
        <v>7473</v>
      </c>
      <c r="L2122" s="3" t="s">
        <v>4884</v>
      </c>
    </row>
    <row r="2123" spans="1:12" x14ac:dyDescent="0.3">
      <c r="A2123" t="s">
        <v>668</v>
      </c>
      <c r="B2123" t="s">
        <v>668</v>
      </c>
      <c r="C2123" t="s">
        <v>5138</v>
      </c>
      <c r="L2123" s="4" t="s">
        <v>4886</v>
      </c>
    </row>
    <row r="2124" spans="1:12" x14ac:dyDescent="0.3">
      <c r="A2124" t="s">
        <v>1417</v>
      </c>
      <c r="B2124" t="s">
        <v>1417</v>
      </c>
      <c r="C2124" t="s">
        <v>7473</v>
      </c>
      <c r="L2124" s="3" t="s">
        <v>4889</v>
      </c>
    </row>
    <row r="2125" spans="1:12" x14ac:dyDescent="0.3">
      <c r="A2125" t="s">
        <v>362</v>
      </c>
      <c r="B2125" t="s">
        <v>5524</v>
      </c>
      <c r="C2125" t="s">
        <v>7104</v>
      </c>
      <c r="L2125" s="4" t="s">
        <v>4892</v>
      </c>
    </row>
    <row r="2126" spans="1:12" x14ac:dyDescent="0.3">
      <c r="A2126" t="s">
        <v>1417</v>
      </c>
      <c r="B2126" t="s">
        <v>1417</v>
      </c>
      <c r="C2126" t="s">
        <v>7473</v>
      </c>
      <c r="L2126" s="3" t="s">
        <v>4895</v>
      </c>
    </row>
    <row r="2127" spans="1:12" x14ac:dyDescent="0.3">
      <c r="A2127" t="s">
        <v>668</v>
      </c>
      <c r="B2127" t="s">
        <v>497</v>
      </c>
      <c r="C2127" t="s">
        <v>4380</v>
      </c>
      <c r="L2127" s="4" t="s">
        <v>4897</v>
      </c>
    </row>
    <row r="2128" spans="1:12" x14ac:dyDescent="0.3">
      <c r="A2128" t="s">
        <v>8268</v>
      </c>
      <c r="B2128" t="s">
        <v>7104</v>
      </c>
      <c r="C2128" t="s">
        <v>4380</v>
      </c>
      <c r="L2128" s="3" t="s">
        <v>4899</v>
      </c>
    </row>
    <row r="2129" spans="1:12" x14ac:dyDescent="0.3">
      <c r="A2129" t="s">
        <v>8268</v>
      </c>
      <c r="B2129" t="s">
        <v>1417</v>
      </c>
      <c r="C2129" t="s">
        <v>7473</v>
      </c>
      <c r="L2129" s="4" t="s">
        <v>4901</v>
      </c>
    </row>
    <row r="2130" spans="1:12" x14ac:dyDescent="0.3">
      <c r="A2130" t="s">
        <v>362</v>
      </c>
      <c r="B2130" t="s">
        <v>668</v>
      </c>
      <c r="C2130" t="s">
        <v>4380</v>
      </c>
      <c r="L2130" s="3" t="s">
        <v>4903</v>
      </c>
    </row>
    <row r="2131" spans="1:12" x14ac:dyDescent="0.3">
      <c r="A2131" t="s">
        <v>8268</v>
      </c>
      <c r="B2131" t="s">
        <v>7104</v>
      </c>
      <c r="C2131" t="s">
        <v>8269</v>
      </c>
      <c r="L2131" s="4" t="s">
        <v>4905</v>
      </c>
    </row>
    <row r="2132" spans="1:12" x14ac:dyDescent="0.3">
      <c r="A2132" t="s">
        <v>362</v>
      </c>
      <c r="B2132" t="s">
        <v>8268</v>
      </c>
      <c r="C2132" t="s">
        <v>5138</v>
      </c>
      <c r="L2132" s="3" t="s">
        <v>4907</v>
      </c>
    </row>
    <row r="2133" spans="1:12" x14ac:dyDescent="0.3">
      <c r="A2133" t="s">
        <v>668</v>
      </c>
      <c r="B2133" t="s">
        <v>497</v>
      </c>
      <c r="C2133" t="s">
        <v>8269</v>
      </c>
      <c r="L2133" s="4" t="s">
        <v>4909</v>
      </c>
    </row>
    <row r="2134" spans="1:12" x14ac:dyDescent="0.3">
      <c r="A2134" t="s">
        <v>521</v>
      </c>
      <c r="B2134" t="s">
        <v>7473</v>
      </c>
      <c r="C2134" t="s">
        <v>668</v>
      </c>
      <c r="L2134" s="3" t="s">
        <v>4911</v>
      </c>
    </row>
    <row r="2135" spans="1:12" x14ac:dyDescent="0.3">
      <c r="A2135" t="s">
        <v>4843</v>
      </c>
      <c r="B2135" t="s">
        <v>7473</v>
      </c>
      <c r="C2135" t="s">
        <v>4843</v>
      </c>
      <c r="L2135" s="4" t="s">
        <v>4913</v>
      </c>
    </row>
    <row r="2136" spans="1:12" x14ac:dyDescent="0.3">
      <c r="A2136" t="s">
        <v>668</v>
      </c>
      <c r="B2136" t="s">
        <v>19</v>
      </c>
      <c r="C2136" t="s">
        <v>1417</v>
      </c>
      <c r="L2136" s="3" t="s">
        <v>4915</v>
      </c>
    </row>
    <row r="2137" spans="1:12" x14ac:dyDescent="0.3">
      <c r="A2137" t="s">
        <v>521</v>
      </c>
      <c r="B2137" t="s">
        <v>1417</v>
      </c>
      <c r="C2137" t="s">
        <v>8269</v>
      </c>
      <c r="L2137" s="4" t="s">
        <v>4917</v>
      </c>
    </row>
    <row r="2138" spans="1:12" x14ac:dyDescent="0.3">
      <c r="A2138" t="s">
        <v>1417</v>
      </c>
      <c r="B2138" t="s">
        <v>1417</v>
      </c>
      <c r="C2138" t="s">
        <v>4380</v>
      </c>
      <c r="I2138" t="s">
        <v>4380</v>
      </c>
      <c r="L2138" s="3" t="s">
        <v>4919</v>
      </c>
    </row>
    <row r="2139" spans="1:12" x14ac:dyDescent="0.3">
      <c r="A2139" t="s">
        <v>668</v>
      </c>
      <c r="B2139" t="s">
        <v>8268</v>
      </c>
      <c r="C2139" t="s">
        <v>2701</v>
      </c>
      <c r="L2139" s="4" t="s">
        <v>4922</v>
      </c>
    </row>
    <row r="2140" spans="1:12" x14ac:dyDescent="0.3">
      <c r="A2140" t="s">
        <v>5524</v>
      </c>
      <c r="B2140" t="s">
        <v>668</v>
      </c>
      <c r="C2140" t="s">
        <v>497</v>
      </c>
      <c r="L2140" s="3" t="s">
        <v>4924</v>
      </c>
    </row>
    <row r="2141" spans="1:12" x14ac:dyDescent="0.3">
      <c r="A2141" t="s">
        <v>1417</v>
      </c>
      <c r="B2141" t="s">
        <v>7473</v>
      </c>
      <c r="C2141" t="s">
        <v>8269</v>
      </c>
      <c r="L2141" s="4" t="s">
        <v>4926</v>
      </c>
    </row>
    <row r="2142" spans="1:12" x14ac:dyDescent="0.3">
      <c r="A2142" t="s">
        <v>521</v>
      </c>
      <c r="B2142" t="s">
        <v>362</v>
      </c>
      <c r="C2142" t="s">
        <v>1417</v>
      </c>
      <c r="L2142" s="3" t="s">
        <v>4928</v>
      </c>
    </row>
    <row r="2143" spans="1:12" x14ac:dyDescent="0.3">
      <c r="A2143" t="s">
        <v>521</v>
      </c>
      <c r="B2143" t="s">
        <v>8268</v>
      </c>
      <c r="C2143" t="s">
        <v>7104</v>
      </c>
      <c r="L2143" s="4" t="s">
        <v>4930</v>
      </c>
    </row>
    <row r="2144" spans="1:12" x14ac:dyDescent="0.3">
      <c r="A2144" t="s">
        <v>2701</v>
      </c>
      <c r="B2144" t="s">
        <v>8268</v>
      </c>
      <c r="C2144" t="s">
        <v>8267</v>
      </c>
      <c r="L2144" s="3" t="s">
        <v>4932</v>
      </c>
    </row>
    <row r="2145" spans="1:12" x14ac:dyDescent="0.3">
      <c r="A2145" t="s">
        <v>9938</v>
      </c>
      <c r="B2145" t="s">
        <v>1417</v>
      </c>
      <c r="C2145" t="s">
        <v>19</v>
      </c>
      <c r="L2145" s="4" t="s">
        <v>4934</v>
      </c>
    </row>
    <row r="2146" spans="1:12" x14ac:dyDescent="0.3">
      <c r="A2146" t="s">
        <v>668</v>
      </c>
      <c r="B2146" t="s">
        <v>8266</v>
      </c>
      <c r="C2146" t="s">
        <v>5043</v>
      </c>
      <c r="L2146" s="3" t="s">
        <v>4936</v>
      </c>
    </row>
    <row r="2147" spans="1:12" x14ac:dyDescent="0.3">
      <c r="A2147" t="s">
        <v>668</v>
      </c>
      <c r="B2147" t="s">
        <v>1417</v>
      </c>
      <c r="C2147" t="s">
        <v>8268</v>
      </c>
      <c r="L2147" s="4" t="s">
        <v>4939</v>
      </c>
    </row>
    <row r="2148" spans="1:12" x14ac:dyDescent="0.3">
      <c r="A2148" t="s">
        <v>1417</v>
      </c>
      <c r="B2148" t="s">
        <v>8268</v>
      </c>
      <c r="C2148" t="s">
        <v>4380</v>
      </c>
      <c r="L2148" s="3" t="s">
        <v>4941</v>
      </c>
    </row>
    <row r="2149" spans="1:12" x14ac:dyDescent="0.3">
      <c r="A2149" t="s">
        <v>1417</v>
      </c>
      <c r="B2149" t="s">
        <v>1417</v>
      </c>
      <c r="C2149" t="s">
        <v>8046</v>
      </c>
      <c r="L2149" s="4" t="s">
        <v>4943</v>
      </c>
    </row>
    <row r="2150" spans="1:12" x14ac:dyDescent="0.3">
      <c r="A2150" t="s">
        <v>668</v>
      </c>
      <c r="B2150" t="s">
        <v>8268</v>
      </c>
      <c r="C2150" t="s">
        <v>4380</v>
      </c>
      <c r="L2150" s="3" t="s">
        <v>4945</v>
      </c>
    </row>
    <row r="2151" spans="1:12" x14ac:dyDescent="0.3">
      <c r="A2151" t="s">
        <v>1417</v>
      </c>
      <c r="B2151" t="s">
        <v>497</v>
      </c>
      <c r="C2151" t="s">
        <v>8046</v>
      </c>
      <c r="L2151" s="4" t="s">
        <v>4947</v>
      </c>
    </row>
    <row r="2152" spans="1:12" x14ac:dyDescent="0.3">
      <c r="A2152" t="s">
        <v>668</v>
      </c>
      <c r="B2152" t="s">
        <v>668</v>
      </c>
      <c r="C2152" t="s">
        <v>2701</v>
      </c>
      <c r="L2152" s="3" t="s">
        <v>4949</v>
      </c>
    </row>
    <row r="2153" spans="1:12" x14ac:dyDescent="0.3">
      <c r="A2153" t="s">
        <v>2701</v>
      </c>
      <c r="B2153" t="s">
        <v>1417</v>
      </c>
      <c r="C2153" t="s">
        <v>8046</v>
      </c>
      <c r="L2153" s="4" t="s">
        <v>4951</v>
      </c>
    </row>
    <row r="2154" spans="1:12" x14ac:dyDescent="0.3">
      <c r="A2154" t="s">
        <v>521</v>
      </c>
      <c r="B2154" t="s">
        <v>8268</v>
      </c>
      <c r="C2154" t="s">
        <v>7473</v>
      </c>
      <c r="L2154" s="3" t="s">
        <v>4953</v>
      </c>
    </row>
    <row r="2155" spans="1:12" x14ac:dyDescent="0.3">
      <c r="A2155" t="s">
        <v>362</v>
      </c>
      <c r="B2155" t="s">
        <v>7473</v>
      </c>
      <c r="C2155" t="s">
        <v>7473</v>
      </c>
      <c r="L2155" s="4" t="s">
        <v>4955</v>
      </c>
    </row>
    <row r="2156" spans="1:12" x14ac:dyDescent="0.3">
      <c r="A2156" t="s">
        <v>1417</v>
      </c>
      <c r="B2156" t="s">
        <v>1417</v>
      </c>
      <c r="C2156" t="s">
        <v>4380</v>
      </c>
      <c r="L2156" s="3" t="s">
        <v>4957</v>
      </c>
    </row>
    <row r="2157" spans="1:12" x14ac:dyDescent="0.3">
      <c r="A2157" t="s">
        <v>1417</v>
      </c>
      <c r="B2157" t="s">
        <v>8268</v>
      </c>
      <c r="C2157" t="s">
        <v>7473</v>
      </c>
      <c r="L2157" s="4" t="s">
        <v>4959</v>
      </c>
    </row>
    <row r="2158" spans="1:12" x14ac:dyDescent="0.3">
      <c r="A2158" t="s">
        <v>521</v>
      </c>
      <c r="B2158" t="s">
        <v>6902</v>
      </c>
      <c r="C2158" t="s">
        <v>7473</v>
      </c>
      <c r="L2158" s="3" t="s">
        <v>4962</v>
      </c>
    </row>
    <row r="2159" spans="1:12" x14ac:dyDescent="0.3">
      <c r="A2159" t="s">
        <v>668</v>
      </c>
      <c r="B2159" t="s">
        <v>8268</v>
      </c>
      <c r="C2159" t="s">
        <v>5043</v>
      </c>
      <c r="L2159" s="4" t="s">
        <v>4965</v>
      </c>
    </row>
    <row r="2160" spans="1:12" x14ac:dyDescent="0.3">
      <c r="A2160" t="s">
        <v>8268</v>
      </c>
      <c r="B2160" t="s">
        <v>1417</v>
      </c>
      <c r="C2160" t="s">
        <v>4380</v>
      </c>
      <c r="L2160" s="3" t="s">
        <v>4967</v>
      </c>
    </row>
    <row r="2161" spans="1:12" x14ac:dyDescent="0.3">
      <c r="A2161" t="s">
        <v>668</v>
      </c>
      <c r="B2161" t="s">
        <v>7104</v>
      </c>
      <c r="C2161" t="s">
        <v>4380</v>
      </c>
      <c r="L2161" s="4" t="s">
        <v>4969</v>
      </c>
    </row>
    <row r="2162" spans="1:12" x14ac:dyDescent="0.3">
      <c r="A2162" t="s">
        <v>521</v>
      </c>
      <c r="B2162" t="s">
        <v>668</v>
      </c>
      <c r="C2162" t="s">
        <v>7473</v>
      </c>
      <c r="L2162" s="3" t="s">
        <v>4971</v>
      </c>
    </row>
    <row r="2163" spans="1:12" x14ac:dyDescent="0.3">
      <c r="A2163" t="s">
        <v>362</v>
      </c>
      <c r="B2163" t="s">
        <v>668</v>
      </c>
      <c r="C2163" t="s">
        <v>8266</v>
      </c>
      <c r="L2163" s="4" t="s">
        <v>4973</v>
      </c>
    </row>
    <row r="2164" spans="1:12" x14ac:dyDescent="0.3">
      <c r="A2164" t="s">
        <v>362</v>
      </c>
      <c r="B2164" t="s">
        <v>8268</v>
      </c>
      <c r="C2164" t="s">
        <v>4380</v>
      </c>
      <c r="L2164" s="3" t="s">
        <v>4975</v>
      </c>
    </row>
    <row r="2165" spans="1:12" x14ac:dyDescent="0.3">
      <c r="A2165" t="s">
        <v>2701</v>
      </c>
      <c r="B2165" t="s">
        <v>1417</v>
      </c>
      <c r="C2165" t="s">
        <v>5138</v>
      </c>
      <c r="L2165" s="4" t="s">
        <v>4977</v>
      </c>
    </row>
    <row r="2166" spans="1:12" x14ac:dyDescent="0.3">
      <c r="A2166" t="s">
        <v>362</v>
      </c>
      <c r="B2166" t="s">
        <v>8268</v>
      </c>
      <c r="C2166" t="s">
        <v>7473</v>
      </c>
      <c r="L2166" s="3" t="s">
        <v>4979</v>
      </c>
    </row>
    <row r="2167" spans="1:12" x14ac:dyDescent="0.3">
      <c r="A2167" t="s">
        <v>668</v>
      </c>
      <c r="B2167" t="s">
        <v>4843</v>
      </c>
      <c r="C2167" t="s">
        <v>7473</v>
      </c>
      <c r="L2167" s="4" t="s">
        <v>4981</v>
      </c>
    </row>
    <row r="2168" spans="1:12" x14ac:dyDescent="0.3">
      <c r="A2168" t="s">
        <v>1417</v>
      </c>
      <c r="B2168" t="s">
        <v>5043</v>
      </c>
      <c r="C2168" t="s">
        <v>8269</v>
      </c>
      <c r="L2168" s="3" t="s">
        <v>4983</v>
      </c>
    </row>
    <row r="2169" spans="1:12" x14ac:dyDescent="0.3">
      <c r="A2169" t="s">
        <v>668</v>
      </c>
      <c r="B2169" t="s">
        <v>1417</v>
      </c>
      <c r="C2169" t="s">
        <v>5043</v>
      </c>
      <c r="L2169" s="4" t="s">
        <v>4985</v>
      </c>
    </row>
    <row r="2170" spans="1:12" x14ac:dyDescent="0.3">
      <c r="A2170" t="s">
        <v>521</v>
      </c>
      <c r="B2170" t="s">
        <v>497</v>
      </c>
      <c r="C2170" t="s">
        <v>8269</v>
      </c>
      <c r="L2170" s="3" t="s">
        <v>4987</v>
      </c>
    </row>
    <row r="2171" spans="1:12" x14ac:dyDescent="0.3">
      <c r="A2171" t="s">
        <v>1417</v>
      </c>
      <c r="B2171" t="s">
        <v>668</v>
      </c>
      <c r="C2171" t="s">
        <v>5138</v>
      </c>
      <c r="L2171" s="4" t="s">
        <v>4989</v>
      </c>
    </row>
    <row r="2172" spans="1:12" x14ac:dyDescent="0.3">
      <c r="A2172" t="s">
        <v>668</v>
      </c>
      <c r="B2172" t="s">
        <v>2701</v>
      </c>
      <c r="C2172" t="s">
        <v>8266</v>
      </c>
      <c r="L2172" s="3" t="s">
        <v>4991</v>
      </c>
    </row>
    <row r="2173" spans="1:12" x14ac:dyDescent="0.3">
      <c r="A2173" t="s">
        <v>668</v>
      </c>
      <c r="B2173" t="s">
        <v>668</v>
      </c>
      <c r="C2173" t="s">
        <v>7473</v>
      </c>
      <c r="L2173" s="4" t="s">
        <v>4993</v>
      </c>
    </row>
    <row r="2174" spans="1:12" x14ac:dyDescent="0.3">
      <c r="A2174" t="s">
        <v>362</v>
      </c>
      <c r="B2174" t="s">
        <v>668</v>
      </c>
      <c r="C2174" t="s">
        <v>8046</v>
      </c>
      <c r="L2174" s="3" t="s">
        <v>4995</v>
      </c>
    </row>
    <row r="2175" spans="1:12" x14ac:dyDescent="0.3">
      <c r="A2175" t="s">
        <v>1417</v>
      </c>
      <c r="B2175" t="s">
        <v>8269</v>
      </c>
      <c r="C2175" t="s">
        <v>7104</v>
      </c>
      <c r="L2175" s="4" t="s">
        <v>4997</v>
      </c>
    </row>
    <row r="2176" spans="1:12" x14ac:dyDescent="0.3">
      <c r="A2176" t="s">
        <v>5524</v>
      </c>
      <c r="B2176" t="s">
        <v>1417</v>
      </c>
      <c r="C2176" t="s">
        <v>4380</v>
      </c>
      <c r="L2176" s="3" t="s">
        <v>4999</v>
      </c>
    </row>
    <row r="2177" spans="1:12" x14ac:dyDescent="0.3">
      <c r="A2177" t="s">
        <v>668</v>
      </c>
      <c r="B2177" t="s">
        <v>1417</v>
      </c>
      <c r="C2177" t="s">
        <v>5043</v>
      </c>
      <c r="L2177" s="4" t="s">
        <v>5001</v>
      </c>
    </row>
    <row r="2178" spans="1:12" x14ac:dyDescent="0.3">
      <c r="A2178" t="s">
        <v>668</v>
      </c>
      <c r="B2178" t="s">
        <v>1417</v>
      </c>
      <c r="C2178" t="s">
        <v>6902</v>
      </c>
      <c r="L2178" s="3" t="s">
        <v>5003</v>
      </c>
    </row>
    <row r="2179" spans="1:12" x14ac:dyDescent="0.3">
      <c r="A2179" t="s">
        <v>497</v>
      </c>
      <c r="B2179" t="s">
        <v>5138</v>
      </c>
      <c r="C2179" t="s">
        <v>7104</v>
      </c>
      <c r="L2179" s="4" t="s">
        <v>5005</v>
      </c>
    </row>
    <row r="2180" spans="1:12" x14ac:dyDescent="0.3">
      <c r="A2180" t="s">
        <v>1417</v>
      </c>
      <c r="B2180" t="s">
        <v>1417</v>
      </c>
      <c r="C2180" t="s">
        <v>5138</v>
      </c>
      <c r="L2180" s="3" t="s">
        <v>5007</v>
      </c>
    </row>
    <row r="2181" spans="1:12" x14ac:dyDescent="0.3">
      <c r="A2181" t="s">
        <v>668</v>
      </c>
      <c r="B2181" t="s">
        <v>8266</v>
      </c>
      <c r="C2181" t="s">
        <v>4380</v>
      </c>
      <c r="L2181" s="4" t="s">
        <v>5009</v>
      </c>
    </row>
    <row r="2182" spans="1:12" x14ac:dyDescent="0.3">
      <c r="A2182" t="s">
        <v>521</v>
      </c>
      <c r="B2182" t="s">
        <v>8268</v>
      </c>
      <c r="C2182" t="s">
        <v>4380</v>
      </c>
      <c r="L2182" s="3" t="s">
        <v>5011</v>
      </c>
    </row>
    <row r="2183" spans="1:12" x14ac:dyDescent="0.3">
      <c r="A2183" t="s">
        <v>668</v>
      </c>
      <c r="B2183" t="s">
        <v>8046</v>
      </c>
      <c r="C2183" t="s">
        <v>4380</v>
      </c>
      <c r="L2183" s="4" t="s">
        <v>5013</v>
      </c>
    </row>
    <row r="2184" spans="1:12" x14ac:dyDescent="0.3">
      <c r="A2184" t="s">
        <v>668</v>
      </c>
      <c r="B2184" t="s">
        <v>1417</v>
      </c>
      <c r="C2184" t="s">
        <v>4380</v>
      </c>
      <c r="L2184" s="3" t="s">
        <v>5015</v>
      </c>
    </row>
    <row r="2185" spans="1:12" x14ac:dyDescent="0.3">
      <c r="A2185" t="s">
        <v>362</v>
      </c>
      <c r="B2185" t="s">
        <v>1417</v>
      </c>
      <c r="C2185" t="s">
        <v>1417</v>
      </c>
      <c r="L2185" s="4" t="s">
        <v>5017</v>
      </c>
    </row>
    <row r="2186" spans="1:12" x14ac:dyDescent="0.3">
      <c r="A2186" t="s">
        <v>5524</v>
      </c>
      <c r="B2186" t="s">
        <v>4380</v>
      </c>
      <c r="C2186" t="s">
        <v>5043</v>
      </c>
      <c r="L2186" s="3" t="s">
        <v>5019</v>
      </c>
    </row>
    <row r="2187" spans="1:12" x14ac:dyDescent="0.3">
      <c r="A2187" t="s">
        <v>362</v>
      </c>
      <c r="B2187" t="s">
        <v>668</v>
      </c>
      <c r="C2187" t="s">
        <v>1417</v>
      </c>
      <c r="L2187" s="4" t="s">
        <v>5022</v>
      </c>
    </row>
    <row r="2188" spans="1:12" x14ac:dyDescent="0.3">
      <c r="A2188" t="s">
        <v>1417</v>
      </c>
      <c r="B2188" t="s">
        <v>1417</v>
      </c>
      <c r="C2188" t="s">
        <v>5138</v>
      </c>
      <c r="L2188" s="3" t="s">
        <v>5024</v>
      </c>
    </row>
    <row r="2189" spans="1:12" x14ac:dyDescent="0.3">
      <c r="A2189" t="s">
        <v>1417</v>
      </c>
      <c r="B2189" t="s">
        <v>4843</v>
      </c>
      <c r="C2189" t="s">
        <v>8268</v>
      </c>
      <c r="L2189" s="4" t="s">
        <v>5026</v>
      </c>
    </row>
    <row r="2190" spans="1:12" x14ac:dyDescent="0.3">
      <c r="A2190" t="s">
        <v>4843</v>
      </c>
      <c r="B2190" t="s">
        <v>1417</v>
      </c>
      <c r="C2190" t="s">
        <v>497</v>
      </c>
      <c r="L2190" s="3" t="s">
        <v>5028</v>
      </c>
    </row>
    <row r="2191" spans="1:12" x14ac:dyDescent="0.3">
      <c r="A2191" t="s">
        <v>2701</v>
      </c>
      <c r="B2191" t="s">
        <v>668</v>
      </c>
      <c r="C2191" t="s">
        <v>4380</v>
      </c>
      <c r="L2191" s="4" t="s">
        <v>5031</v>
      </c>
    </row>
    <row r="2192" spans="1:12" x14ac:dyDescent="0.3">
      <c r="A2192" t="s">
        <v>362</v>
      </c>
      <c r="B2192" t="s">
        <v>1417</v>
      </c>
      <c r="C2192" t="s">
        <v>4380</v>
      </c>
      <c r="L2192" s="3" t="s">
        <v>5034</v>
      </c>
    </row>
    <row r="2193" spans="1:12" x14ac:dyDescent="0.3">
      <c r="A2193" t="s">
        <v>668</v>
      </c>
      <c r="B2193" t="s">
        <v>1417</v>
      </c>
      <c r="C2193" t="s">
        <v>4380</v>
      </c>
      <c r="L2193" s="4" t="s">
        <v>5036</v>
      </c>
    </row>
    <row r="2194" spans="1:12" x14ac:dyDescent="0.3">
      <c r="A2194" t="s">
        <v>362</v>
      </c>
      <c r="B2194" t="s">
        <v>5043</v>
      </c>
      <c r="C2194" t="s">
        <v>4380</v>
      </c>
      <c r="L2194" s="3" t="s">
        <v>5039</v>
      </c>
    </row>
    <row r="2195" spans="1:12" x14ac:dyDescent="0.3">
      <c r="A2195" t="s">
        <v>362</v>
      </c>
      <c r="B2195" t="s">
        <v>1417</v>
      </c>
      <c r="C2195" t="s">
        <v>5043</v>
      </c>
      <c r="L2195" s="4" t="s">
        <v>5041</v>
      </c>
    </row>
    <row r="2196" spans="1:12" x14ac:dyDescent="0.3">
      <c r="A2196" t="s">
        <v>5524</v>
      </c>
      <c r="B2196" t="s">
        <v>8269</v>
      </c>
      <c r="C2196" t="s">
        <v>5043</v>
      </c>
      <c r="L2196" s="3" t="s">
        <v>5045</v>
      </c>
    </row>
    <row r="2197" spans="1:12" x14ac:dyDescent="0.3">
      <c r="A2197" t="s">
        <v>8268</v>
      </c>
      <c r="B2197" t="s">
        <v>1417</v>
      </c>
      <c r="C2197" t="s">
        <v>4380</v>
      </c>
      <c r="L2197" s="4" t="s">
        <v>5048</v>
      </c>
    </row>
    <row r="2198" spans="1:12" x14ac:dyDescent="0.3">
      <c r="A2198" t="s">
        <v>2701</v>
      </c>
      <c r="B2198" t="s">
        <v>7104</v>
      </c>
      <c r="C2198" t="s">
        <v>7473</v>
      </c>
      <c r="L2198" s="3" t="s">
        <v>5050</v>
      </c>
    </row>
    <row r="2199" spans="1:12" x14ac:dyDescent="0.3">
      <c r="A2199" t="s">
        <v>668</v>
      </c>
      <c r="B2199" t="s">
        <v>7473</v>
      </c>
      <c r="C2199" t="s">
        <v>7473</v>
      </c>
      <c r="L2199" s="4" t="s">
        <v>5052</v>
      </c>
    </row>
    <row r="2200" spans="1:12" x14ac:dyDescent="0.3">
      <c r="A2200" t="s">
        <v>362</v>
      </c>
      <c r="B2200" t="s">
        <v>362</v>
      </c>
      <c r="C2200" t="s">
        <v>5138</v>
      </c>
      <c r="L2200" s="3" t="s">
        <v>5055</v>
      </c>
    </row>
    <row r="2201" spans="1:12" x14ac:dyDescent="0.3">
      <c r="A2201" t="s">
        <v>668</v>
      </c>
      <c r="B2201" t="s">
        <v>8046</v>
      </c>
      <c r="C2201" t="s">
        <v>1417</v>
      </c>
      <c r="L2201" s="4" t="s">
        <v>5057</v>
      </c>
    </row>
    <row r="2202" spans="1:12" x14ac:dyDescent="0.3">
      <c r="A2202" t="s">
        <v>521</v>
      </c>
      <c r="B2202" t="s">
        <v>1417</v>
      </c>
      <c r="C2202" t="s">
        <v>668</v>
      </c>
      <c r="L2202" s="3" t="s">
        <v>5059</v>
      </c>
    </row>
    <row r="2203" spans="1:12" x14ac:dyDescent="0.3">
      <c r="A2203" t="s">
        <v>8268</v>
      </c>
      <c r="B2203" t="s">
        <v>362</v>
      </c>
      <c r="C2203" t="s">
        <v>1417</v>
      </c>
      <c r="L2203" s="4" t="s">
        <v>5061</v>
      </c>
    </row>
    <row r="2204" spans="1:12" x14ac:dyDescent="0.3">
      <c r="A2204" t="s">
        <v>5524</v>
      </c>
      <c r="B2204" t="s">
        <v>7104</v>
      </c>
      <c r="C2204" t="s">
        <v>4380</v>
      </c>
      <c r="L2204" s="3" t="s">
        <v>5063</v>
      </c>
    </row>
    <row r="2205" spans="1:12" x14ac:dyDescent="0.3">
      <c r="A2205" t="s">
        <v>668</v>
      </c>
      <c r="B2205" t="s">
        <v>7104</v>
      </c>
      <c r="C2205" t="s">
        <v>1417</v>
      </c>
      <c r="L2205" s="4" t="s">
        <v>5065</v>
      </c>
    </row>
    <row r="2206" spans="1:12" x14ac:dyDescent="0.3">
      <c r="A2206" t="s">
        <v>1417</v>
      </c>
      <c r="B2206" t="s">
        <v>668</v>
      </c>
      <c r="C2206" t="s">
        <v>4380</v>
      </c>
      <c r="L2206" s="3" t="s">
        <v>5068</v>
      </c>
    </row>
    <row r="2207" spans="1:12" x14ac:dyDescent="0.3">
      <c r="A2207" t="s">
        <v>668</v>
      </c>
      <c r="B2207" t="s">
        <v>1417</v>
      </c>
      <c r="C2207" t="s">
        <v>7473</v>
      </c>
      <c r="L2207" s="4" t="s">
        <v>5070</v>
      </c>
    </row>
    <row r="2208" spans="1:12" x14ac:dyDescent="0.3">
      <c r="A2208" t="s">
        <v>1417</v>
      </c>
      <c r="B2208" t="s">
        <v>7104</v>
      </c>
      <c r="C2208" t="s">
        <v>4380</v>
      </c>
      <c r="L2208" s="3" t="s">
        <v>5072</v>
      </c>
    </row>
    <row r="2209" spans="1:12" x14ac:dyDescent="0.3">
      <c r="A2209" t="s">
        <v>521</v>
      </c>
      <c r="B2209" t="s">
        <v>1417</v>
      </c>
      <c r="C2209" t="s">
        <v>4380</v>
      </c>
      <c r="L2209" s="4" t="s">
        <v>5074</v>
      </c>
    </row>
    <row r="2210" spans="1:12" x14ac:dyDescent="0.3">
      <c r="A2210" t="s">
        <v>2701</v>
      </c>
      <c r="B2210" t="s">
        <v>1417</v>
      </c>
      <c r="C2210" t="s">
        <v>7473</v>
      </c>
      <c r="L2210" s="3" t="s">
        <v>5076</v>
      </c>
    </row>
    <row r="2211" spans="1:12" x14ac:dyDescent="0.3">
      <c r="A2211" t="s">
        <v>8268</v>
      </c>
      <c r="B2211" t="s">
        <v>8270</v>
      </c>
      <c r="C2211" t="s">
        <v>1417</v>
      </c>
      <c r="L2211" s="4" t="s">
        <v>5078</v>
      </c>
    </row>
    <row r="2212" spans="1:12" x14ac:dyDescent="0.3">
      <c r="A2212" t="s">
        <v>668</v>
      </c>
      <c r="B2212" t="s">
        <v>1417</v>
      </c>
      <c r="C2212" t="s">
        <v>1417</v>
      </c>
      <c r="L2212" s="3" t="s">
        <v>5081</v>
      </c>
    </row>
    <row r="2213" spans="1:12" x14ac:dyDescent="0.3">
      <c r="A2213" t="s">
        <v>668</v>
      </c>
      <c r="B2213" t="s">
        <v>1417</v>
      </c>
      <c r="C2213" t="s">
        <v>4380</v>
      </c>
      <c r="L2213" s="4" t="s">
        <v>5083</v>
      </c>
    </row>
    <row r="2214" spans="1:12" x14ac:dyDescent="0.3">
      <c r="A2214" t="s">
        <v>5524</v>
      </c>
      <c r="B2214" t="s">
        <v>4843</v>
      </c>
      <c r="C2214" t="s">
        <v>7104</v>
      </c>
      <c r="L2214" s="3" t="s">
        <v>5085</v>
      </c>
    </row>
    <row r="2215" spans="1:12" x14ac:dyDescent="0.3">
      <c r="A2215" t="s">
        <v>521</v>
      </c>
      <c r="B2215" t="s">
        <v>1417</v>
      </c>
      <c r="C2215" t="s">
        <v>8266</v>
      </c>
      <c r="L2215" s="4" t="s">
        <v>5087</v>
      </c>
    </row>
    <row r="2216" spans="1:12" x14ac:dyDescent="0.3">
      <c r="A2216" t="s">
        <v>2701</v>
      </c>
      <c r="B2216" t="s">
        <v>5524</v>
      </c>
      <c r="C2216" t="s">
        <v>1417</v>
      </c>
      <c r="L2216" s="3" t="s">
        <v>5089</v>
      </c>
    </row>
    <row r="2217" spans="1:12" x14ac:dyDescent="0.3">
      <c r="A2217" t="s">
        <v>362</v>
      </c>
      <c r="B2217" t="s">
        <v>8268</v>
      </c>
      <c r="C2217" t="s">
        <v>8267</v>
      </c>
      <c r="L2217" s="4" t="s">
        <v>5091</v>
      </c>
    </row>
    <row r="2218" spans="1:12" x14ac:dyDescent="0.3">
      <c r="A2218" t="s">
        <v>8268</v>
      </c>
      <c r="B2218" t="s">
        <v>1417</v>
      </c>
      <c r="C2218" t="s">
        <v>7473</v>
      </c>
      <c r="L2218" s="3" t="s">
        <v>5093</v>
      </c>
    </row>
    <row r="2219" spans="1:12" x14ac:dyDescent="0.3">
      <c r="A2219" t="s">
        <v>8268</v>
      </c>
      <c r="B2219" t="s">
        <v>7473</v>
      </c>
      <c r="C2219" t="s">
        <v>1417</v>
      </c>
      <c r="L2219" s="4" t="s">
        <v>5095</v>
      </c>
    </row>
    <row r="2220" spans="1:12" x14ac:dyDescent="0.3">
      <c r="A2220" t="s">
        <v>1417</v>
      </c>
      <c r="B2220" t="s">
        <v>5524</v>
      </c>
      <c r="C2220" t="s">
        <v>5043</v>
      </c>
      <c r="L2220" s="3" t="s">
        <v>5097</v>
      </c>
    </row>
    <row r="2221" spans="1:12" x14ac:dyDescent="0.3">
      <c r="A2221" t="s">
        <v>668</v>
      </c>
      <c r="B2221" t="s">
        <v>1417</v>
      </c>
      <c r="C2221" t="s">
        <v>5138</v>
      </c>
      <c r="L2221" s="4" t="s">
        <v>5099</v>
      </c>
    </row>
    <row r="2222" spans="1:12" x14ac:dyDescent="0.3">
      <c r="A2222" t="s">
        <v>2701</v>
      </c>
      <c r="B2222" t="s">
        <v>1417</v>
      </c>
      <c r="C2222" t="s">
        <v>1417</v>
      </c>
      <c r="L2222" s="3" t="s">
        <v>5101</v>
      </c>
    </row>
    <row r="2223" spans="1:12" x14ac:dyDescent="0.3">
      <c r="A2223" t="s">
        <v>8268</v>
      </c>
      <c r="B2223" t="s">
        <v>7104</v>
      </c>
      <c r="C2223" t="s">
        <v>8266</v>
      </c>
      <c r="L2223" s="4" t="s">
        <v>5103</v>
      </c>
    </row>
    <row r="2224" spans="1:12" x14ac:dyDescent="0.3">
      <c r="A2224" t="s">
        <v>8268</v>
      </c>
      <c r="B2224" t="s">
        <v>8266</v>
      </c>
      <c r="C2224" t="s">
        <v>4380</v>
      </c>
      <c r="L2224" s="3" t="s">
        <v>5105</v>
      </c>
    </row>
    <row r="2225" spans="1:12" x14ac:dyDescent="0.3">
      <c r="A2225" t="s">
        <v>1417</v>
      </c>
      <c r="B2225" t="s">
        <v>2701</v>
      </c>
      <c r="C2225" t="s">
        <v>4380</v>
      </c>
      <c r="L2225" s="4" t="s">
        <v>5107</v>
      </c>
    </row>
    <row r="2226" spans="1:12" x14ac:dyDescent="0.3">
      <c r="A2226" t="s">
        <v>668</v>
      </c>
      <c r="B2226" t="s">
        <v>668</v>
      </c>
      <c r="C2226" t="s">
        <v>8267</v>
      </c>
      <c r="L2226" s="3" t="s">
        <v>5110</v>
      </c>
    </row>
    <row r="2227" spans="1:12" x14ac:dyDescent="0.3">
      <c r="A2227" t="s">
        <v>521</v>
      </c>
      <c r="B2227" t="s">
        <v>8266</v>
      </c>
      <c r="C2227" t="s">
        <v>5043</v>
      </c>
      <c r="L2227" s="4" t="s">
        <v>5112</v>
      </c>
    </row>
    <row r="2228" spans="1:12" x14ac:dyDescent="0.3">
      <c r="A2228" t="s">
        <v>521</v>
      </c>
      <c r="B2228" t="s">
        <v>1417</v>
      </c>
      <c r="C2228" t="s">
        <v>4380</v>
      </c>
      <c r="L2228" s="3" t="s">
        <v>5114</v>
      </c>
    </row>
    <row r="2229" spans="1:12" x14ac:dyDescent="0.3">
      <c r="A2229" t="s">
        <v>668</v>
      </c>
      <c r="B2229" t="s">
        <v>1417</v>
      </c>
      <c r="C2229" t="s">
        <v>4380</v>
      </c>
      <c r="L2229" s="4" t="s">
        <v>5116</v>
      </c>
    </row>
    <row r="2230" spans="1:12" x14ac:dyDescent="0.3">
      <c r="A2230" t="s">
        <v>521</v>
      </c>
      <c r="B2230" t="s">
        <v>1417</v>
      </c>
      <c r="C2230" t="s">
        <v>4380</v>
      </c>
      <c r="L2230" s="3" t="s">
        <v>5118</v>
      </c>
    </row>
    <row r="2231" spans="1:12" x14ac:dyDescent="0.3">
      <c r="A2231" t="s">
        <v>668</v>
      </c>
      <c r="B2231" t="s">
        <v>7473</v>
      </c>
      <c r="C2231" t="s">
        <v>7473</v>
      </c>
      <c r="L2231" s="4" t="s">
        <v>5120</v>
      </c>
    </row>
    <row r="2232" spans="1:12" x14ac:dyDescent="0.3">
      <c r="A2232" t="s">
        <v>362</v>
      </c>
      <c r="B2232" t="s">
        <v>1417</v>
      </c>
      <c r="C2232" t="s">
        <v>1417</v>
      </c>
      <c r="L2232" s="3" t="s">
        <v>5122</v>
      </c>
    </row>
    <row r="2233" spans="1:12" x14ac:dyDescent="0.3">
      <c r="A2233" t="s">
        <v>2701</v>
      </c>
      <c r="B2233" t="s">
        <v>1417</v>
      </c>
      <c r="C2233" t="s">
        <v>7473</v>
      </c>
      <c r="L2233" s="4" t="s">
        <v>5125</v>
      </c>
    </row>
    <row r="2234" spans="1:12" x14ac:dyDescent="0.3">
      <c r="A2234" t="s">
        <v>521</v>
      </c>
      <c r="B2234" t="s">
        <v>668</v>
      </c>
      <c r="C2234" t="s">
        <v>4380</v>
      </c>
      <c r="L2234" s="3" t="s">
        <v>5127</v>
      </c>
    </row>
    <row r="2235" spans="1:12" x14ac:dyDescent="0.3">
      <c r="A2235" t="s">
        <v>362</v>
      </c>
      <c r="B2235" t="s">
        <v>4380</v>
      </c>
      <c r="C2235" t="s">
        <v>7473</v>
      </c>
      <c r="L2235" s="4" t="s">
        <v>5129</v>
      </c>
    </row>
    <row r="2236" spans="1:12" x14ac:dyDescent="0.3">
      <c r="A2236" t="s">
        <v>521</v>
      </c>
      <c r="B2236" t="s">
        <v>4843</v>
      </c>
      <c r="C2236" t="s">
        <v>4380</v>
      </c>
      <c r="L2236" s="3" t="s">
        <v>5131</v>
      </c>
    </row>
    <row r="2237" spans="1:12" x14ac:dyDescent="0.3">
      <c r="A2237" t="s">
        <v>668</v>
      </c>
      <c r="B2237" t="s">
        <v>8268</v>
      </c>
      <c r="C2237" t="s">
        <v>4380</v>
      </c>
      <c r="L2237" s="4" t="s">
        <v>5133</v>
      </c>
    </row>
    <row r="2238" spans="1:12" x14ac:dyDescent="0.3">
      <c r="A2238" t="s">
        <v>668</v>
      </c>
      <c r="B2238" t="s">
        <v>362</v>
      </c>
      <c r="C2238" t="s">
        <v>8267</v>
      </c>
      <c r="L2238" s="3" t="s">
        <v>5136</v>
      </c>
    </row>
    <row r="2239" spans="1:12" x14ac:dyDescent="0.3">
      <c r="A2239" t="s">
        <v>668</v>
      </c>
      <c r="B2239" t="s">
        <v>8269</v>
      </c>
      <c r="C2239" t="s">
        <v>4380</v>
      </c>
      <c r="L2239" s="4" t="s">
        <v>5139</v>
      </c>
    </row>
    <row r="2240" spans="1:12" x14ac:dyDescent="0.3">
      <c r="A2240" t="s">
        <v>362</v>
      </c>
      <c r="B2240" t="s">
        <v>668</v>
      </c>
      <c r="C2240" t="s">
        <v>8269</v>
      </c>
      <c r="L2240" s="3" t="s">
        <v>5141</v>
      </c>
    </row>
    <row r="2241" spans="1:12" x14ac:dyDescent="0.3">
      <c r="A2241" t="s">
        <v>8268</v>
      </c>
      <c r="B2241" t="s">
        <v>7473</v>
      </c>
      <c r="C2241" t="s">
        <v>1417</v>
      </c>
      <c r="L2241" s="4" t="s">
        <v>5143</v>
      </c>
    </row>
    <row r="2242" spans="1:12" x14ac:dyDescent="0.3">
      <c r="A2242" t="s">
        <v>521</v>
      </c>
      <c r="B2242" t="s">
        <v>8046</v>
      </c>
      <c r="C2242" t="s">
        <v>4380</v>
      </c>
      <c r="L2242" s="3" t="s">
        <v>5145</v>
      </c>
    </row>
    <row r="2243" spans="1:12" x14ac:dyDescent="0.3">
      <c r="A2243" t="s">
        <v>521</v>
      </c>
      <c r="B2243" t="s">
        <v>1417</v>
      </c>
      <c r="C2243" t="s">
        <v>8269</v>
      </c>
      <c r="L2243" s="4" t="s">
        <v>5147</v>
      </c>
    </row>
    <row r="2244" spans="1:12" x14ac:dyDescent="0.3">
      <c r="A2244" t="s">
        <v>2701</v>
      </c>
      <c r="B2244" t="s">
        <v>497</v>
      </c>
      <c r="C2244" t="s">
        <v>7473</v>
      </c>
      <c r="L2244" s="3" t="s">
        <v>5149</v>
      </c>
    </row>
    <row r="2245" spans="1:12" x14ac:dyDescent="0.3">
      <c r="A2245" t="s">
        <v>668</v>
      </c>
      <c r="B2245" t="s">
        <v>1417</v>
      </c>
      <c r="C2245" t="s">
        <v>4380</v>
      </c>
      <c r="L2245" s="4" t="s">
        <v>5151</v>
      </c>
    </row>
    <row r="2246" spans="1:12" x14ac:dyDescent="0.3">
      <c r="A2246" t="s">
        <v>1417</v>
      </c>
      <c r="B2246" t="s">
        <v>2701</v>
      </c>
      <c r="C2246" t="s">
        <v>5043</v>
      </c>
      <c r="L2246" s="3" t="s">
        <v>5153</v>
      </c>
    </row>
    <row r="2247" spans="1:12" x14ac:dyDescent="0.3">
      <c r="A2247" t="s">
        <v>668</v>
      </c>
      <c r="B2247" t="s">
        <v>1417</v>
      </c>
      <c r="C2247" t="s">
        <v>4380</v>
      </c>
      <c r="L2247" s="4" t="s">
        <v>5155</v>
      </c>
    </row>
    <row r="2248" spans="1:12" x14ac:dyDescent="0.3">
      <c r="A2248" t="s">
        <v>668</v>
      </c>
      <c r="B2248" t="s">
        <v>668</v>
      </c>
      <c r="C2248" t="s">
        <v>2701</v>
      </c>
      <c r="L2248" s="3" t="s">
        <v>5157</v>
      </c>
    </row>
    <row r="2249" spans="1:12" x14ac:dyDescent="0.3">
      <c r="A2249" t="s">
        <v>362</v>
      </c>
      <c r="B2249" t="s">
        <v>497</v>
      </c>
      <c r="C2249" t="s">
        <v>7473</v>
      </c>
      <c r="L2249" s="4" t="s">
        <v>5159</v>
      </c>
    </row>
    <row r="2250" spans="1:12" x14ac:dyDescent="0.3">
      <c r="A2250" t="s">
        <v>668</v>
      </c>
      <c r="B2250" t="s">
        <v>668</v>
      </c>
      <c r="C2250" t="s">
        <v>2701</v>
      </c>
      <c r="L2250" s="3" t="s">
        <v>5161</v>
      </c>
    </row>
    <row r="2251" spans="1:12" x14ac:dyDescent="0.3">
      <c r="A2251" t="s">
        <v>1417</v>
      </c>
      <c r="B2251" t="s">
        <v>1417</v>
      </c>
      <c r="C2251" t="s">
        <v>5138</v>
      </c>
      <c r="L2251" s="4" t="s">
        <v>5163</v>
      </c>
    </row>
    <row r="2252" spans="1:12" x14ac:dyDescent="0.3">
      <c r="A2252" t="s">
        <v>362</v>
      </c>
      <c r="B2252" t="s">
        <v>7473</v>
      </c>
      <c r="C2252" t="s">
        <v>668</v>
      </c>
      <c r="L2252" s="3" t="s">
        <v>5165</v>
      </c>
    </row>
    <row r="2253" spans="1:12" x14ac:dyDescent="0.3">
      <c r="A2253" t="s">
        <v>668</v>
      </c>
      <c r="B2253" t="s">
        <v>362</v>
      </c>
      <c r="C2253" t="s">
        <v>1417</v>
      </c>
      <c r="L2253" s="4" t="s">
        <v>5167</v>
      </c>
    </row>
    <row r="2254" spans="1:12" x14ac:dyDescent="0.3">
      <c r="A2254" t="s">
        <v>362</v>
      </c>
      <c r="B2254" t="s">
        <v>2701</v>
      </c>
      <c r="C2254" t="s">
        <v>7473</v>
      </c>
      <c r="L2254" s="3" t="s">
        <v>5169</v>
      </c>
    </row>
    <row r="2255" spans="1:12" x14ac:dyDescent="0.3">
      <c r="A2255" t="s">
        <v>8268</v>
      </c>
      <c r="B2255" t="s">
        <v>7473</v>
      </c>
      <c r="C2255" t="s">
        <v>1417</v>
      </c>
      <c r="L2255" s="4" t="s">
        <v>5171</v>
      </c>
    </row>
    <row r="2256" spans="1:12" x14ac:dyDescent="0.3">
      <c r="A2256" t="s">
        <v>4843</v>
      </c>
      <c r="B2256" t="s">
        <v>1417</v>
      </c>
      <c r="C2256" t="s">
        <v>4380</v>
      </c>
      <c r="L2256" s="3" t="s">
        <v>5173</v>
      </c>
    </row>
    <row r="2257" spans="1:12" x14ac:dyDescent="0.3">
      <c r="A2257" t="s">
        <v>668</v>
      </c>
      <c r="B2257" t="s">
        <v>1417</v>
      </c>
      <c r="C2257" t="s">
        <v>8268</v>
      </c>
      <c r="L2257" s="4" t="s">
        <v>5175</v>
      </c>
    </row>
    <row r="2258" spans="1:12" x14ac:dyDescent="0.3">
      <c r="A2258" t="s">
        <v>521</v>
      </c>
      <c r="B2258" t="s">
        <v>1417</v>
      </c>
      <c r="C2258" t="s">
        <v>668</v>
      </c>
      <c r="L2258" s="3" t="s">
        <v>5177</v>
      </c>
    </row>
    <row r="2259" spans="1:12" x14ac:dyDescent="0.3">
      <c r="A2259" t="s">
        <v>668</v>
      </c>
      <c r="B2259" t="s">
        <v>8268</v>
      </c>
      <c r="C2259" t="s">
        <v>1417</v>
      </c>
      <c r="L2259" s="4" t="s">
        <v>5180</v>
      </c>
    </row>
    <row r="2260" spans="1:12" x14ac:dyDescent="0.3">
      <c r="A2260" t="s">
        <v>668</v>
      </c>
      <c r="B2260" t="s">
        <v>8268</v>
      </c>
      <c r="C2260" t="s">
        <v>497</v>
      </c>
      <c r="L2260" s="3" t="s">
        <v>5183</v>
      </c>
    </row>
    <row r="2261" spans="1:12" x14ac:dyDescent="0.3">
      <c r="A2261" t="s">
        <v>1417</v>
      </c>
      <c r="B2261" t="s">
        <v>7104</v>
      </c>
      <c r="C2261" t="s">
        <v>5138</v>
      </c>
      <c r="L2261" s="4" t="s">
        <v>5185</v>
      </c>
    </row>
    <row r="2262" spans="1:12" x14ac:dyDescent="0.3">
      <c r="A2262" t="s">
        <v>1417</v>
      </c>
      <c r="B2262" t="s">
        <v>7104</v>
      </c>
      <c r="C2262" t="s">
        <v>4380</v>
      </c>
      <c r="L2262" s="3" t="s">
        <v>5187</v>
      </c>
    </row>
    <row r="2263" spans="1:12" x14ac:dyDescent="0.3">
      <c r="A2263" t="s">
        <v>521</v>
      </c>
      <c r="B2263" t="s">
        <v>2701</v>
      </c>
      <c r="C2263" t="s">
        <v>7473</v>
      </c>
      <c r="L2263" s="4" t="s">
        <v>5189</v>
      </c>
    </row>
    <row r="2264" spans="1:12" x14ac:dyDescent="0.3">
      <c r="A2264" t="s">
        <v>1417</v>
      </c>
      <c r="B2264" t="s">
        <v>1417</v>
      </c>
      <c r="C2264" t="s">
        <v>1417</v>
      </c>
      <c r="L2264" s="3" t="s">
        <v>5192</v>
      </c>
    </row>
    <row r="2265" spans="1:12" x14ac:dyDescent="0.3">
      <c r="A2265" t="s">
        <v>668</v>
      </c>
      <c r="B2265" t="s">
        <v>8266</v>
      </c>
      <c r="C2265" t="s">
        <v>5043</v>
      </c>
      <c r="L2265" s="4" t="s">
        <v>5194</v>
      </c>
    </row>
    <row r="2266" spans="1:12" x14ac:dyDescent="0.3">
      <c r="A2266" t="s">
        <v>668</v>
      </c>
      <c r="B2266" t="s">
        <v>1417</v>
      </c>
      <c r="C2266" t="s">
        <v>6902</v>
      </c>
      <c r="L2266" s="3" t="s">
        <v>5196</v>
      </c>
    </row>
    <row r="2267" spans="1:12" x14ac:dyDescent="0.3">
      <c r="A2267" t="s">
        <v>8268</v>
      </c>
      <c r="B2267" t="s">
        <v>8266</v>
      </c>
      <c r="C2267" t="s">
        <v>4380</v>
      </c>
      <c r="L2267" s="4" t="s">
        <v>5200</v>
      </c>
    </row>
    <row r="2268" spans="1:12" x14ac:dyDescent="0.3">
      <c r="A2268" t="s">
        <v>5524</v>
      </c>
      <c r="B2268" t="s">
        <v>1417</v>
      </c>
      <c r="C2268" t="s">
        <v>5138</v>
      </c>
      <c r="L2268" s="3" t="s">
        <v>5202</v>
      </c>
    </row>
    <row r="2269" spans="1:12" x14ac:dyDescent="0.3">
      <c r="A2269" t="s">
        <v>8268</v>
      </c>
      <c r="B2269" t="s">
        <v>1417</v>
      </c>
      <c r="C2269" t="s">
        <v>7473</v>
      </c>
      <c r="L2269" s="4" t="s">
        <v>5204</v>
      </c>
    </row>
    <row r="2270" spans="1:12" x14ac:dyDescent="0.3">
      <c r="A2270" t="s">
        <v>668</v>
      </c>
      <c r="B2270" t="s">
        <v>1417</v>
      </c>
      <c r="C2270" t="s">
        <v>1417</v>
      </c>
      <c r="L2270" s="3" t="s">
        <v>5207</v>
      </c>
    </row>
    <row r="2271" spans="1:12" x14ac:dyDescent="0.3">
      <c r="A2271" t="s">
        <v>521</v>
      </c>
      <c r="B2271" t="s">
        <v>8046</v>
      </c>
      <c r="C2271" t="s">
        <v>5138</v>
      </c>
      <c r="L2271" s="4" t="s">
        <v>5209</v>
      </c>
    </row>
    <row r="2272" spans="1:12" x14ac:dyDescent="0.3">
      <c r="A2272" t="s">
        <v>521</v>
      </c>
      <c r="B2272" t="s">
        <v>5043</v>
      </c>
      <c r="C2272" t="s">
        <v>7473</v>
      </c>
      <c r="L2272" s="3" t="s">
        <v>5211</v>
      </c>
    </row>
    <row r="2273" spans="1:12" x14ac:dyDescent="0.3">
      <c r="A2273" t="s">
        <v>668</v>
      </c>
      <c r="B2273" t="s">
        <v>8046</v>
      </c>
      <c r="C2273" t="s">
        <v>4380</v>
      </c>
      <c r="L2273" s="4" t="s">
        <v>5213</v>
      </c>
    </row>
    <row r="2274" spans="1:12" x14ac:dyDescent="0.3">
      <c r="A2274" t="s">
        <v>521</v>
      </c>
      <c r="B2274" t="s">
        <v>668</v>
      </c>
      <c r="C2274" t="s">
        <v>1417</v>
      </c>
      <c r="L2274" s="3" t="s">
        <v>5215</v>
      </c>
    </row>
    <row r="2275" spans="1:12" x14ac:dyDescent="0.3">
      <c r="A2275" t="s">
        <v>668</v>
      </c>
      <c r="B2275" t="s">
        <v>2701</v>
      </c>
      <c r="C2275" t="s">
        <v>1417</v>
      </c>
      <c r="L2275" s="4" t="s">
        <v>5217</v>
      </c>
    </row>
    <row r="2276" spans="1:12" x14ac:dyDescent="0.3">
      <c r="A2276" t="s">
        <v>521</v>
      </c>
      <c r="B2276" t="s">
        <v>1417</v>
      </c>
      <c r="C2276" t="s">
        <v>7473</v>
      </c>
      <c r="L2276" s="3" t="s">
        <v>5219</v>
      </c>
    </row>
    <row r="2277" spans="1:12" x14ac:dyDescent="0.3">
      <c r="A2277" t="s">
        <v>668</v>
      </c>
      <c r="B2277" t="s">
        <v>1417</v>
      </c>
      <c r="C2277" t="s">
        <v>668</v>
      </c>
      <c r="L2277" s="4" t="s">
        <v>5221</v>
      </c>
    </row>
    <row r="2278" spans="1:12" x14ac:dyDescent="0.3">
      <c r="A2278" t="s">
        <v>5524</v>
      </c>
      <c r="B2278" t="s">
        <v>8268</v>
      </c>
      <c r="C2278" t="s">
        <v>8267</v>
      </c>
      <c r="L2278" s="3" t="s">
        <v>5223</v>
      </c>
    </row>
    <row r="2279" spans="1:12" x14ac:dyDescent="0.3">
      <c r="A2279" t="s">
        <v>1417</v>
      </c>
      <c r="B2279" t="s">
        <v>362</v>
      </c>
      <c r="C2279" t="s">
        <v>7473</v>
      </c>
      <c r="L2279" s="4" t="s">
        <v>5225</v>
      </c>
    </row>
    <row r="2280" spans="1:12" x14ac:dyDescent="0.3">
      <c r="A2280" t="s">
        <v>668</v>
      </c>
      <c r="B2280" t="s">
        <v>1417</v>
      </c>
      <c r="C2280" t="s">
        <v>8266</v>
      </c>
      <c r="L2280" s="3" t="s">
        <v>5227</v>
      </c>
    </row>
    <row r="2281" spans="1:12" x14ac:dyDescent="0.3">
      <c r="A2281" t="s">
        <v>521</v>
      </c>
      <c r="B2281" t="s">
        <v>7473</v>
      </c>
      <c r="C2281" t="s">
        <v>1417</v>
      </c>
      <c r="L2281" s="4" t="s">
        <v>5229</v>
      </c>
    </row>
    <row r="2282" spans="1:12" x14ac:dyDescent="0.3">
      <c r="A2282" t="s">
        <v>668</v>
      </c>
      <c r="B2282" t="s">
        <v>497</v>
      </c>
      <c r="C2282" t="s">
        <v>4380</v>
      </c>
      <c r="L2282" s="3" t="s">
        <v>5232</v>
      </c>
    </row>
    <row r="2283" spans="1:12" x14ac:dyDescent="0.3">
      <c r="A2283" t="s">
        <v>521</v>
      </c>
      <c r="B2283" t="s">
        <v>1417</v>
      </c>
      <c r="C2283" t="s">
        <v>4380</v>
      </c>
      <c r="L2283" s="4" t="s">
        <v>5234</v>
      </c>
    </row>
    <row r="2284" spans="1:12" x14ac:dyDescent="0.3">
      <c r="A2284" t="s">
        <v>1417</v>
      </c>
      <c r="B2284" t="s">
        <v>5524</v>
      </c>
      <c r="C2284" t="s">
        <v>7473</v>
      </c>
      <c r="L2284" s="3" t="s">
        <v>5236</v>
      </c>
    </row>
    <row r="2285" spans="1:12" x14ac:dyDescent="0.3">
      <c r="A2285" t="s">
        <v>521</v>
      </c>
      <c r="B2285" t="s">
        <v>8268</v>
      </c>
      <c r="C2285" t="s">
        <v>8266</v>
      </c>
      <c r="L2285" s="4" t="s">
        <v>5238</v>
      </c>
    </row>
    <row r="2286" spans="1:12" x14ac:dyDescent="0.3">
      <c r="A2286" t="s">
        <v>668</v>
      </c>
      <c r="B2286" t="s">
        <v>5043</v>
      </c>
      <c r="C2286" t="s">
        <v>497</v>
      </c>
      <c r="L2286" s="3" t="s">
        <v>5240</v>
      </c>
    </row>
    <row r="2287" spans="1:12" x14ac:dyDescent="0.3">
      <c r="A2287" t="s">
        <v>668</v>
      </c>
      <c r="B2287" t="s">
        <v>8268</v>
      </c>
      <c r="C2287" t="s">
        <v>4380</v>
      </c>
      <c r="L2287" s="4" t="s">
        <v>5242</v>
      </c>
    </row>
    <row r="2288" spans="1:12" x14ac:dyDescent="0.3">
      <c r="A2288" t="s">
        <v>521</v>
      </c>
      <c r="B2288" t="s">
        <v>1417</v>
      </c>
      <c r="C2288" t="s">
        <v>8269</v>
      </c>
      <c r="L2288" s="3" t="s">
        <v>5244</v>
      </c>
    </row>
    <row r="2289" spans="1:12" x14ac:dyDescent="0.3">
      <c r="A2289" t="s">
        <v>668</v>
      </c>
      <c r="B2289" t="s">
        <v>7473</v>
      </c>
      <c r="C2289" t="s">
        <v>4380</v>
      </c>
      <c r="L2289" s="4" t="s">
        <v>5246</v>
      </c>
    </row>
    <row r="2290" spans="1:12" x14ac:dyDescent="0.3">
      <c r="A2290" t="s">
        <v>668</v>
      </c>
      <c r="B2290" t="s">
        <v>1417</v>
      </c>
      <c r="C2290" t="s">
        <v>4843</v>
      </c>
      <c r="L2290" s="3" t="s">
        <v>5248</v>
      </c>
    </row>
    <row r="2291" spans="1:12" x14ac:dyDescent="0.3">
      <c r="A2291" t="s">
        <v>668</v>
      </c>
      <c r="B2291" t="s">
        <v>362</v>
      </c>
      <c r="C2291" t="s">
        <v>4380</v>
      </c>
      <c r="L2291" s="4" t="s">
        <v>5250</v>
      </c>
    </row>
    <row r="2292" spans="1:12" x14ac:dyDescent="0.3">
      <c r="A2292" t="s">
        <v>668</v>
      </c>
      <c r="B2292" t="s">
        <v>4380</v>
      </c>
      <c r="C2292" t="s">
        <v>2701</v>
      </c>
      <c r="L2292" s="3" t="s">
        <v>5253</v>
      </c>
    </row>
    <row r="2293" spans="1:12" x14ac:dyDescent="0.3">
      <c r="A2293" t="s">
        <v>668</v>
      </c>
      <c r="B2293" t="s">
        <v>4380</v>
      </c>
      <c r="C2293" t="s">
        <v>7473</v>
      </c>
      <c r="L2293" s="4" t="s">
        <v>5255</v>
      </c>
    </row>
    <row r="2294" spans="1:12" x14ac:dyDescent="0.3">
      <c r="A2294" t="s">
        <v>668</v>
      </c>
      <c r="B2294" t="s">
        <v>8268</v>
      </c>
      <c r="C2294" t="s">
        <v>7473</v>
      </c>
      <c r="L2294" s="3" t="s">
        <v>5258</v>
      </c>
    </row>
    <row r="2295" spans="1:12" x14ac:dyDescent="0.3">
      <c r="A2295" t="s">
        <v>521</v>
      </c>
      <c r="B2295" t="s">
        <v>1417</v>
      </c>
      <c r="C2295" t="s">
        <v>497</v>
      </c>
      <c r="L2295" s="4" t="s">
        <v>5260</v>
      </c>
    </row>
    <row r="2296" spans="1:12" x14ac:dyDescent="0.3">
      <c r="A2296" t="s">
        <v>362</v>
      </c>
      <c r="B2296" t="s">
        <v>668</v>
      </c>
      <c r="C2296" t="s">
        <v>7473</v>
      </c>
      <c r="L2296" s="3" t="s">
        <v>5262</v>
      </c>
    </row>
    <row r="2297" spans="1:12" x14ac:dyDescent="0.3">
      <c r="A2297" t="s">
        <v>668</v>
      </c>
      <c r="B2297" t="s">
        <v>1417</v>
      </c>
      <c r="C2297" t="s">
        <v>8266</v>
      </c>
      <c r="L2297" s="4" t="s">
        <v>5264</v>
      </c>
    </row>
    <row r="2298" spans="1:12" x14ac:dyDescent="0.3">
      <c r="A2298" t="s">
        <v>521</v>
      </c>
      <c r="B2298" t="s">
        <v>7473</v>
      </c>
      <c r="C2298" t="s">
        <v>7473</v>
      </c>
      <c r="L2298" s="3" t="s">
        <v>5266</v>
      </c>
    </row>
    <row r="2299" spans="1:12" x14ac:dyDescent="0.3">
      <c r="A2299" t="s">
        <v>521</v>
      </c>
      <c r="B2299" t="s">
        <v>362</v>
      </c>
      <c r="C2299" t="s">
        <v>4380</v>
      </c>
      <c r="L2299" s="4" t="s">
        <v>5268</v>
      </c>
    </row>
    <row r="2300" spans="1:12" x14ac:dyDescent="0.3">
      <c r="A2300" t="s">
        <v>668</v>
      </c>
      <c r="B2300" t="s">
        <v>1417</v>
      </c>
      <c r="C2300" t="s">
        <v>7473</v>
      </c>
      <c r="L2300" s="3" t="s">
        <v>5270</v>
      </c>
    </row>
    <row r="2301" spans="1:12" x14ac:dyDescent="0.3">
      <c r="A2301" t="s">
        <v>668</v>
      </c>
      <c r="B2301" t="s">
        <v>668</v>
      </c>
      <c r="C2301" t="s">
        <v>1417</v>
      </c>
      <c r="L2301" s="4" t="s">
        <v>5273</v>
      </c>
    </row>
    <row r="2302" spans="1:12" x14ac:dyDescent="0.3">
      <c r="A2302" t="s">
        <v>668</v>
      </c>
      <c r="B2302" t="s">
        <v>5524</v>
      </c>
      <c r="C2302" t="s">
        <v>4380</v>
      </c>
      <c r="L2302" s="3" t="s">
        <v>5275</v>
      </c>
    </row>
    <row r="2303" spans="1:12" x14ac:dyDescent="0.3">
      <c r="A2303" t="s">
        <v>362</v>
      </c>
      <c r="B2303" t="s">
        <v>8268</v>
      </c>
      <c r="C2303" t="s">
        <v>7473</v>
      </c>
      <c r="L2303" s="4" t="s">
        <v>5277</v>
      </c>
    </row>
    <row r="2304" spans="1:12" x14ac:dyDescent="0.3">
      <c r="A2304" t="s">
        <v>1417</v>
      </c>
      <c r="B2304" t="s">
        <v>5138</v>
      </c>
      <c r="C2304" t="s">
        <v>6902</v>
      </c>
      <c r="L2304" s="3" t="s">
        <v>5279</v>
      </c>
    </row>
    <row r="2305" spans="1:12" x14ac:dyDescent="0.3">
      <c r="A2305" t="s">
        <v>8268</v>
      </c>
      <c r="B2305" t="s">
        <v>1417</v>
      </c>
      <c r="C2305" t="s">
        <v>7104</v>
      </c>
      <c r="L2305" s="4" t="s">
        <v>5283</v>
      </c>
    </row>
    <row r="2306" spans="1:12" x14ac:dyDescent="0.3">
      <c r="A2306" t="s">
        <v>668</v>
      </c>
      <c r="B2306" t="s">
        <v>1417</v>
      </c>
      <c r="C2306" t="s">
        <v>8046</v>
      </c>
      <c r="L2306" s="3" t="s">
        <v>5285</v>
      </c>
    </row>
    <row r="2307" spans="1:12" x14ac:dyDescent="0.3">
      <c r="A2307" t="s">
        <v>521</v>
      </c>
      <c r="B2307" t="s">
        <v>7473</v>
      </c>
      <c r="C2307" t="s">
        <v>5138</v>
      </c>
      <c r="L2307" s="4" t="s">
        <v>5287</v>
      </c>
    </row>
    <row r="2308" spans="1:12" x14ac:dyDescent="0.3">
      <c r="A2308" t="s">
        <v>1417</v>
      </c>
      <c r="B2308" t="s">
        <v>1417</v>
      </c>
      <c r="C2308" t="s">
        <v>7104</v>
      </c>
      <c r="L2308" s="3" t="s">
        <v>5289</v>
      </c>
    </row>
    <row r="2309" spans="1:12" x14ac:dyDescent="0.3">
      <c r="A2309" t="s">
        <v>362</v>
      </c>
      <c r="B2309" t="s">
        <v>8266</v>
      </c>
      <c r="C2309" t="s">
        <v>4380</v>
      </c>
      <c r="L2309" s="4" t="s">
        <v>5291</v>
      </c>
    </row>
    <row r="2310" spans="1:12" x14ac:dyDescent="0.3">
      <c r="A2310" t="s">
        <v>5524</v>
      </c>
      <c r="B2310" t="s">
        <v>8266</v>
      </c>
      <c r="C2310" t="s">
        <v>4380</v>
      </c>
      <c r="L2310" s="3" t="s">
        <v>5293</v>
      </c>
    </row>
    <row r="2311" spans="1:12" x14ac:dyDescent="0.3">
      <c r="A2311" t="s">
        <v>1417</v>
      </c>
      <c r="B2311" t="s">
        <v>2701</v>
      </c>
      <c r="C2311" t="s">
        <v>7104</v>
      </c>
      <c r="L2311" s="4" t="s">
        <v>5295</v>
      </c>
    </row>
    <row r="2312" spans="1:12" x14ac:dyDescent="0.3">
      <c r="A2312" t="s">
        <v>5524</v>
      </c>
      <c r="B2312" t="s">
        <v>1417</v>
      </c>
      <c r="C2312" t="s">
        <v>7473</v>
      </c>
      <c r="L2312" s="3" t="s">
        <v>5297</v>
      </c>
    </row>
    <row r="2313" spans="1:12" x14ac:dyDescent="0.3">
      <c r="A2313" t="s">
        <v>4843</v>
      </c>
      <c r="B2313" t="s">
        <v>1417</v>
      </c>
      <c r="C2313" t="s">
        <v>5138</v>
      </c>
      <c r="L2313" s="4" t="s">
        <v>5299</v>
      </c>
    </row>
    <row r="2314" spans="1:12" x14ac:dyDescent="0.3">
      <c r="A2314" t="s">
        <v>5524</v>
      </c>
      <c r="B2314" t="s">
        <v>8268</v>
      </c>
      <c r="C2314" t="s">
        <v>1417</v>
      </c>
      <c r="L2314" s="3" t="s">
        <v>5302</v>
      </c>
    </row>
    <row r="2315" spans="1:12" x14ac:dyDescent="0.3">
      <c r="A2315" t="s">
        <v>2701</v>
      </c>
      <c r="B2315" t="s">
        <v>1417</v>
      </c>
      <c r="C2315" t="s">
        <v>5043</v>
      </c>
      <c r="L2315" s="4" t="s">
        <v>5304</v>
      </c>
    </row>
    <row r="2316" spans="1:12" x14ac:dyDescent="0.3">
      <c r="A2316" t="s">
        <v>668</v>
      </c>
      <c r="B2316" t="s">
        <v>8268</v>
      </c>
      <c r="C2316" t="s">
        <v>1417</v>
      </c>
      <c r="L2316" s="3" t="s">
        <v>5306</v>
      </c>
    </row>
    <row r="2317" spans="1:12" x14ac:dyDescent="0.3">
      <c r="A2317" t="s">
        <v>1417</v>
      </c>
      <c r="B2317" t="s">
        <v>4843</v>
      </c>
      <c r="C2317" t="s">
        <v>7473</v>
      </c>
      <c r="L2317" s="4" t="s">
        <v>5308</v>
      </c>
    </row>
    <row r="2318" spans="1:12" x14ac:dyDescent="0.3">
      <c r="A2318" t="s">
        <v>521</v>
      </c>
      <c r="B2318" t="s">
        <v>6171</v>
      </c>
      <c r="C2318" t="s">
        <v>4380</v>
      </c>
      <c r="L2318" s="3" t="s">
        <v>5310</v>
      </c>
    </row>
    <row r="2319" spans="1:12" x14ac:dyDescent="0.3">
      <c r="A2319" t="s">
        <v>1417</v>
      </c>
      <c r="B2319" t="s">
        <v>362</v>
      </c>
      <c r="C2319" t="s">
        <v>2701</v>
      </c>
      <c r="L2319" s="4" t="s">
        <v>5313</v>
      </c>
    </row>
    <row r="2320" spans="1:12" x14ac:dyDescent="0.3">
      <c r="A2320" t="s">
        <v>5524</v>
      </c>
      <c r="B2320" t="s">
        <v>2701</v>
      </c>
      <c r="C2320" t="s">
        <v>5138</v>
      </c>
      <c r="L2320" s="3" t="s">
        <v>5315</v>
      </c>
    </row>
    <row r="2321" spans="1:12" x14ac:dyDescent="0.3">
      <c r="A2321" t="s">
        <v>5524</v>
      </c>
      <c r="B2321" t="s">
        <v>8268</v>
      </c>
      <c r="C2321" t="s">
        <v>7473</v>
      </c>
      <c r="L2321" s="4" t="s">
        <v>5317</v>
      </c>
    </row>
    <row r="2322" spans="1:12" x14ac:dyDescent="0.3">
      <c r="A2322" t="s">
        <v>521</v>
      </c>
      <c r="B2322" t="s">
        <v>2701</v>
      </c>
      <c r="C2322" t="s">
        <v>4380</v>
      </c>
      <c r="L2322" s="3" t="s">
        <v>5319</v>
      </c>
    </row>
    <row r="2323" spans="1:12" x14ac:dyDescent="0.3">
      <c r="A2323" t="s">
        <v>362</v>
      </c>
      <c r="B2323" t="s">
        <v>5043</v>
      </c>
      <c r="C2323" t="s">
        <v>1417</v>
      </c>
      <c r="L2323" s="4" t="s">
        <v>5321</v>
      </c>
    </row>
    <row r="2324" spans="1:12" x14ac:dyDescent="0.3">
      <c r="A2324" t="s">
        <v>668</v>
      </c>
      <c r="B2324" t="s">
        <v>4843</v>
      </c>
      <c r="C2324" t="s">
        <v>8266</v>
      </c>
      <c r="L2324" s="3" t="s">
        <v>5323</v>
      </c>
    </row>
    <row r="2325" spans="1:12" x14ac:dyDescent="0.3">
      <c r="A2325" t="s">
        <v>362</v>
      </c>
      <c r="B2325" t="s">
        <v>8046</v>
      </c>
      <c r="C2325" t="s">
        <v>7473</v>
      </c>
      <c r="L2325" s="4" t="s">
        <v>5325</v>
      </c>
    </row>
    <row r="2326" spans="1:12" x14ac:dyDescent="0.3">
      <c r="A2326" t="s">
        <v>668</v>
      </c>
      <c r="B2326" t="s">
        <v>8268</v>
      </c>
      <c r="C2326" t="s">
        <v>8268</v>
      </c>
      <c r="L2326" s="3" t="s">
        <v>5327</v>
      </c>
    </row>
    <row r="2327" spans="1:12" x14ac:dyDescent="0.3">
      <c r="A2327" t="s">
        <v>5524</v>
      </c>
      <c r="B2327" t="s">
        <v>7104</v>
      </c>
      <c r="C2327" t="s">
        <v>4380</v>
      </c>
      <c r="L2327" s="4" t="s">
        <v>5329</v>
      </c>
    </row>
    <row r="2328" spans="1:12" x14ac:dyDescent="0.3">
      <c r="A2328" t="s">
        <v>8268</v>
      </c>
      <c r="B2328" t="s">
        <v>4380</v>
      </c>
      <c r="C2328" t="s">
        <v>7473</v>
      </c>
      <c r="L2328" s="3" t="s">
        <v>5331</v>
      </c>
    </row>
    <row r="2329" spans="1:12" x14ac:dyDescent="0.3">
      <c r="A2329" t="s">
        <v>5524</v>
      </c>
      <c r="B2329" t="s">
        <v>1417</v>
      </c>
      <c r="C2329" t="s">
        <v>7473</v>
      </c>
      <c r="L2329" s="4" t="s">
        <v>5333</v>
      </c>
    </row>
    <row r="2330" spans="1:12" x14ac:dyDescent="0.3">
      <c r="A2330" t="s">
        <v>668</v>
      </c>
      <c r="B2330" t="s">
        <v>2701</v>
      </c>
      <c r="C2330" t="s">
        <v>7473</v>
      </c>
      <c r="L2330" s="3" t="s">
        <v>5335</v>
      </c>
    </row>
    <row r="2331" spans="1:12" x14ac:dyDescent="0.3">
      <c r="A2331" t="s">
        <v>521</v>
      </c>
      <c r="B2331" t="s">
        <v>362</v>
      </c>
      <c r="C2331" t="s">
        <v>497</v>
      </c>
      <c r="L2331" s="4" t="s">
        <v>5337</v>
      </c>
    </row>
    <row r="2332" spans="1:12" x14ac:dyDescent="0.3">
      <c r="A2332" t="s">
        <v>1417</v>
      </c>
      <c r="B2332" t="s">
        <v>7104</v>
      </c>
      <c r="C2332" t="s">
        <v>1417</v>
      </c>
      <c r="L2332" s="3" t="s">
        <v>5339</v>
      </c>
    </row>
    <row r="2333" spans="1:12" x14ac:dyDescent="0.3">
      <c r="A2333" t="s">
        <v>8268</v>
      </c>
      <c r="B2333" t="s">
        <v>8266</v>
      </c>
      <c r="C2333" t="s">
        <v>6902</v>
      </c>
      <c r="L2333" s="4" t="s">
        <v>5341</v>
      </c>
    </row>
    <row r="2334" spans="1:12" x14ac:dyDescent="0.3">
      <c r="A2334" t="s">
        <v>362</v>
      </c>
      <c r="B2334" t="s">
        <v>668</v>
      </c>
      <c r="C2334" t="s">
        <v>8268</v>
      </c>
      <c r="L2334" s="3" t="s">
        <v>5344</v>
      </c>
    </row>
    <row r="2335" spans="1:12" x14ac:dyDescent="0.3">
      <c r="A2335" t="s">
        <v>1417</v>
      </c>
      <c r="B2335" t="s">
        <v>4380</v>
      </c>
      <c r="C2335" t="s">
        <v>7473</v>
      </c>
      <c r="L2335" s="4" t="s">
        <v>5346</v>
      </c>
    </row>
    <row r="2336" spans="1:12" x14ac:dyDescent="0.3">
      <c r="A2336" t="s">
        <v>521</v>
      </c>
      <c r="B2336" t="s">
        <v>362</v>
      </c>
      <c r="C2336" t="s">
        <v>1417</v>
      </c>
      <c r="L2336" s="3" t="s">
        <v>5348</v>
      </c>
    </row>
    <row r="2337" spans="1:12" x14ac:dyDescent="0.3">
      <c r="A2337" t="s">
        <v>1417</v>
      </c>
      <c r="B2337" t="s">
        <v>1417</v>
      </c>
      <c r="C2337" t="s">
        <v>7473</v>
      </c>
      <c r="L2337" s="4" t="s">
        <v>5350</v>
      </c>
    </row>
    <row r="2338" spans="1:12" x14ac:dyDescent="0.3">
      <c r="A2338" t="s">
        <v>8268</v>
      </c>
      <c r="B2338" t="s">
        <v>1417</v>
      </c>
      <c r="C2338" t="s">
        <v>7104</v>
      </c>
      <c r="L2338" s="3" t="s">
        <v>5353</v>
      </c>
    </row>
    <row r="2339" spans="1:12" x14ac:dyDescent="0.3">
      <c r="A2339" t="s">
        <v>521</v>
      </c>
      <c r="B2339" t="s">
        <v>8268</v>
      </c>
      <c r="C2339" t="s">
        <v>4380</v>
      </c>
      <c r="L2339" s="4" t="s">
        <v>5355</v>
      </c>
    </row>
    <row r="2340" spans="1:12" x14ac:dyDescent="0.3">
      <c r="A2340" t="s">
        <v>668</v>
      </c>
      <c r="B2340" t="s">
        <v>8266</v>
      </c>
      <c r="C2340" t="s">
        <v>6902</v>
      </c>
      <c r="L2340" s="3" t="s">
        <v>5357</v>
      </c>
    </row>
    <row r="2341" spans="1:12" x14ac:dyDescent="0.3">
      <c r="A2341" t="s">
        <v>668</v>
      </c>
      <c r="B2341" t="s">
        <v>7473</v>
      </c>
      <c r="C2341" t="s">
        <v>8269</v>
      </c>
      <c r="L2341" s="4" t="s">
        <v>5359</v>
      </c>
    </row>
    <row r="2342" spans="1:12" x14ac:dyDescent="0.3">
      <c r="A2342" t="s">
        <v>521</v>
      </c>
      <c r="B2342" t="s">
        <v>362</v>
      </c>
      <c r="C2342" t="s">
        <v>2701</v>
      </c>
      <c r="L2342" s="3" t="s">
        <v>5361</v>
      </c>
    </row>
    <row r="2343" spans="1:12" x14ac:dyDescent="0.3">
      <c r="A2343" t="s">
        <v>8268</v>
      </c>
      <c r="B2343" t="s">
        <v>5043</v>
      </c>
      <c r="C2343" t="s">
        <v>7473</v>
      </c>
      <c r="L2343" s="4" t="s">
        <v>5363</v>
      </c>
    </row>
    <row r="2344" spans="1:12" x14ac:dyDescent="0.3">
      <c r="A2344" t="s">
        <v>1417</v>
      </c>
      <c r="B2344" t="s">
        <v>497</v>
      </c>
      <c r="C2344" t="s">
        <v>8268</v>
      </c>
      <c r="L2344" s="3" t="s">
        <v>5365</v>
      </c>
    </row>
    <row r="2345" spans="1:12" x14ac:dyDescent="0.3">
      <c r="A2345" t="s">
        <v>668</v>
      </c>
      <c r="B2345" t="s">
        <v>1417</v>
      </c>
      <c r="C2345" t="s">
        <v>4380</v>
      </c>
      <c r="L2345" s="4" t="s">
        <v>5367</v>
      </c>
    </row>
    <row r="2346" spans="1:12" x14ac:dyDescent="0.3">
      <c r="A2346" t="s">
        <v>8268</v>
      </c>
      <c r="B2346" t="s">
        <v>8268</v>
      </c>
      <c r="C2346" t="s">
        <v>4380</v>
      </c>
      <c r="L2346" s="3" t="s">
        <v>5370</v>
      </c>
    </row>
    <row r="2347" spans="1:12" x14ac:dyDescent="0.3">
      <c r="A2347" t="s">
        <v>7473</v>
      </c>
      <c r="B2347" t="s">
        <v>5043</v>
      </c>
      <c r="C2347" t="s">
        <v>1417</v>
      </c>
      <c r="L2347" s="4" t="s">
        <v>5372</v>
      </c>
    </row>
    <row r="2348" spans="1:12" x14ac:dyDescent="0.3">
      <c r="A2348" t="s">
        <v>521</v>
      </c>
      <c r="B2348" t="s">
        <v>1417</v>
      </c>
      <c r="C2348" t="s">
        <v>5138</v>
      </c>
      <c r="L2348" s="3" t="s">
        <v>5374</v>
      </c>
    </row>
    <row r="2349" spans="1:12" x14ac:dyDescent="0.3">
      <c r="A2349" t="s">
        <v>8268</v>
      </c>
      <c r="B2349" t="s">
        <v>1417</v>
      </c>
      <c r="C2349" t="s">
        <v>4380</v>
      </c>
      <c r="L2349" s="4" t="s">
        <v>5376</v>
      </c>
    </row>
    <row r="2350" spans="1:12" x14ac:dyDescent="0.3">
      <c r="A2350" t="s">
        <v>362</v>
      </c>
      <c r="B2350" t="s">
        <v>8266</v>
      </c>
      <c r="C2350" t="s">
        <v>8267</v>
      </c>
      <c r="L2350" s="3" t="s">
        <v>5378</v>
      </c>
    </row>
    <row r="2351" spans="1:12" x14ac:dyDescent="0.3">
      <c r="A2351" t="s">
        <v>5524</v>
      </c>
      <c r="B2351" t="s">
        <v>7473</v>
      </c>
      <c r="C2351" t="s">
        <v>1417</v>
      </c>
      <c r="L2351" s="4" t="s">
        <v>5380</v>
      </c>
    </row>
    <row r="2352" spans="1:12" x14ac:dyDescent="0.3">
      <c r="A2352" t="s">
        <v>4843</v>
      </c>
      <c r="B2352" t="s">
        <v>668</v>
      </c>
      <c r="C2352" t="s">
        <v>668</v>
      </c>
      <c r="L2352" s="3" t="s">
        <v>5382</v>
      </c>
    </row>
    <row r="2353" spans="1:12" x14ac:dyDescent="0.3">
      <c r="A2353" t="s">
        <v>521</v>
      </c>
      <c r="B2353" t="s">
        <v>1417</v>
      </c>
      <c r="C2353" t="s">
        <v>7473</v>
      </c>
      <c r="L2353" s="4" t="s">
        <v>5384</v>
      </c>
    </row>
    <row r="2354" spans="1:12" x14ac:dyDescent="0.3">
      <c r="A2354" t="s">
        <v>521</v>
      </c>
      <c r="B2354" t="s">
        <v>362</v>
      </c>
      <c r="C2354" t="s">
        <v>8266</v>
      </c>
      <c r="L2354" s="3" t="s">
        <v>5386</v>
      </c>
    </row>
    <row r="2355" spans="1:12" x14ac:dyDescent="0.3">
      <c r="A2355" t="s">
        <v>8268</v>
      </c>
      <c r="B2355" t="s">
        <v>7473</v>
      </c>
      <c r="C2355" t="s">
        <v>8267</v>
      </c>
      <c r="L2355" s="4" t="s">
        <v>5388</v>
      </c>
    </row>
    <row r="2356" spans="1:12" x14ac:dyDescent="0.3">
      <c r="A2356" t="s">
        <v>1417</v>
      </c>
      <c r="B2356" t="s">
        <v>5043</v>
      </c>
      <c r="C2356" t="s">
        <v>7104</v>
      </c>
      <c r="L2356" s="3" t="s">
        <v>5390</v>
      </c>
    </row>
    <row r="2357" spans="1:12" x14ac:dyDescent="0.3">
      <c r="A2357" t="s">
        <v>521</v>
      </c>
      <c r="B2357" t="s">
        <v>362</v>
      </c>
      <c r="C2357" t="s">
        <v>6171</v>
      </c>
      <c r="L2357" s="4" t="s">
        <v>5392</v>
      </c>
    </row>
    <row r="2358" spans="1:12" x14ac:dyDescent="0.3">
      <c r="A2358" t="s">
        <v>362</v>
      </c>
      <c r="B2358" t="s">
        <v>8268</v>
      </c>
      <c r="C2358" t="s">
        <v>7473</v>
      </c>
      <c r="L2358" s="3" t="s">
        <v>5394</v>
      </c>
    </row>
    <row r="2359" spans="1:12" x14ac:dyDescent="0.3">
      <c r="A2359" t="s">
        <v>668</v>
      </c>
      <c r="B2359" t="s">
        <v>1417</v>
      </c>
      <c r="C2359" t="s">
        <v>8266</v>
      </c>
      <c r="L2359" s="4" t="s">
        <v>5396</v>
      </c>
    </row>
    <row r="2360" spans="1:12" x14ac:dyDescent="0.3">
      <c r="A2360" t="s">
        <v>8268</v>
      </c>
      <c r="B2360" t="s">
        <v>8268</v>
      </c>
      <c r="C2360" t="s">
        <v>7473</v>
      </c>
      <c r="L2360" s="3" t="s">
        <v>5399</v>
      </c>
    </row>
    <row r="2361" spans="1:12" x14ac:dyDescent="0.3">
      <c r="A2361" t="s">
        <v>668</v>
      </c>
      <c r="B2361" t="s">
        <v>8266</v>
      </c>
      <c r="C2361" t="s">
        <v>7473</v>
      </c>
      <c r="L2361" s="4" t="s">
        <v>5401</v>
      </c>
    </row>
    <row r="2362" spans="1:12" x14ac:dyDescent="0.3">
      <c r="A2362" t="s">
        <v>2701</v>
      </c>
      <c r="B2362" t="s">
        <v>2701</v>
      </c>
      <c r="C2362" t="s">
        <v>5043</v>
      </c>
      <c r="L2362" s="3" t="s">
        <v>5403</v>
      </c>
    </row>
    <row r="2363" spans="1:12" x14ac:dyDescent="0.3">
      <c r="A2363" t="s">
        <v>2701</v>
      </c>
      <c r="B2363" t="s">
        <v>8268</v>
      </c>
      <c r="C2363" t="s">
        <v>1417</v>
      </c>
      <c r="L2363" s="4" t="s">
        <v>5405</v>
      </c>
    </row>
    <row r="2364" spans="1:12" x14ac:dyDescent="0.3">
      <c r="A2364" t="s">
        <v>1417</v>
      </c>
      <c r="B2364" t="s">
        <v>1417</v>
      </c>
      <c r="C2364" t="s">
        <v>5138</v>
      </c>
      <c r="L2364" s="3" t="s">
        <v>5407</v>
      </c>
    </row>
    <row r="2365" spans="1:12" x14ac:dyDescent="0.3">
      <c r="A2365" t="s">
        <v>362</v>
      </c>
      <c r="B2365" t="s">
        <v>8266</v>
      </c>
      <c r="C2365" t="s">
        <v>4380</v>
      </c>
      <c r="L2365" s="4" t="s">
        <v>5409</v>
      </c>
    </row>
    <row r="2366" spans="1:12" x14ac:dyDescent="0.3">
      <c r="A2366" t="s">
        <v>2701</v>
      </c>
      <c r="B2366" t="s">
        <v>4843</v>
      </c>
      <c r="C2366" t="s">
        <v>1417</v>
      </c>
      <c r="L2366" s="3" t="s">
        <v>5411</v>
      </c>
    </row>
    <row r="2367" spans="1:12" x14ac:dyDescent="0.3">
      <c r="A2367" t="s">
        <v>668</v>
      </c>
      <c r="B2367" t="s">
        <v>4380</v>
      </c>
      <c r="C2367" t="s">
        <v>7473</v>
      </c>
      <c r="L2367" s="4" t="s">
        <v>5413</v>
      </c>
    </row>
    <row r="2368" spans="1:12" x14ac:dyDescent="0.3">
      <c r="A2368" t="s">
        <v>521</v>
      </c>
      <c r="B2368" t="s">
        <v>1417</v>
      </c>
      <c r="C2368" t="s">
        <v>1417</v>
      </c>
      <c r="L2368" s="3" t="s">
        <v>5415</v>
      </c>
    </row>
    <row r="2369" spans="1:12" x14ac:dyDescent="0.3">
      <c r="A2369" t="s">
        <v>668</v>
      </c>
      <c r="B2369" t="s">
        <v>1417</v>
      </c>
      <c r="C2369" t="s">
        <v>4380</v>
      </c>
      <c r="L2369" s="4" t="s">
        <v>5417</v>
      </c>
    </row>
    <row r="2370" spans="1:12" x14ac:dyDescent="0.3">
      <c r="A2370" t="s">
        <v>668</v>
      </c>
      <c r="B2370" t="s">
        <v>8266</v>
      </c>
      <c r="C2370" t="s">
        <v>1417</v>
      </c>
      <c r="L2370" s="3" t="s">
        <v>5420</v>
      </c>
    </row>
    <row r="2371" spans="1:12" x14ac:dyDescent="0.3">
      <c r="A2371" t="s">
        <v>5524</v>
      </c>
      <c r="B2371" t="s">
        <v>1417</v>
      </c>
      <c r="C2371" t="s">
        <v>7473</v>
      </c>
      <c r="L2371" s="4" t="s">
        <v>5422</v>
      </c>
    </row>
    <row r="2372" spans="1:12" x14ac:dyDescent="0.3">
      <c r="A2372" t="s">
        <v>668</v>
      </c>
      <c r="B2372" t="s">
        <v>7473</v>
      </c>
      <c r="C2372" t="s">
        <v>497</v>
      </c>
      <c r="L2372" s="3" t="s">
        <v>5424</v>
      </c>
    </row>
    <row r="2373" spans="1:12" x14ac:dyDescent="0.3">
      <c r="A2373" t="s">
        <v>362</v>
      </c>
      <c r="B2373" t="s">
        <v>1417</v>
      </c>
      <c r="C2373" t="s">
        <v>7473</v>
      </c>
      <c r="L2373" s="4" t="s">
        <v>5426</v>
      </c>
    </row>
    <row r="2374" spans="1:12" x14ac:dyDescent="0.3">
      <c r="A2374" t="s">
        <v>2701</v>
      </c>
      <c r="B2374" t="s">
        <v>7473</v>
      </c>
      <c r="C2374" t="s">
        <v>4380</v>
      </c>
      <c r="L2374" s="3" t="s">
        <v>5428</v>
      </c>
    </row>
    <row r="2375" spans="1:12" x14ac:dyDescent="0.3">
      <c r="A2375" t="s">
        <v>362</v>
      </c>
      <c r="B2375" t="s">
        <v>1417</v>
      </c>
      <c r="C2375" t="s">
        <v>7473</v>
      </c>
      <c r="L2375" s="4" t="s">
        <v>5430</v>
      </c>
    </row>
    <row r="2376" spans="1:12" x14ac:dyDescent="0.3">
      <c r="A2376" t="s">
        <v>521</v>
      </c>
      <c r="B2376" t="s">
        <v>1417</v>
      </c>
      <c r="C2376" t="s">
        <v>7473</v>
      </c>
      <c r="L2376" s="3" t="s">
        <v>5432</v>
      </c>
    </row>
    <row r="2377" spans="1:12" x14ac:dyDescent="0.3">
      <c r="A2377" t="s">
        <v>521</v>
      </c>
      <c r="B2377" t="s">
        <v>1417</v>
      </c>
      <c r="C2377" t="s">
        <v>7473</v>
      </c>
      <c r="L2377" s="4" t="s">
        <v>5434</v>
      </c>
    </row>
    <row r="2378" spans="1:12" x14ac:dyDescent="0.3">
      <c r="A2378" t="s">
        <v>1417</v>
      </c>
      <c r="B2378" t="s">
        <v>1417</v>
      </c>
      <c r="C2378" t="s">
        <v>4380</v>
      </c>
      <c r="L2378" s="3" t="s">
        <v>5436</v>
      </c>
    </row>
    <row r="2379" spans="1:12" x14ac:dyDescent="0.3">
      <c r="A2379" t="s">
        <v>362</v>
      </c>
      <c r="B2379" t="s">
        <v>497</v>
      </c>
      <c r="C2379" t="s">
        <v>4380</v>
      </c>
      <c r="L2379" s="4" t="s">
        <v>5438</v>
      </c>
    </row>
    <row r="2380" spans="1:12" x14ac:dyDescent="0.3">
      <c r="A2380" t="s">
        <v>668</v>
      </c>
      <c r="B2380" t="s">
        <v>668</v>
      </c>
      <c r="C2380" t="s">
        <v>8267</v>
      </c>
      <c r="L2380" s="3" t="s">
        <v>5440</v>
      </c>
    </row>
    <row r="2381" spans="1:12" x14ac:dyDescent="0.3">
      <c r="A2381" t="s">
        <v>1417</v>
      </c>
      <c r="B2381" t="s">
        <v>7104</v>
      </c>
      <c r="C2381" t="s">
        <v>7473</v>
      </c>
      <c r="L2381" s="4" t="s">
        <v>5442</v>
      </c>
    </row>
    <row r="2382" spans="1:12" x14ac:dyDescent="0.3">
      <c r="A2382" t="s">
        <v>668</v>
      </c>
      <c r="B2382" t="s">
        <v>497</v>
      </c>
      <c r="C2382" t="s">
        <v>8046</v>
      </c>
      <c r="L2382" s="3" t="s">
        <v>5445</v>
      </c>
    </row>
    <row r="2383" spans="1:12" x14ac:dyDescent="0.3">
      <c r="A2383" t="s">
        <v>1417</v>
      </c>
      <c r="B2383" t="s">
        <v>497</v>
      </c>
      <c r="C2383" t="s">
        <v>1417</v>
      </c>
      <c r="L2383" s="4" t="s">
        <v>5447</v>
      </c>
    </row>
    <row r="2384" spans="1:12" x14ac:dyDescent="0.3">
      <c r="A2384" t="s">
        <v>7104</v>
      </c>
      <c r="B2384" t="s">
        <v>668</v>
      </c>
      <c r="C2384" t="s">
        <v>4380</v>
      </c>
      <c r="L2384" s="3" t="s">
        <v>5449</v>
      </c>
    </row>
    <row r="2385" spans="1:12" x14ac:dyDescent="0.3">
      <c r="A2385" t="s">
        <v>8268</v>
      </c>
      <c r="B2385" t="s">
        <v>1417</v>
      </c>
      <c r="C2385" t="s">
        <v>6171</v>
      </c>
      <c r="L2385" s="4" t="s">
        <v>5451</v>
      </c>
    </row>
    <row r="2386" spans="1:12" x14ac:dyDescent="0.3">
      <c r="A2386" t="s">
        <v>1417</v>
      </c>
      <c r="B2386" t="s">
        <v>2701</v>
      </c>
      <c r="C2386" t="s">
        <v>4380</v>
      </c>
      <c r="L2386" s="3" t="s">
        <v>5454</v>
      </c>
    </row>
    <row r="2387" spans="1:12" x14ac:dyDescent="0.3">
      <c r="A2387" t="s">
        <v>1417</v>
      </c>
      <c r="B2387" t="s">
        <v>668</v>
      </c>
      <c r="C2387" t="s">
        <v>5138</v>
      </c>
      <c r="L2387" s="4" t="s">
        <v>5456</v>
      </c>
    </row>
    <row r="2388" spans="1:12" x14ac:dyDescent="0.3">
      <c r="A2388" t="s">
        <v>668</v>
      </c>
      <c r="B2388" t="s">
        <v>8268</v>
      </c>
      <c r="C2388" t="s">
        <v>4380</v>
      </c>
      <c r="L2388" s="3" t="s">
        <v>5458</v>
      </c>
    </row>
    <row r="2389" spans="1:12" x14ac:dyDescent="0.3">
      <c r="A2389" t="s">
        <v>2701</v>
      </c>
      <c r="B2389" t="s">
        <v>668</v>
      </c>
      <c r="C2389" t="s">
        <v>8268</v>
      </c>
      <c r="L2389" s="4" t="s">
        <v>5460</v>
      </c>
    </row>
    <row r="2390" spans="1:12" x14ac:dyDescent="0.3">
      <c r="A2390" t="s">
        <v>521</v>
      </c>
      <c r="B2390" t="s">
        <v>1417</v>
      </c>
      <c r="C2390" t="s">
        <v>4380</v>
      </c>
      <c r="L2390" s="3" t="s">
        <v>5462</v>
      </c>
    </row>
    <row r="2391" spans="1:12" x14ac:dyDescent="0.3">
      <c r="A2391" t="s">
        <v>362</v>
      </c>
      <c r="B2391" t="s">
        <v>7473</v>
      </c>
      <c r="C2391" t="s">
        <v>497</v>
      </c>
      <c r="L2391" s="4" t="s">
        <v>5464</v>
      </c>
    </row>
    <row r="2392" spans="1:12" x14ac:dyDescent="0.3">
      <c r="A2392" t="s">
        <v>668</v>
      </c>
      <c r="B2392" t="s">
        <v>362</v>
      </c>
      <c r="C2392" t="s">
        <v>1417</v>
      </c>
      <c r="L2392" s="3" t="s">
        <v>5466</v>
      </c>
    </row>
    <row r="2393" spans="1:12" x14ac:dyDescent="0.3">
      <c r="A2393" t="s">
        <v>668</v>
      </c>
      <c r="B2393" t="s">
        <v>1417</v>
      </c>
      <c r="C2393" t="s">
        <v>4380</v>
      </c>
      <c r="L2393" s="4" t="s">
        <v>5468</v>
      </c>
    </row>
    <row r="2394" spans="1:12" x14ac:dyDescent="0.3">
      <c r="A2394" t="s">
        <v>521</v>
      </c>
      <c r="B2394" t="s">
        <v>497</v>
      </c>
      <c r="C2394" t="s">
        <v>4380</v>
      </c>
      <c r="L2394" s="3" t="s">
        <v>5470</v>
      </c>
    </row>
    <row r="2395" spans="1:12" x14ac:dyDescent="0.3">
      <c r="A2395" t="s">
        <v>668</v>
      </c>
      <c r="B2395" t="s">
        <v>8268</v>
      </c>
      <c r="C2395" t="s">
        <v>2701</v>
      </c>
      <c r="L2395" s="4" t="s">
        <v>5472</v>
      </c>
    </row>
    <row r="2396" spans="1:12" x14ac:dyDescent="0.3">
      <c r="A2396" t="s">
        <v>668</v>
      </c>
      <c r="B2396" t="s">
        <v>1417</v>
      </c>
      <c r="C2396" t="s">
        <v>7473</v>
      </c>
      <c r="L2396" s="3" t="s">
        <v>5474</v>
      </c>
    </row>
    <row r="2397" spans="1:12" x14ac:dyDescent="0.3">
      <c r="A2397" t="s">
        <v>668</v>
      </c>
      <c r="B2397" t="s">
        <v>7473</v>
      </c>
      <c r="C2397" t="s">
        <v>6902</v>
      </c>
      <c r="L2397" s="4" t="s">
        <v>5476</v>
      </c>
    </row>
    <row r="2398" spans="1:12" x14ac:dyDescent="0.3">
      <c r="A2398" t="s">
        <v>521</v>
      </c>
      <c r="B2398" t="s">
        <v>1417</v>
      </c>
      <c r="C2398" t="s">
        <v>1417</v>
      </c>
      <c r="L2398" s="3" t="s">
        <v>5479</v>
      </c>
    </row>
    <row r="2399" spans="1:12" x14ac:dyDescent="0.3">
      <c r="A2399" t="s">
        <v>1417</v>
      </c>
      <c r="B2399" t="s">
        <v>7473</v>
      </c>
      <c r="C2399" t="s">
        <v>2701</v>
      </c>
      <c r="L2399" s="4" t="s">
        <v>5481</v>
      </c>
    </row>
    <row r="2400" spans="1:12" x14ac:dyDescent="0.3">
      <c r="A2400" t="s">
        <v>668</v>
      </c>
      <c r="B2400" t="s">
        <v>5138</v>
      </c>
      <c r="C2400" t="s">
        <v>1417</v>
      </c>
      <c r="L2400" s="3" t="s">
        <v>5483</v>
      </c>
    </row>
    <row r="2401" spans="1:12" x14ac:dyDescent="0.3">
      <c r="A2401" t="s">
        <v>521</v>
      </c>
      <c r="B2401" t="s">
        <v>1417</v>
      </c>
      <c r="C2401" t="s">
        <v>1417</v>
      </c>
      <c r="L2401" s="4" t="s">
        <v>5485</v>
      </c>
    </row>
    <row r="2402" spans="1:12" x14ac:dyDescent="0.3">
      <c r="A2402" t="s">
        <v>668</v>
      </c>
      <c r="B2402" t="s">
        <v>1417</v>
      </c>
      <c r="C2402" t="s">
        <v>8266</v>
      </c>
      <c r="L2402" s="3" t="s">
        <v>5487</v>
      </c>
    </row>
    <row r="2403" spans="1:12" x14ac:dyDescent="0.3">
      <c r="A2403" t="s">
        <v>668</v>
      </c>
      <c r="B2403" t="s">
        <v>7473</v>
      </c>
      <c r="C2403" t="s">
        <v>7473</v>
      </c>
      <c r="L2403" s="4" t="s">
        <v>5489</v>
      </c>
    </row>
    <row r="2404" spans="1:12" x14ac:dyDescent="0.3">
      <c r="A2404" t="s">
        <v>668</v>
      </c>
      <c r="B2404" t="s">
        <v>5043</v>
      </c>
      <c r="C2404" t="s">
        <v>7473</v>
      </c>
      <c r="L2404" s="3" t="s">
        <v>5491</v>
      </c>
    </row>
    <row r="2405" spans="1:12" x14ac:dyDescent="0.3">
      <c r="A2405" t="s">
        <v>668</v>
      </c>
      <c r="B2405" t="s">
        <v>362</v>
      </c>
      <c r="C2405" t="s">
        <v>1417</v>
      </c>
      <c r="L2405" s="4" t="s">
        <v>5493</v>
      </c>
    </row>
    <row r="2406" spans="1:12" x14ac:dyDescent="0.3">
      <c r="A2406" t="s">
        <v>668</v>
      </c>
      <c r="B2406" t="s">
        <v>8268</v>
      </c>
      <c r="C2406" t="s">
        <v>7104</v>
      </c>
      <c r="L2406" s="3" t="s">
        <v>5495</v>
      </c>
    </row>
    <row r="2407" spans="1:12" x14ac:dyDescent="0.3">
      <c r="A2407" t="s">
        <v>668</v>
      </c>
      <c r="B2407" t="s">
        <v>7473</v>
      </c>
      <c r="C2407" t="s">
        <v>7473</v>
      </c>
      <c r="L2407" s="4" t="s">
        <v>5497</v>
      </c>
    </row>
    <row r="2408" spans="1:12" x14ac:dyDescent="0.3">
      <c r="A2408" t="s">
        <v>521</v>
      </c>
      <c r="B2408" t="s">
        <v>8046</v>
      </c>
      <c r="C2408" t="s">
        <v>5138</v>
      </c>
      <c r="L2408" s="3" t="s">
        <v>5499</v>
      </c>
    </row>
    <row r="2409" spans="1:12" x14ac:dyDescent="0.3">
      <c r="A2409" t="s">
        <v>5524</v>
      </c>
      <c r="B2409" t="s">
        <v>1417</v>
      </c>
      <c r="C2409" t="s">
        <v>1417</v>
      </c>
      <c r="L2409" s="4" t="s">
        <v>5501</v>
      </c>
    </row>
    <row r="2410" spans="1:12" x14ac:dyDescent="0.3">
      <c r="A2410" t="s">
        <v>2701</v>
      </c>
      <c r="B2410" t="s">
        <v>7473</v>
      </c>
      <c r="C2410" t="s">
        <v>8266</v>
      </c>
      <c r="L2410" s="3" t="s">
        <v>5503</v>
      </c>
    </row>
    <row r="2411" spans="1:12" x14ac:dyDescent="0.3">
      <c r="A2411" t="s">
        <v>668</v>
      </c>
      <c r="B2411" t="s">
        <v>7473</v>
      </c>
      <c r="C2411" t="s">
        <v>7473</v>
      </c>
      <c r="L2411" s="4" t="s">
        <v>5505</v>
      </c>
    </row>
    <row r="2412" spans="1:12" x14ac:dyDescent="0.3">
      <c r="A2412" t="s">
        <v>668</v>
      </c>
      <c r="B2412" t="s">
        <v>497</v>
      </c>
      <c r="C2412" t="s">
        <v>4380</v>
      </c>
      <c r="L2412" s="3" t="s">
        <v>5507</v>
      </c>
    </row>
    <row r="2413" spans="1:12" x14ac:dyDescent="0.3">
      <c r="A2413" t="s">
        <v>1417</v>
      </c>
      <c r="B2413" t="s">
        <v>2701</v>
      </c>
      <c r="C2413" t="s">
        <v>4380</v>
      </c>
      <c r="L2413" s="4" t="s">
        <v>5510</v>
      </c>
    </row>
    <row r="2414" spans="1:12" x14ac:dyDescent="0.3">
      <c r="A2414" t="s">
        <v>668</v>
      </c>
      <c r="B2414" t="s">
        <v>7104</v>
      </c>
      <c r="C2414" t="s">
        <v>2701</v>
      </c>
      <c r="L2414" s="3" t="s">
        <v>5512</v>
      </c>
    </row>
    <row r="2415" spans="1:12" x14ac:dyDescent="0.3">
      <c r="A2415" t="s">
        <v>668</v>
      </c>
      <c r="B2415" t="s">
        <v>1417</v>
      </c>
      <c r="C2415" t="s">
        <v>7104</v>
      </c>
      <c r="L2415" s="4" t="s">
        <v>5516</v>
      </c>
    </row>
    <row r="2416" spans="1:12" x14ac:dyDescent="0.3">
      <c r="A2416" t="s">
        <v>668</v>
      </c>
      <c r="B2416" t="s">
        <v>6171</v>
      </c>
      <c r="C2416" t="s">
        <v>4843</v>
      </c>
      <c r="L2416" s="3" t="s">
        <v>5519</v>
      </c>
    </row>
    <row r="2417" spans="1:12" x14ac:dyDescent="0.3">
      <c r="A2417" t="s">
        <v>1417</v>
      </c>
      <c r="B2417" t="s">
        <v>1417</v>
      </c>
      <c r="C2417" t="s">
        <v>1417</v>
      </c>
      <c r="L2417" s="4" t="s">
        <v>5522</v>
      </c>
    </row>
    <row r="2418" spans="1:12" x14ac:dyDescent="0.3">
      <c r="A2418" t="s">
        <v>1417</v>
      </c>
      <c r="B2418" t="s">
        <v>8268</v>
      </c>
      <c r="C2418" t="s">
        <v>7104</v>
      </c>
      <c r="L2418" s="3" t="s">
        <v>5525</v>
      </c>
    </row>
    <row r="2419" spans="1:12" x14ac:dyDescent="0.3">
      <c r="A2419" t="s">
        <v>1417</v>
      </c>
      <c r="B2419" t="s">
        <v>8269</v>
      </c>
      <c r="C2419" t="s">
        <v>4380</v>
      </c>
      <c r="L2419" s="4" t="s">
        <v>5527</v>
      </c>
    </row>
    <row r="2420" spans="1:12" x14ac:dyDescent="0.3">
      <c r="A2420" t="s">
        <v>1417</v>
      </c>
      <c r="B2420" t="s">
        <v>8267</v>
      </c>
      <c r="C2420" t="s">
        <v>7473</v>
      </c>
      <c r="L2420" s="3" t="s">
        <v>5529</v>
      </c>
    </row>
    <row r="2421" spans="1:12" x14ac:dyDescent="0.3">
      <c r="A2421" t="s">
        <v>521</v>
      </c>
      <c r="B2421" t="s">
        <v>8266</v>
      </c>
      <c r="C2421" t="s">
        <v>4380</v>
      </c>
      <c r="L2421" s="4" t="s">
        <v>5531</v>
      </c>
    </row>
    <row r="2422" spans="1:12" x14ac:dyDescent="0.3">
      <c r="A2422" t="s">
        <v>497</v>
      </c>
      <c r="B2422" t="s">
        <v>668</v>
      </c>
      <c r="C2422" t="s">
        <v>8269</v>
      </c>
      <c r="L2422" s="3" t="s">
        <v>5533</v>
      </c>
    </row>
    <row r="2423" spans="1:12" x14ac:dyDescent="0.3">
      <c r="A2423" t="s">
        <v>5524</v>
      </c>
      <c r="B2423" t="s">
        <v>2701</v>
      </c>
      <c r="C2423" t="s">
        <v>7473</v>
      </c>
      <c r="L2423" s="4" t="s">
        <v>5535</v>
      </c>
    </row>
    <row r="2424" spans="1:12" x14ac:dyDescent="0.3">
      <c r="A2424" t="s">
        <v>668</v>
      </c>
      <c r="B2424" t="s">
        <v>668</v>
      </c>
      <c r="C2424" t="s">
        <v>8268</v>
      </c>
      <c r="L2424" s="3" t="s">
        <v>5537</v>
      </c>
    </row>
    <row r="2425" spans="1:12" x14ac:dyDescent="0.3">
      <c r="A2425" t="s">
        <v>668</v>
      </c>
      <c r="B2425" t="s">
        <v>7104</v>
      </c>
      <c r="C2425" t="s">
        <v>1417</v>
      </c>
      <c r="L2425" s="4" t="s">
        <v>5539</v>
      </c>
    </row>
    <row r="2426" spans="1:12" x14ac:dyDescent="0.3">
      <c r="A2426" t="s">
        <v>521</v>
      </c>
      <c r="B2426" t="s">
        <v>1417</v>
      </c>
      <c r="C2426" t="s">
        <v>6902</v>
      </c>
      <c r="L2426" s="3" t="s">
        <v>5541</v>
      </c>
    </row>
    <row r="2427" spans="1:12" x14ac:dyDescent="0.3">
      <c r="A2427" t="s">
        <v>5524</v>
      </c>
      <c r="B2427" t="s">
        <v>1417</v>
      </c>
      <c r="C2427" t="s">
        <v>5043</v>
      </c>
      <c r="L2427" s="4" t="s">
        <v>5543</v>
      </c>
    </row>
    <row r="2428" spans="1:12" x14ac:dyDescent="0.3">
      <c r="A2428" t="s">
        <v>1417</v>
      </c>
      <c r="B2428" t="s">
        <v>1417</v>
      </c>
      <c r="C2428" t="s">
        <v>4380</v>
      </c>
      <c r="L2428" s="3" t="s">
        <v>5545</v>
      </c>
    </row>
    <row r="2429" spans="1:12" x14ac:dyDescent="0.3">
      <c r="A2429" t="s">
        <v>362</v>
      </c>
      <c r="B2429" t="s">
        <v>1417</v>
      </c>
      <c r="C2429" t="s">
        <v>1417</v>
      </c>
      <c r="L2429" s="4" t="s">
        <v>5547</v>
      </c>
    </row>
    <row r="2430" spans="1:12" x14ac:dyDescent="0.3">
      <c r="A2430" t="s">
        <v>668</v>
      </c>
      <c r="B2430" t="s">
        <v>1417</v>
      </c>
      <c r="C2430" t="s">
        <v>7473</v>
      </c>
      <c r="L2430" s="3" t="s">
        <v>5549</v>
      </c>
    </row>
    <row r="2431" spans="1:12" x14ac:dyDescent="0.3">
      <c r="A2431" t="s">
        <v>362</v>
      </c>
      <c r="B2431" t="s">
        <v>8268</v>
      </c>
      <c r="C2431" t="s">
        <v>4380</v>
      </c>
      <c r="L2431" s="4" t="s">
        <v>5551</v>
      </c>
    </row>
    <row r="2432" spans="1:12" x14ac:dyDescent="0.3">
      <c r="A2432" t="s">
        <v>668</v>
      </c>
      <c r="B2432" t="s">
        <v>1417</v>
      </c>
      <c r="C2432" t="s">
        <v>4380</v>
      </c>
      <c r="L2432" s="3" t="s">
        <v>5553</v>
      </c>
    </row>
    <row r="2433" spans="1:12" x14ac:dyDescent="0.3">
      <c r="A2433" t="s">
        <v>1417</v>
      </c>
      <c r="B2433" t="s">
        <v>7473</v>
      </c>
      <c r="C2433" t="s">
        <v>8269</v>
      </c>
      <c r="L2433" s="4" t="s">
        <v>5555</v>
      </c>
    </row>
    <row r="2434" spans="1:12" x14ac:dyDescent="0.3">
      <c r="A2434" t="s">
        <v>668</v>
      </c>
      <c r="B2434" t="s">
        <v>668</v>
      </c>
      <c r="C2434" t="s">
        <v>1417</v>
      </c>
      <c r="L2434" s="3" t="s">
        <v>5557</v>
      </c>
    </row>
    <row r="2435" spans="1:12" x14ac:dyDescent="0.3">
      <c r="A2435" t="s">
        <v>668</v>
      </c>
      <c r="B2435" t="s">
        <v>1417</v>
      </c>
      <c r="C2435" t="s">
        <v>5043</v>
      </c>
      <c r="L2435" s="4" t="s">
        <v>5559</v>
      </c>
    </row>
    <row r="2436" spans="1:12" x14ac:dyDescent="0.3">
      <c r="A2436" t="s">
        <v>1417</v>
      </c>
      <c r="B2436" t="s">
        <v>1417</v>
      </c>
      <c r="C2436" t="s">
        <v>8267</v>
      </c>
      <c r="L2436" s="3" t="s">
        <v>5561</v>
      </c>
    </row>
    <row r="2437" spans="1:12" x14ac:dyDescent="0.3">
      <c r="A2437" t="s">
        <v>5524</v>
      </c>
      <c r="B2437" t="s">
        <v>8269</v>
      </c>
      <c r="C2437" t="s">
        <v>5138</v>
      </c>
      <c r="L2437" s="4" t="s">
        <v>5563</v>
      </c>
    </row>
    <row r="2438" spans="1:12" x14ac:dyDescent="0.3">
      <c r="A2438" t="s">
        <v>668</v>
      </c>
      <c r="B2438" t="s">
        <v>1417</v>
      </c>
      <c r="C2438" t="s">
        <v>4380</v>
      </c>
      <c r="L2438" s="3" t="s">
        <v>5565</v>
      </c>
    </row>
    <row r="2439" spans="1:12" x14ac:dyDescent="0.3">
      <c r="A2439" t="s">
        <v>668</v>
      </c>
      <c r="B2439" t="s">
        <v>7104</v>
      </c>
      <c r="C2439" t="s">
        <v>8269</v>
      </c>
      <c r="L2439" s="4" t="s">
        <v>5567</v>
      </c>
    </row>
    <row r="2440" spans="1:12" x14ac:dyDescent="0.3">
      <c r="A2440" t="s">
        <v>521</v>
      </c>
      <c r="B2440" t="s">
        <v>2701</v>
      </c>
      <c r="C2440" t="s">
        <v>1417</v>
      </c>
      <c r="L2440" s="3" t="s">
        <v>5569</v>
      </c>
    </row>
    <row r="2441" spans="1:12" x14ac:dyDescent="0.3">
      <c r="A2441" t="s">
        <v>1417</v>
      </c>
      <c r="B2441" t="s">
        <v>4380</v>
      </c>
      <c r="C2441" t="s">
        <v>497</v>
      </c>
      <c r="L2441" s="4" t="s">
        <v>5571</v>
      </c>
    </row>
    <row r="2442" spans="1:12" x14ac:dyDescent="0.3">
      <c r="A2442" t="s">
        <v>8266</v>
      </c>
      <c r="B2442" t="s">
        <v>668</v>
      </c>
      <c r="C2442" t="s">
        <v>668</v>
      </c>
      <c r="L2442" s="3" t="s">
        <v>5574</v>
      </c>
    </row>
    <row r="2443" spans="1:12" x14ac:dyDescent="0.3">
      <c r="A2443" t="s">
        <v>521</v>
      </c>
      <c r="B2443" t="s">
        <v>1417</v>
      </c>
      <c r="C2443" t="s">
        <v>6902</v>
      </c>
      <c r="L2443" s="4" t="s">
        <v>5576</v>
      </c>
    </row>
    <row r="2444" spans="1:12" x14ac:dyDescent="0.3">
      <c r="A2444" t="s">
        <v>1417</v>
      </c>
      <c r="B2444" t="s">
        <v>497</v>
      </c>
      <c r="C2444" t="s">
        <v>7473</v>
      </c>
      <c r="L2444" s="3" t="s">
        <v>5578</v>
      </c>
    </row>
    <row r="2445" spans="1:12" x14ac:dyDescent="0.3">
      <c r="A2445" t="s">
        <v>668</v>
      </c>
      <c r="B2445" t="s">
        <v>1417</v>
      </c>
      <c r="C2445" t="s">
        <v>8266</v>
      </c>
      <c r="L2445" s="4" t="s">
        <v>5580</v>
      </c>
    </row>
    <row r="2446" spans="1:12" x14ac:dyDescent="0.3">
      <c r="A2446" t="s">
        <v>362</v>
      </c>
      <c r="B2446" t="s">
        <v>7104</v>
      </c>
      <c r="C2446" t="s">
        <v>7473</v>
      </c>
      <c r="L2446" s="3" t="s">
        <v>5582</v>
      </c>
    </row>
    <row r="2447" spans="1:12" x14ac:dyDescent="0.3">
      <c r="A2447" t="s">
        <v>668</v>
      </c>
      <c r="B2447" t="s">
        <v>497</v>
      </c>
      <c r="C2447" t="s">
        <v>6171</v>
      </c>
      <c r="L2447" s="4" t="s">
        <v>5584</v>
      </c>
    </row>
    <row r="2448" spans="1:12" x14ac:dyDescent="0.3">
      <c r="A2448" t="s">
        <v>1417</v>
      </c>
      <c r="B2448" t="s">
        <v>4380</v>
      </c>
      <c r="C2448" t="s">
        <v>6902</v>
      </c>
      <c r="L2448" s="3" t="s">
        <v>5586</v>
      </c>
    </row>
    <row r="2449" spans="1:12" x14ac:dyDescent="0.3">
      <c r="A2449" t="s">
        <v>521</v>
      </c>
      <c r="B2449" t="s">
        <v>668</v>
      </c>
      <c r="C2449" t="s">
        <v>8268</v>
      </c>
      <c r="L2449" s="4" t="s">
        <v>5588</v>
      </c>
    </row>
    <row r="2450" spans="1:12" x14ac:dyDescent="0.3">
      <c r="A2450" t="s">
        <v>5524</v>
      </c>
      <c r="B2450" t="s">
        <v>8269</v>
      </c>
      <c r="C2450" t="s">
        <v>7473</v>
      </c>
      <c r="L2450" s="3" t="s">
        <v>5591</v>
      </c>
    </row>
    <row r="2451" spans="1:12" x14ac:dyDescent="0.3">
      <c r="A2451" t="s">
        <v>5524</v>
      </c>
      <c r="B2451" t="s">
        <v>1417</v>
      </c>
      <c r="C2451" t="s">
        <v>7473</v>
      </c>
      <c r="L2451" s="4" t="s">
        <v>5593</v>
      </c>
    </row>
    <row r="2452" spans="1:12" x14ac:dyDescent="0.3">
      <c r="A2452" t="s">
        <v>1417</v>
      </c>
      <c r="B2452" t="s">
        <v>668</v>
      </c>
      <c r="C2452" t="s">
        <v>497</v>
      </c>
      <c r="L2452" s="3" t="s">
        <v>5595</v>
      </c>
    </row>
    <row r="2453" spans="1:12" x14ac:dyDescent="0.3">
      <c r="A2453" t="s">
        <v>362</v>
      </c>
      <c r="B2453" t="s">
        <v>1417</v>
      </c>
      <c r="C2453" t="s">
        <v>4380</v>
      </c>
      <c r="L2453" s="4" t="s">
        <v>5597</v>
      </c>
    </row>
    <row r="2454" spans="1:12" x14ac:dyDescent="0.3">
      <c r="A2454" t="s">
        <v>521</v>
      </c>
      <c r="B2454" t="s">
        <v>497</v>
      </c>
      <c r="C2454" t="s">
        <v>8046</v>
      </c>
      <c r="L2454" s="3" t="s">
        <v>5599</v>
      </c>
    </row>
    <row r="2455" spans="1:12" x14ac:dyDescent="0.3">
      <c r="A2455" t="s">
        <v>521</v>
      </c>
      <c r="B2455" t="s">
        <v>8266</v>
      </c>
      <c r="C2455" t="s">
        <v>1417</v>
      </c>
      <c r="L2455" s="4" t="s">
        <v>5601</v>
      </c>
    </row>
    <row r="2456" spans="1:12" x14ac:dyDescent="0.3">
      <c r="A2456" t="s">
        <v>1417</v>
      </c>
      <c r="B2456" t="s">
        <v>1417</v>
      </c>
      <c r="C2456" t="s">
        <v>8270</v>
      </c>
      <c r="L2456" s="3" t="s">
        <v>5603</v>
      </c>
    </row>
    <row r="2457" spans="1:12" x14ac:dyDescent="0.3">
      <c r="A2457" t="s">
        <v>5524</v>
      </c>
      <c r="B2457" t="s">
        <v>1417</v>
      </c>
      <c r="C2457" t="s">
        <v>7473</v>
      </c>
      <c r="L2457" s="4" t="s">
        <v>5605</v>
      </c>
    </row>
    <row r="2458" spans="1:12" x14ac:dyDescent="0.3">
      <c r="A2458" t="s">
        <v>362</v>
      </c>
      <c r="B2458" t="s">
        <v>1417</v>
      </c>
      <c r="C2458" t="s">
        <v>7473</v>
      </c>
      <c r="L2458" s="3" t="s">
        <v>5607</v>
      </c>
    </row>
    <row r="2459" spans="1:12" x14ac:dyDescent="0.3">
      <c r="A2459" t="s">
        <v>668</v>
      </c>
      <c r="B2459" t="s">
        <v>1417</v>
      </c>
      <c r="C2459" t="s">
        <v>4380</v>
      </c>
      <c r="L2459" s="4" t="s">
        <v>5610</v>
      </c>
    </row>
    <row r="2460" spans="1:12" x14ac:dyDescent="0.3">
      <c r="A2460" t="s">
        <v>5524</v>
      </c>
      <c r="B2460" t="s">
        <v>8268</v>
      </c>
      <c r="C2460" t="s">
        <v>5043</v>
      </c>
      <c r="L2460" s="3" t="s">
        <v>5613</v>
      </c>
    </row>
    <row r="2461" spans="1:12" x14ac:dyDescent="0.3">
      <c r="A2461" t="s">
        <v>1417</v>
      </c>
      <c r="B2461" t="s">
        <v>1417</v>
      </c>
      <c r="C2461" t="s">
        <v>497</v>
      </c>
      <c r="L2461" s="4" t="s">
        <v>5615</v>
      </c>
    </row>
    <row r="2462" spans="1:12" x14ac:dyDescent="0.3">
      <c r="A2462" t="s">
        <v>1417</v>
      </c>
      <c r="B2462" t="s">
        <v>8268</v>
      </c>
      <c r="C2462" t="s">
        <v>8266</v>
      </c>
      <c r="L2462" s="3" t="s">
        <v>5617</v>
      </c>
    </row>
    <row r="2463" spans="1:12" x14ac:dyDescent="0.3">
      <c r="A2463" t="s">
        <v>2701</v>
      </c>
      <c r="B2463" t="s">
        <v>1417</v>
      </c>
      <c r="C2463" t="s">
        <v>5043</v>
      </c>
      <c r="L2463" s="4" t="s">
        <v>5619</v>
      </c>
    </row>
    <row r="2464" spans="1:12" x14ac:dyDescent="0.3">
      <c r="A2464" t="s">
        <v>521</v>
      </c>
      <c r="B2464" t="s">
        <v>5524</v>
      </c>
      <c r="C2464" t="s">
        <v>8266</v>
      </c>
      <c r="L2464" s="3" t="s">
        <v>5621</v>
      </c>
    </row>
    <row r="2465" spans="1:12" x14ac:dyDescent="0.3">
      <c r="A2465" t="s">
        <v>8268</v>
      </c>
      <c r="B2465" t="s">
        <v>5524</v>
      </c>
      <c r="C2465" t="s">
        <v>1417</v>
      </c>
      <c r="L2465" s="4" t="s">
        <v>5623</v>
      </c>
    </row>
    <row r="2466" spans="1:12" x14ac:dyDescent="0.3">
      <c r="A2466" t="s">
        <v>5043</v>
      </c>
      <c r="B2466" t="s">
        <v>2701</v>
      </c>
      <c r="C2466" t="s">
        <v>6171</v>
      </c>
      <c r="L2466" s="3" t="s">
        <v>5625</v>
      </c>
    </row>
    <row r="2467" spans="1:12" x14ac:dyDescent="0.3">
      <c r="A2467" t="s">
        <v>8268</v>
      </c>
      <c r="B2467" t="s">
        <v>7473</v>
      </c>
      <c r="C2467" t="s">
        <v>7473</v>
      </c>
      <c r="L2467" s="4" t="s">
        <v>5627</v>
      </c>
    </row>
    <row r="2468" spans="1:12" x14ac:dyDescent="0.3">
      <c r="A2468" t="s">
        <v>5524</v>
      </c>
      <c r="B2468" t="s">
        <v>2701</v>
      </c>
      <c r="C2468" t="s">
        <v>1417</v>
      </c>
      <c r="L2468" s="3" t="s">
        <v>5630</v>
      </c>
    </row>
    <row r="2469" spans="1:12" x14ac:dyDescent="0.3">
      <c r="A2469" t="s">
        <v>4380</v>
      </c>
      <c r="B2469" t="s">
        <v>362</v>
      </c>
      <c r="C2469" t="s">
        <v>497</v>
      </c>
      <c r="L2469" s="4" t="s">
        <v>5632</v>
      </c>
    </row>
    <row r="2470" spans="1:12" x14ac:dyDescent="0.3">
      <c r="A2470" t="s">
        <v>521</v>
      </c>
      <c r="B2470" t="s">
        <v>7104</v>
      </c>
      <c r="C2470" t="s">
        <v>8267</v>
      </c>
      <c r="L2470" s="3" t="s">
        <v>5634</v>
      </c>
    </row>
    <row r="2471" spans="1:12" x14ac:dyDescent="0.3">
      <c r="A2471" t="s">
        <v>2701</v>
      </c>
      <c r="B2471" t="s">
        <v>1417</v>
      </c>
      <c r="C2471" t="s">
        <v>7473</v>
      </c>
      <c r="L2471" s="4" t="s">
        <v>5636</v>
      </c>
    </row>
    <row r="2472" spans="1:12" x14ac:dyDescent="0.3">
      <c r="A2472" t="s">
        <v>521</v>
      </c>
      <c r="B2472" t="s">
        <v>1417</v>
      </c>
      <c r="C2472" t="s">
        <v>1417</v>
      </c>
      <c r="L2472" s="3" t="s">
        <v>5639</v>
      </c>
    </row>
    <row r="2473" spans="1:12" x14ac:dyDescent="0.3">
      <c r="A2473" t="s">
        <v>521</v>
      </c>
      <c r="B2473" t="s">
        <v>7104</v>
      </c>
      <c r="C2473" t="s">
        <v>4380</v>
      </c>
      <c r="L2473" s="4" t="s">
        <v>5641</v>
      </c>
    </row>
    <row r="2474" spans="1:12" x14ac:dyDescent="0.3">
      <c r="A2474" t="s">
        <v>1417</v>
      </c>
      <c r="B2474" t="s">
        <v>1417</v>
      </c>
      <c r="C2474" t="s">
        <v>4380</v>
      </c>
      <c r="L2474" s="3" t="s">
        <v>5643</v>
      </c>
    </row>
    <row r="2475" spans="1:12" x14ac:dyDescent="0.3">
      <c r="A2475" t="s">
        <v>521</v>
      </c>
      <c r="B2475" t="s">
        <v>2701</v>
      </c>
      <c r="C2475" t="s">
        <v>4380</v>
      </c>
      <c r="L2475" s="4" t="s">
        <v>5645</v>
      </c>
    </row>
    <row r="2476" spans="1:12" x14ac:dyDescent="0.3">
      <c r="A2476" t="s">
        <v>1417</v>
      </c>
      <c r="B2476" t="s">
        <v>7104</v>
      </c>
      <c r="C2476" t="s">
        <v>7473</v>
      </c>
      <c r="L2476" s="3" t="s">
        <v>5647</v>
      </c>
    </row>
    <row r="2477" spans="1:12" x14ac:dyDescent="0.3">
      <c r="A2477" t="s">
        <v>668</v>
      </c>
      <c r="B2477" t="s">
        <v>1417</v>
      </c>
      <c r="C2477" t="s">
        <v>5138</v>
      </c>
      <c r="L2477" s="4" t="s">
        <v>5649</v>
      </c>
    </row>
    <row r="2478" spans="1:12" x14ac:dyDescent="0.3">
      <c r="A2478" t="s">
        <v>668</v>
      </c>
      <c r="B2478" t="s">
        <v>7473</v>
      </c>
      <c r="C2478" t="s">
        <v>4380</v>
      </c>
      <c r="L2478" s="3" t="s">
        <v>5651</v>
      </c>
    </row>
    <row r="2479" spans="1:12" x14ac:dyDescent="0.3">
      <c r="A2479" t="s">
        <v>521</v>
      </c>
      <c r="B2479" t="s">
        <v>668</v>
      </c>
      <c r="C2479" t="s">
        <v>8269</v>
      </c>
      <c r="L2479" s="4" t="s">
        <v>5653</v>
      </c>
    </row>
    <row r="2480" spans="1:12" x14ac:dyDescent="0.3">
      <c r="A2480" t="s">
        <v>1417</v>
      </c>
      <c r="B2480" t="s">
        <v>7473</v>
      </c>
      <c r="C2480" t="s">
        <v>4380</v>
      </c>
      <c r="L2480" s="3" t="s">
        <v>5655</v>
      </c>
    </row>
    <row r="2481" spans="1:12" x14ac:dyDescent="0.3">
      <c r="A2481" t="s">
        <v>521</v>
      </c>
      <c r="B2481" t="s">
        <v>497</v>
      </c>
      <c r="C2481" t="s">
        <v>1417</v>
      </c>
      <c r="L2481" s="4" t="s">
        <v>5657</v>
      </c>
    </row>
    <row r="2482" spans="1:12" x14ac:dyDescent="0.3">
      <c r="A2482" t="s">
        <v>1417</v>
      </c>
      <c r="B2482" t="s">
        <v>497</v>
      </c>
      <c r="C2482" t="s">
        <v>7473</v>
      </c>
      <c r="L2482" s="3" t="s">
        <v>5659</v>
      </c>
    </row>
    <row r="2483" spans="1:12" x14ac:dyDescent="0.3">
      <c r="A2483" t="s">
        <v>521</v>
      </c>
      <c r="B2483" t="s">
        <v>7473</v>
      </c>
      <c r="C2483" t="s">
        <v>1417</v>
      </c>
      <c r="L2483" s="4" t="s">
        <v>5661</v>
      </c>
    </row>
    <row r="2484" spans="1:12" x14ac:dyDescent="0.3">
      <c r="A2484" t="s">
        <v>1417</v>
      </c>
      <c r="B2484" t="s">
        <v>668</v>
      </c>
      <c r="C2484" t="s">
        <v>8267</v>
      </c>
      <c r="L2484" s="3" t="s">
        <v>5663</v>
      </c>
    </row>
    <row r="2485" spans="1:12" x14ac:dyDescent="0.3">
      <c r="A2485" t="s">
        <v>521</v>
      </c>
      <c r="B2485" t="s">
        <v>7473</v>
      </c>
      <c r="C2485" t="s">
        <v>7473</v>
      </c>
      <c r="L2485" s="4" t="s">
        <v>5665</v>
      </c>
    </row>
    <row r="2486" spans="1:12" x14ac:dyDescent="0.3">
      <c r="A2486" t="s">
        <v>8268</v>
      </c>
      <c r="B2486" t="s">
        <v>8268</v>
      </c>
      <c r="C2486" t="s">
        <v>5043</v>
      </c>
      <c r="L2486" s="3" t="s">
        <v>5667</v>
      </c>
    </row>
    <row r="2487" spans="1:12" x14ac:dyDescent="0.3">
      <c r="A2487" t="s">
        <v>497</v>
      </c>
      <c r="B2487" t="s">
        <v>1417</v>
      </c>
      <c r="C2487" t="s">
        <v>7473</v>
      </c>
      <c r="L2487" s="4" t="s">
        <v>5669</v>
      </c>
    </row>
    <row r="2488" spans="1:12" x14ac:dyDescent="0.3">
      <c r="A2488" t="s">
        <v>521</v>
      </c>
      <c r="B2488" t="s">
        <v>8266</v>
      </c>
      <c r="C2488" t="s">
        <v>7473</v>
      </c>
      <c r="L2488" s="3" t="s">
        <v>5671</v>
      </c>
    </row>
    <row r="2489" spans="1:12" x14ac:dyDescent="0.3">
      <c r="A2489" t="s">
        <v>1417</v>
      </c>
      <c r="B2489" t="s">
        <v>7104</v>
      </c>
      <c r="C2489" t="s">
        <v>8266</v>
      </c>
      <c r="L2489" s="4" t="s">
        <v>5673</v>
      </c>
    </row>
    <row r="2490" spans="1:12" x14ac:dyDescent="0.3">
      <c r="A2490" t="s">
        <v>2701</v>
      </c>
      <c r="B2490" t="s">
        <v>1417</v>
      </c>
      <c r="C2490" t="s">
        <v>1417</v>
      </c>
      <c r="L2490" s="3" t="s">
        <v>5675</v>
      </c>
    </row>
    <row r="2491" spans="1:12" x14ac:dyDescent="0.3">
      <c r="A2491" t="s">
        <v>668</v>
      </c>
      <c r="B2491" t="s">
        <v>668</v>
      </c>
      <c r="C2491" t="s">
        <v>8266</v>
      </c>
      <c r="L2491" s="4" t="s">
        <v>5678</v>
      </c>
    </row>
    <row r="2492" spans="1:12" x14ac:dyDescent="0.3">
      <c r="A2492" t="s">
        <v>362</v>
      </c>
      <c r="B2492" t="s">
        <v>5043</v>
      </c>
      <c r="C2492" t="s">
        <v>8046</v>
      </c>
      <c r="L2492" s="3" t="s">
        <v>5680</v>
      </c>
    </row>
    <row r="2493" spans="1:12" x14ac:dyDescent="0.3">
      <c r="A2493" t="s">
        <v>668</v>
      </c>
      <c r="B2493" t="s">
        <v>8266</v>
      </c>
      <c r="C2493" t="s">
        <v>1417</v>
      </c>
      <c r="L2493" s="4" t="s">
        <v>5682</v>
      </c>
    </row>
    <row r="2494" spans="1:12" x14ac:dyDescent="0.3">
      <c r="A2494" t="s">
        <v>2701</v>
      </c>
      <c r="B2494" t="s">
        <v>1417</v>
      </c>
      <c r="C2494" t="s">
        <v>4380</v>
      </c>
      <c r="L2494" s="3" t="s">
        <v>5684</v>
      </c>
    </row>
    <row r="2495" spans="1:12" x14ac:dyDescent="0.3">
      <c r="A2495" t="s">
        <v>521</v>
      </c>
      <c r="B2495" t="s">
        <v>8268</v>
      </c>
      <c r="C2495" t="s">
        <v>5138</v>
      </c>
      <c r="L2495" s="4" t="s">
        <v>5686</v>
      </c>
    </row>
    <row r="2496" spans="1:12" x14ac:dyDescent="0.3">
      <c r="A2496" t="s">
        <v>668</v>
      </c>
      <c r="B2496" t="s">
        <v>8266</v>
      </c>
      <c r="C2496" t="s">
        <v>8267</v>
      </c>
      <c r="L2496" s="3" t="s">
        <v>5688</v>
      </c>
    </row>
    <row r="2497" spans="1:12" x14ac:dyDescent="0.3">
      <c r="A2497" t="s">
        <v>668</v>
      </c>
      <c r="B2497" t="s">
        <v>8046</v>
      </c>
      <c r="C2497" t="s">
        <v>7473</v>
      </c>
      <c r="L2497" s="4" t="s">
        <v>5690</v>
      </c>
    </row>
    <row r="2498" spans="1:12" x14ac:dyDescent="0.3">
      <c r="A2498" t="s">
        <v>521</v>
      </c>
      <c r="B2498" t="s">
        <v>2701</v>
      </c>
      <c r="C2498" t="s">
        <v>1417</v>
      </c>
      <c r="L2498" s="3" t="s">
        <v>5692</v>
      </c>
    </row>
    <row r="2499" spans="1:12" x14ac:dyDescent="0.3">
      <c r="A2499" t="s">
        <v>2701</v>
      </c>
      <c r="B2499" t="s">
        <v>4380</v>
      </c>
      <c r="C2499" t="s">
        <v>4380</v>
      </c>
      <c r="L2499" s="4" t="s">
        <v>5694</v>
      </c>
    </row>
    <row r="2500" spans="1:12" x14ac:dyDescent="0.3">
      <c r="A2500" t="s">
        <v>668</v>
      </c>
      <c r="B2500" t="s">
        <v>1417</v>
      </c>
      <c r="C2500" t="s">
        <v>8266</v>
      </c>
      <c r="L2500" s="3" t="s">
        <v>5697</v>
      </c>
    </row>
    <row r="2501" spans="1:12" x14ac:dyDescent="0.3">
      <c r="A2501" t="s">
        <v>521</v>
      </c>
      <c r="B2501" t="s">
        <v>4843</v>
      </c>
      <c r="C2501" t="s">
        <v>2701</v>
      </c>
      <c r="L2501" s="4" t="s">
        <v>5699</v>
      </c>
    </row>
    <row r="2502" spans="1:12" x14ac:dyDescent="0.3">
      <c r="A2502" t="s">
        <v>668</v>
      </c>
      <c r="B2502" t="s">
        <v>5043</v>
      </c>
      <c r="C2502" t="s">
        <v>8266</v>
      </c>
      <c r="L2502" s="3" t="s">
        <v>5701</v>
      </c>
    </row>
    <row r="2503" spans="1:12" x14ac:dyDescent="0.3">
      <c r="A2503" t="s">
        <v>1417</v>
      </c>
      <c r="B2503" t="s">
        <v>362</v>
      </c>
      <c r="C2503" t="s">
        <v>2701</v>
      </c>
      <c r="L2503" s="4" t="s">
        <v>5703</v>
      </c>
    </row>
    <row r="2504" spans="1:12" x14ac:dyDescent="0.3">
      <c r="A2504" t="s">
        <v>2701</v>
      </c>
      <c r="B2504" t="s">
        <v>1417</v>
      </c>
      <c r="C2504" t="s">
        <v>1417</v>
      </c>
      <c r="L2504" s="3" t="s">
        <v>5705</v>
      </c>
    </row>
    <row r="2505" spans="1:12" x14ac:dyDescent="0.3">
      <c r="A2505" t="s">
        <v>668</v>
      </c>
      <c r="B2505" t="s">
        <v>7473</v>
      </c>
      <c r="C2505" t="s">
        <v>7104</v>
      </c>
      <c r="L2505" s="4" t="s">
        <v>5707</v>
      </c>
    </row>
    <row r="2506" spans="1:12" x14ac:dyDescent="0.3">
      <c r="A2506" t="s">
        <v>5524</v>
      </c>
      <c r="B2506" t="s">
        <v>8267</v>
      </c>
      <c r="C2506" t="s">
        <v>4380</v>
      </c>
      <c r="L2506" s="3" t="s">
        <v>5709</v>
      </c>
    </row>
    <row r="2507" spans="1:12" x14ac:dyDescent="0.3">
      <c r="A2507" t="s">
        <v>668</v>
      </c>
      <c r="B2507" t="s">
        <v>1417</v>
      </c>
      <c r="C2507" t="s">
        <v>4380</v>
      </c>
      <c r="L2507" s="4" t="s">
        <v>5711</v>
      </c>
    </row>
    <row r="2508" spans="1:12" x14ac:dyDescent="0.3">
      <c r="A2508" t="s">
        <v>668</v>
      </c>
      <c r="B2508" t="s">
        <v>4380</v>
      </c>
      <c r="C2508" t="s">
        <v>5043</v>
      </c>
      <c r="L2508" s="3" t="s">
        <v>5713</v>
      </c>
    </row>
    <row r="2509" spans="1:12" x14ac:dyDescent="0.3">
      <c r="A2509" t="s">
        <v>668</v>
      </c>
      <c r="B2509" t="s">
        <v>1417</v>
      </c>
      <c r="C2509" t="s">
        <v>7104</v>
      </c>
      <c r="L2509" s="4" t="s">
        <v>5715</v>
      </c>
    </row>
    <row r="2510" spans="1:12" x14ac:dyDescent="0.3">
      <c r="A2510" t="s">
        <v>668</v>
      </c>
      <c r="B2510" t="s">
        <v>1417</v>
      </c>
      <c r="C2510" t="s">
        <v>7104</v>
      </c>
      <c r="L2510" s="3" t="s">
        <v>5718</v>
      </c>
    </row>
    <row r="2511" spans="1:12" x14ac:dyDescent="0.3">
      <c r="A2511" t="s">
        <v>8268</v>
      </c>
      <c r="B2511" t="s">
        <v>7104</v>
      </c>
      <c r="C2511" t="s">
        <v>8267</v>
      </c>
      <c r="L2511" s="4" t="s">
        <v>5720</v>
      </c>
    </row>
    <row r="2512" spans="1:12" x14ac:dyDescent="0.3">
      <c r="A2512" t="s">
        <v>2701</v>
      </c>
      <c r="B2512" t="s">
        <v>1417</v>
      </c>
      <c r="C2512" t="s">
        <v>4380</v>
      </c>
      <c r="L2512" s="3" t="s">
        <v>5722</v>
      </c>
    </row>
    <row r="2513" spans="1:12" x14ac:dyDescent="0.3">
      <c r="A2513" t="s">
        <v>668</v>
      </c>
      <c r="B2513" t="s">
        <v>7473</v>
      </c>
      <c r="C2513" t="s">
        <v>4380</v>
      </c>
      <c r="L2513" s="4" t="s">
        <v>5724</v>
      </c>
    </row>
    <row r="2514" spans="1:12" x14ac:dyDescent="0.3">
      <c r="A2514" t="s">
        <v>362</v>
      </c>
      <c r="B2514" t="s">
        <v>5138</v>
      </c>
      <c r="C2514" t="s">
        <v>4380</v>
      </c>
      <c r="L2514" s="3" t="s">
        <v>5726</v>
      </c>
    </row>
    <row r="2515" spans="1:12" x14ac:dyDescent="0.3">
      <c r="A2515" t="s">
        <v>8268</v>
      </c>
      <c r="B2515" t="s">
        <v>5043</v>
      </c>
      <c r="C2515" t="s">
        <v>7473</v>
      </c>
      <c r="L2515" s="4" t="s">
        <v>5728</v>
      </c>
    </row>
    <row r="2516" spans="1:12" x14ac:dyDescent="0.3">
      <c r="A2516" t="s">
        <v>521</v>
      </c>
      <c r="B2516" t="s">
        <v>497</v>
      </c>
      <c r="C2516" t="s">
        <v>1417</v>
      </c>
      <c r="L2516" s="3" t="s">
        <v>5730</v>
      </c>
    </row>
    <row r="2517" spans="1:12" x14ac:dyDescent="0.3">
      <c r="A2517" t="s">
        <v>2701</v>
      </c>
      <c r="B2517" t="s">
        <v>8268</v>
      </c>
      <c r="C2517" t="s">
        <v>4380</v>
      </c>
      <c r="L2517" s="4" t="s">
        <v>5732</v>
      </c>
    </row>
    <row r="2518" spans="1:12" x14ac:dyDescent="0.3">
      <c r="A2518" t="s">
        <v>668</v>
      </c>
      <c r="B2518" t="s">
        <v>5043</v>
      </c>
      <c r="C2518" t="s">
        <v>1417</v>
      </c>
      <c r="L2518" s="3" t="s">
        <v>5734</v>
      </c>
    </row>
    <row r="2519" spans="1:12" x14ac:dyDescent="0.3">
      <c r="A2519" t="s">
        <v>668</v>
      </c>
      <c r="B2519" t="s">
        <v>1417</v>
      </c>
      <c r="C2519" t="s">
        <v>5138</v>
      </c>
      <c r="L2519" s="4" t="s">
        <v>5736</v>
      </c>
    </row>
    <row r="2520" spans="1:12" x14ac:dyDescent="0.3">
      <c r="A2520" t="s">
        <v>521</v>
      </c>
      <c r="B2520" t="s">
        <v>1417</v>
      </c>
      <c r="C2520" t="s">
        <v>497</v>
      </c>
      <c r="L2520" s="3" t="s">
        <v>5738</v>
      </c>
    </row>
    <row r="2521" spans="1:12" x14ac:dyDescent="0.3">
      <c r="A2521" t="s">
        <v>1417</v>
      </c>
      <c r="B2521" t="s">
        <v>1417</v>
      </c>
      <c r="C2521" t="s">
        <v>7473</v>
      </c>
      <c r="L2521" s="4" t="s">
        <v>5740</v>
      </c>
    </row>
    <row r="2522" spans="1:12" x14ac:dyDescent="0.3">
      <c r="A2522" t="s">
        <v>521</v>
      </c>
      <c r="B2522" t="s">
        <v>1417</v>
      </c>
      <c r="C2522" t="s">
        <v>8269</v>
      </c>
      <c r="L2522" s="3" t="s">
        <v>5742</v>
      </c>
    </row>
    <row r="2523" spans="1:12" x14ac:dyDescent="0.3">
      <c r="A2523" t="s">
        <v>5524</v>
      </c>
      <c r="B2523" t="s">
        <v>7473</v>
      </c>
      <c r="C2523" t="s">
        <v>4843</v>
      </c>
      <c r="L2523" s="4" t="s">
        <v>5744</v>
      </c>
    </row>
    <row r="2524" spans="1:12" x14ac:dyDescent="0.3">
      <c r="A2524" t="s">
        <v>362</v>
      </c>
      <c r="B2524" t="s">
        <v>668</v>
      </c>
      <c r="C2524" t="s">
        <v>1417</v>
      </c>
      <c r="L2524" s="3" t="s">
        <v>5746</v>
      </c>
    </row>
    <row r="2525" spans="1:12" x14ac:dyDescent="0.3">
      <c r="A2525" t="s">
        <v>1417</v>
      </c>
      <c r="B2525" t="s">
        <v>8268</v>
      </c>
      <c r="C2525" t="s">
        <v>7473</v>
      </c>
      <c r="L2525" s="4" t="s">
        <v>5748</v>
      </c>
    </row>
    <row r="2526" spans="1:12" x14ac:dyDescent="0.3">
      <c r="A2526" t="s">
        <v>362</v>
      </c>
      <c r="B2526" t="s">
        <v>7473</v>
      </c>
      <c r="C2526" t="s">
        <v>8269</v>
      </c>
      <c r="L2526" s="3" t="s">
        <v>5750</v>
      </c>
    </row>
    <row r="2527" spans="1:12" x14ac:dyDescent="0.3">
      <c r="A2527" t="s">
        <v>5524</v>
      </c>
      <c r="B2527" t="s">
        <v>5043</v>
      </c>
      <c r="C2527" t="s">
        <v>1417</v>
      </c>
      <c r="L2527" s="4" t="s">
        <v>5753</v>
      </c>
    </row>
    <row r="2528" spans="1:12" x14ac:dyDescent="0.3">
      <c r="A2528" t="s">
        <v>8268</v>
      </c>
      <c r="B2528" t="s">
        <v>7473</v>
      </c>
      <c r="C2528" t="s">
        <v>5138</v>
      </c>
      <c r="L2528" s="3" t="s">
        <v>5755</v>
      </c>
    </row>
    <row r="2529" spans="1:12" x14ac:dyDescent="0.3">
      <c r="A2529" t="s">
        <v>668</v>
      </c>
      <c r="B2529" t="s">
        <v>7473</v>
      </c>
      <c r="C2529" t="s">
        <v>5138</v>
      </c>
      <c r="L2529" s="4" t="s">
        <v>5758</v>
      </c>
    </row>
    <row r="2530" spans="1:12" x14ac:dyDescent="0.3">
      <c r="A2530" t="s">
        <v>362</v>
      </c>
      <c r="B2530" t="s">
        <v>8266</v>
      </c>
      <c r="C2530" t="s">
        <v>1417</v>
      </c>
      <c r="L2530" s="3" t="s">
        <v>5761</v>
      </c>
    </row>
    <row r="2531" spans="1:12" x14ac:dyDescent="0.3">
      <c r="A2531" t="s">
        <v>5138</v>
      </c>
      <c r="B2531" t="s">
        <v>8268</v>
      </c>
      <c r="C2531" t="s">
        <v>1417</v>
      </c>
      <c r="L2531" s="4" t="s">
        <v>5764</v>
      </c>
    </row>
    <row r="2532" spans="1:12" x14ac:dyDescent="0.3">
      <c r="A2532" t="s">
        <v>2701</v>
      </c>
      <c r="B2532" t="s">
        <v>8269</v>
      </c>
      <c r="C2532" t="s">
        <v>1417</v>
      </c>
      <c r="L2532" s="3" t="s">
        <v>5766</v>
      </c>
    </row>
    <row r="2533" spans="1:12" x14ac:dyDescent="0.3">
      <c r="A2533" t="s">
        <v>668</v>
      </c>
      <c r="B2533" t="s">
        <v>8268</v>
      </c>
      <c r="C2533" t="s">
        <v>1417</v>
      </c>
      <c r="L2533" s="4" t="s">
        <v>5768</v>
      </c>
    </row>
    <row r="2534" spans="1:12" x14ac:dyDescent="0.3">
      <c r="A2534" t="s">
        <v>5524</v>
      </c>
      <c r="B2534" t="s">
        <v>497</v>
      </c>
      <c r="C2534" t="s">
        <v>5043</v>
      </c>
      <c r="L2534" s="3" t="s">
        <v>5770</v>
      </c>
    </row>
    <row r="2535" spans="1:12" x14ac:dyDescent="0.3">
      <c r="A2535" t="s">
        <v>1417</v>
      </c>
      <c r="B2535" t="s">
        <v>8266</v>
      </c>
      <c r="C2535" t="s">
        <v>7473</v>
      </c>
      <c r="L2535" s="4" t="s">
        <v>5772</v>
      </c>
    </row>
    <row r="2536" spans="1:12" x14ac:dyDescent="0.3">
      <c r="A2536" t="s">
        <v>8268</v>
      </c>
      <c r="B2536" t="s">
        <v>497</v>
      </c>
      <c r="C2536" t="s">
        <v>5138</v>
      </c>
      <c r="L2536" s="3" t="s">
        <v>5774</v>
      </c>
    </row>
    <row r="2537" spans="1:12" x14ac:dyDescent="0.3">
      <c r="A2537" t="s">
        <v>1417</v>
      </c>
      <c r="B2537" t="s">
        <v>1417</v>
      </c>
      <c r="C2537" t="s">
        <v>1417</v>
      </c>
      <c r="L2537" s="4" t="s">
        <v>5776</v>
      </c>
    </row>
    <row r="2538" spans="1:12" x14ac:dyDescent="0.3">
      <c r="A2538" t="s">
        <v>5524</v>
      </c>
      <c r="B2538" t="s">
        <v>7473</v>
      </c>
      <c r="C2538" t="s">
        <v>4380</v>
      </c>
      <c r="L2538" s="3" t="s">
        <v>5778</v>
      </c>
    </row>
    <row r="2539" spans="1:12" x14ac:dyDescent="0.3">
      <c r="A2539" t="s">
        <v>668</v>
      </c>
      <c r="B2539" t="s">
        <v>8046</v>
      </c>
      <c r="C2539" t="s">
        <v>8046</v>
      </c>
      <c r="L2539" s="4" t="s">
        <v>5781</v>
      </c>
    </row>
    <row r="2540" spans="1:12" x14ac:dyDescent="0.3">
      <c r="A2540" t="s">
        <v>1417</v>
      </c>
      <c r="B2540" t="s">
        <v>1417</v>
      </c>
      <c r="C2540" t="s">
        <v>8269</v>
      </c>
      <c r="L2540" s="3" t="s">
        <v>5783</v>
      </c>
    </row>
    <row r="2541" spans="1:12" x14ac:dyDescent="0.3">
      <c r="A2541" t="s">
        <v>668</v>
      </c>
      <c r="B2541" t="s">
        <v>1417</v>
      </c>
      <c r="C2541" t="s">
        <v>7473</v>
      </c>
      <c r="L2541" s="4" t="s">
        <v>5785</v>
      </c>
    </row>
    <row r="2542" spans="1:12" x14ac:dyDescent="0.3">
      <c r="A2542" t="s">
        <v>668</v>
      </c>
      <c r="B2542" t="s">
        <v>8268</v>
      </c>
      <c r="C2542" t="s">
        <v>5138</v>
      </c>
      <c r="L2542" s="3" t="s">
        <v>5787</v>
      </c>
    </row>
    <row r="2543" spans="1:12" x14ac:dyDescent="0.3">
      <c r="A2543" t="s">
        <v>668</v>
      </c>
      <c r="B2543" t="s">
        <v>1417</v>
      </c>
      <c r="C2543" t="s">
        <v>8269</v>
      </c>
      <c r="L2543" s="4" t="s">
        <v>5789</v>
      </c>
    </row>
    <row r="2544" spans="1:12" x14ac:dyDescent="0.3">
      <c r="A2544" t="s">
        <v>1417</v>
      </c>
      <c r="B2544" t="s">
        <v>5138</v>
      </c>
      <c r="C2544" t="s">
        <v>4380</v>
      </c>
      <c r="L2544" s="3" t="s">
        <v>5791</v>
      </c>
    </row>
    <row r="2545" spans="1:12" x14ac:dyDescent="0.3">
      <c r="A2545" t="s">
        <v>668</v>
      </c>
      <c r="B2545" t="s">
        <v>4380</v>
      </c>
      <c r="C2545" t="s">
        <v>4380</v>
      </c>
      <c r="L2545" s="4" t="s">
        <v>5793</v>
      </c>
    </row>
    <row r="2546" spans="1:12" x14ac:dyDescent="0.3">
      <c r="A2546" t="s">
        <v>668</v>
      </c>
      <c r="B2546" t="s">
        <v>5138</v>
      </c>
      <c r="C2546" t="s">
        <v>4380</v>
      </c>
      <c r="L2546" s="3" t="s">
        <v>5795</v>
      </c>
    </row>
    <row r="2547" spans="1:12" x14ac:dyDescent="0.3">
      <c r="A2547" t="s">
        <v>668</v>
      </c>
      <c r="B2547" t="s">
        <v>8268</v>
      </c>
      <c r="C2547" t="s">
        <v>2701</v>
      </c>
      <c r="L2547" s="4" t="s">
        <v>5797</v>
      </c>
    </row>
    <row r="2548" spans="1:12" x14ac:dyDescent="0.3">
      <c r="A2548" t="s">
        <v>1417</v>
      </c>
      <c r="B2548" t="s">
        <v>1417</v>
      </c>
      <c r="C2548" t="s">
        <v>497</v>
      </c>
      <c r="L2548" s="3" t="s">
        <v>5799</v>
      </c>
    </row>
    <row r="2549" spans="1:12" x14ac:dyDescent="0.3">
      <c r="A2549" t="s">
        <v>362</v>
      </c>
      <c r="B2549" t="s">
        <v>1417</v>
      </c>
      <c r="C2549" t="s">
        <v>5043</v>
      </c>
      <c r="L2549" s="4" t="s">
        <v>5801</v>
      </c>
    </row>
    <row r="2550" spans="1:12" x14ac:dyDescent="0.3">
      <c r="A2550" t="s">
        <v>2701</v>
      </c>
      <c r="B2550" t="s">
        <v>8268</v>
      </c>
      <c r="C2550" t="s">
        <v>8266</v>
      </c>
      <c r="L2550" s="3" t="s">
        <v>5804</v>
      </c>
    </row>
    <row r="2551" spans="1:12" x14ac:dyDescent="0.3">
      <c r="A2551" t="s">
        <v>1417</v>
      </c>
      <c r="B2551" t="s">
        <v>8266</v>
      </c>
      <c r="C2551" t="s">
        <v>5043</v>
      </c>
      <c r="L2551" s="4" t="s">
        <v>5807</v>
      </c>
    </row>
    <row r="2552" spans="1:12" x14ac:dyDescent="0.3">
      <c r="A2552" t="s">
        <v>668</v>
      </c>
      <c r="B2552" t="s">
        <v>362</v>
      </c>
      <c r="C2552" t="s">
        <v>4380</v>
      </c>
      <c r="L2552" s="3" t="s">
        <v>5809</v>
      </c>
    </row>
    <row r="2553" spans="1:12" x14ac:dyDescent="0.3">
      <c r="A2553" t="s">
        <v>1417</v>
      </c>
      <c r="B2553" t="s">
        <v>1417</v>
      </c>
      <c r="C2553" t="s">
        <v>4380</v>
      </c>
      <c r="L2553" s="4" t="s">
        <v>5811</v>
      </c>
    </row>
    <row r="2554" spans="1:12" x14ac:dyDescent="0.3">
      <c r="A2554" t="s">
        <v>1417</v>
      </c>
      <c r="B2554" t="s">
        <v>2701</v>
      </c>
      <c r="C2554" t="s">
        <v>4380</v>
      </c>
      <c r="L2554" s="3" t="s">
        <v>5813</v>
      </c>
    </row>
    <row r="2555" spans="1:12" x14ac:dyDescent="0.3">
      <c r="A2555" t="s">
        <v>521</v>
      </c>
      <c r="B2555" t="s">
        <v>1417</v>
      </c>
      <c r="C2555" t="s">
        <v>2701</v>
      </c>
      <c r="L2555" s="4" t="s">
        <v>5815</v>
      </c>
    </row>
    <row r="2556" spans="1:12" x14ac:dyDescent="0.3">
      <c r="A2556" t="s">
        <v>8268</v>
      </c>
      <c r="B2556" t="s">
        <v>1417</v>
      </c>
      <c r="C2556" t="s">
        <v>7473</v>
      </c>
      <c r="L2556" s="3" t="s">
        <v>5817</v>
      </c>
    </row>
    <row r="2557" spans="1:12" x14ac:dyDescent="0.3">
      <c r="A2557" t="s">
        <v>1417</v>
      </c>
      <c r="B2557" t="s">
        <v>668</v>
      </c>
      <c r="C2557" t="s">
        <v>8266</v>
      </c>
      <c r="L2557" s="4" t="s">
        <v>5819</v>
      </c>
    </row>
    <row r="2558" spans="1:12" x14ac:dyDescent="0.3">
      <c r="A2558" t="s">
        <v>362</v>
      </c>
      <c r="B2558" t="s">
        <v>1417</v>
      </c>
      <c r="C2558" t="s">
        <v>7473</v>
      </c>
      <c r="L2558" s="3" t="s">
        <v>5822</v>
      </c>
    </row>
    <row r="2559" spans="1:12" x14ac:dyDescent="0.3">
      <c r="A2559" t="s">
        <v>521</v>
      </c>
      <c r="B2559" t="s">
        <v>1417</v>
      </c>
      <c r="C2559" t="s">
        <v>7473</v>
      </c>
      <c r="L2559" s="4" t="s">
        <v>5825</v>
      </c>
    </row>
    <row r="2560" spans="1:12" x14ac:dyDescent="0.3">
      <c r="A2560" t="s">
        <v>521</v>
      </c>
      <c r="B2560" t="s">
        <v>4843</v>
      </c>
      <c r="C2560" t="s">
        <v>7473</v>
      </c>
      <c r="L2560" s="3" t="s">
        <v>5828</v>
      </c>
    </row>
    <row r="2561" spans="1:12" x14ac:dyDescent="0.3">
      <c r="A2561" t="s">
        <v>668</v>
      </c>
      <c r="B2561" t="s">
        <v>5138</v>
      </c>
      <c r="C2561" t="s">
        <v>7473</v>
      </c>
      <c r="L2561" s="4" t="s">
        <v>5830</v>
      </c>
    </row>
    <row r="2562" spans="1:12" x14ac:dyDescent="0.3">
      <c r="A2562" t="s">
        <v>1417</v>
      </c>
      <c r="B2562" t="s">
        <v>362</v>
      </c>
      <c r="C2562" t="s">
        <v>7473</v>
      </c>
      <c r="L2562" s="3" t="s">
        <v>5832</v>
      </c>
    </row>
    <row r="2563" spans="1:12" x14ac:dyDescent="0.3">
      <c r="A2563" t="s">
        <v>521</v>
      </c>
      <c r="B2563" t="s">
        <v>8268</v>
      </c>
      <c r="C2563" t="s">
        <v>4380</v>
      </c>
      <c r="L2563" s="4" t="s">
        <v>5834</v>
      </c>
    </row>
    <row r="2564" spans="1:12" x14ac:dyDescent="0.3">
      <c r="A2564" t="s">
        <v>668</v>
      </c>
      <c r="B2564" t="s">
        <v>1417</v>
      </c>
      <c r="C2564" t="s">
        <v>4380</v>
      </c>
      <c r="L2564" s="3" t="s">
        <v>5837</v>
      </c>
    </row>
    <row r="2565" spans="1:12" x14ac:dyDescent="0.3">
      <c r="A2565" t="s">
        <v>668</v>
      </c>
      <c r="B2565" t="s">
        <v>497</v>
      </c>
      <c r="C2565" t="s">
        <v>6171</v>
      </c>
      <c r="L2565" s="4" t="s">
        <v>5839</v>
      </c>
    </row>
    <row r="2566" spans="1:12" x14ac:dyDescent="0.3">
      <c r="A2566" t="s">
        <v>1417</v>
      </c>
      <c r="B2566" t="s">
        <v>1417</v>
      </c>
      <c r="C2566" t="s">
        <v>8266</v>
      </c>
      <c r="L2566" s="3" t="s">
        <v>5841</v>
      </c>
    </row>
    <row r="2567" spans="1:12" x14ac:dyDescent="0.3">
      <c r="A2567" t="s">
        <v>668</v>
      </c>
      <c r="B2567" t="s">
        <v>7473</v>
      </c>
      <c r="C2567" t="s">
        <v>1417</v>
      </c>
      <c r="L2567" s="4" t="s">
        <v>5843</v>
      </c>
    </row>
    <row r="2568" spans="1:12" x14ac:dyDescent="0.3">
      <c r="A2568" t="s">
        <v>668</v>
      </c>
      <c r="B2568" t="s">
        <v>8269</v>
      </c>
      <c r="C2568" t="s">
        <v>5043</v>
      </c>
      <c r="L2568" s="3" t="s">
        <v>5845</v>
      </c>
    </row>
    <row r="2569" spans="1:12" x14ac:dyDescent="0.3">
      <c r="A2569" t="s">
        <v>668</v>
      </c>
      <c r="B2569" t="s">
        <v>7104</v>
      </c>
      <c r="C2569" t="s">
        <v>8267</v>
      </c>
      <c r="L2569" s="4" t="s">
        <v>5847</v>
      </c>
    </row>
    <row r="2570" spans="1:12" x14ac:dyDescent="0.3">
      <c r="A2570" t="s">
        <v>521</v>
      </c>
      <c r="B2570" t="s">
        <v>6171</v>
      </c>
      <c r="C2570" t="s">
        <v>4380</v>
      </c>
      <c r="L2570" s="3" t="s">
        <v>5849</v>
      </c>
    </row>
    <row r="2571" spans="1:12" x14ac:dyDescent="0.3">
      <c r="A2571" t="s">
        <v>1417</v>
      </c>
      <c r="B2571" t="s">
        <v>7473</v>
      </c>
      <c r="C2571" t="s">
        <v>6171</v>
      </c>
      <c r="L2571" s="4" t="s">
        <v>5851</v>
      </c>
    </row>
    <row r="2572" spans="1:12" x14ac:dyDescent="0.3">
      <c r="A2572" t="s">
        <v>668</v>
      </c>
      <c r="B2572" t="s">
        <v>7473</v>
      </c>
      <c r="C2572" t="s">
        <v>8266</v>
      </c>
      <c r="L2572" s="3" t="s">
        <v>5854</v>
      </c>
    </row>
    <row r="2573" spans="1:12" x14ac:dyDescent="0.3">
      <c r="A2573" t="s">
        <v>668</v>
      </c>
      <c r="B2573" t="s">
        <v>7473</v>
      </c>
      <c r="C2573" t="s">
        <v>8046</v>
      </c>
      <c r="L2573" s="4" t="s">
        <v>5856</v>
      </c>
    </row>
    <row r="2574" spans="1:12" x14ac:dyDescent="0.3">
      <c r="A2574" t="s">
        <v>1417</v>
      </c>
      <c r="B2574" t="s">
        <v>362</v>
      </c>
      <c r="C2574" t="s">
        <v>1417</v>
      </c>
      <c r="L2574" s="3" t="s">
        <v>5858</v>
      </c>
    </row>
    <row r="2575" spans="1:12" x14ac:dyDescent="0.3">
      <c r="A2575" t="s">
        <v>8266</v>
      </c>
      <c r="B2575" t="s">
        <v>8268</v>
      </c>
      <c r="C2575" t="s">
        <v>1417</v>
      </c>
      <c r="L2575" s="4" t="s">
        <v>5860</v>
      </c>
    </row>
    <row r="2576" spans="1:12" x14ac:dyDescent="0.3">
      <c r="A2576" t="s">
        <v>668</v>
      </c>
      <c r="B2576" t="s">
        <v>1417</v>
      </c>
      <c r="C2576" t="s">
        <v>4380</v>
      </c>
      <c r="L2576" s="3" t="s">
        <v>5862</v>
      </c>
    </row>
    <row r="2577" spans="1:12" x14ac:dyDescent="0.3">
      <c r="A2577" t="s">
        <v>521</v>
      </c>
      <c r="B2577" t="s">
        <v>668</v>
      </c>
      <c r="C2577" t="s">
        <v>497</v>
      </c>
      <c r="L2577" s="4" t="s">
        <v>5864</v>
      </c>
    </row>
    <row r="2578" spans="1:12" x14ac:dyDescent="0.3">
      <c r="A2578" t="s">
        <v>668</v>
      </c>
      <c r="B2578" t="s">
        <v>4380</v>
      </c>
      <c r="C2578" t="s">
        <v>7104</v>
      </c>
      <c r="L2578" s="3" t="s">
        <v>5866</v>
      </c>
    </row>
    <row r="2579" spans="1:12" x14ac:dyDescent="0.3">
      <c r="A2579" t="s">
        <v>668</v>
      </c>
      <c r="B2579" t="s">
        <v>4380</v>
      </c>
      <c r="C2579" t="s">
        <v>7473</v>
      </c>
      <c r="L2579" s="4" t="s">
        <v>5868</v>
      </c>
    </row>
    <row r="2580" spans="1:12" x14ac:dyDescent="0.3">
      <c r="A2580" t="s">
        <v>668</v>
      </c>
      <c r="B2580" t="s">
        <v>362</v>
      </c>
      <c r="C2580" t="s">
        <v>8266</v>
      </c>
      <c r="L2580" s="3" t="s">
        <v>5870</v>
      </c>
    </row>
    <row r="2581" spans="1:12" x14ac:dyDescent="0.3">
      <c r="A2581" t="s">
        <v>521</v>
      </c>
      <c r="B2581" t="s">
        <v>5043</v>
      </c>
      <c r="C2581" t="s">
        <v>7473</v>
      </c>
      <c r="L2581" s="4" t="s">
        <v>5872</v>
      </c>
    </row>
    <row r="2582" spans="1:12" x14ac:dyDescent="0.3">
      <c r="A2582" t="s">
        <v>1417</v>
      </c>
      <c r="B2582" t="s">
        <v>362</v>
      </c>
      <c r="C2582" t="s">
        <v>1417</v>
      </c>
      <c r="L2582" s="3" t="s">
        <v>5874</v>
      </c>
    </row>
    <row r="2583" spans="1:12" x14ac:dyDescent="0.3">
      <c r="A2583" t="s">
        <v>521</v>
      </c>
      <c r="B2583" t="s">
        <v>8266</v>
      </c>
      <c r="C2583" t="s">
        <v>5138</v>
      </c>
      <c r="L2583" s="4" t="s">
        <v>5876</v>
      </c>
    </row>
    <row r="2584" spans="1:12" x14ac:dyDescent="0.3">
      <c r="A2584" t="s">
        <v>1417</v>
      </c>
      <c r="B2584" t="s">
        <v>7473</v>
      </c>
      <c r="C2584" t="s">
        <v>7473</v>
      </c>
      <c r="L2584" s="3" t="s">
        <v>5878</v>
      </c>
    </row>
    <row r="2585" spans="1:12" x14ac:dyDescent="0.3">
      <c r="A2585" t="s">
        <v>1417</v>
      </c>
      <c r="B2585" t="s">
        <v>1417</v>
      </c>
      <c r="C2585" t="s">
        <v>4380</v>
      </c>
      <c r="L2585" s="4" t="s">
        <v>5881</v>
      </c>
    </row>
    <row r="2586" spans="1:12" x14ac:dyDescent="0.3">
      <c r="A2586" t="s">
        <v>8268</v>
      </c>
      <c r="B2586" t="s">
        <v>1417</v>
      </c>
      <c r="C2586" t="s">
        <v>8046</v>
      </c>
      <c r="L2586" s="3" t="s">
        <v>5883</v>
      </c>
    </row>
    <row r="2587" spans="1:12" x14ac:dyDescent="0.3">
      <c r="A2587" t="s">
        <v>668</v>
      </c>
      <c r="B2587" t="s">
        <v>7473</v>
      </c>
      <c r="C2587" t="s">
        <v>1417</v>
      </c>
      <c r="L2587" s="4" t="s">
        <v>5885</v>
      </c>
    </row>
    <row r="2588" spans="1:12" x14ac:dyDescent="0.3">
      <c r="A2588" t="s">
        <v>668</v>
      </c>
      <c r="B2588" t="s">
        <v>1417</v>
      </c>
      <c r="C2588" t="s">
        <v>4380</v>
      </c>
      <c r="L2588" s="3" t="s">
        <v>5887</v>
      </c>
    </row>
    <row r="2589" spans="1:12" x14ac:dyDescent="0.3">
      <c r="A2589" t="s">
        <v>1417</v>
      </c>
      <c r="B2589" t="s">
        <v>4843</v>
      </c>
      <c r="C2589" t="s">
        <v>8266</v>
      </c>
      <c r="L2589" s="4" t="s">
        <v>5890</v>
      </c>
    </row>
    <row r="2590" spans="1:12" x14ac:dyDescent="0.3">
      <c r="A2590" t="s">
        <v>1417</v>
      </c>
      <c r="B2590" t="s">
        <v>7473</v>
      </c>
      <c r="C2590" t="s">
        <v>5138</v>
      </c>
      <c r="L2590" s="3" t="s">
        <v>5892</v>
      </c>
    </row>
    <row r="2591" spans="1:12" x14ac:dyDescent="0.3">
      <c r="A2591" t="s">
        <v>668</v>
      </c>
      <c r="B2591" t="s">
        <v>668</v>
      </c>
      <c r="C2591" t="s">
        <v>497</v>
      </c>
      <c r="L2591" s="4" t="s">
        <v>5894</v>
      </c>
    </row>
    <row r="2592" spans="1:12" x14ac:dyDescent="0.3">
      <c r="A2592" t="s">
        <v>1417</v>
      </c>
      <c r="B2592" t="s">
        <v>497</v>
      </c>
      <c r="C2592" t="s">
        <v>6171</v>
      </c>
      <c r="L2592" s="3" t="s">
        <v>5896</v>
      </c>
    </row>
    <row r="2593" spans="1:12" x14ac:dyDescent="0.3">
      <c r="A2593" t="s">
        <v>8268</v>
      </c>
      <c r="B2593" t="s">
        <v>8266</v>
      </c>
      <c r="C2593" t="s">
        <v>4380</v>
      </c>
      <c r="L2593" s="4" t="s">
        <v>5898</v>
      </c>
    </row>
    <row r="2594" spans="1:12" x14ac:dyDescent="0.3">
      <c r="A2594" t="s">
        <v>1417</v>
      </c>
      <c r="B2594" t="s">
        <v>7473</v>
      </c>
      <c r="C2594" t="s">
        <v>4380</v>
      </c>
      <c r="L2594" s="3" t="s">
        <v>5900</v>
      </c>
    </row>
    <row r="2595" spans="1:12" x14ac:dyDescent="0.3">
      <c r="A2595" t="s">
        <v>668</v>
      </c>
      <c r="B2595" t="s">
        <v>8266</v>
      </c>
      <c r="C2595" t="s">
        <v>4380</v>
      </c>
      <c r="L2595" s="4" t="s">
        <v>5902</v>
      </c>
    </row>
    <row r="2596" spans="1:12" x14ac:dyDescent="0.3">
      <c r="A2596" t="s">
        <v>668</v>
      </c>
      <c r="B2596" t="s">
        <v>7473</v>
      </c>
      <c r="C2596" t="s">
        <v>7473</v>
      </c>
      <c r="L2596" s="3" t="s">
        <v>5904</v>
      </c>
    </row>
    <row r="2597" spans="1:12" x14ac:dyDescent="0.3">
      <c r="A2597" t="s">
        <v>1417</v>
      </c>
      <c r="B2597" t="s">
        <v>1417</v>
      </c>
      <c r="C2597" t="s">
        <v>7473</v>
      </c>
      <c r="L2597" s="4" t="s">
        <v>5906</v>
      </c>
    </row>
    <row r="2598" spans="1:12" x14ac:dyDescent="0.3">
      <c r="A2598" t="s">
        <v>1417</v>
      </c>
      <c r="B2598" t="s">
        <v>2701</v>
      </c>
      <c r="C2598" t="s">
        <v>7473</v>
      </c>
      <c r="L2598" s="3" t="s">
        <v>5908</v>
      </c>
    </row>
    <row r="2599" spans="1:12" x14ac:dyDescent="0.3">
      <c r="A2599" t="s">
        <v>1417</v>
      </c>
      <c r="B2599" t="s">
        <v>5043</v>
      </c>
      <c r="C2599" t="s">
        <v>2701</v>
      </c>
      <c r="L2599" s="4" t="s">
        <v>5910</v>
      </c>
    </row>
    <row r="2600" spans="1:12" x14ac:dyDescent="0.3">
      <c r="A2600" t="s">
        <v>521</v>
      </c>
      <c r="B2600" t="s">
        <v>1417</v>
      </c>
      <c r="C2600" t="s">
        <v>7473</v>
      </c>
      <c r="L2600" s="3" t="s">
        <v>5912</v>
      </c>
    </row>
    <row r="2601" spans="1:12" x14ac:dyDescent="0.3">
      <c r="A2601" t="s">
        <v>668</v>
      </c>
      <c r="B2601" t="s">
        <v>1417</v>
      </c>
      <c r="C2601" t="s">
        <v>2701</v>
      </c>
      <c r="L2601" s="4" t="s">
        <v>5914</v>
      </c>
    </row>
    <row r="2602" spans="1:12" x14ac:dyDescent="0.3">
      <c r="A2602" t="s">
        <v>521</v>
      </c>
      <c r="B2602" t="s">
        <v>2701</v>
      </c>
      <c r="C2602" t="s">
        <v>8266</v>
      </c>
      <c r="L2602" s="3" t="s">
        <v>5916</v>
      </c>
    </row>
    <row r="2603" spans="1:12" x14ac:dyDescent="0.3">
      <c r="A2603" t="s">
        <v>668</v>
      </c>
      <c r="B2603" t="s">
        <v>668</v>
      </c>
      <c r="C2603" t="s">
        <v>4380</v>
      </c>
      <c r="L2603" s="4" t="s">
        <v>5918</v>
      </c>
    </row>
    <row r="2604" spans="1:12" x14ac:dyDescent="0.3">
      <c r="A2604" t="s">
        <v>668</v>
      </c>
      <c r="B2604" t="s">
        <v>8046</v>
      </c>
      <c r="C2604" t="s">
        <v>7473</v>
      </c>
      <c r="L2604" s="3" t="s">
        <v>5920</v>
      </c>
    </row>
    <row r="2605" spans="1:12" x14ac:dyDescent="0.3">
      <c r="A2605" t="s">
        <v>668</v>
      </c>
      <c r="B2605" t="s">
        <v>8266</v>
      </c>
      <c r="C2605" t="s">
        <v>5138</v>
      </c>
      <c r="L2605" s="4" t="s">
        <v>5922</v>
      </c>
    </row>
    <row r="2606" spans="1:12" x14ac:dyDescent="0.3">
      <c r="A2606" t="s">
        <v>521</v>
      </c>
      <c r="B2606" t="s">
        <v>668</v>
      </c>
      <c r="C2606" t="s">
        <v>7473</v>
      </c>
      <c r="L2606" s="3" t="s">
        <v>2242</v>
      </c>
    </row>
    <row r="2607" spans="1:12" x14ac:dyDescent="0.3">
      <c r="A2607" t="s">
        <v>521</v>
      </c>
      <c r="B2607" t="s">
        <v>1417</v>
      </c>
      <c r="C2607" t="s">
        <v>8268</v>
      </c>
      <c r="L2607" s="4" t="s">
        <v>5926</v>
      </c>
    </row>
    <row r="2608" spans="1:12" x14ac:dyDescent="0.3">
      <c r="A2608" t="s">
        <v>1417</v>
      </c>
      <c r="B2608" t="s">
        <v>7473</v>
      </c>
      <c r="C2608" t="s">
        <v>8046</v>
      </c>
      <c r="L2608" s="3" t="s">
        <v>5928</v>
      </c>
    </row>
    <row r="2609" spans="1:12" x14ac:dyDescent="0.3">
      <c r="A2609" t="s">
        <v>5524</v>
      </c>
      <c r="B2609" t="s">
        <v>8266</v>
      </c>
      <c r="C2609" t="s">
        <v>7473</v>
      </c>
      <c r="L2609" s="4" t="s">
        <v>5930</v>
      </c>
    </row>
    <row r="2610" spans="1:12" x14ac:dyDescent="0.3">
      <c r="A2610" t="s">
        <v>668</v>
      </c>
      <c r="B2610" t="s">
        <v>1417</v>
      </c>
      <c r="C2610" t="s">
        <v>7473</v>
      </c>
      <c r="L2610" s="3" t="s">
        <v>5932</v>
      </c>
    </row>
    <row r="2611" spans="1:12" x14ac:dyDescent="0.3">
      <c r="A2611" t="s">
        <v>8268</v>
      </c>
      <c r="B2611" t="s">
        <v>2701</v>
      </c>
      <c r="C2611" t="s">
        <v>1417</v>
      </c>
      <c r="L2611" s="4" t="s">
        <v>5934</v>
      </c>
    </row>
    <row r="2612" spans="1:12" x14ac:dyDescent="0.3">
      <c r="A2612" t="s">
        <v>1417</v>
      </c>
      <c r="B2612" t="s">
        <v>1417</v>
      </c>
      <c r="C2612" t="s">
        <v>8046</v>
      </c>
      <c r="L2612" s="3" t="s">
        <v>5936</v>
      </c>
    </row>
    <row r="2613" spans="1:12" x14ac:dyDescent="0.3">
      <c r="A2613" t="s">
        <v>1417</v>
      </c>
      <c r="B2613" t="s">
        <v>7473</v>
      </c>
      <c r="C2613" t="s">
        <v>8046</v>
      </c>
      <c r="L2613" s="4" t="s">
        <v>5938</v>
      </c>
    </row>
    <row r="2614" spans="1:12" x14ac:dyDescent="0.3">
      <c r="A2614" t="s">
        <v>521</v>
      </c>
      <c r="B2614" t="s">
        <v>362</v>
      </c>
      <c r="C2614" t="s">
        <v>7473</v>
      </c>
      <c r="L2614" s="3" t="s">
        <v>5940</v>
      </c>
    </row>
    <row r="2615" spans="1:12" x14ac:dyDescent="0.3">
      <c r="A2615" t="s">
        <v>362</v>
      </c>
      <c r="B2615" t="s">
        <v>1417</v>
      </c>
      <c r="C2615" t="s">
        <v>6171</v>
      </c>
      <c r="L2615" s="4" t="s">
        <v>5942</v>
      </c>
    </row>
    <row r="2616" spans="1:12" x14ac:dyDescent="0.3">
      <c r="A2616" t="s">
        <v>5524</v>
      </c>
      <c r="B2616" t="s">
        <v>7473</v>
      </c>
      <c r="C2616" t="s">
        <v>6902</v>
      </c>
      <c r="L2616" s="3" t="s">
        <v>5944</v>
      </c>
    </row>
    <row r="2617" spans="1:12" x14ac:dyDescent="0.3">
      <c r="A2617" t="s">
        <v>668</v>
      </c>
      <c r="B2617" t="s">
        <v>8268</v>
      </c>
      <c r="C2617" t="s">
        <v>1417</v>
      </c>
      <c r="L2617" s="4" t="s">
        <v>5946</v>
      </c>
    </row>
    <row r="2618" spans="1:12" x14ac:dyDescent="0.3">
      <c r="A2618" t="s">
        <v>5524</v>
      </c>
      <c r="B2618" t="s">
        <v>1417</v>
      </c>
      <c r="C2618" t="s">
        <v>1417</v>
      </c>
      <c r="L2618" s="3" t="s">
        <v>5948</v>
      </c>
    </row>
    <row r="2619" spans="1:12" x14ac:dyDescent="0.3">
      <c r="A2619" t="s">
        <v>668</v>
      </c>
      <c r="B2619" t="s">
        <v>2701</v>
      </c>
      <c r="C2619" t="s">
        <v>6902</v>
      </c>
      <c r="L2619" s="4" t="s">
        <v>5950</v>
      </c>
    </row>
    <row r="2620" spans="1:12" x14ac:dyDescent="0.3">
      <c r="A2620" t="s">
        <v>497</v>
      </c>
      <c r="B2620" t="s">
        <v>1417</v>
      </c>
      <c r="C2620" t="s">
        <v>4380</v>
      </c>
      <c r="L2620" s="3" t="s">
        <v>5952</v>
      </c>
    </row>
    <row r="2621" spans="1:12" x14ac:dyDescent="0.3">
      <c r="A2621" t="s">
        <v>2701</v>
      </c>
      <c r="B2621" t="s">
        <v>7473</v>
      </c>
      <c r="C2621" t="s">
        <v>8269</v>
      </c>
      <c r="L2621" s="4" t="s">
        <v>5954</v>
      </c>
    </row>
    <row r="2622" spans="1:12" x14ac:dyDescent="0.3">
      <c r="A2622" t="s">
        <v>362</v>
      </c>
      <c r="B2622" t="s">
        <v>362</v>
      </c>
      <c r="C2622" t="s">
        <v>5043</v>
      </c>
      <c r="L2622" s="3" t="s">
        <v>5957</v>
      </c>
    </row>
    <row r="2623" spans="1:12" x14ac:dyDescent="0.3">
      <c r="A2623" t="s">
        <v>668</v>
      </c>
      <c r="B2623" t="s">
        <v>7473</v>
      </c>
      <c r="C2623" t="s">
        <v>4380</v>
      </c>
      <c r="L2623" s="4" t="s">
        <v>5959</v>
      </c>
    </row>
    <row r="2624" spans="1:12" x14ac:dyDescent="0.3">
      <c r="A2624" t="s">
        <v>5524</v>
      </c>
      <c r="B2624" t="s">
        <v>7473</v>
      </c>
      <c r="C2624" t="s">
        <v>2701</v>
      </c>
      <c r="L2624" s="3" t="s">
        <v>5961</v>
      </c>
    </row>
    <row r="2625" spans="1:12" x14ac:dyDescent="0.3">
      <c r="A2625" t="s">
        <v>668</v>
      </c>
      <c r="B2625" t="s">
        <v>5138</v>
      </c>
      <c r="C2625" t="s">
        <v>7473</v>
      </c>
      <c r="L2625" s="4" t="s">
        <v>5964</v>
      </c>
    </row>
    <row r="2626" spans="1:12" x14ac:dyDescent="0.3">
      <c r="A2626" t="s">
        <v>668</v>
      </c>
      <c r="B2626" t="s">
        <v>1417</v>
      </c>
      <c r="C2626" t="s">
        <v>1417</v>
      </c>
      <c r="L2626" s="3" t="s">
        <v>5966</v>
      </c>
    </row>
    <row r="2627" spans="1:12" x14ac:dyDescent="0.3">
      <c r="A2627" t="s">
        <v>1417</v>
      </c>
      <c r="B2627" t="s">
        <v>8268</v>
      </c>
      <c r="C2627" t="s">
        <v>1417</v>
      </c>
      <c r="L2627" s="4" t="s">
        <v>5968</v>
      </c>
    </row>
    <row r="2628" spans="1:12" x14ac:dyDescent="0.3">
      <c r="A2628" t="s">
        <v>1417</v>
      </c>
      <c r="B2628" t="s">
        <v>1417</v>
      </c>
      <c r="C2628" t="s">
        <v>7473</v>
      </c>
      <c r="L2628" s="3" t="s">
        <v>5970</v>
      </c>
    </row>
    <row r="2629" spans="1:12" x14ac:dyDescent="0.3">
      <c r="A2629" t="s">
        <v>2701</v>
      </c>
      <c r="B2629" t="s">
        <v>8268</v>
      </c>
      <c r="C2629" t="s">
        <v>4380</v>
      </c>
      <c r="L2629" s="4" t="s">
        <v>5972</v>
      </c>
    </row>
    <row r="2630" spans="1:12" x14ac:dyDescent="0.3">
      <c r="A2630" t="s">
        <v>362</v>
      </c>
      <c r="B2630" t="s">
        <v>1417</v>
      </c>
      <c r="C2630" t="s">
        <v>2701</v>
      </c>
      <c r="L2630" s="3" t="s">
        <v>5974</v>
      </c>
    </row>
    <row r="2631" spans="1:12" x14ac:dyDescent="0.3">
      <c r="A2631" t="s">
        <v>1417</v>
      </c>
      <c r="B2631" t="s">
        <v>1417</v>
      </c>
      <c r="C2631" t="s">
        <v>668</v>
      </c>
      <c r="L2631" s="4" t="s">
        <v>5976</v>
      </c>
    </row>
    <row r="2632" spans="1:12" x14ac:dyDescent="0.3">
      <c r="A2632" t="s">
        <v>668</v>
      </c>
      <c r="B2632" t="s">
        <v>2701</v>
      </c>
      <c r="C2632" t="s">
        <v>497</v>
      </c>
      <c r="L2632" s="3" t="s">
        <v>5978</v>
      </c>
    </row>
    <row r="2633" spans="1:12" x14ac:dyDescent="0.3">
      <c r="A2633" t="s">
        <v>362</v>
      </c>
      <c r="B2633" t="s">
        <v>668</v>
      </c>
      <c r="C2633" t="s">
        <v>5138</v>
      </c>
      <c r="L2633" s="4" t="s">
        <v>5980</v>
      </c>
    </row>
    <row r="2634" spans="1:12" x14ac:dyDescent="0.3">
      <c r="A2634" t="s">
        <v>521</v>
      </c>
      <c r="B2634" t="s">
        <v>5043</v>
      </c>
      <c r="C2634" t="s">
        <v>7473</v>
      </c>
      <c r="L2634" s="3" t="s">
        <v>5983</v>
      </c>
    </row>
    <row r="2635" spans="1:12" x14ac:dyDescent="0.3">
      <c r="A2635" t="s">
        <v>668</v>
      </c>
      <c r="B2635" t="s">
        <v>4380</v>
      </c>
      <c r="C2635" t="s">
        <v>8268</v>
      </c>
      <c r="L2635" s="4" t="s">
        <v>5985</v>
      </c>
    </row>
    <row r="2636" spans="1:12" x14ac:dyDescent="0.3">
      <c r="A2636" t="s">
        <v>2701</v>
      </c>
      <c r="B2636" t="s">
        <v>8268</v>
      </c>
      <c r="C2636" t="s">
        <v>8266</v>
      </c>
      <c r="L2636" s="3" t="s">
        <v>5987</v>
      </c>
    </row>
    <row r="2637" spans="1:12" x14ac:dyDescent="0.3">
      <c r="A2637" t="s">
        <v>5524</v>
      </c>
      <c r="B2637" t="s">
        <v>1417</v>
      </c>
      <c r="C2637" t="s">
        <v>8268</v>
      </c>
      <c r="L2637" s="4" t="s">
        <v>5990</v>
      </c>
    </row>
    <row r="2638" spans="1:12" x14ac:dyDescent="0.3">
      <c r="A2638" t="s">
        <v>8268</v>
      </c>
      <c r="B2638" t="s">
        <v>5043</v>
      </c>
      <c r="C2638" t="s">
        <v>8268</v>
      </c>
      <c r="L2638" s="3" t="s">
        <v>5992</v>
      </c>
    </row>
    <row r="2639" spans="1:12" x14ac:dyDescent="0.3">
      <c r="A2639" t="s">
        <v>668</v>
      </c>
      <c r="B2639" t="s">
        <v>2701</v>
      </c>
      <c r="C2639" t="s">
        <v>497</v>
      </c>
      <c r="L2639" s="4" t="s">
        <v>5994</v>
      </c>
    </row>
    <row r="2640" spans="1:12" x14ac:dyDescent="0.3">
      <c r="A2640" t="s">
        <v>8268</v>
      </c>
      <c r="B2640" t="s">
        <v>8266</v>
      </c>
      <c r="C2640" t="s">
        <v>1417</v>
      </c>
      <c r="L2640" s="3" t="s">
        <v>5996</v>
      </c>
    </row>
    <row r="2641" spans="1:12" x14ac:dyDescent="0.3">
      <c r="A2641" t="s">
        <v>668</v>
      </c>
      <c r="B2641" t="s">
        <v>8268</v>
      </c>
      <c r="C2641" t="s">
        <v>4380</v>
      </c>
      <c r="L2641" s="4" t="s">
        <v>5998</v>
      </c>
    </row>
    <row r="2642" spans="1:12" x14ac:dyDescent="0.3">
      <c r="A2642" t="s">
        <v>521</v>
      </c>
      <c r="B2642" t="s">
        <v>1417</v>
      </c>
      <c r="C2642" t="s">
        <v>4380</v>
      </c>
      <c r="L2642" s="3" t="s">
        <v>6000</v>
      </c>
    </row>
    <row r="2643" spans="1:12" x14ac:dyDescent="0.3">
      <c r="A2643" t="s">
        <v>5524</v>
      </c>
      <c r="B2643" t="s">
        <v>7473</v>
      </c>
      <c r="C2643" t="s">
        <v>5043</v>
      </c>
      <c r="L2643" s="4" t="s">
        <v>6002</v>
      </c>
    </row>
    <row r="2644" spans="1:12" x14ac:dyDescent="0.3">
      <c r="A2644" t="s">
        <v>668</v>
      </c>
      <c r="B2644" t="s">
        <v>1417</v>
      </c>
      <c r="C2644" t="s">
        <v>8266</v>
      </c>
      <c r="L2644" s="3" t="s">
        <v>6004</v>
      </c>
    </row>
    <row r="2645" spans="1:12" x14ac:dyDescent="0.3">
      <c r="A2645" t="s">
        <v>668</v>
      </c>
      <c r="B2645" t="s">
        <v>668</v>
      </c>
      <c r="C2645" t="s">
        <v>1417</v>
      </c>
      <c r="L2645" s="4" t="s">
        <v>6006</v>
      </c>
    </row>
    <row r="2646" spans="1:12" x14ac:dyDescent="0.3">
      <c r="A2646" t="s">
        <v>362</v>
      </c>
      <c r="B2646" t="s">
        <v>2701</v>
      </c>
      <c r="C2646" t="s">
        <v>7473</v>
      </c>
      <c r="L2646" s="3" t="s">
        <v>6008</v>
      </c>
    </row>
    <row r="2647" spans="1:12" x14ac:dyDescent="0.3">
      <c r="A2647" t="s">
        <v>2701</v>
      </c>
      <c r="B2647" t="s">
        <v>4380</v>
      </c>
      <c r="C2647" t="s">
        <v>2701</v>
      </c>
      <c r="L2647" s="4" t="s">
        <v>6010</v>
      </c>
    </row>
    <row r="2648" spans="1:12" x14ac:dyDescent="0.3">
      <c r="A2648" t="s">
        <v>362</v>
      </c>
      <c r="B2648" t="s">
        <v>668</v>
      </c>
      <c r="C2648" t="s">
        <v>4380</v>
      </c>
      <c r="L2648" s="3" t="s">
        <v>6012</v>
      </c>
    </row>
    <row r="2649" spans="1:12" x14ac:dyDescent="0.3">
      <c r="A2649" t="s">
        <v>8268</v>
      </c>
      <c r="B2649" t="s">
        <v>1417</v>
      </c>
      <c r="C2649" t="s">
        <v>4380</v>
      </c>
      <c r="L2649" s="4" t="s">
        <v>6014</v>
      </c>
    </row>
    <row r="2650" spans="1:12" x14ac:dyDescent="0.3">
      <c r="A2650" t="s">
        <v>668</v>
      </c>
      <c r="B2650" t="s">
        <v>8268</v>
      </c>
      <c r="C2650" t="s">
        <v>497</v>
      </c>
      <c r="L2650" s="3" t="s">
        <v>6016</v>
      </c>
    </row>
    <row r="2651" spans="1:12" x14ac:dyDescent="0.3">
      <c r="A2651" t="s">
        <v>668</v>
      </c>
      <c r="B2651" t="s">
        <v>668</v>
      </c>
      <c r="C2651" t="s">
        <v>1417</v>
      </c>
      <c r="L2651" s="4" t="s">
        <v>6018</v>
      </c>
    </row>
    <row r="2652" spans="1:12" x14ac:dyDescent="0.3">
      <c r="A2652" t="s">
        <v>521</v>
      </c>
      <c r="B2652" t="s">
        <v>1417</v>
      </c>
      <c r="C2652" t="s">
        <v>4380</v>
      </c>
      <c r="L2652" s="3" t="s">
        <v>6020</v>
      </c>
    </row>
    <row r="2653" spans="1:12" x14ac:dyDescent="0.3">
      <c r="A2653" t="s">
        <v>362</v>
      </c>
      <c r="B2653" t="s">
        <v>2701</v>
      </c>
      <c r="C2653" t="s">
        <v>19</v>
      </c>
      <c r="L2653" s="4" t="s">
        <v>6022</v>
      </c>
    </row>
    <row r="2654" spans="1:12" x14ac:dyDescent="0.3">
      <c r="A2654" t="s">
        <v>5524</v>
      </c>
      <c r="B2654" t="s">
        <v>4380</v>
      </c>
      <c r="C2654" t="s">
        <v>5138</v>
      </c>
      <c r="L2654" s="3" t="s">
        <v>6024</v>
      </c>
    </row>
    <row r="2655" spans="1:12" x14ac:dyDescent="0.3">
      <c r="A2655" t="s">
        <v>8268</v>
      </c>
      <c r="B2655" t="s">
        <v>8266</v>
      </c>
      <c r="C2655" t="s">
        <v>7104</v>
      </c>
      <c r="L2655" s="4" t="s">
        <v>6026</v>
      </c>
    </row>
    <row r="2656" spans="1:12" x14ac:dyDescent="0.3">
      <c r="A2656" t="s">
        <v>668</v>
      </c>
      <c r="B2656" t="s">
        <v>1417</v>
      </c>
      <c r="C2656" t="s">
        <v>4843</v>
      </c>
      <c r="L2656" s="3" t="s">
        <v>6028</v>
      </c>
    </row>
    <row r="2657" spans="1:12" x14ac:dyDescent="0.3">
      <c r="A2657" t="s">
        <v>668</v>
      </c>
      <c r="B2657" t="s">
        <v>7473</v>
      </c>
      <c r="C2657" t="s">
        <v>8269</v>
      </c>
      <c r="L2657" s="4" t="s">
        <v>6030</v>
      </c>
    </row>
    <row r="2658" spans="1:12" x14ac:dyDescent="0.3">
      <c r="A2658" t="s">
        <v>1417</v>
      </c>
      <c r="B2658" t="s">
        <v>7104</v>
      </c>
      <c r="C2658" t="s">
        <v>5138</v>
      </c>
      <c r="L2658" s="3" t="s">
        <v>6032</v>
      </c>
    </row>
    <row r="2659" spans="1:12" x14ac:dyDescent="0.3">
      <c r="A2659" t="s">
        <v>1417</v>
      </c>
      <c r="B2659" t="s">
        <v>7473</v>
      </c>
      <c r="C2659" t="s">
        <v>7473</v>
      </c>
      <c r="L2659" s="4" t="s">
        <v>6034</v>
      </c>
    </row>
    <row r="2660" spans="1:12" x14ac:dyDescent="0.3">
      <c r="A2660" t="s">
        <v>668</v>
      </c>
      <c r="B2660" t="s">
        <v>8046</v>
      </c>
      <c r="C2660" t="s">
        <v>4380</v>
      </c>
      <c r="L2660" s="3" t="s">
        <v>6036</v>
      </c>
    </row>
    <row r="2661" spans="1:12" x14ac:dyDescent="0.3">
      <c r="A2661" t="s">
        <v>1417</v>
      </c>
      <c r="B2661" t="s">
        <v>1417</v>
      </c>
      <c r="C2661" t="s">
        <v>5043</v>
      </c>
      <c r="L2661" s="4" t="s">
        <v>6038</v>
      </c>
    </row>
    <row r="2662" spans="1:12" x14ac:dyDescent="0.3">
      <c r="A2662" t="s">
        <v>521</v>
      </c>
      <c r="B2662" t="s">
        <v>7473</v>
      </c>
      <c r="C2662" t="s">
        <v>5043</v>
      </c>
      <c r="L2662" s="3" t="s">
        <v>6040</v>
      </c>
    </row>
    <row r="2663" spans="1:12" x14ac:dyDescent="0.3">
      <c r="A2663" t="s">
        <v>668</v>
      </c>
      <c r="B2663" t="s">
        <v>8268</v>
      </c>
      <c r="C2663" t="s">
        <v>8268</v>
      </c>
      <c r="L2663" s="4" t="s">
        <v>6042</v>
      </c>
    </row>
    <row r="2664" spans="1:12" x14ac:dyDescent="0.3">
      <c r="A2664" t="s">
        <v>362</v>
      </c>
      <c r="B2664" t="s">
        <v>8268</v>
      </c>
      <c r="C2664" t="s">
        <v>7473</v>
      </c>
      <c r="L2664" s="3" t="s">
        <v>6044</v>
      </c>
    </row>
    <row r="2665" spans="1:12" x14ac:dyDescent="0.3">
      <c r="A2665" t="s">
        <v>1417</v>
      </c>
      <c r="B2665" t="s">
        <v>4380</v>
      </c>
      <c r="C2665" t="s">
        <v>2701</v>
      </c>
      <c r="L2665" s="4" t="s">
        <v>6046</v>
      </c>
    </row>
    <row r="2666" spans="1:12" x14ac:dyDescent="0.3">
      <c r="A2666" t="s">
        <v>1417</v>
      </c>
      <c r="B2666" t="s">
        <v>5043</v>
      </c>
      <c r="C2666" t="s">
        <v>8046</v>
      </c>
      <c r="L2666" s="3" t="s">
        <v>6048</v>
      </c>
    </row>
    <row r="2667" spans="1:12" x14ac:dyDescent="0.3">
      <c r="A2667" t="s">
        <v>362</v>
      </c>
      <c r="B2667" t="s">
        <v>668</v>
      </c>
      <c r="C2667" t="s">
        <v>6902</v>
      </c>
      <c r="L2667" s="4" t="s">
        <v>6050</v>
      </c>
    </row>
    <row r="2668" spans="1:12" x14ac:dyDescent="0.3">
      <c r="A2668" t="s">
        <v>1417</v>
      </c>
      <c r="B2668" t="s">
        <v>8268</v>
      </c>
      <c r="C2668" t="s">
        <v>4380</v>
      </c>
      <c r="L2668" s="3" t="s">
        <v>6052</v>
      </c>
    </row>
    <row r="2669" spans="1:12" x14ac:dyDescent="0.3">
      <c r="A2669" t="s">
        <v>1417</v>
      </c>
      <c r="B2669" t="s">
        <v>1417</v>
      </c>
      <c r="C2669" t="s">
        <v>7473</v>
      </c>
      <c r="L2669" s="4" t="s">
        <v>6054</v>
      </c>
    </row>
    <row r="2670" spans="1:12" x14ac:dyDescent="0.3">
      <c r="A2670" t="s">
        <v>521</v>
      </c>
      <c r="B2670" t="s">
        <v>8267</v>
      </c>
      <c r="C2670" t="s">
        <v>2701</v>
      </c>
      <c r="L2670" s="3" t="s">
        <v>6056</v>
      </c>
    </row>
    <row r="2671" spans="1:12" x14ac:dyDescent="0.3">
      <c r="A2671" t="s">
        <v>362</v>
      </c>
      <c r="B2671" t="s">
        <v>1417</v>
      </c>
      <c r="C2671" t="s">
        <v>4380</v>
      </c>
      <c r="L2671" s="4" t="s">
        <v>6058</v>
      </c>
    </row>
    <row r="2672" spans="1:12" x14ac:dyDescent="0.3">
      <c r="A2672" t="s">
        <v>2701</v>
      </c>
      <c r="B2672" t="s">
        <v>7473</v>
      </c>
      <c r="C2672" t="s">
        <v>4380</v>
      </c>
      <c r="L2672" s="3" t="s">
        <v>6060</v>
      </c>
    </row>
    <row r="2673" spans="1:12" x14ac:dyDescent="0.3">
      <c r="A2673" t="s">
        <v>2701</v>
      </c>
      <c r="B2673" t="s">
        <v>8266</v>
      </c>
      <c r="C2673" t="s">
        <v>1417</v>
      </c>
      <c r="L2673" s="4" t="s">
        <v>6063</v>
      </c>
    </row>
    <row r="2674" spans="1:12" x14ac:dyDescent="0.3">
      <c r="A2674" t="s">
        <v>1417</v>
      </c>
      <c r="B2674" t="s">
        <v>8268</v>
      </c>
      <c r="C2674" t="s">
        <v>6171</v>
      </c>
      <c r="L2674" s="3" t="s">
        <v>6065</v>
      </c>
    </row>
    <row r="2675" spans="1:12" x14ac:dyDescent="0.3">
      <c r="A2675" t="s">
        <v>521</v>
      </c>
      <c r="B2675" t="s">
        <v>4380</v>
      </c>
      <c r="C2675" t="s">
        <v>7473</v>
      </c>
      <c r="L2675" s="4" t="s">
        <v>6067</v>
      </c>
    </row>
    <row r="2676" spans="1:12" x14ac:dyDescent="0.3">
      <c r="A2676" t="s">
        <v>521</v>
      </c>
      <c r="B2676" t="s">
        <v>668</v>
      </c>
      <c r="C2676" t="s">
        <v>4380</v>
      </c>
      <c r="L2676" s="3" t="s">
        <v>6069</v>
      </c>
    </row>
    <row r="2677" spans="1:12" x14ac:dyDescent="0.3">
      <c r="A2677" t="s">
        <v>1417</v>
      </c>
      <c r="B2677" t="s">
        <v>7473</v>
      </c>
      <c r="C2677" t="s">
        <v>2701</v>
      </c>
      <c r="L2677" s="4" t="s">
        <v>6071</v>
      </c>
    </row>
    <row r="2678" spans="1:12" x14ac:dyDescent="0.3">
      <c r="A2678" t="s">
        <v>2701</v>
      </c>
      <c r="B2678" t="s">
        <v>8268</v>
      </c>
      <c r="C2678" t="s">
        <v>5043</v>
      </c>
      <c r="L2678" s="3" t="s">
        <v>6073</v>
      </c>
    </row>
    <row r="2679" spans="1:12" x14ac:dyDescent="0.3">
      <c r="A2679" t="s">
        <v>8268</v>
      </c>
      <c r="B2679" t="s">
        <v>7473</v>
      </c>
      <c r="C2679" t="s">
        <v>4380</v>
      </c>
      <c r="L2679" s="4" t="s">
        <v>6075</v>
      </c>
    </row>
    <row r="2680" spans="1:12" x14ac:dyDescent="0.3">
      <c r="A2680" t="s">
        <v>521</v>
      </c>
      <c r="B2680" t="s">
        <v>4380</v>
      </c>
      <c r="C2680" t="s">
        <v>7473</v>
      </c>
      <c r="L2680" s="3" t="s">
        <v>6077</v>
      </c>
    </row>
    <row r="2681" spans="1:12" x14ac:dyDescent="0.3">
      <c r="A2681" t="s">
        <v>1417</v>
      </c>
      <c r="B2681" t="s">
        <v>668</v>
      </c>
      <c r="C2681" t="s">
        <v>8269</v>
      </c>
      <c r="L2681" s="4" t="s">
        <v>6079</v>
      </c>
    </row>
    <row r="2682" spans="1:12" x14ac:dyDescent="0.3">
      <c r="A2682" t="s">
        <v>1417</v>
      </c>
      <c r="B2682" t="s">
        <v>7473</v>
      </c>
      <c r="C2682" t="s">
        <v>4380</v>
      </c>
      <c r="L2682" s="3" t="s">
        <v>6081</v>
      </c>
    </row>
    <row r="2683" spans="1:12" x14ac:dyDescent="0.3">
      <c r="A2683" t="s">
        <v>521</v>
      </c>
      <c r="B2683" t="s">
        <v>4380</v>
      </c>
      <c r="C2683" t="s">
        <v>7473</v>
      </c>
      <c r="L2683" s="4" t="s">
        <v>6083</v>
      </c>
    </row>
    <row r="2684" spans="1:12" x14ac:dyDescent="0.3">
      <c r="A2684" t="s">
        <v>8268</v>
      </c>
      <c r="B2684" t="s">
        <v>1417</v>
      </c>
      <c r="C2684" t="s">
        <v>497</v>
      </c>
      <c r="L2684" s="3" t="s">
        <v>6085</v>
      </c>
    </row>
    <row r="2685" spans="1:12" x14ac:dyDescent="0.3">
      <c r="A2685" t="s">
        <v>8268</v>
      </c>
      <c r="B2685" t="s">
        <v>362</v>
      </c>
      <c r="C2685" t="s">
        <v>4380</v>
      </c>
      <c r="L2685" s="4" t="s">
        <v>6087</v>
      </c>
    </row>
    <row r="2686" spans="1:12" x14ac:dyDescent="0.3">
      <c r="A2686" t="s">
        <v>668</v>
      </c>
      <c r="B2686" t="s">
        <v>668</v>
      </c>
      <c r="C2686" t="s">
        <v>8267</v>
      </c>
      <c r="L2686" s="3" t="s">
        <v>6089</v>
      </c>
    </row>
    <row r="2687" spans="1:12" x14ac:dyDescent="0.3">
      <c r="A2687" t="s">
        <v>362</v>
      </c>
      <c r="B2687" t="s">
        <v>1417</v>
      </c>
      <c r="C2687" t="s">
        <v>8266</v>
      </c>
      <c r="L2687" s="4" t="s">
        <v>6091</v>
      </c>
    </row>
    <row r="2688" spans="1:12" x14ac:dyDescent="0.3">
      <c r="A2688" t="s">
        <v>19</v>
      </c>
      <c r="B2688" t="s">
        <v>1417</v>
      </c>
      <c r="C2688" t="s">
        <v>1417</v>
      </c>
      <c r="L2688" s="3" t="s">
        <v>6093</v>
      </c>
    </row>
    <row r="2689" spans="1:12" x14ac:dyDescent="0.3">
      <c r="A2689" t="s">
        <v>521</v>
      </c>
      <c r="B2689" t="s">
        <v>8268</v>
      </c>
      <c r="C2689" t="s">
        <v>497</v>
      </c>
      <c r="L2689" s="4" t="s">
        <v>6095</v>
      </c>
    </row>
    <row r="2690" spans="1:12" x14ac:dyDescent="0.3">
      <c r="A2690" t="s">
        <v>8268</v>
      </c>
      <c r="B2690" t="s">
        <v>7473</v>
      </c>
      <c r="C2690" t="s">
        <v>8268</v>
      </c>
      <c r="L2690" s="3" t="s">
        <v>6098</v>
      </c>
    </row>
    <row r="2691" spans="1:12" x14ac:dyDescent="0.3">
      <c r="A2691" t="s">
        <v>1417</v>
      </c>
      <c r="B2691" t="s">
        <v>1417</v>
      </c>
      <c r="C2691" t="s">
        <v>7473</v>
      </c>
      <c r="L2691" s="4" t="s">
        <v>6101</v>
      </c>
    </row>
    <row r="2692" spans="1:12" x14ac:dyDescent="0.3">
      <c r="A2692" t="s">
        <v>1417</v>
      </c>
      <c r="B2692" t="s">
        <v>1417</v>
      </c>
      <c r="C2692" t="s">
        <v>8266</v>
      </c>
      <c r="L2692" s="3" t="s">
        <v>6103</v>
      </c>
    </row>
    <row r="2693" spans="1:12" x14ac:dyDescent="0.3">
      <c r="A2693" t="s">
        <v>8268</v>
      </c>
      <c r="B2693" t="s">
        <v>2701</v>
      </c>
      <c r="C2693" t="s">
        <v>8266</v>
      </c>
      <c r="L2693" s="4" t="s">
        <v>6105</v>
      </c>
    </row>
    <row r="2694" spans="1:12" x14ac:dyDescent="0.3">
      <c r="A2694" t="s">
        <v>8268</v>
      </c>
      <c r="B2694" t="s">
        <v>8266</v>
      </c>
      <c r="C2694" t="s">
        <v>7473</v>
      </c>
      <c r="L2694" s="3" t="s">
        <v>6107</v>
      </c>
    </row>
    <row r="2695" spans="1:12" x14ac:dyDescent="0.3">
      <c r="A2695" t="s">
        <v>668</v>
      </c>
      <c r="B2695" t="s">
        <v>1417</v>
      </c>
      <c r="C2695" t="s">
        <v>4380</v>
      </c>
      <c r="L2695" s="4" t="s">
        <v>6109</v>
      </c>
    </row>
    <row r="2696" spans="1:12" x14ac:dyDescent="0.3">
      <c r="A2696" t="s">
        <v>5524</v>
      </c>
      <c r="B2696" t="s">
        <v>1417</v>
      </c>
      <c r="C2696" t="s">
        <v>5043</v>
      </c>
      <c r="L2696" s="3" t="s">
        <v>6111</v>
      </c>
    </row>
    <row r="2697" spans="1:12" x14ac:dyDescent="0.3">
      <c r="A2697" t="s">
        <v>668</v>
      </c>
      <c r="B2697" t="s">
        <v>8269</v>
      </c>
      <c r="C2697" t="s">
        <v>7473</v>
      </c>
      <c r="L2697" s="4" t="s">
        <v>6113</v>
      </c>
    </row>
    <row r="2698" spans="1:12" x14ac:dyDescent="0.3">
      <c r="A2698" t="s">
        <v>362</v>
      </c>
      <c r="B2698" t="s">
        <v>1417</v>
      </c>
      <c r="C2698" t="s">
        <v>497</v>
      </c>
      <c r="L2698" s="3" t="s">
        <v>6115</v>
      </c>
    </row>
    <row r="2699" spans="1:12" x14ac:dyDescent="0.3">
      <c r="A2699" t="s">
        <v>521</v>
      </c>
      <c r="B2699" t="s">
        <v>7473</v>
      </c>
      <c r="C2699" t="s">
        <v>7473</v>
      </c>
      <c r="L2699" s="4" t="s">
        <v>6118</v>
      </c>
    </row>
    <row r="2700" spans="1:12" x14ac:dyDescent="0.3">
      <c r="A2700" t="s">
        <v>668</v>
      </c>
      <c r="B2700" t="s">
        <v>1417</v>
      </c>
      <c r="C2700" t="s">
        <v>8267</v>
      </c>
      <c r="L2700" s="3" t="s">
        <v>6120</v>
      </c>
    </row>
    <row r="2701" spans="1:12" x14ac:dyDescent="0.3">
      <c r="A2701" t="s">
        <v>1417</v>
      </c>
      <c r="B2701" t="s">
        <v>1417</v>
      </c>
      <c r="C2701" t="s">
        <v>4843</v>
      </c>
      <c r="L2701" s="4" t="s">
        <v>6122</v>
      </c>
    </row>
    <row r="2702" spans="1:12" x14ac:dyDescent="0.3">
      <c r="A2702" t="s">
        <v>1417</v>
      </c>
      <c r="B2702" t="s">
        <v>8268</v>
      </c>
      <c r="C2702" t="s">
        <v>7473</v>
      </c>
      <c r="L2702" s="3" t="s">
        <v>6124</v>
      </c>
    </row>
    <row r="2703" spans="1:12" x14ac:dyDescent="0.3">
      <c r="A2703" t="s">
        <v>7104</v>
      </c>
      <c r="B2703" t="s">
        <v>668</v>
      </c>
      <c r="C2703" t="s">
        <v>7473</v>
      </c>
      <c r="L2703" s="4" t="s">
        <v>6126</v>
      </c>
    </row>
    <row r="2704" spans="1:12" x14ac:dyDescent="0.3">
      <c r="A2704" t="s">
        <v>1417</v>
      </c>
      <c r="B2704" t="s">
        <v>4843</v>
      </c>
      <c r="C2704" t="s">
        <v>4380</v>
      </c>
      <c r="L2704" s="3" t="s">
        <v>6129</v>
      </c>
    </row>
    <row r="2705" spans="1:12" x14ac:dyDescent="0.3">
      <c r="A2705" t="s">
        <v>668</v>
      </c>
      <c r="B2705" t="s">
        <v>1417</v>
      </c>
      <c r="C2705" t="s">
        <v>8267</v>
      </c>
      <c r="L2705" s="4" t="s">
        <v>6131</v>
      </c>
    </row>
    <row r="2706" spans="1:12" x14ac:dyDescent="0.3">
      <c r="A2706" t="s">
        <v>1417</v>
      </c>
      <c r="B2706" t="s">
        <v>1417</v>
      </c>
      <c r="C2706" t="s">
        <v>5138</v>
      </c>
      <c r="L2706" s="3" t="s">
        <v>6133</v>
      </c>
    </row>
    <row r="2707" spans="1:12" x14ac:dyDescent="0.3">
      <c r="A2707" t="s">
        <v>8268</v>
      </c>
      <c r="B2707" t="s">
        <v>1417</v>
      </c>
      <c r="C2707" t="s">
        <v>668</v>
      </c>
      <c r="L2707" s="4" t="s">
        <v>6135</v>
      </c>
    </row>
    <row r="2708" spans="1:12" x14ac:dyDescent="0.3">
      <c r="A2708" t="s">
        <v>5524</v>
      </c>
      <c r="B2708" t="s">
        <v>668</v>
      </c>
      <c r="C2708" t="s">
        <v>7473</v>
      </c>
      <c r="L2708" s="3" t="s">
        <v>6137</v>
      </c>
    </row>
    <row r="2709" spans="1:12" x14ac:dyDescent="0.3">
      <c r="A2709" t="s">
        <v>668</v>
      </c>
      <c r="B2709" t="s">
        <v>362</v>
      </c>
      <c r="C2709" t="s">
        <v>5043</v>
      </c>
      <c r="L2709" s="4" t="s">
        <v>6139</v>
      </c>
    </row>
    <row r="2710" spans="1:12" x14ac:dyDescent="0.3">
      <c r="A2710" t="s">
        <v>668</v>
      </c>
      <c r="B2710" t="s">
        <v>7473</v>
      </c>
      <c r="C2710" t="s">
        <v>5138</v>
      </c>
      <c r="L2710" s="3" t="s">
        <v>6141</v>
      </c>
    </row>
    <row r="2711" spans="1:12" x14ac:dyDescent="0.3">
      <c r="A2711" t="s">
        <v>668</v>
      </c>
      <c r="B2711" t="s">
        <v>1417</v>
      </c>
      <c r="C2711" t="s">
        <v>7473</v>
      </c>
      <c r="L2711" s="4" t="s">
        <v>6143</v>
      </c>
    </row>
    <row r="2712" spans="1:12" x14ac:dyDescent="0.3">
      <c r="A2712" t="s">
        <v>497</v>
      </c>
      <c r="B2712" t="s">
        <v>362</v>
      </c>
      <c r="C2712" t="s">
        <v>2701</v>
      </c>
      <c r="L2712" s="3" t="s">
        <v>6145</v>
      </c>
    </row>
    <row r="2713" spans="1:12" x14ac:dyDescent="0.3">
      <c r="A2713" t="s">
        <v>362</v>
      </c>
      <c r="B2713" t="s">
        <v>4380</v>
      </c>
      <c r="C2713" t="s">
        <v>7473</v>
      </c>
      <c r="L2713" s="4" t="s">
        <v>6147</v>
      </c>
    </row>
    <row r="2714" spans="1:12" x14ac:dyDescent="0.3">
      <c r="A2714" t="s">
        <v>668</v>
      </c>
      <c r="B2714" t="s">
        <v>1417</v>
      </c>
      <c r="C2714" t="s">
        <v>1417</v>
      </c>
      <c r="L2714" s="3" t="s">
        <v>6149</v>
      </c>
    </row>
    <row r="2715" spans="1:12" x14ac:dyDescent="0.3">
      <c r="A2715" t="s">
        <v>668</v>
      </c>
      <c r="B2715" t="s">
        <v>362</v>
      </c>
      <c r="C2715" t="s">
        <v>7473</v>
      </c>
      <c r="L2715" s="4" t="s">
        <v>6151</v>
      </c>
    </row>
    <row r="2716" spans="1:12" x14ac:dyDescent="0.3">
      <c r="A2716" t="s">
        <v>668</v>
      </c>
      <c r="B2716" t="s">
        <v>1417</v>
      </c>
      <c r="C2716" t="s">
        <v>6902</v>
      </c>
      <c r="L2716" s="3" t="s">
        <v>6153</v>
      </c>
    </row>
    <row r="2717" spans="1:12" x14ac:dyDescent="0.3">
      <c r="A2717" t="s">
        <v>668</v>
      </c>
      <c r="B2717" t="s">
        <v>4843</v>
      </c>
      <c r="C2717" t="s">
        <v>8269</v>
      </c>
      <c r="L2717" s="4" t="s">
        <v>6155</v>
      </c>
    </row>
    <row r="2718" spans="1:12" x14ac:dyDescent="0.3">
      <c r="A2718" t="s">
        <v>1417</v>
      </c>
      <c r="B2718" t="s">
        <v>4380</v>
      </c>
      <c r="C2718" t="s">
        <v>7104</v>
      </c>
      <c r="L2718" s="3" t="s">
        <v>6157</v>
      </c>
    </row>
    <row r="2719" spans="1:12" x14ac:dyDescent="0.3">
      <c r="A2719" t="s">
        <v>668</v>
      </c>
      <c r="B2719" t="s">
        <v>668</v>
      </c>
      <c r="C2719" t="s">
        <v>7473</v>
      </c>
      <c r="L2719" s="4" t="s">
        <v>6159</v>
      </c>
    </row>
    <row r="2720" spans="1:12" x14ac:dyDescent="0.3">
      <c r="A2720" t="s">
        <v>1417</v>
      </c>
      <c r="B2720" t="s">
        <v>5138</v>
      </c>
      <c r="C2720" t="s">
        <v>5138</v>
      </c>
      <c r="L2720" s="3" t="s">
        <v>6161</v>
      </c>
    </row>
    <row r="2721" spans="1:12" x14ac:dyDescent="0.3">
      <c r="A2721" t="s">
        <v>362</v>
      </c>
      <c r="B2721" t="s">
        <v>6902</v>
      </c>
      <c r="C2721" t="s">
        <v>1417</v>
      </c>
      <c r="L2721" s="4" t="s">
        <v>6163</v>
      </c>
    </row>
    <row r="2722" spans="1:12" x14ac:dyDescent="0.3">
      <c r="A2722" t="s">
        <v>1417</v>
      </c>
      <c r="B2722" t="s">
        <v>668</v>
      </c>
      <c r="C2722" t="s">
        <v>7104</v>
      </c>
      <c r="L2722" s="3" t="s">
        <v>6165</v>
      </c>
    </row>
    <row r="2723" spans="1:12" x14ac:dyDescent="0.3">
      <c r="A2723" t="s">
        <v>668</v>
      </c>
      <c r="B2723" t="s">
        <v>1417</v>
      </c>
      <c r="C2723" t="s">
        <v>8266</v>
      </c>
      <c r="L2723" s="4" t="s">
        <v>6167</v>
      </c>
    </row>
    <row r="2724" spans="1:12" x14ac:dyDescent="0.3">
      <c r="A2724" t="s">
        <v>668</v>
      </c>
      <c r="B2724" t="s">
        <v>8268</v>
      </c>
      <c r="C2724" t="s">
        <v>5138</v>
      </c>
      <c r="L2724" s="3" t="s">
        <v>6169</v>
      </c>
    </row>
    <row r="2725" spans="1:12" x14ac:dyDescent="0.3">
      <c r="A2725" t="s">
        <v>1417</v>
      </c>
      <c r="B2725" t="s">
        <v>1417</v>
      </c>
      <c r="C2725" t="s">
        <v>7104</v>
      </c>
      <c r="L2725" s="4" t="s">
        <v>6172</v>
      </c>
    </row>
    <row r="2726" spans="1:12" x14ac:dyDescent="0.3">
      <c r="A2726" t="s">
        <v>1417</v>
      </c>
      <c r="B2726" t="s">
        <v>4380</v>
      </c>
      <c r="C2726" t="s">
        <v>6902</v>
      </c>
      <c r="L2726" s="3" t="s">
        <v>6174</v>
      </c>
    </row>
    <row r="2727" spans="1:12" x14ac:dyDescent="0.3">
      <c r="A2727" t="s">
        <v>668</v>
      </c>
      <c r="B2727" t="s">
        <v>5138</v>
      </c>
      <c r="C2727" t="s">
        <v>668</v>
      </c>
      <c r="L2727" s="4" t="s">
        <v>6176</v>
      </c>
    </row>
    <row r="2728" spans="1:12" x14ac:dyDescent="0.3">
      <c r="A2728" t="s">
        <v>1417</v>
      </c>
      <c r="B2728" t="s">
        <v>8266</v>
      </c>
      <c r="C2728" t="s">
        <v>497</v>
      </c>
      <c r="L2728" s="3" t="s">
        <v>6178</v>
      </c>
    </row>
    <row r="2729" spans="1:12" x14ac:dyDescent="0.3">
      <c r="A2729" t="s">
        <v>1417</v>
      </c>
      <c r="B2729" t="s">
        <v>497</v>
      </c>
      <c r="C2729" t="s">
        <v>1417</v>
      </c>
      <c r="L2729" s="4" t="s">
        <v>6180</v>
      </c>
    </row>
    <row r="2730" spans="1:12" x14ac:dyDescent="0.3">
      <c r="A2730" t="s">
        <v>8268</v>
      </c>
      <c r="B2730" t="s">
        <v>1417</v>
      </c>
      <c r="C2730" t="s">
        <v>4380</v>
      </c>
      <c r="L2730" s="3" t="s">
        <v>6182</v>
      </c>
    </row>
    <row r="2731" spans="1:12" x14ac:dyDescent="0.3">
      <c r="A2731" t="s">
        <v>362</v>
      </c>
      <c r="B2731" t="s">
        <v>362</v>
      </c>
      <c r="C2731" t="s">
        <v>7473</v>
      </c>
      <c r="L2731" s="4" t="s">
        <v>6184</v>
      </c>
    </row>
    <row r="2732" spans="1:12" x14ac:dyDescent="0.3">
      <c r="A2732" t="s">
        <v>668</v>
      </c>
      <c r="B2732" t="s">
        <v>1417</v>
      </c>
      <c r="C2732" t="s">
        <v>7473</v>
      </c>
      <c r="L2732" s="3" t="s">
        <v>6186</v>
      </c>
    </row>
    <row r="2733" spans="1:12" x14ac:dyDescent="0.3">
      <c r="A2733" t="s">
        <v>8268</v>
      </c>
      <c r="B2733" t="s">
        <v>5043</v>
      </c>
      <c r="C2733" t="s">
        <v>2701</v>
      </c>
      <c r="L2733" s="4" t="s">
        <v>6188</v>
      </c>
    </row>
    <row r="2734" spans="1:12" x14ac:dyDescent="0.3">
      <c r="A2734" t="s">
        <v>1417</v>
      </c>
      <c r="B2734" t="s">
        <v>7473</v>
      </c>
      <c r="C2734" t="s">
        <v>8269</v>
      </c>
      <c r="L2734" s="3" t="s">
        <v>6190</v>
      </c>
    </row>
    <row r="2735" spans="1:12" x14ac:dyDescent="0.3">
      <c r="A2735" t="s">
        <v>1417</v>
      </c>
      <c r="B2735" t="s">
        <v>1417</v>
      </c>
      <c r="C2735" t="s">
        <v>1417</v>
      </c>
      <c r="L2735" s="4" t="s">
        <v>6192</v>
      </c>
    </row>
    <row r="2736" spans="1:12" x14ac:dyDescent="0.3">
      <c r="A2736" t="s">
        <v>1417</v>
      </c>
      <c r="B2736" t="s">
        <v>7473</v>
      </c>
      <c r="C2736" t="s">
        <v>8266</v>
      </c>
      <c r="L2736" s="3" t="s">
        <v>6194</v>
      </c>
    </row>
    <row r="2737" spans="1:12" x14ac:dyDescent="0.3">
      <c r="A2737" t="s">
        <v>521</v>
      </c>
      <c r="B2737" t="s">
        <v>5138</v>
      </c>
      <c r="C2737" t="s">
        <v>4380</v>
      </c>
      <c r="L2737" s="4" t="s">
        <v>6197</v>
      </c>
    </row>
    <row r="2738" spans="1:12" x14ac:dyDescent="0.3">
      <c r="A2738" t="s">
        <v>8268</v>
      </c>
      <c r="B2738" t="s">
        <v>8266</v>
      </c>
      <c r="C2738" t="s">
        <v>6171</v>
      </c>
      <c r="L2738" s="3" t="s">
        <v>6200</v>
      </c>
    </row>
    <row r="2739" spans="1:12" x14ac:dyDescent="0.3">
      <c r="A2739" t="s">
        <v>521</v>
      </c>
      <c r="B2739" t="s">
        <v>362</v>
      </c>
      <c r="C2739" t="s">
        <v>4380</v>
      </c>
      <c r="L2739" s="4" t="s">
        <v>6202</v>
      </c>
    </row>
    <row r="2740" spans="1:12" x14ac:dyDescent="0.3">
      <c r="A2740" t="s">
        <v>668</v>
      </c>
      <c r="B2740" t="s">
        <v>1417</v>
      </c>
      <c r="C2740" t="s">
        <v>2701</v>
      </c>
      <c r="L2740" s="3" t="s">
        <v>6204</v>
      </c>
    </row>
    <row r="2741" spans="1:12" x14ac:dyDescent="0.3">
      <c r="A2741" t="s">
        <v>1417</v>
      </c>
      <c r="B2741" t="s">
        <v>1417</v>
      </c>
      <c r="C2741" t="s">
        <v>8266</v>
      </c>
      <c r="L2741" s="4" t="s">
        <v>6206</v>
      </c>
    </row>
    <row r="2742" spans="1:12" x14ac:dyDescent="0.3">
      <c r="A2742" t="s">
        <v>521</v>
      </c>
      <c r="B2742" t="s">
        <v>4380</v>
      </c>
      <c r="C2742" t="s">
        <v>5138</v>
      </c>
      <c r="L2742" s="3" t="s">
        <v>6208</v>
      </c>
    </row>
    <row r="2743" spans="1:12" x14ac:dyDescent="0.3">
      <c r="A2743" t="s">
        <v>521</v>
      </c>
      <c r="B2743" t="s">
        <v>7104</v>
      </c>
      <c r="C2743" t="s">
        <v>7473</v>
      </c>
      <c r="L2743" s="4" t="s">
        <v>6210</v>
      </c>
    </row>
    <row r="2744" spans="1:12" x14ac:dyDescent="0.3">
      <c r="A2744" t="s">
        <v>521</v>
      </c>
      <c r="B2744" t="s">
        <v>8266</v>
      </c>
      <c r="C2744" t="s">
        <v>1417</v>
      </c>
      <c r="L2744" s="3" t="s">
        <v>6212</v>
      </c>
    </row>
    <row r="2745" spans="1:12" x14ac:dyDescent="0.3">
      <c r="A2745" t="s">
        <v>497</v>
      </c>
      <c r="B2745" t="s">
        <v>668</v>
      </c>
      <c r="C2745" t="s">
        <v>8266</v>
      </c>
      <c r="L2745" s="4" t="s">
        <v>6215</v>
      </c>
    </row>
    <row r="2746" spans="1:12" x14ac:dyDescent="0.3">
      <c r="A2746" t="s">
        <v>5524</v>
      </c>
      <c r="B2746" t="s">
        <v>497</v>
      </c>
      <c r="C2746" t="s">
        <v>7473</v>
      </c>
      <c r="L2746" s="3" t="s">
        <v>6217</v>
      </c>
    </row>
    <row r="2747" spans="1:12" x14ac:dyDescent="0.3">
      <c r="A2747" t="s">
        <v>8268</v>
      </c>
      <c r="B2747" t="s">
        <v>8268</v>
      </c>
      <c r="C2747" t="s">
        <v>1417</v>
      </c>
      <c r="L2747" s="4" t="s">
        <v>6219</v>
      </c>
    </row>
    <row r="2748" spans="1:12" x14ac:dyDescent="0.3">
      <c r="A2748" t="s">
        <v>521</v>
      </c>
      <c r="B2748" t="s">
        <v>1417</v>
      </c>
      <c r="C2748" t="s">
        <v>1417</v>
      </c>
      <c r="L2748" s="3" t="s">
        <v>6221</v>
      </c>
    </row>
    <row r="2749" spans="1:12" x14ac:dyDescent="0.3">
      <c r="A2749" t="s">
        <v>668</v>
      </c>
      <c r="B2749" t="s">
        <v>8268</v>
      </c>
      <c r="C2749" t="s">
        <v>1417</v>
      </c>
      <c r="L2749" s="4" t="s">
        <v>6224</v>
      </c>
    </row>
    <row r="2750" spans="1:12" x14ac:dyDescent="0.3">
      <c r="A2750" t="s">
        <v>5524</v>
      </c>
      <c r="B2750" t="s">
        <v>1417</v>
      </c>
      <c r="C2750" t="s">
        <v>7473</v>
      </c>
      <c r="L2750" s="3" t="s">
        <v>6226</v>
      </c>
    </row>
    <row r="2751" spans="1:12" x14ac:dyDescent="0.3">
      <c r="A2751" t="s">
        <v>362</v>
      </c>
      <c r="B2751" t="s">
        <v>7473</v>
      </c>
      <c r="C2751" t="s">
        <v>7473</v>
      </c>
      <c r="L2751" s="4" t="s">
        <v>6229</v>
      </c>
    </row>
    <row r="2752" spans="1:12" x14ac:dyDescent="0.3">
      <c r="A2752" t="s">
        <v>521</v>
      </c>
      <c r="B2752" t="s">
        <v>7473</v>
      </c>
      <c r="C2752" t="s">
        <v>1417</v>
      </c>
      <c r="L2752" s="3" t="s">
        <v>6231</v>
      </c>
    </row>
    <row r="2753" spans="1:12" x14ac:dyDescent="0.3">
      <c r="A2753" t="s">
        <v>521</v>
      </c>
      <c r="B2753" t="s">
        <v>1417</v>
      </c>
      <c r="C2753" t="s">
        <v>1417</v>
      </c>
      <c r="L2753" s="4" t="s">
        <v>6233</v>
      </c>
    </row>
    <row r="2754" spans="1:12" x14ac:dyDescent="0.3">
      <c r="A2754" t="s">
        <v>5524</v>
      </c>
      <c r="B2754" t="s">
        <v>1417</v>
      </c>
      <c r="C2754" t="s">
        <v>4380</v>
      </c>
      <c r="L2754" s="3" t="s">
        <v>6235</v>
      </c>
    </row>
    <row r="2755" spans="1:12" x14ac:dyDescent="0.3">
      <c r="A2755" t="s">
        <v>521</v>
      </c>
      <c r="B2755" t="s">
        <v>1417</v>
      </c>
      <c r="C2755" t="s">
        <v>4380</v>
      </c>
      <c r="L2755" s="4" t="s">
        <v>6238</v>
      </c>
    </row>
    <row r="2756" spans="1:12" x14ac:dyDescent="0.3">
      <c r="A2756" t="s">
        <v>5524</v>
      </c>
      <c r="B2756" t="s">
        <v>8046</v>
      </c>
      <c r="C2756" t="s">
        <v>7473</v>
      </c>
      <c r="L2756" s="3" t="s">
        <v>6240</v>
      </c>
    </row>
    <row r="2757" spans="1:12" x14ac:dyDescent="0.3">
      <c r="A2757" t="s">
        <v>668</v>
      </c>
      <c r="B2757" t="s">
        <v>497</v>
      </c>
      <c r="C2757" t="s">
        <v>19</v>
      </c>
      <c r="L2757" s="4" t="s">
        <v>6242</v>
      </c>
    </row>
    <row r="2758" spans="1:12" x14ac:dyDescent="0.3">
      <c r="A2758" t="s">
        <v>668</v>
      </c>
      <c r="B2758" t="s">
        <v>362</v>
      </c>
      <c r="C2758" t="s">
        <v>7473</v>
      </c>
      <c r="L2758" s="3" t="s">
        <v>6244</v>
      </c>
    </row>
    <row r="2759" spans="1:12" x14ac:dyDescent="0.3">
      <c r="A2759" t="s">
        <v>1417</v>
      </c>
      <c r="B2759" t="s">
        <v>4380</v>
      </c>
      <c r="C2759" t="s">
        <v>8046</v>
      </c>
      <c r="L2759" s="4" t="s">
        <v>6246</v>
      </c>
    </row>
    <row r="2760" spans="1:12" x14ac:dyDescent="0.3">
      <c r="A2760" t="s">
        <v>1417</v>
      </c>
      <c r="B2760" t="s">
        <v>4380</v>
      </c>
      <c r="C2760" t="s">
        <v>7473</v>
      </c>
      <c r="L2760" s="3" t="s">
        <v>6248</v>
      </c>
    </row>
    <row r="2761" spans="1:12" x14ac:dyDescent="0.3">
      <c r="A2761" t="s">
        <v>1417</v>
      </c>
      <c r="B2761" t="s">
        <v>1417</v>
      </c>
      <c r="C2761" t="s">
        <v>4380</v>
      </c>
      <c r="L2761" s="4" t="s">
        <v>6250</v>
      </c>
    </row>
    <row r="2762" spans="1:12" x14ac:dyDescent="0.3">
      <c r="A2762" t="s">
        <v>1417</v>
      </c>
      <c r="B2762" t="s">
        <v>8268</v>
      </c>
      <c r="C2762" t="s">
        <v>2701</v>
      </c>
      <c r="L2762" s="3" t="s">
        <v>6252</v>
      </c>
    </row>
    <row r="2763" spans="1:12" x14ac:dyDescent="0.3">
      <c r="A2763" t="s">
        <v>1417</v>
      </c>
      <c r="B2763" t="s">
        <v>8268</v>
      </c>
      <c r="C2763" t="s">
        <v>668</v>
      </c>
      <c r="L2763" s="4" t="s">
        <v>6254</v>
      </c>
    </row>
    <row r="2764" spans="1:12" x14ac:dyDescent="0.3">
      <c r="A2764" t="s">
        <v>1417</v>
      </c>
      <c r="B2764" t="s">
        <v>1417</v>
      </c>
      <c r="C2764" t="s">
        <v>7473</v>
      </c>
      <c r="L2764" s="3" t="s">
        <v>6256</v>
      </c>
    </row>
    <row r="2765" spans="1:12" x14ac:dyDescent="0.3">
      <c r="A2765" t="s">
        <v>1417</v>
      </c>
      <c r="B2765" t="s">
        <v>1417</v>
      </c>
      <c r="C2765" t="s">
        <v>1417</v>
      </c>
      <c r="L2765" s="4" t="s">
        <v>6258</v>
      </c>
    </row>
    <row r="2766" spans="1:12" x14ac:dyDescent="0.3">
      <c r="A2766" t="s">
        <v>668</v>
      </c>
      <c r="B2766" t="s">
        <v>6902</v>
      </c>
      <c r="C2766" t="s">
        <v>7473</v>
      </c>
      <c r="L2766" s="3" t="s">
        <v>6260</v>
      </c>
    </row>
    <row r="2767" spans="1:12" x14ac:dyDescent="0.3">
      <c r="A2767" t="s">
        <v>668</v>
      </c>
      <c r="B2767" t="s">
        <v>1417</v>
      </c>
      <c r="C2767" t="s">
        <v>5138</v>
      </c>
      <c r="L2767" s="4" t="s">
        <v>6262</v>
      </c>
    </row>
    <row r="2768" spans="1:12" x14ac:dyDescent="0.3">
      <c r="A2768" t="s">
        <v>521</v>
      </c>
      <c r="B2768" t="s">
        <v>4380</v>
      </c>
      <c r="C2768" t="s">
        <v>7104</v>
      </c>
      <c r="L2768" s="3" t="s">
        <v>6264</v>
      </c>
    </row>
    <row r="2769" spans="1:12" x14ac:dyDescent="0.3">
      <c r="A2769" t="s">
        <v>521</v>
      </c>
      <c r="B2769" t="s">
        <v>7473</v>
      </c>
      <c r="C2769" t="s">
        <v>497</v>
      </c>
      <c r="L2769" s="4" t="s">
        <v>6266</v>
      </c>
    </row>
    <row r="2770" spans="1:12" x14ac:dyDescent="0.3">
      <c r="A2770" t="s">
        <v>5524</v>
      </c>
      <c r="B2770" t="s">
        <v>1417</v>
      </c>
      <c r="C2770" t="s">
        <v>6902</v>
      </c>
      <c r="L2770" s="3" t="s">
        <v>6268</v>
      </c>
    </row>
    <row r="2771" spans="1:12" x14ac:dyDescent="0.3">
      <c r="A2771" t="s">
        <v>362</v>
      </c>
      <c r="B2771" t="s">
        <v>8268</v>
      </c>
      <c r="C2771" t="s">
        <v>5138</v>
      </c>
      <c r="L2771" s="4" t="s">
        <v>6270</v>
      </c>
    </row>
    <row r="2772" spans="1:12" x14ac:dyDescent="0.3">
      <c r="A2772" t="s">
        <v>2701</v>
      </c>
      <c r="B2772" t="s">
        <v>2701</v>
      </c>
      <c r="C2772" t="s">
        <v>8266</v>
      </c>
      <c r="L2772" s="3" t="s">
        <v>6272</v>
      </c>
    </row>
    <row r="2773" spans="1:12" x14ac:dyDescent="0.3">
      <c r="A2773" t="s">
        <v>2701</v>
      </c>
      <c r="B2773" t="s">
        <v>1417</v>
      </c>
      <c r="C2773" t="s">
        <v>497</v>
      </c>
      <c r="L2773" s="4" t="s">
        <v>6274</v>
      </c>
    </row>
    <row r="2774" spans="1:12" x14ac:dyDescent="0.3">
      <c r="A2774" t="s">
        <v>521</v>
      </c>
      <c r="B2774" t="s">
        <v>1417</v>
      </c>
      <c r="C2774" t="s">
        <v>1417</v>
      </c>
      <c r="L2774" s="3" t="s">
        <v>6276</v>
      </c>
    </row>
    <row r="2775" spans="1:12" x14ac:dyDescent="0.3">
      <c r="A2775" t="s">
        <v>1417</v>
      </c>
      <c r="B2775" t="s">
        <v>4380</v>
      </c>
      <c r="C2775" t="s">
        <v>4380</v>
      </c>
      <c r="L2775" s="4" t="s">
        <v>6278</v>
      </c>
    </row>
    <row r="2776" spans="1:12" x14ac:dyDescent="0.3">
      <c r="A2776" t="s">
        <v>521</v>
      </c>
      <c r="B2776" t="s">
        <v>7473</v>
      </c>
      <c r="C2776" t="s">
        <v>2701</v>
      </c>
      <c r="L2776" s="3" t="s">
        <v>6280</v>
      </c>
    </row>
    <row r="2777" spans="1:12" x14ac:dyDescent="0.3">
      <c r="A2777" t="s">
        <v>19</v>
      </c>
      <c r="B2777" t="s">
        <v>1417</v>
      </c>
      <c r="C2777" t="s">
        <v>1417</v>
      </c>
      <c r="L2777" s="4" t="s">
        <v>6282</v>
      </c>
    </row>
    <row r="2778" spans="1:12" x14ac:dyDescent="0.3">
      <c r="A2778" t="s">
        <v>2701</v>
      </c>
      <c r="B2778" t="s">
        <v>1417</v>
      </c>
      <c r="C2778" t="s">
        <v>8271</v>
      </c>
      <c r="L2778" s="3" t="s">
        <v>6284</v>
      </c>
    </row>
    <row r="2779" spans="1:12" x14ac:dyDescent="0.3">
      <c r="A2779" t="s">
        <v>1417</v>
      </c>
      <c r="B2779" t="s">
        <v>8266</v>
      </c>
      <c r="C2779" t="s">
        <v>1417</v>
      </c>
      <c r="L2779" s="4" t="s">
        <v>6286</v>
      </c>
    </row>
    <row r="2780" spans="1:12" x14ac:dyDescent="0.3">
      <c r="A2780" t="s">
        <v>668</v>
      </c>
      <c r="B2780" t="s">
        <v>1417</v>
      </c>
      <c r="C2780" t="s">
        <v>6902</v>
      </c>
      <c r="L2780" s="3" t="s">
        <v>6288</v>
      </c>
    </row>
    <row r="2781" spans="1:12" x14ac:dyDescent="0.3">
      <c r="A2781" t="s">
        <v>362</v>
      </c>
      <c r="B2781" t="s">
        <v>8268</v>
      </c>
      <c r="C2781" t="s">
        <v>8046</v>
      </c>
      <c r="L2781" s="4" t="s">
        <v>6290</v>
      </c>
    </row>
    <row r="2782" spans="1:12" x14ac:dyDescent="0.3">
      <c r="A2782" t="s">
        <v>668</v>
      </c>
      <c r="B2782" t="s">
        <v>1417</v>
      </c>
      <c r="C2782" t="s">
        <v>8266</v>
      </c>
      <c r="L2782" s="3" t="s">
        <v>6292</v>
      </c>
    </row>
    <row r="2783" spans="1:12" x14ac:dyDescent="0.3">
      <c r="A2783" t="s">
        <v>5524</v>
      </c>
      <c r="B2783" t="s">
        <v>8266</v>
      </c>
      <c r="C2783" t="s">
        <v>4380</v>
      </c>
      <c r="L2783" s="4" t="s">
        <v>6294</v>
      </c>
    </row>
    <row r="2784" spans="1:12" x14ac:dyDescent="0.3">
      <c r="A2784" t="s">
        <v>362</v>
      </c>
      <c r="B2784" t="s">
        <v>1417</v>
      </c>
      <c r="C2784" t="s">
        <v>7473</v>
      </c>
      <c r="L2784" s="3" t="s">
        <v>6296</v>
      </c>
    </row>
    <row r="2785" spans="1:12" x14ac:dyDescent="0.3">
      <c r="A2785" t="s">
        <v>1417</v>
      </c>
      <c r="B2785" t="s">
        <v>1417</v>
      </c>
      <c r="C2785" t="s">
        <v>8046</v>
      </c>
      <c r="L2785" s="4" t="s">
        <v>6298</v>
      </c>
    </row>
    <row r="2786" spans="1:12" x14ac:dyDescent="0.3">
      <c r="A2786" t="s">
        <v>521</v>
      </c>
      <c r="B2786" t="s">
        <v>7473</v>
      </c>
      <c r="C2786" t="s">
        <v>2701</v>
      </c>
      <c r="L2786" s="3" t="s">
        <v>6300</v>
      </c>
    </row>
    <row r="2787" spans="1:12" x14ac:dyDescent="0.3">
      <c r="A2787" t="s">
        <v>668</v>
      </c>
      <c r="B2787" t="s">
        <v>1417</v>
      </c>
      <c r="C2787" t="s">
        <v>19</v>
      </c>
      <c r="L2787" s="4" t="s">
        <v>6303</v>
      </c>
    </row>
    <row r="2788" spans="1:12" x14ac:dyDescent="0.3">
      <c r="A2788" t="s">
        <v>2701</v>
      </c>
      <c r="B2788" t="s">
        <v>7473</v>
      </c>
      <c r="C2788" t="s">
        <v>4380</v>
      </c>
      <c r="L2788" s="3" t="s">
        <v>6305</v>
      </c>
    </row>
    <row r="2789" spans="1:12" x14ac:dyDescent="0.3">
      <c r="A2789" t="s">
        <v>2701</v>
      </c>
      <c r="B2789" t="s">
        <v>8046</v>
      </c>
      <c r="C2789" t="s">
        <v>5043</v>
      </c>
      <c r="L2789" s="4" t="s">
        <v>6307</v>
      </c>
    </row>
    <row r="2790" spans="1:12" x14ac:dyDescent="0.3">
      <c r="A2790" t="s">
        <v>668</v>
      </c>
      <c r="B2790" t="s">
        <v>4843</v>
      </c>
      <c r="C2790" t="s">
        <v>8271</v>
      </c>
      <c r="L2790" s="3" t="s">
        <v>6309</v>
      </c>
    </row>
    <row r="2791" spans="1:12" x14ac:dyDescent="0.3">
      <c r="A2791" t="s">
        <v>362</v>
      </c>
      <c r="B2791" t="s">
        <v>362</v>
      </c>
      <c r="C2791" t="s">
        <v>4380</v>
      </c>
      <c r="L2791" s="4" t="s">
        <v>6311</v>
      </c>
    </row>
    <row r="2792" spans="1:12" x14ac:dyDescent="0.3">
      <c r="A2792" t="s">
        <v>668</v>
      </c>
      <c r="B2792" t="s">
        <v>362</v>
      </c>
      <c r="C2792" t="s">
        <v>7473</v>
      </c>
      <c r="L2792" s="3" t="s">
        <v>6313</v>
      </c>
    </row>
    <row r="2793" spans="1:12" x14ac:dyDescent="0.3">
      <c r="A2793" t="s">
        <v>668</v>
      </c>
      <c r="B2793" t="s">
        <v>1417</v>
      </c>
      <c r="C2793" t="s">
        <v>7473</v>
      </c>
      <c r="L2793" s="4" t="s">
        <v>6315</v>
      </c>
    </row>
    <row r="2794" spans="1:12" x14ac:dyDescent="0.3">
      <c r="A2794" t="s">
        <v>668</v>
      </c>
      <c r="B2794" t="s">
        <v>8266</v>
      </c>
      <c r="C2794" t="s">
        <v>8269</v>
      </c>
      <c r="L2794" s="3" t="s">
        <v>6317</v>
      </c>
    </row>
    <row r="2795" spans="1:12" x14ac:dyDescent="0.3">
      <c r="A2795" t="s">
        <v>497</v>
      </c>
      <c r="B2795" t="s">
        <v>1417</v>
      </c>
      <c r="C2795" t="s">
        <v>4380</v>
      </c>
      <c r="L2795" s="4" t="s">
        <v>6319</v>
      </c>
    </row>
    <row r="2796" spans="1:12" x14ac:dyDescent="0.3">
      <c r="A2796" t="s">
        <v>1417</v>
      </c>
      <c r="B2796" t="s">
        <v>8268</v>
      </c>
      <c r="C2796" t="s">
        <v>7473</v>
      </c>
      <c r="L2796" s="3" t="s">
        <v>6321</v>
      </c>
    </row>
    <row r="2797" spans="1:12" x14ac:dyDescent="0.3">
      <c r="A2797" t="s">
        <v>668</v>
      </c>
      <c r="B2797" t="s">
        <v>6902</v>
      </c>
      <c r="C2797" t="s">
        <v>7473</v>
      </c>
      <c r="L2797" s="4" t="s">
        <v>6323</v>
      </c>
    </row>
    <row r="2798" spans="1:12" x14ac:dyDescent="0.3">
      <c r="A2798" t="s">
        <v>668</v>
      </c>
      <c r="B2798" t="s">
        <v>2701</v>
      </c>
      <c r="C2798" t="s">
        <v>4380</v>
      </c>
      <c r="L2798" s="3" t="s">
        <v>6325</v>
      </c>
    </row>
    <row r="2799" spans="1:12" x14ac:dyDescent="0.3">
      <c r="A2799" t="s">
        <v>521</v>
      </c>
      <c r="B2799" t="s">
        <v>4380</v>
      </c>
      <c r="C2799" t="s">
        <v>7473</v>
      </c>
      <c r="L2799" s="4" t="s">
        <v>6327</v>
      </c>
    </row>
    <row r="2800" spans="1:12" x14ac:dyDescent="0.3">
      <c r="A2800" t="s">
        <v>362</v>
      </c>
      <c r="B2800" t="s">
        <v>497</v>
      </c>
      <c r="C2800" t="s">
        <v>4380</v>
      </c>
      <c r="L2800" s="3" t="s">
        <v>6329</v>
      </c>
    </row>
    <row r="2801" spans="1:12" x14ac:dyDescent="0.3">
      <c r="A2801" t="s">
        <v>1417</v>
      </c>
      <c r="B2801" t="s">
        <v>362</v>
      </c>
      <c r="C2801" t="s">
        <v>7473</v>
      </c>
      <c r="L2801" s="4" t="s">
        <v>6331</v>
      </c>
    </row>
    <row r="2802" spans="1:12" x14ac:dyDescent="0.3">
      <c r="A2802" t="s">
        <v>668</v>
      </c>
      <c r="B2802" t="s">
        <v>7473</v>
      </c>
      <c r="C2802" t="s">
        <v>1417</v>
      </c>
      <c r="L2802" s="3" t="s">
        <v>6333</v>
      </c>
    </row>
    <row r="2803" spans="1:12" x14ac:dyDescent="0.3">
      <c r="A2803" t="s">
        <v>362</v>
      </c>
      <c r="B2803" t="s">
        <v>8268</v>
      </c>
      <c r="C2803" t="s">
        <v>7473</v>
      </c>
      <c r="L2803" s="4" t="s">
        <v>6335</v>
      </c>
    </row>
    <row r="2804" spans="1:12" x14ac:dyDescent="0.3">
      <c r="A2804" t="s">
        <v>5524</v>
      </c>
      <c r="B2804" t="s">
        <v>1417</v>
      </c>
      <c r="C2804" t="s">
        <v>7473</v>
      </c>
      <c r="L2804" s="3" t="s">
        <v>6337</v>
      </c>
    </row>
    <row r="2805" spans="1:12" x14ac:dyDescent="0.3">
      <c r="A2805" t="s">
        <v>1417</v>
      </c>
      <c r="B2805" t="s">
        <v>1417</v>
      </c>
      <c r="C2805" t="s">
        <v>7473</v>
      </c>
      <c r="L2805" s="4" t="s">
        <v>6339</v>
      </c>
    </row>
    <row r="2806" spans="1:12" x14ac:dyDescent="0.3">
      <c r="A2806" t="s">
        <v>1417</v>
      </c>
      <c r="B2806" t="s">
        <v>668</v>
      </c>
      <c r="C2806" t="s">
        <v>1417</v>
      </c>
      <c r="L2806" s="3" t="s">
        <v>6341</v>
      </c>
    </row>
    <row r="2807" spans="1:12" x14ac:dyDescent="0.3">
      <c r="A2807" t="s">
        <v>1417</v>
      </c>
      <c r="B2807" t="s">
        <v>8268</v>
      </c>
      <c r="C2807" t="s">
        <v>8266</v>
      </c>
      <c r="L2807" s="4" t="s">
        <v>6343</v>
      </c>
    </row>
    <row r="2808" spans="1:12" x14ac:dyDescent="0.3">
      <c r="A2808" t="s">
        <v>5524</v>
      </c>
      <c r="B2808" t="s">
        <v>497</v>
      </c>
      <c r="C2808" t="s">
        <v>5138</v>
      </c>
      <c r="L2808" s="3" t="s">
        <v>6346</v>
      </c>
    </row>
    <row r="2809" spans="1:12" x14ac:dyDescent="0.3">
      <c r="A2809" t="s">
        <v>1417</v>
      </c>
      <c r="B2809" t="s">
        <v>668</v>
      </c>
      <c r="C2809" t="s">
        <v>4380</v>
      </c>
      <c r="L2809" s="4" t="s">
        <v>6348</v>
      </c>
    </row>
    <row r="2810" spans="1:12" x14ac:dyDescent="0.3">
      <c r="A2810" t="s">
        <v>5524</v>
      </c>
      <c r="B2810" t="s">
        <v>8267</v>
      </c>
      <c r="C2810" t="s">
        <v>4380</v>
      </c>
      <c r="L2810" s="3" t="s">
        <v>6350</v>
      </c>
    </row>
    <row r="2811" spans="1:12" x14ac:dyDescent="0.3">
      <c r="A2811" t="s">
        <v>668</v>
      </c>
      <c r="B2811" t="s">
        <v>4380</v>
      </c>
      <c r="C2811" t="s">
        <v>4380</v>
      </c>
      <c r="L2811" s="4" t="s">
        <v>6352</v>
      </c>
    </row>
    <row r="2812" spans="1:12" x14ac:dyDescent="0.3">
      <c r="A2812" t="s">
        <v>521</v>
      </c>
      <c r="B2812" t="s">
        <v>7473</v>
      </c>
      <c r="C2812" t="s">
        <v>7104</v>
      </c>
      <c r="L2812" s="3" t="s">
        <v>6354</v>
      </c>
    </row>
    <row r="2813" spans="1:12" x14ac:dyDescent="0.3">
      <c r="A2813" t="s">
        <v>5524</v>
      </c>
      <c r="B2813" t="s">
        <v>1417</v>
      </c>
      <c r="C2813" t="s">
        <v>7473</v>
      </c>
      <c r="L2813" s="4" t="s">
        <v>6356</v>
      </c>
    </row>
    <row r="2814" spans="1:12" x14ac:dyDescent="0.3">
      <c r="A2814" t="s">
        <v>1417</v>
      </c>
      <c r="B2814" t="s">
        <v>7473</v>
      </c>
      <c r="C2814" t="s">
        <v>7473</v>
      </c>
      <c r="L2814" s="3" t="s">
        <v>6358</v>
      </c>
    </row>
    <row r="2815" spans="1:12" x14ac:dyDescent="0.3">
      <c r="A2815" t="s">
        <v>5524</v>
      </c>
      <c r="B2815" t="s">
        <v>8266</v>
      </c>
      <c r="C2815" t="s">
        <v>2701</v>
      </c>
      <c r="L2815" s="4" t="s">
        <v>6360</v>
      </c>
    </row>
    <row r="2816" spans="1:12" x14ac:dyDescent="0.3">
      <c r="A2816" t="s">
        <v>521</v>
      </c>
      <c r="B2816" t="s">
        <v>8268</v>
      </c>
      <c r="C2816" t="s">
        <v>8266</v>
      </c>
      <c r="L2816" s="3" t="s">
        <v>6362</v>
      </c>
    </row>
    <row r="2817" spans="1:12" x14ac:dyDescent="0.3">
      <c r="A2817" t="s">
        <v>668</v>
      </c>
      <c r="B2817" t="s">
        <v>1417</v>
      </c>
      <c r="C2817" t="s">
        <v>7473</v>
      </c>
      <c r="L2817" s="4" t="s">
        <v>6364</v>
      </c>
    </row>
    <row r="2818" spans="1:12" x14ac:dyDescent="0.3">
      <c r="A2818" t="s">
        <v>1417</v>
      </c>
      <c r="B2818" t="s">
        <v>5138</v>
      </c>
      <c r="C2818" t="s">
        <v>7104</v>
      </c>
      <c r="L2818" s="3" t="s">
        <v>6366</v>
      </c>
    </row>
    <row r="2819" spans="1:12" x14ac:dyDescent="0.3">
      <c r="A2819" t="s">
        <v>668</v>
      </c>
      <c r="B2819" t="s">
        <v>7473</v>
      </c>
      <c r="C2819" t="s">
        <v>4380</v>
      </c>
      <c r="L2819" s="4" t="s">
        <v>6368</v>
      </c>
    </row>
    <row r="2820" spans="1:12" x14ac:dyDescent="0.3">
      <c r="A2820" t="s">
        <v>668</v>
      </c>
      <c r="B2820" t="s">
        <v>1417</v>
      </c>
      <c r="C2820" t="s">
        <v>8266</v>
      </c>
      <c r="L2820" s="3" t="s">
        <v>6370</v>
      </c>
    </row>
    <row r="2821" spans="1:12" x14ac:dyDescent="0.3">
      <c r="A2821" t="s">
        <v>1417</v>
      </c>
      <c r="B2821" t="s">
        <v>8267</v>
      </c>
      <c r="C2821" t="s">
        <v>8266</v>
      </c>
      <c r="L2821" s="4" t="s">
        <v>6372</v>
      </c>
    </row>
    <row r="2822" spans="1:12" x14ac:dyDescent="0.3">
      <c r="A2822" t="s">
        <v>521</v>
      </c>
      <c r="B2822" t="s">
        <v>1417</v>
      </c>
      <c r="C2822" t="s">
        <v>4380</v>
      </c>
      <c r="L2822" s="3" t="s">
        <v>6374</v>
      </c>
    </row>
    <row r="2823" spans="1:12" x14ac:dyDescent="0.3">
      <c r="A2823" t="s">
        <v>668</v>
      </c>
      <c r="B2823" t="s">
        <v>1417</v>
      </c>
      <c r="C2823" t="s">
        <v>497</v>
      </c>
      <c r="L2823" s="4" t="s">
        <v>6376</v>
      </c>
    </row>
    <row r="2824" spans="1:12" x14ac:dyDescent="0.3">
      <c r="A2824" t="s">
        <v>1417</v>
      </c>
      <c r="B2824" t="s">
        <v>1417</v>
      </c>
      <c r="C2824" t="s">
        <v>2701</v>
      </c>
      <c r="L2824" s="3" t="s">
        <v>6378</v>
      </c>
    </row>
    <row r="2825" spans="1:12" x14ac:dyDescent="0.3">
      <c r="A2825" t="s">
        <v>668</v>
      </c>
      <c r="B2825" t="s">
        <v>1417</v>
      </c>
      <c r="C2825" t="s">
        <v>4380</v>
      </c>
      <c r="L2825" s="4" t="s">
        <v>6380</v>
      </c>
    </row>
    <row r="2826" spans="1:12" x14ac:dyDescent="0.3">
      <c r="A2826" t="s">
        <v>1417</v>
      </c>
      <c r="B2826" t="s">
        <v>497</v>
      </c>
      <c r="C2826" t="s">
        <v>7104</v>
      </c>
      <c r="L2826" s="3" t="s">
        <v>6383</v>
      </c>
    </row>
    <row r="2827" spans="1:12" x14ac:dyDescent="0.3">
      <c r="A2827" t="s">
        <v>5524</v>
      </c>
      <c r="B2827" t="s">
        <v>7473</v>
      </c>
      <c r="C2827" t="s">
        <v>1417</v>
      </c>
      <c r="L2827" s="4" t="s">
        <v>6385</v>
      </c>
    </row>
    <row r="2828" spans="1:12" x14ac:dyDescent="0.3">
      <c r="A2828" t="s">
        <v>668</v>
      </c>
      <c r="B2828" t="s">
        <v>7473</v>
      </c>
      <c r="C2828" t="s">
        <v>1417</v>
      </c>
      <c r="L2828" s="3" t="s">
        <v>6387</v>
      </c>
    </row>
    <row r="2829" spans="1:12" x14ac:dyDescent="0.3">
      <c r="A2829" t="s">
        <v>8268</v>
      </c>
      <c r="B2829" t="s">
        <v>1417</v>
      </c>
      <c r="C2829" t="s">
        <v>1417</v>
      </c>
      <c r="L2829" s="4" t="s">
        <v>6389</v>
      </c>
    </row>
    <row r="2830" spans="1:12" x14ac:dyDescent="0.3">
      <c r="A2830" t="s">
        <v>521</v>
      </c>
      <c r="B2830" t="s">
        <v>1417</v>
      </c>
      <c r="C2830" t="s">
        <v>7473</v>
      </c>
      <c r="L2830" s="3" t="s">
        <v>6391</v>
      </c>
    </row>
    <row r="2831" spans="1:12" x14ac:dyDescent="0.3">
      <c r="A2831" t="s">
        <v>5524</v>
      </c>
      <c r="B2831" t="s">
        <v>5043</v>
      </c>
      <c r="C2831" t="s">
        <v>4380</v>
      </c>
      <c r="L2831" s="4" t="s">
        <v>6393</v>
      </c>
    </row>
    <row r="2832" spans="1:12" x14ac:dyDescent="0.3">
      <c r="A2832" t="s">
        <v>5524</v>
      </c>
      <c r="B2832" t="s">
        <v>1417</v>
      </c>
      <c r="C2832" t="s">
        <v>8266</v>
      </c>
      <c r="L2832" s="3" t="s">
        <v>6395</v>
      </c>
    </row>
    <row r="2833" spans="1:12" x14ac:dyDescent="0.3">
      <c r="A2833" t="s">
        <v>1417</v>
      </c>
      <c r="B2833" t="s">
        <v>5043</v>
      </c>
      <c r="C2833" t="s">
        <v>4380</v>
      </c>
      <c r="L2833" s="4" t="s">
        <v>6397</v>
      </c>
    </row>
    <row r="2834" spans="1:12" x14ac:dyDescent="0.3">
      <c r="A2834" t="s">
        <v>5524</v>
      </c>
      <c r="B2834" t="s">
        <v>7473</v>
      </c>
      <c r="C2834" t="s">
        <v>4380</v>
      </c>
      <c r="L2834" s="3" t="s">
        <v>6399</v>
      </c>
    </row>
    <row r="2835" spans="1:12" x14ac:dyDescent="0.3">
      <c r="A2835" t="s">
        <v>668</v>
      </c>
      <c r="B2835" t="s">
        <v>1417</v>
      </c>
      <c r="C2835" t="s">
        <v>4380</v>
      </c>
      <c r="L2835" s="4" t="s">
        <v>6401</v>
      </c>
    </row>
    <row r="2836" spans="1:12" x14ac:dyDescent="0.3">
      <c r="A2836" t="s">
        <v>19</v>
      </c>
      <c r="B2836" t="s">
        <v>8046</v>
      </c>
      <c r="C2836" t="s">
        <v>4380</v>
      </c>
      <c r="L2836" s="3" t="s">
        <v>6403</v>
      </c>
    </row>
    <row r="2837" spans="1:12" x14ac:dyDescent="0.3">
      <c r="A2837" t="s">
        <v>1417</v>
      </c>
      <c r="B2837" t="s">
        <v>6902</v>
      </c>
      <c r="C2837" t="s">
        <v>8266</v>
      </c>
      <c r="L2837" s="4" t="s">
        <v>6405</v>
      </c>
    </row>
    <row r="2838" spans="1:12" x14ac:dyDescent="0.3">
      <c r="A2838" t="s">
        <v>521</v>
      </c>
      <c r="B2838" t="s">
        <v>1417</v>
      </c>
      <c r="C2838" t="s">
        <v>4380</v>
      </c>
      <c r="L2838" s="3" t="s">
        <v>6407</v>
      </c>
    </row>
    <row r="2839" spans="1:12" x14ac:dyDescent="0.3">
      <c r="A2839" t="s">
        <v>8268</v>
      </c>
      <c r="B2839" t="s">
        <v>2701</v>
      </c>
      <c r="C2839" t="s">
        <v>4380</v>
      </c>
      <c r="L2839" s="4" t="s">
        <v>6409</v>
      </c>
    </row>
    <row r="2840" spans="1:12" x14ac:dyDescent="0.3">
      <c r="A2840" t="s">
        <v>1417</v>
      </c>
      <c r="B2840" t="s">
        <v>1417</v>
      </c>
      <c r="C2840" t="s">
        <v>7473</v>
      </c>
      <c r="L2840" s="3" t="s">
        <v>6412</v>
      </c>
    </row>
    <row r="2841" spans="1:12" x14ac:dyDescent="0.3">
      <c r="A2841" t="s">
        <v>497</v>
      </c>
      <c r="B2841" t="s">
        <v>8266</v>
      </c>
      <c r="C2841" t="s">
        <v>7473</v>
      </c>
      <c r="L2841" s="4" t="s">
        <v>6414</v>
      </c>
    </row>
    <row r="2842" spans="1:12" x14ac:dyDescent="0.3">
      <c r="A2842" t="s">
        <v>1417</v>
      </c>
      <c r="B2842" t="s">
        <v>1417</v>
      </c>
      <c r="C2842" t="s">
        <v>8266</v>
      </c>
      <c r="L2842" s="3" t="s">
        <v>6416</v>
      </c>
    </row>
    <row r="2843" spans="1:12" x14ac:dyDescent="0.3">
      <c r="A2843" t="s">
        <v>668</v>
      </c>
      <c r="B2843" t="s">
        <v>1417</v>
      </c>
      <c r="C2843" t="s">
        <v>4380</v>
      </c>
      <c r="L2843" s="4" t="s">
        <v>6418</v>
      </c>
    </row>
    <row r="2844" spans="1:12" x14ac:dyDescent="0.3">
      <c r="A2844" t="s">
        <v>521</v>
      </c>
      <c r="B2844" t="s">
        <v>1417</v>
      </c>
      <c r="C2844" t="s">
        <v>497</v>
      </c>
      <c r="L2844" s="3" t="s">
        <v>6420</v>
      </c>
    </row>
    <row r="2845" spans="1:12" x14ac:dyDescent="0.3">
      <c r="A2845" t="s">
        <v>668</v>
      </c>
      <c r="B2845" t="s">
        <v>7473</v>
      </c>
      <c r="C2845" t="s">
        <v>1417</v>
      </c>
      <c r="L2845" s="4" t="s">
        <v>6422</v>
      </c>
    </row>
    <row r="2846" spans="1:12" x14ac:dyDescent="0.3">
      <c r="A2846" t="s">
        <v>668</v>
      </c>
      <c r="B2846" t="s">
        <v>5138</v>
      </c>
      <c r="C2846" t="s">
        <v>7473</v>
      </c>
      <c r="L2846" s="3" t="s">
        <v>6424</v>
      </c>
    </row>
    <row r="2847" spans="1:12" x14ac:dyDescent="0.3">
      <c r="A2847" t="s">
        <v>668</v>
      </c>
      <c r="B2847" t="s">
        <v>8266</v>
      </c>
      <c r="C2847" t="s">
        <v>8266</v>
      </c>
      <c r="L2847" s="4" t="s">
        <v>6426</v>
      </c>
    </row>
    <row r="2848" spans="1:12" x14ac:dyDescent="0.3">
      <c r="A2848" t="s">
        <v>668</v>
      </c>
      <c r="B2848" t="s">
        <v>5138</v>
      </c>
      <c r="C2848" t="s">
        <v>8267</v>
      </c>
      <c r="L2848" s="3" t="s">
        <v>6428</v>
      </c>
    </row>
    <row r="2849" spans="1:12" x14ac:dyDescent="0.3">
      <c r="A2849" t="s">
        <v>521</v>
      </c>
      <c r="B2849" t="s">
        <v>1417</v>
      </c>
      <c r="C2849" t="s">
        <v>4380</v>
      </c>
      <c r="L2849" s="4" t="s">
        <v>6430</v>
      </c>
    </row>
    <row r="2850" spans="1:12" x14ac:dyDescent="0.3">
      <c r="A2850" t="s">
        <v>1417</v>
      </c>
      <c r="B2850" t="s">
        <v>1417</v>
      </c>
      <c r="C2850" t="s">
        <v>4380</v>
      </c>
      <c r="L2850" s="3" t="s">
        <v>6432</v>
      </c>
    </row>
    <row r="2851" spans="1:12" x14ac:dyDescent="0.3">
      <c r="A2851" t="s">
        <v>5138</v>
      </c>
      <c r="B2851" t="s">
        <v>1417</v>
      </c>
      <c r="C2851" t="s">
        <v>2701</v>
      </c>
      <c r="L2851" s="4" t="s">
        <v>6434</v>
      </c>
    </row>
    <row r="2852" spans="1:12" x14ac:dyDescent="0.3">
      <c r="A2852" t="s">
        <v>362</v>
      </c>
      <c r="B2852" t="s">
        <v>8046</v>
      </c>
      <c r="C2852" t="s">
        <v>6902</v>
      </c>
      <c r="L2852" s="3" t="s">
        <v>6436</v>
      </c>
    </row>
    <row r="2853" spans="1:12" x14ac:dyDescent="0.3">
      <c r="A2853" t="s">
        <v>668</v>
      </c>
      <c r="B2853" t="s">
        <v>8046</v>
      </c>
      <c r="C2853" t="s">
        <v>4380</v>
      </c>
      <c r="L2853" s="4" t="s">
        <v>6438</v>
      </c>
    </row>
    <row r="2854" spans="1:12" x14ac:dyDescent="0.3">
      <c r="A2854" t="s">
        <v>668</v>
      </c>
      <c r="B2854" t="s">
        <v>1417</v>
      </c>
      <c r="C2854" t="s">
        <v>5138</v>
      </c>
      <c r="L2854" s="3" t="s">
        <v>6441</v>
      </c>
    </row>
    <row r="2855" spans="1:12" x14ac:dyDescent="0.3">
      <c r="A2855" t="s">
        <v>521</v>
      </c>
      <c r="B2855" t="s">
        <v>4380</v>
      </c>
      <c r="C2855" t="s">
        <v>8269</v>
      </c>
      <c r="L2855" s="4" t="s">
        <v>6444</v>
      </c>
    </row>
    <row r="2856" spans="1:12" x14ac:dyDescent="0.3">
      <c r="A2856" t="s">
        <v>668</v>
      </c>
      <c r="B2856" t="s">
        <v>8266</v>
      </c>
      <c r="C2856" t="s">
        <v>8266</v>
      </c>
      <c r="L2856" s="3" t="s">
        <v>6446</v>
      </c>
    </row>
    <row r="2857" spans="1:12" x14ac:dyDescent="0.3">
      <c r="A2857" t="s">
        <v>497</v>
      </c>
      <c r="B2857" t="s">
        <v>668</v>
      </c>
      <c r="C2857" t="s">
        <v>8046</v>
      </c>
      <c r="L2857" s="4" t="s">
        <v>6448</v>
      </c>
    </row>
    <row r="2858" spans="1:12" x14ac:dyDescent="0.3">
      <c r="A2858" t="s">
        <v>8268</v>
      </c>
      <c r="B2858" t="s">
        <v>8267</v>
      </c>
      <c r="C2858" t="s">
        <v>4380</v>
      </c>
      <c r="L2858" s="3" t="s">
        <v>6451</v>
      </c>
    </row>
    <row r="2859" spans="1:12" x14ac:dyDescent="0.3">
      <c r="A2859" t="s">
        <v>2701</v>
      </c>
      <c r="B2859" t="s">
        <v>2701</v>
      </c>
      <c r="C2859" t="s">
        <v>4380</v>
      </c>
      <c r="L2859" s="4" t="s">
        <v>6453</v>
      </c>
    </row>
    <row r="2860" spans="1:12" x14ac:dyDescent="0.3">
      <c r="A2860" t="s">
        <v>1417</v>
      </c>
      <c r="B2860" t="s">
        <v>7473</v>
      </c>
      <c r="C2860" t="s">
        <v>5138</v>
      </c>
      <c r="L2860" s="3" t="s">
        <v>6455</v>
      </c>
    </row>
    <row r="2861" spans="1:12" x14ac:dyDescent="0.3">
      <c r="A2861" t="s">
        <v>668</v>
      </c>
      <c r="B2861" t="s">
        <v>8266</v>
      </c>
      <c r="C2861" t="s">
        <v>8266</v>
      </c>
      <c r="L2861" s="4" t="s">
        <v>6457</v>
      </c>
    </row>
    <row r="2862" spans="1:12" x14ac:dyDescent="0.3">
      <c r="A2862" t="s">
        <v>668</v>
      </c>
      <c r="B2862" t="s">
        <v>2701</v>
      </c>
      <c r="C2862" t="s">
        <v>1417</v>
      </c>
      <c r="L2862" s="3" t="s">
        <v>6459</v>
      </c>
    </row>
    <row r="2863" spans="1:12" x14ac:dyDescent="0.3">
      <c r="A2863" t="s">
        <v>362</v>
      </c>
      <c r="B2863" t="s">
        <v>1417</v>
      </c>
      <c r="C2863" t="s">
        <v>1417</v>
      </c>
      <c r="L2863" s="4" t="s">
        <v>6461</v>
      </c>
    </row>
    <row r="2864" spans="1:12" x14ac:dyDescent="0.3">
      <c r="A2864" t="s">
        <v>1417</v>
      </c>
      <c r="B2864" t="s">
        <v>8267</v>
      </c>
      <c r="C2864" t="s">
        <v>5043</v>
      </c>
      <c r="L2864" s="3" t="s">
        <v>6463</v>
      </c>
    </row>
    <row r="2865" spans="1:12" x14ac:dyDescent="0.3">
      <c r="A2865" t="s">
        <v>1417</v>
      </c>
      <c r="B2865" t="s">
        <v>1417</v>
      </c>
      <c r="C2865" t="s">
        <v>6171</v>
      </c>
      <c r="L2865" s="4" t="s">
        <v>6465</v>
      </c>
    </row>
    <row r="2866" spans="1:12" x14ac:dyDescent="0.3">
      <c r="A2866" t="s">
        <v>362</v>
      </c>
      <c r="B2866" t="s">
        <v>1417</v>
      </c>
      <c r="C2866" t="s">
        <v>7473</v>
      </c>
      <c r="L2866" s="3" t="s">
        <v>6468</v>
      </c>
    </row>
    <row r="2867" spans="1:12" x14ac:dyDescent="0.3">
      <c r="A2867" t="s">
        <v>668</v>
      </c>
      <c r="B2867" t="s">
        <v>8266</v>
      </c>
      <c r="C2867" t="s">
        <v>5043</v>
      </c>
      <c r="L2867" s="4" t="s">
        <v>6470</v>
      </c>
    </row>
    <row r="2868" spans="1:12" x14ac:dyDescent="0.3">
      <c r="A2868" t="s">
        <v>1417</v>
      </c>
      <c r="B2868" t="s">
        <v>8267</v>
      </c>
      <c r="C2868" t="s">
        <v>7473</v>
      </c>
      <c r="L2868" s="3" t="s">
        <v>6472</v>
      </c>
    </row>
    <row r="2869" spans="1:12" x14ac:dyDescent="0.3">
      <c r="A2869" t="s">
        <v>668</v>
      </c>
      <c r="B2869" t="s">
        <v>8266</v>
      </c>
      <c r="C2869" t="s">
        <v>1417</v>
      </c>
      <c r="L2869" s="4" t="s">
        <v>6474</v>
      </c>
    </row>
    <row r="2870" spans="1:12" x14ac:dyDescent="0.3">
      <c r="A2870" t="s">
        <v>668</v>
      </c>
      <c r="B2870" t="s">
        <v>668</v>
      </c>
      <c r="C2870" t="s">
        <v>7473</v>
      </c>
      <c r="L2870" s="3" t="s">
        <v>6476</v>
      </c>
    </row>
    <row r="2871" spans="1:12" x14ac:dyDescent="0.3">
      <c r="A2871" t="s">
        <v>668</v>
      </c>
      <c r="B2871" t="s">
        <v>7104</v>
      </c>
      <c r="C2871" t="s">
        <v>7473</v>
      </c>
      <c r="L2871" s="4" t="s">
        <v>6478</v>
      </c>
    </row>
    <row r="2872" spans="1:12" x14ac:dyDescent="0.3">
      <c r="A2872" t="s">
        <v>521</v>
      </c>
      <c r="B2872" t="s">
        <v>1417</v>
      </c>
      <c r="C2872" t="s">
        <v>4380</v>
      </c>
      <c r="L2872" s="3" t="s">
        <v>6480</v>
      </c>
    </row>
    <row r="2873" spans="1:12" x14ac:dyDescent="0.3">
      <c r="A2873" t="s">
        <v>1417</v>
      </c>
      <c r="B2873" t="s">
        <v>668</v>
      </c>
      <c r="C2873" t="s">
        <v>7473</v>
      </c>
      <c r="L2873" s="4" t="s">
        <v>6482</v>
      </c>
    </row>
    <row r="2874" spans="1:12" x14ac:dyDescent="0.3">
      <c r="A2874" t="s">
        <v>1417</v>
      </c>
      <c r="B2874" t="s">
        <v>362</v>
      </c>
      <c r="C2874" t="s">
        <v>5043</v>
      </c>
      <c r="L2874" s="3" t="s">
        <v>6484</v>
      </c>
    </row>
    <row r="2875" spans="1:12" x14ac:dyDescent="0.3">
      <c r="A2875" t="s">
        <v>362</v>
      </c>
      <c r="B2875" t="s">
        <v>362</v>
      </c>
      <c r="C2875" t="s">
        <v>7473</v>
      </c>
      <c r="L2875" s="4" t="s">
        <v>6486</v>
      </c>
    </row>
    <row r="2876" spans="1:12" x14ac:dyDescent="0.3">
      <c r="A2876" t="s">
        <v>668</v>
      </c>
      <c r="B2876" t="s">
        <v>8266</v>
      </c>
      <c r="C2876" t="s">
        <v>8266</v>
      </c>
      <c r="L2876" s="3" t="s">
        <v>6488</v>
      </c>
    </row>
    <row r="2877" spans="1:12" x14ac:dyDescent="0.3">
      <c r="A2877" t="s">
        <v>668</v>
      </c>
      <c r="B2877" t="s">
        <v>8266</v>
      </c>
      <c r="C2877" t="s">
        <v>7104</v>
      </c>
      <c r="L2877" s="4" t="s">
        <v>6490</v>
      </c>
    </row>
    <row r="2878" spans="1:12" x14ac:dyDescent="0.3">
      <c r="A2878" t="s">
        <v>668</v>
      </c>
      <c r="B2878" t="s">
        <v>1417</v>
      </c>
      <c r="C2878" t="s">
        <v>8266</v>
      </c>
      <c r="L2878" s="3" t="s">
        <v>6492</v>
      </c>
    </row>
    <row r="2879" spans="1:12" x14ac:dyDescent="0.3">
      <c r="A2879" t="s">
        <v>1417</v>
      </c>
      <c r="B2879" t="s">
        <v>2701</v>
      </c>
      <c r="C2879" t="s">
        <v>497</v>
      </c>
      <c r="L2879" s="4" t="s">
        <v>6494</v>
      </c>
    </row>
    <row r="2880" spans="1:12" x14ac:dyDescent="0.3">
      <c r="A2880" t="s">
        <v>668</v>
      </c>
      <c r="B2880" t="s">
        <v>668</v>
      </c>
      <c r="C2880" t="s">
        <v>5138</v>
      </c>
      <c r="L2880" s="3" t="s">
        <v>6496</v>
      </c>
    </row>
    <row r="2881" spans="1:12" x14ac:dyDescent="0.3">
      <c r="A2881" t="s">
        <v>1417</v>
      </c>
      <c r="B2881" t="s">
        <v>8268</v>
      </c>
      <c r="C2881" t="s">
        <v>7473</v>
      </c>
      <c r="L2881" s="4" t="s">
        <v>6498</v>
      </c>
    </row>
    <row r="2882" spans="1:12" x14ac:dyDescent="0.3">
      <c r="A2882" t="s">
        <v>1417</v>
      </c>
      <c r="B2882" t="s">
        <v>5138</v>
      </c>
      <c r="C2882" t="s">
        <v>4380</v>
      </c>
      <c r="L2882" s="3" t="s">
        <v>6500</v>
      </c>
    </row>
    <row r="2883" spans="1:12" x14ac:dyDescent="0.3">
      <c r="A2883" t="s">
        <v>668</v>
      </c>
      <c r="B2883" t="s">
        <v>1417</v>
      </c>
      <c r="C2883" t="s">
        <v>19</v>
      </c>
      <c r="L2883" s="4" t="s">
        <v>6502</v>
      </c>
    </row>
    <row r="2884" spans="1:12" x14ac:dyDescent="0.3">
      <c r="A2884" t="s">
        <v>1417</v>
      </c>
      <c r="B2884" t="s">
        <v>668</v>
      </c>
      <c r="C2884" t="s">
        <v>8269</v>
      </c>
      <c r="L2884" s="3" t="s">
        <v>6504</v>
      </c>
    </row>
    <row r="2885" spans="1:12" x14ac:dyDescent="0.3">
      <c r="A2885" t="s">
        <v>5524</v>
      </c>
      <c r="B2885" t="s">
        <v>1417</v>
      </c>
      <c r="C2885" t="s">
        <v>19</v>
      </c>
      <c r="L2885" s="4" t="s">
        <v>6507</v>
      </c>
    </row>
    <row r="2886" spans="1:12" x14ac:dyDescent="0.3">
      <c r="A2886" t="s">
        <v>1417</v>
      </c>
      <c r="B2886" t="s">
        <v>2701</v>
      </c>
      <c r="C2886" t="s">
        <v>4380</v>
      </c>
      <c r="L2886" s="3" t="s">
        <v>6509</v>
      </c>
    </row>
    <row r="2887" spans="1:12" x14ac:dyDescent="0.3">
      <c r="A2887" t="s">
        <v>521</v>
      </c>
      <c r="B2887" t="s">
        <v>4380</v>
      </c>
      <c r="C2887" t="s">
        <v>7473</v>
      </c>
      <c r="L2887" s="4" t="s">
        <v>6512</v>
      </c>
    </row>
    <row r="2888" spans="1:12" x14ac:dyDescent="0.3">
      <c r="A2888" t="s">
        <v>5524</v>
      </c>
      <c r="B2888" t="s">
        <v>668</v>
      </c>
      <c r="C2888" t="s">
        <v>497</v>
      </c>
      <c r="L2888" s="3" t="s">
        <v>6514</v>
      </c>
    </row>
    <row r="2889" spans="1:12" x14ac:dyDescent="0.3">
      <c r="A2889" t="s">
        <v>1417</v>
      </c>
      <c r="B2889" t="s">
        <v>4380</v>
      </c>
      <c r="C2889" t="s">
        <v>4380</v>
      </c>
      <c r="L2889" s="4" t="s">
        <v>6516</v>
      </c>
    </row>
    <row r="2890" spans="1:12" x14ac:dyDescent="0.3">
      <c r="A2890" t="s">
        <v>2701</v>
      </c>
      <c r="B2890" t="s">
        <v>7473</v>
      </c>
      <c r="C2890" t="s">
        <v>5138</v>
      </c>
      <c r="L2890" s="3" t="s">
        <v>6518</v>
      </c>
    </row>
    <row r="2891" spans="1:12" x14ac:dyDescent="0.3">
      <c r="A2891" t="s">
        <v>521</v>
      </c>
      <c r="B2891" t="s">
        <v>7473</v>
      </c>
      <c r="C2891" t="s">
        <v>668</v>
      </c>
      <c r="L2891" s="4" t="s">
        <v>6520</v>
      </c>
    </row>
    <row r="2892" spans="1:12" x14ac:dyDescent="0.3">
      <c r="A2892" t="s">
        <v>1417</v>
      </c>
      <c r="B2892" t="s">
        <v>1417</v>
      </c>
      <c r="C2892" t="s">
        <v>7473</v>
      </c>
      <c r="L2892" s="3" t="s">
        <v>6522</v>
      </c>
    </row>
    <row r="2893" spans="1:12" x14ac:dyDescent="0.3">
      <c r="A2893" t="s">
        <v>8268</v>
      </c>
      <c r="B2893" t="s">
        <v>7104</v>
      </c>
      <c r="C2893" t="s">
        <v>4380</v>
      </c>
      <c r="L2893" s="4" t="s">
        <v>6524</v>
      </c>
    </row>
    <row r="2894" spans="1:12" x14ac:dyDescent="0.3">
      <c r="A2894" t="s">
        <v>521</v>
      </c>
      <c r="B2894" t="s">
        <v>5138</v>
      </c>
      <c r="C2894" t="s">
        <v>5138</v>
      </c>
      <c r="L2894" s="3" t="s">
        <v>6526</v>
      </c>
    </row>
    <row r="2895" spans="1:12" x14ac:dyDescent="0.3">
      <c r="A2895" t="s">
        <v>521</v>
      </c>
      <c r="B2895" t="s">
        <v>8266</v>
      </c>
      <c r="C2895" t="s">
        <v>7473</v>
      </c>
      <c r="L2895" s="4" t="s">
        <v>6528</v>
      </c>
    </row>
    <row r="2896" spans="1:12" x14ac:dyDescent="0.3">
      <c r="A2896" t="s">
        <v>5524</v>
      </c>
      <c r="B2896" t="s">
        <v>5043</v>
      </c>
      <c r="C2896" t="s">
        <v>5138</v>
      </c>
      <c r="L2896" s="3" t="s">
        <v>6530</v>
      </c>
    </row>
    <row r="2897" spans="1:12" x14ac:dyDescent="0.3">
      <c r="A2897" t="s">
        <v>362</v>
      </c>
      <c r="B2897" t="s">
        <v>8266</v>
      </c>
      <c r="C2897" t="s">
        <v>2701</v>
      </c>
      <c r="L2897" s="4" t="s">
        <v>6532</v>
      </c>
    </row>
    <row r="2898" spans="1:12" x14ac:dyDescent="0.3">
      <c r="A2898" t="s">
        <v>5524</v>
      </c>
      <c r="B2898" t="s">
        <v>5138</v>
      </c>
      <c r="C2898" t="s">
        <v>8266</v>
      </c>
      <c r="L2898" s="3" t="s">
        <v>6534</v>
      </c>
    </row>
    <row r="2899" spans="1:12" x14ac:dyDescent="0.3">
      <c r="A2899" t="s">
        <v>1417</v>
      </c>
      <c r="B2899" t="s">
        <v>1417</v>
      </c>
      <c r="C2899" t="s">
        <v>5138</v>
      </c>
      <c r="L2899" s="4" t="s">
        <v>6536</v>
      </c>
    </row>
    <row r="2900" spans="1:12" x14ac:dyDescent="0.3">
      <c r="A2900" t="s">
        <v>521</v>
      </c>
      <c r="B2900" t="s">
        <v>4380</v>
      </c>
      <c r="C2900" t="s">
        <v>7473</v>
      </c>
      <c r="L2900" s="3" t="s">
        <v>6538</v>
      </c>
    </row>
    <row r="2901" spans="1:12" x14ac:dyDescent="0.3">
      <c r="A2901" t="s">
        <v>1417</v>
      </c>
      <c r="B2901" t="s">
        <v>4380</v>
      </c>
      <c r="C2901" t="s">
        <v>4380</v>
      </c>
      <c r="L2901" s="4" t="s">
        <v>6540</v>
      </c>
    </row>
    <row r="2902" spans="1:12" x14ac:dyDescent="0.3">
      <c r="A2902" t="s">
        <v>8268</v>
      </c>
      <c r="B2902" t="s">
        <v>1417</v>
      </c>
      <c r="C2902" t="s">
        <v>7473</v>
      </c>
      <c r="L2902" s="3" t="s">
        <v>6542</v>
      </c>
    </row>
    <row r="2903" spans="1:12" x14ac:dyDescent="0.3">
      <c r="A2903" t="s">
        <v>8268</v>
      </c>
      <c r="B2903" t="s">
        <v>1417</v>
      </c>
      <c r="C2903" t="s">
        <v>4380</v>
      </c>
      <c r="L2903" s="4" t="s">
        <v>6544</v>
      </c>
    </row>
    <row r="2904" spans="1:12" x14ac:dyDescent="0.3">
      <c r="A2904" t="s">
        <v>497</v>
      </c>
      <c r="B2904" t="s">
        <v>5138</v>
      </c>
      <c r="C2904" t="s">
        <v>7104</v>
      </c>
      <c r="L2904" s="3" t="s">
        <v>6546</v>
      </c>
    </row>
    <row r="2905" spans="1:12" x14ac:dyDescent="0.3">
      <c r="A2905" t="s">
        <v>2701</v>
      </c>
      <c r="B2905" t="s">
        <v>1417</v>
      </c>
      <c r="C2905" t="s">
        <v>8267</v>
      </c>
      <c r="L2905" s="4" t="s">
        <v>6549</v>
      </c>
    </row>
    <row r="2906" spans="1:12" x14ac:dyDescent="0.3">
      <c r="A2906" t="s">
        <v>362</v>
      </c>
      <c r="B2906" t="s">
        <v>7104</v>
      </c>
      <c r="C2906" t="s">
        <v>4380</v>
      </c>
      <c r="L2906" s="3" t="s">
        <v>6551</v>
      </c>
    </row>
    <row r="2907" spans="1:12" x14ac:dyDescent="0.3">
      <c r="A2907" t="s">
        <v>668</v>
      </c>
      <c r="B2907" t="s">
        <v>7104</v>
      </c>
      <c r="C2907" t="s">
        <v>7473</v>
      </c>
      <c r="L2907" s="4" t="s">
        <v>6553</v>
      </c>
    </row>
    <row r="2908" spans="1:12" x14ac:dyDescent="0.3">
      <c r="A2908" t="s">
        <v>1417</v>
      </c>
      <c r="B2908" t="s">
        <v>5043</v>
      </c>
      <c r="C2908" t="s">
        <v>7473</v>
      </c>
      <c r="L2908" s="3" t="s">
        <v>6555</v>
      </c>
    </row>
    <row r="2909" spans="1:12" x14ac:dyDescent="0.3">
      <c r="A2909" t="s">
        <v>8268</v>
      </c>
      <c r="B2909" t="s">
        <v>668</v>
      </c>
      <c r="C2909" t="s">
        <v>5138</v>
      </c>
      <c r="L2909" s="4" t="s">
        <v>6557</v>
      </c>
    </row>
    <row r="2910" spans="1:12" x14ac:dyDescent="0.3">
      <c r="A2910" t="s">
        <v>1417</v>
      </c>
      <c r="B2910" t="s">
        <v>2701</v>
      </c>
      <c r="C2910" t="s">
        <v>4380</v>
      </c>
      <c r="L2910" s="3" t="s">
        <v>6559</v>
      </c>
    </row>
    <row r="2911" spans="1:12" x14ac:dyDescent="0.3">
      <c r="A2911" t="s">
        <v>8268</v>
      </c>
      <c r="B2911" t="s">
        <v>4380</v>
      </c>
      <c r="C2911" t="s">
        <v>1417</v>
      </c>
      <c r="L2911" s="4" t="s">
        <v>6561</v>
      </c>
    </row>
    <row r="2912" spans="1:12" x14ac:dyDescent="0.3">
      <c r="A2912" t="s">
        <v>668</v>
      </c>
      <c r="B2912" t="s">
        <v>8268</v>
      </c>
      <c r="C2912" t="s">
        <v>7473</v>
      </c>
      <c r="L2912" s="3" t="s">
        <v>6563</v>
      </c>
    </row>
    <row r="2913" spans="1:12" x14ac:dyDescent="0.3">
      <c r="A2913" t="s">
        <v>521</v>
      </c>
      <c r="B2913" t="s">
        <v>8268</v>
      </c>
      <c r="C2913" t="s">
        <v>7473</v>
      </c>
      <c r="L2913" s="4" t="s">
        <v>6565</v>
      </c>
    </row>
    <row r="2914" spans="1:12" x14ac:dyDescent="0.3">
      <c r="A2914" t="s">
        <v>5524</v>
      </c>
      <c r="B2914" t="s">
        <v>5043</v>
      </c>
      <c r="C2914" t="s">
        <v>1417</v>
      </c>
      <c r="L2914" s="3" t="s">
        <v>6567</v>
      </c>
    </row>
    <row r="2915" spans="1:12" x14ac:dyDescent="0.3">
      <c r="A2915" t="s">
        <v>362</v>
      </c>
      <c r="B2915" t="s">
        <v>4843</v>
      </c>
      <c r="C2915" t="s">
        <v>8270</v>
      </c>
      <c r="L2915" s="4" t="s">
        <v>6569</v>
      </c>
    </row>
    <row r="2916" spans="1:12" x14ac:dyDescent="0.3">
      <c r="A2916" t="s">
        <v>521</v>
      </c>
      <c r="B2916" t="s">
        <v>1417</v>
      </c>
      <c r="C2916" t="s">
        <v>5043</v>
      </c>
      <c r="L2916" s="3" t="s">
        <v>6571</v>
      </c>
    </row>
    <row r="2917" spans="1:12" x14ac:dyDescent="0.3">
      <c r="A2917" t="s">
        <v>668</v>
      </c>
      <c r="B2917" t="s">
        <v>8268</v>
      </c>
      <c r="C2917" t="s">
        <v>4843</v>
      </c>
      <c r="L2917" s="4" t="s">
        <v>6573</v>
      </c>
    </row>
    <row r="2918" spans="1:12" x14ac:dyDescent="0.3">
      <c r="A2918" t="s">
        <v>2701</v>
      </c>
      <c r="B2918" t="s">
        <v>7473</v>
      </c>
      <c r="C2918" t="s">
        <v>7473</v>
      </c>
      <c r="L2918" s="3" t="s">
        <v>6575</v>
      </c>
    </row>
    <row r="2919" spans="1:12" x14ac:dyDescent="0.3">
      <c r="A2919" t="s">
        <v>362</v>
      </c>
      <c r="B2919" t="s">
        <v>4380</v>
      </c>
      <c r="C2919" t="s">
        <v>4380</v>
      </c>
      <c r="L2919" s="4" t="s">
        <v>6577</v>
      </c>
    </row>
    <row r="2920" spans="1:12" x14ac:dyDescent="0.3">
      <c r="A2920" t="s">
        <v>668</v>
      </c>
      <c r="B2920" t="s">
        <v>1417</v>
      </c>
      <c r="C2920" t="s">
        <v>2701</v>
      </c>
      <c r="L2920" s="3" t="s">
        <v>6579</v>
      </c>
    </row>
    <row r="2921" spans="1:12" x14ac:dyDescent="0.3">
      <c r="A2921" t="s">
        <v>4843</v>
      </c>
      <c r="B2921" t="s">
        <v>7473</v>
      </c>
      <c r="C2921" t="s">
        <v>2701</v>
      </c>
      <c r="L2921" s="4" t="s">
        <v>6582</v>
      </c>
    </row>
    <row r="2922" spans="1:12" x14ac:dyDescent="0.3">
      <c r="A2922" t="s">
        <v>521</v>
      </c>
      <c r="B2922" t="s">
        <v>7473</v>
      </c>
      <c r="C2922" t="s">
        <v>8267</v>
      </c>
      <c r="L2922" s="3" t="s">
        <v>6584</v>
      </c>
    </row>
    <row r="2923" spans="1:12" x14ac:dyDescent="0.3">
      <c r="A2923" t="s">
        <v>668</v>
      </c>
      <c r="B2923" t="s">
        <v>8268</v>
      </c>
      <c r="C2923" t="s">
        <v>497</v>
      </c>
      <c r="L2923" s="4" t="s">
        <v>6586</v>
      </c>
    </row>
    <row r="2924" spans="1:12" x14ac:dyDescent="0.3">
      <c r="A2924" t="s">
        <v>668</v>
      </c>
      <c r="B2924" t="s">
        <v>8268</v>
      </c>
      <c r="C2924" t="s">
        <v>4380</v>
      </c>
      <c r="L2924" s="3" t="s">
        <v>6589</v>
      </c>
    </row>
    <row r="2925" spans="1:12" x14ac:dyDescent="0.3">
      <c r="A2925" t="s">
        <v>521</v>
      </c>
      <c r="B2925" t="s">
        <v>7473</v>
      </c>
      <c r="C2925" t="s">
        <v>7473</v>
      </c>
      <c r="L2925" s="4" t="s">
        <v>6591</v>
      </c>
    </row>
    <row r="2926" spans="1:12" x14ac:dyDescent="0.3">
      <c r="A2926" t="s">
        <v>668</v>
      </c>
      <c r="B2926" t="s">
        <v>4380</v>
      </c>
      <c r="C2926" t="s">
        <v>1417</v>
      </c>
      <c r="L2926" s="3" t="s">
        <v>6593</v>
      </c>
    </row>
    <row r="2927" spans="1:12" x14ac:dyDescent="0.3">
      <c r="A2927" t="s">
        <v>5138</v>
      </c>
      <c r="B2927" t="s">
        <v>668</v>
      </c>
      <c r="C2927" t="s">
        <v>4380</v>
      </c>
      <c r="L2927" s="4" t="s">
        <v>6595</v>
      </c>
    </row>
    <row r="2928" spans="1:12" x14ac:dyDescent="0.3">
      <c r="A2928" t="s">
        <v>8268</v>
      </c>
      <c r="B2928" t="s">
        <v>1417</v>
      </c>
      <c r="C2928" t="s">
        <v>8266</v>
      </c>
      <c r="L2928" s="3" t="s">
        <v>6597</v>
      </c>
    </row>
    <row r="2929" spans="1:12" x14ac:dyDescent="0.3">
      <c r="A2929" t="s">
        <v>521</v>
      </c>
      <c r="B2929" t="s">
        <v>7473</v>
      </c>
      <c r="C2929" t="s">
        <v>7473</v>
      </c>
      <c r="L2929" s="4" t="s">
        <v>6599</v>
      </c>
    </row>
    <row r="2930" spans="1:12" x14ac:dyDescent="0.3">
      <c r="A2930" t="s">
        <v>8268</v>
      </c>
      <c r="B2930" t="s">
        <v>497</v>
      </c>
      <c r="C2930" t="s">
        <v>5043</v>
      </c>
      <c r="L2930" s="3" t="s">
        <v>6601</v>
      </c>
    </row>
    <row r="2931" spans="1:12" x14ac:dyDescent="0.3">
      <c r="A2931" t="s">
        <v>362</v>
      </c>
      <c r="B2931" t="s">
        <v>668</v>
      </c>
      <c r="C2931" t="s">
        <v>1417</v>
      </c>
      <c r="L2931" s="4" t="s">
        <v>6603</v>
      </c>
    </row>
    <row r="2932" spans="1:12" x14ac:dyDescent="0.3">
      <c r="A2932" t="s">
        <v>8268</v>
      </c>
      <c r="B2932" t="s">
        <v>8268</v>
      </c>
      <c r="C2932" t="s">
        <v>4380</v>
      </c>
      <c r="L2932" s="3" t="s">
        <v>6605</v>
      </c>
    </row>
    <row r="2933" spans="1:12" x14ac:dyDescent="0.3">
      <c r="A2933" t="s">
        <v>362</v>
      </c>
      <c r="B2933" t="s">
        <v>1417</v>
      </c>
      <c r="C2933" t="s">
        <v>1417</v>
      </c>
      <c r="L2933" s="4" t="s">
        <v>6607</v>
      </c>
    </row>
    <row r="2934" spans="1:12" x14ac:dyDescent="0.3">
      <c r="A2934" t="s">
        <v>1417</v>
      </c>
      <c r="B2934" t="s">
        <v>2701</v>
      </c>
      <c r="C2934" t="s">
        <v>7473</v>
      </c>
      <c r="L2934" s="3" t="s">
        <v>6609</v>
      </c>
    </row>
    <row r="2935" spans="1:12" x14ac:dyDescent="0.3">
      <c r="A2935" t="s">
        <v>1417</v>
      </c>
      <c r="B2935" t="s">
        <v>668</v>
      </c>
      <c r="C2935" t="s">
        <v>1417</v>
      </c>
      <c r="L2935" s="4" t="s">
        <v>6611</v>
      </c>
    </row>
    <row r="2936" spans="1:12" x14ac:dyDescent="0.3">
      <c r="A2936" t="s">
        <v>362</v>
      </c>
      <c r="B2936" t="s">
        <v>5043</v>
      </c>
      <c r="C2936" t="s">
        <v>5043</v>
      </c>
      <c r="L2936" s="3" t="s">
        <v>6613</v>
      </c>
    </row>
    <row r="2937" spans="1:12" x14ac:dyDescent="0.3">
      <c r="A2937" t="s">
        <v>668</v>
      </c>
      <c r="B2937" t="s">
        <v>1417</v>
      </c>
      <c r="C2937" t="s">
        <v>8267</v>
      </c>
      <c r="L2937" s="4" t="s">
        <v>6615</v>
      </c>
    </row>
    <row r="2938" spans="1:12" x14ac:dyDescent="0.3">
      <c r="A2938" t="s">
        <v>668</v>
      </c>
      <c r="B2938" t="s">
        <v>8268</v>
      </c>
      <c r="C2938" t="s">
        <v>7473</v>
      </c>
      <c r="L2938" s="3" t="s">
        <v>6617</v>
      </c>
    </row>
    <row r="2939" spans="1:12" x14ac:dyDescent="0.3">
      <c r="A2939" t="s">
        <v>5524</v>
      </c>
      <c r="B2939" t="s">
        <v>1417</v>
      </c>
      <c r="C2939" t="s">
        <v>7104</v>
      </c>
      <c r="L2939" s="4" t="s">
        <v>6619</v>
      </c>
    </row>
    <row r="2940" spans="1:12" x14ac:dyDescent="0.3">
      <c r="A2940" t="s">
        <v>1417</v>
      </c>
      <c r="B2940" t="s">
        <v>7473</v>
      </c>
      <c r="C2940" t="s">
        <v>7473</v>
      </c>
      <c r="L2940" s="3" t="s">
        <v>6621</v>
      </c>
    </row>
    <row r="2941" spans="1:12" x14ac:dyDescent="0.3">
      <c r="A2941" t="s">
        <v>2701</v>
      </c>
      <c r="B2941" t="s">
        <v>5138</v>
      </c>
      <c r="C2941" t="s">
        <v>4380</v>
      </c>
      <c r="L2941" s="4" t="s">
        <v>6623</v>
      </c>
    </row>
    <row r="2942" spans="1:12" x14ac:dyDescent="0.3">
      <c r="A2942" t="s">
        <v>2701</v>
      </c>
      <c r="B2942" t="s">
        <v>7104</v>
      </c>
      <c r="C2942" t="s">
        <v>7473</v>
      </c>
      <c r="L2942" s="3" t="s">
        <v>6625</v>
      </c>
    </row>
    <row r="2943" spans="1:12" x14ac:dyDescent="0.3">
      <c r="A2943" t="s">
        <v>668</v>
      </c>
      <c r="B2943" t="s">
        <v>5524</v>
      </c>
      <c r="C2943" t="s">
        <v>1417</v>
      </c>
      <c r="L2943" s="4" t="s">
        <v>6627</v>
      </c>
    </row>
    <row r="2944" spans="1:12" x14ac:dyDescent="0.3">
      <c r="A2944" t="s">
        <v>668</v>
      </c>
      <c r="B2944" t="s">
        <v>1417</v>
      </c>
      <c r="C2944" t="s">
        <v>7473</v>
      </c>
      <c r="L2944" s="3" t="s">
        <v>6629</v>
      </c>
    </row>
    <row r="2945" spans="1:12" x14ac:dyDescent="0.3">
      <c r="A2945" t="s">
        <v>668</v>
      </c>
      <c r="B2945" t="s">
        <v>1417</v>
      </c>
      <c r="C2945" t="s">
        <v>2701</v>
      </c>
      <c r="L2945" s="4" t="s">
        <v>6631</v>
      </c>
    </row>
    <row r="2946" spans="1:12" x14ac:dyDescent="0.3">
      <c r="A2946" t="s">
        <v>521</v>
      </c>
      <c r="B2946" t="s">
        <v>7473</v>
      </c>
      <c r="C2946" t="s">
        <v>668</v>
      </c>
      <c r="L2946" s="3" t="s">
        <v>6634</v>
      </c>
    </row>
    <row r="2947" spans="1:12" x14ac:dyDescent="0.3">
      <c r="A2947" t="s">
        <v>5524</v>
      </c>
      <c r="B2947" t="s">
        <v>8266</v>
      </c>
      <c r="C2947" t="s">
        <v>4380</v>
      </c>
      <c r="L2947" s="4" t="s">
        <v>6636</v>
      </c>
    </row>
    <row r="2948" spans="1:12" x14ac:dyDescent="0.3">
      <c r="A2948" t="s">
        <v>19</v>
      </c>
      <c r="B2948" t="s">
        <v>8268</v>
      </c>
      <c r="C2948" t="s">
        <v>5043</v>
      </c>
      <c r="L2948" s="3" t="s">
        <v>6639</v>
      </c>
    </row>
    <row r="2949" spans="1:12" x14ac:dyDescent="0.3">
      <c r="A2949" t="s">
        <v>1417</v>
      </c>
      <c r="B2949" t="s">
        <v>1417</v>
      </c>
      <c r="C2949" t="s">
        <v>4380</v>
      </c>
      <c r="L2949" s="4" t="s">
        <v>6641</v>
      </c>
    </row>
    <row r="2950" spans="1:12" x14ac:dyDescent="0.3">
      <c r="A2950" t="s">
        <v>8268</v>
      </c>
      <c r="B2950" t="s">
        <v>1417</v>
      </c>
      <c r="C2950" t="s">
        <v>8267</v>
      </c>
      <c r="L2950" s="3" t="s">
        <v>6643</v>
      </c>
    </row>
    <row r="2951" spans="1:12" x14ac:dyDescent="0.3">
      <c r="A2951" t="s">
        <v>668</v>
      </c>
      <c r="B2951" t="s">
        <v>7473</v>
      </c>
      <c r="C2951" t="s">
        <v>4380</v>
      </c>
      <c r="L2951" s="4" t="s">
        <v>6645</v>
      </c>
    </row>
    <row r="2952" spans="1:12" x14ac:dyDescent="0.3">
      <c r="A2952" t="s">
        <v>2701</v>
      </c>
      <c r="B2952" t="s">
        <v>1417</v>
      </c>
      <c r="C2952" t="s">
        <v>19</v>
      </c>
      <c r="L2952" s="3" t="s">
        <v>6647</v>
      </c>
    </row>
    <row r="2953" spans="1:12" x14ac:dyDescent="0.3">
      <c r="A2953" t="s">
        <v>2701</v>
      </c>
      <c r="B2953" t="s">
        <v>7473</v>
      </c>
      <c r="C2953" t="s">
        <v>497</v>
      </c>
      <c r="L2953" s="4" t="s">
        <v>6649</v>
      </c>
    </row>
    <row r="2954" spans="1:12" x14ac:dyDescent="0.3">
      <c r="A2954" t="s">
        <v>521</v>
      </c>
      <c r="B2954" t="s">
        <v>1417</v>
      </c>
      <c r="C2954" t="s">
        <v>2701</v>
      </c>
      <c r="L2954" s="3" t="s">
        <v>6651</v>
      </c>
    </row>
    <row r="2955" spans="1:12" x14ac:dyDescent="0.3">
      <c r="A2955" t="s">
        <v>5524</v>
      </c>
      <c r="B2955" t="s">
        <v>8266</v>
      </c>
      <c r="C2955" t="s">
        <v>8269</v>
      </c>
      <c r="L2955" s="4" t="s">
        <v>6653</v>
      </c>
    </row>
    <row r="2956" spans="1:12" x14ac:dyDescent="0.3">
      <c r="A2956" t="s">
        <v>668</v>
      </c>
      <c r="B2956" t="s">
        <v>8266</v>
      </c>
      <c r="C2956" t="s">
        <v>7473</v>
      </c>
      <c r="L2956" s="3" t="s">
        <v>6655</v>
      </c>
    </row>
    <row r="2957" spans="1:12" x14ac:dyDescent="0.3">
      <c r="A2957" t="s">
        <v>1417</v>
      </c>
      <c r="B2957" t="s">
        <v>1417</v>
      </c>
      <c r="C2957" t="s">
        <v>6902</v>
      </c>
      <c r="L2957" s="4" t="s">
        <v>6657</v>
      </c>
    </row>
    <row r="2958" spans="1:12" x14ac:dyDescent="0.3">
      <c r="A2958" t="s">
        <v>668</v>
      </c>
      <c r="B2958" t="s">
        <v>7473</v>
      </c>
      <c r="C2958" t="s">
        <v>7473</v>
      </c>
      <c r="L2958" s="3" t="s">
        <v>6659</v>
      </c>
    </row>
    <row r="2959" spans="1:12" x14ac:dyDescent="0.3">
      <c r="A2959" t="s">
        <v>1417</v>
      </c>
      <c r="B2959" t="s">
        <v>8266</v>
      </c>
      <c r="C2959" t="s">
        <v>7473</v>
      </c>
      <c r="L2959" s="4" t="s">
        <v>6661</v>
      </c>
    </row>
    <row r="2960" spans="1:12" x14ac:dyDescent="0.3">
      <c r="A2960" t="s">
        <v>668</v>
      </c>
      <c r="B2960" t="s">
        <v>8268</v>
      </c>
      <c r="C2960" t="s">
        <v>5043</v>
      </c>
      <c r="L2960" s="3" t="s">
        <v>6664</v>
      </c>
    </row>
    <row r="2961" spans="1:12" x14ac:dyDescent="0.3">
      <c r="A2961" t="s">
        <v>362</v>
      </c>
      <c r="B2961" t="s">
        <v>7473</v>
      </c>
      <c r="C2961" t="s">
        <v>8266</v>
      </c>
      <c r="L2961" s="4" t="s">
        <v>6666</v>
      </c>
    </row>
    <row r="2962" spans="1:12" x14ac:dyDescent="0.3">
      <c r="A2962" t="s">
        <v>521</v>
      </c>
      <c r="B2962" t="s">
        <v>8268</v>
      </c>
      <c r="C2962" t="s">
        <v>4380</v>
      </c>
      <c r="L2962" s="3" t="s">
        <v>6669</v>
      </c>
    </row>
    <row r="2963" spans="1:12" x14ac:dyDescent="0.3">
      <c r="A2963" t="s">
        <v>668</v>
      </c>
      <c r="B2963" t="s">
        <v>362</v>
      </c>
      <c r="C2963" t="s">
        <v>497</v>
      </c>
      <c r="L2963" s="4" t="s">
        <v>6671</v>
      </c>
    </row>
    <row r="2964" spans="1:12" x14ac:dyDescent="0.3">
      <c r="A2964" t="s">
        <v>668</v>
      </c>
      <c r="B2964" t="s">
        <v>8268</v>
      </c>
      <c r="C2964" t="s">
        <v>2701</v>
      </c>
      <c r="L2964" s="3" t="s">
        <v>6673</v>
      </c>
    </row>
    <row r="2965" spans="1:12" x14ac:dyDescent="0.3">
      <c r="A2965" t="s">
        <v>521</v>
      </c>
      <c r="B2965" t="s">
        <v>1417</v>
      </c>
      <c r="C2965" t="s">
        <v>5138</v>
      </c>
      <c r="L2965" s="4" t="s">
        <v>6675</v>
      </c>
    </row>
    <row r="2966" spans="1:12" x14ac:dyDescent="0.3">
      <c r="A2966" t="s">
        <v>668</v>
      </c>
      <c r="B2966" t="s">
        <v>1417</v>
      </c>
      <c r="C2966" t="s">
        <v>1417</v>
      </c>
      <c r="L2966" s="3" t="s">
        <v>6677</v>
      </c>
    </row>
    <row r="2967" spans="1:12" x14ac:dyDescent="0.3">
      <c r="A2967" t="s">
        <v>668</v>
      </c>
      <c r="B2967" t="s">
        <v>1417</v>
      </c>
      <c r="C2967" t="s">
        <v>7473</v>
      </c>
      <c r="L2967" s="4" t="s">
        <v>6679</v>
      </c>
    </row>
    <row r="2968" spans="1:12" x14ac:dyDescent="0.3">
      <c r="A2968" t="s">
        <v>668</v>
      </c>
      <c r="B2968" t="s">
        <v>7473</v>
      </c>
      <c r="C2968" t="s">
        <v>8266</v>
      </c>
      <c r="L2968" s="3" t="s">
        <v>6681</v>
      </c>
    </row>
    <row r="2969" spans="1:12" x14ac:dyDescent="0.3">
      <c r="A2969" t="s">
        <v>1417</v>
      </c>
      <c r="B2969" t="s">
        <v>7473</v>
      </c>
      <c r="C2969" t="s">
        <v>8269</v>
      </c>
      <c r="L2969" s="4" t="s">
        <v>6683</v>
      </c>
    </row>
    <row r="2970" spans="1:12" x14ac:dyDescent="0.3">
      <c r="A2970" t="s">
        <v>8268</v>
      </c>
      <c r="B2970" t="s">
        <v>668</v>
      </c>
      <c r="C2970" t="s">
        <v>1417</v>
      </c>
      <c r="L2970" s="3" t="s">
        <v>6685</v>
      </c>
    </row>
    <row r="2971" spans="1:12" x14ac:dyDescent="0.3">
      <c r="A2971" t="s">
        <v>5524</v>
      </c>
      <c r="B2971" t="s">
        <v>668</v>
      </c>
      <c r="C2971" t="s">
        <v>5043</v>
      </c>
      <c r="L2971" s="4" t="s">
        <v>6687</v>
      </c>
    </row>
    <row r="2972" spans="1:12" x14ac:dyDescent="0.3">
      <c r="A2972" t="s">
        <v>362</v>
      </c>
      <c r="B2972" t="s">
        <v>8268</v>
      </c>
      <c r="C2972" t="s">
        <v>2701</v>
      </c>
      <c r="L2972" s="3" t="s">
        <v>6689</v>
      </c>
    </row>
    <row r="2973" spans="1:12" x14ac:dyDescent="0.3">
      <c r="A2973" t="s">
        <v>1417</v>
      </c>
      <c r="B2973" t="s">
        <v>1417</v>
      </c>
      <c r="C2973" t="s">
        <v>7473</v>
      </c>
      <c r="L2973" s="4" t="s">
        <v>6691</v>
      </c>
    </row>
    <row r="2974" spans="1:12" x14ac:dyDescent="0.3">
      <c r="A2974" t="s">
        <v>668</v>
      </c>
      <c r="B2974" t="s">
        <v>7473</v>
      </c>
      <c r="C2974" t="s">
        <v>6902</v>
      </c>
      <c r="L2974" s="3" t="s">
        <v>6693</v>
      </c>
    </row>
    <row r="2975" spans="1:12" x14ac:dyDescent="0.3">
      <c r="A2975" t="s">
        <v>1417</v>
      </c>
      <c r="B2975" t="s">
        <v>4380</v>
      </c>
      <c r="C2975" t="s">
        <v>5138</v>
      </c>
      <c r="L2975" s="4" t="s">
        <v>6695</v>
      </c>
    </row>
    <row r="2976" spans="1:12" x14ac:dyDescent="0.3">
      <c r="A2976" t="s">
        <v>521</v>
      </c>
      <c r="B2976" t="s">
        <v>1417</v>
      </c>
      <c r="C2976" t="s">
        <v>7473</v>
      </c>
      <c r="L2976" s="3" t="s">
        <v>6697</v>
      </c>
    </row>
    <row r="2977" spans="1:12" x14ac:dyDescent="0.3">
      <c r="A2977" t="s">
        <v>1417</v>
      </c>
      <c r="B2977" t="s">
        <v>668</v>
      </c>
      <c r="C2977" t="s">
        <v>7473</v>
      </c>
      <c r="L2977" s="4" t="s">
        <v>6699</v>
      </c>
    </row>
    <row r="2978" spans="1:12" x14ac:dyDescent="0.3">
      <c r="A2978" t="s">
        <v>5138</v>
      </c>
      <c r="B2978" t="s">
        <v>1417</v>
      </c>
      <c r="C2978" t="s">
        <v>1417</v>
      </c>
      <c r="L2978" s="3" t="s">
        <v>6701</v>
      </c>
    </row>
    <row r="2979" spans="1:12" x14ac:dyDescent="0.3">
      <c r="A2979" t="s">
        <v>5524</v>
      </c>
      <c r="B2979" t="s">
        <v>2701</v>
      </c>
      <c r="C2979" t="s">
        <v>1417</v>
      </c>
      <c r="L2979" s="4" t="s">
        <v>6703</v>
      </c>
    </row>
    <row r="2980" spans="1:12" x14ac:dyDescent="0.3">
      <c r="A2980" t="s">
        <v>668</v>
      </c>
      <c r="B2980" t="s">
        <v>4380</v>
      </c>
      <c r="C2980" t="s">
        <v>7473</v>
      </c>
      <c r="L2980" s="3" t="s">
        <v>6705</v>
      </c>
    </row>
    <row r="2981" spans="1:12" x14ac:dyDescent="0.3">
      <c r="A2981" t="s">
        <v>521</v>
      </c>
      <c r="B2981" t="s">
        <v>8268</v>
      </c>
      <c r="C2981" t="s">
        <v>7473</v>
      </c>
      <c r="L2981" s="4" t="s">
        <v>6707</v>
      </c>
    </row>
    <row r="2982" spans="1:12" x14ac:dyDescent="0.3">
      <c r="A2982" t="s">
        <v>668</v>
      </c>
      <c r="B2982" t="s">
        <v>8046</v>
      </c>
      <c r="C2982" t="s">
        <v>8266</v>
      </c>
      <c r="L2982" s="3" t="s">
        <v>6709</v>
      </c>
    </row>
    <row r="2983" spans="1:12" x14ac:dyDescent="0.3">
      <c r="A2983" t="s">
        <v>668</v>
      </c>
      <c r="B2983" t="s">
        <v>1417</v>
      </c>
      <c r="C2983" t="s">
        <v>7473</v>
      </c>
      <c r="L2983" s="4" t="s">
        <v>6711</v>
      </c>
    </row>
    <row r="2984" spans="1:12" x14ac:dyDescent="0.3">
      <c r="A2984" t="s">
        <v>668</v>
      </c>
      <c r="B2984" t="s">
        <v>1417</v>
      </c>
      <c r="C2984" t="s">
        <v>7473</v>
      </c>
      <c r="L2984" s="3" t="s">
        <v>6713</v>
      </c>
    </row>
    <row r="2985" spans="1:12" x14ac:dyDescent="0.3">
      <c r="A2985" t="s">
        <v>668</v>
      </c>
      <c r="B2985" t="s">
        <v>7473</v>
      </c>
      <c r="C2985" t="s">
        <v>7473</v>
      </c>
      <c r="L2985" s="4" t="s">
        <v>6715</v>
      </c>
    </row>
    <row r="2986" spans="1:12" x14ac:dyDescent="0.3">
      <c r="A2986" t="s">
        <v>668</v>
      </c>
      <c r="B2986" t="s">
        <v>1417</v>
      </c>
      <c r="C2986" t="s">
        <v>1417</v>
      </c>
      <c r="L2986" s="3" t="s">
        <v>6717</v>
      </c>
    </row>
    <row r="2987" spans="1:12" x14ac:dyDescent="0.3">
      <c r="A2987" t="s">
        <v>8266</v>
      </c>
      <c r="B2987" t="s">
        <v>8266</v>
      </c>
      <c r="C2987" t="s">
        <v>4380</v>
      </c>
      <c r="L2987" s="4" t="s">
        <v>6719</v>
      </c>
    </row>
    <row r="2988" spans="1:12" x14ac:dyDescent="0.3">
      <c r="A2988" t="s">
        <v>1417</v>
      </c>
      <c r="B2988" t="s">
        <v>8268</v>
      </c>
      <c r="C2988" t="s">
        <v>1417</v>
      </c>
      <c r="L2988" s="3" t="s">
        <v>6721</v>
      </c>
    </row>
    <row r="2989" spans="1:12" x14ac:dyDescent="0.3">
      <c r="A2989" t="s">
        <v>1417</v>
      </c>
      <c r="B2989" t="s">
        <v>7473</v>
      </c>
      <c r="C2989" t="s">
        <v>4380</v>
      </c>
      <c r="L2989" s="4" t="s">
        <v>6723</v>
      </c>
    </row>
    <row r="2990" spans="1:12" x14ac:dyDescent="0.3">
      <c r="A2990" t="s">
        <v>668</v>
      </c>
      <c r="B2990" t="s">
        <v>8266</v>
      </c>
      <c r="C2990" t="s">
        <v>497</v>
      </c>
      <c r="L2990" s="3" t="s">
        <v>6726</v>
      </c>
    </row>
    <row r="2991" spans="1:12" x14ac:dyDescent="0.3">
      <c r="A2991" t="s">
        <v>362</v>
      </c>
      <c r="B2991" t="s">
        <v>4380</v>
      </c>
      <c r="C2991" t="s">
        <v>8269</v>
      </c>
      <c r="L2991" s="4" t="s">
        <v>6728</v>
      </c>
    </row>
    <row r="2992" spans="1:12" x14ac:dyDescent="0.3">
      <c r="A2992" t="s">
        <v>497</v>
      </c>
      <c r="B2992" t="s">
        <v>1417</v>
      </c>
      <c r="C2992" t="s">
        <v>7473</v>
      </c>
      <c r="L2992" s="3" t="s">
        <v>6730</v>
      </c>
    </row>
    <row r="2993" spans="1:12" x14ac:dyDescent="0.3">
      <c r="A2993" t="s">
        <v>668</v>
      </c>
      <c r="B2993" t="s">
        <v>497</v>
      </c>
      <c r="C2993" t="s">
        <v>8268</v>
      </c>
      <c r="L2993" s="4" t="s">
        <v>6733</v>
      </c>
    </row>
    <row r="2994" spans="1:12" x14ac:dyDescent="0.3">
      <c r="A2994" t="s">
        <v>1417</v>
      </c>
      <c r="B2994" t="s">
        <v>5043</v>
      </c>
      <c r="C2994" t="s">
        <v>497</v>
      </c>
      <c r="L2994" s="3" t="s">
        <v>6736</v>
      </c>
    </row>
    <row r="2995" spans="1:12" x14ac:dyDescent="0.3">
      <c r="A2995" t="s">
        <v>668</v>
      </c>
      <c r="B2995" t="s">
        <v>4380</v>
      </c>
      <c r="C2995" t="s">
        <v>5138</v>
      </c>
      <c r="L2995" s="4" t="s">
        <v>6738</v>
      </c>
    </row>
    <row r="2996" spans="1:12" x14ac:dyDescent="0.3">
      <c r="A2996" t="s">
        <v>1417</v>
      </c>
      <c r="B2996" t="s">
        <v>4843</v>
      </c>
      <c r="C2996" t="s">
        <v>7104</v>
      </c>
      <c r="L2996" s="3" t="s">
        <v>6740</v>
      </c>
    </row>
    <row r="2997" spans="1:12" x14ac:dyDescent="0.3">
      <c r="A2997" t="s">
        <v>1417</v>
      </c>
      <c r="B2997" t="s">
        <v>8269</v>
      </c>
      <c r="C2997" t="s">
        <v>5138</v>
      </c>
      <c r="L2997" s="4" t="s">
        <v>6743</v>
      </c>
    </row>
    <row r="2998" spans="1:12" x14ac:dyDescent="0.3">
      <c r="A2998" t="s">
        <v>8268</v>
      </c>
      <c r="B2998" t="s">
        <v>1417</v>
      </c>
      <c r="C2998" t="s">
        <v>6171</v>
      </c>
      <c r="L2998" s="3" t="s">
        <v>6746</v>
      </c>
    </row>
    <row r="2999" spans="1:12" x14ac:dyDescent="0.3">
      <c r="A2999" t="s">
        <v>362</v>
      </c>
      <c r="B2999" t="s">
        <v>1417</v>
      </c>
      <c r="C2999" t="s">
        <v>8046</v>
      </c>
      <c r="L2999" s="4" t="s">
        <v>6748</v>
      </c>
    </row>
    <row r="3000" spans="1:12" x14ac:dyDescent="0.3">
      <c r="A3000" t="s">
        <v>1417</v>
      </c>
      <c r="B3000" t="s">
        <v>2701</v>
      </c>
      <c r="C3000" t="s">
        <v>7473</v>
      </c>
      <c r="L3000" s="3" t="s">
        <v>6750</v>
      </c>
    </row>
    <row r="3001" spans="1:12" x14ac:dyDescent="0.3">
      <c r="A3001" t="s">
        <v>8268</v>
      </c>
      <c r="B3001" t="s">
        <v>7473</v>
      </c>
      <c r="C3001" t="s">
        <v>5043</v>
      </c>
      <c r="L3001" s="4" t="s">
        <v>6752</v>
      </c>
    </row>
    <row r="3002" spans="1:12" x14ac:dyDescent="0.3">
      <c r="A3002" t="s">
        <v>668</v>
      </c>
      <c r="B3002" t="s">
        <v>362</v>
      </c>
      <c r="C3002" t="s">
        <v>4380</v>
      </c>
      <c r="L3002" s="3" t="s">
        <v>6754</v>
      </c>
    </row>
    <row r="3003" spans="1:12" x14ac:dyDescent="0.3">
      <c r="A3003" t="s">
        <v>668</v>
      </c>
      <c r="B3003" t="s">
        <v>4380</v>
      </c>
      <c r="C3003" t="s">
        <v>8266</v>
      </c>
      <c r="L3003" s="4" t="s">
        <v>6756</v>
      </c>
    </row>
    <row r="3004" spans="1:12" x14ac:dyDescent="0.3">
      <c r="A3004" t="s">
        <v>1417</v>
      </c>
      <c r="B3004" t="s">
        <v>668</v>
      </c>
      <c r="C3004" t="s">
        <v>4380</v>
      </c>
      <c r="L3004" s="3" t="s">
        <v>6758</v>
      </c>
    </row>
    <row r="3005" spans="1:12" x14ac:dyDescent="0.3">
      <c r="A3005" t="s">
        <v>668</v>
      </c>
      <c r="B3005" t="s">
        <v>1417</v>
      </c>
      <c r="C3005" t="s">
        <v>2701</v>
      </c>
      <c r="L3005" s="4" t="s">
        <v>6760</v>
      </c>
    </row>
    <row r="3006" spans="1:12" x14ac:dyDescent="0.3">
      <c r="A3006" t="s">
        <v>8268</v>
      </c>
      <c r="B3006" t="s">
        <v>7473</v>
      </c>
      <c r="C3006" t="s">
        <v>8266</v>
      </c>
      <c r="L3006" s="3" t="s">
        <v>6762</v>
      </c>
    </row>
    <row r="3007" spans="1:12" x14ac:dyDescent="0.3">
      <c r="A3007" t="s">
        <v>1417</v>
      </c>
      <c r="B3007" t="s">
        <v>8268</v>
      </c>
      <c r="C3007" t="s">
        <v>7473</v>
      </c>
      <c r="L3007" s="4" t="s">
        <v>6764</v>
      </c>
    </row>
    <row r="3008" spans="1:12" x14ac:dyDescent="0.3">
      <c r="A3008" t="s">
        <v>668</v>
      </c>
      <c r="B3008" t="s">
        <v>362</v>
      </c>
      <c r="C3008" t="s">
        <v>5138</v>
      </c>
      <c r="L3008" s="3" t="s">
        <v>6766</v>
      </c>
    </row>
    <row r="3009" spans="1:12" x14ac:dyDescent="0.3">
      <c r="A3009" t="s">
        <v>668</v>
      </c>
      <c r="B3009" t="s">
        <v>668</v>
      </c>
      <c r="C3009" t="s">
        <v>8266</v>
      </c>
      <c r="L3009" s="4" t="s">
        <v>6768</v>
      </c>
    </row>
    <row r="3010" spans="1:12" x14ac:dyDescent="0.3">
      <c r="A3010" t="s">
        <v>8266</v>
      </c>
      <c r="B3010" t="s">
        <v>7473</v>
      </c>
      <c r="C3010" t="s">
        <v>5043</v>
      </c>
      <c r="L3010" s="3" t="s">
        <v>6770</v>
      </c>
    </row>
    <row r="3011" spans="1:12" x14ac:dyDescent="0.3">
      <c r="A3011" t="s">
        <v>1417</v>
      </c>
      <c r="B3011" t="s">
        <v>4380</v>
      </c>
      <c r="C3011" t="s">
        <v>4380</v>
      </c>
      <c r="L3011" s="4" t="s">
        <v>6772</v>
      </c>
    </row>
    <row r="3012" spans="1:12" x14ac:dyDescent="0.3">
      <c r="A3012" t="s">
        <v>362</v>
      </c>
      <c r="B3012" t="s">
        <v>2701</v>
      </c>
      <c r="C3012" t="s">
        <v>5138</v>
      </c>
      <c r="L3012" s="3" t="s">
        <v>6774</v>
      </c>
    </row>
    <row r="3013" spans="1:12" x14ac:dyDescent="0.3">
      <c r="A3013" t="s">
        <v>521</v>
      </c>
      <c r="B3013" t="s">
        <v>362</v>
      </c>
      <c r="C3013" t="s">
        <v>4380</v>
      </c>
      <c r="L3013" s="4" t="s">
        <v>6776</v>
      </c>
    </row>
    <row r="3014" spans="1:12" x14ac:dyDescent="0.3">
      <c r="A3014" t="s">
        <v>521</v>
      </c>
      <c r="B3014" t="s">
        <v>8268</v>
      </c>
      <c r="C3014" t="s">
        <v>7473</v>
      </c>
      <c r="L3014" s="3" t="s">
        <v>6778</v>
      </c>
    </row>
    <row r="3015" spans="1:12" x14ac:dyDescent="0.3">
      <c r="A3015" t="s">
        <v>521</v>
      </c>
      <c r="B3015" t="s">
        <v>4843</v>
      </c>
      <c r="C3015" t="s">
        <v>7473</v>
      </c>
      <c r="L3015" s="4" t="s">
        <v>6781</v>
      </c>
    </row>
    <row r="3016" spans="1:12" x14ac:dyDescent="0.3">
      <c r="A3016" t="s">
        <v>497</v>
      </c>
      <c r="B3016" t="s">
        <v>668</v>
      </c>
      <c r="C3016" t="s">
        <v>8267</v>
      </c>
      <c r="L3016" s="3" t="s">
        <v>6783</v>
      </c>
    </row>
    <row r="3017" spans="1:12" x14ac:dyDescent="0.3">
      <c r="A3017" t="s">
        <v>1417</v>
      </c>
      <c r="B3017" t="s">
        <v>8269</v>
      </c>
      <c r="C3017" t="s">
        <v>7104</v>
      </c>
      <c r="L3017" s="4" t="s">
        <v>6786</v>
      </c>
    </row>
    <row r="3018" spans="1:12" x14ac:dyDescent="0.3">
      <c r="A3018" t="s">
        <v>5524</v>
      </c>
      <c r="B3018" t="s">
        <v>2701</v>
      </c>
      <c r="C3018" t="s">
        <v>4380</v>
      </c>
      <c r="L3018" s="3" t="s">
        <v>6789</v>
      </c>
    </row>
    <row r="3019" spans="1:12" x14ac:dyDescent="0.3">
      <c r="A3019" t="s">
        <v>668</v>
      </c>
      <c r="B3019" t="s">
        <v>1417</v>
      </c>
      <c r="C3019" t="s">
        <v>5138</v>
      </c>
      <c r="L3019" s="4" t="s">
        <v>6792</v>
      </c>
    </row>
    <row r="3020" spans="1:12" x14ac:dyDescent="0.3">
      <c r="A3020" t="s">
        <v>7104</v>
      </c>
      <c r="B3020" t="s">
        <v>5138</v>
      </c>
      <c r="C3020" t="s">
        <v>8266</v>
      </c>
      <c r="L3020" s="3" t="s">
        <v>6794</v>
      </c>
    </row>
    <row r="3021" spans="1:12" x14ac:dyDescent="0.3">
      <c r="A3021" t="s">
        <v>497</v>
      </c>
      <c r="B3021" t="s">
        <v>668</v>
      </c>
      <c r="C3021" t="s">
        <v>5138</v>
      </c>
      <c r="L3021" s="4" t="s">
        <v>6797</v>
      </c>
    </row>
    <row r="3022" spans="1:12" x14ac:dyDescent="0.3">
      <c r="A3022" t="s">
        <v>1417</v>
      </c>
      <c r="B3022" t="s">
        <v>7473</v>
      </c>
      <c r="C3022" t="s">
        <v>8267</v>
      </c>
      <c r="L3022" s="3" t="s">
        <v>6799</v>
      </c>
    </row>
    <row r="3023" spans="1:12" x14ac:dyDescent="0.3">
      <c r="A3023" t="s">
        <v>1417</v>
      </c>
      <c r="B3023" t="s">
        <v>5138</v>
      </c>
      <c r="C3023" t="s">
        <v>5138</v>
      </c>
      <c r="L3023" s="4" t="s">
        <v>6801</v>
      </c>
    </row>
    <row r="3024" spans="1:12" x14ac:dyDescent="0.3">
      <c r="A3024" t="s">
        <v>1417</v>
      </c>
      <c r="B3024" t="s">
        <v>4380</v>
      </c>
      <c r="C3024" t="s">
        <v>1417</v>
      </c>
      <c r="L3024" s="3" t="s">
        <v>6803</v>
      </c>
    </row>
    <row r="3025" spans="1:12" x14ac:dyDescent="0.3">
      <c r="A3025" t="s">
        <v>668</v>
      </c>
      <c r="B3025" t="s">
        <v>1417</v>
      </c>
      <c r="C3025" t="s">
        <v>5138</v>
      </c>
      <c r="L3025" s="4" t="s">
        <v>6805</v>
      </c>
    </row>
    <row r="3026" spans="1:12" x14ac:dyDescent="0.3">
      <c r="A3026" t="s">
        <v>521</v>
      </c>
      <c r="B3026" t="s">
        <v>7104</v>
      </c>
      <c r="C3026" t="s">
        <v>4380</v>
      </c>
      <c r="L3026" s="3" t="s">
        <v>6808</v>
      </c>
    </row>
    <row r="3027" spans="1:12" x14ac:dyDescent="0.3">
      <c r="A3027" t="s">
        <v>668</v>
      </c>
      <c r="B3027" t="s">
        <v>362</v>
      </c>
      <c r="C3027" t="s">
        <v>5043</v>
      </c>
      <c r="L3027" s="4" t="s">
        <v>6810</v>
      </c>
    </row>
    <row r="3028" spans="1:12" x14ac:dyDescent="0.3">
      <c r="A3028" t="s">
        <v>1417</v>
      </c>
      <c r="B3028" t="s">
        <v>2701</v>
      </c>
      <c r="C3028" t="s">
        <v>4380</v>
      </c>
      <c r="L3028" s="3" t="s">
        <v>6812</v>
      </c>
    </row>
    <row r="3029" spans="1:12" x14ac:dyDescent="0.3">
      <c r="A3029" t="s">
        <v>362</v>
      </c>
      <c r="B3029" t="s">
        <v>1417</v>
      </c>
      <c r="C3029" t="s">
        <v>4380</v>
      </c>
      <c r="L3029" s="4" t="s">
        <v>6814</v>
      </c>
    </row>
    <row r="3030" spans="1:12" x14ac:dyDescent="0.3">
      <c r="A3030" t="s">
        <v>668</v>
      </c>
      <c r="B3030" t="s">
        <v>8268</v>
      </c>
      <c r="C3030" t="s">
        <v>7473</v>
      </c>
      <c r="L3030" s="3" t="s">
        <v>6816</v>
      </c>
    </row>
    <row r="3031" spans="1:12" x14ac:dyDescent="0.3">
      <c r="A3031" t="s">
        <v>5524</v>
      </c>
      <c r="B3031" t="s">
        <v>1417</v>
      </c>
      <c r="C3031" t="s">
        <v>4380</v>
      </c>
      <c r="L3031" s="4" t="s">
        <v>6818</v>
      </c>
    </row>
    <row r="3032" spans="1:12" x14ac:dyDescent="0.3">
      <c r="A3032" t="s">
        <v>521</v>
      </c>
      <c r="B3032" t="s">
        <v>2701</v>
      </c>
      <c r="C3032" t="s">
        <v>1417</v>
      </c>
      <c r="L3032" s="3" t="s">
        <v>6820</v>
      </c>
    </row>
    <row r="3033" spans="1:12" x14ac:dyDescent="0.3">
      <c r="A3033" t="s">
        <v>668</v>
      </c>
      <c r="B3033" t="s">
        <v>1417</v>
      </c>
      <c r="C3033" t="s">
        <v>8266</v>
      </c>
      <c r="L3033" s="4" t="s">
        <v>6822</v>
      </c>
    </row>
    <row r="3034" spans="1:12" x14ac:dyDescent="0.3">
      <c r="A3034" t="s">
        <v>1417</v>
      </c>
      <c r="B3034" t="s">
        <v>2701</v>
      </c>
      <c r="C3034" t="s">
        <v>7473</v>
      </c>
      <c r="L3034" s="3" t="s">
        <v>6824</v>
      </c>
    </row>
    <row r="3035" spans="1:12" x14ac:dyDescent="0.3">
      <c r="A3035" t="s">
        <v>521</v>
      </c>
      <c r="B3035" t="s">
        <v>1417</v>
      </c>
      <c r="C3035" t="s">
        <v>4380</v>
      </c>
      <c r="L3035" s="4" t="s">
        <v>6826</v>
      </c>
    </row>
    <row r="3036" spans="1:12" x14ac:dyDescent="0.3">
      <c r="A3036" t="s">
        <v>668</v>
      </c>
      <c r="B3036" t="s">
        <v>668</v>
      </c>
      <c r="C3036" t="s">
        <v>7473</v>
      </c>
      <c r="L3036" s="3" t="s">
        <v>6828</v>
      </c>
    </row>
    <row r="3037" spans="1:12" x14ac:dyDescent="0.3">
      <c r="A3037" t="s">
        <v>668</v>
      </c>
      <c r="B3037" t="s">
        <v>4380</v>
      </c>
      <c r="C3037" t="s">
        <v>7473</v>
      </c>
      <c r="L3037" s="4" t="s">
        <v>6830</v>
      </c>
    </row>
    <row r="3038" spans="1:12" x14ac:dyDescent="0.3">
      <c r="A3038" t="s">
        <v>8268</v>
      </c>
      <c r="B3038" t="s">
        <v>1417</v>
      </c>
      <c r="C3038" t="s">
        <v>2701</v>
      </c>
      <c r="L3038" s="3" t="s">
        <v>6832</v>
      </c>
    </row>
    <row r="3039" spans="1:12" x14ac:dyDescent="0.3">
      <c r="A3039" t="s">
        <v>1417</v>
      </c>
      <c r="B3039" t="s">
        <v>7473</v>
      </c>
      <c r="C3039" t="s">
        <v>8266</v>
      </c>
      <c r="L3039" s="4" t="s">
        <v>6835</v>
      </c>
    </row>
    <row r="3040" spans="1:12" x14ac:dyDescent="0.3">
      <c r="A3040" t="s">
        <v>8268</v>
      </c>
      <c r="B3040" t="s">
        <v>5524</v>
      </c>
      <c r="C3040" t="s">
        <v>4380</v>
      </c>
      <c r="L3040" s="3" t="s">
        <v>6837</v>
      </c>
    </row>
    <row r="3041" spans="1:12" x14ac:dyDescent="0.3">
      <c r="A3041" t="s">
        <v>1417</v>
      </c>
      <c r="B3041" t="s">
        <v>1417</v>
      </c>
      <c r="C3041" t="s">
        <v>1417</v>
      </c>
      <c r="L3041" s="4" t="s">
        <v>6839</v>
      </c>
    </row>
    <row r="3042" spans="1:12" x14ac:dyDescent="0.3">
      <c r="A3042" t="s">
        <v>2701</v>
      </c>
      <c r="B3042" t="s">
        <v>7473</v>
      </c>
      <c r="C3042" t="s">
        <v>1417</v>
      </c>
      <c r="L3042" s="3" t="s">
        <v>6841</v>
      </c>
    </row>
    <row r="3043" spans="1:12" x14ac:dyDescent="0.3">
      <c r="A3043" t="s">
        <v>668</v>
      </c>
      <c r="B3043" t="s">
        <v>8268</v>
      </c>
      <c r="C3043" t="s">
        <v>4380</v>
      </c>
      <c r="L3043" s="4" t="s">
        <v>6843</v>
      </c>
    </row>
    <row r="3044" spans="1:12" x14ac:dyDescent="0.3">
      <c r="A3044" t="s">
        <v>1417</v>
      </c>
      <c r="B3044" t="s">
        <v>1417</v>
      </c>
      <c r="C3044" t="s">
        <v>4380</v>
      </c>
      <c r="L3044" s="3" t="s">
        <v>6845</v>
      </c>
    </row>
    <row r="3045" spans="1:12" x14ac:dyDescent="0.3">
      <c r="A3045" t="s">
        <v>668</v>
      </c>
      <c r="B3045" t="s">
        <v>7104</v>
      </c>
      <c r="C3045" t="s">
        <v>4380</v>
      </c>
      <c r="L3045" s="4" t="s">
        <v>6847</v>
      </c>
    </row>
    <row r="3046" spans="1:12" x14ac:dyDescent="0.3">
      <c r="A3046" t="s">
        <v>8268</v>
      </c>
      <c r="B3046" t="s">
        <v>7473</v>
      </c>
      <c r="C3046" t="s">
        <v>4380</v>
      </c>
      <c r="L3046" s="3" t="s">
        <v>6849</v>
      </c>
    </row>
    <row r="3047" spans="1:12" x14ac:dyDescent="0.3">
      <c r="A3047" t="s">
        <v>1417</v>
      </c>
      <c r="B3047" t="s">
        <v>362</v>
      </c>
      <c r="C3047" t="s">
        <v>7473</v>
      </c>
      <c r="L3047" s="4" t="s">
        <v>6851</v>
      </c>
    </row>
    <row r="3048" spans="1:12" x14ac:dyDescent="0.3">
      <c r="A3048" t="s">
        <v>2701</v>
      </c>
      <c r="B3048" t="s">
        <v>1417</v>
      </c>
      <c r="C3048" t="s">
        <v>2701</v>
      </c>
      <c r="L3048" s="3" t="s">
        <v>6853</v>
      </c>
    </row>
    <row r="3049" spans="1:12" x14ac:dyDescent="0.3">
      <c r="A3049" t="s">
        <v>1417</v>
      </c>
      <c r="B3049" t="s">
        <v>1417</v>
      </c>
      <c r="C3049" t="s">
        <v>7473</v>
      </c>
      <c r="L3049" s="4" t="s">
        <v>6855</v>
      </c>
    </row>
    <row r="3050" spans="1:12" x14ac:dyDescent="0.3">
      <c r="A3050" t="s">
        <v>362</v>
      </c>
      <c r="B3050" t="s">
        <v>5043</v>
      </c>
      <c r="C3050" t="s">
        <v>8266</v>
      </c>
      <c r="L3050" s="3" t="s">
        <v>6857</v>
      </c>
    </row>
    <row r="3051" spans="1:12" x14ac:dyDescent="0.3">
      <c r="A3051" t="s">
        <v>668</v>
      </c>
      <c r="B3051" t="s">
        <v>5043</v>
      </c>
      <c r="C3051" t="s">
        <v>4380</v>
      </c>
      <c r="L3051" s="4" t="s">
        <v>6859</v>
      </c>
    </row>
    <row r="3052" spans="1:12" x14ac:dyDescent="0.3">
      <c r="A3052" t="s">
        <v>668</v>
      </c>
      <c r="B3052" t="s">
        <v>2701</v>
      </c>
      <c r="C3052" t="s">
        <v>4380</v>
      </c>
      <c r="L3052" s="3" t="s">
        <v>6861</v>
      </c>
    </row>
    <row r="3053" spans="1:12" x14ac:dyDescent="0.3">
      <c r="A3053" t="s">
        <v>668</v>
      </c>
      <c r="B3053" t="s">
        <v>5043</v>
      </c>
      <c r="C3053" t="s">
        <v>1417</v>
      </c>
      <c r="L3053" s="4" t="s">
        <v>6863</v>
      </c>
    </row>
    <row r="3054" spans="1:12" x14ac:dyDescent="0.3">
      <c r="A3054" t="s">
        <v>668</v>
      </c>
      <c r="B3054" t="s">
        <v>362</v>
      </c>
      <c r="C3054" t="s">
        <v>8266</v>
      </c>
      <c r="L3054" s="3" t="s">
        <v>6865</v>
      </c>
    </row>
    <row r="3055" spans="1:12" x14ac:dyDescent="0.3">
      <c r="A3055" t="s">
        <v>8268</v>
      </c>
      <c r="B3055" t="s">
        <v>7104</v>
      </c>
      <c r="C3055" t="s">
        <v>4380</v>
      </c>
      <c r="L3055" s="4" t="s">
        <v>6867</v>
      </c>
    </row>
    <row r="3056" spans="1:12" x14ac:dyDescent="0.3">
      <c r="A3056" t="s">
        <v>5524</v>
      </c>
      <c r="B3056" t="s">
        <v>8268</v>
      </c>
      <c r="C3056" t="s">
        <v>7473</v>
      </c>
      <c r="L3056" s="3" t="s">
        <v>6869</v>
      </c>
    </row>
    <row r="3057" spans="1:12" x14ac:dyDescent="0.3">
      <c r="A3057" t="s">
        <v>5524</v>
      </c>
      <c r="B3057" t="s">
        <v>8046</v>
      </c>
      <c r="L3057" s="4" t="s">
        <v>6871</v>
      </c>
    </row>
    <row r="3058" spans="1:12" x14ac:dyDescent="0.3">
      <c r="A3058" t="s">
        <v>668</v>
      </c>
      <c r="B3058" t="s">
        <v>5043</v>
      </c>
      <c r="L3058" s="3" t="s">
        <v>6873</v>
      </c>
    </row>
    <row r="3059" spans="1:12" x14ac:dyDescent="0.3">
      <c r="A3059" t="s">
        <v>668</v>
      </c>
      <c r="B3059" t="s">
        <v>1417</v>
      </c>
      <c r="L3059" s="4" t="s">
        <v>6875</v>
      </c>
    </row>
    <row r="3060" spans="1:12" x14ac:dyDescent="0.3">
      <c r="A3060" t="s">
        <v>1417</v>
      </c>
      <c r="B3060" t="s">
        <v>7473</v>
      </c>
      <c r="L3060" s="3" t="s">
        <v>6877</v>
      </c>
    </row>
    <row r="3061" spans="1:12" x14ac:dyDescent="0.3">
      <c r="A3061" t="s">
        <v>5524</v>
      </c>
      <c r="B3061" t="s">
        <v>668</v>
      </c>
      <c r="L3061" s="4" t="s">
        <v>6879</v>
      </c>
    </row>
    <row r="3062" spans="1:12" x14ac:dyDescent="0.3">
      <c r="A3062" t="s">
        <v>8268</v>
      </c>
      <c r="B3062" t="s">
        <v>4843</v>
      </c>
      <c r="L3062" s="3" t="s">
        <v>6881</v>
      </c>
    </row>
    <row r="3063" spans="1:12" x14ac:dyDescent="0.3">
      <c r="A3063" t="s">
        <v>668</v>
      </c>
      <c r="B3063" t="s">
        <v>5138</v>
      </c>
      <c r="L3063" s="4" t="s">
        <v>6883</v>
      </c>
    </row>
    <row r="3064" spans="1:12" x14ac:dyDescent="0.3">
      <c r="A3064" t="s">
        <v>668</v>
      </c>
      <c r="B3064" t="s">
        <v>8046</v>
      </c>
      <c r="L3064" s="3" t="s">
        <v>6885</v>
      </c>
    </row>
    <row r="3065" spans="1:12" x14ac:dyDescent="0.3">
      <c r="A3065" t="s">
        <v>1417</v>
      </c>
      <c r="B3065" t="s">
        <v>1417</v>
      </c>
      <c r="L3065" s="4" t="s">
        <v>6887</v>
      </c>
    </row>
    <row r="3066" spans="1:12" x14ac:dyDescent="0.3">
      <c r="A3066" t="s">
        <v>1417</v>
      </c>
      <c r="B3066" t="s">
        <v>8266</v>
      </c>
      <c r="L3066" s="3" t="s">
        <v>6889</v>
      </c>
    </row>
    <row r="3067" spans="1:12" x14ac:dyDescent="0.3">
      <c r="A3067" t="s">
        <v>362</v>
      </c>
      <c r="B3067" t="s">
        <v>362</v>
      </c>
      <c r="L3067" s="4" t="s">
        <v>6891</v>
      </c>
    </row>
    <row r="3068" spans="1:12" x14ac:dyDescent="0.3">
      <c r="A3068" t="s">
        <v>1417</v>
      </c>
      <c r="B3068" t="s">
        <v>8268</v>
      </c>
      <c r="L3068" s="3" t="s">
        <v>6893</v>
      </c>
    </row>
    <row r="3069" spans="1:12" x14ac:dyDescent="0.3">
      <c r="A3069" t="s">
        <v>668</v>
      </c>
      <c r="B3069" t="s">
        <v>497</v>
      </c>
      <c r="L3069" s="4" t="s">
        <v>6895</v>
      </c>
    </row>
    <row r="3070" spans="1:12" x14ac:dyDescent="0.3">
      <c r="A3070" t="s">
        <v>5524</v>
      </c>
      <c r="B3070" t="s">
        <v>5043</v>
      </c>
      <c r="L3070" s="3" t="s">
        <v>6898</v>
      </c>
    </row>
    <row r="3071" spans="1:12" x14ac:dyDescent="0.3">
      <c r="A3071" t="s">
        <v>497</v>
      </c>
      <c r="B3071" t="s">
        <v>5043</v>
      </c>
      <c r="L3071" s="4" t="s">
        <v>6900</v>
      </c>
    </row>
    <row r="3072" spans="1:12" x14ac:dyDescent="0.3">
      <c r="A3072" t="s">
        <v>8268</v>
      </c>
      <c r="B3072" t="s">
        <v>668</v>
      </c>
      <c r="L3072" s="3" t="s">
        <v>6903</v>
      </c>
    </row>
    <row r="3073" spans="1:12" x14ac:dyDescent="0.3">
      <c r="A3073" t="s">
        <v>2701</v>
      </c>
      <c r="B3073" t="s">
        <v>7104</v>
      </c>
      <c r="L3073" s="4" t="s">
        <v>6905</v>
      </c>
    </row>
    <row r="3074" spans="1:12" x14ac:dyDescent="0.3">
      <c r="A3074" t="s">
        <v>8268</v>
      </c>
      <c r="B3074" t="s">
        <v>1417</v>
      </c>
      <c r="L3074" s="3" t="s">
        <v>6907</v>
      </c>
    </row>
    <row r="3075" spans="1:12" x14ac:dyDescent="0.3">
      <c r="A3075" t="s">
        <v>668</v>
      </c>
      <c r="B3075" t="s">
        <v>5043</v>
      </c>
      <c r="L3075" s="4" t="s">
        <v>6909</v>
      </c>
    </row>
    <row r="3076" spans="1:12" x14ac:dyDescent="0.3">
      <c r="A3076" t="s">
        <v>8268</v>
      </c>
      <c r="B3076" t="s">
        <v>2701</v>
      </c>
      <c r="L3076" s="3" t="s">
        <v>6911</v>
      </c>
    </row>
    <row r="3077" spans="1:12" x14ac:dyDescent="0.3">
      <c r="A3077" t="s">
        <v>1417</v>
      </c>
      <c r="B3077" t="s">
        <v>1417</v>
      </c>
      <c r="L3077" s="4" t="s">
        <v>6913</v>
      </c>
    </row>
    <row r="3078" spans="1:12" x14ac:dyDescent="0.3">
      <c r="A3078" t="s">
        <v>668</v>
      </c>
      <c r="B3078" t="s">
        <v>1417</v>
      </c>
      <c r="L3078" s="3" t="s">
        <v>6915</v>
      </c>
    </row>
    <row r="3079" spans="1:12" x14ac:dyDescent="0.3">
      <c r="A3079" t="s">
        <v>2701</v>
      </c>
      <c r="B3079" t="s">
        <v>1417</v>
      </c>
      <c r="L3079" s="4" t="s">
        <v>6917</v>
      </c>
    </row>
    <row r="3080" spans="1:12" x14ac:dyDescent="0.3">
      <c r="A3080" t="s">
        <v>2701</v>
      </c>
      <c r="B3080" t="s">
        <v>5043</v>
      </c>
      <c r="L3080" s="3" t="s">
        <v>6919</v>
      </c>
    </row>
    <row r="3081" spans="1:12" x14ac:dyDescent="0.3">
      <c r="A3081" t="s">
        <v>362</v>
      </c>
      <c r="B3081" t="s">
        <v>362</v>
      </c>
      <c r="L3081" s="4" t="s">
        <v>6921</v>
      </c>
    </row>
    <row r="3082" spans="1:12" x14ac:dyDescent="0.3">
      <c r="A3082" t="s">
        <v>7104</v>
      </c>
      <c r="B3082" t="s">
        <v>1417</v>
      </c>
      <c r="L3082" s="3" t="s">
        <v>6923</v>
      </c>
    </row>
    <row r="3083" spans="1:12" x14ac:dyDescent="0.3">
      <c r="A3083" t="s">
        <v>668</v>
      </c>
      <c r="B3083" t="s">
        <v>1417</v>
      </c>
      <c r="L3083" s="4" t="s">
        <v>6925</v>
      </c>
    </row>
    <row r="3084" spans="1:12" x14ac:dyDescent="0.3">
      <c r="A3084" t="s">
        <v>362</v>
      </c>
      <c r="B3084" t="s">
        <v>8269</v>
      </c>
      <c r="L3084" s="3" t="s">
        <v>6927</v>
      </c>
    </row>
    <row r="3085" spans="1:12" x14ac:dyDescent="0.3">
      <c r="A3085" t="s">
        <v>668</v>
      </c>
      <c r="B3085" t="s">
        <v>1417</v>
      </c>
      <c r="L3085" s="4" t="s">
        <v>6930</v>
      </c>
    </row>
    <row r="3086" spans="1:12" x14ac:dyDescent="0.3">
      <c r="A3086" t="s">
        <v>668</v>
      </c>
      <c r="B3086" t="s">
        <v>1417</v>
      </c>
      <c r="L3086" s="3" t="s">
        <v>6932</v>
      </c>
    </row>
    <row r="3087" spans="1:12" x14ac:dyDescent="0.3">
      <c r="A3087" t="s">
        <v>668</v>
      </c>
      <c r="B3087" t="s">
        <v>1417</v>
      </c>
      <c r="L3087" s="4" t="s">
        <v>6934</v>
      </c>
    </row>
    <row r="3088" spans="1:12" x14ac:dyDescent="0.3">
      <c r="A3088" t="s">
        <v>1417</v>
      </c>
      <c r="B3088" t="s">
        <v>6902</v>
      </c>
      <c r="L3088" s="3" t="s">
        <v>6936</v>
      </c>
    </row>
    <row r="3089" spans="1:12" x14ac:dyDescent="0.3">
      <c r="A3089" t="s">
        <v>1417</v>
      </c>
      <c r="B3089" t="s">
        <v>362</v>
      </c>
      <c r="L3089" s="4" t="s">
        <v>6939</v>
      </c>
    </row>
    <row r="3090" spans="1:12" x14ac:dyDescent="0.3">
      <c r="A3090" t="s">
        <v>668</v>
      </c>
      <c r="B3090" t="s">
        <v>1417</v>
      </c>
      <c r="L3090" s="3" t="s">
        <v>6941</v>
      </c>
    </row>
    <row r="3091" spans="1:12" x14ac:dyDescent="0.3">
      <c r="A3091" t="s">
        <v>1417</v>
      </c>
      <c r="B3091" t="s">
        <v>668</v>
      </c>
      <c r="L3091" s="4" t="s">
        <v>6943</v>
      </c>
    </row>
    <row r="3092" spans="1:12" x14ac:dyDescent="0.3">
      <c r="A3092" t="s">
        <v>1417</v>
      </c>
      <c r="B3092" t="s">
        <v>1417</v>
      </c>
      <c r="L3092" s="3" t="s">
        <v>6946</v>
      </c>
    </row>
    <row r="3093" spans="1:12" x14ac:dyDescent="0.3">
      <c r="A3093" t="s">
        <v>2701</v>
      </c>
      <c r="B3093" t="s">
        <v>2701</v>
      </c>
      <c r="L3093" s="4" t="s">
        <v>6949</v>
      </c>
    </row>
    <row r="3094" spans="1:12" x14ac:dyDescent="0.3">
      <c r="A3094" t="s">
        <v>521</v>
      </c>
      <c r="B3094" t="s">
        <v>1417</v>
      </c>
      <c r="L3094" s="3" t="s">
        <v>6951</v>
      </c>
    </row>
    <row r="3095" spans="1:12" x14ac:dyDescent="0.3">
      <c r="A3095" t="s">
        <v>668</v>
      </c>
      <c r="B3095" t="s">
        <v>497</v>
      </c>
      <c r="L3095" s="4" t="s">
        <v>6953</v>
      </c>
    </row>
    <row r="3096" spans="1:12" x14ac:dyDescent="0.3">
      <c r="A3096" t="s">
        <v>521</v>
      </c>
      <c r="B3096" t="s">
        <v>1417</v>
      </c>
      <c r="L3096" s="3" t="s">
        <v>6955</v>
      </c>
    </row>
    <row r="3097" spans="1:12" x14ac:dyDescent="0.3">
      <c r="A3097" t="s">
        <v>668</v>
      </c>
      <c r="B3097" t="s">
        <v>1417</v>
      </c>
      <c r="L3097" s="4" t="s">
        <v>6957</v>
      </c>
    </row>
    <row r="3098" spans="1:12" x14ac:dyDescent="0.3">
      <c r="A3098" t="s">
        <v>1417</v>
      </c>
      <c r="B3098" t="s">
        <v>2701</v>
      </c>
      <c r="L3098" s="3" t="s">
        <v>6959</v>
      </c>
    </row>
    <row r="3099" spans="1:12" x14ac:dyDescent="0.3">
      <c r="A3099" t="s">
        <v>2701</v>
      </c>
      <c r="B3099" t="s">
        <v>5043</v>
      </c>
      <c r="L3099" s="4" t="s">
        <v>6961</v>
      </c>
    </row>
    <row r="3100" spans="1:12" x14ac:dyDescent="0.3">
      <c r="A3100" t="s">
        <v>1417</v>
      </c>
      <c r="B3100" t="s">
        <v>8268</v>
      </c>
      <c r="L3100" s="3" t="s">
        <v>6963</v>
      </c>
    </row>
    <row r="3101" spans="1:12" x14ac:dyDescent="0.3">
      <c r="A3101" t="s">
        <v>668</v>
      </c>
      <c r="B3101" t="s">
        <v>1417</v>
      </c>
      <c r="L3101" s="4" t="s">
        <v>6965</v>
      </c>
    </row>
    <row r="3102" spans="1:12" x14ac:dyDescent="0.3">
      <c r="A3102" t="s">
        <v>1417</v>
      </c>
      <c r="B3102" t="s">
        <v>8268</v>
      </c>
      <c r="L3102" s="3" t="s">
        <v>6967</v>
      </c>
    </row>
    <row r="3103" spans="1:12" x14ac:dyDescent="0.3">
      <c r="A3103" t="s">
        <v>521</v>
      </c>
      <c r="B3103" t="s">
        <v>1417</v>
      </c>
      <c r="L3103" s="4" t="s">
        <v>6969</v>
      </c>
    </row>
    <row r="3104" spans="1:12" x14ac:dyDescent="0.3">
      <c r="A3104" t="s">
        <v>668</v>
      </c>
      <c r="B3104" t="s">
        <v>8266</v>
      </c>
      <c r="L3104" s="3" t="s">
        <v>6971</v>
      </c>
    </row>
    <row r="3105" spans="1:12" x14ac:dyDescent="0.3">
      <c r="A3105" t="s">
        <v>2701</v>
      </c>
      <c r="B3105" t="s">
        <v>497</v>
      </c>
      <c r="L3105" s="4" t="s">
        <v>6973</v>
      </c>
    </row>
    <row r="3106" spans="1:12" x14ac:dyDescent="0.3">
      <c r="A3106" t="s">
        <v>668</v>
      </c>
      <c r="B3106" t="s">
        <v>7473</v>
      </c>
      <c r="L3106" s="3" t="s">
        <v>6975</v>
      </c>
    </row>
    <row r="3107" spans="1:12" x14ac:dyDescent="0.3">
      <c r="A3107" t="s">
        <v>2701</v>
      </c>
      <c r="B3107" t="s">
        <v>497</v>
      </c>
      <c r="L3107" s="4" t="s">
        <v>6977</v>
      </c>
    </row>
    <row r="3108" spans="1:12" x14ac:dyDescent="0.3">
      <c r="A3108" t="s">
        <v>362</v>
      </c>
      <c r="B3108" t="s">
        <v>1417</v>
      </c>
      <c r="L3108" s="3" t="s">
        <v>6979</v>
      </c>
    </row>
    <row r="3109" spans="1:12" x14ac:dyDescent="0.3">
      <c r="A3109" t="s">
        <v>1417</v>
      </c>
      <c r="B3109" t="s">
        <v>362</v>
      </c>
      <c r="L3109" s="4" t="s">
        <v>6981</v>
      </c>
    </row>
    <row r="3110" spans="1:12" x14ac:dyDescent="0.3">
      <c r="A3110" t="s">
        <v>668</v>
      </c>
      <c r="B3110" t="s">
        <v>8268</v>
      </c>
      <c r="L3110" s="3" t="s">
        <v>6983</v>
      </c>
    </row>
    <row r="3111" spans="1:12" x14ac:dyDescent="0.3">
      <c r="A3111" t="s">
        <v>4843</v>
      </c>
      <c r="B3111" t="s">
        <v>2701</v>
      </c>
      <c r="L3111" s="4" t="s">
        <v>6985</v>
      </c>
    </row>
    <row r="3112" spans="1:12" x14ac:dyDescent="0.3">
      <c r="A3112" t="s">
        <v>521</v>
      </c>
      <c r="B3112" t="s">
        <v>1417</v>
      </c>
      <c r="L3112" s="3" t="s">
        <v>6987</v>
      </c>
    </row>
    <row r="3113" spans="1:12" x14ac:dyDescent="0.3">
      <c r="A3113" t="s">
        <v>521</v>
      </c>
      <c r="B3113" t="s">
        <v>8268</v>
      </c>
      <c r="L3113" s="4" t="s">
        <v>6989</v>
      </c>
    </row>
    <row r="3114" spans="1:12" x14ac:dyDescent="0.3">
      <c r="A3114" t="s">
        <v>2701</v>
      </c>
      <c r="B3114" t="s">
        <v>7473</v>
      </c>
      <c r="L3114" s="3" t="s">
        <v>6991</v>
      </c>
    </row>
    <row r="3115" spans="1:12" x14ac:dyDescent="0.3">
      <c r="A3115" t="s">
        <v>2701</v>
      </c>
      <c r="B3115" t="s">
        <v>4380</v>
      </c>
      <c r="L3115" s="4" t="s">
        <v>6993</v>
      </c>
    </row>
    <row r="3116" spans="1:12" x14ac:dyDescent="0.3">
      <c r="A3116" t="s">
        <v>668</v>
      </c>
      <c r="B3116" t="s">
        <v>1417</v>
      </c>
      <c r="L3116" s="3" t="s">
        <v>6995</v>
      </c>
    </row>
    <row r="3117" spans="1:12" x14ac:dyDescent="0.3">
      <c r="A3117" t="s">
        <v>497</v>
      </c>
      <c r="B3117" t="s">
        <v>7473</v>
      </c>
      <c r="L3117" s="4" t="s">
        <v>6997</v>
      </c>
    </row>
    <row r="3118" spans="1:12" x14ac:dyDescent="0.3">
      <c r="A3118" t="s">
        <v>521</v>
      </c>
      <c r="B3118" t="s">
        <v>668</v>
      </c>
      <c r="L3118" s="3" t="s">
        <v>6999</v>
      </c>
    </row>
    <row r="3119" spans="1:12" x14ac:dyDescent="0.3">
      <c r="A3119" t="s">
        <v>668</v>
      </c>
      <c r="B3119" t="s">
        <v>8268</v>
      </c>
      <c r="L3119" s="4" t="s">
        <v>7002</v>
      </c>
    </row>
    <row r="3120" spans="1:12" x14ac:dyDescent="0.3">
      <c r="A3120" t="s">
        <v>2701</v>
      </c>
      <c r="B3120" t="s">
        <v>7473</v>
      </c>
      <c r="L3120" s="3" t="s">
        <v>7004</v>
      </c>
    </row>
    <row r="3121" spans="1:12" x14ac:dyDescent="0.3">
      <c r="A3121" t="s">
        <v>668</v>
      </c>
      <c r="B3121" t="s">
        <v>1417</v>
      </c>
      <c r="L3121" s="4" t="s">
        <v>7006</v>
      </c>
    </row>
    <row r="3122" spans="1:12" x14ac:dyDescent="0.3">
      <c r="A3122" t="s">
        <v>362</v>
      </c>
      <c r="B3122" t="s">
        <v>7473</v>
      </c>
      <c r="L3122" s="3" t="s">
        <v>7008</v>
      </c>
    </row>
    <row r="3123" spans="1:12" x14ac:dyDescent="0.3">
      <c r="A3123" t="s">
        <v>668</v>
      </c>
      <c r="B3123" t="s">
        <v>1417</v>
      </c>
      <c r="L3123" s="4" t="s">
        <v>7010</v>
      </c>
    </row>
    <row r="3124" spans="1:12" x14ac:dyDescent="0.3">
      <c r="A3124" t="s">
        <v>497</v>
      </c>
      <c r="B3124" t="s">
        <v>2701</v>
      </c>
      <c r="L3124" s="3" t="s">
        <v>7012</v>
      </c>
    </row>
    <row r="3125" spans="1:12" x14ac:dyDescent="0.3">
      <c r="A3125" t="s">
        <v>521</v>
      </c>
      <c r="B3125" t="s">
        <v>1417</v>
      </c>
      <c r="L3125" s="4" t="s">
        <v>7014</v>
      </c>
    </row>
    <row r="3126" spans="1:12" x14ac:dyDescent="0.3">
      <c r="A3126" t="s">
        <v>521</v>
      </c>
      <c r="B3126" t="s">
        <v>7473</v>
      </c>
      <c r="L3126" s="3" t="s">
        <v>7016</v>
      </c>
    </row>
    <row r="3127" spans="1:12" x14ac:dyDescent="0.3">
      <c r="A3127" t="s">
        <v>1417</v>
      </c>
      <c r="B3127" t="s">
        <v>497</v>
      </c>
      <c r="L3127" s="4" t="s">
        <v>7018</v>
      </c>
    </row>
    <row r="3128" spans="1:12" x14ac:dyDescent="0.3">
      <c r="A3128" t="s">
        <v>668</v>
      </c>
      <c r="B3128" t="s">
        <v>7473</v>
      </c>
      <c r="L3128" s="3" t="s">
        <v>7020</v>
      </c>
    </row>
    <row r="3129" spans="1:12" x14ac:dyDescent="0.3">
      <c r="A3129" t="s">
        <v>668</v>
      </c>
      <c r="B3129" t="s">
        <v>1417</v>
      </c>
      <c r="L3129" s="4" t="s">
        <v>7022</v>
      </c>
    </row>
    <row r="3130" spans="1:12" x14ac:dyDescent="0.3">
      <c r="A3130" t="s">
        <v>8268</v>
      </c>
      <c r="B3130" t="s">
        <v>668</v>
      </c>
      <c r="L3130" s="3" t="s">
        <v>7024</v>
      </c>
    </row>
    <row r="3131" spans="1:12" x14ac:dyDescent="0.3">
      <c r="A3131" t="s">
        <v>362</v>
      </c>
      <c r="B3131" t="s">
        <v>1417</v>
      </c>
      <c r="L3131" s="4" t="s">
        <v>7026</v>
      </c>
    </row>
    <row r="3132" spans="1:12" x14ac:dyDescent="0.3">
      <c r="A3132" t="s">
        <v>2701</v>
      </c>
      <c r="B3132" t="s">
        <v>8268</v>
      </c>
      <c r="L3132" s="3" t="s">
        <v>7028</v>
      </c>
    </row>
    <row r="3133" spans="1:12" x14ac:dyDescent="0.3">
      <c r="A3133" t="s">
        <v>2701</v>
      </c>
      <c r="B3133" t="s">
        <v>668</v>
      </c>
      <c r="L3133" s="4" t="s">
        <v>7030</v>
      </c>
    </row>
    <row r="3134" spans="1:12" x14ac:dyDescent="0.3">
      <c r="A3134" t="s">
        <v>1417</v>
      </c>
      <c r="B3134" t="s">
        <v>8268</v>
      </c>
      <c r="L3134" s="3" t="s">
        <v>7032</v>
      </c>
    </row>
    <row r="3135" spans="1:12" x14ac:dyDescent="0.3">
      <c r="A3135" t="s">
        <v>2701</v>
      </c>
      <c r="B3135" t="s">
        <v>1417</v>
      </c>
      <c r="L3135" s="4" t="s">
        <v>7034</v>
      </c>
    </row>
    <row r="3136" spans="1:12" x14ac:dyDescent="0.3">
      <c r="A3136" t="s">
        <v>8266</v>
      </c>
      <c r="B3136" t="s">
        <v>668</v>
      </c>
      <c r="L3136" s="3" t="s">
        <v>7036</v>
      </c>
    </row>
    <row r="3137" spans="1:12" x14ac:dyDescent="0.3">
      <c r="A3137" t="s">
        <v>668</v>
      </c>
      <c r="B3137" t="s">
        <v>1417</v>
      </c>
      <c r="L3137" s="4" t="s">
        <v>7038</v>
      </c>
    </row>
    <row r="3138" spans="1:12" x14ac:dyDescent="0.3">
      <c r="A3138" t="s">
        <v>1417</v>
      </c>
      <c r="B3138" t="s">
        <v>1417</v>
      </c>
      <c r="L3138" s="3" t="s">
        <v>7040</v>
      </c>
    </row>
    <row r="3139" spans="1:12" x14ac:dyDescent="0.3">
      <c r="A3139" t="s">
        <v>521</v>
      </c>
      <c r="B3139" t="s">
        <v>1417</v>
      </c>
      <c r="L3139" s="4" t="s">
        <v>7042</v>
      </c>
    </row>
    <row r="3140" spans="1:12" x14ac:dyDescent="0.3">
      <c r="A3140" t="s">
        <v>668</v>
      </c>
      <c r="B3140" t="s">
        <v>4843</v>
      </c>
      <c r="L3140" s="3" t="s">
        <v>7044</v>
      </c>
    </row>
    <row r="3141" spans="1:12" x14ac:dyDescent="0.3">
      <c r="A3141" t="s">
        <v>668</v>
      </c>
      <c r="B3141" t="s">
        <v>5043</v>
      </c>
      <c r="L3141" s="4" t="s">
        <v>7046</v>
      </c>
    </row>
    <row r="3142" spans="1:12" x14ac:dyDescent="0.3">
      <c r="A3142" t="s">
        <v>521</v>
      </c>
      <c r="B3142" t="s">
        <v>7473</v>
      </c>
      <c r="L3142" s="3" t="s">
        <v>7048</v>
      </c>
    </row>
    <row r="3143" spans="1:12" x14ac:dyDescent="0.3">
      <c r="A3143" t="s">
        <v>668</v>
      </c>
      <c r="B3143" t="s">
        <v>1417</v>
      </c>
      <c r="L3143" s="4" t="s">
        <v>7050</v>
      </c>
    </row>
    <row r="3144" spans="1:12" x14ac:dyDescent="0.3">
      <c r="A3144" t="s">
        <v>1417</v>
      </c>
      <c r="B3144" t="s">
        <v>7473</v>
      </c>
      <c r="L3144" s="3" t="s">
        <v>7052</v>
      </c>
    </row>
    <row r="3145" spans="1:12" x14ac:dyDescent="0.3">
      <c r="A3145" t="s">
        <v>668</v>
      </c>
      <c r="B3145" t="s">
        <v>8268</v>
      </c>
      <c r="L3145" s="4" t="s">
        <v>7054</v>
      </c>
    </row>
    <row r="3146" spans="1:12" x14ac:dyDescent="0.3">
      <c r="A3146" t="s">
        <v>1417</v>
      </c>
      <c r="B3146" t="s">
        <v>7473</v>
      </c>
      <c r="L3146" s="3" t="s">
        <v>7056</v>
      </c>
    </row>
    <row r="3147" spans="1:12" x14ac:dyDescent="0.3">
      <c r="A3147" t="s">
        <v>521</v>
      </c>
      <c r="B3147" t="s">
        <v>1417</v>
      </c>
      <c r="L3147" s="4" t="s">
        <v>7058</v>
      </c>
    </row>
    <row r="3148" spans="1:12" x14ac:dyDescent="0.3">
      <c r="A3148" t="s">
        <v>668</v>
      </c>
      <c r="B3148" t="s">
        <v>1417</v>
      </c>
      <c r="L3148" s="3" t="s">
        <v>7060</v>
      </c>
    </row>
    <row r="3149" spans="1:12" x14ac:dyDescent="0.3">
      <c r="A3149" t="s">
        <v>2701</v>
      </c>
      <c r="B3149" t="s">
        <v>668</v>
      </c>
      <c r="L3149" s="4" t="s">
        <v>7063</v>
      </c>
    </row>
    <row r="3150" spans="1:12" x14ac:dyDescent="0.3">
      <c r="A3150" t="s">
        <v>6171</v>
      </c>
      <c r="B3150" t="s">
        <v>2701</v>
      </c>
      <c r="L3150" s="3" t="s">
        <v>7065</v>
      </c>
    </row>
    <row r="3151" spans="1:12" x14ac:dyDescent="0.3">
      <c r="A3151" t="s">
        <v>521</v>
      </c>
      <c r="B3151" t="s">
        <v>7473</v>
      </c>
      <c r="L3151" s="4" t="s">
        <v>7068</v>
      </c>
    </row>
    <row r="3152" spans="1:12" x14ac:dyDescent="0.3">
      <c r="A3152" t="s">
        <v>1417</v>
      </c>
      <c r="B3152" t="s">
        <v>1417</v>
      </c>
      <c r="L3152" s="3" t="s">
        <v>7070</v>
      </c>
    </row>
    <row r="3153" spans="1:12" x14ac:dyDescent="0.3">
      <c r="A3153" t="s">
        <v>668</v>
      </c>
      <c r="B3153" t="s">
        <v>8268</v>
      </c>
      <c r="L3153" s="4" t="s">
        <v>7072</v>
      </c>
    </row>
    <row r="3154" spans="1:12" x14ac:dyDescent="0.3">
      <c r="A3154" t="s">
        <v>19</v>
      </c>
      <c r="B3154" t="s">
        <v>4843</v>
      </c>
      <c r="L3154" s="3" t="s">
        <v>7075</v>
      </c>
    </row>
    <row r="3155" spans="1:12" x14ac:dyDescent="0.3">
      <c r="A3155" t="s">
        <v>668</v>
      </c>
      <c r="B3155" t="s">
        <v>8268</v>
      </c>
      <c r="L3155" s="4" t="s">
        <v>7077</v>
      </c>
    </row>
    <row r="3156" spans="1:12" x14ac:dyDescent="0.3">
      <c r="A3156" t="s">
        <v>362</v>
      </c>
      <c r="B3156" t="s">
        <v>1417</v>
      </c>
      <c r="L3156" s="3" t="s">
        <v>7079</v>
      </c>
    </row>
    <row r="3157" spans="1:12" x14ac:dyDescent="0.3">
      <c r="A3157" t="s">
        <v>5524</v>
      </c>
      <c r="B3157" t="s">
        <v>8268</v>
      </c>
      <c r="L3157" s="4" t="s">
        <v>7082</v>
      </c>
    </row>
    <row r="3158" spans="1:12" x14ac:dyDescent="0.3">
      <c r="A3158" t="s">
        <v>668</v>
      </c>
      <c r="B3158" t="s">
        <v>362</v>
      </c>
      <c r="L3158" s="3" t="s">
        <v>7084</v>
      </c>
    </row>
    <row r="3159" spans="1:12" x14ac:dyDescent="0.3">
      <c r="A3159" t="s">
        <v>1417</v>
      </c>
      <c r="B3159" t="s">
        <v>1417</v>
      </c>
      <c r="L3159" s="4" t="s">
        <v>7086</v>
      </c>
    </row>
    <row r="3160" spans="1:12" x14ac:dyDescent="0.3">
      <c r="A3160" t="s">
        <v>8266</v>
      </c>
      <c r="B3160" t="s">
        <v>1417</v>
      </c>
      <c r="L3160" s="3" t="s">
        <v>7088</v>
      </c>
    </row>
    <row r="3161" spans="1:12" x14ac:dyDescent="0.3">
      <c r="A3161" t="s">
        <v>362</v>
      </c>
      <c r="B3161" t="s">
        <v>1417</v>
      </c>
      <c r="L3161" s="4" t="s">
        <v>7091</v>
      </c>
    </row>
    <row r="3162" spans="1:12" x14ac:dyDescent="0.3">
      <c r="A3162" t="s">
        <v>668</v>
      </c>
      <c r="B3162" t="s">
        <v>5138</v>
      </c>
      <c r="L3162" s="3" t="s">
        <v>7093</v>
      </c>
    </row>
    <row r="3163" spans="1:12" x14ac:dyDescent="0.3">
      <c r="A3163" t="s">
        <v>668</v>
      </c>
      <c r="B3163" t="s">
        <v>1417</v>
      </c>
      <c r="L3163" s="4" t="s">
        <v>7095</v>
      </c>
    </row>
    <row r="3164" spans="1:12" x14ac:dyDescent="0.3">
      <c r="A3164" t="s">
        <v>668</v>
      </c>
      <c r="B3164" t="s">
        <v>1417</v>
      </c>
      <c r="L3164" s="3" t="s">
        <v>7098</v>
      </c>
    </row>
    <row r="3165" spans="1:12" x14ac:dyDescent="0.3">
      <c r="A3165" t="s">
        <v>5524</v>
      </c>
      <c r="B3165" t="s">
        <v>668</v>
      </c>
      <c r="L3165" s="4" t="s">
        <v>7100</v>
      </c>
    </row>
    <row r="3166" spans="1:12" x14ac:dyDescent="0.3">
      <c r="A3166" t="s">
        <v>668</v>
      </c>
      <c r="B3166" t="s">
        <v>8269</v>
      </c>
      <c r="L3166" s="3" t="s">
        <v>7102</v>
      </c>
    </row>
    <row r="3167" spans="1:12" x14ac:dyDescent="0.3">
      <c r="A3167" t="s">
        <v>668</v>
      </c>
      <c r="B3167" t="s">
        <v>1417</v>
      </c>
      <c r="L3167" s="4" t="s">
        <v>7106</v>
      </c>
    </row>
    <row r="3168" spans="1:12" x14ac:dyDescent="0.3">
      <c r="A3168" t="s">
        <v>8266</v>
      </c>
      <c r="B3168" t="s">
        <v>7473</v>
      </c>
      <c r="L3168" s="3" t="s">
        <v>7109</v>
      </c>
    </row>
    <row r="3169" spans="1:12" x14ac:dyDescent="0.3">
      <c r="A3169" t="s">
        <v>521</v>
      </c>
      <c r="B3169" t="s">
        <v>1417</v>
      </c>
      <c r="L3169" s="4" t="s">
        <v>7111</v>
      </c>
    </row>
    <row r="3170" spans="1:12" x14ac:dyDescent="0.3">
      <c r="A3170" t="s">
        <v>8268</v>
      </c>
      <c r="B3170" t="s">
        <v>1417</v>
      </c>
      <c r="L3170" s="3" t="s">
        <v>7113</v>
      </c>
    </row>
    <row r="3171" spans="1:12" x14ac:dyDescent="0.3">
      <c r="A3171" t="s">
        <v>668</v>
      </c>
      <c r="B3171" t="s">
        <v>1417</v>
      </c>
      <c r="L3171" s="4" t="s">
        <v>7115</v>
      </c>
    </row>
    <row r="3172" spans="1:12" x14ac:dyDescent="0.3">
      <c r="A3172" t="s">
        <v>521</v>
      </c>
      <c r="B3172" t="s">
        <v>8268</v>
      </c>
      <c r="L3172" s="3" t="s">
        <v>7117</v>
      </c>
    </row>
    <row r="3173" spans="1:12" x14ac:dyDescent="0.3">
      <c r="A3173" t="s">
        <v>668</v>
      </c>
      <c r="B3173" t="s">
        <v>7473</v>
      </c>
      <c r="L3173" s="4" t="s">
        <v>7119</v>
      </c>
    </row>
    <row r="3174" spans="1:12" x14ac:dyDescent="0.3">
      <c r="A3174" t="s">
        <v>362</v>
      </c>
      <c r="B3174" t="s">
        <v>8268</v>
      </c>
      <c r="L3174" s="3" t="s">
        <v>7121</v>
      </c>
    </row>
    <row r="3175" spans="1:12" x14ac:dyDescent="0.3">
      <c r="A3175" t="s">
        <v>668</v>
      </c>
      <c r="B3175" t="s">
        <v>1417</v>
      </c>
      <c r="L3175" s="4" t="s">
        <v>7123</v>
      </c>
    </row>
    <row r="3176" spans="1:12" x14ac:dyDescent="0.3">
      <c r="A3176" t="s">
        <v>668</v>
      </c>
      <c r="B3176" t="s">
        <v>8268</v>
      </c>
      <c r="L3176" s="3" t="s">
        <v>7125</v>
      </c>
    </row>
    <row r="3177" spans="1:12" x14ac:dyDescent="0.3">
      <c r="A3177" t="s">
        <v>8268</v>
      </c>
      <c r="B3177" t="s">
        <v>7473</v>
      </c>
      <c r="L3177" s="4" t="s">
        <v>7127</v>
      </c>
    </row>
    <row r="3178" spans="1:12" x14ac:dyDescent="0.3">
      <c r="A3178" t="s">
        <v>521</v>
      </c>
      <c r="B3178" t="s">
        <v>1417</v>
      </c>
      <c r="L3178" s="3" t="s">
        <v>7129</v>
      </c>
    </row>
    <row r="3179" spans="1:12" x14ac:dyDescent="0.3">
      <c r="A3179" t="s">
        <v>4843</v>
      </c>
      <c r="B3179" t="s">
        <v>8268</v>
      </c>
      <c r="L3179" s="4" t="s">
        <v>7131</v>
      </c>
    </row>
    <row r="3180" spans="1:12" x14ac:dyDescent="0.3">
      <c r="A3180" t="s">
        <v>1417</v>
      </c>
      <c r="B3180" t="s">
        <v>7104</v>
      </c>
      <c r="L3180" s="3" t="s">
        <v>7133</v>
      </c>
    </row>
    <row r="3181" spans="1:12" x14ac:dyDescent="0.3">
      <c r="A3181" t="s">
        <v>5524</v>
      </c>
      <c r="B3181" t="s">
        <v>5524</v>
      </c>
      <c r="L3181" s="4" t="s">
        <v>7135</v>
      </c>
    </row>
    <row r="3182" spans="1:12" x14ac:dyDescent="0.3">
      <c r="A3182" t="s">
        <v>521</v>
      </c>
      <c r="B3182" t="s">
        <v>497</v>
      </c>
      <c r="L3182" s="3" t="s">
        <v>7137</v>
      </c>
    </row>
    <row r="3183" spans="1:12" x14ac:dyDescent="0.3">
      <c r="A3183" t="s">
        <v>668</v>
      </c>
      <c r="B3183" t="s">
        <v>4380</v>
      </c>
      <c r="L3183" s="4" t="s">
        <v>7140</v>
      </c>
    </row>
    <row r="3184" spans="1:12" x14ac:dyDescent="0.3">
      <c r="A3184" t="s">
        <v>668</v>
      </c>
      <c r="B3184" t="s">
        <v>4380</v>
      </c>
      <c r="L3184" s="3" t="s">
        <v>7142</v>
      </c>
    </row>
    <row r="3185" spans="1:12" x14ac:dyDescent="0.3">
      <c r="A3185" t="s">
        <v>668</v>
      </c>
      <c r="B3185" t="s">
        <v>8268</v>
      </c>
      <c r="L3185" s="4" t="s">
        <v>7144</v>
      </c>
    </row>
    <row r="3186" spans="1:12" x14ac:dyDescent="0.3">
      <c r="A3186" t="s">
        <v>1417</v>
      </c>
      <c r="B3186" t="s">
        <v>362</v>
      </c>
      <c r="L3186" s="3" t="s">
        <v>7146</v>
      </c>
    </row>
    <row r="3187" spans="1:12" x14ac:dyDescent="0.3">
      <c r="A3187" t="s">
        <v>668</v>
      </c>
      <c r="B3187" t="s">
        <v>362</v>
      </c>
      <c r="L3187" s="4" t="s">
        <v>7148</v>
      </c>
    </row>
    <row r="3188" spans="1:12" x14ac:dyDescent="0.3">
      <c r="A3188" t="s">
        <v>362</v>
      </c>
      <c r="B3188" t="s">
        <v>1417</v>
      </c>
      <c r="L3188" s="3" t="s">
        <v>7150</v>
      </c>
    </row>
    <row r="3189" spans="1:12" x14ac:dyDescent="0.3">
      <c r="A3189" t="s">
        <v>668</v>
      </c>
      <c r="B3189" t="s">
        <v>4380</v>
      </c>
      <c r="L3189" s="4" t="s">
        <v>7152</v>
      </c>
    </row>
    <row r="3190" spans="1:12" x14ac:dyDescent="0.3">
      <c r="A3190" t="s">
        <v>668</v>
      </c>
      <c r="B3190" t="s">
        <v>362</v>
      </c>
      <c r="L3190" s="3" t="s">
        <v>7154</v>
      </c>
    </row>
    <row r="3191" spans="1:12" x14ac:dyDescent="0.3">
      <c r="A3191" t="s">
        <v>1417</v>
      </c>
      <c r="B3191" t="s">
        <v>1417</v>
      </c>
      <c r="L3191" s="4" t="s">
        <v>7156</v>
      </c>
    </row>
    <row r="3192" spans="1:12" x14ac:dyDescent="0.3">
      <c r="A3192" t="s">
        <v>1417</v>
      </c>
      <c r="B3192" t="s">
        <v>5043</v>
      </c>
      <c r="L3192" s="3" t="s">
        <v>7158</v>
      </c>
    </row>
    <row r="3193" spans="1:12" x14ac:dyDescent="0.3">
      <c r="A3193" t="s">
        <v>521</v>
      </c>
      <c r="B3193" t="s">
        <v>1417</v>
      </c>
      <c r="L3193" s="4" t="s">
        <v>7160</v>
      </c>
    </row>
    <row r="3194" spans="1:12" x14ac:dyDescent="0.3">
      <c r="A3194" t="s">
        <v>8268</v>
      </c>
      <c r="B3194" t="s">
        <v>5043</v>
      </c>
      <c r="L3194" s="3" t="s">
        <v>7162</v>
      </c>
    </row>
    <row r="3195" spans="1:12" x14ac:dyDescent="0.3">
      <c r="A3195" t="s">
        <v>8268</v>
      </c>
      <c r="B3195" t="s">
        <v>1417</v>
      </c>
      <c r="L3195" s="4" t="s">
        <v>7164</v>
      </c>
    </row>
    <row r="3196" spans="1:12" x14ac:dyDescent="0.3">
      <c r="A3196" t="s">
        <v>1417</v>
      </c>
      <c r="B3196" t="s">
        <v>8266</v>
      </c>
      <c r="L3196" s="3" t="s">
        <v>7166</v>
      </c>
    </row>
    <row r="3197" spans="1:12" x14ac:dyDescent="0.3">
      <c r="A3197" t="s">
        <v>521</v>
      </c>
      <c r="B3197" t="s">
        <v>362</v>
      </c>
      <c r="L3197" s="4" t="s">
        <v>7169</v>
      </c>
    </row>
    <row r="3198" spans="1:12" x14ac:dyDescent="0.3">
      <c r="A3198" t="s">
        <v>1417</v>
      </c>
      <c r="B3198" t="s">
        <v>7104</v>
      </c>
      <c r="L3198" s="3" t="s">
        <v>7171</v>
      </c>
    </row>
    <row r="3199" spans="1:12" x14ac:dyDescent="0.3">
      <c r="A3199" t="s">
        <v>668</v>
      </c>
      <c r="B3199" t="s">
        <v>1417</v>
      </c>
      <c r="L3199" s="4" t="s">
        <v>7173</v>
      </c>
    </row>
    <row r="3200" spans="1:12" x14ac:dyDescent="0.3">
      <c r="A3200" t="s">
        <v>668</v>
      </c>
      <c r="B3200" t="s">
        <v>1417</v>
      </c>
      <c r="L3200" s="3" t="s">
        <v>7175</v>
      </c>
    </row>
    <row r="3201" spans="1:12" x14ac:dyDescent="0.3">
      <c r="A3201" t="s">
        <v>2701</v>
      </c>
      <c r="B3201" t="s">
        <v>7473</v>
      </c>
      <c r="L3201" s="4" t="s">
        <v>7177</v>
      </c>
    </row>
    <row r="3202" spans="1:12" x14ac:dyDescent="0.3">
      <c r="A3202" t="s">
        <v>362</v>
      </c>
      <c r="B3202" t="s">
        <v>1417</v>
      </c>
      <c r="L3202" s="3" t="s">
        <v>7179</v>
      </c>
    </row>
    <row r="3203" spans="1:12" x14ac:dyDescent="0.3">
      <c r="A3203" t="s">
        <v>668</v>
      </c>
      <c r="B3203" t="s">
        <v>8268</v>
      </c>
      <c r="L3203" s="4" t="s">
        <v>7181</v>
      </c>
    </row>
    <row r="3204" spans="1:12" x14ac:dyDescent="0.3">
      <c r="A3204" t="s">
        <v>1417</v>
      </c>
      <c r="B3204" t="s">
        <v>8268</v>
      </c>
      <c r="L3204" s="3" t="s">
        <v>7183</v>
      </c>
    </row>
    <row r="3205" spans="1:12" x14ac:dyDescent="0.3">
      <c r="A3205" t="s">
        <v>1417</v>
      </c>
      <c r="B3205" t="s">
        <v>7473</v>
      </c>
      <c r="L3205" s="4" t="s">
        <v>7185</v>
      </c>
    </row>
    <row r="3206" spans="1:12" x14ac:dyDescent="0.3">
      <c r="A3206" t="s">
        <v>668</v>
      </c>
      <c r="B3206" t="s">
        <v>1417</v>
      </c>
      <c r="L3206" s="3" t="s">
        <v>7187</v>
      </c>
    </row>
    <row r="3207" spans="1:12" x14ac:dyDescent="0.3">
      <c r="A3207" t="s">
        <v>1417</v>
      </c>
      <c r="B3207" t="s">
        <v>362</v>
      </c>
      <c r="L3207" s="4" t="s">
        <v>7189</v>
      </c>
    </row>
    <row r="3208" spans="1:12" x14ac:dyDescent="0.3">
      <c r="A3208" t="s">
        <v>5524</v>
      </c>
      <c r="B3208" t="s">
        <v>362</v>
      </c>
      <c r="L3208" s="3" t="s">
        <v>7191</v>
      </c>
    </row>
    <row r="3209" spans="1:12" x14ac:dyDescent="0.3">
      <c r="A3209" t="s">
        <v>1417</v>
      </c>
      <c r="B3209" t="s">
        <v>668</v>
      </c>
      <c r="L3209" s="4" t="s">
        <v>7193</v>
      </c>
    </row>
    <row r="3210" spans="1:12" x14ac:dyDescent="0.3">
      <c r="A3210" t="s">
        <v>521</v>
      </c>
      <c r="B3210" t="s">
        <v>2701</v>
      </c>
      <c r="L3210" s="3" t="s">
        <v>7195</v>
      </c>
    </row>
    <row r="3211" spans="1:12" x14ac:dyDescent="0.3">
      <c r="A3211" t="s">
        <v>668</v>
      </c>
      <c r="B3211" t="s">
        <v>8267</v>
      </c>
      <c r="L3211" s="4" t="s">
        <v>7197</v>
      </c>
    </row>
    <row r="3212" spans="1:12" x14ac:dyDescent="0.3">
      <c r="A3212" t="s">
        <v>8268</v>
      </c>
      <c r="B3212" t="s">
        <v>8266</v>
      </c>
      <c r="L3212" s="3" t="s">
        <v>7199</v>
      </c>
    </row>
    <row r="3213" spans="1:12" x14ac:dyDescent="0.3">
      <c r="A3213" t="s">
        <v>668</v>
      </c>
      <c r="B3213" t="s">
        <v>2701</v>
      </c>
      <c r="L3213" s="4" t="s">
        <v>7201</v>
      </c>
    </row>
    <row r="3214" spans="1:12" x14ac:dyDescent="0.3">
      <c r="A3214" t="s">
        <v>8268</v>
      </c>
      <c r="B3214" t="s">
        <v>1417</v>
      </c>
      <c r="L3214" s="3" t="s">
        <v>7203</v>
      </c>
    </row>
    <row r="3215" spans="1:12" x14ac:dyDescent="0.3">
      <c r="A3215" t="s">
        <v>668</v>
      </c>
      <c r="B3215" t="s">
        <v>8268</v>
      </c>
      <c r="L3215" s="4" t="s">
        <v>7206</v>
      </c>
    </row>
    <row r="3216" spans="1:12" x14ac:dyDescent="0.3">
      <c r="A3216" t="s">
        <v>1417</v>
      </c>
      <c r="B3216" t="s">
        <v>1417</v>
      </c>
      <c r="L3216" s="3" t="s">
        <v>7208</v>
      </c>
    </row>
    <row r="3217" spans="1:12" x14ac:dyDescent="0.3">
      <c r="A3217" t="s">
        <v>1417</v>
      </c>
      <c r="B3217" t="s">
        <v>362</v>
      </c>
      <c r="L3217" s="4" t="s">
        <v>7210</v>
      </c>
    </row>
    <row r="3218" spans="1:12" x14ac:dyDescent="0.3">
      <c r="A3218" t="s">
        <v>668</v>
      </c>
      <c r="B3218" t="s">
        <v>1417</v>
      </c>
      <c r="L3218" s="3" t="s">
        <v>7212</v>
      </c>
    </row>
    <row r="3219" spans="1:12" x14ac:dyDescent="0.3">
      <c r="A3219" t="s">
        <v>521</v>
      </c>
      <c r="B3219" t="s">
        <v>8266</v>
      </c>
      <c r="L3219" s="4" t="s">
        <v>7214</v>
      </c>
    </row>
    <row r="3220" spans="1:12" x14ac:dyDescent="0.3">
      <c r="A3220" t="s">
        <v>521</v>
      </c>
      <c r="B3220" t="s">
        <v>497</v>
      </c>
      <c r="L3220" s="3" t="s">
        <v>7216</v>
      </c>
    </row>
    <row r="3221" spans="1:12" x14ac:dyDescent="0.3">
      <c r="A3221" t="s">
        <v>1417</v>
      </c>
      <c r="B3221" t="s">
        <v>5043</v>
      </c>
      <c r="L3221" s="4" t="s">
        <v>7218</v>
      </c>
    </row>
    <row r="3222" spans="1:12" x14ac:dyDescent="0.3">
      <c r="A3222" t="s">
        <v>668</v>
      </c>
      <c r="B3222" t="s">
        <v>7473</v>
      </c>
      <c r="L3222" s="3" t="s">
        <v>7220</v>
      </c>
    </row>
    <row r="3223" spans="1:12" x14ac:dyDescent="0.3">
      <c r="A3223" t="s">
        <v>5524</v>
      </c>
      <c r="B3223" t="s">
        <v>1417</v>
      </c>
      <c r="L3223" s="4" t="s">
        <v>7222</v>
      </c>
    </row>
    <row r="3224" spans="1:12" x14ac:dyDescent="0.3">
      <c r="A3224" t="s">
        <v>1417</v>
      </c>
      <c r="B3224" t="s">
        <v>1417</v>
      </c>
      <c r="L3224" s="3" t="s">
        <v>7224</v>
      </c>
    </row>
    <row r="3225" spans="1:12" x14ac:dyDescent="0.3">
      <c r="A3225" t="s">
        <v>1417</v>
      </c>
      <c r="B3225" t="s">
        <v>5524</v>
      </c>
      <c r="L3225" s="4" t="s">
        <v>7226</v>
      </c>
    </row>
    <row r="3226" spans="1:12" x14ac:dyDescent="0.3">
      <c r="A3226" t="s">
        <v>668</v>
      </c>
      <c r="B3226" t="s">
        <v>8267</v>
      </c>
      <c r="L3226" s="3" t="s">
        <v>7228</v>
      </c>
    </row>
    <row r="3227" spans="1:12" x14ac:dyDescent="0.3">
      <c r="A3227" t="s">
        <v>521</v>
      </c>
      <c r="B3227" t="s">
        <v>8268</v>
      </c>
      <c r="L3227" s="4" t="s">
        <v>7230</v>
      </c>
    </row>
    <row r="3228" spans="1:12" x14ac:dyDescent="0.3">
      <c r="A3228" t="s">
        <v>668</v>
      </c>
      <c r="B3228" t="s">
        <v>8268</v>
      </c>
      <c r="L3228" s="3" t="s">
        <v>7232</v>
      </c>
    </row>
    <row r="3229" spans="1:12" x14ac:dyDescent="0.3">
      <c r="A3229" t="s">
        <v>668</v>
      </c>
      <c r="B3229" t="s">
        <v>5524</v>
      </c>
      <c r="L3229" s="4" t="s">
        <v>7234</v>
      </c>
    </row>
    <row r="3230" spans="1:12" x14ac:dyDescent="0.3">
      <c r="A3230" t="s">
        <v>1417</v>
      </c>
      <c r="B3230" t="s">
        <v>1417</v>
      </c>
      <c r="L3230" s="3" t="s">
        <v>7236</v>
      </c>
    </row>
    <row r="3231" spans="1:12" x14ac:dyDescent="0.3">
      <c r="A3231" t="s">
        <v>1417</v>
      </c>
      <c r="B3231" t="s">
        <v>6902</v>
      </c>
      <c r="L3231" s="4" t="s">
        <v>7238</v>
      </c>
    </row>
    <row r="3232" spans="1:12" x14ac:dyDescent="0.3">
      <c r="A3232" t="s">
        <v>668</v>
      </c>
      <c r="B3232" t="s">
        <v>8267</v>
      </c>
      <c r="L3232" s="3" t="s">
        <v>7240</v>
      </c>
    </row>
    <row r="3233" spans="1:12" x14ac:dyDescent="0.3">
      <c r="A3233" t="s">
        <v>1417</v>
      </c>
      <c r="B3233" t="s">
        <v>1417</v>
      </c>
      <c r="L3233" s="4" t="s">
        <v>7242</v>
      </c>
    </row>
    <row r="3234" spans="1:12" x14ac:dyDescent="0.3">
      <c r="A3234" t="s">
        <v>1417</v>
      </c>
      <c r="B3234" t="s">
        <v>7104</v>
      </c>
      <c r="L3234" s="3" t="s">
        <v>7244</v>
      </c>
    </row>
    <row r="3235" spans="1:12" x14ac:dyDescent="0.3">
      <c r="A3235" t="s">
        <v>668</v>
      </c>
      <c r="B3235" t="s">
        <v>8268</v>
      </c>
      <c r="L3235" s="4" t="s">
        <v>7246</v>
      </c>
    </row>
    <row r="3236" spans="1:12" x14ac:dyDescent="0.3">
      <c r="A3236" t="s">
        <v>668</v>
      </c>
      <c r="B3236" t="s">
        <v>1417</v>
      </c>
      <c r="L3236" s="3" t="s">
        <v>7249</v>
      </c>
    </row>
    <row r="3237" spans="1:12" x14ac:dyDescent="0.3">
      <c r="A3237" t="s">
        <v>668</v>
      </c>
      <c r="B3237" t="s">
        <v>4380</v>
      </c>
      <c r="L3237" s="4" t="s">
        <v>7251</v>
      </c>
    </row>
    <row r="3238" spans="1:12" x14ac:dyDescent="0.3">
      <c r="A3238" t="s">
        <v>668</v>
      </c>
      <c r="B3238" t="s">
        <v>7104</v>
      </c>
      <c r="L3238" s="3" t="s">
        <v>7253</v>
      </c>
    </row>
    <row r="3239" spans="1:12" x14ac:dyDescent="0.3">
      <c r="A3239" t="s">
        <v>668</v>
      </c>
      <c r="B3239" t="s">
        <v>8267</v>
      </c>
      <c r="L3239" s="4" t="s">
        <v>7255</v>
      </c>
    </row>
    <row r="3240" spans="1:12" x14ac:dyDescent="0.3">
      <c r="A3240" t="s">
        <v>1417</v>
      </c>
      <c r="B3240" t="s">
        <v>1417</v>
      </c>
      <c r="L3240" s="3" t="s">
        <v>7257</v>
      </c>
    </row>
    <row r="3241" spans="1:12" x14ac:dyDescent="0.3">
      <c r="A3241" t="s">
        <v>1417</v>
      </c>
      <c r="B3241" t="s">
        <v>7473</v>
      </c>
      <c r="L3241" s="4" t="s">
        <v>7259</v>
      </c>
    </row>
    <row r="3242" spans="1:12" x14ac:dyDescent="0.3">
      <c r="A3242" t="s">
        <v>668</v>
      </c>
      <c r="B3242" t="s">
        <v>1417</v>
      </c>
      <c r="L3242" s="3" t="s">
        <v>7261</v>
      </c>
    </row>
    <row r="3243" spans="1:12" x14ac:dyDescent="0.3">
      <c r="A3243" t="s">
        <v>668</v>
      </c>
      <c r="B3243" t="s">
        <v>497</v>
      </c>
      <c r="L3243" s="4" t="s">
        <v>7263</v>
      </c>
    </row>
    <row r="3244" spans="1:12" x14ac:dyDescent="0.3">
      <c r="A3244" t="s">
        <v>8268</v>
      </c>
      <c r="B3244" t="s">
        <v>1417</v>
      </c>
      <c r="L3244" s="3" t="s">
        <v>7265</v>
      </c>
    </row>
    <row r="3245" spans="1:12" x14ac:dyDescent="0.3">
      <c r="A3245" t="s">
        <v>2701</v>
      </c>
      <c r="B3245" t="s">
        <v>8268</v>
      </c>
      <c r="L3245" s="4" t="s">
        <v>7267</v>
      </c>
    </row>
    <row r="3246" spans="1:12" x14ac:dyDescent="0.3">
      <c r="A3246" t="s">
        <v>668</v>
      </c>
      <c r="B3246" t="s">
        <v>1417</v>
      </c>
      <c r="L3246" s="3" t="s">
        <v>7269</v>
      </c>
    </row>
    <row r="3247" spans="1:12" x14ac:dyDescent="0.3">
      <c r="A3247" t="s">
        <v>1417</v>
      </c>
      <c r="B3247" t="s">
        <v>7473</v>
      </c>
      <c r="L3247" s="4" t="s">
        <v>7271</v>
      </c>
    </row>
    <row r="3248" spans="1:12" x14ac:dyDescent="0.3">
      <c r="A3248" t="s">
        <v>1417</v>
      </c>
      <c r="B3248" t="s">
        <v>1417</v>
      </c>
      <c r="L3248" s="3" t="s">
        <v>7273</v>
      </c>
    </row>
    <row r="3249" spans="1:12" x14ac:dyDescent="0.3">
      <c r="A3249" t="s">
        <v>1417</v>
      </c>
      <c r="B3249" t="s">
        <v>5138</v>
      </c>
      <c r="L3249" s="4" t="s">
        <v>7276</v>
      </c>
    </row>
    <row r="3250" spans="1:12" x14ac:dyDescent="0.3">
      <c r="A3250" t="s">
        <v>362</v>
      </c>
      <c r="B3250" t="s">
        <v>8268</v>
      </c>
      <c r="L3250" s="3" t="s">
        <v>7279</v>
      </c>
    </row>
    <row r="3251" spans="1:12" x14ac:dyDescent="0.3">
      <c r="A3251" t="s">
        <v>1417</v>
      </c>
      <c r="B3251" t="s">
        <v>8268</v>
      </c>
      <c r="L3251" s="4" t="s">
        <v>7281</v>
      </c>
    </row>
    <row r="3252" spans="1:12" x14ac:dyDescent="0.3">
      <c r="A3252" t="s">
        <v>668</v>
      </c>
      <c r="B3252" t="s">
        <v>8268</v>
      </c>
      <c r="L3252" s="3" t="s">
        <v>7284</v>
      </c>
    </row>
    <row r="3253" spans="1:12" x14ac:dyDescent="0.3">
      <c r="A3253" t="s">
        <v>668</v>
      </c>
      <c r="B3253" t="s">
        <v>497</v>
      </c>
      <c r="L3253" s="4" t="s">
        <v>7286</v>
      </c>
    </row>
    <row r="3254" spans="1:12" x14ac:dyDescent="0.3">
      <c r="A3254" t="s">
        <v>521</v>
      </c>
      <c r="B3254" t="s">
        <v>4843</v>
      </c>
      <c r="L3254" s="3" t="s">
        <v>7288</v>
      </c>
    </row>
    <row r="3255" spans="1:12" x14ac:dyDescent="0.3">
      <c r="A3255" t="s">
        <v>1417</v>
      </c>
      <c r="B3255" t="s">
        <v>362</v>
      </c>
      <c r="L3255" s="4" t="s">
        <v>7290</v>
      </c>
    </row>
    <row r="3256" spans="1:12" x14ac:dyDescent="0.3">
      <c r="A3256" t="s">
        <v>668</v>
      </c>
      <c r="B3256" t="s">
        <v>362</v>
      </c>
      <c r="L3256" s="3" t="s">
        <v>7292</v>
      </c>
    </row>
    <row r="3257" spans="1:12" x14ac:dyDescent="0.3">
      <c r="A3257" t="s">
        <v>521</v>
      </c>
      <c r="B3257" t="s">
        <v>1417</v>
      </c>
      <c r="L3257" s="4" t="s">
        <v>7294</v>
      </c>
    </row>
    <row r="3258" spans="1:12" x14ac:dyDescent="0.3">
      <c r="A3258" t="s">
        <v>2701</v>
      </c>
      <c r="B3258" t="s">
        <v>7473</v>
      </c>
      <c r="L3258" s="3" t="s">
        <v>7296</v>
      </c>
    </row>
    <row r="3259" spans="1:12" x14ac:dyDescent="0.3">
      <c r="A3259" t="s">
        <v>521</v>
      </c>
      <c r="B3259" t="s">
        <v>1417</v>
      </c>
      <c r="L3259" s="4" t="s">
        <v>7298</v>
      </c>
    </row>
    <row r="3260" spans="1:12" x14ac:dyDescent="0.3">
      <c r="A3260" t="s">
        <v>668</v>
      </c>
      <c r="B3260" t="s">
        <v>1417</v>
      </c>
      <c r="L3260" s="3" t="s">
        <v>7300</v>
      </c>
    </row>
    <row r="3261" spans="1:12" x14ac:dyDescent="0.3">
      <c r="A3261" t="s">
        <v>1417</v>
      </c>
      <c r="B3261" t="s">
        <v>1417</v>
      </c>
      <c r="L3261" s="4" t="s">
        <v>7302</v>
      </c>
    </row>
    <row r="3262" spans="1:12" x14ac:dyDescent="0.3">
      <c r="A3262" t="s">
        <v>668</v>
      </c>
      <c r="B3262" t="s">
        <v>4380</v>
      </c>
      <c r="L3262" s="3" t="s">
        <v>7304</v>
      </c>
    </row>
    <row r="3263" spans="1:12" x14ac:dyDescent="0.3">
      <c r="A3263" t="s">
        <v>521</v>
      </c>
      <c r="B3263" t="s">
        <v>2701</v>
      </c>
      <c r="L3263" s="4" t="s">
        <v>7306</v>
      </c>
    </row>
    <row r="3264" spans="1:12" x14ac:dyDescent="0.3">
      <c r="A3264" t="s">
        <v>521</v>
      </c>
      <c r="B3264" t="s">
        <v>8266</v>
      </c>
      <c r="L3264" s="3" t="s">
        <v>7308</v>
      </c>
    </row>
    <row r="3265" spans="1:12" x14ac:dyDescent="0.3">
      <c r="A3265" t="s">
        <v>521</v>
      </c>
      <c r="B3265" t="s">
        <v>1417</v>
      </c>
      <c r="L3265" s="4" t="s">
        <v>7311</v>
      </c>
    </row>
    <row r="3266" spans="1:12" x14ac:dyDescent="0.3">
      <c r="A3266" t="s">
        <v>1417</v>
      </c>
      <c r="B3266" t="s">
        <v>668</v>
      </c>
      <c r="L3266" s="3" t="s">
        <v>7314</v>
      </c>
    </row>
    <row r="3267" spans="1:12" x14ac:dyDescent="0.3">
      <c r="A3267" t="s">
        <v>2701</v>
      </c>
      <c r="B3267" t="s">
        <v>8268</v>
      </c>
      <c r="L3267" s="4" t="s">
        <v>7316</v>
      </c>
    </row>
    <row r="3268" spans="1:12" x14ac:dyDescent="0.3">
      <c r="A3268" t="s">
        <v>521</v>
      </c>
      <c r="B3268" t="s">
        <v>8266</v>
      </c>
      <c r="L3268" s="3" t="s">
        <v>7319</v>
      </c>
    </row>
    <row r="3269" spans="1:12" x14ac:dyDescent="0.3">
      <c r="A3269" t="s">
        <v>521</v>
      </c>
      <c r="B3269" t="s">
        <v>1417</v>
      </c>
      <c r="L3269" s="4" t="s">
        <v>7321</v>
      </c>
    </row>
    <row r="3270" spans="1:12" x14ac:dyDescent="0.3">
      <c r="A3270" t="s">
        <v>668</v>
      </c>
      <c r="B3270" t="s">
        <v>1417</v>
      </c>
      <c r="L3270" s="3" t="s">
        <v>7323</v>
      </c>
    </row>
    <row r="3271" spans="1:12" x14ac:dyDescent="0.3">
      <c r="A3271" t="s">
        <v>362</v>
      </c>
      <c r="B3271" t="s">
        <v>1417</v>
      </c>
      <c r="L3271" s="4" t="s">
        <v>7326</v>
      </c>
    </row>
    <row r="3272" spans="1:12" x14ac:dyDescent="0.3">
      <c r="A3272" t="s">
        <v>362</v>
      </c>
      <c r="B3272" t="s">
        <v>1417</v>
      </c>
      <c r="L3272" s="3" t="s">
        <v>7328</v>
      </c>
    </row>
    <row r="3273" spans="1:12" x14ac:dyDescent="0.3">
      <c r="A3273" t="s">
        <v>1417</v>
      </c>
      <c r="B3273" t="s">
        <v>7473</v>
      </c>
      <c r="L3273" s="4" t="s">
        <v>7330</v>
      </c>
    </row>
    <row r="3274" spans="1:12" x14ac:dyDescent="0.3">
      <c r="A3274" t="s">
        <v>521</v>
      </c>
      <c r="B3274" t="s">
        <v>668</v>
      </c>
      <c r="L3274" s="3" t="s">
        <v>7332</v>
      </c>
    </row>
    <row r="3275" spans="1:12" x14ac:dyDescent="0.3">
      <c r="A3275" t="s">
        <v>521</v>
      </c>
      <c r="B3275" t="s">
        <v>8268</v>
      </c>
      <c r="L3275" s="4" t="s">
        <v>7334</v>
      </c>
    </row>
    <row r="3276" spans="1:12" x14ac:dyDescent="0.3">
      <c r="A3276" t="s">
        <v>1417</v>
      </c>
      <c r="B3276" t="s">
        <v>1417</v>
      </c>
      <c r="L3276" s="3" t="s">
        <v>7336</v>
      </c>
    </row>
    <row r="3277" spans="1:12" x14ac:dyDescent="0.3">
      <c r="A3277" t="s">
        <v>5524</v>
      </c>
      <c r="B3277" t="s">
        <v>4380</v>
      </c>
      <c r="L3277" s="4" t="s">
        <v>7338</v>
      </c>
    </row>
    <row r="3278" spans="1:12" x14ac:dyDescent="0.3">
      <c r="A3278" t="s">
        <v>1417</v>
      </c>
      <c r="B3278" t="s">
        <v>5138</v>
      </c>
      <c r="L3278" s="3" t="s">
        <v>7340</v>
      </c>
    </row>
    <row r="3279" spans="1:12" x14ac:dyDescent="0.3">
      <c r="A3279" t="s">
        <v>2701</v>
      </c>
      <c r="B3279" t="s">
        <v>1417</v>
      </c>
      <c r="L3279" s="4" t="s">
        <v>7342</v>
      </c>
    </row>
    <row r="3280" spans="1:12" x14ac:dyDescent="0.3">
      <c r="A3280" t="s">
        <v>2701</v>
      </c>
      <c r="B3280" t="s">
        <v>1417</v>
      </c>
      <c r="L3280" s="3" t="s">
        <v>7344</v>
      </c>
    </row>
    <row r="3281" spans="1:12" x14ac:dyDescent="0.3">
      <c r="A3281" t="s">
        <v>5524</v>
      </c>
      <c r="B3281" t="s">
        <v>6171</v>
      </c>
      <c r="L3281" s="4" t="s">
        <v>7346</v>
      </c>
    </row>
    <row r="3282" spans="1:12" x14ac:dyDescent="0.3">
      <c r="A3282" t="s">
        <v>1417</v>
      </c>
      <c r="B3282" t="s">
        <v>4380</v>
      </c>
      <c r="L3282" s="3" t="s">
        <v>7348</v>
      </c>
    </row>
    <row r="3283" spans="1:12" x14ac:dyDescent="0.3">
      <c r="A3283" t="s">
        <v>521</v>
      </c>
      <c r="B3283" t="s">
        <v>7473</v>
      </c>
      <c r="L3283" s="4" t="s">
        <v>7351</v>
      </c>
    </row>
    <row r="3284" spans="1:12" x14ac:dyDescent="0.3">
      <c r="A3284" t="s">
        <v>668</v>
      </c>
      <c r="B3284" t="s">
        <v>7473</v>
      </c>
      <c r="L3284" s="3" t="s">
        <v>7353</v>
      </c>
    </row>
    <row r="3285" spans="1:12" x14ac:dyDescent="0.3">
      <c r="A3285" t="s">
        <v>668</v>
      </c>
      <c r="B3285" t="s">
        <v>362</v>
      </c>
      <c r="L3285" s="4" t="s">
        <v>7355</v>
      </c>
    </row>
    <row r="3286" spans="1:12" x14ac:dyDescent="0.3">
      <c r="A3286" t="s">
        <v>521</v>
      </c>
      <c r="B3286" t="s">
        <v>1417</v>
      </c>
      <c r="L3286" s="3" t="s">
        <v>7357</v>
      </c>
    </row>
    <row r="3287" spans="1:12" x14ac:dyDescent="0.3">
      <c r="A3287" t="s">
        <v>668</v>
      </c>
      <c r="B3287" t="s">
        <v>5138</v>
      </c>
      <c r="L3287" s="4" t="s">
        <v>7359</v>
      </c>
    </row>
    <row r="3288" spans="1:12" x14ac:dyDescent="0.3">
      <c r="A3288" t="s">
        <v>497</v>
      </c>
      <c r="B3288" t="s">
        <v>7473</v>
      </c>
      <c r="L3288" s="3" t="s">
        <v>7361</v>
      </c>
    </row>
    <row r="3289" spans="1:12" x14ac:dyDescent="0.3">
      <c r="A3289" t="s">
        <v>19</v>
      </c>
      <c r="B3289" t="s">
        <v>1417</v>
      </c>
      <c r="L3289" s="4" t="s">
        <v>7363</v>
      </c>
    </row>
    <row r="3290" spans="1:12" x14ac:dyDescent="0.3">
      <c r="A3290" t="s">
        <v>521</v>
      </c>
      <c r="B3290" t="s">
        <v>2701</v>
      </c>
      <c r="L3290" s="3" t="s">
        <v>7366</v>
      </c>
    </row>
    <row r="3291" spans="1:12" x14ac:dyDescent="0.3">
      <c r="A3291" t="s">
        <v>668</v>
      </c>
      <c r="B3291" t="s">
        <v>1417</v>
      </c>
      <c r="L3291" s="4" t="s">
        <v>7368</v>
      </c>
    </row>
    <row r="3292" spans="1:12" x14ac:dyDescent="0.3">
      <c r="A3292" t="s">
        <v>362</v>
      </c>
      <c r="B3292" t="s">
        <v>7473</v>
      </c>
      <c r="L3292" s="3" t="s">
        <v>7370</v>
      </c>
    </row>
    <row r="3293" spans="1:12" x14ac:dyDescent="0.3">
      <c r="A3293" t="s">
        <v>1417</v>
      </c>
      <c r="B3293" t="s">
        <v>7473</v>
      </c>
      <c r="L3293" s="4" t="s">
        <v>7372</v>
      </c>
    </row>
    <row r="3294" spans="1:12" x14ac:dyDescent="0.3">
      <c r="A3294" t="s">
        <v>8268</v>
      </c>
      <c r="B3294" t="s">
        <v>8269</v>
      </c>
      <c r="L3294" s="3" t="s">
        <v>7374</v>
      </c>
    </row>
    <row r="3295" spans="1:12" x14ac:dyDescent="0.3">
      <c r="A3295" t="s">
        <v>668</v>
      </c>
      <c r="B3295" t="s">
        <v>1417</v>
      </c>
      <c r="L3295" s="4" t="s">
        <v>7377</v>
      </c>
    </row>
    <row r="3296" spans="1:12" x14ac:dyDescent="0.3">
      <c r="A3296" t="s">
        <v>2701</v>
      </c>
      <c r="B3296" t="s">
        <v>8268</v>
      </c>
      <c r="L3296" s="3" t="s">
        <v>7379</v>
      </c>
    </row>
    <row r="3297" spans="1:12" x14ac:dyDescent="0.3">
      <c r="A3297" t="s">
        <v>668</v>
      </c>
      <c r="B3297" t="s">
        <v>7104</v>
      </c>
      <c r="L3297" s="4" t="s">
        <v>7381</v>
      </c>
    </row>
    <row r="3298" spans="1:12" x14ac:dyDescent="0.3">
      <c r="A3298" t="s">
        <v>521</v>
      </c>
      <c r="B3298" t="s">
        <v>362</v>
      </c>
      <c r="L3298" s="3" t="s">
        <v>7383</v>
      </c>
    </row>
    <row r="3299" spans="1:12" x14ac:dyDescent="0.3">
      <c r="A3299" t="s">
        <v>668</v>
      </c>
      <c r="B3299" t="s">
        <v>1417</v>
      </c>
      <c r="L3299" s="4" t="s">
        <v>7385</v>
      </c>
    </row>
    <row r="3300" spans="1:12" x14ac:dyDescent="0.3">
      <c r="A3300" t="s">
        <v>668</v>
      </c>
      <c r="B3300" t="s">
        <v>8267</v>
      </c>
      <c r="L3300" s="3" t="s">
        <v>7387</v>
      </c>
    </row>
    <row r="3301" spans="1:12" x14ac:dyDescent="0.3">
      <c r="A3301" t="s">
        <v>521</v>
      </c>
      <c r="B3301" t="s">
        <v>1417</v>
      </c>
      <c r="L3301" s="4" t="s">
        <v>7390</v>
      </c>
    </row>
    <row r="3302" spans="1:12" x14ac:dyDescent="0.3">
      <c r="A3302" t="s">
        <v>668</v>
      </c>
      <c r="B3302" t="s">
        <v>1417</v>
      </c>
      <c r="L3302" s="3" t="s">
        <v>7392</v>
      </c>
    </row>
    <row r="3303" spans="1:12" x14ac:dyDescent="0.3">
      <c r="A3303" t="s">
        <v>668</v>
      </c>
      <c r="B3303" t="s">
        <v>1417</v>
      </c>
      <c r="L3303" s="4" t="s">
        <v>7394</v>
      </c>
    </row>
    <row r="3304" spans="1:12" x14ac:dyDescent="0.3">
      <c r="A3304" t="s">
        <v>1417</v>
      </c>
      <c r="B3304" t="s">
        <v>2701</v>
      </c>
      <c r="L3304" s="3" t="s">
        <v>7396</v>
      </c>
    </row>
    <row r="3305" spans="1:12" x14ac:dyDescent="0.3">
      <c r="A3305" t="s">
        <v>1417</v>
      </c>
      <c r="B3305" t="s">
        <v>7473</v>
      </c>
      <c r="L3305" s="4" t="s">
        <v>7398</v>
      </c>
    </row>
    <row r="3306" spans="1:12" x14ac:dyDescent="0.3">
      <c r="A3306" t="s">
        <v>521</v>
      </c>
      <c r="B3306" t="s">
        <v>8267</v>
      </c>
      <c r="L3306" s="3" t="s">
        <v>7400</v>
      </c>
    </row>
    <row r="3307" spans="1:12" x14ac:dyDescent="0.3">
      <c r="A3307" t="s">
        <v>5524</v>
      </c>
      <c r="B3307" t="s">
        <v>7473</v>
      </c>
      <c r="L3307" s="4" t="s">
        <v>7402</v>
      </c>
    </row>
    <row r="3308" spans="1:12" x14ac:dyDescent="0.3">
      <c r="A3308" t="s">
        <v>668</v>
      </c>
      <c r="B3308" t="s">
        <v>5138</v>
      </c>
      <c r="L3308" s="3" t="s">
        <v>7404</v>
      </c>
    </row>
    <row r="3309" spans="1:12" x14ac:dyDescent="0.3">
      <c r="A3309" t="s">
        <v>668</v>
      </c>
      <c r="B3309" t="s">
        <v>1417</v>
      </c>
      <c r="L3309" s="4" t="s">
        <v>7406</v>
      </c>
    </row>
    <row r="3310" spans="1:12" x14ac:dyDescent="0.3">
      <c r="A3310" t="s">
        <v>1417</v>
      </c>
      <c r="B3310" t="s">
        <v>7104</v>
      </c>
      <c r="L3310" s="3" t="s">
        <v>7409</v>
      </c>
    </row>
    <row r="3311" spans="1:12" x14ac:dyDescent="0.3">
      <c r="A3311" t="s">
        <v>497</v>
      </c>
      <c r="B3311" t="s">
        <v>668</v>
      </c>
      <c r="L3311" s="4" t="s">
        <v>7411</v>
      </c>
    </row>
    <row r="3312" spans="1:12" x14ac:dyDescent="0.3">
      <c r="A3312" t="s">
        <v>19</v>
      </c>
      <c r="B3312" t="s">
        <v>5043</v>
      </c>
      <c r="L3312" s="3" t="s">
        <v>7413</v>
      </c>
    </row>
    <row r="3313" spans="1:12" x14ac:dyDescent="0.3">
      <c r="A3313" t="s">
        <v>521</v>
      </c>
      <c r="B3313" t="s">
        <v>1417</v>
      </c>
      <c r="L3313" s="4" t="s">
        <v>7415</v>
      </c>
    </row>
    <row r="3314" spans="1:12" x14ac:dyDescent="0.3">
      <c r="A3314" t="s">
        <v>2701</v>
      </c>
      <c r="B3314" t="s">
        <v>8046</v>
      </c>
      <c r="L3314" s="3" t="s">
        <v>7417</v>
      </c>
    </row>
    <row r="3315" spans="1:12" x14ac:dyDescent="0.3">
      <c r="A3315" t="s">
        <v>668</v>
      </c>
      <c r="B3315" t="s">
        <v>1417</v>
      </c>
      <c r="L3315" s="4" t="s">
        <v>7419</v>
      </c>
    </row>
    <row r="3316" spans="1:12" x14ac:dyDescent="0.3">
      <c r="A3316" t="s">
        <v>1417</v>
      </c>
      <c r="B3316" t="s">
        <v>2701</v>
      </c>
      <c r="L3316" s="3" t="s">
        <v>7422</v>
      </c>
    </row>
    <row r="3317" spans="1:12" x14ac:dyDescent="0.3">
      <c r="A3317" t="s">
        <v>1417</v>
      </c>
      <c r="B3317" t="s">
        <v>1417</v>
      </c>
      <c r="L3317" s="4" t="s">
        <v>7424</v>
      </c>
    </row>
    <row r="3318" spans="1:12" x14ac:dyDescent="0.3">
      <c r="A3318" t="s">
        <v>1417</v>
      </c>
      <c r="B3318" t="s">
        <v>4380</v>
      </c>
      <c r="L3318" s="3" t="s">
        <v>7427</v>
      </c>
    </row>
    <row r="3319" spans="1:12" x14ac:dyDescent="0.3">
      <c r="A3319" t="s">
        <v>521</v>
      </c>
      <c r="B3319" t="s">
        <v>8268</v>
      </c>
      <c r="L3319" s="4" t="s">
        <v>7429</v>
      </c>
    </row>
    <row r="3320" spans="1:12" x14ac:dyDescent="0.3">
      <c r="A3320" t="s">
        <v>1417</v>
      </c>
      <c r="B3320" t="s">
        <v>19</v>
      </c>
      <c r="L3320" s="3" t="s">
        <v>7431</v>
      </c>
    </row>
    <row r="3321" spans="1:12" x14ac:dyDescent="0.3">
      <c r="A3321" t="s">
        <v>668</v>
      </c>
      <c r="B3321" t="s">
        <v>1417</v>
      </c>
      <c r="L3321" s="4" t="s">
        <v>7433</v>
      </c>
    </row>
    <row r="3322" spans="1:12" x14ac:dyDescent="0.3">
      <c r="A3322" t="s">
        <v>8268</v>
      </c>
      <c r="B3322" t="s">
        <v>1417</v>
      </c>
      <c r="L3322" s="3" t="s">
        <v>7435</v>
      </c>
    </row>
    <row r="3323" spans="1:12" x14ac:dyDescent="0.3">
      <c r="A3323" t="s">
        <v>1417</v>
      </c>
      <c r="B3323" t="s">
        <v>8266</v>
      </c>
      <c r="L3323" s="4" t="s">
        <v>7437</v>
      </c>
    </row>
    <row r="3324" spans="1:12" x14ac:dyDescent="0.3">
      <c r="A3324" t="s">
        <v>1417</v>
      </c>
      <c r="B3324" t="s">
        <v>6171</v>
      </c>
      <c r="L3324" s="3" t="s">
        <v>7439</v>
      </c>
    </row>
    <row r="3325" spans="1:12" x14ac:dyDescent="0.3">
      <c r="A3325" t="s">
        <v>362</v>
      </c>
      <c r="B3325" t="s">
        <v>1417</v>
      </c>
      <c r="L3325" s="4" t="s">
        <v>7441</v>
      </c>
    </row>
    <row r="3326" spans="1:12" x14ac:dyDescent="0.3">
      <c r="A3326" t="s">
        <v>521</v>
      </c>
      <c r="B3326" t="s">
        <v>8268</v>
      </c>
      <c r="L3326" s="3" t="s">
        <v>7443</v>
      </c>
    </row>
    <row r="3327" spans="1:12" x14ac:dyDescent="0.3">
      <c r="A3327" t="s">
        <v>8266</v>
      </c>
      <c r="B3327" t="s">
        <v>7473</v>
      </c>
      <c r="L3327" s="4" t="s">
        <v>7445</v>
      </c>
    </row>
    <row r="3328" spans="1:12" x14ac:dyDescent="0.3">
      <c r="A3328" t="s">
        <v>1417</v>
      </c>
      <c r="B3328" t="s">
        <v>1417</v>
      </c>
      <c r="L3328" s="3" t="s">
        <v>7447</v>
      </c>
    </row>
    <row r="3329" spans="1:12" x14ac:dyDescent="0.3">
      <c r="A3329" t="s">
        <v>8268</v>
      </c>
      <c r="B3329" t="s">
        <v>7473</v>
      </c>
      <c r="L3329" s="4" t="s">
        <v>7449</v>
      </c>
    </row>
    <row r="3330" spans="1:12" x14ac:dyDescent="0.3">
      <c r="A3330" t="s">
        <v>8268</v>
      </c>
      <c r="B3330" t="s">
        <v>1417</v>
      </c>
      <c r="L3330" s="3" t="s">
        <v>7451</v>
      </c>
    </row>
    <row r="3331" spans="1:12" x14ac:dyDescent="0.3">
      <c r="A3331" t="s">
        <v>521</v>
      </c>
      <c r="B3331" t="s">
        <v>1417</v>
      </c>
      <c r="L3331" s="4" t="s">
        <v>7453</v>
      </c>
    </row>
    <row r="3332" spans="1:12" x14ac:dyDescent="0.3">
      <c r="A3332" t="s">
        <v>521</v>
      </c>
      <c r="B3332" t="s">
        <v>1417</v>
      </c>
      <c r="L3332" s="3" t="s">
        <v>7455</v>
      </c>
    </row>
    <row r="3333" spans="1:12" x14ac:dyDescent="0.3">
      <c r="A3333" t="s">
        <v>668</v>
      </c>
      <c r="B3333" t="s">
        <v>1417</v>
      </c>
      <c r="L3333" s="4" t="s">
        <v>7457</v>
      </c>
    </row>
    <row r="3334" spans="1:12" x14ac:dyDescent="0.3">
      <c r="A3334" t="s">
        <v>1417</v>
      </c>
      <c r="B3334" t="s">
        <v>1417</v>
      </c>
      <c r="L3334" s="3" t="s">
        <v>7459</v>
      </c>
    </row>
    <row r="3335" spans="1:12" x14ac:dyDescent="0.3">
      <c r="A3335" t="s">
        <v>1417</v>
      </c>
      <c r="B3335" t="s">
        <v>2701</v>
      </c>
      <c r="L3335" s="4" t="s">
        <v>7461</v>
      </c>
    </row>
    <row r="3336" spans="1:12" x14ac:dyDescent="0.3">
      <c r="A3336" t="s">
        <v>668</v>
      </c>
      <c r="B3336" t="s">
        <v>8046</v>
      </c>
      <c r="L3336" s="3" t="s">
        <v>7463</v>
      </c>
    </row>
    <row r="3337" spans="1:12" x14ac:dyDescent="0.3">
      <c r="A3337" t="s">
        <v>362</v>
      </c>
      <c r="B3337" t="s">
        <v>8268</v>
      </c>
      <c r="L3337" s="4" t="s">
        <v>7465</v>
      </c>
    </row>
    <row r="3338" spans="1:12" x14ac:dyDescent="0.3">
      <c r="A3338" t="s">
        <v>362</v>
      </c>
      <c r="B3338" t="s">
        <v>4380</v>
      </c>
      <c r="L3338" s="3" t="s">
        <v>7467</v>
      </c>
    </row>
    <row r="3339" spans="1:12" x14ac:dyDescent="0.3">
      <c r="A3339" t="s">
        <v>668</v>
      </c>
      <c r="B3339" t="s">
        <v>362</v>
      </c>
      <c r="L3339" s="4" t="s">
        <v>7469</v>
      </c>
    </row>
    <row r="3340" spans="1:12" x14ac:dyDescent="0.3">
      <c r="A3340" t="s">
        <v>1417</v>
      </c>
      <c r="B3340" t="s">
        <v>1417</v>
      </c>
      <c r="L3340" s="3" t="s">
        <v>7471</v>
      </c>
    </row>
    <row r="3341" spans="1:12" x14ac:dyDescent="0.3">
      <c r="A3341" t="s">
        <v>668</v>
      </c>
      <c r="B3341" t="s">
        <v>8268</v>
      </c>
      <c r="L3341" s="4" t="s">
        <v>7474</v>
      </c>
    </row>
    <row r="3342" spans="1:12" x14ac:dyDescent="0.3">
      <c r="A3342" t="s">
        <v>1417</v>
      </c>
      <c r="B3342" t="s">
        <v>362</v>
      </c>
      <c r="L3342" s="3" t="s">
        <v>7476</v>
      </c>
    </row>
    <row r="3343" spans="1:12" x14ac:dyDescent="0.3">
      <c r="A3343" t="s">
        <v>1417</v>
      </c>
      <c r="B3343" t="s">
        <v>1417</v>
      </c>
      <c r="L3343" s="4" t="s">
        <v>7478</v>
      </c>
    </row>
    <row r="3344" spans="1:12" x14ac:dyDescent="0.3">
      <c r="A3344" t="s">
        <v>521</v>
      </c>
      <c r="B3344" t="s">
        <v>7473</v>
      </c>
      <c r="L3344" s="3" t="s">
        <v>7480</v>
      </c>
    </row>
    <row r="3345" spans="1:12" x14ac:dyDescent="0.3">
      <c r="A3345" t="s">
        <v>5524</v>
      </c>
      <c r="B3345" t="s">
        <v>8046</v>
      </c>
      <c r="L3345" s="4" t="s">
        <v>7482</v>
      </c>
    </row>
    <row r="3346" spans="1:12" x14ac:dyDescent="0.3">
      <c r="A3346" t="s">
        <v>362</v>
      </c>
      <c r="B3346" t="s">
        <v>7473</v>
      </c>
      <c r="L3346" s="3" t="s">
        <v>7484</v>
      </c>
    </row>
    <row r="3347" spans="1:12" x14ac:dyDescent="0.3">
      <c r="A3347" t="s">
        <v>1417</v>
      </c>
      <c r="B3347" t="s">
        <v>8268</v>
      </c>
      <c r="L3347" s="4" t="s">
        <v>7486</v>
      </c>
    </row>
    <row r="3348" spans="1:12" x14ac:dyDescent="0.3">
      <c r="A3348" t="s">
        <v>521</v>
      </c>
      <c r="B3348" t="s">
        <v>8268</v>
      </c>
      <c r="L3348" s="3" t="s">
        <v>7488</v>
      </c>
    </row>
    <row r="3349" spans="1:12" x14ac:dyDescent="0.3">
      <c r="A3349" t="s">
        <v>362</v>
      </c>
      <c r="B3349" t="s">
        <v>1417</v>
      </c>
      <c r="L3349" s="4" t="s">
        <v>7490</v>
      </c>
    </row>
    <row r="3350" spans="1:12" x14ac:dyDescent="0.3">
      <c r="A3350" t="s">
        <v>668</v>
      </c>
      <c r="B3350" t="s">
        <v>8266</v>
      </c>
      <c r="L3350" s="3" t="s">
        <v>7492</v>
      </c>
    </row>
    <row r="3351" spans="1:12" x14ac:dyDescent="0.3">
      <c r="A3351" t="s">
        <v>1417</v>
      </c>
      <c r="B3351" t="s">
        <v>1417</v>
      </c>
      <c r="L3351" s="4" t="s">
        <v>7494</v>
      </c>
    </row>
    <row r="3352" spans="1:12" x14ac:dyDescent="0.3">
      <c r="A3352" t="s">
        <v>668</v>
      </c>
      <c r="B3352" t="s">
        <v>7104</v>
      </c>
      <c r="L3352" s="3" t="s">
        <v>7496</v>
      </c>
    </row>
    <row r="3353" spans="1:12" x14ac:dyDescent="0.3">
      <c r="A3353" t="s">
        <v>521</v>
      </c>
      <c r="B3353" t="s">
        <v>4380</v>
      </c>
      <c r="L3353" s="4" t="s">
        <v>7498</v>
      </c>
    </row>
    <row r="3354" spans="1:12" x14ac:dyDescent="0.3">
      <c r="A3354" t="s">
        <v>5524</v>
      </c>
      <c r="B3354" t="s">
        <v>1417</v>
      </c>
      <c r="L3354" s="3" t="s">
        <v>7501</v>
      </c>
    </row>
    <row r="3355" spans="1:12" x14ac:dyDescent="0.3">
      <c r="A3355" t="s">
        <v>2701</v>
      </c>
      <c r="B3355" t="s">
        <v>8266</v>
      </c>
      <c r="L3355" s="4" t="s">
        <v>7504</v>
      </c>
    </row>
    <row r="3356" spans="1:12" x14ac:dyDescent="0.3">
      <c r="A3356" t="s">
        <v>521</v>
      </c>
      <c r="B3356" t="s">
        <v>1417</v>
      </c>
      <c r="L3356" s="3" t="s">
        <v>7506</v>
      </c>
    </row>
    <row r="3357" spans="1:12" x14ac:dyDescent="0.3">
      <c r="A3357" t="s">
        <v>8268</v>
      </c>
      <c r="B3357" t="s">
        <v>5043</v>
      </c>
      <c r="L3357" s="4" t="s">
        <v>7509</v>
      </c>
    </row>
    <row r="3358" spans="1:12" x14ac:dyDescent="0.3">
      <c r="A3358" t="s">
        <v>362</v>
      </c>
      <c r="B3358" t="s">
        <v>8266</v>
      </c>
      <c r="L3358" s="3" t="s">
        <v>7512</v>
      </c>
    </row>
    <row r="3359" spans="1:12" x14ac:dyDescent="0.3">
      <c r="A3359" t="s">
        <v>8268</v>
      </c>
      <c r="B3359" t="s">
        <v>8046</v>
      </c>
      <c r="L3359" s="4" t="s">
        <v>7514</v>
      </c>
    </row>
    <row r="3360" spans="1:12" x14ac:dyDescent="0.3">
      <c r="A3360" t="s">
        <v>668</v>
      </c>
      <c r="B3360" t="s">
        <v>8268</v>
      </c>
      <c r="L3360" s="3" t="s">
        <v>7516</v>
      </c>
    </row>
    <row r="3361" spans="1:12" x14ac:dyDescent="0.3">
      <c r="A3361" t="s">
        <v>5524</v>
      </c>
      <c r="B3361" t="s">
        <v>8269</v>
      </c>
      <c r="L3361" s="4" t="s">
        <v>7518</v>
      </c>
    </row>
    <row r="3362" spans="1:12" x14ac:dyDescent="0.3">
      <c r="A3362" t="s">
        <v>668</v>
      </c>
      <c r="B3362" t="s">
        <v>4380</v>
      </c>
      <c r="L3362" s="3" t="s">
        <v>7520</v>
      </c>
    </row>
    <row r="3363" spans="1:12" x14ac:dyDescent="0.3">
      <c r="A3363" t="s">
        <v>668</v>
      </c>
      <c r="B3363" t="s">
        <v>8268</v>
      </c>
      <c r="L3363" s="4" t="s">
        <v>7522</v>
      </c>
    </row>
    <row r="3364" spans="1:12" x14ac:dyDescent="0.3">
      <c r="A3364" t="s">
        <v>362</v>
      </c>
      <c r="B3364" t="s">
        <v>7473</v>
      </c>
      <c r="L3364" s="3" t="s">
        <v>7524</v>
      </c>
    </row>
    <row r="3365" spans="1:12" x14ac:dyDescent="0.3">
      <c r="A3365" t="s">
        <v>1417</v>
      </c>
      <c r="B3365" t="s">
        <v>1417</v>
      </c>
      <c r="L3365" s="4" t="s">
        <v>7526</v>
      </c>
    </row>
    <row r="3366" spans="1:12" x14ac:dyDescent="0.3">
      <c r="A3366" t="s">
        <v>1417</v>
      </c>
      <c r="B3366" t="s">
        <v>7473</v>
      </c>
      <c r="L3366" s="3" t="s">
        <v>7528</v>
      </c>
    </row>
    <row r="3367" spans="1:12" x14ac:dyDescent="0.3">
      <c r="A3367" t="s">
        <v>5524</v>
      </c>
      <c r="B3367" t="s">
        <v>8267</v>
      </c>
      <c r="L3367" s="4" t="s">
        <v>7530</v>
      </c>
    </row>
    <row r="3368" spans="1:12" x14ac:dyDescent="0.3">
      <c r="A3368" t="s">
        <v>668</v>
      </c>
      <c r="B3368" t="s">
        <v>668</v>
      </c>
      <c r="L3368" s="3" t="s">
        <v>7532</v>
      </c>
    </row>
    <row r="3369" spans="1:12" x14ac:dyDescent="0.3">
      <c r="A3369" t="s">
        <v>668</v>
      </c>
      <c r="B3369" t="s">
        <v>8268</v>
      </c>
      <c r="L3369" s="4" t="s">
        <v>7534</v>
      </c>
    </row>
    <row r="3370" spans="1:12" x14ac:dyDescent="0.3">
      <c r="A3370" t="s">
        <v>668</v>
      </c>
      <c r="B3370" t="s">
        <v>1417</v>
      </c>
      <c r="L3370" s="3" t="s">
        <v>7536</v>
      </c>
    </row>
    <row r="3371" spans="1:12" x14ac:dyDescent="0.3">
      <c r="A3371" t="s">
        <v>2701</v>
      </c>
      <c r="B3371" t="s">
        <v>1417</v>
      </c>
      <c r="L3371" s="4" t="s">
        <v>7538</v>
      </c>
    </row>
    <row r="3372" spans="1:12" x14ac:dyDescent="0.3">
      <c r="A3372" t="s">
        <v>668</v>
      </c>
      <c r="B3372" t="s">
        <v>1417</v>
      </c>
      <c r="L3372" s="3" t="s">
        <v>7540</v>
      </c>
    </row>
    <row r="3373" spans="1:12" x14ac:dyDescent="0.3">
      <c r="A3373" t="s">
        <v>668</v>
      </c>
      <c r="B3373" t="s">
        <v>1417</v>
      </c>
      <c r="L3373" s="4" t="s">
        <v>7542</v>
      </c>
    </row>
    <row r="3374" spans="1:12" x14ac:dyDescent="0.3">
      <c r="A3374" t="s">
        <v>668</v>
      </c>
      <c r="B3374" t="s">
        <v>6171</v>
      </c>
      <c r="L3374" s="3" t="s">
        <v>7544</v>
      </c>
    </row>
    <row r="3375" spans="1:12" x14ac:dyDescent="0.3">
      <c r="A3375" t="s">
        <v>362</v>
      </c>
      <c r="B3375" t="s">
        <v>1417</v>
      </c>
      <c r="L3375" s="4" t="s">
        <v>7546</v>
      </c>
    </row>
    <row r="3376" spans="1:12" x14ac:dyDescent="0.3">
      <c r="A3376" t="s">
        <v>668</v>
      </c>
      <c r="B3376" t="s">
        <v>1417</v>
      </c>
      <c r="L3376" s="3" t="s">
        <v>7548</v>
      </c>
    </row>
    <row r="3377" spans="1:12" x14ac:dyDescent="0.3">
      <c r="A3377" t="s">
        <v>521</v>
      </c>
      <c r="B3377" t="s">
        <v>5138</v>
      </c>
      <c r="L3377" s="4" t="s">
        <v>7550</v>
      </c>
    </row>
    <row r="3378" spans="1:12" x14ac:dyDescent="0.3">
      <c r="A3378" t="s">
        <v>521</v>
      </c>
      <c r="B3378" t="s">
        <v>5043</v>
      </c>
      <c r="L3378" s="3" t="s">
        <v>7552</v>
      </c>
    </row>
    <row r="3379" spans="1:12" x14ac:dyDescent="0.3">
      <c r="A3379" t="s">
        <v>497</v>
      </c>
      <c r="B3379" t="s">
        <v>1417</v>
      </c>
      <c r="L3379" s="4" t="s">
        <v>7554</v>
      </c>
    </row>
    <row r="3380" spans="1:12" x14ac:dyDescent="0.3">
      <c r="A3380" t="s">
        <v>668</v>
      </c>
      <c r="B3380" t="s">
        <v>1417</v>
      </c>
      <c r="L3380" s="3" t="s">
        <v>7557</v>
      </c>
    </row>
    <row r="3381" spans="1:12" x14ac:dyDescent="0.3">
      <c r="A3381" t="s">
        <v>1417</v>
      </c>
      <c r="B3381" t="s">
        <v>8268</v>
      </c>
      <c r="L3381" s="4" t="s">
        <v>7559</v>
      </c>
    </row>
    <row r="3382" spans="1:12" x14ac:dyDescent="0.3">
      <c r="A3382" t="s">
        <v>668</v>
      </c>
      <c r="B3382" t="s">
        <v>1417</v>
      </c>
      <c r="L3382" s="3" t="s">
        <v>7561</v>
      </c>
    </row>
    <row r="3383" spans="1:12" x14ac:dyDescent="0.3">
      <c r="A3383" t="s">
        <v>668</v>
      </c>
      <c r="B3383" t="s">
        <v>1417</v>
      </c>
      <c r="L3383" s="4" t="s">
        <v>7563</v>
      </c>
    </row>
    <row r="3384" spans="1:12" x14ac:dyDescent="0.3">
      <c r="A3384" t="s">
        <v>1417</v>
      </c>
      <c r="B3384" t="s">
        <v>1417</v>
      </c>
      <c r="L3384" s="3" t="s">
        <v>7565</v>
      </c>
    </row>
    <row r="3385" spans="1:12" x14ac:dyDescent="0.3">
      <c r="A3385" t="s">
        <v>8268</v>
      </c>
      <c r="B3385" t="s">
        <v>1417</v>
      </c>
      <c r="L3385" s="4" t="s">
        <v>7567</v>
      </c>
    </row>
    <row r="3386" spans="1:12" x14ac:dyDescent="0.3">
      <c r="A3386" t="s">
        <v>1417</v>
      </c>
      <c r="B3386" t="s">
        <v>668</v>
      </c>
      <c r="L3386" s="3" t="s">
        <v>7569</v>
      </c>
    </row>
    <row r="3387" spans="1:12" x14ac:dyDescent="0.3">
      <c r="A3387" t="s">
        <v>521</v>
      </c>
      <c r="B3387" t="s">
        <v>7473</v>
      </c>
      <c r="L3387" s="4" t="s">
        <v>7571</v>
      </c>
    </row>
    <row r="3388" spans="1:12" x14ac:dyDescent="0.3">
      <c r="A3388" t="s">
        <v>521</v>
      </c>
      <c r="B3388" t="s">
        <v>1417</v>
      </c>
      <c r="L3388" s="3" t="s">
        <v>7574</v>
      </c>
    </row>
    <row r="3389" spans="1:12" x14ac:dyDescent="0.3">
      <c r="A3389" t="s">
        <v>1417</v>
      </c>
      <c r="B3389" t="s">
        <v>1417</v>
      </c>
      <c r="L3389" s="4" t="s">
        <v>7576</v>
      </c>
    </row>
    <row r="3390" spans="1:12" x14ac:dyDescent="0.3">
      <c r="A3390" t="s">
        <v>668</v>
      </c>
      <c r="B3390" t="s">
        <v>2701</v>
      </c>
      <c r="L3390" s="3" t="s">
        <v>7578</v>
      </c>
    </row>
    <row r="3391" spans="1:12" x14ac:dyDescent="0.3">
      <c r="A3391" t="s">
        <v>668</v>
      </c>
      <c r="B3391" t="s">
        <v>1417</v>
      </c>
      <c r="L3391" s="4" t="s">
        <v>7580</v>
      </c>
    </row>
    <row r="3392" spans="1:12" x14ac:dyDescent="0.3">
      <c r="A3392" t="s">
        <v>668</v>
      </c>
      <c r="B3392" t="s">
        <v>7473</v>
      </c>
      <c r="L3392" s="3" t="s">
        <v>7582</v>
      </c>
    </row>
    <row r="3393" spans="1:12" x14ac:dyDescent="0.3">
      <c r="A3393" t="s">
        <v>1417</v>
      </c>
      <c r="B3393" t="s">
        <v>497</v>
      </c>
      <c r="L3393" s="4" t="s">
        <v>7584</v>
      </c>
    </row>
    <row r="3394" spans="1:12" x14ac:dyDescent="0.3">
      <c r="A3394" t="s">
        <v>668</v>
      </c>
      <c r="B3394" t="s">
        <v>8268</v>
      </c>
      <c r="L3394" s="3" t="s">
        <v>7586</v>
      </c>
    </row>
    <row r="3395" spans="1:12" x14ac:dyDescent="0.3">
      <c r="A3395" t="s">
        <v>668</v>
      </c>
      <c r="B3395" t="s">
        <v>2701</v>
      </c>
      <c r="L3395" s="4" t="s">
        <v>7589</v>
      </c>
    </row>
    <row r="3396" spans="1:12" x14ac:dyDescent="0.3">
      <c r="A3396" t="s">
        <v>668</v>
      </c>
      <c r="B3396" t="s">
        <v>8266</v>
      </c>
      <c r="L3396" s="3" t="s">
        <v>7591</v>
      </c>
    </row>
    <row r="3397" spans="1:12" x14ac:dyDescent="0.3">
      <c r="A3397" t="s">
        <v>668</v>
      </c>
      <c r="B3397" t="s">
        <v>2701</v>
      </c>
      <c r="L3397" s="4" t="s">
        <v>7593</v>
      </c>
    </row>
    <row r="3398" spans="1:12" x14ac:dyDescent="0.3">
      <c r="A3398" t="s">
        <v>1417</v>
      </c>
      <c r="B3398" t="s">
        <v>19</v>
      </c>
      <c r="L3398" s="3" t="s">
        <v>7595</v>
      </c>
    </row>
    <row r="3399" spans="1:12" x14ac:dyDescent="0.3">
      <c r="A3399" t="s">
        <v>362</v>
      </c>
      <c r="B3399" t="s">
        <v>2701</v>
      </c>
      <c r="L3399" s="4" t="s">
        <v>7597</v>
      </c>
    </row>
    <row r="3400" spans="1:12" x14ac:dyDescent="0.3">
      <c r="A3400" t="s">
        <v>4843</v>
      </c>
      <c r="B3400" t="s">
        <v>497</v>
      </c>
      <c r="L3400" s="3" t="s">
        <v>7599</v>
      </c>
    </row>
    <row r="3401" spans="1:12" x14ac:dyDescent="0.3">
      <c r="A3401" t="s">
        <v>668</v>
      </c>
      <c r="B3401" t="s">
        <v>4380</v>
      </c>
      <c r="L3401" s="4" t="s">
        <v>7602</v>
      </c>
    </row>
    <row r="3402" spans="1:12" x14ac:dyDescent="0.3">
      <c r="A3402" t="s">
        <v>668</v>
      </c>
      <c r="B3402" t="s">
        <v>1417</v>
      </c>
      <c r="L3402" s="3" t="s">
        <v>7605</v>
      </c>
    </row>
    <row r="3403" spans="1:12" x14ac:dyDescent="0.3">
      <c r="A3403" t="s">
        <v>521</v>
      </c>
      <c r="B3403" t="s">
        <v>8046</v>
      </c>
      <c r="L3403" s="4" t="s">
        <v>7608</v>
      </c>
    </row>
    <row r="3404" spans="1:12" x14ac:dyDescent="0.3">
      <c r="A3404" t="s">
        <v>668</v>
      </c>
      <c r="B3404" t="s">
        <v>8268</v>
      </c>
      <c r="L3404" s="3" t="s">
        <v>7610</v>
      </c>
    </row>
    <row r="3405" spans="1:12" x14ac:dyDescent="0.3">
      <c r="A3405" t="s">
        <v>668</v>
      </c>
      <c r="B3405" t="s">
        <v>497</v>
      </c>
      <c r="L3405" s="4" t="s">
        <v>7613</v>
      </c>
    </row>
    <row r="3406" spans="1:12" x14ac:dyDescent="0.3">
      <c r="A3406" t="s">
        <v>5524</v>
      </c>
      <c r="B3406" t="s">
        <v>8268</v>
      </c>
      <c r="L3406" s="3" t="s">
        <v>7616</v>
      </c>
    </row>
    <row r="3407" spans="1:12" x14ac:dyDescent="0.3">
      <c r="A3407" t="s">
        <v>5524</v>
      </c>
      <c r="B3407" t="s">
        <v>1417</v>
      </c>
      <c r="L3407" s="4" t="s">
        <v>7618</v>
      </c>
    </row>
    <row r="3408" spans="1:12" x14ac:dyDescent="0.3">
      <c r="A3408" t="s">
        <v>5524</v>
      </c>
      <c r="B3408" t="s">
        <v>2701</v>
      </c>
      <c r="L3408" s="3" t="s">
        <v>7620</v>
      </c>
    </row>
    <row r="3409" spans="1:12" x14ac:dyDescent="0.3">
      <c r="A3409" t="s">
        <v>362</v>
      </c>
      <c r="B3409" t="s">
        <v>1417</v>
      </c>
      <c r="L3409" s="4" t="s">
        <v>7623</v>
      </c>
    </row>
    <row r="3410" spans="1:12" x14ac:dyDescent="0.3">
      <c r="A3410" t="s">
        <v>362</v>
      </c>
      <c r="B3410" t="s">
        <v>1417</v>
      </c>
      <c r="L3410" s="3" t="s">
        <v>7625</v>
      </c>
    </row>
    <row r="3411" spans="1:12" x14ac:dyDescent="0.3">
      <c r="A3411" t="s">
        <v>1417</v>
      </c>
      <c r="B3411" t="s">
        <v>5138</v>
      </c>
      <c r="L3411" s="4" t="s">
        <v>7627</v>
      </c>
    </row>
    <row r="3412" spans="1:12" x14ac:dyDescent="0.3">
      <c r="A3412" t="s">
        <v>1417</v>
      </c>
      <c r="B3412" t="s">
        <v>4380</v>
      </c>
      <c r="L3412" s="3" t="s">
        <v>7629</v>
      </c>
    </row>
    <row r="3413" spans="1:12" x14ac:dyDescent="0.3">
      <c r="A3413" t="s">
        <v>8268</v>
      </c>
      <c r="B3413" t="s">
        <v>8266</v>
      </c>
      <c r="L3413" s="4" t="s">
        <v>7631</v>
      </c>
    </row>
    <row r="3414" spans="1:12" x14ac:dyDescent="0.3">
      <c r="A3414" t="s">
        <v>1417</v>
      </c>
      <c r="B3414" t="s">
        <v>5043</v>
      </c>
      <c r="L3414" s="3" t="s">
        <v>7633</v>
      </c>
    </row>
    <row r="3415" spans="1:12" x14ac:dyDescent="0.3">
      <c r="A3415" t="s">
        <v>668</v>
      </c>
      <c r="B3415" t="s">
        <v>1417</v>
      </c>
      <c r="L3415" s="4" t="s">
        <v>7635</v>
      </c>
    </row>
    <row r="3416" spans="1:12" x14ac:dyDescent="0.3">
      <c r="A3416" t="s">
        <v>1417</v>
      </c>
      <c r="B3416" t="s">
        <v>1417</v>
      </c>
      <c r="L3416" s="3" t="s">
        <v>7638</v>
      </c>
    </row>
    <row r="3417" spans="1:12" x14ac:dyDescent="0.3">
      <c r="A3417" t="s">
        <v>668</v>
      </c>
      <c r="B3417" t="s">
        <v>1417</v>
      </c>
      <c r="L3417" s="4" t="s">
        <v>7641</v>
      </c>
    </row>
    <row r="3418" spans="1:12" x14ac:dyDescent="0.3">
      <c r="A3418" t="s">
        <v>668</v>
      </c>
      <c r="B3418" t="s">
        <v>668</v>
      </c>
      <c r="L3418" s="3" t="s">
        <v>7643</v>
      </c>
    </row>
    <row r="3419" spans="1:12" x14ac:dyDescent="0.3">
      <c r="A3419" t="s">
        <v>521</v>
      </c>
      <c r="B3419" t="s">
        <v>1417</v>
      </c>
      <c r="L3419" s="4" t="s">
        <v>7645</v>
      </c>
    </row>
    <row r="3420" spans="1:12" x14ac:dyDescent="0.3">
      <c r="A3420" t="s">
        <v>8268</v>
      </c>
      <c r="B3420" t="s">
        <v>1417</v>
      </c>
      <c r="L3420" s="3" t="s">
        <v>7647</v>
      </c>
    </row>
    <row r="3421" spans="1:12" x14ac:dyDescent="0.3">
      <c r="A3421" t="s">
        <v>1417</v>
      </c>
      <c r="B3421" t="s">
        <v>1417</v>
      </c>
      <c r="L3421" s="4" t="s">
        <v>7650</v>
      </c>
    </row>
    <row r="3422" spans="1:12" x14ac:dyDescent="0.3">
      <c r="A3422" t="s">
        <v>8268</v>
      </c>
      <c r="B3422" t="s">
        <v>1417</v>
      </c>
      <c r="L3422" s="3" t="s">
        <v>7652</v>
      </c>
    </row>
    <row r="3423" spans="1:12" x14ac:dyDescent="0.3">
      <c r="A3423" t="s">
        <v>668</v>
      </c>
      <c r="B3423" t="s">
        <v>7473</v>
      </c>
      <c r="L3423" s="4" t="s">
        <v>7654</v>
      </c>
    </row>
    <row r="3424" spans="1:12" x14ac:dyDescent="0.3">
      <c r="A3424" t="s">
        <v>1417</v>
      </c>
      <c r="B3424" t="s">
        <v>8266</v>
      </c>
      <c r="L3424" s="3" t="s">
        <v>7656</v>
      </c>
    </row>
    <row r="3425" spans="1:12" x14ac:dyDescent="0.3">
      <c r="A3425" t="s">
        <v>521</v>
      </c>
      <c r="B3425" t="s">
        <v>4380</v>
      </c>
      <c r="L3425" s="4" t="s">
        <v>7658</v>
      </c>
    </row>
    <row r="3426" spans="1:12" x14ac:dyDescent="0.3">
      <c r="A3426" t="s">
        <v>521</v>
      </c>
      <c r="B3426" t="s">
        <v>8046</v>
      </c>
      <c r="L3426" s="3" t="s">
        <v>7660</v>
      </c>
    </row>
    <row r="3427" spans="1:12" x14ac:dyDescent="0.3">
      <c r="A3427" t="s">
        <v>5524</v>
      </c>
      <c r="B3427" t="s">
        <v>8268</v>
      </c>
      <c r="L3427" s="4" t="s">
        <v>7662</v>
      </c>
    </row>
    <row r="3428" spans="1:12" x14ac:dyDescent="0.3">
      <c r="A3428" t="s">
        <v>521</v>
      </c>
      <c r="B3428" t="s">
        <v>2701</v>
      </c>
      <c r="L3428" s="3" t="s">
        <v>7665</v>
      </c>
    </row>
    <row r="3429" spans="1:12" x14ac:dyDescent="0.3">
      <c r="A3429" t="s">
        <v>521</v>
      </c>
      <c r="B3429" t="s">
        <v>7104</v>
      </c>
      <c r="L3429" s="4" t="s">
        <v>7667</v>
      </c>
    </row>
    <row r="3430" spans="1:12" x14ac:dyDescent="0.3">
      <c r="A3430" t="s">
        <v>668</v>
      </c>
      <c r="B3430" t="s">
        <v>1417</v>
      </c>
      <c r="L3430" s="3" t="s">
        <v>7669</v>
      </c>
    </row>
    <row r="3431" spans="1:12" x14ac:dyDescent="0.3">
      <c r="A3431" t="s">
        <v>1417</v>
      </c>
      <c r="B3431" t="s">
        <v>4380</v>
      </c>
      <c r="L3431" s="4" t="s">
        <v>7671</v>
      </c>
    </row>
    <row r="3432" spans="1:12" x14ac:dyDescent="0.3">
      <c r="A3432" t="s">
        <v>8268</v>
      </c>
      <c r="B3432" t="s">
        <v>668</v>
      </c>
      <c r="L3432" s="3" t="s">
        <v>7673</v>
      </c>
    </row>
    <row r="3433" spans="1:12" x14ac:dyDescent="0.3">
      <c r="A3433" t="s">
        <v>521</v>
      </c>
      <c r="B3433" t="s">
        <v>2701</v>
      </c>
      <c r="L3433" s="4" t="s">
        <v>7675</v>
      </c>
    </row>
    <row r="3434" spans="1:12" x14ac:dyDescent="0.3">
      <c r="A3434" t="s">
        <v>521</v>
      </c>
      <c r="B3434" t="s">
        <v>2701</v>
      </c>
      <c r="L3434" s="3" t="s">
        <v>7677</v>
      </c>
    </row>
    <row r="3435" spans="1:12" x14ac:dyDescent="0.3">
      <c r="A3435" t="s">
        <v>521</v>
      </c>
      <c r="B3435" t="s">
        <v>8266</v>
      </c>
      <c r="L3435" s="4" t="s">
        <v>7679</v>
      </c>
    </row>
    <row r="3436" spans="1:12" x14ac:dyDescent="0.3">
      <c r="A3436" t="s">
        <v>668</v>
      </c>
      <c r="B3436" t="s">
        <v>4380</v>
      </c>
      <c r="L3436" s="3" t="s">
        <v>7681</v>
      </c>
    </row>
    <row r="3437" spans="1:12" x14ac:dyDescent="0.3">
      <c r="A3437" t="s">
        <v>668</v>
      </c>
      <c r="B3437" t="s">
        <v>8266</v>
      </c>
      <c r="L3437" s="4" t="s">
        <v>7683</v>
      </c>
    </row>
    <row r="3438" spans="1:12" x14ac:dyDescent="0.3">
      <c r="A3438" t="s">
        <v>521</v>
      </c>
      <c r="B3438" t="s">
        <v>1417</v>
      </c>
      <c r="L3438" s="3" t="s">
        <v>7685</v>
      </c>
    </row>
    <row r="3439" spans="1:12" x14ac:dyDescent="0.3">
      <c r="A3439" t="s">
        <v>1417</v>
      </c>
      <c r="B3439" t="s">
        <v>8268</v>
      </c>
      <c r="L3439" s="4" t="s">
        <v>7687</v>
      </c>
    </row>
    <row r="3440" spans="1:12" x14ac:dyDescent="0.3">
      <c r="A3440" t="s">
        <v>668</v>
      </c>
      <c r="B3440" t="s">
        <v>8266</v>
      </c>
      <c r="L3440" s="3" t="s">
        <v>7689</v>
      </c>
    </row>
    <row r="3441" spans="1:12" x14ac:dyDescent="0.3">
      <c r="A3441" t="s">
        <v>2701</v>
      </c>
      <c r="B3441" t="s">
        <v>1417</v>
      </c>
      <c r="L3441" s="4" t="s">
        <v>7691</v>
      </c>
    </row>
    <row r="3442" spans="1:12" x14ac:dyDescent="0.3">
      <c r="A3442" t="s">
        <v>1417</v>
      </c>
      <c r="B3442" t="s">
        <v>4380</v>
      </c>
      <c r="L3442" s="3" t="s">
        <v>7693</v>
      </c>
    </row>
    <row r="3443" spans="1:12" x14ac:dyDescent="0.3">
      <c r="A3443" t="s">
        <v>1417</v>
      </c>
      <c r="B3443" t="s">
        <v>362</v>
      </c>
      <c r="L3443" s="4" t="s">
        <v>7695</v>
      </c>
    </row>
    <row r="3444" spans="1:12" x14ac:dyDescent="0.3">
      <c r="A3444" t="s">
        <v>668</v>
      </c>
      <c r="B3444" t="s">
        <v>8046</v>
      </c>
      <c r="L3444" s="3" t="s">
        <v>7697</v>
      </c>
    </row>
    <row r="3445" spans="1:12" x14ac:dyDescent="0.3">
      <c r="A3445" t="s">
        <v>8268</v>
      </c>
      <c r="B3445" t="s">
        <v>7473</v>
      </c>
      <c r="L3445" s="4" t="s">
        <v>7699</v>
      </c>
    </row>
    <row r="3446" spans="1:12" x14ac:dyDescent="0.3">
      <c r="A3446" t="s">
        <v>668</v>
      </c>
      <c r="B3446" t="s">
        <v>7473</v>
      </c>
      <c r="L3446" s="3" t="s">
        <v>7701</v>
      </c>
    </row>
    <row r="3447" spans="1:12" x14ac:dyDescent="0.3">
      <c r="A3447" t="s">
        <v>668</v>
      </c>
      <c r="B3447" t="s">
        <v>7473</v>
      </c>
      <c r="L3447" s="4" t="s">
        <v>7703</v>
      </c>
    </row>
    <row r="3448" spans="1:12" x14ac:dyDescent="0.3">
      <c r="A3448" t="s">
        <v>1417</v>
      </c>
      <c r="B3448" t="s">
        <v>362</v>
      </c>
      <c r="L3448" s="3" t="s">
        <v>7705</v>
      </c>
    </row>
    <row r="3449" spans="1:12" x14ac:dyDescent="0.3">
      <c r="A3449" t="s">
        <v>668</v>
      </c>
      <c r="B3449" t="s">
        <v>1417</v>
      </c>
      <c r="L3449" s="4" t="s">
        <v>7707</v>
      </c>
    </row>
    <row r="3450" spans="1:12" x14ac:dyDescent="0.3">
      <c r="A3450" t="s">
        <v>668</v>
      </c>
      <c r="B3450" t="s">
        <v>8268</v>
      </c>
      <c r="L3450" s="3" t="s">
        <v>7709</v>
      </c>
    </row>
    <row r="3451" spans="1:12" x14ac:dyDescent="0.3">
      <c r="A3451" t="s">
        <v>668</v>
      </c>
      <c r="B3451" t="s">
        <v>1417</v>
      </c>
      <c r="L3451" s="4" t="s">
        <v>7711</v>
      </c>
    </row>
    <row r="3452" spans="1:12" x14ac:dyDescent="0.3">
      <c r="A3452" t="s">
        <v>1417</v>
      </c>
      <c r="B3452" t="s">
        <v>4380</v>
      </c>
      <c r="L3452" s="3" t="s">
        <v>7713</v>
      </c>
    </row>
    <row r="3453" spans="1:12" x14ac:dyDescent="0.3">
      <c r="A3453" t="s">
        <v>668</v>
      </c>
      <c r="B3453" t="s">
        <v>1417</v>
      </c>
      <c r="L3453" s="4" t="s">
        <v>7715</v>
      </c>
    </row>
    <row r="3454" spans="1:12" x14ac:dyDescent="0.3">
      <c r="A3454" t="s">
        <v>8268</v>
      </c>
      <c r="B3454" t="s">
        <v>1417</v>
      </c>
      <c r="L3454" s="3" t="s">
        <v>7717</v>
      </c>
    </row>
    <row r="3455" spans="1:12" x14ac:dyDescent="0.3">
      <c r="A3455" t="s">
        <v>1417</v>
      </c>
      <c r="B3455" t="s">
        <v>1417</v>
      </c>
      <c r="L3455" s="4" t="s">
        <v>7719</v>
      </c>
    </row>
    <row r="3456" spans="1:12" x14ac:dyDescent="0.3">
      <c r="A3456" t="s">
        <v>521</v>
      </c>
      <c r="B3456" t="s">
        <v>8268</v>
      </c>
      <c r="L3456" s="3" t="s">
        <v>7721</v>
      </c>
    </row>
    <row r="3457" spans="1:12" x14ac:dyDescent="0.3">
      <c r="A3457" t="s">
        <v>668</v>
      </c>
      <c r="B3457" t="s">
        <v>8266</v>
      </c>
      <c r="L3457" s="4" t="s">
        <v>7723</v>
      </c>
    </row>
    <row r="3458" spans="1:12" x14ac:dyDescent="0.3">
      <c r="A3458" t="s">
        <v>4843</v>
      </c>
      <c r="B3458" t="s">
        <v>1417</v>
      </c>
      <c r="L3458" s="3" t="s">
        <v>7725</v>
      </c>
    </row>
    <row r="3459" spans="1:12" x14ac:dyDescent="0.3">
      <c r="A3459" t="s">
        <v>362</v>
      </c>
      <c r="B3459" t="s">
        <v>5043</v>
      </c>
      <c r="L3459" s="4" t="s">
        <v>7727</v>
      </c>
    </row>
    <row r="3460" spans="1:12" x14ac:dyDescent="0.3">
      <c r="A3460" t="s">
        <v>1417</v>
      </c>
      <c r="B3460" t="s">
        <v>8268</v>
      </c>
      <c r="L3460" s="3" t="s">
        <v>7729</v>
      </c>
    </row>
    <row r="3461" spans="1:12" x14ac:dyDescent="0.3">
      <c r="A3461" t="s">
        <v>2701</v>
      </c>
      <c r="B3461" t="s">
        <v>1417</v>
      </c>
      <c r="L3461" s="4" t="s">
        <v>7731</v>
      </c>
    </row>
    <row r="3462" spans="1:12" x14ac:dyDescent="0.3">
      <c r="A3462" t="s">
        <v>521</v>
      </c>
      <c r="B3462" t="s">
        <v>8268</v>
      </c>
      <c r="L3462" s="3" t="s">
        <v>7733</v>
      </c>
    </row>
    <row r="3463" spans="1:12" x14ac:dyDescent="0.3">
      <c r="A3463" t="s">
        <v>521</v>
      </c>
      <c r="B3463" t="s">
        <v>4380</v>
      </c>
      <c r="L3463" s="4" t="s">
        <v>7735</v>
      </c>
    </row>
    <row r="3464" spans="1:12" x14ac:dyDescent="0.3">
      <c r="A3464" t="s">
        <v>521</v>
      </c>
      <c r="B3464" t="s">
        <v>1417</v>
      </c>
      <c r="L3464" s="3" t="s">
        <v>7737</v>
      </c>
    </row>
    <row r="3465" spans="1:12" x14ac:dyDescent="0.3">
      <c r="A3465" t="s">
        <v>668</v>
      </c>
      <c r="B3465" t="s">
        <v>8268</v>
      </c>
      <c r="L3465" s="4" t="s">
        <v>7740</v>
      </c>
    </row>
    <row r="3466" spans="1:12" x14ac:dyDescent="0.3">
      <c r="A3466" t="s">
        <v>521</v>
      </c>
      <c r="B3466" t="s">
        <v>8268</v>
      </c>
      <c r="L3466" s="3" t="s">
        <v>7742</v>
      </c>
    </row>
    <row r="3467" spans="1:12" x14ac:dyDescent="0.3">
      <c r="A3467" t="s">
        <v>521</v>
      </c>
      <c r="B3467" t="s">
        <v>2701</v>
      </c>
      <c r="L3467" s="4" t="s">
        <v>7744</v>
      </c>
    </row>
    <row r="3468" spans="1:12" x14ac:dyDescent="0.3">
      <c r="A3468" t="s">
        <v>8268</v>
      </c>
      <c r="B3468" t="s">
        <v>1417</v>
      </c>
      <c r="L3468" s="3" t="s">
        <v>7746</v>
      </c>
    </row>
    <row r="3469" spans="1:12" x14ac:dyDescent="0.3">
      <c r="A3469" t="s">
        <v>1417</v>
      </c>
      <c r="B3469" t="s">
        <v>8266</v>
      </c>
      <c r="L3469" s="4" t="s">
        <v>7748</v>
      </c>
    </row>
    <row r="3470" spans="1:12" x14ac:dyDescent="0.3">
      <c r="A3470" t="s">
        <v>668</v>
      </c>
      <c r="B3470" t="s">
        <v>8268</v>
      </c>
      <c r="L3470" s="3" t="s">
        <v>7751</v>
      </c>
    </row>
    <row r="3471" spans="1:12" x14ac:dyDescent="0.3">
      <c r="A3471" t="s">
        <v>1417</v>
      </c>
      <c r="B3471" t="s">
        <v>1417</v>
      </c>
      <c r="L3471" s="4" t="s">
        <v>7753</v>
      </c>
    </row>
    <row r="3472" spans="1:12" x14ac:dyDescent="0.3">
      <c r="A3472" t="s">
        <v>668</v>
      </c>
      <c r="B3472" t="s">
        <v>1417</v>
      </c>
      <c r="L3472" s="3" t="s">
        <v>7755</v>
      </c>
    </row>
    <row r="3473" spans="1:12" x14ac:dyDescent="0.3">
      <c r="A3473" t="s">
        <v>2701</v>
      </c>
      <c r="B3473" t="s">
        <v>19</v>
      </c>
      <c r="L3473" s="4" t="s">
        <v>7757</v>
      </c>
    </row>
    <row r="3474" spans="1:12" x14ac:dyDescent="0.3">
      <c r="A3474" t="s">
        <v>521</v>
      </c>
      <c r="B3474" t="s">
        <v>2701</v>
      </c>
      <c r="L3474" s="3" t="s">
        <v>7759</v>
      </c>
    </row>
    <row r="3475" spans="1:12" x14ac:dyDescent="0.3">
      <c r="A3475" t="s">
        <v>1417</v>
      </c>
      <c r="B3475" t="s">
        <v>7473</v>
      </c>
      <c r="L3475" s="4" t="s">
        <v>7761</v>
      </c>
    </row>
    <row r="3476" spans="1:12" x14ac:dyDescent="0.3">
      <c r="A3476" t="s">
        <v>668</v>
      </c>
      <c r="B3476" t="s">
        <v>1417</v>
      </c>
      <c r="L3476" s="3" t="s">
        <v>7763</v>
      </c>
    </row>
    <row r="3477" spans="1:12" x14ac:dyDescent="0.3">
      <c r="A3477" t="s">
        <v>668</v>
      </c>
      <c r="B3477" t="s">
        <v>2701</v>
      </c>
      <c r="L3477" s="4" t="s">
        <v>7765</v>
      </c>
    </row>
    <row r="3478" spans="1:12" x14ac:dyDescent="0.3">
      <c r="A3478" t="s">
        <v>1417</v>
      </c>
      <c r="B3478" t="s">
        <v>4380</v>
      </c>
      <c r="L3478" s="3" t="s">
        <v>7767</v>
      </c>
    </row>
    <row r="3479" spans="1:12" x14ac:dyDescent="0.3">
      <c r="A3479" t="s">
        <v>5524</v>
      </c>
      <c r="B3479" t="s">
        <v>4380</v>
      </c>
      <c r="L3479" s="4" t="s">
        <v>7769</v>
      </c>
    </row>
    <row r="3480" spans="1:12" x14ac:dyDescent="0.3">
      <c r="A3480" t="s">
        <v>5524</v>
      </c>
      <c r="B3480" t="s">
        <v>7473</v>
      </c>
      <c r="L3480" s="3" t="s">
        <v>7771</v>
      </c>
    </row>
    <row r="3481" spans="1:12" x14ac:dyDescent="0.3">
      <c r="A3481" t="s">
        <v>521</v>
      </c>
      <c r="B3481" t="s">
        <v>497</v>
      </c>
      <c r="L3481" s="4" t="s">
        <v>7773</v>
      </c>
    </row>
    <row r="3482" spans="1:12" x14ac:dyDescent="0.3">
      <c r="A3482" t="s">
        <v>1417</v>
      </c>
      <c r="B3482" t="s">
        <v>5138</v>
      </c>
      <c r="L3482" s="3" t="s">
        <v>7775</v>
      </c>
    </row>
    <row r="3483" spans="1:12" x14ac:dyDescent="0.3">
      <c r="A3483" t="s">
        <v>8268</v>
      </c>
      <c r="B3483" t="s">
        <v>2701</v>
      </c>
      <c r="L3483" s="4" t="s">
        <v>7777</v>
      </c>
    </row>
    <row r="3484" spans="1:12" x14ac:dyDescent="0.3">
      <c r="A3484" t="s">
        <v>521</v>
      </c>
      <c r="B3484" t="s">
        <v>8268</v>
      </c>
      <c r="L3484" s="3" t="s">
        <v>7779</v>
      </c>
    </row>
    <row r="3485" spans="1:12" x14ac:dyDescent="0.3">
      <c r="A3485" t="s">
        <v>521</v>
      </c>
      <c r="B3485" t="s">
        <v>1417</v>
      </c>
      <c r="L3485" s="4" t="s">
        <v>7781</v>
      </c>
    </row>
    <row r="3486" spans="1:12" x14ac:dyDescent="0.3">
      <c r="A3486" t="s">
        <v>521</v>
      </c>
      <c r="B3486" t="s">
        <v>668</v>
      </c>
      <c r="L3486" s="3" t="s">
        <v>7783</v>
      </c>
    </row>
    <row r="3487" spans="1:12" x14ac:dyDescent="0.3">
      <c r="A3487" t="s">
        <v>362</v>
      </c>
      <c r="B3487" t="s">
        <v>7104</v>
      </c>
      <c r="L3487" s="4" t="s">
        <v>7785</v>
      </c>
    </row>
    <row r="3488" spans="1:12" x14ac:dyDescent="0.3">
      <c r="A3488" t="s">
        <v>19</v>
      </c>
      <c r="B3488" t="s">
        <v>8268</v>
      </c>
      <c r="L3488" s="3" t="s">
        <v>7787</v>
      </c>
    </row>
    <row r="3489" spans="1:12" x14ac:dyDescent="0.3">
      <c r="A3489" t="s">
        <v>2701</v>
      </c>
      <c r="B3489" t="s">
        <v>1417</v>
      </c>
      <c r="L3489" s="4" t="s">
        <v>7789</v>
      </c>
    </row>
    <row r="3490" spans="1:12" x14ac:dyDescent="0.3">
      <c r="A3490" t="s">
        <v>668</v>
      </c>
      <c r="B3490" t="s">
        <v>7104</v>
      </c>
      <c r="L3490" s="3" t="s">
        <v>7791</v>
      </c>
    </row>
    <row r="3491" spans="1:12" x14ac:dyDescent="0.3">
      <c r="A3491" t="s">
        <v>8268</v>
      </c>
      <c r="B3491" t="s">
        <v>1417</v>
      </c>
      <c r="L3491" s="4" t="s">
        <v>7793</v>
      </c>
    </row>
    <row r="3492" spans="1:12" x14ac:dyDescent="0.3">
      <c r="A3492" t="s">
        <v>521</v>
      </c>
      <c r="B3492" t="s">
        <v>4380</v>
      </c>
      <c r="L3492" s="3" t="s">
        <v>7796</v>
      </c>
    </row>
    <row r="3493" spans="1:12" x14ac:dyDescent="0.3">
      <c r="A3493" t="s">
        <v>668</v>
      </c>
      <c r="B3493" t="s">
        <v>1417</v>
      </c>
      <c r="L3493" s="4" t="s">
        <v>7798</v>
      </c>
    </row>
    <row r="3494" spans="1:12" x14ac:dyDescent="0.3">
      <c r="A3494" t="s">
        <v>8268</v>
      </c>
      <c r="B3494" t="s">
        <v>5138</v>
      </c>
      <c r="L3494" s="3" t="s">
        <v>7800</v>
      </c>
    </row>
    <row r="3495" spans="1:12" x14ac:dyDescent="0.3">
      <c r="A3495" t="s">
        <v>521</v>
      </c>
      <c r="B3495" t="s">
        <v>1417</v>
      </c>
      <c r="L3495" s="4" t="s">
        <v>7802</v>
      </c>
    </row>
    <row r="3496" spans="1:12" x14ac:dyDescent="0.3">
      <c r="A3496" t="s">
        <v>2701</v>
      </c>
      <c r="B3496" t="s">
        <v>497</v>
      </c>
      <c r="L3496" s="3" t="s">
        <v>7805</v>
      </c>
    </row>
    <row r="3497" spans="1:12" x14ac:dyDescent="0.3">
      <c r="A3497" t="s">
        <v>2701</v>
      </c>
      <c r="B3497" t="s">
        <v>2701</v>
      </c>
      <c r="L3497" s="4" t="s">
        <v>7807</v>
      </c>
    </row>
    <row r="3498" spans="1:12" x14ac:dyDescent="0.3">
      <c r="A3498" t="s">
        <v>668</v>
      </c>
      <c r="B3498" t="s">
        <v>1417</v>
      </c>
      <c r="L3498" s="3" t="s">
        <v>7809</v>
      </c>
    </row>
    <row r="3499" spans="1:12" x14ac:dyDescent="0.3">
      <c r="A3499" t="s">
        <v>1417</v>
      </c>
      <c r="B3499" t="s">
        <v>1417</v>
      </c>
      <c r="L3499" s="4" t="s">
        <v>7813</v>
      </c>
    </row>
    <row r="3500" spans="1:12" x14ac:dyDescent="0.3">
      <c r="A3500" t="s">
        <v>521</v>
      </c>
      <c r="B3500" t="s">
        <v>4380</v>
      </c>
      <c r="L3500" s="3" t="s">
        <v>7815</v>
      </c>
    </row>
    <row r="3501" spans="1:12" x14ac:dyDescent="0.3">
      <c r="A3501" t="s">
        <v>1417</v>
      </c>
      <c r="B3501" t="s">
        <v>1417</v>
      </c>
      <c r="L3501" s="4" t="s">
        <v>7817</v>
      </c>
    </row>
    <row r="3502" spans="1:12" x14ac:dyDescent="0.3">
      <c r="A3502" t="s">
        <v>1417</v>
      </c>
      <c r="B3502" t="s">
        <v>4380</v>
      </c>
      <c r="L3502" s="3" t="s">
        <v>7819</v>
      </c>
    </row>
    <row r="3503" spans="1:12" x14ac:dyDescent="0.3">
      <c r="A3503" t="s">
        <v>1417</v>
      </c>
      <c r="B3503" t="s">
        <v>2701</v>
      </c>
      <c r="L3503" s="4" t="s">
        <v>7821</v>
      </c>
    </row>
    <row r="3504" spans="1:12" x14ac:dyDescent="0.3">
      <c r="A3504" t="s">
        <v>668</v>
      </c>
      <c r="B3504" t="s">
        <v>1417</v>
      </c>
      <c r="L3504" s="3" t="s">
        <v>7823</v>
      </c>
    </row>
    <row r="3505" spans="1:12" x14ac:dyDescent="0.3">
      <c r="A3505" t="s">
        <v>668</v>
      </c>
      <c r="B3505" t="s">
        <v>8268</v>
      </c>
      <c r="L3505" s="4" t="s">
        <v>7825</v>
      </c>
    </row>
    <row r="3506" spans="1:12" x14ac:dyDescent="0.3">
      <c r="A3506" t="s">
        <v>362</v>
      </c>
      <c r="B3506" t="s">
        <v>2701</v>
      </c>
      <c r="L3506" s="3" t="s">
        <v>7827</v>
      </c>
    </row>
    <row r="3507" spans="1:12" x14ac:dyDescent="0.3">
      <c r="A3507" t="s">
        <v>668</v>
      </c>
      <c r="B3507" t="s">
        <v>1417</v>
      </c>
      <c r="L3507" s="4" t="s">
        <v>7829</v>
      </c>
    </row>
    <row r="3508" spans="1:12" x14ac:dyDescent="0.3">
      <c r="A3508" t="s">
        <v>521</v>
      </c>
      <c r="B3508" t="s">
        <v>1417</v>
      </c>
      <c r="L3508" s="3" t="s">
        <v>7831</v>
      </c>
    </row>
    <row r="3509" spans="1:12" x14ac:dyDescent="0.3">
      <c r="A3509" t="s">
        <v>521</v>
      </c>
      <c r="B3509" t="s">
        <v>7473</v>
      </c>
      <c r="L3509" s="4" t="s">
        <v>7833</v>
      </c>
    </row>
    <row r="3510" spans="1:12" x14ac:dyDescent="0.3">
      <c r="A3510" t="s">
        <v>362</v>
      </c>
      <c r="B3510" t="s">
        <v>7473</v>
      </c>
      <c r="L3510" s="3" t="s">
        <v>7835</v>
      </c>
    </row>
    <row r="3511" spans="1:12" x14ac:dyDescent="0.3">
      <c r="A3511" t="s">
        <v>521</v>
      </c>
      <c r="B3511" t="s">
        <v>1417</v>
      </c>
      <c r="L3511" s="4" t="s">
        <v>7837</v>
      </c>
    </row>
    <row r="3512" spans="1:12" x14ac:dyDescent="0.3">
      <c r="A3512" t="s">
        <v>1417</v>
      </c>
      <c r="B3512" t="s">
        <v>1417</v>
      </c>
      <c r="L3512" s="3" t="s">
        <v>7839</v>
      </c>
    </row>
    <row r="3513" spans="1:12" x14ac:dyDescent="0.3">
      <c r="A3513" t="s">
        <v>1417</v>
      </c>
      <c r="B3513" t="s">
        <v>1417</v>
      </c>
      <c r="L3513" s="4" t="s">
        <v>7841</v>
      </c>
    </row>
    <row r="3514" spans="1:12" x14ac:dyDescent="0.3">
      <c r="A3514" t="s">
        <v>668</v>
      </c>
      <c r="B3514" t="s">
        <v>1417</v>
      </c>
      <c r="L3514" s="3" t="s">
        <v>7843</v>
      </c>
    </row>
    <row r="3515" spans="1:12" x14ac:dyDescent="0.3">
      <c r="A3515" t="s">
        <v>1417</v>
      </c>
      <c r="B3515" t="s">
        <v>1417</v>
      </c>
      <c r="L3515" s="4" t="s">
        <v>7845</v>
      </c>
    </row>
    <row r="3516" spans="1:12" x14ac:dyDescent="0.3">
      <c r="A3516" t="s">
        <v>5524</v>
      </c>
      <c r="B3516" t="s">
        <v>1417</v>
      </c>
      <c r="L3516" s="3" t="s">
        <v>7847</v>
      </c>
    </row>
    <row r="3517" spans="1:12" x14ac:dyDescent="0.3">
      <c r="A3517" t="s">
        <v>5524</v>
      </c>
      <c r="B3517" t="s">
        <v>1417</v>
      </c>
      <c r="L3517" s="4" t="s">
        <v>7849</v>
      </c>
    </row>
    <row r="3518" spans="1:12" x14ac:dyDescent="0.3">
      <c r="A3518" t="s">
        <v>1417</v>
      </c>
      <c r="B3518" t="s">
        <v>1417</v>
      </c>
      <c r="L3518" s="3" t="s">
        <v>7851</v>
      </c>
    </row>
    <row r="3519" spans="1:12" x14ac:dyDescent="0.3">
      <c r="A3519" t="s">
        <v>1417</v>
      </c>
      <c r="B3519" t="s">
        <v>1417</v>
      </c>
      <c r="L3519" s="4" t="s">
        <v>7853</v>
      </c>
    </row>
    <row r="3520" spans="1:12" x14ac:dyDescent="0.3">
      <c r="A3520" t="s">
        <v>1417</v>
      </c>
      <c r="B3520" t="s">
        <v>7473</v>
      </c>
      <c r="L3520" s="3" t="s">
        <v>7855</v>
      </c>
    </row>
    <row r="3521" spans="1:12" x14ac:dyDescent="0.3">
      <c r="A3521" t="s">
        <v>668</v>
      </c>
      <c r="B3521" t="s">
        <v>6902</v>
      </c>
      <c r="L3521" s="4" t="s">
        <v>7857</v>
      </c>
    </row>
    <row r="3522" spans="1:12" x14ac:dyDescent="0.3">
      <c r="A3522" t="s">
        <v>1417</v>
      </c>
      <c r="B3522" t="s">
        <v>8046</v>
      </c>
      <c r="L3522" s="3" t="s">
        <v>7859</v>
      </c>
    </row>
    <row r="3523" spans="1:12" x14ac:dyDescent="0.3">
      <c r="A3523" t="s">
        <v>362</v>
      </c>
      <c r="B3523" t="s">
        <v>5138</v>
      </c>
      <c r="L3523" s="4" t="s">
        <v>7861</v>
      </c>
    </row>
    <row r="3524" spans="1:12" x14ac:dyDescent="0.3">
      <c r="A3524" t="s">
        <v>668</v>
      </c>
      <c r="B3524" t="s">
        <v>668</v>
      </c>
      <c r="L3524" s="3" t="s">
        <v>7863</v>
      </c>
    </row>
    <row r="3525" spans="1:12" x14ac:dyDescent="0.3">
      <c r="A3525" t="s">
        <v>668</v>
      </c>
      <c r="B3525" t="s">
        <v>1417</v>
      </c>
      <c r="L3525" s="4" t="s">
        <v>7865</v>
      </c>
    </row>
    <row r="3526" spans="1:12" x14ac:dyDescent="0.3">
      <c r="A3526" t="s">
        <v>668</v>
      </c>
      <c r="B3526" t="s">
        <v>8268</v>
      </c>
      <c r="L3526" s="3" t="s">
        <v>7867</v>
      </c>
    </row>
    <row r="3527" spans="1:12" x14ac:dyDescent="0.3">
      <c r="A3527" t="s">
        <v>668</v>
      </c>
      <c r="B3527" t="s">
        <v>1417</v>
      </c>
      <c r="L3527" s="4" t="s">
        <v>7869</v>
      </c>
    </row>
    <row r="3528" spans="1:12" x14ac:dyDescent="0.3">
      <c r="A3528" t="s">
        <v>1417</v>
      </c>
      <c r="B3528" t="s">
        <v>1417</v>
      </c>
      <c r="L3528" s="3" t="s">
        <v>7871</v>
      </c>
    </row>
    <row r="3529" spans="1:12" x14ac:dyDescent="0.3">
      <c r="A3529" t="s">
        <v>668</v>
      </c>
      <c r="B3529" t="s">
        <v>1417</v>
      </c>
      <c r="L3529" s="4" t="s">
        <v>7873</v>
      </c>
    </row>
    <row r="3530" spans="1:12" x14ac:dyDescent="0.3">
      <c r="A3530" t="s">
        <v>362</v>
      </c>
      <c r="B3530" t="s">
        <v>1417</v>
      </c>
      <c r="L3530" s="3" t="s">
        <v>7876</v>
      </c>
    </row>
    <row r="3531" spans="1:12" x14ac:dyDescent="0.3">
      <c r="A3531" t="s">
        <v>1417</v>
      </c>
      <c r="B3531" t="s">
        <v>8268</v>
      </c>
      <c r="L3531" s="4" t="s">
        <v>7878</v>
      </c>
    </row>
    <row r="3532" spans="1:12" x14ac:dyDescent="0.3">
      <c r="A3532" t="s">
        <v>5524</v>
      </c>
      <c r="B3532" t="s">
        <v>362</v>
      </c>
      <c r="L3532" s="3" t="s">
        <v>7880</v>
      </c>
    </row>
    <row r="3533" spans="1:12" x14ac:dyDescent="0.3">
      <c r="A3533" t="s">
        <v>668</v>
      </c>
      <c r="B3533" t="s">
        <v>1417</v>
      </c>
      <c r="L3533" s="4" t="s">
        <v>7883</v>
      </c>
    </row>
    <row r="3534" spans="1:12" x14ac:dyDescent="0.3">
      <c r="A3534" t="s">
        <v>1417</v>
      </c>
      <c r="B3534" t="s">
        <v>2701</v>
      </c>
      <c r="L3534" s="3" t="s">
        <v>7885</v>
      </c>
    </row>
    <row r="3535" spans="1:12" x14ac:dyDescent="0.3">
      <c r="A3535" t="s">
        <v>668</v>
      </c>
      <c r="B3535" t="s">
        <v>4380</v>
      </c>
      <c r="L3535" s="4" t="s">
        <v>7887</v>
      </c>
    </row>
    <row r="3536" spans="1:12" x14ac:dyDescent="0.3">
      <c r="A3536" t="s">
        <v>1417</v>
      </c>
      <c r="B3536" t="s">
        <v>7473</v>
      </c>
      <c r="L3536" s="3" t="s">
        <v>7889</v>
      </c>
    </row>
    <row r="3537" spans="1:12" x14ac:dyDescent="0.3">
      <c r="A3537" t="s">
        <v>521</v>
      </c>
      <c r="B3537" t="s">
        <v>1417</v>
      </c>
      <c r="L3537" s="4" t="s">
        <v>7891</v>
      </c>
    </row>
    <row r="3538" spans="1:12" x14ac:dyDescent="0.3">
      <c r="A3538" t="s">
        <v>521</v>
      </c>
      <c r="B3538" t="s">
        <v>7104</v>
      </c>
      <c r="L3538" s="3" t="s">
        <v>7893</v>
      </c>
    </row>
    <row r="3539" spans="1:12" x14ac:dyDescent="0.3">
      <c r="A3539" t="s">
        <v>668</v>
      </c>
      <c r="B3539" t="s">
        <v>362</v>
      </c>
      <c r="L3539" s="4" t="s">
        <v>7895</v>
      </c>
    </row>
    <row r="3540" spans="1:12" x14ac:dyDescent="0.3">
      <c r="A3540" t="s">
        <v>362</v>
      </c>
      <c r="B3540" t="s">
        <v>8268</v>
      </c>
      <c r="L3540" s="3" t="s">
        <v>7897</v>
      </c>
    </row>
    <row r="3541" spans="1:12" x14ac:dyDescent="0.3">
      <c r="A3541" t="s">
        <v>521</v>
      </c>
      <c r="B3541" t="s">
        <v>4380</v>
      </c>
      <c r="L3541" s="4" t="s">
        <v>7899</v>
      </c>
    </row>
    <row r="3542" spans="1:12" x14ac:dyDescent="0.3">
      <c r="A3542" t="s">
        <v>6171</v>
      </c>
      <c r="B3542" t="s">
        <v>8268</v>
      </c>
      <c r="L3542" s="3" t="s">
        <v>7901</v>
      </c>
    </row>
    <row r="3543" spans="1:12" x14ac:dyDescent="0.3">
      <c r="A3543" t="s">
        <v>521</v>
      </c>
      <c r="B3543" t="s">
        <v>7104</v>
      </c>
      <c r="L3543" s="4" t="s">
        <v>7903</v>
      </c>
    </row>
    <row r="3544" spans="1:12" x14ac:dyDescent="0.3">
      <c r="A3544" t="s">
        <v>668</v>
      </c>
      <c r="B3544" t="s">
        <v>1417</v>
      </c>
      <c r="L3544" s="3" t="s">
        <v>7905</v>
      </c>
    </row>
    <row r="3545" spans="1:12" x14ac:dyDescent="0.3">
      <c r="A3545" t="s">
        <v>668</v>
      </c>
      <c r="B3545" t="s">
        <v>5138</v>
      </c>
      <c r="L3545" s="4" t="s">
        <v>7907</v>
      </c>
    </row>
    <row r="3546" spans="1:12" x14ac:dyDescent="0.3">
      <c r="A3546" t="s">
        <v>1417</v>
      </c>
      <c r="B3546" t="s">
        <v>7104</v>
      </c>
      <c r="L3546" s="3" t="s">
        <v>7909</v>
      </c>
    </row>
    <row r="3547" spans="1:12" x14ac:dyDescent="0.3">
      <c r="A3547" t="s">
        <v>8268</v>
      </c>
      <c r="B3547" t="s">
        <v>1417</v>
      </c>
      <c r="L3547" s="4" t="s">
        <v>7911</v>
      </c>
    </row>
    <row r="3548" spans="1:12" x14ac:dyDescent="0.3">
      <c r="A3548" t="s">
        <v>5524</v>
      </c>
      <c r="B3548" t="s">
        <v>1417</v>
      </c>
      <c r="L3548" s="3" t="s">
        <v>7914</v>
      </c>
    </row>
    <row r="3549" spans="1:12" x14ac:dyDescent="0.3">
      <c r="A3549" t="s">
        <v>668</v>
      </c>
      <c r="B3549" t="s">
        <v>1417</v>
      </c>
      <c r="L3549" s="4" t="s">
        <v>7916</v>
      </c>
    </row>
    <row r="3550" spans="1:12" x14ac:dyDescent="0.3">
      <c r="A3550" t="s">
        <v>8268</v>
      </c>
      <c r="B3550" t="s">
        <v>4380</v>
      </c>
      <c r="L3550" s="3" t="s">
        <v>7919</v>
      </c>
    </row>
    <row r="3551" spans="1:12" x14ac:dyDescent="0.3">
      <c r="A3551" t="s">
        <v>1417</v>
      </c>
      <c r="B3551" t="s">
        <v>1417</v>
      </c>
      <c r="L3551" s="4" t="s">
        <v>7922</v>
      </c>
    </row>
    <row r="3552" spans="1:12" x14ac:dyDescent="0.3">
      <c r="A3552" t="s">
        <v>1417</v>
      </c>
      <c r="B3552" t="s">
        <v>2701</v>
      </c>
      <c r="L3552" s="3" t="s">
        <v>7924</v>
      </c>
    </row>
    <row r="3553" spans="1:12" x14ac:dyDescent="0.3">
      <c r="A3553" t="s">
        <v>668</v>
      </c>
      <c r="B3553" t="s">
        <v>7473</v>
      </c>
      <c r="L3553" s="4" t="s">
        <v>7926</v>
      </c>
    </row>
    <row r="3554" spans="1:12" x14ac:dyDescent="0.3">
      <c r="A3554" t="s">
        <v>521</v>
      </c>
      <c r="B3554" t="s">
        <v>7104</v>
      </c>
      <c r="L3554" s="3" t="s">
        <v>7929</v>
      </c>
    </row>
    <row r="3555" spans="1:12" x14ac:dyDescent="0.3">
      <c r="A3555" t="s">
        <v>521</v>
      </c>
      <c r="B3555" t="s">
        <v>362</v>
      </c>
      <c r="L3555" s="4" t="s">
        <v>7931</v>
      </c>
    </row>
    <row r="3556" spans="1:12" x14ac:dyDescent="0.3">
      <c r="A3556" t="s">
        <v>2701</v>
      </c>
      <c r="B3556" t="s">
        <v>7473</v>
      </c>
      <c r="L3556" s="3" t="s">
        <v>7933</v>
      </c>
    </row>
    <row r="3557" spans="1:12" x14ac:dyDescent="0.3">
      <c r="A3557" t="s">
        <v>668</v>
      </c>
      <c r="B3557" t="s">
        <v>2701</v>
      </c>
      <c r="L3557" s="4" t="s">
        <v>7935</v>
      </c>
    </row>
    <row r="3558" spans="1:12" x14ac:dyDescent="0.3">
      <c r="A3558" t="s">
        <v>8268</v>
      </c>
      <c r="B3558" t="s">
        <v>7473</v>
      </c>
      <c r="L3558" s="3" t="s">
        <v>7937</v>
      </c>
    </row>
    <row r="3559" spans="1:12" x14ac:dyDescent="0.3">
      <c r="A3559" t="s">
        <v>5524</v>
      </c>
      <c r="B3559" t="s">
        <v>2701</v>
      </c>
      <c r="L3559" s="4" t="s">
        <v>7939</v>
      </c>
    </row>
    <row r="3560" spans="1:12" x14ac:dyDescent="0.3">
      <c r="A3560" t="s">
        <v>668</v>
      </c>
      <c r="B3560" t="s">
        <v>2701</v>
      </c>
      <c r="L3560" s="3" t="s">
        <v>7941</v>
      </c>
    </row>
    <row r="3561" spans="1:12" x14ac:dyDescent="0.3">
      <c r="A3561" t="s">
        <v>8266</v>
      </c>
      <c r="B3561" t="s">
        <v>1417</v>
      </c>
      <c r="L3561" s="4" t="s">
        <v>7943</v>
      </c>
    </row>
    <row r="3562" spans="1:12" x14ac:dyDescent="0.3">
      <c r="A3562" t="s">
        <v>362</v>
      </c>
      <c r="B3562" t="s">
        <v>4380</v>
      </c>
      <c r="L3562" s="3" t="s">
        <v>7946</v>
      </c>
    </row>
    <row r="3563" spans="1:12" x14ac:dyDescent="0.3">
      <c r="A3563" t="s">
        <v>668</v>
      </c>
      <c r="B3563" t="s">
        <v>7473</v>
      </c>
      <c r="L3563" s="4" t="s">
        <v>7948</v>
      </c>
    </row>
    <row r="3564" spans="1:12" x14ac:dyDescent="0.3">
      <c r="A3564" t="s">
        <v>668</v>
      </c>
      <c r="B3564" t="s">
        <v>497</v>
      </c>
      <c r="L3564" s="3" t="s">
        <v>7951</v>
      </c>
    </row>
    <row r="3565" spans="1:12" x14ac:dyDescent="0.3">
      <c r="A3565" t="s">
        <v>5138</v>
      </c>
      <c r="B3565" t="s">
        <v>1417</v>
      </c>
      <c r="L3565" s="4" t="s">
        <v>7953</v>
      </c>
    </row>
    <row r="3566" spans="1:12" x14ac:dyDescent="0.3">
      <c r="A3566" t="s">
        <v>2701</v>
      </c>
      <c r="B3566" t="s">
        <v>5138</v>
      </c>
      <c r="L3566" s="3" t="s">
        <v>7955</v>
      </c>
    </row>
    <row r="3567" spans="1:12" x14ac:dyDescent="0.3">
      <c r="A3567" t="s">
        <v>5524</v>
      </c>
      <c r="B3567" t="s">
        <v>1417</v>
      </c>
      <c r="L3567" s="4" t="s">
        <v>7957</v>
      </c>
    </row>
    <row r="3568" spans="1:12" x14ac:dyDescent="0.3">
      <c r="A3568" t="s">
        <v>1417</v>
      </c>
      <c r="B3568" t="s">
        <v>19</v>
      </c>
      <c r="L3568" s="3" t="s">
        <v>7959</v>
      </c>
    </row>
    <row r="3569" spans="1:12" x14ac:dyDescent="0.3">
      <c r="A3569" t="s">
        <v>8268</v>
      </c>
      <c r="B3569" t="s">
        <v>2701</v>
      </c>
      <c r="L3569" s="4" t="s">
        <v>7961</v>
      </c>
    </row>
    <row r="3570" spans="1:12" x14ac:dyDescent="0.3">
      <c r="A3570" t="s">
        <v>1417</v>
      </c>
      <c r="B3570" t="s">
        <v>8268</v>
      </c>
      <c r="L3570" s="3" t="s">
        <v>7964</v>
      </c>
    </row>
    <row r="3571" spans="1:12" x14ac:dyDescent="0.3">
      <c r="A3571" t="s">
        <v>1417</v>
      </c>
      <c r="B3571" t="s">
        <v>362</v>
      </c>
      <c r="L3571" s="4" t="s">
        <v>7966</v>
      </c>
    </row>
    <row r="3572" spans="1:12" x14ac:dyDescent="0.3">
      <c r="A3572" t="s">
        <v>1417</v>
      </c>
      <c r="B3572" t="s">
        <v>1417</v>
      </c>
      <c r="L3572" s="3" t="s">
        <v>7968</v>
      </c>
    </row>
    <row r="3573" spans="1:12" x14ac:dyDescent="0.3">
      <c r="A3573" t="s">
        <v>1417</v>
      </c>
      <c r="B3573" t="s">
        <v>7473</v>
      </c>
      <c r="L3573" s="4" t="s">
        <v>7970</v>
      </c>
    </row>
    <row r="3574" spans="1:12" x14ac:dyDescent="0.3">
      <c r="A3574" t="s">
        <v>1417</v>
      </c>
      <c r="B3574" t="s">
        <v>8266</v>
      </c>
      <c r="L3574" s="3" t="s">
        <v>7972</v>
      </c>
    </row>
    <row r="3575" spans="1:12" x14ac:dyDescent="0.3">
      <c r="A3575" t="s">
        <v>521</v>
      </c>
      <c r="B3575" t="s">
        <v>8268</v>
      </c>
      <c r="L3575" s="4" t="s">
        <v>7974</v>
      </c>
    </row>
    <row r="3576" spans="1:12" x14ac:dyDescent="0.3">
      <c r="A3576" t="s">
        <v>5524</v>
      </c>
      <c r="B3576" t="s">
        <v>8266</v>
      </c>
      <c r="L3576" s="3" t="s">
        <v>7976</v>
      </c>
    </row>
    <row r="3577" spans="1:12" x14ac:dyDescent="0.3">
      <c r="A3577" t="s">
        <v>521</v>
      </c>
      <c r="B3577" t="s">
        <v>8266</v>
      </c>
      <c r="L3577" s="4" t="s">
        <v>7979</v>
      </c>
    </row>
    <row r="3578" spans="1:12" x14ac:dyDescent="0.3">
      <c r="A3578" t="s">
        <v>1417</v>
      </c>
      <c r="B3578" t="s">
        <v>497</v>
      </c>
      <c r="L3578" s="3" t="s">
        <v>7981</v>
      </c>
    </row>
    <row r="3579" spans="1:12" x14ac:dyDescent="0.3">
      <c r="A3579" t="s">
        <v>5524</v>
      </c>
      <c r="B3579" t="s">
        <v>1417</v>
      </c>
      <c r="L3579" s="4" t="s">
        <v>7983</v>
      </c>
    </row>
    <row r="3580" spans="1:12" x14ac:dyDescent="0.3">
      <c r="A3580" t="s">
        <v>668</v>
      </c>
      <c r="B3580" t="s">
        <v>4380</v>
      </c>
      <c r="L3580" s="3" t="s">
        <v>7985</v>
      </c>
    </row>
    <row r="3581" spans="1:12" x14ac:dyDescent="0.3">
      <c r="A3581" t="s">
        <v>8268</v>
      </c>
      <c r="B3581" t="s">
        <v>8268</v>
      </c>
      <c r="L3581" s="4" t="s">
        <v>7987</v>
      </c>
    </row>
    <row r="3582" spans="1:12" x14ac:dyDescent="0.3">
      <c r="A3582" t="s">
        <v>668</v>
      </c>
      <c r="B3582" t="s">
        <v>497</v>
      </c>
      <c r="L3582" s="3" t="s">
        <v>7989</v>
      </c>
    </row>
    <row r="3583" spans="1:12" x14ac:dyDescent="0.3">
      <c r="A3583" t="s">
        <v>6902</v>
      </c>
      <c r="B3583" t="s">
        <v>1417</v>
      </c>
      <c r="L3583" s="4" t="s">
        <v>7992</v>
      </c>
    </row>
    <row r="3584" spans="1:12" x14ac:dyDescent="0.3">
      <c r="A3584" t="s">
        <v>1417</v>
      </c>
      <c r="B3584" t="s">
        <v>8268</v>
      </c>
      <c r="L3584" s="3" t="s">
        <v>7995</v>
      </c>
    </row>
    <row r="3585" spans="1:12" x14ac:dyDescent="0.3">
      <c r="A3585" t="s">
        <v>19</v>
      </c>
      <c r="B3585" t="s">
        <v>1417</v>
      </c>
      <c r="L3585" s="4" t="s">
        <v>7997</v>
      </c>
    </row>
    <row r="3586" spans="1:12" x14ac:dyDescent="0.3">
      <c r="A3586" t="s">
        <v>5524</v>
      </c>
      <c r="B3586" t="s">
        <v>8268</v>
      </c>
      <c r="L3586" s="3" t="s">
        <v>7999</v>
      </c>
    </row>
    <row r="3587" spans="1:12" x14ac:dyDescent="0.3">
      <c r="A3587" t="s">
        <v>668</v>
      </c>
      <c r="B3587" t="s">
        <v>497</v>
      </c>
      <c r="L3587" s="4" t="s">
        <v>8001</v>
      </c>
    </row>
    <row r="3588" spans="1:12" x14ac:dyDescent="0.3">
      <c r="A3588" t="s">
        <v>1417</v>
      </c>
      <c r="B3588" t="s">
        <v>5043</v>
      </c>
      <c r="L3588" s="3" t="s">
        <v>8004</v>
      </c>
    </row>
    <row r="3589" spans="1:12" x14ac:dyDescent="0.3">
      <c r="A3589" t="s">
        <v>521</v>
      </c>
      <c r="B3589" t="s">
        <v>497</v>
      </c>
      <c r="L3589" s="4" t="s">
        <v>8006</v>
      </c>
    </row>
    <row r="3590" spans="1:12" x14ac:dyDescent="0.3">
      <c r="A3590" t="s">
        <v>8268</v>
      </c>
      <c r="B3590" t="s">
        <v>7473</v>
      </c>
      <c r="L3590" s="3" t="s">
        <v>8008</v>
      </c>
    </row>
    <row r="3591" spans="1:12" x14ac:dyDescent="0.3">
      <c r="A3591" t="s">
        <v>668</v>
      </c>
      <c r="B3591" t="s">
        <v>4380</v>
      </c>
      <c r="L3591" s="4" t="s">
        <v>8010</v>
      </c>
    </row>
    <row r="3592" spans="1:12" x14ac:dyDescent="0.3">
      <c r="A3592" t="s">
        <v>668</v>
      </c>
      <c r="B3592" t="s">
        <v>4380</v>
      </c>
      <c r="L3592" s="3" t="s">
        <v>8012</v>
      </c>
    </row>
    <row r="3593" spans="1:12" x14ac:dyDescent="0.3">
      <c r="A3593" t="s">
        <v>668</v>
      </c>
      <c r="B3593" t="s">
        <v>497</v>
      </c>
      <c r="L3593" s="4" t="s">
        <v>8014</v>
      </c>
    </row>
    <row r="3594" spans="1:12" x14ac:dyDescent="0.3">
      <c r="A3594" t="s">
        <v>8268</v>
      </c>
      <c r="B3594" t="s">
        <v>8268</v>
      </c>
      <c r="L3594" s="3" t="s">
        <v>8016</v>
      </c>
    </row>
    <row r="3595" spans="1:12" x14ac:dyDescent="0.3">
      <c r="A3595" t="s">
        <v>497</v>
      </c>
      <c r="B3595" t="s">
        <v>1417</v>
      </c>
      <c r="L3595" s="4" t="s">
        <v>8018</v>
      </c>
    </row>
    <row r="3596" spans="1:12" x14ac:dyDescent="0.3">
      <c r="A3596" t="s">
        <v>668</v>
      </c>
      <c r="B3596" t="s">
        <v>2701</v>
      </c>
      <c r="L3596" s="3" t="s">
        <v>8020</v>
      </c>
    </row>
    <row r="3597" spans="1:12" x14ac:dyDescent="0.3">
      <c r="A3597" t="s">
        <v>1417</v>
      </c>
      <c r="B3597" t="s">
        <v>1417</v>
      </c>
      <c r="L3597" s="4" t="s">
        <v>8022</v>
      </c>
    </row>
    <row r="3598" spans="1:12" x14ac:dyDescent="0.3">
      <c r="A3598" t="s">
        <v>1417</v>
      </c>
      <c r="B3598" t="s">
        <v>7473</v>
      </c>
      <c r="L3598" s="3" t="s">
        <v>8024</v>
      </c>
    </row>
    <row r="3599" spans="1:12" x14ac:dyDescent="0.3">
      <c r="A3599" t="s">
        <v>668</v>
      </c>
      <c r="B3599" t="s">
        <v>7473</v>
      </c>
      <c r="L3599" s="4" t="s">
        <v>8026</v>
      </c>
    </row>
    <row r="3600" spans="1:12" x14ac:dyDescent="0.3">
      <c r="A3600" t="s">
        <v>521</v>
      </c>
      <c r="B3600" t="s">
        <v>1417</v>
      </c>
      <c r="L3600" s="3" t="s">
        <v>8028</v>
      </c>
    </row>
    <row r="3601" spans="1:12" x14ac:dyDescent="0.3">
      <c r="A3601" t="s">
        <v>668</v>
      </c>
      <c r="B3601" t="s">
        <v>1417</v>
      </c>
      <c r="L3601" s="4" t="s">
        <v>8030</v>
      </c>
    </row>
    <row r="3602" spans="1:12" x14ac:dyDescent="0.3">
      <c r="A3602" t="s">
        <v>668</v>
      </c>
      <c r="B3602" t="s">
        <v>2701</v>
      </c>
      <c r="L3602" s="3" t="s">
        <v>8032</v>
      </c>
    </row>
    <row r="3603" spans="1:12" x14ac:dyDescent="0.3">
      <c r="A3603" t="s">
        <v>521</v>
      </c>
      <c r="B3603" t="s">
        <v>7104</v>
      </c>
      <c r="L3603" s="4" t="s">
        <v>8034</v>
      </c>
    </row>
    <row r="3604" spans="1:12" x14ac:dyDescent="0.3">
      <c r="A3604" t="s">
        <v>668</v>
      </c>
      <c r="B3604" t="s">
        <v>1417</v>
      </c>
      <c r="L3604" s="3" t="s">
        <v>8036</v>
      </c>
    </row>
    <row r="3605" spans="1:12" x14ac:dyDescent="0.3">
      <c r="A3605" t="s">
        <v>668</v>
      </c>
      <c r="B3605" t="s">
        <v>1417</v>
      </c>
      <c r="L3605" s="4" t="s">
        <v>8038</v>
      </c>
    </row>
    <row r="3606" spans="1:12" x14ac:dyDescent="0.3">
      <c r="A3606" t="s">
        <v>1417</v>
      </c>
      <c r="B3606" t="s">
        <v>362</v>
      </c>
      <c r="L3606" s="3" t="s">
        <v>8040</v>
      </c>
    </row>
    <row r="3607" spans="1:12" x14ac:dyDescent="0.3">
      <c r="A3607" t="s">
        <v>668</v>
      </c>
      <c r="B3607" t="s">
        <v>497</v>
      </c>
      <c r="L3607" s="4" t="s">
        <v>8042</v>
      </c>
    </row>
    <row r="3608" spans="1:12" x14ac:dyDescent="0.3">
      <c r="A3608" t="s">
        <v>668</v>
      </c>
      <c r="B3608" t="s">
        <v>1417</v>
      </c>
      <c r="L3608" s="3" t="s">
        <v>8044</v>
      </c>
    </row>
    <row r="3609" spans="1:12" x14ac:dyDescent="0.3">
      <c r="A3609" t="s">
        <v>5524</v>
      </c>
      <c r="B3609" t="s">
        <v>7104</v>
      </c>
      <c r="L3609" s="4" t="s">
        <v>8048</v>
      </c>
    </row>
    <row r="3610" spans="1:12" x14ac:dyDescent="0.3">
      <c r="A3610" t="s">
        <v>2701</v>
      </c>
      <c r="B3610" t="s">
        <v>8266</v>
      </c>
      <c r="L3610" s="3" t="s">
        <v>8050</v>
      </c>
    </row>
    <row r="3611" spans="1:12" x14ac:dyDescent="0.3">
      <c r="A3611" t="s">
        <v>668</v>
      </c>
      <c r="B3611" t="s">
        <v>8269</v>
      </c>
      <c r="L3611" s="4" t="s">
        <v>8052</v>
      </c>
    </row>
    <row r="3612" spans="1:12" x14ac:dyDescent="0.3">
      <c r="A3612" t="s">
        <v>362</v>
      </c>
      <c r="B3612" t="s">
        <v>1417</v>
      </c>
      <c r="L3612" s="3" t="s">
        <v>8054</v>
      </c>
    </row>
    <row r="3613" spans="1:12" x14ac:dyDescent="0.3">
      <c r="A3613" t="s">
        <v>5524</v>
      </c>
      <c r="B3613" t="s">
        <v>4380</v>
      </c>
      <c r="L3613" s="4" t="s">
        <v>8056</v>
      </c>
    </row>
    <row r="3614" spans="1:12" x14ac:dyDescent="0.3">
      <c r="A3614" t="s">
        <v>668</v>
      </c>
      <c r="B3614" t="s">
        <v>7473</v>
      </c>
      <c r="L3614" s="3" t="s">
        <v>8058</v>
      </c>
    </row>
    <row r="3615" spans="1:12" x14ac:dyDescent="0.3">
      <c r="A3615" t="s">
        <v>1417</v>
      </c>
      <c r="B3615" t="s">
        <v>5524</v>
      </c>
      <c r="L3615" s="4" t="s">
        <v>8060</v>
      </c>
    </row>
    <row r="3616" spans="1:12" x14ac:dyDescent="0.3">
      <c r="A3616" t="s">
        <v>668</v>
      </c>
      <c r="B3616" t="s">
        <v>1417</v>
      </c>
      <c r="L3616" s="3" t="s">
        <v>8062</v>
      </c>
    </row>
    <row r="3617" spans="1:12" x14ac:dyDescent="0.3">
      <c r="A3617" t="s">
        <v>668</v>
      </c>
      <c r="B3617" t="s">
        <v>1417</v>
      </c>
      <c r="L3617" s="4" t="s">
        <v>8064</v>
      </c>
    </row>
    <row r="3618" spans="1:12" x14ac:dyDescent="0.3">
      <c r="A3618" t="s">
        <v>668</v>
      </c>
      <c r="B3618" t="s">
        <v>7473</v>
      </c>
      <c r="L3618" s="3" t="s">
        <v>8066</v>
      </c>
    </row>
    <row r="3619" spans="1:12" x14ac:dyDescent="0.3">
      <c r="A3619" t="s">
        <v>668</v>
      </c>
      <c r="B3619" t="s">
        <v>8046</v>
      </c>
      <c r="L3619" s="4" t="s">
        <v>8068</v>
      </c>
    </row>
    <row r="3620" spans="1:12" x14ac:dyDescent="0.3">
      <c r="A3620" t="s">
        <v>1417</v>
      </c>
      <c r="B3620" t="s">
        <v>1417</v>
      </c>
      <c r="L3620" s="3" t="s">
        <v>8070</v>
      </c>
    </row>
    <row r="3621" spans="1:12" x14ac:dyDescent="0.3">
      <c r="A3621" t="s">
        <v>668</v>
      </c>
      <c r="B3621" t="s">
        <v>8269</v>
      </c>
      <c r="L3621" s="4" t="s">
        <v>8072</v>
      </c>
    </row>
    <row r="3622" spans="1:12" x14ac:dyDescent="0.3">
      <c r="A3622" t="s">
        <v>668</v>
      </c>
      <c r="B3622" t="s">
        <v>668</v>
      </c>
      <c r="L3622" s="3" t="s">
        <v>8075</v>
      </c>
    </row>
    <row r="3623" spans="1:12" x14ac:dyDescent="0.3">
      <c r="A3623" t="s">
        <v>668</v>
      </c>
      <c r="B3623" t="s">
        <v>8268</v>
      </c>
      <c r="L3623" s="4" t="s">
        <v>8078</v>
      </c>
    </row>
    <row r="3624" spans="1:12" x14ac:dyDescent="0.3">
      <c r="A3624" t="s">
        <v>668</v>
      </c>
      <c r="B3624" t="s">
        <v>8268</v>
      </c>
      <c r="L3624" s="3" t="s">
        <v>8080</v>
      </c>
    </row>
    <row r="3625" spans="1:12" x14ac:dyDescent="0.3">
      <c r="A3625" t="s">
        <v>8268</v>
      </c>
      <c r="B3625" t="s">
        <v>668</v>
      </c>
      <c r="L3625" s="4" t="s">
        <v>8082</v>
      </c>
    </row>
    <row r="3626" spans="1:12" x14ac:dyDescent="0.3">
      <c r="A3626" t="s">
        <v>668</v>
      </c>
      <c r="B3626" t="s">
        <v>1417</v>
      </c>
      <c r="L3626" s="3" t="s">
        <v>8084</v>
      </c>
    </row>
    <row r="3627" spans="1:12" x14ac:dyDescent="0.3">
      <c r="A3627" t="s">
        <v>521</v>
      </c>
      <c r="B3627" t="s">
        <v>8266</v>
      </c>
      <c r="L3627" s="4" t="s">
        <v>8086</v>
      </c>
    </row>
    <row r="3628" spans="1:12" x14ac:dyDescent="0.3">
      <c r="A3628" t="s">
        <v>1417</v>
      </c>
      <c r="B3628" t="s">
        <v>1417</v>
      </c>
      <c r="L3628" s="3" t="s">
        <v>8088</v>
      </c>
    </row>
    <row r="3629" spans="1:12" x14ac:dyDescent="0.3">
      <c r="A3629" t="s">
        <v>1417</v>
      </c>
      <c r="B3629" t="s">
        <v>1417</v>
      </c>
      <c r="L3629" s="4" t="s">
        <v>8090</v>
      </c>
    </row>
    <row r="3630" spans="1:12" x14ac:dyDescent="0.3">
      <c r="A3630" t="s">
        <v>668</v>
      </c>
      <c r="B3630" t="s">
        <v>4380</v>
      </c>
      <c r="L3630" s="3" t="s">
        <v>8092</v>
      </c>
    </row>
    <row r="3631" spans="1:12" x14ac:dyDescent="0.3">
      <c r="A3631" t="s">
        <v>1417</v>
      </c>
      <c r="B3631" t="s">
        <v>1417</v>
      </c>
      <c r="L3631" s="4" t="s">
        <v>8094</v>
      </c>
    </row>
    <row r="3632" spans="1:12" x14ac:dyDescent="0.3">
      <c r="A3632" t="s">
        <v>521</v>
      </c>
      <c r="B3632" t="s">
        <v>1417</v>
      </c>
      <c r="L3632" s="3" t="s">
        <v>8096</v>
      </c>
    </row>
    <row r="3633" spans="1:12" x14ac:dyDescent="0.3">
      <c r="A3633" t="s">
        <v>668</v>
      </c>
      <c r="B3633" t="s">
        <v>5043</v>
      </c>
      <c r="L3633" s="4" t="s">
        <v>8098</v>
      </c>
    </row>
    <row r="3634" spans="1:12" x14ac:dyDescent="0.3">
      <c r="A3634" t="s">
        <v>362</v>
      </c>
      <c r="B3634" t="s">
        <v>497</v>
      </c>
      <c r="L3634" s="3" t="s">
        <v>8101</v>
      </c>
    </row>
    <row r="3635" spans="1:12" x14ac:dyDescent="0.3">
      <c r="A3635" t="s">
        <v>1417</v>
      </c>
      <c r="B3635" t="s">
        <v>1417</v>
      </c>
      <c r="L3635" s="4" t="s">
        <v>8103</v>
      </c>
    </row>
    <row r="3636" spans="1:12" x14ac:dyDescent="0.3">
      <c r="A3636" t="s">
        <v>521</v>
      </c>
      <c r="B3636" t="s">
        <v>8268</v>
      </c>
      <c r="L3636" s="3" t="s">
        <v>8105</v>
      </c>
    </row>
    <row r="3637" spans="1:12" x14ac:dyDescent="0.3">
      <c r="A3637" t="s">
        <v>5524</v>
      </c>
      <c r="B3637" t="s">
        <v>8268</v>
      </c>
      <c r="L3637" s="4" t="s">
        <v>8107</v>
      </c>
    </row>
    <row r="3638" spans="1:12" x14ac:dyDescent="0.3">
      <c r="A3638" t="s">
        <v>1417</v>
      </c>
      <c r="B3638" t="s">
        <v>8266</v>
      </c>
      <c r="L3638" s="3" t="s">
        <v>8109</v>
      </c>
    </row>
    <row r="3639" spans="1:12" x14ac:dyDescent="0.3">
      <c r="A3639" t="s">
        <v>1417</v>
      </c>
      <c r="B3639" t="s">
        <v>1417</v>
      </c>
      <c r="L3639" s="4" t="s">
        <v>8111</v>
      </c>
    </row>
    <row r="3640" spans="1:12" x14ac:dyDescent="0.3">
      <c r="A3640" t="s">
        <v>1417</v>
      </c>
      <c r="B3640" t="s">
        <v>1417</v>
      </c>
      <c r="L3640" s="3" t="s">
        <v>8113</v>
      </c>
    </row>
    <row r="3641" spans="1:12" x14ac:dyDescent="0.3">
      <c r="A3641" t="s">
        <v>1417</v>
      </c>
      <c r="B3641" t="s">
        <v>8266</v>
      </c>
      <c r="L3641" s="4" t="s">
        <v>8115</v>
      </c>
    </row>
    <row r="3642" spans="1:12" x14ac:dyDescent="0.3">
      <c r="A3642" t="s">
        <v>668</v>
      </c>
      <c r="B3642" t="s">
        <v>4380</v>
      </c>
      <c r="L3642" s="3" t="s">
        <v>8117</v>
      </c>
    </row>
    <row r="3643" spans="1:12" x14ac:dyDescent="0.3">
      <c r="A3643" t="s">
        <v>1417</v>
      </c>
      <c r="B3643" t="s">
        <v>497</v>
      </c>
      <c r="L3643" s="4" t="s">
        <v>8119</v>
      </c>
    </row>
    <row r="3644" spans="1:12" x14ac:dyDescent="0.3">
      <c r="A3644" t="s">
        <v>668</v>
      </c>
      <c r="B3644" t="s">
        <v>362</v>
      </c>
      <c r="L3644" s="3" t="s">
        <v>8121</v>
      </c>
    </row>
    <row r="3645" spans="1:12" x14ac:dyDescent="0.3">
      <c r="A3645" t="s">
        <v>19</v>
      </c>
      <c r="B3645" t="s">
        <v>8046</v>
      </c>
      <c r="L3645" s="4" t="s">
        <v>8123</v>
      </c>
    </row>
    <row r="3646" spans="1:12" x14ac:dyDescent="0.3">
      <c r="A3646" t="s">
        <v>668</v>
      </c>
      <c r="B3646" t="s">
        <v>1417</v>
      </c>
      <c r="L3646" s="3" t="s">
        <v>8125</v>
      </c>
    </row>
    <row r="3647" spans="1:12" x14ac:dyDescent="0.3">
      <c r="A3647" t="s">
        <v>521</v>
      </c>
      <c r="B3647" t="s">
        <v>7473</v>
      </c>
      <c r="L3647" s="4" t="s">
        <v>8127</v>
      </c>
    </row>
    <row r="3648" spans="1:12" x14ac:dyDescent="0.3">
      <c r="A3648" t="s">
        <v>1417</v>
      </c>
      <c r="B3648" t="s">
        <v>668</v>
      </c>
      <c r="L3648" s="3" t="s">
        <v>8129</v>
      </c>
    </row>
    <row r="3649" spans="1:12" x14ac:dyDescent="0.3">
      <c r="A3649" t="s">
        <v>8268</v>
      </c>
      <c r="B3649" t="s">
        <v>1417</v>
      </c>
      <c r="L3649" s="4" t="s">
        <v>8131</v>
      </c>
    </row>
    <row r="3650" spans="1:12" x14ac:dyDescent="0.3">
      <c r="A3650" t="s">
        <v>1417</v>
      </c>
      <c r="B3650" t="s">
        <v>668</v>
      </c>
      <c r="L3650" s="3" t="s">
        <v>8133</v>
      </c>
    </row>
    <row r="3651" spans="1:12" x14ac:dyDescent="0.3">
      <c r="A3651" t="s">
        <v>521</v>
      </c>
      <c r="B3651" t="s">
        <v>5524</v>
      </c>
      <c r="L3651" s="4" t="s">
        <v>8135</v>
      </c>
    </row>
    <row r="3652" spans="1:12" x14ac:dyDescent="0.3">
      <c r="A3652" t="s">
        <v>668</v>
      </c>
      <c r="B3652" t="s">
        <v>1417</v>
      </c>
      <c r="L3652" s="3" t="s">
        <v>8137</v>
      </c>
    </row>
    <row r="3653" spans="1:12" x14ac:dyDescent="0.3">
      <c r="A3653" t="s">
        <v>2701</v>
      </c>
      <c r="B3653" t="s">
        <v>668</v>
      </c>
      <c r="L3653" s="4" t="s">
        <v>8140</v>
      </c>
    </row>
    <row r="3654" spans="1:12" x14ac:dyDescent="0.3">
      <c r="A3654" t="s">
        <v>668</v>
      </c>
      <c r="B3654" t="s">
        <v>4380</v>
      </c>
      <c r="L3654" s="3" t="s">
        <v>8142</v>
      </c>
    </row>
    <row r="3655" spans="1:12" x14ac:dyDescent="0.3">
      <c r="A3655" t="s">
        <v>1417</v>
      </c>
      <c r="B3655" t="s">
        <v>4380</v>
      </c>
      <c r="L3655" s="4" t="s">
        <v>8144</v>
      </c>
    </row>
    <row r="3656" spans="1:12" x14ac:dyDescent="0.3">
      <c r="A3656" t="s">
        <v>8268</v>
      </c>
      <c r="B3656" t="s">
        <v>4843</v>
      </c>
      <c r="L3656" s="3" t="s">
        <v>8146</v>
      </c>
    </row>
    <row r="3657" spans="1:12" x14ac:dyDescent="0.3">
      <c r="A3657" t="s">
        <v>1417</v>
      </c>
      <c r="B3657" t="s">
        <v>362</v>
      </c>
      <c r="L3657" s="4" t="s">
        <v>8148</v>
      </c>
    </row>
    <row r="3658" spans="1:12" x14ac:dyDescent="0.3">
      <c r="A3658" t="s">
        <v>668</v>
      </c>
      <c r="B3658" t="s">
        <v>8268</v>
      </c>
      <c r="L3658" s="3" t="s">
        <v>8150</v>
      </c>
    </row>
    <row r="3659" spans="1:12" x14ac:dyDescent="0.3">
      <c r="A3659" t="s">
        <v>4380</v>
      </c>
      <c r="B3659" t="s">
        <v>4380</v>
      </c>
      <c r="L3659" s="4" t="s">
        <v>8152</v>
      </c>
    </row>
    <row r="3660" spans="1:12" x14ac:dyDescent="0.3">
      <c r="A3660" t="s">
        <v>1417</v>
      </c>
      <c r="B3660" t="s">
        <v>8266</v>
      </c>
      <c r="L3660" s="3" t="s">
        <v>8154</v>
      </c>
    </row>
    <row r="3661" spans="1:12" x14ac:dyDescent="0.3">
      <c r="A3661" t="s">
        <v>521</v>
      </c>
      <c r="B3661" t="s">
        <v>1417</v>
      </c>
      <c r="L3661" s="4" t="s">
        <v>8157</v>
      </c>
    </row>
    <row r="3662" spans="1:12" x14ac:dyDescent="0.3">
      <c r="A3662" t="s">
        <v>668</v>
      </c>
      <c r="B3662" t="s">
        <v>7473</v>
      </c>
      <c r="L3662" s="3" t="s">
        <v>8159</v>
      </c>
    </row>
    <row r="3663" spans="1:12" x14ac:dyDescent="0.3">
      <c r="A3663" t="s">
        <v>668</v>
      </c>
      <c r="B3663" t="s">
        <v>1417</v>
      </c>
      <c r="L3663" s="4" t="s">
        <v>8161</v>
      </c>
    </row>
    <row r="3664" spans="1:12" x14ac:dyDescent="0.3">
      <c r="A3664" t="s">
        <v>668</v>
      </c>
      <c r="B3664" t="s">
        <v>5043</v>
      </c>
      <c r="L3664" s="3" t="s">
        <v>8163</v>
      </c>
    </row>
    <row r="3665" spans="1:12" x14ac:dyDescent="0.3">
      <c r="A3665" t="s">
        <v>1417</v>
      </c>
      <c r="B3665" t="s">
        <v>1417</v>
      </c>
      <c r="L3665" s="4" t="s">
        <v>8165</v>
      </c>
    </row>
    <row r="3666" spans="1:12" x14ac:dyDescent="0.3">
      <c r="A3666" t="s">
        <v>521</v>
      </c>
      <c r="B3666" t="s">
        <v>5043</v>
      </c>
      <c r="L3666" s="3" t="s">
        <v>8167</v>
      </c>
    </row>
    <row r="3667" spans="1:12" x14ac:dyDescent="0.3">
      <c r="A3667" t="s">
        <v>521</v>
      </c>
      <c r="B3667" t="s">
        <v>1417</v>
      </c>
      <c r="L3667" s="4" t="s">
        <v>8169</v>
      </c>
    </row>
    <row r="3668" spans="1:12" x14ac:dyDescent="0.3">
      <c r="A3668" t="s">
        <v>2701</v>
      </c>
      <c r="B3668" t="s">
        <v>1417</v>
      </c>
      <c r="L3668" s="3" t="s">
        <v>8171</v>
      </c>
    </row>
    <row r="3669" spans="1:12" x14ac:dyDescent="0.3">
      <c r="A3669" t="s">
        <v>6902</v>
      </c>
      <c r="B3669" t="s">
        <v>7104</v>
      </c>
      <c r="L3669" s="4" t="s">
        <v>8173</v>
      </c>
    </row>
    <row r="3670" spans="1:12" x14ac:dyDescent="0.3">
      <c r="A3670" t="s">
        <v>668</v>
      </c>
      <c r="B3670" t="s">
        <v>7473</v>
      </c>
      <c r="L3670" s="3" t="s">
        <v>8175</v>
      </c>
    </row>
    <row r="3671" spans="1:12" x14ac:dyDescent="0.3">
      <c r="A3671" t="s">
        <v>5524</v>
      </c>
      <c r="B3671" t="s">
        <v>8268</v>
      </c>
      <c r="L3671" s="4" t="s">
        <v>8177</v>
      </c>
    </row>
    <row r="3672" spans="1:12" x14ac:dyDescent="0.3">
      <c r="A3672" t="s">
        <v>668</v>
      </c>
      <c r="B3672" t="s">
        <v>7473</v>
      </c>
      <c r="L3672" s="3" t="s">
        <v>8179</v>
      </c>
    </row>
    <row r="3673" spans="1:12" x14ac:dyDescent="0.3">
      <c r="A3673" t="s">
        <v>5524</v>
      </c>
      <c r="B3673" t="s">
        <v>2701</v>
      </c>
      <c r="L3673" s="4" t="s">
        <v>8181</v>
      </c>
    </row>
    <row r="3674" spans="1:12" x14ac:dyDescent="0.3">
      <c r="A3674" t="s">
        <v>668</v>
      </c>
      <c r="B3674" t="s">
        <v>6171</v>
      </c>
      <c r="L3674" s="3" t="s">
        <v>8183</v>
      </c>
    </row>
    <row r="3675" spans="1:12" x14ac:dyDescent="0.3">
      <c r="A3675" t="s">
        <v>8266</v>
      </c>
      <c r="B3675" t="s">
        <v>7473</v>
      </c>
      <c r="L3675" s="4" t="s">
        <v>8185</v>
      </c>
    </row>
    <row r="3676" spans="1:12" x14ac:dyDescent="0.3">
      <c r="A3676" t="s">
        <v>668</v>
      </c>
      <c r="B3676" t="s">
        <v>1417</v>
      </c>
      <c r="L3676" s="3" t="s">
        <v>8187</v>
      </c>
    </row>
    <row r="3677" spans="1:12" x14ac:dyDescent="0.3">
      <c r="A3677" t="s">
        <v>5524</v>
      </c>
      <c r="B3677" t="s">
        <v>1417</v>
      </c>
      <c r="L3677" s="4" t="s">
        <v>8189</v>
      </c>
    </row>
    <row r="3678" spans="1:12" x14ac:dyDescent="0.3">
      <c r="A3678" t="s">
        <v>668</v>
      </c>
      <c r="B3678" t="s">
        <v>668</v>
      </c>
      <c r="L3678" s="3" t="s">
        <v>8191</v>
      </c>
    </row>
    <row r="3679" spans="1:12" x14ac:dyDescent="0.3">
      <c r="A3679" t="s">
        <v>1417</v>
      </c>
      <c r="B3679" t="s">
        <v>362</v>
      </c>
      <c r="L3679" s="4" t="s">
        <v>8194</v>
      </c>
    </row>
    <row r="3680" spans="1:12" x14ac:dyDescent="0.3">
      <c r="A3680" t="s">
        <v>668</v>
      </c>
      <c r="B3680" t="s">
        <v>5138</v>
      </c>
      <c r="L3680" s="3" t="s">
        <v>8196</v>
      </c>
    </row>
    <row r="3681" spans="1:12" x14ac:dyDescent="0.3">
      <c r="A3681" t="s">
        <v>8268</v>
      </c>
      <c r="B3681" t="s">
        <v>7104</v>
      </c>
      <c r="L3681" s="4" t="s">
        <v>8198</v>
      </c>
    </row>
    <row r="3682" spans="1:12" x14ac:dyDescent="0.3">
      <c r="A3682" t="s">
        <v>1417</v>
      </c>
      <c r="B3682" t="s">
        <v>19</v>
      </c>
      <c r="L3682" s="3" t="s">
        <v>8200</v>
      </c>
    </row>
    <row r="3683" spans="1:12" x14ac:dyDescent="0.3">
      <c r="A3683" t="s">
        <v>668</v>
      </c>
      <c r="B3683" t="s">
        <v>19</v>
      </c>
      <c r="L3683" s="4" t="s">
        <v>8202</v>
      </c>
    </row>
    <row r="3684" spans="1:12" x14ac:dyDescent="0.3">
      <c r="A3684" t="s">
        <v>668</v>
      </c>
      <c r="B3684" t="s">
        <v>2701</v>
      </c>
      <c r="L3684" s="3" t="s">
        <v>8204</v>
      </c>
    </row>
    <row r="3685" spans="1:12" x14ac:dyDescent="0.3">
      <c r="A3685" t="s">
        <v>8268</v>
      </c>
      <c r="B3685" t="s">
        <v>7473</v>
      </c>
      <c r="L3685" s="4" t="s">
        <v>8206</v>
      </c>
    </row>
    <row r="3686" spans="1:12" x14ac:dyDescent="0.3">
      <c r="A3686" t="s">
        <v>668</v>
      </c>
      <c r="B3686" t="s">
        <v>5138</v>
      </c>
      <c r="L3686" s="3" t="s">
        <v>8208</v>
      </c>
    </row>
    <row r="3687" spans="1:12" x14ac:dyDescent="0.3">
      <c r="A3687" t="s">
        <v>668</v>
      </c>
      <c r="B3687" t="s">
        <v>8266</v>
      </c>
      <c r="L3687" s="4" t="s">
        <v>8211</v>
      </c>
    </row>
    <row r="3688" spans="1:12" x14ac:dyDescent="0.3">
      <c r="A3688" t="s">
        <v>1417</v>
      </c>
      <c r="B3688" t="s">
        <v>668</v>
      </c>
      <c r="L3688" s="3" t="s">
        <v>8213</v>
      </c>
    </row>
    <row r="3689" spans="1:12" x14ac:dyDescent="0.3">
      <c r="A3689" t="s">
        <v>521</v>
      </c>
      <c r="B3689" t="s">
        <v>7473</v>
      </c>
      <c r="L3689" s="4" t="s">
        <v>8215</v>
      </c>
    </row>
    <row r="3690" spans="1:12" x14ac:dyDescent="0.3">
      <c r="A3690" t="s">
        <v>668</v>
      </c>
      <c r="B3690" t="s">
        <v>362</v>
      </c>
      <c r="L3690" s="3" t="s">
        <v>8218</v>
      </c>
    </row>
    <row r="3691" spans="1:12" x14ac:dyDescent="0.3">
      <c r="A3691" t="s">
        <v>668</v>
      </c>
      <c r="B3691" t="s">
        <v>1417</v>
      </c>
      <c r="L3691" s="4" t="s">
        <v>8220</v>
      </c>
    </row>
    <row r="3692" spans="1:12" x14ac:dyDescent="0.3">
      <c r="A3692" t="s">
        <v>8268</v>
      </c>
      <c r="B3692" t="s">
        <v>362</v>
      </c>
      <c r="L3692" s="3" t="s">
        <v>8222</v>
      </c>
    </row>
    <row r="3693" spans="1:12" x14ac:dyDescent="0.3">
      <c r="A3693" t="s">
        <v>668</v>
      </c>
      <c r="B3693" t="s">
        <v>4380</v>
      </c>
      <c r="L3693" s="4" t="s">
        <v>8224</v>
      </c>
    </row>
    <row r="3694" spans="1:12" x14ac:dyDescent="0.3">
      <c r="A3694" t="s">
        <v>668</v>
      </c>
      <c r="B3694" t="s">
        <v>1417</v>
      </c>
      <c r="L3694" s="3" t="s">
        <v>8226</v>
      </c>
    </row>
    <row r="3695" spans="1:12" x14ac:dyDescent="0.3">
      <c r="A3695" t="s">
        <v>1417</v>
      </c>
      <c r="B3695" t="s">
        <v>668</v>
      </c>
      <c r="L3695" s="4" t="s">
        <v>8228</v>
      </c>
    </row>
    <row r="3696" spans="1:12" x14ac:dyDescent="0.3">
      <c r="A3696" t="s">
        <v>1417</v>
      </c>
      <c r="B3696" t="s">
        <v>4380</v>
      </c>
      <c r="L3696" s="3" t="s">
        <v>8230</v>
      </c>
    </row>
    <row r="3697" spans="1:12" x14ac:dyDescent="0.3">
      <c r="A3697" t="s">
        <v>521</v>
      </c>
      <c r="B3697" t="s">
        <v>1417</v>
      </c>
      <c r="L3697" s="4" t="s">
        <v>8232</v>
      </c>
    </row>
    <row r="3698" spans="1:12" x14ac:dyDescent="0.3">
      <c r="A3698" t="s">
        <v>497</v>
      </c>
      <c r="B3698" t="s">
        <v>2701</v>
      </c>
      <c r="L3698" s="3" t="s">
        <v>8234</v>
      </c>
    </row>
    <row r="3699" spans="1:12" x14ac:dyDescent="0.3">
      <c r="A3699" t="s">
        <v>2701</v>
      </c>
      <c r="B3699" t="s">
        <v>19</v>
      </c>
      <c r="L3699" s="4" t="s">
        <v>8236</v>
      </c>
    </row>
    <row r="3700" spans="1:12" x14ac:dyDescent="0.3">
      <c r="A3700" t="s">
        <v>1417</v>
      </c>
      <c r="B3700" t="s">
        <v>1417</v>
      </c>
      <c r="L3700" s="3" t="s">
        <v>8238</v>
      </c>
    </row>
    <row r="3701" spans="1:12" x14ac:dyDescent="0.3">
      <c r="A3701" t="s">
        <v>668</v>
      </c>
      <c r="B3701" t="s">
        <v>668</v>
      </c>
      <c r="L3701" s="4" t="s">
        <v>8240</v>
      </c>
    </row>
    <row r="3702" spans="1:12" x14ac:dyDescent="0.3">
      <c r="A3702" t="s">
        <v>2701</v>
      </c>
      <c r="B3702" t="s">
        <v>8269</v>
      </c>
      <c r="L3702" s="3" t="s">
        <v>8242</v>
      </c>
    </row>
    <row r="3703" spans="1:12" x14ac:dyDescent="0.3">
      <c r="A3703" t="s">
        <v>2701</v>
      </c>
      <c r="B3703" t="s">
        <v>668</v>
      </c>
      <c r="L3703" s="4" t="s">
        <v>8244</v>
      </c>
    </row>
    <row r="3704" spans="1:12" x14ac:dyDescent="0.3">
      <c r="A3704" t="s">
        <v>497</v>
      </c>
      <c r="B3704" t="s">
        <v>362</v>
      </c>
      <c r="L3704" s="3" t="s">
        <v>8247</v>
      </c>
    </row>
    <row r="3705" spans="1:12" x14ac:dyDescent="0.3">
      <c r="A3705" t="s">
        <v>521</v>
      </c>
      <c r="B3705" t="s">
        <v>7473</v>
      </c>
      <c r="L3705" s="4" t="s">
        <v>8249</v>
      </c>
    </row>
    <row r="3706" spans="1:12" x14ac:dyDescent="0.3">
      <c r="A3706" t="s">
        <v>8266</v>
      </c>
      <c r="B3706" t="s">
        <v>497</v>
      </c>
      <c r="L3706" s="3" t="s">
        <v>8251</v>
      </c>
    </row>
    <row r="3707" spans="1:12" x14ac:dyDescent="0.3">
      <c r="A3707" t="s">
        <v>668</v>
      </c>
      <c r="B3707" t="s">
        <v>497</v>
      </c>
      <c r="L3707" s="4" t="s">
        <v>8253</v>
      </c>
    </row>
    <row r="3708" spans="1:12" x14ac:dyDescent="0.3">
      <c r="A3708" t="s">
        <v>2701</v>
      </c>
      <c r="B3708" t="s">
        <v>1417</v>
      </c>
      <c r="L3708" s="3" t="s">
        <v>8255</v>
      </c>
    </row>
    <row r="3709" spans="1:12" x14ac:dyDescent="0.3">
      <c r="A3709" t="s">
        <v>1417</v>
      </c>
      <c r="B3709" t="s">
        <v>8269</v>
      </c>
      <c r="L3709" s="4" t="s">
        <v>8257</v>
      </c>
    </row>
    <row r="3710" spans="1:12" x14ac:dyDescent="0.3">
      <c r="A3710" t="s">
        <v>668</v>
      </c>
      <c r="B3710" t="s">
        <v>7473</v>
      </c>
      <c r="L3710" s="3" t="s">
        <v>8260</v>
      </c>
    </row>
    <row r="3711" spans="1:12" x14ac:dyDescent="0.3">
      <c r="A3711" t="s">
        <v>668</v>
      </c>
      <c r="B3711" t="s">
        <v>1417</v>
      </c>
      <c r="L3711" s="4" t="s">
        <v>8262</v>
      </c>
    </row>
    <row r="3712" spans="1:12" x14ac:dyDescent="0.3">
      <c r="A3712" t="s">
        <v>5524</v>
      </c>
      <c r="B3712" t="s">
        <v>7473</v>
      </c>
      <c r="L3712" s="3" t="s">
        <v>8264</v>
      </c>
    </row>
    <row r="3713" spans="1:12" x14ac:dyDescent="0.3">
      <c r="A3713" t="s">
        <v>362</v>
      </c>
      <c r="B3713" t="s">
        <v>1417</v>
      </c>
      <c r="L3713" s="4"/>
    </row>
    <row r="3714" spans="1:12" x14ac:dyDescent="0.3">
      <c r="A3714" t="s">
        <v>497</v>
      </c>
      <c r="B3714" t="s">
        <v>1417</v>
      </c>
    </row>
    <row r="3715" spans="1:12" x14ac:dyDescent="0.3">
      <c r="A3715" t="s">
        <v>5524</v>
      </c>
      <c r="B3715" t="s">
        <v>497</v>
      </c>
    </row>
    <row r="3716" spans="1:12" x14ac:dyDescent="0.3">
      <c r="A3716" t="s">
        <v>5524</v>
      </c>
      <c r="B3716" t="s">
        <v>2701</v>
      </c>
    </row>
    <row r="3717" spans="1:12" x14ac:dyDescent="0.3">
      <c r="A3717" t="s">
        <v>2701</v>
      </c>
      <c r="B3717" t="s">
        <v>8268</v>
      </c>
    </row>
    <row r="3718" spans="1:12" x14ac:dyDescent="0.3">
      <c r="A3718" t="s">
        <v>8266</v>
      </c>
      <c r="B3718" t="s">
        <v>7473</v>
      </c>
    </row>
    <row r="3719" spans="1:12" x14ac:dyDescent="0.3">
      <c r="A3719" t="s">
        <v>2701</v>
      </c>
      <c r="B3719" t="s">
        <v>8268</v>
      </c>
    </row>
    <row r="3720" spans="1:12" x14ac:dyDescent="0.3">
      <c r="A3720" t="s">
        <v>668</v>
      </c>
      <c r="B3720" t="s">
        <v>1417</v>
      </c>
    </row>
    <row r="3721" spans="1:12" x14ac:dyDescent="0.3">
      <c r="A3721" t="s">
        <v>1417</v>
      </c>
      <c r="B3721" t="s">
        <v>1417</v>
      </c>
    </row>
    <row r="3722" spans="1:12" x14ac:dyDescent="0.3">
      <c r="A3722" t="s">
        <v>668</v>
      </c>
      <c r="B3722" t="s">
        <v>1417</v>
      </c>
    </row>
    <row r="3723" spans="1:12" x14ac:dyDescent="0.3">
      <c r="A3723" t="s">
        <v>668</v>
      </c>
      <c r="B3723" t="s">
        <v>1417</v>
      </c>
    </row>
    <row r="3724" spans="1:12" x14ac:dyDescent="0.3">
      <c r="A3724" t="s">
        <v>362</v>
      </c>
      <c r="B3724" t="s">
        <v>19</v>
      </c>
    </row>
    <row r="3725" spans="1:12" x14ac:dyDescent="0.3">
      <c r="A3725" t="s">
        <v>4843</v>
      </c>
      <c r="B3725" t="s">
        <v>1417</v>
      </c>
    </row>
    <row r="3726" spans="1:12" x14ac:dyDescent="0.3">
      <c r="A3726" t="s">
        <v>1417</v>
      </c>
      <c r="B3726" t="s">
        <v>8266</v>
      </c>
    </row>
    <row r="3727" spans="1:12" x14ac:dyDescent="0.3">
      <c r="A3727" t="s">
        <v>5524</v>
      </c>
      <c r="B3727" t="s">
        <v>7104</v>
      </c>
    </row>
    <row r="3728" spans="1:12" x14ac:dyDescent="0.3">
      <c r="A3728" t="s">
        <v>668</v>
      </c>
      <c r="B3728" t="s">
        <v>668</v>
      </c>
    </row>
    <row r="3729" spans="1:2" x14ac:dyDescent="0.3">
      <c r="A3729" t="s">
        <v>5524</v>
      </c>
      <c r="B3729" t="s">
        <v>668</v>
      </c>
    </row>
    <row r="3730" spans="1:2" x14ac:dyDescent="0.3">
      <c r="A3730" t="s">
        <v>668</v>
      </c>
      <c r="B3730" t="s">
        <v>8268</v>
      </c>
    </row>
    <row r="3731" spans="1:2" x14ac:dyDescent="0.3">
      <c r="A3731" t="s">
        <v>1417</v>
      </c>
      <c r="B3731" t="s">
        <v>7104</v>
      </c>
    </row>
    <row r="3732" spans="1:2" x14ac:dyDescent="0.3">
      <c r="A3732" t="s">
        <v>2701</v>
      </c>
      <c r="B3732" t="s">
        <v>1417</v>
      </c>
    </row>
    <row r="3733" spans="1:2" x14ac:dyDescent="0.3">
      <c r="A3733" t="s">
        <v>1417</v>
      </c>
      <c r="B3733" t="s">
        <v>5138</v>
      </c>
    </row>
    <row r="3734" spans="1:2" x14ac:dyDescent="0.3">
      <c r="A3734" t="s">
        <v>1417</v>
      </c>
      <c r="B3734" t="s">
        <v>7473</v>
      </c>
    </row>
    <row r="3735" spans="1:2" x14ac:dyDescent="0.3">
      <c r="A3735" t="s">
        <v>1417</v>
      </c>
      <c r="B3735" t="s">
        <v>1417</v>
      </c>
    </row>
    <row r="3736" spans="1:2" x14ac:dyDescent="0.3">
      <c r="A3736" t="s">
        <v>1417</v>
      </c>
      <c r="B3736" t="s">
        <v>7104</v>
      </c>
    </row>
    <row r="3737" spans="1:2" x14ac:dyDescent="0.3">
      <c r="A3737" t="s">
        <v>521</v>
      </c>
      <c r="B3737" t="s">
        <v>1417</v>
      </c>
    </row>
    <row r="3738" spans="1:2" x14ac:dyDescent="0.3">
      <c r="A3738" t="s">
        <v>362</v>
      </c>
      <c r="B3738" t="s">
        <v>1417</v>
      </c>
    </row>
    <row r="3739" spans="1:2" x14ac:dyDescent="0.3">
      <c r="A3739" t="s">
        <v>668</v>
      </c>
      <c r="B3739" t="s">
        <v>8046</v>
      </c>
    </row>
    <row r="3740" spans="1:2" x14ac:dyDescent="0.3">
      <c r="A3740" t="s">
        <v>8268</v>
      </c>
      <c r="B3740" t="s">
        <v>4380</v>
      </c>
    </row>
    <row r="3741" spans="1:2" x14ac:dyDescent="0.3">
      <c r="A3741" t="s">
        <v>2701</v>
      </c>
      <c r="B3741" t="s">
        <v>1417</v>
      </c>
    </row>
    <row r="3742" spans="1:2" x14ac:dyDescent="0.3">
      <c r="A3742" t="s">
        <v>362</v>
      </c>
      <c r="B3742" t="s">
        <v>5138</v>
      </c>
    </row>
    <row r="3743" spans="1:2" x14ac:dyDescent="0.3">
      <c r="A3743" t="s">
        <v>668</v>
      </c>
      <c r="B3743" t="s">
        <v>2701</v>
      </c>
    </row>
    <row r="3744" spans="1:2" x14ac:dyDescent="0.3">
      <c r="A3744" t="s">
        <v>1417</v>
      </c>
      <c r="B3744" t="s">
        <v>4380</v>
      </c>
    </row>
    <row r="3745" spans="1:2" x14ac:dyDescent="0.3">
      <c r="A3745" t="s">
        <v>1417</v>
      </c>
      <c r="B3745" t="s">
        <v>7104</v>
      </c>
    </row>
    <row r="3746" spans="1:2" x14ac:dyDescent="0.3">
      <c r="A3746" t="s">
        <v>2701</v>
      </c>
      <c r="B3746" t="s">
        <v>1417</v>
      </c>
    </row>
    <row r="3747" spans="1:2" x14ac:dyDescent="0.3">
      <c r="A3747" t="s">
        <v>2701</v>
      </c>
      <c r="B3747" t="s">
        <v>1417</v>
      </c>
    </row>
    <row r="3748" spans="1:2" x14ac:dyDescent="0.3">
      <c r="A3748" t="s">
        <v>668</v>
      </c>
      <c r="B3748" t="s">
        <v>4380</v>
      </c>
    </row>
    <row r="3749" spans="1:2" x14ac:dyDescent="0.3">
      <c r="A3749" t="s">
        <v>521</v>
      </c>
      <c r="B3749" t="s">
        <v>2701</v>
      </c>
    </row>
    <row r="3750" spans="1:2" x14ac:dyDescent="0.3">
      <c r="A3750" t="s">
        <v>2701</v>
      </c>
      <c r="B3750" t="s">
        <v>8268</v>
      </c>
    </row>
    <row r="3751" spans="1:2" x14ac:dyDescent="0.3">
      <c r="A3751" t="s">
        <v>668</v>
      </c>
      <c r="B3751" t="s">
        <v>7104</v>
      </c>
    </row>
    <row r="3752" spans="1:2" x14ac:dyDescent="0.3">
      <c r="A3752" t="s">
        <v>521</v>
      </c>
      <c r="B3752" t="s">
        <v>362</v>
      </c>
    </row>
    <row r="3753" spans="1:2" x14ac:dyDescent="0.3">
      <c r="A3753" t="s">
        <v>521</v>
      </c>
      <c r="B3753" t="s">
        <v>1417</v>
      </c>
    </row>
    <row r="3754" spans="1:2" x14ac:dyDescent="0.3">
      <c r="A3754" t="s">
        <v>1417</v>
      </c>
      <c r="B3754" t="s">
        <v>1417</v>
      </c>
    </row>
    <row r="3755" spans="1:2" x14ac:dyDescent="0.3">
      <c r="A3755" t="s">
        <v>668</v>
      </c>
      <c r="B3755" t="s">
        <v>8268</v>
      </c>
    </row>
    <row r="3756" spans="1:2" x14ac:dyDescent="0.3">
      <c r="A3756" t="s">
        <v>1417</v>
      </c>
      <c r="B3756" t="s">
        <v>7473</v>
      </c>
    </row>
    <row r="3757" spans="1:2" x14ac:dyDescent="0.3">
      <c r="A3757" t="s">
        <v>1417</v>
      </c>
      <c r="B3757" t="s">
        <v>2701</v>
      </c>
    </row>
    <row r="3758" spans="1:2" x14ac:dyDescent="0.3">
      <c r="A3758" t="s">
        <v>668</v>
      </c>
      <c r="B3758" t="s">
        <v>2701</v>
      </c>
    </row>
    <row r="3759" spans="1:2" x14ac:dyDescent="0.3">
      <c r="A3759" t="s">
        <v>521</v>
      </c>
      <c r="B3759" t="s">
        <v>1417</v>
      </c>
    </row>
    <row r="3760" spans="1:2" x14ac:dyDescent="0.3">
      <c r="A3760" t="s">
        <v>668</v>
      </c>
      <c r="B3760" t="s">
        <v>2701</v>
      </c>
    </row>
    <row r="3761" spans="1:2" x14ac:dyDescent="0.3">
      <c r="A3761" t="s">
        <v>668</v>
      </c>
      <c r="B3761" t="s">
        <v>1417</v>
      </c>
    </row>
    <row r="3762" spans="1:2" x14ac:dyDescent="0.3">
      <c r="A3762" t="s">
        <v>362</v>
      </c>
      <c r="B3762" t="s">
        <v>5043</v>
      </c>
    </row>
    <row r="3763" spans="1:2" x14ac:dyDescent="0.3">
      <c r="A3763" t="s">
        <v>2701</v>
      </c>
      <c r="B3763" t="s">
        <v>7104</v>
      </c>
    </row>
    <row r="3764" spans="1:2" x14ac:dyDescent="0.3">
      <c r="A3764" t="s">
        <v>521</v>
      </c>
      <c r="B3764" t="s">
        <v>1417</v>
      </c>
    </row>
    <row r="3765" spans="1:2" x14ac:dyDescent="0.3">
      <c r="A3765" t="s">
        <v>668</v>
      </c>
      <c r="B3765" t="s">
        <v>7104</v>
      </c>
    </row>
    <row r="3766" spans="1:2" x14ac:dyDescent="0.3">
      <c r="A3766" t="s">
        <v>668</v>
      </c>
      <c r="B3766" t="s">
        <v>362</v>
      </c>
    </row>
    <row r="3767" spans="1:2" x14ac:dyDescent="0.3">
      <c r="A3767" t="s">
        <v>668</v>
      </c>
      <c r="B3767" t="s">
        <v>668</v>
      </c>
    </row>
    <row r="3768" spans="1:2" x14ac:dyDescent="0.3">
      <c r="A3768" t="s">
        <v>6171</v>
      </c>
      <c r="B3768" t="s">
        <v>1417</v>
      </c>
    </row>
    <row r="3769" spans="1:2" x14ac:dyDescent="0.3">
      <c r="A3769" t="s">
        <v>668</v>
      </c>
      <c r="B3769" t="s">
        <v>497</v>
      </c>
    </row>
    <row r="3770" spans="1:2" x14ac:dyDescent="0.3">
      <c r="A3770" t="s">
        <v>1417</v>
      </c>
      <c r="B3770" t="s">
        <v>6171</v>
      </c>
    </row>
    <row r="3771" spans="1:2" x14ac:dyDescent="0.3">
      <c r="A3771" t="s">
        <v>668</v>
      </c>
      <c r="B3771" t="s">
        <v>4380</v>
      </c>
    </row>
    <row r="3772" spans="1:2" x14ac:dyDescent="0.3">
      <c r="A3772" t="s">
        <v>19</v>
      </c>
      <c r="B3772" t="s">
        <v>7473</v>
      </c>
    </row>
    <row r="3773" spans="1:2" x14ac:dyDescent="0.3">
      <c r="A3773" t="s">
        <v>1417</v>
      </c>
      <c r="B3773" t="s">
        <v>8267</v>
      </c>
    </row>
    <row r="3774" spans="1:2" x14ac:dyDescent="0.3">
      <c r="A3774" t="s">
        <v>1417</v>
      </c>
      <c r="B3774" t="s">
        <v>5138</v>
      </c>
    </row>
    <row r="3775" spans="1:2" x14ac:dyDescent="0.3">
      <c r="A3775" t="s">
        <v>668</v>
      </c>
      <c r="B3775" t="s">
        <v>8046</v>
      </c>
    </row>
    <row r="3776" spans="1:2" x14ac:dyDescent="0.3">
      <c r="A3776" t="s">
        <v>668</v>
      </c>
      <c r="B3776" t="s">
        <v>8266</v>
      </c>
    </row>
    <row r="3777" spans="1:2" x14ac:dyDescent="0.3">
      <c r="A3777" t="s">
        <v>5524</v>
      </c>
      <c r="B3777" t="s">
        <v>362</v>
      </c>
    </row>
    <row r="3778" spans="1:2" x14ac:dyDescent="0.3">
      <c r="A3778" t="s">
        <v>1417</v>
      </c>
      <c r="B3778" t="s">
        <v>4380</v>
      </c>
    </row>
    <row r="3779" spans="1:2" x14ac:dyDescent="0.3">
      <c r="A3779" t="s">
        <v>668</v>
      </c>
      <c r="B3779" t="s">
        <v>6902</v>
      </c>
    </row>
    <row r="3780" spans="1:2" x14ac:dyDescent="0.3">
      <c r="A3780" t="s">
        <v>668</v>
      </c>
      <c r="B3780" t="s">
        <v>497</v>
      </c>
    </row>
    <row r="3781" spans="1:2" x14ac:dyDescent="0.3">
      <c r="A3781" t="s">
        <v>1417</v>
      </c>
      <c r="B3781" t="s">
        <v>1417</v>
      </c>
    </row>
    <row r="3782" spans="1:2" x14ac:dyDescent="0.3">
      <c r="A3782" t="s">
        <v>8268</v>
      </c>
      <c r="B3782" t="s">
        <v>8266</v>
      </c>
    </row>
    <row r="3783" spans="1:2" x14ac:dyDescent="0.3">
      <c r="A3783" t="s">
        <v>5524</v>
      </c>
      <c r="B3783" t="s">
        <v>5138</v>
      </c>
    </row>
    <row r="3784" spans="1:2" x14ac:dyDescent="0.3">
      <c r="A3784" t="s">
        <v>1417</v>
      </c>
      <c r="B3784" t="s">
        <v>19</v>
      </c>
    </row>
    <row r="3785" spans="1:2" x14ac:dyDescent="0.3">
      <c r="A3785" t="s">
        <v>5524</v>
      </c>
      <c r="B3785" t="s">
        <v>1417</v>
      </c>
    </row>
    <row r="3786" spans="1:2" x14ac:dyDescent="0.3">
      <c r="A3786" t="s">
        <v>8268</v>
      </c>
      <c r="B3786" t="s">
        <v>7473</v>
      </c>
    </row>
    <row r="3787" spans="1:2" x14ac:dyDescent="0.3">
      <c r="A3787" t="s">
        <v>668</v>
      </c>
      <c r="B3787" t="s">
        <v>1417</v>
      </c>
    </row>
    <row r="3788" spans="1:2" x14ac:dyDescent="0.3">
      <c r="A3788" t="s">
        <v>1417</v>
      </c>
      <c r="B3788" t="s">
        <v>1417</v>
      </c>
    </row>
    <row r="3789" spans="1:2" x14ac:dyDescent="0.3">
      <c r="A3789" t="s">
        <v>668</v>
      </c>
      <c r="B3789" t="s">
        <v>8268</v>
      </c>
    </row>
    <row r="3790" spans="1:2" x14ac:dyDescent="0.3">
      <c r="A3790" t="s">
        <v>8268</v>
      </c>
      <c r="B3790" t="s">
        <v>7473</v>
      </c>
    </row>
    <row r="3791" spans="1:2" x14ac:dyDescent="0.3">
      <c r="A3791" t="s">
        <v>5524</v>
      </c>
      <c r="B3791" t="s">
        <v>1417</v>
      </c>
    </row>
    <row r="3792" spans="1:2" x14ac:dyDescent="0.3">
      <c r="A3792" t="s">
        <v>8268</v>
      </c>
      <c r="B3792" t="s">
        <v>7104</v>
      </c>
    </row>
    <row r="3793" spans="1:2" x14ac:dyDescent="0.3">
      <c r="A3793" t="s">
        <v>1417</v>
      </c>
      <c r="B3793" t="s">
        <v>19</v>
      </c>
    </row>
    <row r="3794" spans="1:2" x14ac:dyDescent="0.3">
      <c r="A3794" t="s">
        <v>668</v>
      </c>
      <c r="B3794" t="s">
        <v>8267</v>
      </c>
    </row>
    <row r="3795" spans="1:2" x14ac:dyDescent="0.3">
      <c r="A3795" t="s">
        <v>1417</v>
      </c>
      <c r="B3795" t="s">
        <v>1417</v>
      </c>
    </row>
    <row r="3796" spans="1:2" x14ac:dyDescent="0.3">
      <c r="A3796" t="s">
        <v>362</v>
      </c>
      <c r="B3796" t="s">
        <v>1417</v>
      </c>
    </row>
    <row r="3797" spans="1:2" x14ac:dyDescent="0.3">
      <c r="A3797" t="s">
        <v>1417</v>
      </c>
      <c r="B3797" t="s">
        <v>4380</v>
      </c>
    </row>
    <row r="3798" spans="1:2" x14ac:dyDescent="0.3">
      <c r="A3798" t="s">
        <v>668</v>
      </c>
      <c r="B3798" t="s">
        <v>7473</v>
      </c>
    </row>
    <row r="3799" spans="1:2" x14ac:dyDescent="0.3">
      <c r="A3799" t="s">
        <v>2701</v>
      </c>
      <c r="B3799" t="s">
        <v>8268</v>
      </c>
    </row>
    <row r="3800" spans="1:2" x14ac:dyDescent="0.3">
      <c r="A3800" t="s">
        <v>8268</v>
      </c>
      <c r="B3800" t="s">
        <v>1417</v>
      </c>
    </row>
    <row r="3801" spans="1:2" x14ac:dyDescent="0.3">
      <c r="A3801" t="s">
        <v>8266</v>
      </c>
      <c r="B3801" t="s">
        <v>2701</v>
      </c>
    </row>
    <row r="3802" spans="1:2" x14ac:dyDescent="0.3">
      <c r="A3802" t="s">
        <v>1417</v>
      </c>
      <c r="B3802" t="s">
        <v>8046</v>
      </c>
    </row>
    <row r="3803" spans="1:2" x14ac:dyDescent="0.3">
      <c r="A3803" t="s">
        <v>2701</v>
      </c>
      <c r="B3803" t="s">
        <v>2701</v>
      </c>
    </row>
    <row r="3804" spans="1:2" x14ac:dyDescent="0.3">
      <c r="A3804" t="s">
        <v>1417</v>
      </c>
      <c r="B3804" t="s">
        <v>668</v>
      </c>
    </row>
    <row r="3805" spans="1:2" x14ac:dyDescent="0.3">
      <c r="A3805" t="s">
        <v>668</v>
      </c>
      <c r="B3805" t="s">
        <v>1417</v>
      </c>
    </row>
    <row r="3806" spans="1:2" x14ac:dyDescent="0.3">
      <c r="A3806" t="s">
        <v>668</v>
      </c>
      <c r="B3806" t="s">
        <v>1417</v>
      </c>
    </row>
    <row r="3807" spans="1:2" x14ac:dyDescent="0.3">
      <c r="A3807" t="s">
        <v>4843</v>
      </c>
      <c r="B3807" t="s">
        <v>5138</v>
      </c>
    </row>
    <row r="3808" spans="1:2" x14ac:dyDescent="0.3">
      <c r="A3808" t="s">
        <v>1417</v>
      </c>
      <c r="B3808" t="s">
        <v>6902</v>
      </c>
    </row>
    <row r="3809" spans="1:2" x14ac:dyDescent="0.3">
      <c r="A3809" t="s">
        <v>668</v>
      </c>
      <c r="B3809" t="s">
        <v>6902</v>
      </c>
    </row>
    <row r="3810" spans="1:2" x14ac:dyDescent="0.3">
      <c r="A3810" t="s">
        <v>668</v>
      </c>
      <c r="B3810" t="s">
        <v>1417</v>
      </c>
    </row>
    <row r="3811" spans="1:2" x14ac:dyDescent="0.3">
      <c r="A3811" t="s">
        <v>4843</v>
      </c>
      <c r="B3811" t="s">
        <v>7104</v>
      </c>
    </row>
    <row r="3812" spans="1:2" x14ac:dyDescent="0.3">
      <c r="A3812" t="s">
        <v>668</v>
      </c>
      <c r="B3812" t="s">
        <v>4843</v>
      </c>
    </row>
    <row r="3813" spans="1:2" x14ac:dyDescent="0.3">
      <c r="A3813" t="s">
        <v>8268</v>
      </c>
      <c r="B3813" t="s">
        <v>7104</v>
      </c>
    </row>
    <row r="3814" spans="1:2" x14ac:dyDescent="0.3">
      <c r="A3814" t="s">
        <v>1417</v>
      </c>
      <c r="B3814" t="s">
        <v>8268</v>
      </c>
    </row>
    <row r="3815" spans="1:2" x14ac:dyDescent="0.3">
      <c r="A3815" t="s">
        <v>521</v>
      </c>
      <c r="B3815" t="s">
        <v>4380</v>
      </c>
    </row>
    <row r="3816" spans="1:2" x14ac:dyDescent="0.3">
      <c r="A3816" t="s">
        <v>521</v>
      </c>
      <c r="B3816" t="s">
        <v>4380</v>
      </c>
    </row>
    <row r="3817" spans="1:2" x14ac:dyDescent="0.3">
      <c r="A3817" t="s">
        <v>668</v>
      </c>
      <c r="B3817" t="s">
        <v>8266</v>
      </c>
    </row>
    <row r="3818" spans="1:2" x14ac:dyDescent="0.3">
      <c r="A3818" t="s">
        <v>7104</v>
      </c>
      <c r="B3818" t="s">
        <v>4380</v>
      </c>
    </row>
    <row r="3819" spans="1:2" x14ac:dyDescent="0.3">
      <c r="A3819" t="s">
        <v>668</v>
      </c>
      <c r="B3819" t="s">
        <v>1417</v>
      </c>
    </row>
    <row r="3820" spans="1:2" x14ac:dyDescent="0.3">
      <c r="A3820" t="s">
        <v>521</v>
      </c>
      <c r="B3820" t="s">
        <v>5043</v>
      </c>
    </row>
    <row r="3821" spans="1:2" x14ac:dyDescent="0.3">
      <c r="A3821" t="s">
        <v>668</v>
      </c>
      <c r="B3821" t="s">
        <v>668</v>
      </c>
    </row>
    <row r="3822" spans="1:2" x14ac:dyDescent="0.3">
      <c r="A3822" t="s">
        <v>668</v>
      </c>
      <c r="B3822" t="s">
        <v>7473</v>
      </c>
    </row>
    <row r="3823" spans="1:2" x14ac:dyDescent="0.3">
      <c r="A3823" t="s">
        <v>1417</v>
      </c>
      <c r="B3823" t="s">
        <v>8268</v>
      </c>
    </row>
    <row r="3824" spans="1:2" x14ac:dyDescent="0.3">
      <c r="A3824" t="s">
        <v>2701</v>
      </c>
      <c r="B3824" t="s">
        <v>1417</v>
      </c>
    </row>
    <row r="3825" spans="1:2" x14ac:dyDescent="0.3">
      <c r="A3825" t="s">
        <v>2701</v>
      </c>
      <c r="B3825" t="s">
        <v>1417</v>
      </c>
    </row>
    <row r="3826" spans="1:2" x14ac:dyDescent="0.3">
      <c r="A3826" t="s">
        <v>668</v>
      </c>
      <c r="B3826" t="s">
        <v>1417</v>
      </c>
    </row>
    <row r="3827" spans="1:2" x14ac:dyDescent="0.3">
      <c r="A3827" t="s">
        <v>1417</v>
      </c>
      <c r="B3827" t="s">
        <v>5138</v>
      </c>
    </row>
    <row r="3828" spans="1:2" x14ac:dyDescent="0.3">
      <c r="A3828" t="s">
        <v>497</v>
      </c>
      <c r="B3828" t="s">
        <v>1417</v>
      </c>
    </row>
    <row r="3829" spans="1:2" x14ac:dyDescent="0.3">
      <c r="A3829" t="s">
        <v>668</v>
      </c>
      <c r="B3829" t="s">
        <v>362</v>
      </c>
    </row>
    <row r="3830" spans="1:2" x14ac:dyDescent="0.3">
      <c r="A3830" t="s">
        <v>668</v>
      </c>
      <c r="B3830" t="s">
        <v>668</v>
      </c>
    </row>
    <row r="3831" spans="1:2" x14ac:dyDescent="0.3">
      <c r="A3831" t="s">
        <v>668</v>
      </c>
      <c r="B3831" t="s">
        <v>1417</v>
      </c>
    </row>
    <row r="3832" spans="1:2" x14ac:dyDescent="0.3">
      <c r="A3832" t="s">
        <v>5524</v>
      </c>
      <c r="B3832" t="s">
        <v>5138</v>
      </c>
    </row>
    <row r="3833" spans="1:2" x14ac:dyDescent="0.3">
      <c r="A3833" t="s">
        <v>8268</v>
      </c>
      <c r="B3833" t="s">
        <v>8266</v>
      </c>
    </row>
    <row r="3834" spans="1:2" x14ac:dyDescent="0.3">
      <c r="A3834" t="s">
        <v>1417</v>
      </c>
      <c r="B3834" t="s">
        <v>1417</v>
      </c>
    </row>
    <row r="3835" spans="1:2" x14ac:dyDescent="0.3">
      <c r="A3835" t="s">
        <v>668</v>
      </c>
      <c r="B3835" t="s">
        <v>362</v>
      </c>
    </row>
    <row r="3836" spans="1:2" x14ac:dyDescent="0.3">
      <c r="A3836" t="s">
        <v>668</v>
      </c>
      <c r="B3836" t="s">
        <v>668</v>
      </c>
    </row>
    <row r="3837" spans="1:2" x14ac:dyDescent="0.3">
      <c r="A3837" t="s">
        <v>1417</v>
      </c>
      <c r="B3837" t="s">
        <v>1417</v>
      </c>
    </row>
    <row r="3838" spans="1:2" x14ac:dyDescent="0.3">
      <c r="A3838" t="s">
        <v>6171</v>
      </c>
      <c r="B3838" t="s">
        <v>8268</v>
      </c>
    </row>
    <row r="3839" spans="1:2" x14ac:dyDescent="0.3">
      <c r="A3839" t="s">
        <v>668</v>
      </c>
      <c r="B3839" t="s">
        <v>2701</v>
      </c>
    </row>
    <row r="3840" spans="1:2" x14ac:dyDescent="0.3">
      <c r="A3840" t="s">
        <v>668</v>
      </c>
      <c r="B3840" t="s">
        <v>4380</v>
      </c>
    </row>
    <row r="3841" spans="1:2" x14ac:dyDescent="0.3">
      <c r="A3841" t="s">
        <v>1417</v>
      </c>
      <c r="B3841" t="s">
        <v>8267</v>
      </c>
    </row>
    <row r="3842" spans="1:2" x14ac:dyDescent="0.3">
      <c r="A3842" t="s">
        <v>8268</v>
      </c>
      <c r="B3842" t="s">
        <v>1417</v>
      </c>
    </row>
    <row r="3843" spans="1:2" x14ac:dyDescent="0.3">
      <c r="A3843" t="s">
        <v>668</v>
      </c>
      <c r="B3843" t="s">
        <v>668</v>
      </c>
    </row>
    <row r="3844" spans="1:2" x14ac:dyDescent="0.3">
      <c r="A3844" t="s">
        <v>362</v>
      </c>
      <c r="B3844" t="s">
        <v>1417</v>
      </c>
    </row>
    <row r="3845" spans="1:2" x14ac:dyDescent="0.3">
      <c r="A3845" t="s">
        <v>668</v>
      </c>
      <c r="B3845" t="s">
        <v>668</v>
      </c>
    </row>
    <row r="3846" spans="1:2" x14ac:dyDescent="0.3">
      <c r="A3846" t="s">
        <v>668</v>
      </c>
      <c r="B3846" t="s">
        <v>7473</v>
      </c>
    </row>
    <row r="3847" spans="1:2" x14ac:dyDescent="0.3">
      <c r="A3847" t="s">
        <v>362</v>
      </c>
      <c r="B3847" t="s">
        <v>4380</v>
      </c>
    </row>
    <row r="3848" spans="1:2" x14ac:dyDescent="0.3">
      <c r="A3848" t="s">
        <v>1417</v>
      </c>
      <c r="B3848" t="s">
        <v>7473</v>
      </c>
    </row>
    <row r="3849" spans="1:2" x14ac:dyDescent="0.3">
      <c r="A3849" t="s">
        <v>8268</v>
      </c>
      <c r="B3849" t="s">
        <v>19</v>
      </c>
    </row>
    <row r="3850" spans="1:2" x14ac:dyDescent="0.3">
      <c r="A3850" t="s">
        <v>8268</v>
      </c>
      <c r="B3850" t="s">
        <v>6902</v>
      </c>
    </row>
    <row r="3851" spans="1:2" x14ac:dyDescent="0.3">
      <c r="A3851" t="s">
        <v>1417</v>
      </c>
      <c r="B3851" t="s">
        <v>1417</v>
      </c>
    </row>
    <row r="3852" spans="1:2" x14ac:dyDescent="0.3">
      <c r="A3852" t="s">
        <v>6902</v>
      </c>
      <c r="B3852" t="s">
        <v>19</v>
      </c>
    </row>
    <row r="3853" spans="1:2" x14ac:dyDescent="0.3">
      <c r="A3853" t="s">
        <v>1417</v>
      </c>
      <c r="B3853" t="s">
        <v>5043</v>
      </c>
    </row>
    <row r="3854" spans="1:2" x14ac:dyDescent="0.3">
      <c r="A3854" t="s">
        <v>1417</v>
      </c>
      <c r="B3854" t="s">
        <v>8268</v>
      </c>
    </row>
    <row r="3855" spans="1:2" x14ac:dyDescent="0.3">
      <c r="A3855" t="s">
        <v>668</v>
      </c>
      <c r="B3855" t="s">
        <v>8268</v>
      </c>
    </row>
    <row r="3856" spans="1:2" x14ac:dyDescent="0.3">
      <c r="A3856" t="s">
        <v>1417</v>
      </c>
      <c r="B3856" t="s">
        <v>1417</v>
      </c>
    </row>
    <row r="3857" spans="1:2" x14ac:dyDescent="0.3">
      <c r="A3857" t="s">
        <v>362</v>
      </c>
      <c r="B3857" t="s">
        <v>7473</v>
      </c>
    </row>
    <row r="3858" spans="1:2" x14ac:dyDescent="0.3">
      <c r="A3858" t="s">
        <v>8268</v>
      </c>
      <c r="B3858" t="s">
        <v>8266</v>
      </c>
    </row>
    <row r="3859" spans="1:2" x14ac:dyDescent="0.3">
      <c r="A3859" t="s">
        <v>668</v>
      </c>
      <c r="B3859" t="s">
        <v>1417</v>
      </c>
    </row>
    <row r="3860" spans="1:2" x14ac:dyDescent="0.3">
      <c r="A3860" t="s">
        <v>668</v>
      </c>
      <c r="B3860" t="s">
        <v>5524</v>
      </c>
    </row>
    <row r="3861" spans="1:2" x14ac:dyDescent="0.3">
      <c r="A3861" t="s">
        <v>8268</v>
      </c>
      <c r="B3861" t="s">
        <v>8269</v>
      </c>
    </row>
    <row r="3862" spans="1:2" x14ac:dyDescent="0.3">
      <c r="A3862" t="s">
        <v>5524</v>
      </c>
      <c r="B3862" t="s">
        <v>7473</v>
      </c>
    </row>
    <row r="3863" spans="1:2" x14ac:dyDescent="0.3">
      <c r="A3863" t="s">
        <v>668</v>
      </c>
      <c r="B3863" t="s">
        <v>1417</v>
      </c>
    </row>
    <row r="3864" spans="1:2" x14ac:dyDescent="0.3">
      <c r="A3864" t="s">
        <v>521</v>
      </c>
      <c r="B3864" t="s">
        <v>8046</v>
      </c>
    </row>
    <row r="3865" spans="1:2" x14ac:dyDescent="0.3">
      <c r="A3865" t="s">
        <v>521</v>
      </c>
      <c r="B3865" t="s">
        <v>6171</v>
      </c>
    </row>
    <row r="3866" spans="1:2" x14ac:dyDescent="0.3">
      <c r="A3866" t="s">
        <v>8268</v>
      </c>
      <c r="B3866" t="s">
        <v>19</v>
      </c>
    </row>
    <row r="3867" spans="1:2" x14ac:dyDescent="0.3">
      <c r="A3867" t="s">
        <v>1417</v>
      </c>
      <c r="B3867" t="s">
        <v>1417</v>
      </c>
    </row>
    <row r="3868" spans="1:2" x14ac:dyDescent="0.3">
      <c r="A3868" t="s">
        <v>1417</v>
      </c>
      <c r="B3868" t="s">
        <v>1417</v>
      </c>
    </row>
    <row r="3869" spans="1:2" x14ac:dyDescent="0.3">
      <c r="A3869" t="s">
        <v>1417</v>
      </c>
      <c r="B3869" t="s">
        <v>1417</v>
      </c>
    </row>
    <row r="3870" spans="1:2" x14ac:dyDescent="0.3">
      <c r="A3870" t="s">
        <v>668</v>
      </c>
      <c r="B3870" t="s">
        <v>1417</v>
      </c>
    </row>
    <row r="3871" spans="1:2" x14ac:dyDescent="0.3">
      <c r="A3871" t="s">
        <v>668</v>
      </c>
      <c r="B3871" t="s">
        <v>497</v>
      </c>
    </row>
    <row r="3872" spans="1:2" x14ac:dyDescent="0.3">
      <c r="A3872" t="s">
        <v>521</v>
      </c>
      <c r="B3872" t="s">
        <v>362</v>
      </c>
    </row>
    <row r="3873" spans="1:2" x14ac:dyDescent="0.3">
      <c r="A3873" t="s">
        <v>1417</v>
      </c>
      <c r="B3873" t="s">
        <v>668</v>
      </c>
    </row>
    <row r="3874" spans="1:2" x14ac:dyDescent="0.3">
      <c r="A3874" t="s">
        <v>521</v>
      </c>
      <c r="B3874" t="s">
        <v>668</v>
      </c>
    </row>
    <row r="3875" spans="1:2" x14ac:dyDescent="0.3">
      <c r="A3875" t="s">
        <v>521</v>
      </c>
      <c r="B3875" t="s">
        <v>1417</v>
      </c>
    </row>
    <row r="3876" spans="1:2" x14ac:dyDescent="0.3">
      <c r="A3876" t="s">
        <v>8268</v>
      </c>
      <c r="B3876" t="s">
        <v>1417</v>
      </c>
    </row>
    <row r="3877" spans="1:2" x14ac:dyDescent="0.3">
      <c r="A3877" t="s">
        <v>521</v>
      </c>
      <c r="B3877" t="s">
        <v>1417</v>
      </c>
    </row>
    <row r="3878" spans="1:2" x14ac:dyDescent="0.3">
      <c r="A3878" t="s">
        <v>1417</v>
      </c>
      <c r="B3878" t="s">
        <v>668</v>
      </c>
    </row>
    <row r="3879" spans="1:2" x14ac:dyDescent="0.3">
      <c r="A3879" t="s">
        <v>668</v>
      </c>
      <c r="B3879" t="s">
        <v>1417</v>
      </c>
    </row>
    <row r="3880" spans="1:2" x14ac:dyDescent="0.3">
      <c r="A3880" t="s">
        <v>8266</v>
      </c>
      <c r="B3880" t="s">
        <v>7104</v>
      </c>
    </row>
    <row r="3881" spans="1:2" x14ac:dyDescent="0.3">
      <c r="A3881" t="s">
        <v>362</v>
      </c>
      <c r="B3881" t="s">
        <v>1417</v>
      </c>
    </row>
    <row r="3882" spans="1:2" x14ac:dyDescent="0.3">
      <c r="A3882" t="s">
        <v>668</v>
      </c>
      <c r="B3882" t="s">
        <v>7473</v>
      </c>
    </row>
    <row r="3883" spans="1:2" x14ac:dyDescent="0.3">
      <c r="A3883" t="s">
        <v>8268</v>
      </c>
      <c r="B3883" t="s">
        <v>7473</v>
      </c>
    </row>
    <row r="3884" spans="1:2" x14ac:dyDescent="0.3">
      <c r="A3884" t="s">
        <v>668</v>
      </c>
      <c r="B3884" t="s">
        <v>8268</v>
      </c>
    </row>
    <row r="3885" spans="1:2" x14ac:dyDescent="0.3">
      <c r="A3885" t="s">
        <v>497</v>
      </c>
      <c r="B3885" t="s">
        <v>2701</v>
      </c>
    </row>
    <row r="3886" spans="1:2" x14ac:dyDescent="0.3">
      <c r="A3886" t="s">
        <v>8268</v>
      </c>
      <c r="B3886" t="s">
        <v>4380</v>
      </c>
    </row>
    <row r="3887" spans="1:2" x14ac:dyDescent="0.3">
      <c r="A3887" t="s">
        <v>668</v>
      </c>
      <c r="B3887" t="s">
        <v>668</v>
      </c>
    </row>
    <row r="3888" spans="1:2" x14ac:dyDescent="0.3">
      <c r="A3888" t="s">
        <v>2701</v>
      </c>
      <c r="B3888" t="s">
        <v>8268</v>
      </c>
    </row>
    <row r="3889" spans="1:2" x14ac:dyDescent="0.3">
      <c r="A3889" t="s">
        <v>1417</v>
      </c>
      <c r="B3889" t="s">
        <v>1417</v>
      </c>
    </row>
    <row r="3890" spans="1:2" x14ac:dyDescent="0.3">
      <c r="A3890" t="s">
        <v>1417</v>
      </c>
      <c r="B3890" t="s">
        <v>2701</v>
      </c>
    </row>
    <row r="3891" spans="1:2" x14ac:dyDescent="0.3">
      <c r="A3891" t="s">
        <v>668</v>
      </c>
      <c r="B3891" t="s">
        <v>1417</v>
      </c>
    </row>
    <row r="3892" spans="1:2" x14ac:dyDescent="0.3">
      <c r="A3892" t="s">
        <v>1417</v>
      </c>
      <c r="B3892" t="s">
        <v>8268</v>
      </c>
    </row>
    <row r="3893" spans="1:2" x14ac:dyDescent="0.3">
      <c r="A3893" t="s">
        <v>521</v>
      </c>
      <c r="B3893" t="s">
        <v>1417</v>
      </c>
    </row>
    <row r="3894" spans="1:2" x14ac:dyDescent="0.3">
      <c r="A3894" t="s">
        <v>1417</v>
      </c>
      <c r="B3894" t="s">
        <v>1417</v>
      </c>
    </row>
    <row r="3895" spans="1:2" x14ac:dyDescent="0.3">
      <c r="A3895" t="s">
        <v>1417</v>
      </c>
      <c r="B3895" t="s">
        <v>4380</v>
      </c>
    </row>
    <row r="3896" spans="1:2" x14ac:dyDescent="0.3">
      <c r="A3896" t="s">
        <v>1417</v>
      </c>
      <c r="B3896" t="s">
        <v>1417</v>
      </c>
    </row>
    <row r="3897" spans="1:2" x14ac:dyDescent="0.3">
      <c r="A3897" t="s">
        <v>668</v>
      </c>
      <c r="B3897" t="s">
        <v>8268</v>
      </c>
    </row>
    <row r="3898" spans="1:2" x14ac:dyDescent="0.3">
      <c r="A3898" t="s">
        <v>668</v>
      </c>
      <c r="B3898" t="s">
        <v>497</v>
      </c>
    </row>
    <row r="3899" spans="1:2" x14ac:dyDescent="0.3">
      <c r="A3899" t="s">
        <v>668</v>
      </c>
      <c r="B3899" t="s">
        <v>1417</v>
      </c>
    </row>
    <row r="3900" spans="1:2" x14ac:dyDescent="0.3">
      <c r="A3900" t="s">
        <v>8266</v>
      </c>
      <c r="B3900" t="s">
        <v>8266</v>
      </c>
    </row>
    <row r="3901" spans="1:2" x14ac:dyDescent="0.3">
      <c r="A3901" t="s">
        <v>1417</v>
      </c>
      <c r="B3901" t="s">
        <v>1417</v>
      </c>
    </row>
    <row r="3902" spans="1:2" x14ac:dyDescent="0.3">
      <c r="A3902" t="s">
        <v>1417</v>
      </c>
      <c r="B3902" t="s">
        <v>6902</v>
      </c>
    </row>
    <row r="3903" spans="1:2" x14ac:dyDescent="0.3">
      <c r="A3903" t="s">
        <v>668</v>
      </c>
      <c r="B3903" t="s">
        <v>362</v>
      </c>
    </row>
    <row r="3904" spans="1:2" x14ac:dyDescent="0.3">
      <c r="A3904" t="s">
        <v>2701</v>
      </c>
      <c r="B3904" t="s">
        <v>2701</v>
      </c>
    </row>
    <row r="3905" spans="1:2" x14ac:dyDescent="0.3">
      <c r="A3905" t="s">
        <v>362</v>
      </c>
      <c r="B3905" t="s">
        <v>2701</v>
      </c>
    </row>
    <row r="3906" spans="1:2" x14ac:dyDescent="0.3">
      <c r="A3906" t="s">
        <v>668</v>
      </c>
      <c r="B3906" t="s">
        <v>1417</v>
      </c>
    </row>
    <row r="3907" spans="1:2" x14ac:dyDescent="0.3">
      <c r="A3907" t="s">
        <v>1417</v>
      </c>
      <c r="B3907" t="s">
        <v>497</v>
      </c>
    </row>
    <row r="3908" spans="1:2" x14ac:dyDescent="0.3">
      <c r="A3908" t="s">
        <v>1417</v>
      </c>
      <c r="B3908" t="s">
        <v>4380</v>
      </c>
    </row>
    <row r="3909" spans="1:2" x14ac:dyDescent="0.3">
      <c r="A3909" t="s">
        <v>668</v>
      </c>
      <c r="B3909" t="s">
        <v>8266</v>
      </c>
    </row>
    <row r="3910" spans="1:2" x14ac:dyDescent="0.3">
      <c r="A3910" t="s">
        <v>521</v>
      </c>
      <c r="B3910" t="s">
        <v>1417</v>
      </c>
    </row>
    <row r="3911" spans="1:2" x14ac:dyDescent="0.3">
      <c r="A3911" t="s">
        <v>668</v>
      </c>
      <c r="B3911" t="s">
        <v>1417</v>
      </c>
    </row>
    <row r="3912" spans="1:2" x14ac:dyDescent="0.3">
      <c r="A3912" t="s">
        <v>668</v>
      </c>
      <c r="B3912" t="s">
        <v>497</v>
      </c>
    </row>
    <row r="3913" spans="1:2" x14ac:dyDescent="0.3">
      <c r="A3913" t="s">
        <v>8268</v>
      </c>
      <c r="B3913" t="s">
        <v>6902</v>
      </c>
    </row>
    <row r="3914" spans="1:2" x14ac:dyDescent="0.3">
      <c r="A3914" t="s">
        <v>1417</v>
      </c>
      <c r="B3914" t="s">
        <v>8268</v>
      </c>
    </row>
    <row r="3915" spans="1:2" x14ac:dyDescent="0.3">
      <c r="A3915" t="s">
        <v>8268</v>
      </c>
      <c r="B3915" t="s">
        <v>2701</v>
      </c>
    </row>
    <row r="3916" spans="1:2" x14ac:dyDescent="0.3">
      <c r="A3916" t="s">
        <v>668</v>
      </c>
      <c r="B3916" t="s">
        <v>1417</v>
      </c>
    </row>
    <row r="3917" spans="1:2" x14ac:dyDescent="0.3">
      <c r="A3917" t="s">
        <v>2701</v>
      </c>
      <c r="B3917" t="s">
        <v>7473</v>
      </c>
    </row>
    <row r="3918" spans="1:2" x14ac:dyDescent="0.3">
      <c r="A3918" t="s">
        <v>1417</v>
      </c>
      <c r="B3918" t="s">
        <v>497</v>
      </c>
    </row>
    <row r="3919" spans="1:2" x14ac:dyDescent="0.3">
      <c r="A3919" t="s">
        <v>668</v>
      </c>
      <c r="B3919" t="s">
        <v>5138</v>
      </c>
    </row>
    <row r="3920" spans="1:2" x14ac:dyDescent="0.3">
      <c r="A3920" t="s">
        <v>668</v>
      </c>
      <c r="B3920" t="s">
        <v>5043</v>
      </c>
    </row>
    <row r="3921" spans="1:2" x14ac:dyDescent="0.3">
      <c r="A3921" t="s">
        <v>1417</v>
      </c>
      <c r="B3921" t="s">
        <v>7473</v>
      </c>
    </row>
    <row r="3922" spans="1:2" x14ac:dyDescent="0.3">
      <c r="A3922" t="s">
        <v>668</v>
      </c>
      <c r="B3922" t="s">
        <v>19</v>
      </c>
    </row>
    <row r="3923" spans="1:2" x14ac:dyDescent="0.3">
      <c r="A3923" t="s">
        <v>668</v>
      </c>
      <c r="B3923" t="s">
        <v>2701</v>
      </c>
    </row>
    <row r="3924" spans="1:2" x14ac:dyDescent="0.3">
      <c r="A3924" t="s">
        <v>668</v>
      </c>
      <c r="B3924" t="s">
        <v>1417</v>
      </c>
    </row>
    <row r="3925" spans="1:2" x14ac:dyDescent="0.3">
      <c r="A3925" t="s">
        <v>19</v>
      </c>
      <c r="B3925" t="s">
        <v>1417</v>
      </c>
    </row>
    <row r="3926" spans="1:2" x14ac:dyDescent="0.3">
      <c r="A3926" t="s">
        <v>1417</v>
      </c>
      <c r="B3926" t="s">
        <v>4380</v>
      </c>
    </row>
    <row r="3927" spans="1:2" x14ac:dyDescent="0.3">
      <c r="A3927" t="s">
        <v>668</v>
      </c>
      <c r="B3927" t="s">
        <v>2701</v>
      </c>
    </row>
    <row r="3928" spans="1:2" x14ac:dyDescent="0.3">
      <c r="A3928" t="s">
        <v>668</v>
      </c>
      <c r="B3928" t="s">
        <v>5138</v>
      </c>
    </row>
    <row r="3929" spans="1:2" x14ac:dyDescent="0.3">
      <c r="A3929" t="s">
        <v>668</v>
      </c>
      <c r="B3929" t="s">
        <v>1417</v>
      </c>
    </row>
    <row r="3930" spans="1:2" x14ac:dyDescent="0.3">
      <c r="A3930" t="s">
        <v>668</v>
      </c>
      <c r="B3930" t="s">
        <v>1417</v>
      </c>
    </row>
    <row r="3931" spans="1:2" x14ac:dyDescent="0.3">
      <c r="A3931" t="s">
        <v>521</v>
      </c>
      <c r="B3931" t="s">
        <v>2701</v>
      </c>
    </row>
    <row r="3932" spans="1:2" x14ac:dyDescent="0.3">
      <c r="A3932" t="s">
        <v>362</v>
      </c>
      <c r="B3932" t="s">
        <v>7104</v>
      </c>
    </row>
    <row r="3933" spans="1:2" x14ac:dyDescent="0.3">
      <c r="A3933" t="s">
        <v>19</v>
      </c>
      <c r="B3933" t="s">
        <v>1417</v>
      </c>
    </row>
    <row r="3934" spans="1:2" x14ac:dyDescent="0.3">
      <c r="A3934" t="s">
        <v>362</v>
      </c>
      <c r="B3934" t="s">
        <v>5138</v>
      </c>
    </row>
    <row r="3935" spans="1:2" x14ac:dyDescent="0.3">
      <c r="A3935" t="s">
        <v>1417</v>
      </c>
      <c r="B3935" t="s">
        <v>1417</v>
      </c>
    </row>
    <row r="3936" spans="1:2" x14ac:dyDescent="0.3">
      <c r="A3936" t="s">
        <v>1417</v>
      </c>
      <c r="B3936" t="s">
        <v>4380</v>
      </c>
    </row>
    <row r="3937" spans="1:2" x14ac:dyDescent="0.3">
      <c r="A3937" t="s">
        <v>1417</v>
      </c>
      <c r="B3937" t="s">
        <v>8268</v>
      </c>
    </row>
    <row r="3938" spans="1:2" x14ac:dyDescent="0.3">
      <c r="A3938" t="s">
        <v>1417</v>
      </c>
      <c r="B3938" t="s">
        <v>7473</v>
      </c>
    </row>
    <row r="3939" spans="1:2" x14ac:dyDescent="0.3">
      <c r="A3939" t="s">
        <v>1417</v>
      </c>
      <c r="B3939" t="s">
        <v>7473</v>
      </c>
    </row>
    <row r="3940" spans="1:2" x14ac:dyDescent="0.3">
      <c r="A3940" t="s">
        <v>1417</v>
      </c>
      <c r="B3940" t="s">
        <v>7473</v>
      </c>
    </row>
    <row r="3941" spans="1:2" x14ac:dyDescent="0.3">
      <c r="A3941" t="s">
        <v>668</v>
      </c>
      <c r="B3941" t="s">
        <v>1417</v>
      </c>
    </row>
    <row r="3942" spans="1:2" x14ac:dyDescent="0.3">
      <c r="A3942" t="s">
        <v>8268</v>
      </c>
      <c r="B3942" t="s">
        <v>7473</v>
      </c>
    </row>
    <row r="3943" spans="1:2" x14ac:dyDescent="0.3">
      <c r="A3943" t="s">
        <v>668</v>
      </c>
      <c r="B3943" t="s">
        <v>5043</v>
      </c>
    </row>
    <row r="3944" spans="1:2" x14ac:dyDescent="0.3">
      <c r="A3944" t="s">
        <v>668</v>
      </c>
      <c r="B3944" t="s">
        <v>1417</v>
      </c>
    </row>
    <row r="3945" spans="1:2" x14ac:dyDescent="0.3">
      <c r="A3945" t="s">
        <v>1417</v>
      </c>
      <c r="B3945" t="s">
        <v>1417</v>
      </c>
    </row>
    <row r="3946" spans="1:2" x14ac:dyDescent="0.3">
      <c r="A3946" t="s">
        <v>8268</v>
      </c>
      <c r="B3946" t="s">
        <v>1417</v>
      </c>
    </row>
    <row r="3947" spans="1:2" x14ac:dyDescent="0.3">
      <c r="A3947" t="s">
        <v>668</v>
      </c>
      <c r="B3947" t="s">
        <v>4380</v>
      </c>
    </row>
    <row r="3948" spans="1:2" x14ac:dyDescent="0.3">
      <c r="A3948" t="s">
        <v>668</v>
      </c>
      <c r="B3948" t="s">
        <v>1417</v>
      </c>
    </row>
    <row r="3949" spans="1:2" x14ac:dyDescent="0.3">
      <c r="A3949" t="s">
        <v>1417</v>
      </c>
      <c r="B3949" t="s">
        <v>8266</v>
      </c>
    </row>
    <row r="3950" spans="1:2" x14ac:dyDescent="0.3">
      <c r="A3950" t="s">
        <v>668</v>
      </c>
      <c r="B3950" t="s">
        <v>1417</v>
      </c>
    </row>
    <row r="3951" spans="1:2" x14ac:dyDescent="0.3">
      <c r="A3951" t="s">
        <v>668</v>
      </c>
      <c r="B3951" t="s">
        <v>8266</v>
      </c>
    </row>
    <row r="3952" spans="1:2" x14ac:dyDescent="0.3">
      <c r="A3952" t="s">
        <v>1417</v>
      </c>
      <c r="B3952" t="s">
        <v>2701</v>
      </c>
    </row>
    <row r="3953" spans="1:2" x14ac:dyDescent="0.3">
      <c r="A3953" t="s">
        <v>668</v>
      </c>
      <c r="B3953" t="s">
        <v>1417</v>
      </c>
    </row>
    <row r="3954" spans="1:2" x14ac:dyDescent="0.3">
      <c r="A3954" t="s">
        <v>5524</v>
      </c>
      <c r="B3954" t="s">
        <v>5524</v>
      </c>
    </row>
    <row r="3955" spans="1:2" x14ac:dyDescent="0.3">
      <c r="A3955" t="s">
        <v>1417</v>
      </c>
      <c r="B3955" t="s">
        <v>1417</v>
      </c>
    </row>
    <row r="3956" spans="1:2" x14ac:dyDescent="0.3">
      <c r="A3956" t="s">
        <v>668</v>
      </c>
      <c r="B3956" t="s">
        <v>1417</v>
      </c>
    </row>
    <row r="3957" spans="1:2" x14ac:dyDescent="0.3">
      <c r="A3957" t="s">
        <v>521</v>
      </c>
      <c r="B3957" t="s">
        <v>1417</v>
      </c>
    </row>
    <row r="3958" spans="1:2" x14ac:dyDescent="0.3">
      <c r="A3958" t="s">
        <v>668</v>
      </c>
      <c r="B3958" t="s">
        <v>1417</v>
      </c>
    </row>
    <row r="3959" spans="1:2" x14ac:dyDescent="0.3">
      <c r="A3959" t="s">
        <v>362</v>
      </c>
      <c r="B3959" t="s">
        <v>8266</v>
      </c>
    </row>
    <row r="3960" spans="1:2" x14ac:dyDescent="0.3">
      <c r="A3960" t="s">
        <v>1417</v>
      </c>
      <c r="B3960" t="s">
        <v>8266</v>
      </c>
    </row>
    <row r="3961" spans="1:2" x14ac:dyDescent="0.3">
      <c r="A3961" t="s">
        <v>1417</v>
      </c>
      <c r="B3961" t="s">
        <v>8268</v>
      </c>
    </row>
    <row r="3962" spans="1:2" x14ac:dyDescent="0.3">
      <c r="A3962" t="s">
        <v>1417</v>
      </c>
      <c r="B3962" t="s">
        <v>2701</v>
      </c>
    </row>
    <row r="3963" spans="1:2" x14ac:dyDescent="0.3">
      <c r="A3963" t="s">
        <v>668</v>
      </c>
      <c r="B3963" t="s">
        <v>8268</v>
      </c>
    </row>
    <row r="3964" spans="1:2" x14ac:dyDescent="0.3">
      <c r="A3964" t="s">
        <v>2701</v>
      </c>
      <c r="B3964" t="s">
        <v>1417</v>
      </c>
    </row>
    <row r="3965" spans="1:2" x14ac:dyDescent="0.3">
      <c r="A3965" t="s">
        <v>2701</v>
      </c>
      <c r="B3965" t="s">
        <v>8269</v>
      </c>
    </row>
    <row r="3966" spans="1:2" x14ac:dyDescent="0.3">
      <c r="A3966" t="s">
        <v>2701</v>
      </c>
      <c r="B3966" t="s">
        <v>7473</v>
      </c>
    </row>
    <row r="3967" spans="1:2" x14ac:dyDescent="0.3">
      <c r="A3967" t="s">
        <v>668</v>
      </c>
      <c r="B3967" t="s">
        <v>1417</v>
      </c>
    </row>
    <row r="3968" spans="1:2" x14ac:dyDescent="0.3">
      <c r="A3968" t="s">
        <v>362</v>
      </c>
      <c r="B3968" t="s">
        <v>7473</v>
      </c>
    </row>
    <row r="3969" spans="1:2" x14ac:dyDescent="0.3">
      <c r="A3969" t="s">
        <v>362</v>
      </c>
      <c r="B3969" t="s">
        <v>2701</v>
      </c>
    </row>
    <row r="3970" spans="1:2" x14ac:dyDescent="0.3">
      <c r="A3970" t="s">
        <v>5524</v>
      </c>
      <c r="B3970" t="s">
        <v>8266</v>
      </c>
    </row>
    <row r="3971" spans="1:2" x14ac:dyDescent="0.3">
      <c r="A3971" t="s">
        <v>1417</v>
      </c>
      <c r="B3971" t="s">
        <v>7473</v>
      </c>
    </row>
    <row r="3972" spans="1:2" x14ac:dyDescent="0.3">
      <c r="A3972" t="s">
        <v>1417</v>
      </c>
      <c r="B3972" t="s">
        <v>7104</v>
      </c>
    </row>
    <row r="3973" spans="1:2" x14ac:dyDescent="0.3">
      <c r="A3973" t="s">
        <v>5524</v>
      </c>
      <c r="B3973" t="s">
        <v>2701</v>
      </c>
    </row>
    <row r="3974" spans="1:2" x14ac:dyDescent="0.3">
      <c r="A3974" t="s">
        <v>362</v>
      </c>
      <c r="B3974" t="s">
        <v>1417</v>
      </c>
    </row>
    <row r="3975" spans="1:2" x14ac:dyDescent="0.3">
      <c r="A3975" t="s">
        <v>1417</v>
      </c>
      <c r="B3975" t="s">
        <v>497</v>
      </c>
    </row>
    <row r="3976" spans="1:2" x14ac:dyDescent="0.3">
      <c r="A3976" t="s">
        <v>5524</v>
      </c>
      <c r="B3976" t="s">
        <v>1417</v>
      </c>
    </row>
    <row r="3977" spans="1:2" x14ac:dyDescent="0.3">
      <c r="A3977" t="s">
        <v>668</v>
      </c>
      <c r="B3977" t="s">
        <v>5043</v>
      </c>
    </row>
    <row r="3978" spans="1:2" x14ac:dyDescent="0.3">
      <c r="A3978" t="s">
        <v>1417</v>
      </c>
      <c r="B3978" t="s">
        <v>8269</v>
      </c>
    </row>
    <row r="3979" spans="1:2" x14ac:dyDescent="0.3">
      <c r="A3979" t="s">
        <v>668</v>
      </c>
      <c r="B3979" t="s">
        <v>2701</v>
      </c>
    </row>
    <row r="3980" spans="1:2" x14ac:dyDescent="0.3">
      <c r="A3980" t="s">
        <v>362</v>
      </c>
      <c r="B3980" t="s">
        <v>1417</v>
      </c>
    </row>
    <row r="3981" spans="1:2" x14ac:dyDescent="0.3">
      <c r="A3981" t="s">
        <v>1417</v>
      </c>
      <c r="B3981" t="s">
        <v>497</v>
      </c>
    </row>
    <row r="3982" spans="1:2" x14ac:dyDescent="0.3">
      <c r="A3982" t="s">
        <v>668</v>
      </c>
      <c r="B3982" t="s">
        <v>2701</v>
      </c>
    </row>
    <row r="3983" spans="1:2" x14ac:dyDescent="0.3">
      <c r="A3983" t="s">
        <v>521</v>
      </c>
      <c r="B3983" t="s">
        <v>497</v>
      </c>
    </row>
    <row r="3984" spans="1:2" x14ac:dyDescent="0.3">
      <c r="A3984" t="s">
        <v>668</v>
      </c>
      <c r="B3984" t="s">
        <v>1417</v>
      </c>
    </row>
    <row r="3985" spans="1:2" x14ac:dyDescent="0.3">
      <c r="A3985" t="s">
        <v>1417</v>
      </c>
      <c r="B3985" t="s">
        <v>1417</v>
      </c>
    </row>
    <row r="3986" spans="1:2" x14ac:dyDescent="0.3">
      <c r="A3986" t="s">
        <v>668</v>
      </c>
      <c r="B3986" t="s">
        <v>1417</v>
      </c>
    </row>
    <row r="3987" spans="1:2" x14ac:dyDescent="0.3">
      <c r="A3987" t="s">
        <v>668</v>
      </c>
      <c r="B3987" t="s">
        <v>8268</v>
      </c>
    </row>
    <row r="3988" spans="1:2" x14ac:dyDescent="0.3">
      <c r="A3988" t="s">
        <v>521</v>
      </c>
      <c r="B3988" t="s">
        <v>8268</v>
      </c>
    </row>
    <row r="3989" spans="1:2" x14ac:dyDescent="0.3">
      <c r="A3989" t="s">
        <v>668</v>
      </c>
      <c r="B3989" t="s">
        <v>2701</v>
      </c>
    </row>
    <row r="3990" spans="1:2" x14ac:dyDescent="0.3">
      <c r="A3990" t="s">
        <v>8268</v>
      </c>
      <c r="B3990" t="s">
        <v>2701</v>
      </c>
    </row>
    <row r="3991" spans="1:2" x14ac:dyDescent="0.3">
      <c r="A3991" t="s">
        <v>1417</v>
      </c>
      <c r="B3991" t="s">
        <v>7104</v>
      </c>
    </row>
    <row r="3992" spans="1:2" x14ac:dyDescent="0.3">
      <c r="A3992" t="s">
        <v>668</v>
      </c>
      <c r="B3992" t="s">
        <v>668</v>
      </c>
    </row>
    <row r="3993" spans="1:2" x14ac:dyDescent="0.3">
      <c r="A3993" t="s">
        <v>668</v>
      </c>
      <c r="B3993" t="s">
        <v>4380</v>
      </c>
    </row>
    <row r="3994" spans="1:2" x14ac:dyDescent="0.3">
      <c r="A3994" t="s">
        <v>5524</v>
      </c>
      <c r="B3994" t="s">
        <v>7473</v>
      </c>
    </row>
    <row r="3995" spans="1:2" x14ac:dyDescent="0.3">
      <c r="A3995" t="s">
        <v>1417</v>
      </c>
      <c r="B3995" t="s">
        <v>4380</v>
      </c>
    </row>
    <row r="3996" spans="1:2" x14ac:dyDescent="0.3">
      <c r="A3996" t="s">
        <v>521</v>
      </c>
      <c r="B3996" t="s">
        <v>668</v>
      </c>
    </row>
    <row r="3997" spans="1:2" x14ac:dyDescent="0.3">
      <c r="A3997" t="s">
        <v>4380</v>
      </c>
      <c r="B3997" t="s">
        <v>8268</v>
      </c>
    </row>
    <row r="3998" spans="1:2" x14ac:dyDescent="0.3">
      <c r="A3998" t="s">
        <v>2701</v>
      </c>
      <c r="B3998" t="s">
        <v>8268</v>
      </c>
    </row>
    <row r="3999" spans="1:2" x14ac:dyDescent="0.3">
      <c r="A3999" t="s">
        <v>668</v>
      </c>
      <c r="B3999" t="s">
        <v>1417</v>
      </c>
    </row>
    <row r="4000" spans="1:2" x14ac:dyDescent="0.3">
      <c r="A4000" t="s">
        <v>668</v>
      </c>
      <c r="B4000" t="s">
        <v>2701</v>
      </c>
    </row>
    <row r="4001" spans="1:2" x14ac:dyDescent="0.3">
      <c r="A4001" t="s">
        <v>5524</v>
      </c>
      <c r="B4001" t="s">
        <v>8268</v>
      </c>
    </row>
    <row r="4002" spans="1:2" x14ac:dyDescent="0.3">
      <c r="A4002" t="s">
        <v>1417</v>
      </c>
      <c r="B4002" t="s">
        <v>5138</v>
      </c>
    </row>
    <row r="4003" spans="1:2" x14ac:dyDescent="0.3">
      <c r="A4003" t="s">
        <v>2701</v>
      </c>
      <c r="B4003" t="s">
        <v>5524</v>
      </c>
    </row>
    <row r="4004" spans="1:2" x14ac:dyDescent="0.3">
      <c r="A4004" t="s">
        <v>2701</v>
      </c>
      <c r="B4004" t="s">
        <v>5138</v>
      </c>
    </row>
    <row r="4005" spans="1:2" x14ac:dyDescent="0.3">
      <c r="A4005" t="s">
        <v>668</v>
      </c>
      <c r="B4005" t="s">
        <v>6902</v>
      </c>
    </row>
    <row r="4006" spans="1:2" x14ac:dyDescent="0.3">
      <c r="A4006" t="s">
        <v>521</v>
      </c>
      <c r="B4006" t="s">
        <v>7473</v>
      </c>
    </row>
    <row r="4007" spans="1:2" x14ac:dyDescent="0.3">
      <c r="A4007" t="s">
        <v>2701</v>
      </c>
      <c r="B4007" t="s">
        <v>8271</v>
      </c>
    </row>
    <row r="4008" spans="1:2" x14ac:dyDescent="0.3">
      <c r="A4008" t="s">
        <v>1417</v>
      </c>
      <c r="B4008" t="s">
        <v>8266</v>
      </c>
    </row>
    <row r="4009" spans="1:2" x14ac:dyDescent="0.3">
      <c r="A4009" t="s">
        <v>668</v>
      </c>
      <c r="B4009" t="s">
        <v>8271</v>
      </c>
    </row>
    <row r="4010" spans="1:2" x14ac:dyDescent="0.3">
      <c r="A4010" t="s">
        <v>668</v>
      </c>
      <c r="B4010" t="s">
        <v>5138</v>
      </c>
    </row>
    <row r="4011" spans="1:2" x14ac:dyDescent="0.3">
      <c r="A4011" t="s">
        <v>521</v>
      </c>
      <c r="B4011" t="s">
        <v>5043</v>
      </c>
    </row>
    <row r="4012" spans="1:2" x14ac:dyDescent="0.3">
      <c r="A4012" t="s">
        <v>668</v>
      </c>
      <c r="B4012" t="s">
        <v>8271</v>
      </c>
    </row>
    <row r="4013" spans="1:2" x14ac:dyDescent="0.3">
      <c r="A4013" t="s">
        <v>521</v>
      </c>
      <c r="B4013" t="s">
        <v>7104</v>
      </c>
    </row>
    <row r="4014" spans="1:2" x14ac:dyDescent="0.3">
      <c r="A4014" t="s">
        <v>521</v>
      </c>
      <c r="B4014" t="s">
        <v>7473</v>
      </c>
    </row>
    <row r="4015" spans="1:2" x14ac:dyDescent="0.3">
      <c r="A4015" t="s">
        <v>8268</v>
      </c>
      <c r="B4015" t="s">
        <v>8266</v>
      </c>
    </row>
    <row r="4016" spans="1:2" x14ac:dyDescent="0.3">
      <c r="A4016" t="s">
        <v>521</v>
      </c>
      <c r="B4016" t="s">
        <v>8268</v>
      </c>
    </row>
    <row r="4017" spans="1:2" x14ac:dyDescent="0.3">
      <c r="A4017" t="s">
        <v>1417</v>
      </c>
      <c r="B4017" t="s">
        <v>7473</v>
      </c>
    </row>
    <row r="4018" spans="1:2" x14ac:dyDescent="0.3">
      <c r="A4018" t="s">
        <v>2701</v>
      </c>
      <c r="B4018" t="s">
        <v>1417</v>
      </c>
    </row>
    <row r="4019" spans="1:2" x14ac:dyDescent="0.3">
      <c r="A4019" t="s">
        <v>521</v>
      </c>
      <c r="B4019" t="s">
        <v>5138</v>
      </c>
    </row>
    <row r="4020" spans="1:2" x14ac:dyDescent="0.3">
      <c r="A4020" t="s">
        <v>19</v>
      </c>
      <c r="B4020" t="s">
        <v>1417</v>
      </c>
    </row>
    <row r="4021" spans="1:2" x14ac:dyDescent="0.3">
      <c r="A4021" t="s">
        <v>521</v>
      </c>
      <c r="B4021" t="s">
        <v>8266</v>
      </c>
    </row>
    <row r="4022" spans="1:2" x14ac:dyDescent="0.3">
      <c r="A4022" t="s">
        <v>521</v>
      </c>
      <c r="B4022" t="s">
        <v>1417</v>
      </c>
    </row>
    <row r="4023" spans="1:2" x14ac:dyDescent="0.3">
      <c r="A4023" t="s">
        <v>1417</v>
      </c>
      <c r="B4023" t="s">
        <v>1417</v>
      </c>
    </row>
    <row r="4024" spans="1:2" x14ac:dyDescent="0.3">
      <c r="A4024" t="s">
        <v>8268</v>
      </c>
      <c r="B4024" t="s">
        <v>8267</v>
      </c>
    </row>
    <row r="4025" spans="1:2" x14ac:dyDescent="0.3">
      <c r="A4025" t="s">
        <v>668</v>
      </c>
      <c r="B4025" t="s">
        <v>1417</v>
      </c>
    </row>
    <row r="4026" spans="1:2" x14ac:dyDescent="0.3">
      <c r="A4026" t="s">
        <v>19</v>
      </c>
      <c r="B4026" t="s">
        <v>7104</v>
      </c>
    </row>
    <row r="4027" spans="1:2" x14ac:dyDescent="0.3">
      <c r="A4027" t="s">
        <v>5524</v>
      </c>
      <c r="B4027" t="s">
        <v>1417</v>
      </c>
    </row>
    <row r="4028" spans="1:2" x14ac:dyDescent="0.3">
      <c r="A4028" t="s">
        <v>1417</v>
      </c>
      <c r="B4028" t="s">
        <v>1417</v>
      </c>
    </row>
    <row r="4029" spans="1:2" x14ac:dyDescent="0.3">
      <c r="A4029" t="s">
        <v>668</v>
      </c>
      <c r="B4029" t="s">
        <v>5043</v>
      </c>
    </row>
    <row r="4030" spans="1:2" x14ac:dyDescent="0.3">
      <c r="A4030" t="s">
        <v>1417</v>
      </c>
      <c r="B4030" t="s">
        <v>19</v>
      </c>
    </row>
    <row r="4031" spans="1:2" x14ac:dyDescent="0.3">
      <c r="A4031" t="s">
        <v>8268</v>
      </c>
      <c r="B4031" t="s">
        <v>1417</v>
      </c>
    </row>
    <row r="4032" spans="1:2" x14ac:dyDescent="0.3">
      <c r="A4032" t="s">
        <v>668</v>
      </c>
      <c r="B4032" t="s">
        <v>668</v>
      </c>
    </row>
    <row r="4033" spans="1:2" x14ac:dyDescent="0.3">
      <c r="A4033" t="s">
        <v>5524</v>
      </c>
      <c r="B4033" t="s">
        <v>362</v>
      </c>
    </row>
    <row r="4034" spans="1:2" x14ac:dyDescent="0.3">
      <c r="A4034" t="s">
        <v>8268</v>
      </c>
      <c r="B4034" t="s">
        <v>2701</v>
      </c>
    </row>
    <row r="4035" spans="1:2" x14ac:dyDescent="0.3">
      <c r="A4035" t="s">
        <v>1417</v>
      </c>
      <c r="B4035" t="s">
        <v>668</v>
      </c>
    </row>
    <row r="4036" spans="1:2" x14ac:dyDescent="0.3">
      <c r="A4036" t="s">
        <v>668</v>
      </c>
      <c r="B4036" t="s">
        <v>668</v>
      </c>
    </row>
    <row r="4037" spans="1:2" x14ac:dyDescent="0.3">
      <c r="A4037" t="s">
        <v>1417</v>
      </c>
      <c r="B4037" t="s">
        <v>1417</v>
      </c>
    </row>
    <row r="4038" spans="1:2" x14ac:dyDescent="0.3">
      <c r="A4038" t="s">
        <v>521</v>
      </c>
      <c r="B4038" t="s">
        <v>2701</v>
      </c>
    </row>
    <row r="4039" spans="1:2" x14ac:dyDescent="0.3">
      <c r="A4039" t="s">
        <v>668</v>
      </c>
      <c r="B4039" t="s">
        <v>1417</v>
      </c>
    </row>
    <row r="4040" spans="1:2" x14ac:dyDescent="0.3">
      <c r="A4040" t="s">
        <v>1417</v>
      </c>
      <c r="B4040" t="s">
        <v>1417</v>
      </c>
    </row>
    <row r="4041" spans="1:2" x14ac:dyDescent="0.3">
      <c r="A4041" t="s">
        <v>1417</v>
      </c>
      <c r="B4041" t="s">
        <v>2701</v>
      </c>
    </row>
    <row r="4042" spans="1:2" x14ac:dyDescent="0.3">
      <c r="A4042" t="s">
        <v>1417</v>
      </c>
      <c r="B4042" t="s">
        <v>4380</v>
      </c>
    </row>
    <row r="4043" spans="1:2" x14ac:dyDescent="0.3">
      <c r="A4043" t="s">
        <v>1417</v>
      </c>
      <c r="B4043" t="s">
        <v>8268</v>
      </c>
    </row>
    <row r="4044" spans="1:2" x14ac:dyDescent="0.3">
      <c r="A4044" t="s">
        <v>1417</v>
      </c>
      <c r="B4044" t="s">
        <v>2701</v>
      </c>
    </row>
    <row r="4045" spans="1:2" x14ac:dyDescent="0.3">
      <c r="A4045" t="s">
        <v>8268</v>
      </c>
      <c r="B4045" t="s">
        <v>7473</v>
      </c>
    </row>
    <row r="4046" spans="1:2" x14ac:dyDescent="0.3">
      <c r="A4046" t="s">
        <v>668</v>
      </c>
      <c r="B4046" t="s">
        <v>2701</v>
      </c>
    </row>
    <row r="4047" spans="1:2" x14ac:dyDescent="0.3">
      <c r="A4047" t="s">
        <v>521</v>
      </c>
      <c r="B4047" t="s">
        <v>1417</v>
      </c>
    </row>
    <row r="4048" spans="1:2" x14ac:dyDescent="0.3">
      <c r="A4048" t="s">
        <v>668</v>
      </c>
      <c r="B4048" t="s">
        <v>5138</v>
      </c>
    </row>
    <row r="4049" spans="1:2" x14ac:dyDescent="0.3">
      <c r="A4049" t="s">
        <v>521</v>
      </c>
      <c r="B4049" t="s">
        <v>8267</v>
      </c>
    </row>
    <row r="4050" spans="1:2" x14ac:dyDescent="0.3">
      <c r="A4050" t="s">
        <v>2701</v>
      </c>
      <c r="B4050" t="s">
        <v>2701</v>
      </c>
    </row>
    <row r="4051" spans="1:2" x14ac:dyDescent="0.3">
      <c r="A4051" t="s">
        <v>1417</v>
      </c>
      <c r="B4051" t="s">
        <v>668</v>
      </c>
    </row>
    <row r="4052" spans="1:2" x14ac:dyDescent="0.3">
      <c r="A4052" t="s">
        <v>1417</v>
      </c>
      <c r="B4052" t="s">
        <v>8266</v>
      </c>
    </row>
    <row r="4053" spans="1:2" x14ac:dyDescent="0.3">
      <c r="A4053" t="s">
        <v>668</v>
      </c>
      <c r="B4053" t="s">
        <v>1417</v>
      </c>
    </row>
    <row r="4054" spans="1:2" x14ac:dyDescent="0.3">
      <c r="A4054" t="s">
        <v>2701</v>
      </c>
      <c r="B4054" t="s">
        <v>362</v>
      </c>
    </row>
    <row r="4055" spans="1:2" x14ac:dyDescent="0.3">
      <c r="A4055" t="s">
        <v>668</v>
      </c>
      <c r="B4055" t="s">
        <v>8266</v>
      </c>
    </row>
    <row r="4056" spans="1:2" x14ac:dyDescent="0.3">
      <c r="A4056" t="s">
        <v>8268</v>
      </c>
      <c r="B4056" t="s">
        <v>2701</v>
      </c>
    </row>
    <row r="4057" spans="1:2" x14ac:dyDescent="0.3">
      <c r="A4057" t="s">
        <v>1417</v>
      </c>
      <c r="B4057" t="s">
        <v>2701</v>
      </c>
    </row>
    <row r="4058" spans="1:2" x14ac:dyDescent="0.3">
      <c r="A4058" t="s">
        <v>497</v>
      </c>
      <c r="B4058" t="s">
        <v>362</v>
      </c>
    </row>
    <row r="4059" spans="1:2" x14ac:dyDescent="0.3">
      <c r="A4059" t="s">
        <v>1417</v>
      </c>
      <c r="B4059" t="s">
        <v>7473</v>
      </c>
    </row>
    <row r="4060" spans="1:2" x14ac:dyDescent="0.3">
      <c r="A4060" t="s">
        <v>2701</v>
      </c>
      <c r="B4060" t="s">
        <v>668</v>
      </c>
    </row>
    <row r="4061" spans="1:2" x14ac:dyDescent="0.3">
      <c r="A4061" t="s">
        <v>2701</v>
      </c>
      <c r="B4061" t="s">
        <v>1417</v>
      </c>
    </row>
    <row r="4062" spans="1:2" x14ac:dyDescent="0.3">
      <c r="A4062" t="s">
        <v>5524</v>
      </c>
      <c r="B4062" t="s">
        <v>7473</v>
      </c>
    </row>
    <row r="4063" spans="1:2" x14ac:dyDescent="0.3">
      <c r="A4063" t="s">
        <v>1417</v>
      </c>
      <c r="B4063" t="s">
        <v>1417</v>
      </c>
    </row>
    <row r="4064" spans="1:2" x14ac:dyDescent="0.3">
      <c r="A4064" t="s">
        <v>521</v>
      </c>
      <c r="B4064" t="s">
        <v>19</v>
      </c>
    </row>
    <row r="4065" spans="1:2" x14ac:dyDescent="0.3">
      <c r="A4065" t="s">
        <v>668</v>
      </c>
      <c r="B4065" t="s">
        <v>2701</v>
      </c>
    </row>
    <row r="4066" spans="1:2" x14ac:dyDescent="0.3">
      <c r="A4066" t="s">
        <v>521</v>
      </c>
      <c r="B4066" t="s">
        <v>7104</v>
      </c>
    </row>
    <row r="4067" spans="1:2" x14ac:dyDescent="0.3">
      <c r="A4067" t="s">
        <v>2701</v>
      </c>
      <c r="B4067" t="s">
        <v>668</v>
      </c>
    </row>
    <row r="4068" spans="1:2" x14ac:dyDescent="0.3">
      <c r="A4068" t="s">
        <v>362</v>
      </c>
      <c r="B4068" t="s">
        <v>1417</v>
      </c>
    </row>
    <row r="4069" spans="1:2" x14ac:dyDescent="0.3">
      <c r="A4069" t="s">
        <v>362</v>
      </c>
      <c r="B4069" t="s">
        <v>1417</v>
      </c>
    </row>
    <row r="4070" spans="1:2" x14ac:dyDescent="0.3">
      <c r="A4070" t="s">
        <v>668</v>
      </c>
      <c r="B4070" t="s">
        <v>1417</v>
      </c>
    </row>
    <row r="4071" spans="1:2" x14ac:dyDescent="0.3">
      <c r="A4071" t="s">
        <v>668</v>
      </c>
      <c r="B4071" t="s">
        <v>8266</v>
      </c>
    </row>
    <row r="4072" spans="1:2" x14ac:dyDescent="0.3">
      <c r="A4072" t="s">
        <v>497</v>
      </c>
      <c r="B4072" t="s">
        <v>1417</v>
      </c>
    </row>
    <row r="4073" spans="1:2" x14ac:dyDescent="0.3">
      <c r="A4073" t="s">
        <v>4380</v>
      </c>
      <c r="B4073" t="s">
        <v>1417</v>
      </c>
    </row>
    <row r="4074" spans="1:2" x14ac:dyDescent="0.3">
      <c r="A4074" t="s">
        <v>668</v>
      </c>
      <c r="B4074" t="s">
        <v>5043</v>
      </c>
    </row>
    <row r="4075" spans="1:2" x14ac:dyDescent="0.3">
      <c r="A4075" t="s">
        <v>6171</v>
      </c>
      <c r="B4075" t="s">
        <v>1417</v>
      </c>
    </row>
    <row r="4076" spans="1:2" x14ac:dyDescent="0.3">
      <c r="A4076" t="s">
        <v>668</v>
      </c>
      <c r="B4076" t="s">
        <v>1417</v>
      </c>
    </row>
    <row r="4077" spans="1:2" x14ac:dyDescent="0.3">
      <c r="A4077" t="s">
        <v>521</v>
      </c>
      <c r="B4077" t="s">
        <v>1417</v>
      </c>
    </row>
    <row r="4078" spans="1:2" x14ac:dyDescent="0.3">
      <c r="A4078" t="s">
        <v>1417</v>
      </c>
      <c r="B4078" t="s">
        <v>1417</v>
      </c>
    </row>
    <row r="4079" spans="1:2" x14ac:dyDescent="0.3">
      <c r="A4079" t="s">
        <v>1417</v>
      </c>
      <c r="B4079" t="s">
        <v>497</v>
      </c>
    </row>
    <row r="4080" spans="1:2" x14ac:dyDescent="0.3">
      <c r="A4080" t="s">
        <v>668</v>
      </c>
      <c r="B4080" t="s">
        <v>668</v>
      </c>
    </row>
    <row r="4081" spans="1:2" x14ac:dyDescent="0.3">
      <c r="A4081" t="s">
        <v>4843</v>
      </c>
      <c r="B4081" t="s">
        <v>1417</v>
      </c>
    </row>
    <row r="4082" spans="1:2" x14ac:dyDescent="0.3">
      <c r="A4082" t="s">
        <v>521</v>
      </c>
      <c r="B4082" t="s">
        <v>7473</v>
      </c>
    </row>
    <row r="4083" spans="1:2" x14ac:dyDescent="0.3">
      <c r="A4083" t="s">
        <v>668</v>
      </c>
      <c r="B4083" t="s">
        <v>5138</v>
      </c>
    </row>
    <row r="4084" spans="1:2" x14ac:dyDescent="0.3">
      <c r="A4084" t="s">
        <v>1417</v>
      </c>
      <c r="B4084" t="s">
        <v>7473</v>
      </c>
    </row>
    <row r="4085" spans="1:2" x14ac:dyDescent="0.3">
      <c r="A4085" t="s">
        <v>668</v>
      </c>
      <c r="B4085" t="s">
        <v>1417</v>
      </c>
    </row>
    <row r="4086" spans="1:2" x14ac:dyDescent="0.3">
      <c r="A4086" t="s">
        <v>521</v>
      </c>
      <c r="B4086" t="s">
        <v>7473</v>
      </c>
    </row>
    <row r="4087" spans="1:2" x14ac:dyDescent="0.3">
      <c r="A4087" t="s">
        <v>1417</v>
      </c>
      <c r="B4087" t="s">
        <v>1417</v>
      </c>
    </row>
    <row r="4088" spans="1:2" x14ac:dyDescent="0.3">
      <c r="A4088" t="s">
        <v>668</v>
      </c>
      <c r="B4088" t="s">
        <v>1417</v>
      </c>
    </row>
    <row r="4089" spans="1:2" x14ac:dyDescent="0.3">
      <c r="A4089" t="s">
        <v>1417</v>
      </c>
      <c r="B4089" t="s">
        <v>7473</v>
      </c>
    </row>
    <row r="4090" spans="1:2" x14ac:dyDescent="0.3">
      <c r="A4090" t="s">
        <v>1417</v>
      </c>
      <c r="B4090" t="s">
        <v>1417</v>
      </c>
    </row>
    <row r="4091" spans="1:2" x14ac:dyDescent="0.3">
      <c r="A4091" t="s">
        <v>668</v>
      </c>
      <c r="B4091" t="s">
        <v>497</v>
      </c>
    </row>
    <row r="4092" spans="1:2" x14ac:dyDescent="0.3">
      <c r="A4092" t="s">
        <v>668</v>
      </c>
      <c r="B4092" t="s">
        <v>8268</v>
      </c>
    </row>
    <row r="4093" spans="1:2" x14ac:dyDescent="0.3">
      <c r="A4093" t="s">
        <v>8268</v>
      </c>
      <c r="B4093" t="s">
        <v>19</v>
      </c>
    </row>
    <row r="4094" spans="1:2" x14ac:dyDescent="0.3">
      <c r="A4094" t="s">
        <v>668</v>
      </c>
      <c r="B4094" t="s">
        <v>8267</v>
      </c>
    </row>
    <row r="4095" spans="1:2" x14ac:dyDescent="0.3">
      <c r="A4095" t="s">
        <v>7104</v>
      </c>
      <c r="B4095" t="s">
        <v>1417</v>
      </c>
    </row>
    <row r="4096" spans="1:2" x14ac:dyDescent="0.3">
      <c r="A4096" t="s">
        <v>497</v>
      </c>
      <c r="B4096" t="s">
        <v>5524</v>
      </c>
    </row>
    <row r="4097" spans="1:2" x14ac:dyDescent="0.3">
      <c r="A4097" t="s">
        <v>668</v>
      </c>
      <c r="B4097" t="s">
        <v>1417</v>
      </c>
    </row>
    <row r="4098" spans="1:2" x14ac:dyDescent="0.3">
      <c r="A4098" t="s">
        <v>1417</v>
      </c>
      <c r="B4098" t="s">
        <v>8268</v>
      </c>
    </row>
    <row r="4099" spans="1:2" x14ac:dyDescent="0.3">
      <c r="A4099" t="s">
        <v>1417</v>
      </c>
      <c r="B4099" t="s">
        <v>8268</v>
      </c>
    </row>
    <row r="4100" spans="1:2" x14ac:dyDescent="0.3">
      <c r="A4100" t="s">
        <v>668</v>
      </c>
      <c r="B4100" t="s">
        <v>1417</v>
      </c>
    </row>
    <row r="4101" spans="1:2" x14ac:dyDescent="0.3">
      <c r="A4101" t="s">
        <v>5524</v>
      </c>
      <c r="B4101" t="s">
        <v>1417</v>
      </c>
    </row>
    <row r="4102" spans="1:2" x14ac:dyDescent="0.3">
      <c r="A4102" t="s">
        <v>668</v>
      </c>
      <c r="B4102" t="s">
        <v>668</v>
      </c>
    </row>
    <row r="4103" spans="1:2" x14ac:dyDescent="0.3">
      <c r="A4103" t="s">
        <v>8268</v>
      </c>
      <c r="B4103" t="s">
        <v>7473</v>
      </c>
    </row>
    <row r="4104" spans="1:2" x14ac:dyDescent="0.3">
      <c r="A4104" t="s">
        <v>668</v>
      </c>
      <c r="B4104" t="s">
        <v>1417</v>
      </c>
    </row>
    <row r="4105" spans="1:2" x14ac:dyDescent="0.3">
      <c r="A4105" t="s">
        <v>668</v>
      </c>
      <c r="B4105" t="s">
        <v>5138</v>
      </c>
    </row>
    <row r="4106" spans="1:2" x14ac:dyDescent="0.3">
      <c r="A4106" t="s">
        <v>668</v>
      </c>
      <c r="B4106" t="s">
        <v>1417</v>
      </c>
    </row>
    <row r="4107" spans="1:2" x14ac:dyDescent="0.3">
      <c r="A4107" t="s">
        <v>1417</v>
      </c>
      <c r="B4107" t="s">
        <v>1417</v>
      </c>
    </row>
    <row r="4108" spans="1:2" x14ac:dyDescent="0.3">
      <c r="A4108" t="s">
        <v>1417</v>
      </c>
      <c r="B4108" t="s">
        <v>362</v>
      </c>
    </row>
    <row r="4109" spans="1:2" x14ac:dyDescent="0.3">
      <c r="A4109" t="s">
        <v>521</v>
      </c>
      <c r="B4109" t="s">
        <v>1417</v>
      </c>
    </row>
    <row r="4110" spans="1:2" x14ac:dyDescent="0.3">
      <c r="A4110" t="s">
        <v>521</v>
      </c>
      <c r="B4110" t="s">
        <v>1417</v>
      </c>
    </row>
    <row r="4111" spans="1:2" x14ac:dyDescent="0.3">
      <c r="A4111" t="s">
        <v>668</v>
      </c>
      <c r="B4111" t="s">
        <v>1417</v>
      </c>
    </row>
    <row r="4112" spans="1:2" x14ac:dyDescent="0.3">
      <c r="A4112" t="s">
        <v>1417</v>
      </c>
      <c r="B4112" t="s">
        <v>7104</v>
      </c>
    </row>
    <row r="4113" spans="1:2" x14ac:dyDescent="0.3">
      <c r="A4113" t="s">
        <v>1417</v>
      </c>
      <c r="B4113" t="s">
        <v>7473</v>
      </c>
    </row>
    <row r="4114" spans="1:2" x14ac:dyDescent="0.3">
      <c r="A4114" t="s">
        <v>668</v>
      </c>
      <c r="B4114" t="s">
        <v>1417</v>
      </c>
    </row>
    <row r="4115" spans="1:2" x14ac:dyDescent="0.3">
      <c r="A4115" t="s">
        <v>2701</v>
      </c>
      <c r="B4115" t="s">
        <v>1417</v>
      </c>
    </row>
    <row r="4116" spans="1:2" x14ac:dyDescent="0.3">
      <c r="A4116" t="s">
        <v>668</v>
      </c>
      <c r="B4116" t="s">
        <v>2701</v>
      </c>
    </row>
    <row r="4117" spans="1:2" x14ac:dyDescent="0.3">
      <c r="A4117" t="s">
        <v>668</v>
      </c>
      <c r="B4117" t="s">
        <v>7473</v>
      </c>
    </row>
    <row r="4118" spans="1:2" x14ac:dyDescent="0.3">
      <c r="A4118" t="s">
        <v>1417</v>
      </c>
      <c r="B4118" t="s">
        <v>1417</v>
      </c>
    </row>
    <row r="4119" spans="1:2" x14ac:dyDescent="0.3">
      <c r="A4119" t="s">
        <v>668</v>
      </c>
      <c r="B4119" t="s">
        <v>5043</v>
      </c>
    </row>
    <row r="4120" spans="1:2" x14ac:dyDescent="0.3">
      <c r="A4120" t="s">
        <v>8268</v>
      </c>
      <c r="B4120" t="s">
        <v>4380</v>
      </c>
    </row>
    <row r="4121" spans="1:2" x14ac:dyDescent="0.3">
      <c r="A4121" t="s">
        <v>1417</v>
      </c>
      <c r="B4121" t="s">
        <v>8266</v>
      </c>
    </row>
    <row r="4122" spans="1:2" x14ac:dyDescent="0.3">
      <c r="A4122" t="s">
        <v>668</v>
      </c>
      <c r="B4122" t="s">
        <v>4380</v>
      </c>
    </row>
    <row r="4123" spans="1:2" x14ac:dyDescent="0.3">
      <c r="A4123" t="s">
        <v>1417</v>
      </c>
      <c r="B4123" t="s">
        <v>6902</v>
      </c>
    </row>
    <row r="4124" spans="1:2" x14ac:dyDescent="0.3">
      <c r="A4124" t="s">
        <v>2701</v>
      </c>
      <c r="B4124" t="s">
        <v>668</v>
      </c>
    </row>
    <row r="4125" spans="1:2" x14ac:dyDescent="0.3">
      <c r="A4125" t="s">
        <v>668</v>
      </c>
      <c r="B4125" t="s">
        <v>1417</v>
      </c>
    </row>
    <row r="4126" spans="1:2" x14ac:dyDescent="0.3">
      <c r="A4126" t="s">
        <v>1417</v>
      </c>
      <c r="B4126" t="s">
        <v>7473</v>
      </c>
    </row>
    <row r="4127" spans="1:2" x14ac:dyDescent="0.3">
      <c r="A4127" t="s">
        <v>1417</v>
      </c>
      <c r="B4127" t="s">
        <v>4380</v>
      </c>
    </row>
    <row r="4128" spans="1:2" x14ac:dyDescent="0.3">
      <c r="A4128" t="s">
        <v>2701</v>
      </c>
      <c r="B4128" t="s">
        <v>7473</v>
      </c>
    </row>
    <row r="4129" spans="1:2" x14ac:dyDescent="0.3">
      <c r="A4129" t="s">
        <v>668</v>
      </c>
      <c r="B4129" t="s">
        <v>9936</v>
      </c>
    </row>
    <row r="4130" spans="1:2" x14ac:dyDescent="0.3">
      <c r="A4130" t="s">
        <v>362</v>
      </c>
      <c r="B4130" t="s">
        <v>1417</v>
      </c>
    </row>
    <row r="4131" spans="1:2" x14ac:dyDescent="0.3">
      <c r="A4131" t="s">
        <v>668</v>
      </c>
      <c r="B4131" t="s">
        <v>1417</v>
      </c>
    </row>
    <row r="4132" spans="1:2" x14ac:dyDescent="0.3">
      <c r="A4132" t="s">
        <v>1417</v>
      </c>
      <c r="B4132" t="s">
        <v>4380</v>
      </c>
    </row>
    <row r="4133" spans="1:2" x14ac:dyDescent="0.3">
      <c r="A4133" t="s">
        <v>521</v>
      </c>
      <c r="B4133" t="s">
        <v>1417</v>
      </c>
    </row>
    <row r="4134" spans="1:2" x14ac:dyDescent="0.3">
      <c r="A4134" t="s">
        <v>668</v>
      </c>
      <c r="B4134" t="s">
        <v>497</v>
      </c>
    </row>
    <row r="4135" spans="1:2" x14ac:dyDescent="0.3">
      <c r="A4135" t="s">
        <v>668</v>
      </c>
      <c r="B4135" t="s">
        <v>1417</v>
      </c>
    </row>
    <row r="4136" spans="1:2" x14ac:dyDescent="0.3">
      <c r="A4136" t="s">
        <v>521</v>
      </c>
      <c r="B4136" t="s">
        <v>7473</v>
      </c>
    </row>
    <row r="4137" spans="1:2" x14ac:dyDescent="0.3">
      <c r="A4137" t="s">
        <v>8268</v>
      </c>
      <c r="B4137" t="s">
        <v>1417</v>
      </c>
    </row>
    <row r="4138" spans="1:2" x14ac:dyDescent="0.3">
      <c r="A4138" t="s">
        <v>668</v>
      </c>
      <c r="B4138" t="s">
        <v>1417</v>
      </c>
    </row>
    <row r="4139" spans="1:2" x14ac:dyDescent="0.3">
      <c r="A4139" t="s">
        <v>4380</v>
      </c>
      <c r="B4139" t="s">
        <v>1417</v>
      </c>
    </row>
    <row r="4140" spans="1:2" x14ac:dyDescent="0.3">
      <c r="A4140" t="s">
        <v>1417</v>
      </c>
      <c r="B4140" t="s">
        <v>497</v>
      </c>
    </row>
    <row r="4141" spans="1:2" x14ac:dyDescent="0.3">
      <c r="A4141" t="s">
        <v>4380</v>
      </c>
      <c r="B4141" t="s">
        <v>1417</v>
      </c>
    </row>
    <row r="4142" spans="1:2" x14ac:dyDescent="0.3">
      <c r="A4142" t="s">
        <v>362</v>
      </c>
      <c r="B4142" t="s">
        <v>668</v>
      </c>
    </row>
    <row r="4143" spans="1:2" x14ac:dyDescent="0.3">
      <c r="A4143" t="s">
        <v>1417</v>
      </c>
      <c r="B4143" t="s">
        <v>4380</v>
      </c>
    </row>
    <row r="4144" spans="1:2" x14ac:dyDescent="0.3">
      <c r="A4144" t="s">
        <v>521</v>
      </c>
      <c r="B4144" t="s">
        <v>8266</v>
      </c>
    </row>
    <row r="4145" spans="1:2" x14ac:dyDescent="0.3">
      <c r="A4145" t="s">
        <v>668</v>
      </c>
      <c r="B4145" t="s">
        <v>1417</v>
      </c>
    </row>
    <row r="4146" spans="1:2" x14ac:dyDescent="0.3">
      <c r="A4146" t="s">
        <v>1417</v>
      </c>
      <c r="B4146" t="s">
        <v>7473</v>
      </c>
    </row>
    <row r="4147" spans="1:2" x14ac:dyDescent="0.3">
      <c r="A4147" t="s">
        <v>668</v>
      </c>
      <c r="B4147" t="s">
        <v>7473</v>
      </c>
    </row>
    <row r="4148" spans="1:2" x14ac:dyDescent="0.3">
      <c r="A4148" t="s">
        <v>521</v>
      </c>
      <c r="B4148" t="s">
        <v>1417</v>
      </c>
    </row>
    <row r="4149" spans="1:2" x14ac:dyDescent="0.3">
      <c r="A4149" t="s">
        <v>668</v>
      </c>
      <c r="B4149" t="s">
        <v>4380</v>
      </c>
    </row>
    <row r="4150" spans="1:2" x14ac:dyDescent="0.3">
      <c r="A4150" t="s">
        <v>1417</v>
      </c>
      <c r="B4150" t="s">
        <v>1417</v>
      </c>
    </row>
    <row r="4151" spans="1:2" x14ac:dyDescent="0.3">
      <c r="A4151" t="s">
        <v>19</v>
      </c>
      <c r="B4151" t="s">
        <v>2701</v>
      </c>
    </row>
    <row r="4152" spans="1:2" x14ac:dyDescent="0.3">
      <c r="A4152" t="s">
        <v>497</v>
      </c>
      <c r="B4152" t="s">
        <v>362</v>
      </c>
    </row>
    <row r="4153" spans="1:2" x14ac:dyDescent="0.3">
      <c r="A4153" t="s">
        <v>2701</v>
      </c>
      <c r="B4153" t="s">
        <v>5138</v>
      </c>
    </row>
    <row r="4154" spans="1:2" x14ac:dyDescent="0.3">
      <c r="A4154" t="s">
        <v>668</v>
      </c>
      <c r="B4154" t="s">
        <v>1417</v>
      </c>
    </row>
    <row r="4155" spans="1:2" x14ac:dyDescent="0.3">
      <c r="A4155" t="s">
        <v>521</v>
      </c>
      <c r="B4155" t="s">
        <v>8269</v>
      </c>
    </row>
    <row r="4156" spans="1:2" x14ac:dyDescent="0.3">
      <c r="A4156" t="s">
        <v>8268</v>
      </c>
      <c r="B4156" t="s">
        <v>362</v>
      </c>
    </row>
    <row r="4157" spans="1:2" x14ac:dyDescent="0.3">
      <c r="A4157" t="s">
        <v>668</v>
      </c>
      <c r="B4157" t="s">
        <v>1417</v>
      </c>
    </row>
    <row r="4158" spans="1:2" x14ac:dyDescent="0.3">
      <c r="A4158" t="s">
        <v>2701</v>
      </c>
      <c r="B4158" t="s">
        <v>19</v>
      </c>
    </row>
    <row r="4159" spans="1:2" x14ac:dyDescent="0.3">
      <c r="A4159" t="s">
        <v>362</v>
      </c>
      <c r="B4159" t="s">
        <v>2701</v>
      </c>
    </row>
    <row r="4160" spans="1:2" x14ac:dyDescent="0.3">
      <c r="A4160" t="s">
        <v>668</v>
      </c>
      <c r="B4160" t="s">
        <v>497</v>
      </c>
    </row>
    <row r="4161" spans="1:2" x14ac:dyDescent="0.3">
      <c r="A4161" t="s">
        <v>2701</v>
      </c>
      <c r="B4161" t="s">
        <v>1417</v>
      </c>
    </row>
    <row r="4162" spans="1:2" x14ac:dyDescent="0.3">
      <c r="A4162" t="s">
        <v>668</v>
      </c>
      <c r="B4162" t="s">
        <v>6171</v>
      </c>
    </row>
    <row r="4163" spans="1:2" x14ac:dyDescent="0.3">
      <c r="A4163" t="s">
        <v>1417</v>
      </c>
      <c r="B4163" t="s">
        <v>1417</v>
      </c>
    </row>
    <row r="4164" spans="1:2" x14ac:dyDescent="0.3">
      <c r="A4164" t="s">
        <v>362</v>
      </c>
      <c r="B4164" t="s">
        <v>5043</v>
      </c>
    </row>
    <row r="4165" spans="1:2" x14ac:dyDescent="0.3">
      <c r="A4165" t="s">
        <v>7473</v>
      </c>
      <c r="B4165" t="s">
        <v>362</v>
      </c>
    </row>
    <row r="4166" spans="1:2" x14ac:dyDescent="0.3">
      <c r="A4166" t="s">
        <v>521</v>
      </c>
      <c r="B4166" t="s">
        <v>1417</v>
      </c>
    </row>
    <row r="4167" spans="1:2" x14ac:dyDescent="0.3">
      <c r="A4167" t="s">
        <v>362</v>
      </c>
      <c r="B4167" t="s">
        <v>8266</v>
      </c>
    </row>
    <row r="4168" spans="1:2" x14ac:dyDescent="0.3">
      <c r="A4168" t="s">
        <v>668</v>
      </c>
      <c r="B4168" t="s">
        <v>5043</v>
      </c>
    </row>
    <row r="4169" spans="1:2" x14ac:dyDescent="0.3">
      <c r="A4169" t="s">
        <v>1417</v>
      </c>
      <c r="B4169" t="s">
        <v>362</v>
      </c>
    </row>
    <row r="4170" spans="1:2" x14ac:dyDescent="0.3">
      <c r="A4170" t="s">
        <v>668</v>
      </c>
      <c r="B4170" t="s">
        <v>1417</v>
      </c>
    </row>
    <row r="4171" spans="1:2" x14ac:dyDescent="0.3">
      <c r="A4171" t="s">
        <v>2701</v>
      </c>
      <c r="B4171" t="s">
        <v>2701</v>
      </c>
    </row>
    <row r="4172" spans="1:2" x14ac:dyDescent="0.3">
      <c r="A4172" t="s">
        <v>1417</v>
      </c>
      <c r="B4172" t="s">
        <v>2701</v>
      </c>
    </row>
    <row r="4173" spans="1:2" x14ac:dyDescent="0.3">
      <c r="A4173" t="s">
        <v>1417</v>
      </c>
      <c r="B4173" t="s">
        <v>4380</v>
      </c>
    </row>
    <row r="4174" spans="1:2" x14ac:dyDescent="0.3">
      <c r="A4174" t="s">
        <v>668</v>
      </c>
      <c r="B4174" t="s">
        <v>1417</v>
      </c>
    </row>
    <row r="4175" spans="1:2" x14ac:dyDescent="0.3">
      <c r="A4175" t="s">
        <v>1417</v>
      </c>
      <c r="B4175" t="s">
        <v>6902</v>
      </c>
    </row>
    <row r="4176" spans="1:2" x14ac:dyDescent="0.3">
      <c r="A4176" t="s">
        <v>19</v>
      </c>
      <c r="B4176" t="s">
        <v>8046</v>
      </c>
    </row>
    <row r="4177" spans="1:2" x14ac:dyDescent="0.3">
      <c r="A4177" t="s">
        <v>2701</v>
      </c>
      <c r="B4177" t="s">
        <v>8268</v>
      </c>
    </row>
    <row r="4178" spans="1:2" x14ac:dyDescent="0.3">
      <c r="A4178" t="s">
        <v>521</v>
      </c>
      <c r="B4178" t="s">
        <v>4380</v>
      </c>
    </row>
    <row r="4179" spans="1:2" x14ac:dyDescent="0.3">
      <c r="A4179" t="s">
        <v>2701</v>
      </c>
      <c r="B4179" t="s">
        <v>1417</v>
      </c>
    </row>
    <row r="4180" spans="1:2" x14ac:dyDescent="0.3">
      <c r="A4180" t="s">
        <v>668</v>
      </c>
      <c r="B4180" t="s">
        <v>1417</v>
      </c>
    </row>
    <row r="4181" spans="1:2" x14ac:dyDescent="0.3">
      <c r="A4181" t="s">
        <v>19</v>
      </c>
      <c r="B4181" t="s">
        <v>1417</v>
      </c>
    </row>
    <row r="4182" spans="1:2" x14ac:dyDescent="0.3">
      <c r="A4182" t="s">
        <v>668</v>
      </c>
      <c r="B4182" t="s">
        <v>6902</v>
      </c>
    </row>
    <row r="4183" spans="1:2" x14ac:dyDescent="0.3">
      <c r="A4183" t="s">
        <v>19</v>
      </c>
      <c r="B4183" t="s">
        <v>7473</v>
      </c>
    </row>
    <row r="4184" spans="1:2" x14ac:dyDescent="0.3">
      <c r="A4184" t="s">
        <v>2701</v>
      </c>
      <c r="B4184" t="s">
        <v>7473</v>
      </c>
    </row>
    <row r="4185" spans="1:2" x14ac:dyDescent="0.3">
      <c r="A4185" t="s">
        <v>668</v>
      </c>
      <c r="B4185" t="s">
        <v>19</v>
      </c>
    </row>
    <row r="4186" spans="1:2" x14ac:dyDescent="0.3">
      <c r="A4186" t="s">
        <v>2701</v>
      </c>
      <c r="B4186" t="s">
        <v>7104</v>
      </c>
    </row>
    <row r="4187" spans="1:2" x14ac:dyDescent="0.3">
      <c r="A4187" t="s">
        <v>521</v>
      </c>
      <c r="B4187" t="s">
        <v>5524</v>
      </c>
    </row>
    <row r="4188" spans="1:2" x14ac:dyDescent="0.3">
      <c r="A4188" t="s">
        <v>1417</v>
      </c>
      <c r="B4188" t="s">
        <v>5138</v>
      </c>
    </row>
    <row r="4189" spans="1:2" x14ac:dyDescent="0.3">
      <c r="A4189" t="s">
        <v>668</v>
      </c>
      <c r="B4189" t="s">
        <v>7104</v>
      </c>
    </row>
    <row r="4190" spans="1:2" x14ac:dyDescent="0.3">
      <c r="A4190" t="s">
        <v>1417</v>
      </c>
      <c r="B4190" t="s">
        <v>1417</v>
      </c>
    </row>
    <row r="4191" spans="1:2" x14ac:dyDescent="0.3">
      <c r="A4191" t="s">
        <v>668</v>
      </c>
      <c r="B4191" t="s">
        <v>19</v>
      </c>
    </row>
    <row r="4192" spans="1:2" x14ac:dyDescent="0.3">
      <c r="A4192" t="s">
        <v>1417</v>
      </c>
      <c r="B4192" t="s">
        <v>1417</v>
      </c>
    </row>
    <row r="4193" spans="1:2" x14ac:dyDescent="0.3">
      <c r="A4193" t="s">
        <v>521</v>
      </c>
      <c r="B4193" t="s">
        <v>5043</v>
      </c>
    </row>
    <row r="4194" spans="1:2" x14ac:dyDescent="0.3">
      <c r="A4194" t="s">
        <v>1417</v>
      </c>
      <c r="B4194" t="s">
        <v>8268</v>
      </c>
    </row>
    <row r="4195" spans="1:2" x14ac:dyDescent="0.3">
      <c r="A4195" t="s">
        <v>668</v>
      </c>
      <c r="B4195" t="s">
        <v>1417</v>
      </c>
    </row>
    <row r="4196" spans="1:2" x14ac:dyDescent="0.3">
      <c r="A4196" t="s">
        <v>1417</v>
      </c>
      <c r="B4196" t="s">
        <v>1417</v>
      </c>
    </row>
    <row r="4197" spans="1:2" x14ac:dyDescent="0.3">
      <c r="A4197" t="s">
        <v>668</v>
      </c>
      <c r="B4197" t="s">
        <v>7473</v>
      </c>
    </row>
    <row r="4198" spans="1:2" x14ac:dyDescent="0.3">
      <c r="A4198" t="s">
        <v>1417</v>
      </c>
      <c r="B4198" t="s">
        <v>1417</v>
      </c>
    </row>
    <row r="4199" spans="1:2" x14ac:dyDescent="0.3">
      <c r="A4199" t="s">
        <v>668</v>
      </c>
      <c r="B4199" t="s">
        <v>1417</v>
      </c>
    </row>
    <row r="4200" spans="1:2" x14ac:dyDescent="0.3">
      <c r="A4200" t="s">
        <v>668</v>
      </c>
      <c r="B4200" t="s">
        <v>1417</v>
      </c>
    </row>
    <row r="4201" spans="1:2" x14ac:dyDescent="0.3">
      <c r="A4201" t="s">
        <v>668</v>
      </c>
      <c r="B4201" t="s">
        <v>362</v>
      </c>
    </row>
    <row r="4202" spans="1:2" x14ac:dyDescent="0.3">
      <c r="A4202" t="s">
        <v>19</v>
      </c>
      <c r="B4202" t="s">
        <v>8267</v>
      </c>
    </row>
    <row r="4203" spans="1:2" x14ac:dyDescent="0.3">
      <c r="A4203" t="s">
        <v>1417</v>
      </c>
      <c r="B4203" t="s">
        <v>5043</v>
      </c>
    </row>
    <row r="4204" spans="1:2" x14ac:dyDescent="0.3">
      <c r="A4204" t="s">
        <v>668</v>
      </c>
      <c r="B4204" t="s">
        <v>497</v>
      </c>
    </row>
    <row r="4205" spans="1:2" x14ac:dyDescent="0.3">
      <c r="A4205" t="s">
        <v>668</v>
      </c>
      <c r="B4205" t="s">
        <v>4843</v>
      </c>
    </row>
    <row r="4206" spans="1:2" x14ac:dyDescent="0.3">
      <c r="A4206" t="s">
        <v>19</v>
      </c>
      <c r="B4206" t="s">
        <v>7473</v>
      </c>
    </row>
    <row r="4207" spans="1:2" x14ac:dyDescent="0.3">
      <c r="A4207" t="s">
        <v>668</v>
      </c>
      <c r="B4207" t="s">
        <v>8267</v>
      </c>
    </row>
    <row r="4208" spans="1:2" x14ac:dyDescent="0.3">
      <c r="A4208" t="s">
        <v>2701</v>
      </c>
      <c r="B4208" t="s">
        <v>5138</v>
      </c>
    </row>
    <row r="4209" spans="1:2" x14ac:dyDescent="0.3">
      <c r="A4209" t="s">
        <v>1417</v>
      </c>
      <c r="B4209" t="s">
        <v>2701</v>
      </c>
    </row>
    <row r="4210" spans="1:2" x14ac:dyDescent="0.3">
      <c r="A4210" t="s">
        <v>668</v>
      </c>
      <c r="B4210" t="s">
        <v>8268</v>
      </c>
    </row>
    <row r="4211" spans="1:2" x14ac:dyDescent="0.3">
      <c r="A4211" t="s">
        <v>668</v>
      </c>
      <c r="B4211" t="s">
        <v>19</v>
      </c>
    </row>
    <row r="4212" spans="1:2" x14ac:dyDescent="0.3">
      <c r="A4212" t="s">
        <v>668</v>
      </c>
      <c r="B4212" t="s">
        <v>4380</v>
      </c>
    </row>
    <row r="4213" spans="1:2" x14ac:dyDescent="0.3">
      <c r="A4213" t="s">
        <v>2701</v>
      </c>
      <c r="B4213" t="s">
        <v>7473</v>
      </c>
    </row>
    <row r="4214" spans="1:2" x14ac:dyDescent="0.3">
      <c r="A4214" t="s">
        <v>1417</v>
      </c>
      <c r="B4214" t="s">
        <v>2701</v>
      </c>
    </row>
    <row r="4215" spans="1:2" x14ac:dyDescent="0.3">
      <c r="A4215" t="s">
        <v>1417</v>
      </c>
      <c r="B4215" t="s">
        <v>8266</v>
      </c>
    </row>
    <row r="4216" spans="1:2" x14ac:dyDescent="0.3">
      <c r="A4216" t="s">
        <v>362</v>
      </c>
      <c r="B4216" t="s">
        <v>1417</v>
      </c>
    </row>
    <row r="4217" spans="1:2" x14ac:dyDescent="0.3">
      <c r="A4217" t="s">
        <v>8268</v>
      </c>
      <c r="B4217" t="s">
        <v>4380</v>
      </c>
    </row>
    <row r="4218" spans="1:2" x14ac:dyDescent="0.3">
      <c r="A4218" t="s">
        <v>8268</v>
      </c>
      <c r="B4218" t="s">
        <v>1417</v>
      </c>
    </row>
    <row r="4219" spans="1:2" x14ac:dyDescent="0.3">
      <c r="A4219" t="s">
        <v>668</v>
      </c>
      <c r="B4219" t="s">
        <v>7473</v>
      </c>
    </row>
    <row r="4220" spans="1:2" x14ac:dyDescent="0.3">
      <c r="A4220" t="s">
        <v>668</v>
      </c>
      <c r="B4220" t="s">
        <v>6902</v>
      </c>
    </row>
    <row r="4221" spans="1:2" x14ac:dyDescent="0.3">
      <c r="A4221" t="s">
        <v>1417</v>
      </c>
      <c r="B4221" t="s">
        <v>8266</v>
      </c>
    </row>
    <row r="4222" spans="1:2" x14ac:dyDescent="0.3">
      <c r="A4222" t="s">
        <v>668</v>
      </c>
      <c r="B4222" t="s">
        <v>5524</v>
      </c>
    </row>
    <row r="4223" spans="1:2" x14ac:dyDescent="0.3">
      <c r="A4223" t="s">
        <v>1417</v>
      </c>
      <c r="B4223" t="s">
        <v>7104</v>
      </c>
    </row>
    <row r="4224" spans="1:2" x14ac:dyDescent="0.3">
      <c r="A4224" t="s">
        <v>1417</v>
      </c>
      <c r="B4224" t="s">
        <v>668</v>
      </c>
    </row>
    <row r="4225" spans="1:2" x14ac:dyDescent="0.3">
      <c r="A4225" t="s">
        <v>4380</v>
      </c>
      <c r="B4225" t="s">
        <v>1417</v>
      </c>
    </row>
    <row r="4226" spans="1:2" x14ac:dyDescent="0.3">
      <c r="A4226" t="s">
        <v>362</v>
      </c>
      <c r="B4226" t="s">
        <v>8046</v>
      </c>
    </row>
    <row r="4227" spans="1:2" x14ac:dyDescent="0.3">
      <c r="A4227" t="s">
        <v>4843</v>
      </c>
      <c r="B4227" t="s">
        <v>1417</v>
      </c>
    </row>
    <row r="4228" spans="1:2" x14ac:dyDescent="0.3">
      <c r="A4228" t="s">
        <v>521</v>
      </c>
      <c r="B4228" t="s">
        <v>2701</v>
      </c>
    </row>
    <row r="4229" spans="1:2" x14ac:dyDescent="0.3">
      <c r="A4229" t="s">
        <v>1417</v>
      </c>
      <c r="B4229" t="s">
        <v>7473</v>
      </c>
    </row>
    <row r="4230" spans="1:2" x14ac:dyDescent="0.3">
      <c r="A4230" t="s">
        <v>2701</v>
      </c>
      <c r="B4230" t="s">
        <v>6902</v>
      </c>
    </row>
    <row r="4231" spans="1:2" x14ac:dyDescent="0.3">
      <c r="A4231" t="s">
        <v>2701</v>
      </c>
      <c r="B4231" t="s">
        <v>1417</v>
      </c>
    </row>
    <row r="4232" spans="1:2" x14ac:dyDescent="0.3">
      <c r="A4232" t="s">
        <v>1417</v>
      </c>
      <c r="B4232" t="s">
        <v>1417</v>
      </c>
    </row>
    <row r="4233" spans="1:2" x14ac:dyDescent="0.3">
      <c r="A4233" t="s">
        <v>1417</v>
      </c>
      <c r="B4233" t="s">
        <v>2701</v>
      </c>
    </row>
    <row r="4234" spans="1:2" x14ac:dyDescent="0.3">
      <c r="A4234" t="s">
        <v>4380</v>
      </c>
      <c r="B4234" t="s">
        <v>1417</v>
      </c>
    </row>
    <row r="4235" spans="1:2" x14ac:dyDescent="0.3">
      <c r="A4235" t="s">
        <v>1417</v>
      </c>
      <c r="B4235" t="s">
        <v>8267</v>
      </c>
    </row>
    <row r="4236" spans="1:2" x14ac:dyDescent="0.3">
      <c r="A4236" t="s">
        <v>1417</v>
      </c>
      <c r="B4236" t="s">
        <v>668</v>
      </c>
    </row>
    <row r="4237" spans="1:2" x14ac:dyDescent="0.3">
      <c r="A4237" t="s">
        <v>668</v>
      </c>
      <c r="B4237" t="s">
        <v>497</v>
      </c>
    </row>
    <row r="4238" spans="1:2" x14ac:dyDescent="0.3">
      <c r="A4238" t="s">
        <v>668</v>
      </c>
      <c r="B4238" t="s">
        <v>497</v>
      </c>
    </row>
    <row r="4239" spans="1:2" x14ac:dyDescent="0.3">
      <c r="A4239" t="s">
        <v>521</v>
      </c>
      <c r="B4239" t="s">
        <v>19</v>
      </c>
    </row>
    <row r="4240" spans="1:2" x14ac:dyDescent="0.3">
      <c r="A4240" t="s">
        <v>1417</v>
      </c>
      <c r="B4240" t="s">
        <v>2701</v>
      </c>
    </row>
    <row r="4241" spans="1:2" x14ac:dyDescent="0.3">
      <c r="A4241" t="s">
        <v>5524</v>
      </c>
      <c r="B4241" t="s">
        <v>668</v>
      </c>
    </row>
    <row r="4242" spans="1:2" x14ac:dyDescent="0.3">
      <c r="A4242" t="s">
        <v>668</v>
      </c>
      <c r="B4242" t="s">
        <v>7473</v>
      </c>
    </row>
    <row r="4243" spans="1:2" x14ac:dyDescent="0.3">
      <c r="A4243" t="s">
        <v>8268</v>
      </c>
      <c r="B4243" t="s">
        <v>4380</v>
      </c>
    </row>
    <row r="4244" spans="1:2" x14ac:dyDescent="0.3">
      <c r="A4244" t="s">
        <v>2701</v>
      </c>
      <c r="B4244" t="s">
        <v>1417</v>
      </c>
    </row>
    <row r="4245" spans="1:2" x14ac:dyDescent="0.3">
      <c r="A4245" t="s">
        <v>1417</v>
      </c>
      <c r="B4245" t="s">
        <v>2701</v>
      </c>
    </row>
    <row r="4246" spans="1:2" x14ac:dyDescent="0.3">
      <c r="A4246" t="s">
        <v>668</v>
      </c>
      <c r="B4246" t="s">
        <v>4380</v>
      </c>
    </row>
    <row r="4247" spans="1:2" x14ac:dyDescent="0.3">
      <c r="A4247" t="s">
        <v>2701</v>
      </c>
      <c r="B4247" t="s">
        <v>8046</v>
      </c>
    </row>
    <row r="4248" spans="1:2" x14ac:dyDescent="0.3">
      <c r="A4248" t="s">
        <v>362</v>
      </c>
      <c r="B4248" t="s">
        <v>7473</v>
      </c>
    </row>
    <row r="4249" spans="1:2" x14ac:dyDescent="0.3">
      <c r="A4249" t="s">
        <v>521</v>
      </c>
      <c r="B4249" t="s">
        <v>2701</v>
      </c>
    </row>
    <row r="4250" spans="1:2" x14ac:dyDescent="0.3">
      <c r="A4250" t="s">
        <v>521</v>
      </c>
      <c r="B4250" t="s">
        <v>4380</v>
      </c>
    </row>
    <row r="4251" spans="1:2" x14ac:dyDescent="0.3">
      <c r="A4251" t="s">
        <v>8268</v>
      </c>
      <c r="B4251" t="s">
        <v>8046</v>
      </c>
    </row>
    <row r="4252" spans="1:2" x14ac:dyDescent="0.3">
      <c r="A4252" t="s">
        <v>668</v>
      </c>
      <c r="B4252" t="s">
        <v>8267</v>
      </c>
    </row>
    <row r="4253" spans="1:2" x14ac:dyDescent="0.3">
      <c r="A4253" t="s">
        <v>2701</v>
      </c>
      <c r="B4253" t="s">
        <v>1417</v>
      </c>
    </row>
    <row r="4254" spans="1:2" x14ac:dyDescent="0.3">
      <c r="A4254" t="s">
        <v>668</v>
      </c>
      <c r="B4254" t="s">
        <v>362</v>
      </c>
    </row>
    <row r="4255" spans="1:2" x14ac:dyDescent="0.3">
      <c r="A4255" t="s">
        <v>8268</v>
      </c>
      <c r="B4255" t="s">
        <v>5138</v>
      </c>
    </row>
    <row r="4256" spans="1:2" x14ac:dyDescent="0.3">
      <c r="A4256" t="s">
        <v>521</v>
      </c>
      <c r="B4256" t="s">
        <v>4380</v>
      </c>
    </row>
    <row r="4257" spans="1:2" x14ac:dyDescent="0.3">
      <c r="A4257" t="s">
        <v>521</v>
      </c>
      <c r="B4257" t="s">
        <v>1417</v>
      </c>
    </row>
    <row r="4258" spans="1:2" x14ac:dyDescent="0.3">
      <c r="A4258" t="s">
        <v>8268</v>
      </c>
      <c r="B4258" t="s">
        <v>1417</v>
      </c>
    </row>
    <row r="4259" spans="1:2" x14ac:dyDescent="0.3">
      <c r="A4259" t="s">
        <v>5524</v>
      </c>
      <c r="B4259" t="s">
        <v>7473</v>
      </c>
    </row>
    <row r="4260" spans="1:2" x14ac:dyDescent="0.3">
      <c r="A4260" t="s">
        <v>1417</v>
      </c>
      <c r="B4260" t="s">
        <v>4380</v>
      </c>
    </row>
    <row r="4261" spans="1:2" x14ac:dyDescent="0.3">
      <c r="A4261" t="s">
        <v>1417</v>
      </c>
      <c r="B4261" t="s">
        <v>19</v>
      </c>
    </row>
    <row r="4262" spans="1:2" x14ac:dyDescent="0.3">
      <c r="A4262" t="s">
        <v>1417</v>
      </c>
      <c r="B4262" t="s">
        <v>1417</v>
      </c>
    </row>
    <row r="4263" spans="1:2" x14ac:dyDescent="0.3">
      <c r="A4263" t="s">
        <v>1417</v>
      </c>
      <c r="B4263" t="s">
        <v>497</v>
      </c>
    </row>
    <row r="4264" spans="1:2" x14ac:dyDescent="0.3">
      <c r="A4264" t="s">
        <v>362</v>
      </c>
      <c r="B4264" t="s">
        <v>7473</v>
      </c>
    </row>
    <row r="4265" spans="1:2" x14ac:dyDescent="0.3">
      <c r="A4265" t="s">
        <v>4843</v>
      </c>
      <c r="B4265" t="s">
        <v>1417</v>
      </c>
    </row>
    <row r="4266" spans="1:2" x14ac:dyDescent="0.3">
      <c r="A4266" t="s">
        <v>668</v>
      </c>
      <c r="B4266" t="s">
        <v>1417</v>
      </c>
    </row>
    <row r="4267" spans="1:2" x14ac:dyDescent="0.3">
      <c r="A4267" t="s">
        <v>5524</v>
      </c>
      <c r="B4267" t="s">
        <v>7473</v>
      </c>
    </row>
    <row r="4268" spans="1:2" x14ac:dyDescent="0.3">
      <c r="A4268" t="s">
        <v>1417</v>
      </c>
      <c r="B4268" t="s">
        <v>7473</v>
      </c>
    </row>
    <row r="4269" spans="1:2" x14ac:dyDescent="0.3">
      <c r="A4269" t="s">
        <v>1417</v>
      </c>
      <c r="B4269" t="s">
        <v>8267</v>
      </c>
    </row>
    <row r="4270" spans="1:2" x14ac:dyDescent="0.3">
      <c r="A4270" t="s">
        <v>1417</v>
      </c>
      <c r="B4270" t="s">
        <v>4380</v>
      </c>
    </row>
    <row r="4271" spans="1:2" x14ac:dyDescent="0.3">
      <c r="A4271" t="s">
        <v>1417</v>
      </c>
      <c r="B4271" t="s">
        <v>497</v>
      </c>
    </row>
    <row r="4272" spans="1:2" x14ac:dyDescent="0.3">
      <c r="A4272" t="s">
        <v>1417</v>
      </c>
      <c r="B4272" t="s">
        <v>5043</v>
      </c>
    </row>
    <row r="4273" spans="1:2" x14ac:dyDescent="0.3">
      <c r="A4273" t="s">
        <v>362</v>
      </c>
      <c r="B4273" t="s">
        <v>668</v>
      </c>
    </row>
    <row r="4274" spans="1:2" x14ac:dyDescent="0.3">
      <c r="A4274" t="s">
        <v>1417</v>
      </c>
      <c r="B4274" t="s">
        <v>1417</v>
      </c>
    </row>
    <row r="4275" spans="1:2" x14ac:dyDescent="0.3">
      <c r="A4275" t="s">
        <v>668</v>
      </c>
      <c r="B4275" t="s">
        <v>6902</v>
      </c>
    </row>
    <row r="4276" spans="1:2" x14ac:dyDescent="0.3">
      <c r="A4276" t="s">
        <v>8268</v>
      </c>
      <c r="B4276" t="s">
        <v>8266</v>
      </c>
    </row>
    <row r="4277" spans="1:2" x14ac:dyDescent="0.3">
      <c r="A4277" t="s">
        <v>1417</v>
      </c>
      <c r="B4277" t="s">
        <v>8268</v>
      </c>
    </row>
    <row r="4278" spans="1:2" x14ac:dyDescent="0.3">
      <c r="A4278" t="s">
        <v>521</v>
      </c>
      <c r="B4278" t="s">
        <v>8268</v>
      </c>
    </row>
    <row r="4279" spans="1:2" x14ac:dyDescent="0.3">
      <c r="A4279" t="s">
        <v>521</v>
      </c>
      <c r="B4279" t="s">
        <v>1417</v>
      </c>
    </row>
    <row r="4280" spans="1:2" x14ac:dyDescent="0.3">
      <c r="A4280" t="s">
        <v>8268</v>
      </c>
      <c r="B4280" t="s">
        <v>1417</v>
      </c>
    </row>
    <row r="4281" spans="1:2" x14ac:dyDescent="0.3">
      <c r="A4281" t="s">
        <v>668</v>
      </c>
      <c r="B4281" t="s">
        <v>362</v>
      </c>
    </row>
    <row r="4282" spans="1:2" x14ac:dyDescent="0.3">
      <c r="A4282" t="s">
        <v>2701</v>
      </c>
      <c r="B4282" t="s">
        <v>1417</v>
      </c>
    </row>
    <row r="4283" spans="1:2" x14ac:dyDescent="0.3">
      <c r="A4283" t="s">
        <v>668</v>
      </c>
      <c r="B4283" t="s">
        <v>1417</v>
      </c>
    </row>
    <row r="4284" spans="1:2" x14ac:dyDescent="0.3">
      <c r="A4284" t="s">
        <v>1417</v>
      </c>
      <c r="B4284" t="s">
        <v>1417</v>
      </c>
    </row>
    <row r="4285" spans="1:2" x14ac:dyDescent="0.3">
      <c r="A4285" t="s">
        <v>668</v>
      </c>
      <c r="B4285" t="s">
        <v>1417</v>
      </c>
    </row>
    <row r="4286" spans="1:2" x14ac:dyDescent="0.3">
      <c r="A4286" t="s">
        <v>4843</v>
      </c>
      <c r="B4286" t="s">
        <v>8268</v>
      </c>
    </row>
    <row r="4287" spans="1:2" x14ac:dyDescent="0.3">
      <c r="A4287" t="s">
        <v>362</v>
      </c>
      <c r="B4287" t="s">
        <v>5138</v>
      </c>
    </row>
    <row r="4288" spans="1:2" x14ac:dyDescent="0.3">
      <c r="A4288" t="s">
        <v>19</v>
      </c>
      <c r="B4288" t="s">
        <v>7473</v>
      </c>
    </row>
    <row r="4289" spans="1:2" x14ac:dyDescent="0.3">
      <c r="A4289" t="s">
        <v>1417</v>
      </c>
      <c r="B4289" t="s">
        <v>668</v>
      </c>
    </row>
    <row r="4290" spans="1:2" x14ac:dyDescent="0.3">
      <c r="A4290" t="s">
        <v>668</v>
      </c>
      <c r="B4290" t="s">
        <v>8266</v>
      </c>
    </row>
    <row r="4291" spans="1:2" x14ac:dyDescent="0.3">
      <c r="A4291" t="s">
        <v>19</v>
      </c>
      <c r="B4291" t="s">
        <v>7473</v>
      </c>
    </row>
    <row r="4292" spans="1:2" x14ac:dyDescent="0.3">
      <c r="A4292" t="s">
        <v>1417</v>
      </c>
      <c r="B4292" t="s">
        <v>5043</v>
      </c>
    </row>
    <row r="4293" spans="1:2" x14ac:dyDescent="0.3">
      <c r="A4293" t="s">
        <v>5524</v>
      </c>
      <c r="B4293" t="s">
        <v>1417</v>
      </c>
    </row>
    <row r="4294" spans="1:2" x14ac:dyDescent="0.3">
      <c r="A4294" t="s">
        <v>8268</v>
      </c>
      <c r="B4294" t="s">
        <v>4380</v>
      </c>
    </row>
    <row r="4295" spans="1:2" x14ac:dyDescent="0.3">
      <c r="A4295" t="s">
        <v>668</v>
      </c>
      <c r="B4295" t="s">
        <v>1417</v>
      </c>
    </row>
    <row r="4296" spans="1:2" x14ac:dyDescent="0.3">
      <c r="A4296" t="s">
        <v>668</v>
      </c>
      <c r="B4296" t="s">
        <v>4380</v>
      </c>
    </row>
    <row r="4297" spans="1:2" x14ac:dyDescent="0.3">
      <c r="A4297" t="s">
        <v>668</v>
      </c>
      <c r="B4297" t="s">
        <v>4380</v>
      </c>
    </row>
    <row r="4298" spans="1:2" x14ac:dyDescent="0.3">
      <c r="A4298" t="s">
        <v>668</v>
      </c>
      <c r="B4298" t="s">
        <v>6902</v>
      </c>
    </row>
    <row r="4299" spans="1:2" x14ac:dyDescent="0.3">
      <c r="A4299" t="s">
        <v>668</v>
      </c>
      <c r="B4299" t="s">
        <v>1417</v>
      </c>
    </row>
    <row r="4300" spans="1:2" x14ac:dyDescent="0.3">
      <c r="A4300" t="s">
        <v>521</v>
      </c>
      <c r="B4300" t="s">
        <v>7104</v>
      </c>
    </row>
    <row r="4301" spans="1:2" x14ac:dyDescent="0.3">
      <c r="A4301" t="s">
        <v>521</v>
      </c>
      <c r="B4301" t="s">
        <v>8270</v>
      </c>
    </row>
    <row r="4302" spans="1:2" x14ac:dyDescent="0.3">
      <c r="A4302" t="s">
        <v>5524</v>
      </c>
      <c r="B4302" t="s">
        <v>1417</v>
      </c>
    </row>
    <row r="4303" spans="1:2" x14ac:dyDescent="0.3">
      <c r="A4303" t="s">
        <v>668</v>
      </c>
      <c r="B4303" t="s">
        <v>4380</v>
      </c>
    </row>
    <row r="4304" spans="1:2" x14ac:dyDescent="0.3">
      <c r="A4304" t="s">
        <v>668</v>
      </c>
      <c r="B4304" t="s">
        <v>7473</v>
      </c>
    </row>
    <row r="4305" spans="1:2" x14ac:dyDescent="0.3">
      <c r="A4305" t="s">
        <v>1417</v>
      </c>
      <c r="B4305" t="s">
        <v>7473</v>
      </c>
    </row>
    <row r="4306" spans="1:2" x14ac:dyDescent="0.3">
      <c r="A4306" t="s">
        <v>668</v>
      </c>
      <c r="B4306" t="s">
        <v>5043</v>
      </c>
    </row>
    <row r="4307" spans="1:2" x14ac:dyDescent="0.3">
      <c r="A4307" t="s">
        <v>4843</v>
      </c>
      <c r="B4307" t="s">
        <v>5524</v>
      </c>
    </row>
    <row r="4308" spans="1:2" x14ac:dyDescent="0.3">
      <c r="A4308" t="s">
        <v>8268</v>
      </c>
      <c r="B4308" t="s">
        <v>1417</v>
      </c>
    </row>
    <row r="4309" spans="1:2" x14ac:dyDescent="0.3">
      <c r="A4309" t="s">
        <v>362</v>
      </c>
      <c r="B4309" t="s">
        <v>1417</v>
      </c>
    </row>
    <row r="4310" spans="1:2" x14ac:dyDescent="0.3">
      <c r="A4310" t="s">
        <v>668</v>
      </c>
      <c r="B4310" t="s">
        <v>2701</v>
      </c>
    </row>
    <row r="4311" spans="1:2" x14ac:dyDescent="0.3">
      <c r="A4311" t="s">
        <v>1417</v>
      </c>
      <c r="B4311" t="s">
        <v>1417</v>
      </c>
    </row>
    <row r="4312" spans="1:2" x14ac:dyDescent="0.3">
      <c r="A4312" t="s">
        <v>2701</v>
      </c>
      <c r="B4312" t="s">
        <v>362</v>
      </c>
    </row>
    <row r="4313" spans="1:2" x14ac:dyDescent="0.3">
      <c r="A4313" t="s">
        <v>1417</v>
      </c>
      <c r="B4313" t="s">
        <v>1417</v>
      </c>
    </row>
    <row r="4314" spans="1:2" x14ac:dyDescent="0.3">
      <c r="A4314" t="s">
        <v>1417</v>
      </c>
      <c r="B4314" t="s">
        <v>1417</v>
      </c>
    </row>
    <row r="4315" spans="1:2" x14ac:dyDescent="0.3">
      <c r="A4315" t="s">
        <v>668</v>
      </c>
      <c r="B4315" t="s">
        <v>1417</v>
      </c>
    </row>
    <row r="4316" spans="1:2" x14ac:dyDescent="0.3">
      <c r="A4316" t="s">
        <v>1417</v>
      </c>
      <c r="B4316" t="s">
        <v>1417</v>
      </c>
    </row>
    <row r="4317" spans="1:2" x14ac:dyDescent="0.3">
      <c r="A4317" t="s">
        <v>2701</v>
      </c>
      <c r="B4317" t="s">
        <v>5043</v>
      </c>
    </row>
    <row r="4318" spans="1:2" x14ac:dyDescent="0.3">
      <c r="A4318" t="s">
        <v>4380</v>
      </c>
      <c r="B4318" t="s">
        <v>8046</v>
      </c>
    </row>
    <row r="4319" spans="1:2" x14ac:dyDescent="0.3">
      <c r="A4319" t="s">
        <v>521</v>
      </c>
      <c r="B4319" t="s">
        <v>1417</v>
      </c>
    </row>
    <row r="4320" spans="1:2" x14ac:dyDescent="0.3">
      <c r="A4320" t="s">
        <v>521</v>
      </c>
      <c r="B4320" t="s">
        <v>2701</v>
      </c>
    </row>
    <row r="4321" spans="1:2" x14ac:dyDescent="0.3">
      <c r="A4321" t="s">
        <v>8268</v>
      </c>
      <c r="B4321" t="s">
        <v>1417</v>
      </c>
    </row>
    <row r="4322" spans="1:2" x14ac:dyDescent="0.3">
      <c r="A4322" t="s">
        <v>2701</v>
      </c>
      <c r="B4322" t="s">
        <v>5138</v>
      </c>
    </row>
    <row r="4323" spans="1:2" x14ac:dyDescent="0.3">
      <c r="A4323" t="s">
        <v>668</v>
      </c>
      <c r="B4323" t="s">
        <v>1417</v>
      </c>
    </row>
    <row r="4324" spans="1:2" x14ac:dyDescent="0.3">
      <c r="A4324" t="s">
        <v>8268</v>
      </c>
      <c r="B4324" t="s">
        <v>2701</v>
      </c>
    </row>
    <row r="4325" spans="1:2" x14ac:dyDescent="0.3">
      <c r="A4325" t="s">
        <v>19</v>
      </c>
      <c r="B4325" t="s">
        <v>497</v>
      </c>
    </row>
    <row r="4326" spans="1:2" x14ac:dyDescent="0.3">
      <c r="A4326" t="s">
        <v>668</v>
      </c>
      <c r="B4326" t="s">
        <v>1417</v>
      </c>
    </row>
    <row r="4327" spans="1:2" x14ac:dyDescent="0.3">
      <c r="A4327" t="s">
        <v>4380</v>
      </c>
      <c r="B4327" t="s">
        <v>7473</v>
      </c>
    </row>
    <row r="4328" spans="1:2" x14ac:dyDescent="0.3">
      <c r="A4328" t="s">
        <v>521</v>
      </c>
      <c r="B4328" t="s">
        <v>19</v>
      </c>
    </row>
    <row r="4329" spans="1:2" x14ac:dyDescent="0.3">
      <c r="A4329" t="s">
        <v>668</v>
      </c>
      <c r="B4329" t="s">
        <v>7104</v>
      </c>
    </row>
    <row r="4330" spans="1:2" x14ac:dyDescent="0.3">
      <c r="A4330" t="s">
        <v>8268</v>
      </c>
      <c r="B4330" t="s">
        <v>5043</v>
      </c>
    </row>
    <row r="4331" spans="1:2" x14ac:dyDescent="0.3">
      <c r="A4331" t="s">
        <v>2701</v>
      </c>
      <c r="B4331" t="s">
        <v>1417</v>
      </c>
    </row>
    <row r="4332" spans="1:2" x14ac:dyDescent="0.3">
      <c r="A4332" t="s">
        <v>8268</v>
      </c>
      <c r="B4332" t="s">
        <v>5138</v>
      </c>
    </row>
    <row r="4333" spans="1:2" x14ac:dyDescent="0.3">
      <c r="A4333" t="s">
        <v>668</v>
      </c>
      <c r="B4333" t="s">
        <v>7104</v>
      </c>
    </row>
    <row r="4334" spans="1:2" x14ac:dyDescent="0.3">
      <c r="A4334" t="s">
        <v>668</v>
      </c>
      <c r="B4334" t="s">
        <v>7473</v>
      </c>
    </row>
    <row r="4335" spans="1:2" x14ac:dyDescent="0.3">
      <c r="A4335" t="s">
        <v>668</v>
      </c>
      <c r="B4335" t="s">
        <v>7473</v>
      </c>
    </row>
    <row r="4336" spans="1:2" x14ac:dyDescent="0.3">
      <c r="A4336" t="s">
        <v>668</v>
      </c>
      <c r="B4336" t="s">
        <v>7473</v>
      </c>
    </row>
    <row r="4337" spans="1:2" x14ac:dyDescent="0.3">
      <c r="A4337" t="s">
        <v>2701</v>
      </c>
      <c r="B4337" t="s">
        <v>1417</v>
      </c>
    </row>
    <row r="4338" spans="1:2" x14ac:dyDescent="0.3">
      <c r="A4338" t="s">
        <v>668</v>
      </c>
      <c r="B4338" t="s">
        <v>1417</v>
      </c>
    </row>
    <row r="4339" spans="1:2" x14ac:dyDescent="0.3">
      <c r="A4339" t="s">
        <v>668</v>
      </c>
      <c r="B4339" t="s">
        <v>5043</v>
      </c>
    </row>
    <row r="4340" spans="1:2" x14ac:dyDescent="0.3">
      <c r="A4340" t="s">
        <v>19</v>
      </c>
      <c r="B4340" t="s">
        <v>1417</v>
      </c>
    </row>
    <row r="4341" spans="1:2" x14ac:dyDescent="0.3">
      <c r="A4341" t="s">
        <v>521</v>
      </c>
      <c r="B4341" t="s">
        <v>4380</v>
      </c>
    </row>
    <row r="4342" spans="1:2" x14ac:dyDescent="0.3">
      <c r="A4342" t="s">
        <v>668</v>
      </c>
      <c r="B4342" t="s">
        <v>668</v>
      </c>
    </row>
    <row r="4343" spans="1:2" x14ac:dyDescent="0.3">
      <c r="A4343" t="s">
        <v>1417</v>
      </c>
      <c r="B4343" t="s">
        <v>19</v>
      </c>
    </row>
    <row r="4344" spans="1:2" x14ac:dyDescent="0.3">
      <c r="A4344" t="s">
        <v>4380</v>
      </c>
      <c r="B4344" t="s">
        <v>2701</v>
      </c>
    </row>
    <row r="4345" spans="1:2" x14ac:dyDescent="0.3">
      <c r="A4345" t="s">
        <v>8268</v>
      </c>
      <c r="B4345" t="s">
        <v>8266</v>
      </c>
    </row>
    <row r="4346" spans="1:2" x14ac:dyDescent="0.3">
      <c r="A4346" t="s">
        <v>1417</v>
      </c>
      <c r="B4346" t="s">
        <v>7104</v>
      </c>
    </row>
    <row r="4347" spans="1:2" x14ac:dyDescent="0.3">
      <c r="A4347" t="s">
        <v>521</v>
      </c>
      <c r="B4347" t="s">
        <v>8269</v>
      </c>
    </row>
    <row r="4348" spans="1:2" x14ac:dyDescent="0.3">
      <c r="A4348" t="s">
        <v>1417</v>
      </c>
      <c r="B4348" t="s">
        <v>1417</v>
      </c>
    </row>
    <row r="4349" spans="1:2" x14ac:dyDescent="0.3">
      <c r="A4349" t="s">
        <v>668</v>
      </c>
      <c r="B4349" t="s">
        <v>2701</v>
      </c>
    </row>
    <row r="4350" spans="1:2" x14ac:dyDescent="0.3">
      <c r="A4350" t="s">
        <v>19</v>
      </c>
      <c r="B4350" t="s">
        <v>1417</v>
      </c>
    </row>
    <row r="4351" spans="1:2" x14ac:dyDescent="0.3">
      <c r="A4351" t="s">
        <v>1417</v>
      </c>
      <c r="B4351" t="s">
        <v>8267</v>
      </c>
    </row>
    <row r="4352" spans="1:2" x14ac:dyDescent="0.3">
      <c r="A4352" t="s">
        <v>1417</v>
      </c>
      <c r="B4352" t="s">
        <v>4380</v>
      </c>
    </row>
    <row r="4353" spans="1:2" x14ac:dyDescent="0.3">
      <c r="A4353" t="s">
        <v>1417</v>
      </c>
      <c r="B4353" t="s">
        <v>2701</v>
      </c>
    </row>
    <row r="4354" spans="1:2" x14ac:dyDescent="0.3">
      <c r="A4354" t="s">
        <v>2701</v>
      </c>
      <c r="B4354" t="s">
        <v>1417</v>
      </c>
    </row>
    <row r="4355" spans="1:2" x14ac:dyDescent="0.3">
      <c r="A4355" t="s">
        <v>5524</v>
      </c>
      <c r="B4355" t="s">
        <v>1417</v>
      </c>
    </row>
    <row r="4356" spans="1:2" x14ac:dyDescent="0.3">
      <c r="A4356" t="s">
        <v>1417</v>
      </c>
      <c r="B4356" t="s">
        <v>1417</v>
      </c>
    </row>
    <row r="4357" spans="1:2" x14ac:dyDescent="0.3">
      <c r="A4357" t="s">
        <v>1417</v>
      </c>
      <c r="B4357" t="s">
        <v>2701</v>
      </c>
    </row>
    <row r="4358" spans="1:2" x14ac:dyDescent="0.3">
      <c r="A4358" t="s">
        <v>1417</v>
      </c>
      <c r="B4358" t="s">
        <v>8268</v>
      </c>
    </row>
    <row r="4359" spans="1:2" x14ac:dyDescent="0.3">
      <c r="A4359" t="s">
        <v>5524</v>
      </c>
      <c r="B4359" t="s">
        <v>1417</v>
      </c>
    </row>
    <row r="4360" spans="1:2" x14ac:dyDescent="0.3">
      <c r="A4360" t="s">
        <v>1417</v>
      </c>
      <c r="B4360" t="s">
        <v>1417</v>
      </c>
    </row>
    <row r="4361" spans="1:2" x14ac:dyDescent="0.3">
      <c r="A4361" t="s">
        <v>668</v>
      </c>
      <c r="B4361" t="s">
        <v>2701</v>
      </c>
    </row>
    <row r="4362" spans="1:2" x14ac:dyDescent="0.3">
      <c r="A4362" t="s">
        <v>1417</v>
      </c>
      <c r="B4362" t="s">
        <v>19</v>
      </c>
    </row>
    <row r="4363" spans="1:2" x14ac:dyDescent="0.3">
      <c r="A4363" t="s">
        <v>1417</v>
      </c>
      <c r="B4363" t="s">
        <v>2701</v>
      </c>
    </row>
    <row r="4364" spans="1:2" x14ac:dyDescent="0.3">
      <c r="A4364" t="s">
        <v>521</v>
      </c>
      <c r="B4364" t="s">
        <v>8266</v>
      </c>
    </row>
    <row r="4365" spans="1:2" x14ac:dyDescent="0.3">
      <c r="A4365" t="s">
        <v>1417</v>
      </c>
      <c r="B4365" t="s">
        <v>7473</v>
      </c>
    </row>
    <row r="4366" spans="1:2" x14ac:dyDescent="0.3">
      <c r="A4366" t="s">
        <v>1417</v>
      </c>
      <c r="B4366" t="s">
        <v>668</v>
      </c>
    </row>
    <row r="4367" spans="1:2" x14ac:dyDescent="0.3">
      <c r="A4367" t="s">
        <v>668</v>
      </c>
      <c r="B4367" t="s">
        <v>5138</v>
      </c>
    </row>
    <row r="4368" spans="1:2" x14ac:dyDescent="0.3">
      <c r="A4368" t="s">
        <v>668</v>
      </c>
      <c r="B4368" t="s">
        <v>19</v>
      </c>
    </row>
    <row r="4369" spans="1:2" x14ac:dyDescent="0.3">
      <c r="A4369" t="s">
        <v>668</v>
      </c>
      <c r="B4369" t="s">
        <v>1417</v>
      </c>
    </row>
    <row r="4370" spans="1:2" x14ac:dyDescent="0.3">
      <c r="A4370" t="s">
        <v>362</v>
      </c>
      <c r="B4370" t="s">
        <v>5138</v>
      </c>
    </row>
    <row r="4371" spans="1:2" x14ac:dyDescent="0.3">
      <c r="A4371" t="s">
        <v>6171</v>
      </c>
      <c r="B4371" t="s">
        <v>2701</v>
      </c>
    </row>
    <row r="4372" spans="1:2" x14ac:dyDescent="0.3">
      <c r="A4372" t="s">
        <v>8268</v>
      </c>
      <c r="B4372" t="s">
        <v>1417</v>
      </c>
    </row>
    <row r="4373" spans="1:2" x14ac:dyDescent="0.3">
      <c r="A4373" t="s">
        <v>2701</v>
      </c>
      <c r="B4373" t="s">
        <v>1417</v>
      </c>
    </row>
    <row r="4374" spans="1:2" x14ac:dyDescent="0.3">
      <c r="A4374" t="s">
        <v>668</v>
      </c>
      <c r="B4374" t="s">
        <v>1417</v>
      </c>
    </row>
    <row r="4375" spans="1:2" x14ac:dyDescent="0.3">
      <c r="A4375" t="s">
        <v>521</v>
      </c>
      <c r="B4375" t="s">
        <v>1417</v>
      </c>
    </row>
    <row r="4376" spans="1:2" x14ac:dyDescent="0.3">
      <c r="A4376" t="s">
        <v>668</v>
      </c>
      <c r="B4376" t="s">
        <v>1417</v>
      </c>
    </row>
    <row r="4377" spans="1:2" x14ac:dyDescent="0.3">
      <c r="A4377" t="s">
        <v>8268</v>
      </c>
      <c r="B4377" t="s">
        <v>1417</v>
      </c>
    </row>
    <row r="4378" spans="1:2" x14ac:dyDescent="0.3">
      <c r="A4378" t="s">
        <v>1417</v>
      </c>
      <c r="B4378" t="s">
        <v>2701</v>
      </c>
    </row>
    <row r="4379" spans="1:2" x14ac:dyDescent="0.3">
      <c r="A4379" t="s">
        <v>362</v>
      </c>
      <c r="B4379" t="s">
        <v>4380</v>
      </c>
    </row>
    <row r="4380" spans="1:2" x14ac:dyDescent="0.3">
      <c r="A4380" t="s">
        <v>2701</v>
      </c>
      <c r="B4380" t="s">
        <v>19</v>
      </c>
    </row>
    <row r="4381" spans="1:2" x14ac:dyDescent="0.3">
      <c r="A4381" t="s">
        <v>362</v>
      </c>
      <c r="B4381" t="s">
        <v>7473</v>
      </c>
    </row>
    <row r="4382" spans="1:2" x14ac:dyDescent="0.3">
      <c r="A4382" t="s">
        <v>521</v>
      </c>
      <c r="B4382" t="s">
        <v>5138</v>
      </c>
    </row>
    <row r="4383" spans="1:2" x14ac:dyDescent="0.3">
      <c r="A4383" t="s">
        <v>8268</v>
      </c>
      <c r="B4383" t="s">
        <v>5043</v>
      </c>
    </row>
    <row r="4384" spans="1:2" x14ac:dyDescent="0.3">
      <c r="A4384" t="s">
        <v>2701</v>
      </c>
      <c r="B4384" t="s">
        <v>4380</v>
      </c>
    </row>
    <row r="4385" spans="1:2" x14ac:dyDescent="0.3">
      <c r="A4385" t="s">
        <v>668</v>
      </c>
      <c r="B4385" t="s">
        <v>8268</v>
      </c>
    </row>
    <row r="4386" spans="1:2" x14ac:dyDescent="0.3">
      <c r="A4386" t="s">
        <v>1417</v>
      </c>
      <c r="B4386" t="s">
        <v>497</v>
      </c>
    </row>
    <row r="4387" spans="1:2" x14ac:dyDescent="0.3">
      <c r="A4387" t="s">
        <v>1417</v>
      </c>
      <c r="B4387" t="s">
        <v>1417</v>
      </c>
    </row>
    <row r="4388" spans="1:2" x14ac:dyDescent="0.3">
      <c r="A4388" t="s">
        <v>1417</v>
      </c>
      <c r="B4388" t="s">
        <v>1417</v>
      </c>
    </row>
    <row r="4389" spans="1:2" x14ac:dyDescent="0.3">
      <c r="A4389" t="s">
        <v>668</v>
      </c>
      <c r="B4389" t="s">
        <v>8268</v>
      </c>
    </row>
    <row r="4390" spans="1:2" x14ac:dyDescent="0.3">
      <c r="A4390" t="s">
        <v>1417</v>
      </c>
      <c r="B4390" t="s">
        <v>7104</v>
      </c>
    </row>
    <row r="4391" spans="1:2" x14ac:dyDescent="0.3">
      <c r="A4391" t="s">
        <v>6171</v>
      </c>
      <c r="B4391" t="s">
        <v>8268</v>
      </c>
    </row>
    <row r="4392" spans="1:2" x14ac:dyDescent="0.3">
      <c r="A4392" t="s">
        <v>1417</v>
      </c>
      <c r="B4392" t="s">
        <v>1417</v>
      </c>
    </row>
    <row r="4393" spans="1:2" x14ac:dyDescent="0.3">
      <c r="A4393" t="s">
        <v>668</v>
      </c>
      <c r="B4393" t="s">
        <v>1417</v>
      </c>
    </row>
    <row r="4394" spans="1:2" x14ac:dyDescent="0.3">
      <c r="A4394" t="s">
        <v>8268</v>
      </c>
      <c r="B4394" t="s">
        <v>7473</v>
      </c>
    </row>
    <row r="4395" spans="1:2" x14ac:dyDescent="0.3">
      <c r="A4395" t="s">
        <v>668</v>
      </c>
      <c r="B4395" t="s">
        <v>8266</v>
      </c>
    </row>
    <row r="4396" spans="1:2" x14ac:dyDescent="0.3">
      <c r="A4396" t="s">
        <v>2701</v>
      </c>
      <c r="B4396" t="s">
        <v>2701</v>
      </c>
    </row>
    <row r="4397" spans="1:2" x14ac:dyDescent="0.3">
      <c r="A4397" t="s">
        <v>668</v>
      </c>
      <c r="B4397" t="s">
        <v>1417</v>
      </c>
    </row>
    <row r="4398" spans="1:2" x14ac:dyDescent="0.3">
      <c r="A4398" t="s">
        <v>1417</v>
      </c>
      <c r="B4398" t="s">
        <v>4380</v>
      </c>
    </row>
    <row r="4399" spans="1:2" x14ac:dyDescent="0.3">
      <c r="A4399" t="s">
        <v>7473</v>
      </c>
      <c r="B4399" t="s">
        <v>8268</v>
      </c>
    </row>
    <row r="4400" spans="1:2" x14ac:dyDescent="0.3">
      <c r="A4400" t="s">
        <v>8268</v>
      </c>
      <c r="B4400" t="s">
        <v>5043</v>
      </c>
    </row>
    <row r="4401" spans="1:2" x14ac:dyDescent="0.3">
      <c r="A4401" t="s">
        <v>1417</v>
      </c>
      <c r="B4401" t="s">
        <v>2701</v>
      </c>
    </row>
    <row r="4402" spans="1:2" x14ac:dyDescent="0.3">
      <c r="A4402" t="s">
        <v>2701</v>
      </c>
      <c r="B4402" t="s">
        <v>2701</v>
      </c>
    </row>
    <row r="4403" spans="1:2" x14ac:dyDescent="0.3">
      <c r="A4403" t="s">
        <v>521</v>
      </c>
      <c r="B4403" t="s">
        <v>1417</v>
      </c>
    </row>
    <row r="4404" spans="1:2" x14ac:dyDescent="0.3">
      <c r="A4404" t="s">
        <v>668</v>
      </c>
      <c r="B4404" t="s">
        <v>5138</v>
      </c>
    </row>
    <row r="4405" spans="1:2" x14ac:dyDescent="0.3">
      <c r="A4405" t="s">
        <v>521</v>
      </c>
      <c r="B4405" t="s">
        <v>8268</v>
      </c>
    </row>
    <row r="4406" spans="1:2" x14ac:dyDescent="0.3">
      <c r="A4406" t="s">
        <v>668</v>
      </c>
      <c r="B4406" t="s">
        <v>1417</v>
      </c>
    </row>
    <row r="4407" spans="1:2" x14ac:dyDescent="0.3">
      <c r="A4407" t="s">
        <v>1417</v>
      </c>
      <c r="B4407" t="s">
        <v>1417</v>
      </c>
    </row>
    <row r="4408" spans="1:2" x14ac:dyDescent="0.3">
      <c r="A4408" t="s">
        <v>668</v>
      </c>
      <c r="B4408" t="s">
        <v>1417</v>
      </c>
    </row>
    <row r="4409" spans="1:2" x14ac:dyDescent="0.3">
      <c r="A4409" t="s">
        <v>668</v>
      </c>
      <c r="B4409" t="s">
        <v>1417</v>
      </c>
    </row>
    <row r="4410" spans="1:2" x14ac:dyDescent="0.3">
      <c r="A4410" t="s">
        <v>668</v>
      </c>
      <c r="B4410" t="s">
        <v>2701</v>
      </c>
    </row>
    <row r="4411" spans="1:2" x14ac:dyDescent="0.3">
      <c r="A4411" t="s">
        <v>521</v>
      </c>
      <c r="B4411" t="s">
        <v>1417</v>
      </c>
    </row>
    <row r="4412" spans="1:2" x14ac:dyDescent="0.3">
      <c r="A4412" t="s">
        <v>8271</v>
      </c>
    </row>
    <row r="4413" spans="1:2" x14ac:dyDescent="0.3">
      <c r="A4413" t="s">
        <v>1417</v>
      </c>
    </row>
    <row r="4414" spans="1:2" x14ac:dyDescent="0.3">
      <c r="A4414" t="s">
        <v>668</v>
      </c>
    </row>
    <row r="4415" spans="1:2" x14ac:dyDescent="0.3">
      <c r="A4415" t="s">
        <v>497</v>
      </c>
    </row>
    <row r="4416" spans="1:2" x14ac:dyDescent="0.3">
      <c r="A4416" t="s">
        <v>668</v>
      </c>
    </row>
    <row r="4417" spans="1:1" x14ac:dyDescent="0.3">
      <c r="A4417" t="s">
        <v>8268</v>
      </c>
    </row>
    <row r="4418" spans="1:1" x14ac:dyDescent="0.3">
      <c r="A4418" t="s">
        <v>19</v>
      </c>
    </row>
    <row r="4419" spans="1:1" x14ac:dyDescent="0.3">
      <c r="A4419" t="s">
        <v>1417</v>
      </c>
    </row>
    <row r="4420" spans="1:1" x14ac:dyDescent="0.3">
      <c r="A4420" t="s">
        <v>668</v>
      </c>
    </row>
    <row r="4421" spans="1:1" x14ac:dyDescent="0.3">
      <c r="A4421" t="s">
        <v>8268</v>
      </c>
    </row>
    <row r="4422" spans="1:1" x14ac:dyDescent="0.3">
      <c r="A4422" t="s">
        <v>1417</v>
      </c>
    </row>
    <row r="4423" spans="1:1" x14ac:dyDescent="0.3">
      <c r="A4423" t="s">
        <v>1417</v>
      </c>
    </row>
    <row r="4424" spans="1:1" x14ac:dyDescent="0.3">
      <c r="A4424" t="s">
        <v>521</v>
      </c>
    </row>
    <row r="4425" spans="1:1" x14ac:dyDescent="0.3">
      <c r="A4425" t="s">
        <v>2701</v>
      </c>
    </row>
    <row r="4426" spans="1:1" x14ac:dyDescent="0.3">
      <c r="A4426" t="s">
        <v>668</v>
      </c>
    </row>
    <row r="4427" spans="1:1" x14ac:dyDescent="0.3">
      <c r="A4427" t="s">
        <v>1417</v>
      </c>
    </row>
    <row r="4428" spans="1:1" x14ac:dyDescent="0.3">
      <c r="A4428" t="s">
        <v>668</v>
      </c>
    </row>
    <row r="4429" spans="1:1" x14ac:dyDescent="0.3">
      <c r="A4429" t="s">
        <v>668</v>
      </c>
    </row>
    <row r="4430" spans="1:1" x14ac:dyDescent="0.3">
      <c r="A4430" t="s">
        <v>1417</v>
      </c>
    </row>
    <row r="4431" spans="1:1" x14ac:dyDescent="0.3">
      <c r="A4431" t="s">
        <v>668</v>
      </c>
    </row>
    <row r="4432" spans="1:1" x14ac:dyDescent="0.3">
      <c r="A4432" t="s">
        <v>668</v>
      </c>
    </row>
    <row r="4433" spans="1:1" x14ac:dyDescent="0.3">
      <c r="A4433" t="s">
        <v>668</v>
      </c>
    </row>
    <row r="4434" spans="1:1" x14ac:dyDescent="0.3">
      <c r="A4434" t="s">
        <v>1417</v>
      </c>
    </row>
    <row r="4435" spans="1:1" x14ac:dyDescent="0.3">
      <c r="A4435" t="s">
        <v>1417</v>
      </c>
    </row>
    <row r="4436" spans="1:1" x14ac:dyDescent="0.3">
      <c r="A4436" t="s">
        <v>497</v>
      </c>
    </row>
    <row r="4437" spans="1:1" x14ac:dyDescent="0.3">
      <c r="A4437" t="s">
        <v>1417</v>
      </c>
    </row>
    <row r="4438" spans="1:1" x14ac:dyDescent="0.3">
      <c r="A4438" t="s">
        <v>668</v>
      </c>
    </row>
    <row r="4439" spans="1:1" x14ac:dyDescent="0.3">
      <c r="A4439" t="s">
        <v>1417</v>
      </c>
    </row>
    <row r="4440" spans="1:1" x14ac:dyDescent="0.3">
      <c r="A4440" t="s">
        <v>668</v>
      </c>
    </row>
    <row r="4441" spans="1:1" x14ac:dyDescent="0.3">
      <c r="A4441" t="s">
        <v>19</v>
      </c>
    </row>
    <row r="4442" spans="1:1" x14ac:dyDescent="0.3">
      <c r="A4442" t="s">
        <v>1417</v>
      </c>
    </row>
    <row r="4443" spans="1:1" x14ac:dyDescent="0.3">
      <c r="A4443" t="s">
        <v>668</v>
      </c>
    </row>
    <row r="4444" spans="1:1" x14ac:dyDescent="0.3">
      <c r="A4444" t="s">
        <v>668</v>
      </c>
    </row>
    <row r="4445" spans="1:1" x14ac:dyDescent="0.3">
      <c r="A4445" t="s">
        <v>5138</v>
      </c>
    </row>
    <row r="4446" spans="1:1" x14ac:dyDescent="0.3">
      <c r="A4446" t="s">
        <v>668</v>
      </c>
    </row>
    <row r="4447" spans="1:1" x14ac:dyDescent="0.3">
      <c r="A4447" t="s">
        <v>521</v>
      </c>
    </row>
    <row r="4448" spans="1:1" x14ac:dyDescent="0.3">
      <c r="A4448" t="s">
        <v>521</v>
      </c>
    </row>
    <row r="4449" spans="1:1" x14ac:dyDescent="0.3">
      <c r="A4449" t="s">
        <v>1417</v>
      </c>
    </row>
    <row r="4450" spans="1:1" x14ac:dyDescent="0.3">
      <c r="A4450" t="s">
        <v>521</v>
      </c>
    </row>
    <row r="4451" spans="1:1" x14ac:dyDescent="0.3">
      <c r="A4451" t="s">
        <v>4843</v>
      </c>
    </row>
    <row r="4452" spans="1:1" x14ac:dyDescent="0.3">
      <c r="A4452" t="s">
        <v>1417</v>
      </c>
    </row>
    <row r="4453" spans="1:1" x14ac:dyDescent="0.3">
      <c r="A4453" t="s">
        <v>6171</v>
      </c>
    </row>
    <row r="4454" spans="1:1" x14ac:dyDescent="0.3">
      <c r="A4454" t="s">
        <v>362</v>
      </c>
    </row>
    <row r="4455" spans="1:1" x14ac:dyDescent="0.3">
      <c r="A4455" t="s">
        <v>1417</v>
      </c>
    </row>
    <row r="4456" spans="1:1" x14ac:dyDescent="0.3">
      <c r="A4456" t="s">
        <v>2701</v>
      </c>
    </row>
    <row r="4457" spans="1:1" x14ac:dyDescent="0.3">
      <c r="A4457" t="s">
        <v>8268</v>
      </c>
    </row>
    <row r="4458" spans="1:1" x14ac:dyDescent="0.3">
      <c r="A4458" t="s">
        <v>2701</v>
      </c>
    </row>
    <row r="4459" spans="1:1" x14ac:dyDescent="0.3">
      <c r="A4459" t="s">
        <v>362</v>
      </c>
    </row>
    <row r="4460" spans="1:1" x14ac:dyDescent="0.3">
      <c r="A4460" t="s">
        <v>668</v>
      </c>
    </row>
    <row r="4461" spans="1:1" x14ac:dyDescent="0.3">
      <c r="A4461" t="s">
        <v>6171</v>
      </c>
    </row>
    <row r="4462" spans="1:1" x14ac:dyDescent="0.3">
      <c r="A4462" t="s">
        <v>521</v>
      </c>
    </row>
    <row r="4463" spans="1:1" x14ac:dyDescent="0.3">
      <c r="A4463" t="s">
        <v>1417</v>
      </c>
    </row>
    <row r="4464" spans="1:1" x14ac:dyDescent="0.3">
      <c r="A4464" t="s">
        <v>668</v>
      </c>
    </row>
    <row r="4465" spans="1:1" x14ac:dyDescent="0.3">
      <c r="A4465" t="s">
        <v>1417</v>
      </c>
    </row>
    <row r="4466" spans="1:1" x14ac:dyDescent="0.3">
      <c r="A4466" t="s">
        <v>1417</v>
      </c>
    </row>
    <row r="4467" spans="1:1" x14ac:dyDescent="0.3">
      <c r="A4467" t="s">
        <v>668</v>
      </c>
    </row>
    <row r="4468" spans="1:1" x14ac:dyDescent="0.3">
      <c r="A4468" t="s">
        <v>521</v>
      </c>
    </row>
    <row r="4469" spans="1:1" x14ac:dyDescent="0.3">
      <c r="A4469" t="s">
        <v>1417</v>
      </c>
    </row>
    <row r="4470" spans="1:1" x14ac:dyDescent="0.3">
      <c r="A4470" t="s">
        <v>521</v>
      </c>
    </row>
    <row r="4471" spans="1:1" x14ac:dyDescent="0.3">
      <c r="A4471" t="s">
        <v>521</v>
      </c>
    </row>
    <row r="4472" spans="1:1" x14ac:dyDescent="0.3">
      <c r="A4472" t="s">
        <v>668</v>
      </c>
    </row>
    <row r="4473" spans="1:1" x14ac:dyDescent="0.3">
      <c r="A4473" t="s">
        <v>668</v>
      </c>
    </row>
    <row r="4474" spans="1:1" x14ac:dyDescent="0.3">
      <c r="A4474" t="s">
        <v>668</v>
      </c>
    </row>
    <row r="4475" spans="1:1" x14ac:dyDescent="0.3">
      <c r="A4475" t="s">
        <v>2701</v>
      </c>
    </row>
    <row r="4476" spans="1:1" x14ac:dyDescent="0.3">
      <c r="A4476" t="s">
        <v>1417</v>
      </c>
    </row>
    <row r="4477" spans="1:1" x14ac:dyDescent="0.3">
      <c r="A4477" t="s">
        <v>2701</v>
      </c>
    </row>
    <row r="4478" spans="1:1" x14ac:dyDescent="0.3">
      <c r="A4478" t="s">
        <v>1417</v>
      </c>
    </row>
    <row r="4479" spans="1:1" x14ac:dyDescent="0.3">
      <c r="A4479" t="s">
        <v>2701</v>
      </c>
    </row>
    <row r="4480" spans="1:1" x14ac:dyDescent="0.3">
      <c r="A4480" t="s">
        <v>1417</v>
      </c>
    </row>
    <row r="4481" spans="1:1" x14ac:dyDescent="0.3">
      <c r="A4481" t="s">
        <v>4843</v>
      </c>
    </row>
    <row r="4482" spans="1:1" x14ac:dyDescent="0.3">
      <c r="A4482" t="s">
        <v>8268</v>
      </c>
    </row>
    <row r="4483" spans="1:1" x14ac:dyDescent="0.3">
      <c r="A4483" t="s">
        <v>1417</v>
      </c>
    </row>
    <row r="4484" spans="1:1" x14ac:dyDescent="0.3">
      <c r="A4484" t="s">
        <v>1417</v>
      </c>
    </row>
    <row r="4485" spans="1:1" x14ac:dyDescent="0.3">
      <c r="A4485" t="s">
        <v>668</v>
      </c>
    </row>
    <row r="4486" spans="1:1" x14ac:dyDescent="0.3">
      <c r="A4486" t="s">
        <v>1417</v>
      </c>
    </row>
    <row r="4487" spans="1:1" x14ac:dyDescent="0.3">
      <c r="A4487" t="s">
        <v>2701</v>
      </c>
    </row>
    <row r="4488" spans="1:1" x14ac:dyDescent="0.3">
      <c r="A4488" t="s">
        <v>668</v>
      </c>
    </row>
    <row r="4489" spans="1:1" x14ac:dyDescent="0.3">
      <c r="A4489" t="s">
        <v>521</v>
      </c>
    </row>
    <row r="4490" spans="1:1" x14ac:dyDescent="0.3">
      <c r="A4490" t="s">
        <v>668</v>
      </c>
    </row>
    <row r="4491" spans="1:1" x14ac:dyDescent="0.3">
      <c r="A4491" t="s">
        <v>1417</v>
      </c>
    </row>
    <row r="4492" spans="1:1" x14ac:dyDescent="0.3">
      <c r="A4492" t="s">
        <v>668</v>
      </c>
    </row>
    <row r="4493" spans="1:1" x14ac:dyDescent="0.3">
      <c r="A4493" t="s">
        <v>1417</v>
      </c>
    </row>
    <row r="4494" spans="1:1" x14ac:dyDescent="0.3">
      <c r="A4494" t="s">
        <v>668</v>
      </c>
    </row>
    <row r="4495" spans="1:1" x14ac:dyDescent="0.3">
      <c r="A4495" t="s">
        <v>8268</v>
      </c>
    </row>
    <row r="4496" spans="1:1" x14ac:dyDescent="0.3">
      <c r="A4496" t="s">
        <v>668</v>
      </c>
    </row>
    <row r="4497" spans="1:1" x14ac:dyDescent="0.3">
      <c r="A4497" t="s">
        <v>1417</v>
      </c>
    </row>
    <row r="4498" spans="1:1" x14ac:dyDescent="0.3">
      <c r="A4498" t="s">
        <v>8268</v>
      </c>
    </row>
    <row r="4499" spans="1:1" x14ac:dyDescent="0.3">
      <c r="A4499" t="s">
        <v>1417</v>
      </c>
    </row>
    <row r="4500" spans="1:1" x14ac:dyDescent="0.3">
      <c r="A4500" t="s">
        <v>6171</v>
      </c>
    </row>
    <row r="4501" spans="1:1" x14ac:dyDescent="0.3">
      <c r="A4501" t="s">
        <v>668</v>
      </c>
    </row>
    <row r="4502" spans="1:1" x14ac:dyDescent="0.3">
      <c r="A4502" t="s">
        <v>668</v>
      </c>
    </row>
    <row r="4503" spans="1:1" x14ac:dyDescent="0.3">
      <c r="A4503" t="s">
        <v>668</v>
      </c>
    </row>
    <row r="4504" spans="1:1" x14ac:dyDescent="0.3">
      <c r="A4504" t="s">
        <v>19</v>
      </c>
    </row>
    <row r="4505" spans="1:1" x14ac:dyDescent="0.3">
      <c r="A4505" t="s">
        <v>668</v>
      </c>
    </row>
    <row r="4506" spans="1:1" x14ac:dyDescent="0.3">
      <c r="A4506" t="s">
        <v>1417</v>
      </c>
    </row>
    <row r="4507" spans="1:1" x14ac:dyDescent="0.3">
      <c r="A4507" t="s">
        <v>668</v>
      </c>
    </row>
    <row r="4508" spans="1:1" x14ac:dyDescent="0.3">
      <c r="A4508" t="s">
        <v>362</v>
      </c>
    </row>
    <row r="4509" spans="1:1" x14ac:dyDescent="0.3">
      <c r="A4509" t="s">
        <v>668</v>
      </c>
    </row>
    <row r="4510" spans="1:1" x14ac:dyDescent="0.3">
      <c r="A4510" t="s">
        <v>521</v>
      </c>
    </row>
    <row r="4511" spans="1:1" x14ac:dyDescent="0.3">
      <c r="A4511" t="s">
        <v>4380</v>
      </c>
    </row>
    <row r="4512" spans="1:1" x14ac:dyDescent="0.3">
      <c r="A4512" t="s">
        <v>521</v>
      </c>
    </row>
    <row r="4513" spans="1:1" x14ac:dyDescent="0.3">
      <c r="A4513" t="s">
        <v>362</v>
      </c>
    </row>
    <row r="4514" spans="1:1" x14ac:dyDescent="0.3">
      <c r="A4514" t="s">
        <v>521</v>
      </c>
    </row>
    <row r="4515" spans="1:1" x14ac:dyDescent="0.3">
      <c r="A4515" t="s">
        <v>2701</v>
      </c>
    </row>
    <row r="4516" spans="1:1" x14ac:dyDescent="0.3">
      <c r="A4516" t="s">
        <v>2701</v>
      </c>
    </row>
    <row r="4517" spans="1:1" x14ac:dyDescent="0.3">
      <c r="A4517" t="s">
        <v>668</v>
      </c>
    </row>
    <row r="4518" spans="1:1" x14ac:dyDescent="0.3">
      <c r="A4518" t="s">
        <v>8268</v>
      </c>
    </row>
    <row r="4519" spans="1:1" x14ac:dyDescent="0.3">
      <c r="A4519" t="s">
        <v>1417</v>
      </c>
    </row>
    <row r="4520" spans="1:1" x14ac:dyDescent="0.3">
      <c r="A4520" t="s">
        <v>521</v>
      </c>
    </row>
    <row r="4521" spans="1:1" x14ac:dyDescent="0.3">
      <c r="A4521" t="s">
        <v>19</v>
      </c>
    </row>
    <row r="4522" spans="1:1" x14ac:dyDescent="0.3">
      <c r="A4522" t="s">
        <v>668</v>
      </c>
    </row>
    <row r="4523" spans="1:1" x14ac:dyDescent="0.3">
      <c r="A4523" t="s">
        <v>1417</v>
      </c>
    </row>
    <row r="4524" spans="1:1" x14ac:dyDescent="0.3">
      <c r="A4524" t="s">
        <v>5138</v>
      </c>
    </row>
    <row r="4525" spans="1:1" x14ac:dyDescent="0.3">
      <c r="A4525" t="s">
        <v>521</v>
      </c>
    </row>
    <row r="4526" spans="1:1" x14ac:dyDescent="0.3">
      <c r="A4526" t="s">
        <v>521</v>
      </c>
    </row>
    <row r="4527" spans="1:1" x14ac:dyDescent="0.3">
      <c r="A4527" t="s">
        <v>2701</v>
      </c>
    </row>
    <row r="4528" spans="1:1" x14ac:dyDescent="0.3">
      <c r="A4528" t="s">
        <v>1417</v>
      </c>
    </row>
    <row r="4529" spans="1:1" x14ac:dyDescent="0.3">
      <c r="A4529" t="s">
        <v>1417</v>
      </c>
    </row>
    <row r="4530" spans="1:1" x14ac:dyDescent="0.3">
      <c r="A4530" t="s">
        <v>668</v>
      </c>
    </row>
    <row r="4531" spans="1:1" x14ac:dyDescent="0.3">
      <c r="A4531" t="s">
        <v>1417</v>
      </c>
    </row>
    <row r="4532" spans="1:1" x14ac:dyDescent="0.3">
      <c r="A4532" t="s">
        <v>1417</v>
      </c>
    </row>
    <row r="4533" spans="1:1" x14ac:dyDescent="0.3">
      <c r="A4533" t="s">
        <v>1417</v>
      </c>
    </row>
    <row r="4534" spans="1:1" x14ac:dyDescent="0.3">
      <c r="A4534" t="s">
        <v>497</v>
      </c>
    </row>
    <row r="4535" spans="1:1" x14ac:dyDescent="0.3">
      <c r="A4535" t="s">
        <v>362</v>
      </c>
    </row>
    <row r="4536" spans="1:1" x14ac:dyDescent="0.3">
      <c r="A4536" t="s">
        <v>2701</v>
      </c>
    </row>
    <row r="4537" spans="1:1" x14ac:dyDescent="0.3">
      <c r="A4537" t="s">
        <v>8268</v>
      </c>
    </row>
    <row r="4538" spans="1:1" x14ac:dyDescent="0.3">
      <c r="A4538" t="s">
        <v>2701</v>
      </c>
    </row>
    <row r="4539" spans="1:1" x14ac:dyDescent="0.3">
      <c r="A4539" t="s">
        <v>521</v>
      </c>
    </row>
    <row r="4540" spans="1:1" x14ac:dyDescent="0.3">
      <c r="A4540" t="s">
        <v>2701</v>
      </c>
    </row>
    <row r="4541" spans="1:1" x14ac:dyDescent="0.3">
      <c r="A4541" t="s">
        <v>497</v>
      </c>
    </row>
    <row r="4542" spans="1:1" x14ac:dyDescent="0.3">
      <c r="A4542" t="s">
        <v>1417</v>
      </c>
    </row>
    <row r="4543" spans="1:1" x14ac:dyDescent="0.3">
      <c r="A4543" t="s">
        <v>1417</v>
      </c>
    </row>
    <row r="4544" spans="1:1" x14ac:dyDescent="0.3">
      <c r="A4544" t="s">
        <v>521</v>
      </c>
    </row>
    <row r="4545" spans="1:1" x14ac:dyDescent="0.3">
      <c r="A4545" t="s">
        <v>1417</v>
      </c>
    </row>
    <row r="4546" spans="1:1" x14ac:dyDescent="0.3">
      <c r="A4546" t="s">
        <v>362</v>
      </c>
    </row>
    <row r="4547" spans="1:1" x14ac:dyDescent="0.3">
      <c r="A4547" t="s">
        <v>2701</v>
      </c>
    </row>
    <row r="4548" spans="1:1" x14ac:dyDescent="0.3">
      <c r="A4548" t="s">
        <v>668</v>
      </c>
    </row>
    <row r="4549" spans="1:1" x14ac:dyDescent="0.3">
      <c r="A4549" t="s">
        <v>1417</v>
      </c>
    </row>
    <row r="4550" spans="1:1" x14ac:dyDescent="0.3">
      <c r="A4550" t="s">
        <v>19</v>
      </c>
    </row>
    <row r="4551" spans="1:1" x14ac:dyDescent="0.3">
      <c r="A4551" t="s">
        <v>521</v>
      </c>
    </row>
    <row r="4552" spans="1:1" x14ac:dyDescent="0.3">
      <c r="A4552" t="s">
        <v>5524</v>
      </c>
    </row>
    <row r="4553" spans="1:1" x14ac:dyDescent="0.3">
      <c r="A4553" t="s">
        <v>362</v>
      </c>
    </row>
    <row r="4554" spans="1:1" x14ac:dyDescent="0.3">
      <c r="A4554" t="s">
        <v>1417</v>
      </c>
    </row>
    <row r="4555" spans="1:1" x14ac:dyDescent="0.3">
      <c r="A4555" t="s">
        <v>5524</v>
      </c>
    </row>
    <row r="4556" spans="1:1" x14ac:dyDescent="0.3">
      <c r="A4556" t="s">
        <v>19</v>
      </c>
    </row>
    <row r="4557" spans="1:1" x14ac:dyDescent="0.3">
      <c r="A4557" t="s">
        <v>1417</v>
      </c>
    </row>
    <row r="4558" spans="1:1" x14ac:dyDescent="0.3">
      <c r="A4558" t="s">
        <v>668</v>
      </c>
    </row>
    <row r="4559" spans="1:1" x14ac:dyDescent="0.3">
      <c r="A4559" t="s">
        <v>668</v>
      </c>
    </row>
    <row r="4560" spans="1:1" x14ac:dyDescent="0.3">
      <c r="A4560" t="s">
        <v>668</v>
      </c>
    </row>
    <row r="4561" spans="1:1" x14ac:dyDescent="0.3">
      <c r="A4561" t="s">
        <v>1417</v>
      </c>
    </row>
    <row r="4562" spans="1:1" x14ac:dyDescent="0.3">
      <c r="A4562" t="s">
        <v>668</v>
      </c>
    </row>
    <row r="4563" spans="1:1" x14ac:dyDescent="0.3">
      <c r="A4563" t="s">
        <v>8268</v>
      </c>
    </row>
    <row r="4564" spans="1:1" x14ac:dyDescent="0.3">
      <c r="A4564" t="s">
        <v>19</v>
      </c>
    </row>
    <row r="4565" spans="1:1" x14ac:dyDescent="0.3">
      <c r="A4565" t="s">
        <v>668</v>
      </c>
    </row>
    <row r="4566" spans="1:1" x14ac:dyDescent="0.3">
      <c r="A4566" t="s">
        <v>668</v>
      </c>
    </row>
    <row r="4567" spans="1:1" x14ac:dyDescent="0.3">
      <c r="A4567" t="s">
        <v>668</v>
      </c>
    </row>
    <row r="4568" spans="1:1" x14ac:dyDescent="0.3">
      <c r="A4568" t="s">
        <v>19</v>
      </c>
    </row>
    <row r="4569" spans="1:1" x14ac:dyDescent="0.3">
      <c r="A4569" t="s">
        <v>668</v>
      </c>
    </row>
    <row r="4570" spans="1:1" x14ac:dyDescent="0.3">
      <c r="A4570" t="s">
        <v>668</v>
      </c>
    </row>
    <row r="4571" spans="1:1" x14ac:dyDescent="0.3">
      <c r="A4571" t="s">
        <v>362</v>
      </c>
    </row>
    <row r="4572" spans="1:1" x14ac:dyDescent="0.3">
      <c r="A4572" t="s">
        <v>1417</v>
      </c>
    </row>
    <row r="4573" spans="1:1" x14ac:dyDescent="0.3">
      <c r="A4573" t="s">
        <v>8268</v>
      </c>
    </row>
    <row r="4574" spans="1:1" x14ac:dyDescent="0.3">
      <c r="A4574" t="s">
        <v>1417</v>
      </c>
    </row>
    <row r="4575" spans="1:1" x14ac:dyDescent="0.3">
      <c r="A4575" t="s">
        <v>668</v>
      </c>
    </row>
    <row r="4576" spans="1:1" x14ac:dyDescent="0.3">
      <c r="A4576" t="s">
        <v>668</v>
      </c>
    </row>
    <row r="4577" spans="1:1" x14ac:dyDescent="0.3">
      <c r="A4577" t="s">
        <v>1417</v>
      </c>
    </row>
    <row r="4578" spans="1:1" x14ac:dyDescent="0.3">
      <c r="A4578" t="s">
        <v>668</v>
      </c>
    </row>
    <row r="4579" spans="1:1" x14ac:dyDescent="0.3">
      <c r="A4579" t="s">
        <v>1417</v>
      </c>
    </row>
    <row r="4580" spans="1:1" x14ac:dyDescent="0.3">
      <c r="A4580" t="s">
        <v>668</v>
      </c>
    </row>
    <row r="4581" spans="1:1" x14ac:dyDescent="0.3">
      <c r="A4581" t="s">
        <v>1417</v>
      </c>
    </row>
    <row r="4582" spans="1:1" x14ac:dyDescent="0.3">
      <c r="A4582" t="s">
        <v>8268</v>
      </c>
    </row>
    <row r="4583" spans="1:1" x14ac:dyDescent="0.3">
      <c r="A4583" t="s">
        <v>668</v>
      </c>
    </row>
    <row r="4584" spans="1:1" x14ac:dyDescent="0.3">
      <c r="A4584" t="s">
        <v>1417</v>
      </c>
    </row>
    <row r="4585" spans="1:1" x14ac:dyDescent="0.3">
      <c r="A4585" t="s">
        <v>668</v>
      </c>
    </row>
    <row r="4586" spans="1:1" x14ac:dyDescent="0.3">
      <c r="A4586" t="s">
        <v>1417</v>
      </c>
    </row>
    <row r="4587" spans="1:1" x14ac:dyDescent="0.3">
      <c r="A4587" t="s">
        <v>5524</v>
      </c>
    </row>
    <row r="4588" spans="1:1" x14ac:dyDescent="0.3">
      <c r="A4588" t="s">
        <v>8268</v>
      </c>
    </row>
    <row r="4589" spans="1:1" x14ac:dyDescent="0.3">
      <c r="A4589" t="s">
        <v>19</v>
      </c>
    </row>
    <row r="4590" spans="1:1" x14ac:dyDescent="0.3">
      <c r="A4590" t="s">
        <v>1417</v>
      </c>
    </row>
    <row r="4591" spans="1:1" x14ac:dyDescent="0.3">
      <c r="A4591" t="s">
        <v>668</v>
      </c>
    </row>
    <row r="4592" spans="1:1" x14ac:dyDescent="0.3">
      <c r="A4592" t="s">
        <v>362</v>
      </c>
    </row>
    <row r="4593" spans="1:1" x14ac:dyDescent="0.3">
      <c r="A4593" t="s">
        <v>19</v>
      </c>
    </row>
    <row r="4594" spans="1:1" x14ac:dyDescent="0.3">
      <c r="A4594" t="s">
        <v>521</v>
      </c>
    </row>
    <row r="4595" spans="1:1" x14ac:dyDescent="0.3">
      <c r="A4595" t="s">
        <v>4380</v>
      </c>
    </row>
    <row r="4596" spans="1:1" x14ac:dyDescent="0.3">
      <c r="A4596" t="s">
        <v>2701</v>
      </c>
    </row>
    <row r="4597" spans="1:1" x14ac:dyDescent="0.3">
      <c r="A4597" t="s">
        <v>668</v>
      </c>
    </row>
    <row r="4598" spans="1:1" x14ac:dyDescent="0.3">
      <c r="A4598" t="s">
        <v>668</v>
      </c>
    </row>
    <row r="4599" spans="1:1" x14ac:dyDescent="0.3">
      <c r="A4599" t="s">
        <v>8268</v>
      </c>
    </row>
    <row r="4600" spans="1:1" x14ac:dyDescent="0.3">
      <c r="A4600" t="s">
        <v>668</v>
      </c>
    </row>
    <row r="4601" spans="1:1" x14ac:dyDescent="0.3">
      <c r="A4601" t="s">
        <v>521</v>
      </c>
    </row>
    <row r="4602" spans="1:1" x14ac:dyDescent="0.3">
      <c r="A4602" t="s">
        <v>668</v>
      </c>
    </row>
    <row r="4603" spans="1:1" x14ac:dyDescent="0.3">
      <c r="A4603" t="s">
        <v>8268</v>
      </c>
    </row>
    <row r="4604" spans="1:1" x14ac:dyDescent="0.3">
      <c r="A4604" t="s">
        <v>1417</v>
      </c>
    </row>
    <row r="4605" spans="1:1" x14ac:dyDescent="0.3">
      <c r="A4605" t="s">
        <v>668</v>
      </c>
    </row>
    <row r="4606" spans="1:1" x14ac:dyDescent="0.3">
      <c r="A4606" t="s">
        <v>668</v>
      </c>
    </row>
    <row r="4607" spans="1:1" x14ac:dyDescent="0.3">
      <c r="A4607" t="s">
        <v>521</v>
      </c>
    </row>
    <row r="4608" spans="1:1" x14ac:dyDescent="0.3">
      <c r="A4608" t="s">
        <v>521</v>
      </c>
    </row>
    <row r="4609" spans="1:1" x14ac:dyDescent="0.3">
      <c r="A4609" t="s">
        <v>668</v>
      </c>
    </row>
    <row r="4610" spans="1:1" x14ac:dyDescent="0.3">
      <c r="A4610" t="s">
        <v>8268</v>
      </c>
    </row>
    <row r="4611" spans="1:1" x14ac:dyDescent="0.3">
      <c r="A4611" t="s">
        <v>668</v>
      </c>
    </row>
    <row r="4612" spans="1:1" x14ac:dyDescent="0.3">
      <c r="A4612" t="s">
        <v>1417</v>
      </c>
    </row>
    <row r="4613" spans="1:1" x14ac:dyDescent="0.3">
      <c r="A4613" t="s">
        <v>668</v>
      </c>
    </row>
    <row r="4614" spans="1:1" x14ac:dyDescent="0.3">
      <c r="A4614" t="s">
        <v>8268</v>
      </c>
    </row>
    <row r="4615" spans="1:1" x14ac:dyDescent="0.3">
      <c r="A4615" t="s">
        <v>668</v>
      </c>
    </row>
    <row r="4616" spans="1:1" x14ac:dyDescent="0.3">
      <c r="A4616" t="s">
        <v>1417</v>
      </c>
    </row>
    <row r="4617" spans="1:1" x14ac:dyDescent="0.3">
      <c r="A4617" t="s">
        <v>1417</v>
      </c>
    </row>
    <row r="4618" spans="1:1" x14ac:dyDescent="0.3">
      <c r="A4618" t="s">
        <v>1417</v>
      </c>
    </row>
    <row r="4619" spans="1:1" x14ac:dyDescent="0.3">
      <c r="A4619" t="s">
        <v>1417</v>
      </c>
    </row>
    <row r="4620" spans="1:1" x14ac:dyDescent="0.3">
      <c r="A4620" t="s">
        <v>668</v>
      </c>
    </row>
    <row r="4621" spans="1:1" x14ac:dyDescent="0.3">
      <c r="A4621" t="s">
        <v>2701</v>
      </c>
    </row>
    <row r="4622" spans="1:1" x14ac:dyDescent="0.3">
      <c r="A4622" t="s">
        <v>1417</v>
      </c>
    </row>
    <row r="4623" spans="1:1" x14ac:dyDescent="0.3">
      <c r="A4623" t="s">
        <v>668</v>
      </c>
    </row>
    <row r="4624" spans="1:1" x14ac:dyDescent="0.3">
      <c r="A4624" t="s">
        <v>668</v>
      </c>
    </row>
    <row r="4625" spans="1:1" x14ac:dyDescent="0.3">
      <c r="A4625" t="s">
        <v>6171</v>
      </c>
    </row>
    <row r="4626" spans="1:1" x14ac:dyDescent="0.3">
      <c r="A4626" t="s">
        <v>2701</v>
      </c>
    </row>
    <row r="4627" spans="1:1" x14ac:dyDescent="0.3">
      <c r="A4627" t="s">
        <v>2701</v>
      </c>
    </row>
    <row r="4628" spans="1:1" x14ac:dyDescent="0.3">
      <c r="A4628" t="s">
        <v>1417</v>
      </c>
    </row>
    <row r="4629" spans="1:1" x14ac:dyDescent="0.3">
      <c r="A4629" t="s">
        <v>1417</v>
      </c>
    </row>
    <row r="4630" spans="1:1" x14ac:dyDescent="0.3">
      <c r="A4630" t="s">
        <v>2701</v>
      </c>
    </row>
    <row r="4631" spans="1:1" x14ac:dyDescent="0.3">
      <c r="A4631" t="s">
        <v>521</v>
      </c>
    </row>
    <row r="4632" spans="1:1" x14ac:dyDescent="0.3">
      <c r="A4632" t="s">
        <v>1417</v>
      </c>
    </row>
    <row r="4633" spans="1:1" x14ac:dyDescent="0.3">
      <c r="A4633" t="s">
        <v>8268</v>
      </c>
    </row>
    <row r="4634" spans="1:1" x14ac:dyDescent="0.3">
      <c r="A4634" t="s">
        <v>1417</v>
      </c>
    </row>
    <row r="4635" spans="1:1" x14ac:dyDescent="0.3">
      <c r="A4635" t="s">
        <v>2701</v>
      </c>
    </row>
    <row r="4636" spans="1:1" x14ac:dyDescent="0.3">
      <c r="A4636" t="s">
        <v>668</v>
      </c>
    </row>
    <row r="4637" spans="1:1" x14ac:dyDescent="0.3">
      <c r="A4637" t="s">
        <v>1417</v>
      </c>
    </row>
    <row r="4638" spans="1:1" x14ac:dyDescent="0.3">
      <c r="A4638" t="s">
        <v>668</v>
      </c>
    </row>
    <row r="4639" spans="1:1" x14ac:dyDescent="0.3">
      <c r="A4639" t="s">
        <v>19</v>
      </c>
    </row>
    <row r="4640" spans="1:1" x14ac:dyDescent="0.3">
      <c r="A4640" t="s">
        <v>8268</v>
      </c>
    </row>
    <row r="4641" spans="1:1" x14ac:dyDescent="0.3">
      <c r="A4641" t="s">
        <v>668</v>
      </c>
    </row>
    <row r="4642" spans="1:1" x14ac:dyDescent="0.3">
      <c r="A4642" t="s">
        <v>1417</v>
      </c>
    </row>
    <row r="4643" spans="1:1" x14ac:dyDescent="0.3">
      <c r="A4643" t="s">
        <v>2701</v>
      </c>
    </row>
    <row r="4644" spans="1:1" x14ac:dyDescent="0.3">
      <c r="A4644" t="s">
        <v>8268</v>
      </c>
    </row>
    <row r="4645" spans="1:1" x14ac:dyDescent="0.3">
      <c r="A4645" t="s">
        <v>1417</v>
      </c>
    </row>
    <row r="4646" spans="1:1" x14ac:dyDescent="0.3">
      <c r="A4646" t="s">
        <v>1417</v>
      </c>
    </row>
    <row r="4647" spans="1:1" x14ac:dyDescent="0.3">
      <c r="A4647" t="s">
        <v>5524</v>
      </c>
    </row>
    <row r="4648" spans="1:1" x14ac:dyDescent="0.3">
      <c r="A4648" t="s">
        <v>668</v>
      </c>
    </row>
    <row r="4649" spans="1:1" x14ac:dyDescent="0.3">
      <c r="A4649" t="s">
        <v>4843</v>
      </c>
    </row>
    <row r="4650" spans="1:1" x14ac:dyDescent="0.3">
      <c r="A4650" t="s">
        <v>668</v>
      </c>
    </row>
    <row r="4651" spans="1:1" x14ac:dyDescent="0.3">
      <c r="A4651" t="s">
        <v>521</v>
      </c>
    </row>
    <row r="4652" spans="1:1" x14ac:dyDescent="0.3">
      <c r="A4652" t="s">
        <v>668</v>
      </c>
    </row>
    <row r="4653" spans="1:1" x14ac:dyDescent="0.3">
      <c r="A4653" t="s">
        <v>1417</v>
      </c>
    </row>
    <row r="4654" spans="1:1" x14ac:dyDescent="0.3">
      <c r="A4654" t="s">
        <v>1417</v>
      </c>
    </row>
    <row r="4655" spans="1:1" x14ac:dyDescent="0.3">
      <c r="A4655" t="s">
        <v>668</v>
      </c>
    </row>
    <row r="4656" spans="1:1" x14ac:dyDescent="0.3">
      <c r="A4656" t="s">
        <v>668</v>
      </c>
    </row>
    <row r="4657" spans="1:1" x14ac:dyDescent="0.3">
      <c r="A4657" t="s">
        <v>1417</v>
      </c>
    </row>
    <row r="4658" spans="1:1" x14ac:dyDescent="0.3">
      <c r="A4658" t="s">
        <v>8268</v>
      </c>
    </row>
    <row r="4659" spans="1:1" x14ac:dyDescent="0.3">
      <c r="A4659" t="s">
        <v>521</v>
      </c>
    </row>
    <row r="4660" spans="1:1" x14ac:dyDescent="0.3">
      <c r="A4660" t="s">
        <v>8266</v>
      </c>
    </row>
    <row r="4661" spans="1:1" x14ac:dyDescent="0.3">
      <c r="A4661" t="s">
        <v>1417</v>
      </c>
    </row>
    <row r="4662" spans="1:1" x14ac:dyDescent="0.3">
      <c r="A4662" t="s">
        <v>4380</v>
      </c>
    </row>
    <row r="4663" spans="1:1" x14ac:dyDescent="0.3">
      <c r="A4663" t="s">
        <v>668</v>
      </c>
    </row>
    <row r="4664" spans="1:1" x14ac:dyDescent="0.3">
      <c r="A4664" t="s">
        <v>1417</v>
      </c>
    </row>
    <row r="4665" spans="1:1" x14ac:dyDescent="0.3">
      <c r="A4665" t="s">
        <v>1417</v>
      </c>
    </row>
    <row r="4666" spans="1:1" x14ac:dyDescent="0.3">
      <c r="A4666" t="s">
        <v>8268</v>
      </c>
    </row>
    <row r="4667" spans="1:1" x14ac:dyDescent="0.3">
      <c r="A4667" t="s">
        <v>1417</v>
      </c>
    </row>
    <row r="4668" spans="1:1" x14ac:dyDescent="0.3">
      <c r="A4668" t="s">
        <v>1417</v>
      </c>
    </row>
    <row r="4669" spans="1:1" x14ac:dyDescent="0.3">
      <c r="A4669" t="s">
        <v>1417</v>
      </c>
    </row>
    <row r="4670" spans="1:1" x14ac:dyDescent="0.3">
      <c r="A4670" t="s">
        <v>8268</v>
      </c>
    </row>
    <row r="4671" spans="1:1" x14ac:dyDescent="0.3">
      <c r="A4671" t="s">
        <v>1417</v>
      </c>
    </row>
    <row r="4672" spans="1:1" x14ac:dyDescent="0.3">
      <c r="A4672" t="s">
        <v>668</v>
      </c>
    </row>
    <row r="4673" spans="1:1" x14ac:dyDescent="0.3">
      <c r="A4673" t="s">
        <v>668</v>
      </c>
    </row>
    <row r="4674" spans="1:1" x14ac:dyDescent="0.3">
      <c r="A4674" t="s">
        <v>521</v>
      </c>
    </row>
    <row r="4675" spans="1:1" x14ac:dyDescent="0.3">
      <c r="A4675" t="s">
        <v>2701</v>
      </c>
    </row>
    <row r="4676" spans="1:1" x14ac:dyDescent="0.3">
      <c r="A4676" t="s">
        <v>668</v>
      </c>
    </row>
    <row r="4677" spans="1:1" x14ac:dyDescent="0.3">
      <c r="A4677" t="s">
        <v>19</v>
      </c>
    </row>
    <row r="4678" spans="1:1" x14ac:dyDescent="0.3">
      <c r="A4678" t="s">
        <v>521</v>
      </c>
    </row>
    <row r="4679" spans="1:1" x14ac:dyDescent="0.3">
      <c r="A4679" t="s">
        <v>668</v>
      </c>
    </row>
    <row r="4680" spans="1:1" x14ac:dyDescent="0.3">
      <c r="A4680" t="s">
        <v>668</v>
      </c>
    </row>
    <row r="4681" spans="1:1" x14ac:dyDescent="0.3">
      <c r="A4681" t="s">
        <v>8268</v>
      </c>
    </row>
    <row r="4682" spans="1:1" x14ac:dyDescent="0.3">
      <c r="A4682" t="s">
        <v>2701</v>
      </c>
    </row>
    <row r="4683" spans="1:1" x14ac:dyDescent="0.3">
      <c r="A4683" t="s">
        <v>1417</v>
      </c>
    </row>
    <row r="4684" spans="1:1" x14ac:dyDescent="0.3">
      <c r="A4684" t="s">
        <v>1417</v>
      </c>
    </row>
    <row r="4685" spans="1:1" x14ac:dyDescent="0.3">
      <c r="A4685" t="s">
        <v>1417</v>
      </c>
    </row>
    <row r="4686" spans="1:1" x14ac:dyDescent="0.3">
      <c r="A4686" t="s">
        <v>8268</v>
      </c>
    </row>
    <row r="4687" spans="1:1" x14ac:dyDescent="0.3">
      <c r="A4687" t="s">
        <v>2701</v>
      </c>
    </row>
    <row r="4688" spans="1:1" x14ac:dyDescent="0.3">
      <c r="A4688" t="s">
        <v>2701</v>
      </c>
    </row>
    <row r="4689" spans="1:1" x14ac:dyDescent="0.3">
      <c r="A4689" t="s">
        <v>4380</v>
      </c>
    </row>
    <row r="4690" spans="1:1" x14ac:dyDescent="0.3">
      <c r="A4690" t="s">
        <v>19</v>
      </c>
    </row>
    <row r="4691" spans="1:1" x14ac:dyDescent="0.3">
      <c r="A4691" t="s">
        <v>19</v>
      </c>
    </row>
    <row r="4692" spans="1:1" x14ac:dyDescent="0.3">
      <c r="A4692" t="s">
        <v>521</v>
      </c>
    </row>
    <row r="4693" spans="1:1" x14ac:dyDescent="0.3">
      <c r="A4693" t="s">
        <v>8268</v>
      </c>
    </row>
    <row r="4694" spans="1:1" x14ac:dyDescent="0.3">
      <c r="A4694" t="s">
        <v>1417</v>
      </c>
    </row>
    <row r="4695" spans="1:1" x14ac:dyDescent="0.3">
      <c r="A4695" t="s">
        <v>1417</v>
      </c>
    </row>
    <row r="4696" spans="1:1" x14ac:dyDescent="0.3">
      <c r="A4696" t="s">
        <v>521</v>
      </c>
    </row>
    <row r="4697" spans="1:1" x14ac:dyDescent="0.3">
      <c r="A4697" t="s">
        <v>2701</v>
      </c>
    </row>
    <row r="4698" spans="1:1" x14ac:dyDescent="0.3">
      <c r="A4698" t="s">
        <v>1417</v>
      </c>
    </row>
    <row r="4699" spans="1:1" x14ac:dyDescent="0.3">
      <c r="A4699" t="s">
        <v>1417</v>
      </c>
    </row>
    <row r="4700" spans="1:1" x14ac:dyDescent="0.3">
      <c r="A4700" t="s">
        <v>668</v>
      </c>
    </row>
    <row r="4701" spans="1:1" x14ac:dyDescent="0.3">
      <c r="A4701" t="s">
        <v>8268</v>
      </c>
    </row>
    <row r="4702" spans="1:1" x14ac:dyDescent="0.3">
      <c r="A4702" t="s">
        <v>497</v>
      </c>
    </row>
    <row r="4703" spans="1:1" x14ac:dyDescent="0.3">
      <c r="A4703" t="s">
        <v>19</v>
      </c>
    </row>
    <row r="4704" spans="1:1" x14ac:dyDescent="0.3">
      <c r="A4704" t="s">
        <v>19</v>
      </c>
    </row>
    <row r="4705" spans="1:1" x14ac:dyDescent="0.3">
      <c r="A4705" t="s">
        <v>497</v>
      </c>
    </row>
    <row r="4706" spans="1:1" x14ac:dyDescent="0.3">
      <c r="A4706" t="s">
        <v>1417</v>
      </c>
    </row>
    <row r="4707" spans="1:1" x14ac:dyDescent="0.3">
      <c r="A4707" t="s">
        <v>668</v>
      </c>
    </row>
    <row r="4708" spans="1:1" x14ac:dyDescent="0.3">
      <c r="A4708" t="s">
        <v>668</v>
      </c>
    </row>
    <row r="4709" spans="1:1" x14ac:dyDescent="0.3">
      <c r="A4709" t="s">
        <v>2701</v>
      </c>
    </row>
    <row r="4710" spans="1:1" x14ac:dyDescent="0.3">
      <c r="A4710" t="s">
        <v>19</v>
      </c>
    </row>
    <row r="4711" spans="1:1" x14ac:dyDescent="0.3">
      <c r="A4711" t="s">
        <v>668</v>
      </c>
    </row>
    <row r="4712" spans="1:1" x14ac:dyDescent="0.3">
      <c r="A4712" t="s">
        <v>521</v>
      </c>
    </row>
    <row r="4713" spans="1:1" x14ac:dyDescent="0.3">
      <c r="A4713" t="s">
        <v>8266</v>
      </c>
    </row>
    <row r="4714" spans="1:1" x14ac:dyDescent="0.3">
      <c r="A4714" t="s">
        <v>1417</v>
      </c>
    </row>
    <row r="4715" spans="1:1" x14ac:dyDescent="0.3">
      <c r="A4715" t="s">
        <v>8268</v>
      </c>
    </row>
    <row r="4716" spans="1:1" x14ac:dyDescent="0.3">
      <c r="A4716" t="s">
        <v>19</v>
      </c>
    </row>
    <row r="4717" spans="1:1" x14ac:dyDescent="0.3">
      <c r="A4717" t="s">
        <v>19</v>
      </c>
    </row>
    <row r="4718" spans="1:1" x14ac:dyDescent="0.3">
      <c r="A4718" t="s">
        <v>521</v>
      </c>
    </row>
    <row r="4719" spans="1:1" x14ac:dyDescent="0.3">
      <c r="A4719" t="s">
        <v>668</v>
      </c>
    </row>
    <row r="4720" spans="1:1" x14ac:dyDescent="0.3">
      <c r="A4720" t="s">
        <v>4380</v>
      </c>
    </row>
    <row r="4721" spans="1:1" x14ac:dyDescent="0.3">
      <c r="A4721" t="s">
        <v>668</v>
      </c>
    </row>
    <row r="4722" spans="1:1" x14ac:dyDescent="0.3">
      <c r="A4722" t="s">
        <v>19</v>
      </c>
    </row>
    <row r="4723" spans="1:1" x14ac:dyDescent="0.3">
      <c r="A4723" t="s">
        <v>1417</v>
      </c>
    </row>
    <row r="4724" spans="1:1" x14ac:dyDescent="0.3">
      <c r="A4724" t="s">
        <v>668</v>
      </c>
    </row>
    <row r="4725" spans="1:1" x14ac:dyDescent="0.3">
      <c r="A4725" t="s">
        <v>1417</v>
      </c>
    </row>
    <row r="4726" spans="1:1" x14ac:dyDescent="0.3">
      <c r="A4726" t="s">
        <v>5524</v>
      </c>
    </row>
    <row r="4727" spans="1:1" x14ac:dyDescent="0.3">
      <c r="A4727" t="s">
        <v>362</v>
      </c>
    </row>
    <row r="4728" spans="1:1" x14ac:dyDescent="0.3">
      <c r="A4728" t="s">
        <v>362</v>
      </c>
    </row>
    <row r="4729" spans="1:1" x14ac:dyDescent="0.3">
      <c r="A4729" t="s">
        <v>668</v>
      </c>
    </row>
    <row r="4730" spans="1:1" x14ac:dyDescent="0.3">
      <c r="A4730" t="s">
        <v>2701</v>
      </c>
    </row>
    <row r="4731" spans="1:1" x14ac:dyDescent="0.3">
      <c r="A4731" t="s">
        <v>19</v>
      </c>
    </row>
    <row r="4732" spans="1:1" x14ac:dyDescent="0.3">
      <c r="A4732" t="s">
        <v>668</v>
      </c>
    </row>
    <row r="4733" spans="1:1" x14ac:dyDescent="0.3">
      <c r="A4733" t="s">
        <v>1417</v>
      </c>
    </row>
    <row r="4734" spans="1:1" x14ac:dyDescent="0.3">
      <c r="A4734" t="s">
        <v>19</v>
      </c>
    </row>
    <row r="4735" spans="1:1" x14ac:dyDescent="0.3">
      <c r="A4735" t="s">
        <v>5524</v>
      </c>
    </row>
    <row r="4736" spans="1:1" x14ac:dyDescent="0.3">
      <c r="A4736" t="s">
        <v>668</v>
      </c>
    </row>
    <row r="4737" spans="1:1" x14ac:dyDescent="0.3">
      <c r="A4737" t="s">
        <v>1417</v>
      </c>
    </row>
    <row r="4738" spans="1:1" x14ac:dyDescent="0.3">
      <c r="A4738" t="s">
        <v>19</v>
      </c>
    </row>
    <row r="4739" spans="1:1" x14ac:dyDescent="0.3">
      <c r="A4739" t="s">
        <v>1417</v>
      </c>
    </row>
    <row r="4740" spans="1:1" x14ac:dyDescent="0.3">
      <c r="A4740" t="s">
        <v>668</v>
      </c>
    </row>
    <row r="4741" spans="1:1" x14ac:dyDescent="0.3">
      <c r="A4741" t="s">
        <v>1417</v>
      </c>
    </row>
    <row r="4742" spans="1:1" x14ac:dyDescent="0.3">
      <c r="A4742" t="s">
        <v>8268</v>
      </c>
    </row>
    <row r="4743" spans="1:1" x14ac:dyDescent="0.3">
      <c r="A4743" t="s">
        <v>8268</v>
      </c>
    </row>
    <row r="4744" spans="1:1" x14ac:dyDescent="0.3">
      <c r="A4744" t="s">
        <v>668</v>
      </c>
    </row>
    <row r="4745" spans="1:1" x14ac:dyDescent="0.3">
      <c r="A4745" t="s">
        <v>8268</v>
      </c>
    </row>
    <row r="4746" spans="1:1" x14ac:dyDescent="0.3">
      <c r="A4746" t="s">
        <v>668</v>
      </c>
    </row>
    <row r="4747" spans="1:1" x14ac:dyDescent="0.3">
      <c r="A4747" t="s">
        <v>668</v>
      </c>
    </row>
    <row r="4748" spans="1:1" x14ac:dyDescent="0.3">
      <c r="A4748" t="s">
        <v>19</v>
      </c>
    </row>
    <row r="4749" spans="1:1" x14ac:dyDescent="0.3">
      <c r="A4749" t="s">
        <v>521</v>
      </c>
    </row>
    <row r="4750" spans="1:1" x14ac:dyDescent="0.3">
      <c r="A4750" t="s">
        <v>19</v>
      </c>
    </row>
    <row r="4751" spans="1:1" x14ac:dyDescent="0.3">
      <c r="A4751" t="s">
        <v>668</v>
      </c>
    </row>
    <row r="4752" spans="1:1" x14ac:dyDescent="0.3">
      <c r="A4752" t="s">
        <v>668</v>
      </c>
    </row>
    <row r="4753" spans="1:1" x14ac:dyDescent="0.3">
      <c r="A4753" t="s">
        <v>668</v>
      </c>
    </row>
    <row r="4754" spans="1:1" x14ac:dyDescent="0.3">
      <c r="A4754" t="s">
        <v>362</v>
      </c>
    </row>
    <row r="4755" spans="1:1" x14ac:dyDescent="0.3">
      <c r="A4755" t="s">
        <v>668</v>
      </c>
    </row>
    <row r="4756" spans="1:1" x14ac:dyDescent="0.3">
      <c r="A4756" t="s">
        <v>1417</v>
      </c>
    </row>
    <row r="4757" spans="1:1" x14ac:dyDescent="0.3">
      <c r="A4757" t="s">
        <v>1417</v>
      </c>
    </row>
    <row r="4758" spans="1:1" x14ac:dyDescent="0.3">
      <c r="A4758" t="s">
        <v>1417</v>
      </c>
    </row>
    <row r="4759" spans="1:1" x14ac:dyDescent="0.3">
      <c r="A4759" t="s">
        <v>668</v>
      </c>
    </row>
    <row r="4760" spans="1:1" x14ac:dyDescent="0.3">
      <c r="A4760" t="s">
        <v>668</v>
      </c>
    </row>
    <row r="4761" spans="1:1" x14ac:dyDescent="0.3">
      <c r="A4761" t="s">
        <v>668</v>
      </c>
    </row>
    <row r="4762" spans="1:1" x14ac:dyDescent="0.3">
      <c r="A4762" t="s">
        <v>5524</v>
      </c>
    </row>
    <row r="4763" spans="1:1" x14ac:dyDescent="0.3">
      <c r="A4763" t="s">
        <v>1417</v>
      </c>
    </row>
    <row r="4764" spans="1:1" x14ac:dyDescent="0.3">
      <c r="A4764" t="s">
        <v>1417</v>
      </c>
    </row>
    <row r="4765" spans="1:1" x14ac:dyDescent="0.3">
      <c r="A4765" t="s">
        <v>4380</v>
      </c>
    </row>
    <row r="4766" spans="1:1" x14ac:dyDescent="0.3">
      <c r="A4766" t="s">
        <v>19</v>
      </c>
    </row>
    <row r="4767" spans="1:1" x14ac:dyDescent="0.3">
      <c r="A4767" t="s">
        <v>1417</v>
      </c>
    </row>
    <row r="4768" spans="1:1" x14ac:dyDescent="0.3">
      <c r="A4768" t="s">
        <v>668</v>
      </c>
    </row>
    <row r="4769" spans="1:1" x14ac:dyDescent="0.3">
      <c r="A4769" t="s">
        <v>8046</v>
      </c>
    </row>
    <row r="4770" spans="1:1" x14ac:dyDescent="0.3">
      <c r="A4770" t="s">
        <v>521</v>
      </c>
    </row>
    <row r="4771" spans="1:1" x14ac:dyDescent="0.3">
      <c r="A4771" t="s">
        <v>668</v>
      </c>
    </row>
    <row r="4772" spans="1:1" x14ac:dyDescent="0.3">
      <c r="A4772" t="s">
        <v>8266</v>
      </c>
    </row>
    <row r="4773" spans="1:1" x14ac:dyDescent="0.3">
      <c r="A4773" t="s">
        <v>8268</v>
      </c>
    </row>
    <row r="4774" spans="1:1" x14ac:dyDescent="0.3">
      <c r="A4774" t="s">
        <v>521</v>
      </c>
    </row>
    <row r="4775" spans="1:1" x14ac:dyDescent="0.3">
      <c r="A4775" t="s">
        <v>2701</v>
      </c>
    </row>
    <row r="4776" spans="1:1" x14ac:dyDescent="0.3">
      <c r="A4776" t="s">
        <v>668</v>
      </c>
    </row>
    <row r="4777" spans="1:1" x14ac:dyDescent="0.3">
      <c r="A4777" t="s">
        <v>7104</v>
      </c>
    </row>
    <row r="4778" spans="1:1" x14ac:dyDescent="0.3">
      <c r="A4778" t="s">
        <v>521</v>
      </c>
    </row>
    <row r="4779" spans="1:1" x14ac:dyDescent="0.3">
      <c r="A4779" t="s">
        <v>7104</v>
      </c>
    </row>
    <row r="4780" spans="1:1" x14ac:dyDescent="0.3">
      <c r="A4780" t="s">
        <v>362</v>
      </c>
    </row>
    <row r="4781" spans="1:1" x14ac:dyDescent="0.3">
      <c r="A4781" t="s">
        <v>521</v>
      </c>
    </row>
    <row r="4782" spans="1:1" x14ac:dyDescent="0.3">
      <c r="A4782" t="s">
        <v>8268</v>
      </c>
    </row>
    <row r="4783" spans="1:1" x14ac:dyDescent="0.3">
      <c r="A4783" t="s">
        <v>1417</v>
      </c>
    </row>
    <row r="4784" spans="1:1" x14ac:dyDescent="0.3">
      <c r="A4784" t="s">
        <v>521</v>
      </c>
    </row>
    <row r="4785" spans="1:1" x14ac:dyDescent="0.3">
      <c r="A4785" t="s">
        <v>668</v>
      </c>
    </row>
    <row r="4786" spans="1:1" x14ac:dyDescent="0.3">
      <c r="A4786" t="s">
        <v>668</v>
      </c>
    </row>
    <row r="4787" spans="1:1" x14ac:dyDescent="0.3">
      <c r="A4787" t="s">
        <v>668</v>
      </c>
    </row>
    <row r="4788" spans="1:1" x14ac:dyDescent="0.3">
      <c r="A4788" t="s">
        <v>668</v>
      </c>
    </row>
    <row r="4789" spans="1:1" x14ac:dyDescent="0.3">
      <c r="A4789" t="s">
        <v>19</v>
      </c>
    </row>
    <row r="4790" spans="1:1" x14ac:dyDescent="0.3">
      <c r="A4790" t="s">
        <v>668</v>
      </c>
    </row>
    <row r="4791" spans="1:1" x14ac:dyDescent="0.3">
      <c r="A4791" t="s">
        <v>668</v>
      </c>
    </row>
    <row r="4792" spans="1:1" x14ac:dyDescent="0.3">
      <c r="A4792" t="s">
        <v>1417</v>
      </c>
    </row>
    <row r="4793" spans="1:1" x14ac:dyDescent="0.3">
      <c r="A4793" t="s">
        <v>668</v>
      </c>
    </row>
    <row r="4794" spans="1:1" x14ac:dyDescent="0.3">
      <c r="A4794" t="s">
        <v>8268</v>
      </c>
    </row>
    <row r="4795" spans="1:1" x14ac:dyDescent="0.3">
      <c r="A4795" t="s">
        <v>2701</v>
      </c>
    </row>
    <row r="4796" spans="1:1" x14ac:dyDescent="0.3">
      <c r="A4796" t="s">
        <v>19</v>
      </c>
    </row>
    <row r="4797" spans="1:1" x14ac:dyDescent="0.3">
      <c r="A4797" t="s">
        <v>362</v>
      </c>
    </row>
    <row r="4798" spans="1:1" x14ac:dyDescent="0.3">
      <c r="A4798" t="s">
        <v>1417</v>
      </c>
    </row>
    <row r="4799" spans="1:1" x14ac:dyDescent="0.3">
      <c r="A4799" t="s">
        <v>668</v>
      </c>
    </row>
    <row r="4800" spans="1:1" x14ac:dyDescent="0.3">
      <c r="A4800" t="s">
        <v>1417</v>
      </c>
    </row>
    <row r="4801" spans="1:1" x14ac:dyDescent="0.3">
      <c r="A4801" t="s">
        <v>5524</v>
      </c>
    </row>
    <row r="4802" spans="1:1" x14ac:dyDescent="0.3">
      <c r="A4802" t="s">
        <v>19</v>
      </c>
    </row>
    <row r="4803" spans="1:1" x14ac:dyDescent="0.3">
      <c r="A4803" t="s">
        <v>668</v>
      </c>
    </row>
    <row r="4804" spans="1:1" x14ac:dyDescent="0.3">
      <c r="A4804" t="s">
        <v>2701</v>
      </c>
    </row>
    <row r="4805" spans="1:1" x14ac:dyDescent="0.3">
      <c r="A4805" t="s">
        <v>4843</v>
      </c>
    </row>
    <row r="4806" spans="1:1" x14ac:dyDescent="0.3">
      <c r="A4806" t="s">
        <v>668</v>
      </c>
    </row>
    <row r="4807" spans="1:1" x14ac:dyDescent="0.3">
      <c r="A4807" t="s">
        <v>2701</v>
      </c>
    </row>
    <row r="4808" spans="1:1" x14ac:dyDescent="0.3">
      <c r="A4808" t="s">
        <v>668</v>
      </c>
    </row>
    <row r="4809" spans="1:1" x14ac:dyDescent="0.3">
      <c r="A4809" t="s">
        <v>1417</v>
      </c>
    </row>
    <row r="4810" spans="1:1" x14ac:dyDescent="0.3">
      <c r="A4810" t="s">
        <v>1417</v>
      </c>
    </row>
    <row r="4811" spans="1:1" x14ac:dyDescent="0.3">
      <c r="A4811" t="s">
        <v>1417</v>
      </c>
    </row>
    <row r="4812" spans="1:1" x14ac:dyDescent="0.3">
      <c r="A4812" t="s">
        <v>1417</v>
      </c>
    </row>
    <row r="4813" spans="1:1" x14ac:dyDescent="0.3">
      <c r="A4813" t="s">
        <v>19</v>
      </c>
    </row>
    <row r="4814" spans="1:1" x14ac:dyDescent="0.3">
      <c r="A4814" t="s">
        <v>6902</v>
      </c>
    </row>
    <row r="4815" spans="1:1" x14ac:dyDescent="0.3">
      <c r="A4815" t="s">
        <v>497</v>
      </c>
    </row>
    <row r="4816" spans="1:1" x14ac:dyDescent="0.3">
      <c r="A4816" t="s">
        <v>2701</v>
      </c>
    </row>
    <row r="4817" spans="1:1" x14ac:dyDescent="0.3">
      <c r="A4817" t="s">
        <v>19</v>
      </c>
    </row>
    <row r="4818" spans="1:1" x14ac:dyDescent="0.3">
      <c r="A4818" t="s">
        <v>19</v>
      </c>
    </row>
    <row r="4819" spans="1:1" x14ac:dyDescent="0.3">
      <c r="A4819" t="s">
        <v>521</v>
      </c>
    </row>
    <row r="4820" spans="1:1" x14ac:dyDescent="0.3">
      <c r="A4820" t="s">
        <v>19</v>
      </c>
    </row>
    <row r="4821" spans="1:1" x14ac:dyDescent="0.3">
      <c r="A4821" t="s">
        <v>521</v>
      </c>
    </row>
    <row r="4822" spans="1:1" x14ac:dyDescent="0.3">
      <c r="A4822" t="s">
        <v>7104</v>
      </c>
    </row>
    <row r="4823" spans="1:1" x14ac:dyDescent="0.3">
      <c r="A4823" t="s">
        <v>2701</v>
      </c>
    </row>
    <row r="4824" spans="1:1" x14ac:dyDescent="0.3">
      <c r="A4824" t="s">
        <v>8268</v>
      </c>
    </row>
    <row r="4825" spans="1:1" x14ac:dyDescent="0.3">
      <c r="A4825" t="s">
        <v>4843</v>
      </c>
    </row>
    <row r="4826" spans="1:1" x14ac:dyDescent="0.3">
      <c r="A4826" t="s">
        <v>668</v>
      </c>
    </row>
    <row r="4827" spans="1:1" x14ac:dyDescent="0.3">
      <c r="A4827" t="s">
        <v>1417</v>
      </c>
    </row>
    <row r="4828" spans="1:1" x14ac:dyDescent="0.3">
      <c r="A4828" t="s">
        <v>5524</v>
      </c>
    </row>
    <row r="4829" spans="1:1" x14ac:dyDescent="0.3">
      <c r="A4829" t="s">
        <v>668</v>
      </c>
    </row>
    <row r="4830" spans="1:1" x14ac:dyDescent="0.3">
      <c r="A4830" t="s">
        <v>521</v>
      </c>
    </row>
    <row r="4831" spans="1:1" x14ac:dyDescent="0.3">
      <c r="A4831" t="s">
        <v>668</v>
      </c>
    </row>
    <row r="4832" spans="1:1" x14ac:dyDescent="0.3">
      <c r="A4832" t="s">
        <v>668</v>
      </c>
    </row>
    <row r="4833" spans="1:1" x14ac:dyDescent="0.3">
      <c r="A4833" t="s">
        <v>1417</v>
      </c>
    </row>
    <row r="4834" spans="1:1" x14ac:dyDescent="0.3">
      <c r="A4834" t="s">
        <v>1417</v>
      </c>
    </row>
    <row r="4835" spans="1:1" x14ac:dyDescent="0.3">
      <c r="A4835" t="s">
        <v>1417</v>
      </c>
    </row>
    <row r="4836" spans="1:1" x14ac:dyDescent="0.3">
      <c r="A4836" t="s">
        <v>1417</v>
      </c>
    </row>
    <row r="4837" spans="1:1" x14ac:dyDescent="0.3">
      <c r="A4837" t="s">
        <v>8268</v>
      </c>
    </row>
    <row r="4838" spans="1:1" x14ac:dyDescent="0.3">
      <c r="A4838" t="s">
        <v>19</v>
      </c>
    </row>
    <row r="4839" spans="1:1" x14ac:dyDescent="0.3">
      <c r="A4839" t="s">
        <v>19</v>
      </c>
    </row>
    <row r="4840" spans="1:1" x14ac:dyDescent="0.3">
      <c r="A4840" t="s">
        <v>1417</v>
      </c>
    </row>
    <row r="4841" spans="1:1" x14ac:dyDescent="0.3">
      <c r="A4841" t="s">
        <v>1417</v>
      </c>
    </row>
    <row r="4842" spans="1:1" x14ac:dyDescent="0.3">
      <c r="A4842" t="s">
        <v>1417</v>
      </c>
    </row>
    <row r="4843" spans="1:1" x14ac:dyDescent="0.3">
      <c r="A4843" t="s">
        <v>521</v>
      </c>
    </row>
    <row r="4844" spans="1:1" x14ac:dyDescent="0.3">
      <c r="A4844" t="s">
        <v>1417</v>
      </c>
    </row>
    <row r="4845" spans="1:1" x14ac:dyDescent="0.3">
      <c r="A4845" t="s">
        <v>1417</v>
      </c>
    </row>
    <row r="4846" spans="1:1" x14ac:dyDescent="0.3">
      <c r="A4846" t="s">
        <v>521</v>
      </c>
    </row>
    <row r="4847" spans="1:1" x14ac:dyDescent="0.3">
      <c r="A4847" t="s">
        <v>4380</v>
      </c>
    </row>
    <row r="4848" spans="1:1" x14ac:dyDescent="0.3">
      <c r="A4848" t="s">
        <v>2701</v>
      </c>
    </row>
    <row r="4849" spans="1:1" x14ac:dyDescent="0.3">
      <c r="A4849" t="s">
        <v>668</v>
      </c>
    </row>
    <row r="4850" spans="1:1" x14ac:dyDescent="0.3">
      <c r="A4850" t="s">
        <v>1417</v>
      </c>
    </row>
    <row r="4851" spans="1:1" x14ac:dyDescent="0.3">
      <c r="A4851" t="s">
        <v>2701</v>
      </c>
    </row>
    <row r="4852" spans="1:1" x14ac:dyDescent="0.3">
      <c r="A4852" t="s">
        <v>668</v>
      </c>
    </row>
    <row r="4853" spans="1:1" x14ac:dyDescent="0.3">
      <c r="A4853" t="s">
        <v>5524</v>
      </c>
    </row>
    <row r="4854" spans="1:1" x14ac:dyDescent="0.3">
      <c r="A4854" t="s">
        <v>668</v>
      </c>
    </row>
    <row r="4855" spans="1:1" x14ac:dyDescent="0.3">
      <c r="A4855" t="s">
        <v>668</v>
      </c>
    </row>
    <row r="4856" spans="1:1" x14ac:dyDescent="0.3">
      <c r="A4856" t="s">
        <v>521</v>
      </c>
    </row>
    <row r="4857" spans="1:1" x14ac:dyDescent="0.3">
      <c r="A4857" t="s">
        <v>8268</v>
      </c>
    </row>
    <row r="4858" spans="1:1" x14ac:dyDescent="0.3">
      <c r="A4858" t="s">
        <v>668</v>
      </c>
    </row>
    <row r="4859" spans="1:1" x14ac:dyDescent="0.3">
      <c r="A4859" t="s">
        <v>668</v>
      </c>
    </row>
    <row r="4860" spans="1:1" x14ac:dyDescent="0.3">
      <c r="A4860" t="s">
        <v>668</v>
      </c>
    </row>
    <row r="4861" spans="1:1" x14ac:dyDescent="0.3">
      <c r="A4861" t="s">
        <v>521</v>
      </c>
    </row>
    <row r="4862" spans="1:1" x14ac:dyDescent="0.3">
      <c r="A4862" t="s">
        <v>8266</v>
      </c>
    </row>
    <row r="4863" spans="1:1" x14ac:dyDescent="0.3">
      <c r="A4863" t="s">
        <v>668</v>
      </c>
    </row>
    <row r="4864" spans="1:1" x14ac:dyDescent="0.3">
      <c r="A4864" t="s">
        <v>4843</v>
      </c>
    </row>
    <row r="4865" spans="1:1" x14ac:dyDescent="0.3">
      <c r="A4865" t="s">
        <v>1417</v>
      </c>
    </row>
    <row r="4866" spans="1:1" x14ac:dyDescent="0.3">
      <c r="A4866" t="s">
        <v>1417</v>
      </c>
    </row>
    <row r="4867" spans="1:1" x14ac:dyDescent="0.3">
      <c r="A4867" t="s">
        <v>2701</v>
      </c>
    </row>
    <row r="4868" spans="1:1" x14ac:dyDescent="0.3">
      <c r="A4868" t="s">
        <v>668</v>
      </c>
    </row>
    <row r="4869" spans="1:1" x14ac:dyDescent="0.3">
      <c r="A4869" t="s">
        <v>668</v>
      </c>
    </row>
    <row r="4870" spans="1:1" x14ac:dyDescent="0.3">
      <c r="A4870" t="s">
        <v>1417</v>
      </c>
    </row>
    <row r="4871" spans="1:1" x14ac:dyDescent="0.3">
      <c r="A4871" t="s">
        <v>8268</v>
      </c>
    </row>
    <row r="4872" spans="1:1" x14ac:dyDescent="0.3">
      <c r="A4872" t="s">
        <v>1417</v>
      </c>
    </row>
    <row r="4873" spans="1:1" x14ac:dyDescent="0.3">
      <c r="A4873" t="s">
        <v>1417</v>
      </c>
    </row>
    <row r="4874" spans="1:1" x14ac:dyDescent="0.3">
      <c r="A4874" t="s">
        <v>8266</v>
      </c>
    </row>
    <row r="4875" spans="1:1" x14ac:dyDescent="0.3">
      <c r="A4875" t="s">
        <v>5138</v>
      </c>
    </row>
    <row r="4876" spans="1:1" x14ac:dyDescent="0.3">
      <c r="A4876" t="s">
        <v>1417</v>
      </c>
    </row>
    <row r="4877" spans="1:1" x14ac:dyDescent="0.3">
      <c r="A4877" t="s">
        <v>1417</v>
      </c>
    </row>
    <row r="4878" spans="1:1" x14ac:dyDescent="0.3">
      <c r="A4878" t="s">
        <v>521</v>
      </c>
    </row>
    <row r="4879" spans="1:1" x14ac:dyDescent="0.3">
      <c r="A4879" t="s">
        <v>1417</v>
      </c>
    </row>
    <row r="4880" spans="1:1" x14ac:dyDescent="0.3">
      <c r="A4880" t="s">
        <v>668</v>
      </c>
    </row>
    <row r="4881" spans="1:1" x14ac:dyDescent="0.3">
      <c r="A4881" t="s">
        <v>8268</v>
      </c>
    </row>
    <row r="4882" spans="1:1" x14ac:dyDescent="0.3">
      <c r="A4882" t="s">
        <v>19</v>
      </c>
    </row>
    <row r="4883" spans="1:1" x14ac:dyDescent="0.3">
      <c r="A4883" t="s">
        <v>2701</v>
      </c>
    </row>
    <row r="4884" spans="1:1" x14ac:dyDescent="0.3">
      <c r="A4884" t="s">
        <v>497</v>
      </c>
    </row>
    <row r="4885" spans="1:1" x14ac:dyDescent="0.3">
      <c r="A4885" t="s">
        <v>7104</v>
      </c>
    </row>
    <row r="4886" spans="1:1" x14ac:dyDescent="0.3">
      <c r="A4886" t="s">
        <v>19</v>
      </c>
    </row>
    <row r="4887" spans="1:1" x14ac:dyDescent="0.3">
      <c r="A4887" t="s">
        <v>1417</v>
      </c>
    </row>
    <row r="4888" spans="1:1" x14ac:dyDescent="0.3">
      <c r="A4888" t="s">
        <v>668</v>
      </c>
    </row>
    <row r="4889" spans="1:1" x14ac:dyDescent="0.3">
      <c r="A4889" t="s">
        <v>668</v>
      </c>
    </row>
    <row r="4890" spans="1:1" x14ac:dyDescent="0.3">
      <c r="A4890" t="s">
        <v>521</v>
      </c>
    </row>
    <row r="4891" spans="1:1" x14ac:dyDescent="0.3">
      <c r="A4891" t="s">
        <v>362</v>
      </c>
    </row>
    <row r="4892" spans="1:1" x14ac:dyDescent="0.3">
      <c r="A4892" t="s">
        <v>19</v>
      </c>
    </row>
    <row r="4893" spans="1:1" x14ac:dyDescent="0.3">
      <c r="A4893" t="s">
        <v>1417</v>
      </c>
    </row>
    <row r="4894" spans="1:1" x14ac:dyDescent="0.3">
      <c r="A4894" t="s">
        <v>668</v>
      </c>
    </row>
    <row r="4895" spans="1:1" x14ac:dyDescent="0.3">
      <c r="A4895" t="s">
        <v>362</v>
      </c>
    </row>
    <row r="4896" spans="1:1" x14ac:dyDescent="0.3">
      <c r="A4896" t="s">
        <v>362</v>
      </c>
    </row>
    <row r="4897" spans="1:1" x14ac:dyDescent="0.3">
      <c r="A4897" t="s">
        <v>521</v>
      </c>
    </row>
    <row r="4898" spans="1:1" x14ac:dyDescent="0.3">
      <c r="A4898" t="s">
        <v>668</v>
      </c>
    </row>
    <row r="4899" spans="1:1" x14ac:dyDescent="0.3">
      <c r="A4899" t="s">
        <v>521</v>
      </c>
    </row>
    <row r="4900" spans="1:1" x14ac:dyDescent="0.3">
      <c r="A4900" t="s">
        <v>668</v>
      </c>
    </row>
    <row r="4901" spans="1:1" x14ac:dyDescent="0.3">
      <c r="A4901" t="s">
        <v>19</v>
      </c>
    </row>
    <row r="4902" spans="1:1" x14ac:dyDescent="0.3">
      <c r="A4902" t="s">
        <v>1417</v>
      </c>
    </row>
    <row r="4903" spans="1:1" x14ac:dyDescent="0.3">
      <c r="A4903" t="s">
        <v>1417</v>
      </c>
    </row>
    <row r="4904" spans="1:1" x14ac:dyDescent="0.3">
      <c r="A4904" t="s">
        <v>668</v>
      </c>
    </row>
    <row r="4905" spans="1:1" x14ac:dyDescent="0.3">
      <c r="A4905" t="s">
        <v>1417</v>
      </c>
    </row>
    <row r="4906" spans="1:1" x14ac:dyDescent="0.3">
      <c r="A4906" t="s">
        <v>19</v>
      </c>
    </row>
    <row r="4907" spans="1:1" x14ac:dyDescent="0.3">
      <c r="A4907" t="s">
        <v>8268</v>
      </c>
    </row>
    <row r="4908" spans="1:1" x14ac:dyDescent="0.3">
      <c r="A4908" t="s">
        <v>8268</v>
      </c>
    </row>
    <row r="4909" spans="1:1" x14ac:dyDescent="0.3">
      <c r="A4909" t="s">
        <v>668</v>
      </c>
    </row>
    <row r="4910" spans="1:1" x14ac:dyDescent="0.3">
      <c r="A4910" t="s">
        <v>2701</v>
      </c>
    </row>
    <row r="4911" spans="1:1" x14ac:dyDescent="0.3">
      <c r="A4911" t="s">
        <v>668</v>
      </c>
    </row>
    <row r="4912" spans="1:1" x14ac:dyDescent="0.3">
      <c r="A4912" t="s">
        <v>668</v>
      </c>
    </row>
    <row r="4913" spans="1:1" x14ac:dyDescent="0.3">
      <c r="A4913" t="s">
        <v>19</v>
      </c>
    </row>
    <row r="4914" spans="1:1" x14ac:dyDescent="0.3">
      <c r="A4914" t="s">
        <v>1417</v>
      </c>
    </row>
    <row r="4915" spans="1:1" x14ac:dyDescent="0.3">
      <c r="A4915" t="s">
        <v>668</v>
      </c>
    </row>
    <row r="4916" spans="1:1" x14ac:dyDescent="0.3">
      <c r="A4916" t="s">
        <v>1417</v>
      </c>
    </row>
    <row r="4917" spans="1:1" x14ac:dyDescent="0.3">
      <c r="A4917" t="s">
        <v>8268</v>
      </c>
    </row>
    <row r="4918" spans="1:1" x14ac:dyDescent="0.3">
      <c r="A4918" t="s">
        <v>1417</v>
      </c>
    </row>
    <row r="4919" spans="1:1" x14ac:dyDescent="0.3">
      <c r="A4919" t="s">
        <v>1417</v>
      </c>
    </row>
    <row r="4920" spans="1:1" x14ac:dyDescent="0.3">
      <c r="A4920" t="s">
        <v>668</v>
      </c>
    </row>
    <row r="4921" spans="1:1" x14ac:dyDescent="0.3">
      <c r="A4921" t="s">
        <v>1417</v>
      </c>
    </row>
    <row r="4922" spans="1:1" x14ac:dyDescent="0.3">
      <c r="A4922" t="s">
        <v>1417</v>
      </c>
    </row>
    <row r="4923" spans="1:1" x14ac:dyDescent="0.3">
      <c r="A4923" t="s">
        <v>1417</v>
      </c>
    </row>
    <row r="4924" spans="1:1" x14ac:dyDescent="0.3">
      <c r="A4924" t="s">
        <v>1417</v>
      </c>
    </row>
    <row r="4925" spans="1:1" x14ac:dyDescent="0.3">
      <c r="A4925" t="s">
        <v>668</v>
      </c>
    </row>
    <row r="4926" spans="1:1" x14ac:dyDescent="0.3">
      <c r="A4926" t="s">
        <v>19</v>
      </c>
    </row>
    <row r="4927" spans="1:1" x14ac:dyDescent="0.3">
      <c r="A4927" t="s">
        <v>1417</v>
      </c>
    </row>
    <row r="4928" spans="1:1" x14ac:dyDescent="0.3">
      <c r="A4928" t="s">
        <v>1417</v>
      </c>
    </row>
    <row r="4929" spans="1:1" x14ac:dyDescent="0.3">
      <c r="A4929" t="s">
        <v>4380</v>
      </c>
    </row>
    <row r="4930" spans="1:1" x14ac:dyDescent="0.3">
      <c r="A4930" t="s">
        <v>8268</v>
      </c>
    </row>
    <row r="4931" spans="1:1" x14ac:dyDescent="0.3">
      <c r="A4931" t="s">
        <v>1417</v>
      </c>
    </row>
    <row r="4932" spans="1:1" x14ac:dyDescent="0.3">
      <c r="A4932" t="s">
        <v>668</v>
      </c>
    </row>
    <row r="4933" spans="1:1" x14ac:dyDescent="0.3">
      <c r="A4933" t="s">
        <v>1417</v>
      </c>
    </row>
    <row r="4934" spans="1:1" x14ac:dyDescent="0.3">
      <c r="A4934" t="s">
        <v>668</v>
      </c>
    </row>
    <row r="4935" spans="1:1" x14ac:dyDescent="0.3">
      <c r="A4935" t="s">
        <v>19</v>
      </c>
    </row>
    <row r="4936" spans="1:1" x14ac:dyDescent="0.3">
      <c r="A4936" t="s">
        <v>2701</v>
      </c>
    </row>
    <row r="4937" spans="1:1" x14ac:dyDescent="0.3">
      <c r="A4937" t="s">
        <v>521</v>
      </c>
    </row>
    <row r="4938" spans="1:1" x14ac:dyDescent="0.3">
      <c r="A4938" t="s">
        <v>2701</v>
      </c>
    </row>
    <row r="4939" spans="1:1" x14ac:dyDescent="0.3">
      <c r="A4939" t="s">
        <v>4843</v>
      </c>
    </row>
    <row r="4940" spans="1:1" x14ac:dyDescent="0.3">
      <c r="A4940" t="s">
        <v>362</v>
      </c>
    </row>
    <row r="4941" spans="1:1" x14ac:dyDescent="0.3">
      <c r="A4941" t="s">
        <v>19</v>
      </c>
    </row>
    <row r="4942" spans="1:1" x14ac:dyDescent="0.3">
      <c r="A4942" t="s">
        <v>19</v>
      </c>
    </row>
    <row r="4943" spans="1:1" x14ac:dyDescent="0.3">
      <c r="A4943" t="s">
        <v>19</v>
      </c>
    </row>
    <row r="4944" spans="1:1" x14ac:dyDescent="0.3">
      <c r="A4944" t="s">
        <v>497</v>
      </c>
    </row>
    <row r="4945" spans="1:1" x14ac:dyDescent="0.3">
      <c r="A4945" t="s">
        <v>1417</v>
      </c>
    </row>
    <row r="4946" spans="1:1" x14ac:dyDescent="0.3">
      <c r="A4946" t="s">
        <v>1417</v>
      </c>
    </row>
    <row r="4947" spans="1:1" x14ac:dyDescent="0.3">
      <c r="A4947" t="s">
        <v>19</v>
      </c>
    </row>
    <row r="4948" spans="1:1" x14ac:dyDescent="0.3">
      <c r="A4948" t="s">
        <v>19</v>
      </c>
    </row>
    <row r="4949" spans="1:1" x14ac:dyDescent="0.3">
      <c r="A4949" t="s">
        <v>668</v>
      </c>
    </row>
    <row r="4950" spans="1:1" x14ac:dyDescent="0.3">
      <c r="A4950" t="s">
        <v>7473</v>
      </c>
    </row>
    <row r="4951" spans="1:1" x14ac:dyDescent="0.3">
      <c r="A4951" t="s">
        <v>668</v>
      </c>
    </row>
    <row r="4952" spans="1:1" x14ac:dyDescent="0.3">
      <c r="A4952" t="s">
        <v>668</v>
      </c>
    </row>
    <row r="4953" spans="1:1" x14ac:dyDescent="0.3">
      <c r="A4953" t="s">
        <v>1417</v>
      </c>
    </row>
    <row r="4954" spans="1:1" x14ac:dyDescent="0.3">
      <c r="A4954" t="s">
        <v>1417</v>
      </c>
    </row>
    <row r="4955" spans="1:1" x14ac:dyDescent="0.3">
      <c r="A4955" t="s">
        <v>5524</v>
      </c>
    </row>
    <row r="4956" spans="1:1" x14ac:dyDescent="0.3">
      <c r="A4956" t="s">
        <v>668</v>
      </c>
    </row>
    <row r="4957" spans="1:1" x14ac:dyDescent="0.3">
      <c r="A4957" t="s">
        <v>1417</v>
      </c>
    </row>
    <row r="4958" spans="1:1" x14ac:dyDescent="0.3">
      <c r="A4958" t="s">
        <v>2701</v>
      </c>
    </row>
    <row r="4959" spans="1:1" x14ac:dyDescent="0.3">
      <c r="A4959" t="s">
        <v>497</v>
      </c>
    </row>
    <row r="4960" spans="1:1" x14ac:dyDescent="0.3">
      <c r="A4960" t="s">
        <v>8268</v>
      </c>
    </row>
    <row r="4961" spans="1:1" x14ac:dyDescent="0.3">
      <c r="A4961" t="s">
        <v>668</v>
      </c>
    </row>
    <row r="4962" spans="1:1" x14ac:dyDescent="0.3">
      <c r="A4962" t="s">
        <v>668</v>
      </c>
    </row>
    <row r="4963" spans="1:1" x14ac:dyDescent="0.3">
      <c r="A4963" t="s">
        <v>8268</v>
      </c>
    </row>
    <row r="4964" spans="1:1" x14ac:dyDescent="0.3">
      <c r="A4964" t="s">
        <v>668</v>
      </c>
    </row>
    <row r="4965" spans="1:1" x14ac:dyDescent="0.3">
      <c r="A4965" t="s">
        <v>7104</v>
      </c>
    </row>
    <row r="4966" spans="1:1" x14ac:dyDescent="0.3">
      <c r="A4966" t="s">
        <v>668</v>
      </c>
    </row>
    <row r="4967" spans="1:1" x14ac:dyDescent="0.3">
      <c r="A4967" t="s">
        <v>19</v>
      </c>
    </row>
    <row r="4968" spans="1:1" x14ac:dyDescent="0.3">
      <c r="A4968" t="s">
        <v>4380</v>
      </c>
    </row>
    <row r="4969" spans="1:1" x14ac:dyDescent="0.3">
      <c r="A4969" t="s">
        <v>8268</v>
      </c>
    </row>
    <row r="4970" spans="1:1" x14ac:dyDescent="0.3">
      <c r="A4970" t="s">
        <v>521</v>
      </c>
    </row>
    <row r="4971" spans="1:1" x14ac:dyDescent="0.3">
      <c r="A4971" t="s">
        <v>8268</v>
      </c>
    </row>
    <row r="4972" spans="1:1" x14ac:dyDescent="0.3">
      <c r="A4972" t="s">
        <v>5524</v>
      </c>
    </row>
    <row r="4973" spans="1:1" x14ac:dyDescent="0.3">
      <c r="A4973" t="s">
        <v>8268</v>
      </c>
    </row>
    <row r="4974" spans="1:1" x14ac:dyDescent="0.3">
      <c r="A4974" t="s">
        <v>19</v>
      </c>
    </row>
    <row r="4975" spans="1:1" x14ac:dyDescent="0.3">
      <c r="A4975" t="s">
        <v>1417</v>
      </c>
    </row>
    <row r="4976" spans="1:1" x14ac:dyDescent="0.3">
      <c r="A4976" t="s">
        <v>668</v>
      </c>
    </row>
    <row r="4977" spans="1:1" x14ac:dyDescent="0.3">
      <c r="A4977" t="s">
        <v>5524</v>
      </c>
    </row>
    <row r="4978" spans="1:1" x14ac:dyDescent="0.3">
      <c r="A4978" t="s">
        <v>521</v>
      </c>
    </row>
    <row r="4979" spans="1:1" x14ac:dyDescent="0.3">
      <c r="A4979" t="s">
        <v>668</v>
      </c>
    </row>
    <row r="4980" spans="1:1" x14ac:dyDescent="0.3">
      <c r="A4980" t="s">
        <v>668</v>
      </c>
    </row>
    <row r="4981" spans="1:1" x14ac:dyDescent="0.3">
      <c r="A4981" t="s">
        <v>668</v>
      </c>
    </row>
    <row r="4982" spans="1:1" x14ac:dyDescent="0.3">
      <c r="A4982" t="s">
        <v>2701</v>
      </c>
    </row>
    <row r="4983" spans="1:1" x14ac:dyDescent="0.3">
      <c r="A4983" t="s">
        <v>1417</v>
      </c>
    </row>
    <row r="4984" spans="1:1" x14ac:dyDescent="0.3">
      <c r="A4984" t="s">
        <v>668</v>
      </c>
    </row>
    <row r="4985" spans="1:1" x14ac:dyDescent="0.3">
      <c r="A4985" t="s">
        <v>1417</v>
      </c>
    </row>
    <row r="4986" spans="1:1" x14ac:dyDescent="0.3">
      <c r="A4986" t="s">
        <v>668</v>
      </c>
    </row>
    <row r="4987" spans="1:1" x14ac:dyDescent="0.3">
      <c r="A4987" t="s">
        <v>8268</v>
      </c>
    </row>
    <row r="4988" spans="1:1" x14ac:dyDescent="0.3">
      <c r="A4988" t="s">
        <v>668</v>
      </c>
    </row>
    <row r="4989" spans="1:1" x14ac:dyDescent="0.3">
      <c r="A4989" t="s">
        <v>668</v>
      </c>
    </row>
    <row r="4990" spans="1:1" x14ac:dyDescent="0.3">
      <c r="A4990" t="s">
        <v>8268</v>
      </c>
    </row>
    <row r="4991" spans="1:1" x14ac:dyDescent="0.3">
      <c r="A4991" t="s">
        <v>668</v>
      </c>
    </row>
    <row r="4992" spans="1:1" x14ac:dyDescent="0.3">
      <c r="A4992" t="s">
        <v>19</v>
      </c>
    </row>
    <row r="4993" spans="1:1" x14ac:dyDescent="0.3">
      <c r="A4993" t="s">
        <v>497</v>
      </c>
    </row>
    <row r="4994" spans="1:1" x14ac:dyDescent="0.3">
      <c r="A4994" t="s">
        <v>19</v>
      </c>
    </row>
    <row r="4995" spans="1:1" x14ac:dyDescent="0.3">
      <c r="A4995" t="s">
        <v>5138</v>
      </c>
    </row>
    <row r="4996" spans="1:1" x14ac:dyDescent="0.3">
      <c r="A4996" t="s">
        <v>5524</v>
      </c>
    </row>
    <row r="4997" spans="1:1" x14ac:dyDescent="0.3">
      <c r="A4997" t="s">
        <v>1417</v>
      </c>
    </row>
    <row r="4998" spans="1:1" x14ac:dyDescent="0.3">
      <c r="A4998" t="s">
        <v>668</v>
      </c>
    </row>
    <row r="4999" spans="1:1" x14ac:dyDescent="0.3">
      <c r="A4999" t="s">
        <v>1417</v>
      </c>
    </row>
    <row r="5000" spans="1:1" x14ac:dyDescent="0.3">
      <c r="A5000" t="s">
        <v>668</v>
      </c>
    </row>
    <row r="5001" spans="1:1" x14ac:dyDescent="0.3">
      <c r="A5001" t="s">
        <v>1417</v>
      </c>
    </row>
    <row r="5002" spans="1:1" x14ac:dyDescent="0.3">
      <c r="A5002" t="s">
        <v>2701</v>
      </c>
    </row>
    <row r="5003" spans="1:1" x14ac:dyDescent="0.3">
      <c r="A5003" t="s">
        <v>19</v>
      </c>
    </row>
    <row r="5004" spans="1:1" x14ac:dyDescent="0.3">
      <c r="A5004" t="s">
        <v>2701</v>
      </c>
    </row>
    <row r="5005" spans="1:1" x14ac:dyDescent="0.3">
      <c r="A5005" t="s">
        <v>1417</v>
      </c>
    </row>
    <row r="5006" spans="1:1" x14ac:dyDescent="0.3">
      <c r="A5006" t="s">
        <v>6171</v>
      </c>
    </row>
    <row r="5007" spans="1:1" x14ac:dyDescent="0.3">
      <c r="A5007" t="s">
        <v>668</v>
      </c>
    </row>
    <row r="5008" spans="1:1" x14ac:dyDescent="0.3">
      <c r="A5008" t="s">
        <v>2701</v>
      </c>
    </row>
    <row r="5009" spans="1:1" x14ac:dyDescent="0.3">
      <c r="A5009" t="s">
        <v>668</v>
      </c>
    </row>
    <row r="5010" spans="1:1" x14ac:dyDescent="0.3">
      <c r="A5010" t="s">
        <v>668</v>
      </c>
    </row>
    <row r="5011" spans="1:1" x14ac:dyDescent="0.3">
      <c r="A5011" t="s">
        <v>1417</v>
      </c>
    </row>
    <row r="5012" spans="1:1" x14ac:dyDescent="0.3">
      <c r="A5012" t="s">
        <v>668</v>
      </c>
    </row>
    <row r="5013" spans="1:1" x14ac:dyDescent="0.3">
      <c r="A5013" t="s">
        <v>668</v>
      </c>
    </row>
    <row r="5014" spans="1:1" x14ac:dyDescent="0.3">
      <c r="A5014" t="s">
        <v>521</v>
      </c>
    </row>
    <row r="5015" spans="1:1" x14ac:dyDescent="0.3">
      <c r="A5015" t="s">
        <v>1417</v>
      </c>
    </row>
    <row r="5016" spans="1:1" x14ac:dyDescent="0.3">
      <c r="A5016" t="s">
        <v>521</v>
      </c>
    </row>
    <row r="5017" spans="1:1" x14ac:dyDescent="0.3">
      <c r="A5017" t="s">
        <v>668</v>
      </c>
    </row>
    <row r="5018" spans="1:1" x14ac:dyDescent="0.3">
      <c r="A5018" t="s">
        <v>8268</v>
      </c>
    </row>
    <row r="5019" spans="1:1" x14ac:dyDescent="0.3">
      <c r="A5019" t="s">
        <v>668</v>
      </c>
    </row>
    <row r="5020" spans="1:1" x14ac:dyDescent="0.3">
      <c r="A5020" t="s">
        <v>1417</v>
      </c>
    </row>
    <row r="5021" spans="1:1" x14ac:dyDescent="0.3">
      <c r="A5021" t="s">
        <v>2701</v>
      </c>
    </row>
    <row r="5022" spans="1:1" x14ac:dyDescent="0.3">
      <c r="A5022" t="s">
        <v>1417</v>
      </c>
    </row>
    <row r="5023" spans="1:1" x14ac:dyDescent="0.3">
      <c r="A5023" t="s">
        <v>668</v>
      </c>
    </row>
    <row r="5024" spans="1:1" x14ac:dyDescent="0.3">
      <c r="A5024" t="s">
        <v>1417</v>
      </c>
    </row>
    <row r="5025" spans="1:1" x14ac:dyDescent="0.3">
      <c r="A5025" t="s">
        <v>7473</v>
      </c>
    </row>
    <row r="5026" spans="1:1" x14ac:dyDescent="0.3">
      <c r="A5026" t="s">
        <v>5138</v>
      </c>
    </row>
    <row r="5027" spans="1:1" x14ac:dyDescent="0.3">
      <c r="A5027" t="s">
        <v>668</v>
      </c>
    </row>
    <row r="5028" spans="1:1" x14ac:dyDescent="0.3">
      <c r="A5028" t="s">
        <v>1417</v>
      </c>
    </row>
    <row r="5029" spans="1:1" x14ac:dyDescent="0.3">
      <c r="A5029" t="s">
        <v>1417</v>
      </c>
    </row>
    <row r="5030" spans="1:1" x14ac:dyDescent="0.3">
      <c r="A5030" t="s">
        <v>2701</v>
      </c>
    </row>
    <row r="5031" spans="1:1" x14ac:dyDescent="0.3">
      <c r="A5031" t="s">
        <v>8268</v>
      </c>
    </row>
    <row r="5032" spans="1:1" x14ac:dyDescent="0.3">
      <c r="A5032" t="s">
        <v>1417</v>
      </c>
    </row>
    <row r="5033" spans="1:1" x14ac:dyDescent="0.3">
      <c r="A5033" t="s">
        <v>668</v>
      </c>
    </row>
    <row r="5034" spans="1:1" x14ac:dyDescent="0.3">
      <c r="A5034" t="s">
        <v>8268</v>
      </c>
    </row>
    <row r="5035" spans="1:1" x14ac:dyDescent="0.3">
      <c r="A5035" t="s">
        <v>1417</v>
      </c>
    </row>
    <row r="5036" spans="1:1" x14ac:dyDescent="0.3">
      <c r="A5036" t="s">
        <v>4380</v>
      </c>
    </row>
    <row r="5037" spans="1:1" x14ac:dyDescent="0.3">
      <c r="A5037" t="s">
        <v>521</v>
      </c>
    </row>
    <row r="5038" spans="1:1" x14ac:dyDescent="0.3">
      <c r="A5038" t="s">
        <v>8268</v>
      </c>
    </row>
    <row r="5039" spans="1:1" x14ac:dyDescent="0.3">
      <c r="A5039" t="s">
        <v>668</v>
      </c>
    </row>
    <row r="5040" spans="1:1" x14ac:dyDescent="0.3">
      <c r="A5040" t="s">
        <v>668</v>
      </c>
    </row>
    <row r="5041" spans="1:1" x14ac:dyDescent="0.3">
      <c r="A5041" t="s">
        <v>8268</v>
      </c>
    </row>
    <row r="5042" spans="1:1" x14ac:dyDescent="0.3">
      <c r="A5042" t="s">
        <v>1417</v>
      </c>
    </row>
    <row r="5043" spans="1:1" x14ac:dyDescent="0.3">
      <c r="A5043" t="s">
        <v>668</v>
      </c>
    </row>
    <row r="5044" spans="1:1" x14ac:dyDescent="0.3">
      <c r="A5044" t="s">
        <v>19</v>
      </c>
    </row>
  </sheetData>
  <autoFilter ref="N1:N23" xr:uid="{28A059B0-F660-40EF-80D9-9236770675A8}"/>
  <mergeCells count="1">
    <mergeCell ref="A1:H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68377-44D7-4EB4-B4F4-B3CC0A08CC2C}">
  <dimension ref="A1:F5044"/>
  <sheetViews>
    <sheetView zoomScaleNormal="100" workbookViewId="0">
      <selection activeCell="F14" sqref="F14"/>
    </sheetView>
  </sheetViews>
  <sheetFormatPr defaultRowHeight="14.4" x14ac:dyDescent="0.3"/>
  <cols>
    <col min="1" max="1" width="10.21875" bestFit="1" customWidth="1"/>
    <col min="2" max="2" width="15.109375" customWidth="1"/>
    <col min="5" max="5" width="13" customWidth="1"/>
    <col min="6" max="6" width="13.21875" customWidth="1"/>
  </cols>
  <sheetData>
    <row r="1" spans="1:6" x14ac:dyDescent="0.3">
      <c r="A1" s="33" t="s">
        <v>9939</v>
      </c>
      <c r="B1" s="2" t="s">
        <v>8287</v>
      </c>
    </row>
    <row r="2" spans="1:6" x14ac:dyDescent="0.3">
      <c r="A2" s="32">
        <v>178</v>
      </c>
      <c r="B2" s="3">
        <v>7.9</v>
      </c>
    </row>
    <row r="3" spans="1:6" x14ac:dyDescent="0.3">
      <c r="A3" s="31">
        <v>169</v>
      </c>
      <c r="B3" s="4">
        <v>7.1</v>
      </c>
      <c r="E3" s="17" t="s">
        <v>8279</v>
      </c>
      <c r="F3" s="37">
        <f>AVERAGE(A:A)</f>
        <v>109.41215323645972</v>
      </c>
    </row>
    <row r="4" spans="1:6" x14ac:dyDescent="0.3">
      <c r="A4" s="32">
        <v>148</v>
      </c>
      <c r="B4" s="3">
        <v>6.8</v>
      </c>
      <c r="E4" s="17" t="s">
        <v>8282</v>
      </c>
      <c r="F4" s="17">
        <f>MEDIAN(A2:A3786)</f>
        <v>105</v>
      </c>
    </row>
    <row r="5" spans="1:6" x14ac:dyDescent="0.3">
      <c r="A5" s="31">
        <v>164</v>
      </c>
      <c r="B5" s="4">
        <v>8.5</v>
      </c>
      <c r="E5" s="17" t="s">
        <v>8283</v>
      </c>
      <c r="F5" s="18">
        <f>_xlfn.STDEV.S(A2:A3786)</f>
        <v>22.495354470805982</v>
      </c>
    </row>
    <row r="6" spans="1:6" x14ac:dyDescent="0.3">
      <c r="A6" s="32">
        <v>132</v>
      </c>
      <c r="B6" s="3">
        <v>7.1</v>
      </c>
    </row>
    <row r="7" spans="1:6" x14ac:dyDescent="0.3">
      <c r="A7" s="31">
        <v>156</v>
      </c>
      <c r="B7" s="4">
        <v>6.6</v>
      </c>
    </row>
    <row r="8" spans="1:6" x14ac:dyDescent="0.3">
      <c r="A8" s="32">
        <v>100</v>
      </c>
      <c r="B8" s="3">
        <v>6.2</v>
      </c>
    </row>
    <row r="9" spans="1:6" x14ac:dyDescent="0.3">
      <c r="A9" s="31">
        <v>141</v>
      </c>
      <c r="B9" s="4">
        <v>7.8</v>
      </c>
    </row>
    <row r="10" spans="1:6" x14ac:dyDescent="0.3">
      <c r="A10" s="32">
        <v>153</v>
      </c>
      <c r="B10" s="3">
        <v>7.5</v>
      </c>
    </row>
    <row r="11" spans="1:6" x14ac:dyDescent="0.3">
      <c r="A11" s="31">
        <v>183</v>
      </c>
      <c r="B11" s="4">
        <v>7.5</v>
      </c>
    </row>
    <row r="12" spans="1:6" x14ac:dyDescent="0.3">
      <c r="A12" s="32">
        <v>106</v>
      </c>
      <c r="B12" s="3">
        <v>6.9</v>
      </c>
    </row>
    <row r="13" spans="1:6" x14ac:dyDescent="0.3">
      <c r="A13" s="31">
        <v>151</v>
      </c>
      <c r="B13" s="4">
        <v>6.1</v>
      </c>
    </row>
    <row r="14" spans="1:6" x14ac:dyDescent="0.3">
      <c r="A14" s="32">
        <v>150</v>
      </c>
      <c r="B14" s="3">
        <v>6.7</v>
      </c>
    </row>
    <row r="15" spans="1:6" x14ac:dyDescent="0.3">
      <c r="A15" s="31">
        <v>143</v>
      </c>
      <c r="B15" s="4">
        <v>7.3</v>
      </c>
    </row>
    <row r="16" spans="1:6" x14ac:dyDescent="0.3">
      <c r="A16" s="32">
        <v>150</v>
      </c>
      <c r="B16" s="3">
        <v>6.5</v>
      </c>
    </row>
    <row r="17" spans="1:2" x14ac:dyDescent="0.3">
      <c r="A17" s="31">
        <v>173</v>
      </c>
      <c r="B17" s="4">
        <v>7.2</v>
      </c>
    </row>
    <row r="18" spans="1:2" x14ac:dyDescent="0.3">
      <c r="A18" s="32">
        <v>136</v>
      </c>
      <c r="B18" s="3">
        <v>6.6</v>
      </c>
    </row>
    <row r="19" spans="1:2" x14ac:dyDescent="0.3">
      <c r="A19" s="31">
        <v>106</v>
      </c>
      <c r="B19" s="4">
        <v>8.1</v>
      </c>
    </row>
    <row r="20" spans="1:2" x14ac:dyDescent="0.3">
      <c r="A20" s="32">
        <v>164</v>
      </c>
      <c r="B20" s="3">
        <v>6.7</v>
      </c>
    </row>
    <row r="21" spans="1:2" x14ac:dyDescent="0.3">
      <c r="A21" s="31">
        <v>153</v>
      </c>
      <c r="B21" s="4">
        <v>6.8</v>
      </c>
    </row>
    <row r="22" spans="1:2" x14ac:dyDescent="0.3">
      <c r="A22" s="32">
        <v>156</v>
      </c>
      <c r="B22" s="3">
        <v>7.5</v>
      </c>
    </row>
    <row r="23" spans="1:2" x14ac:dyDescent="0.3">
      <c r="A23" s="31">
        <v>186</v>
      </c>
      <c r="B23" s="4">
        <v>7</v>
      </c>
    </row>
    <row r="24" spans="1:2" x14ac:dyDescent="0.3">
      <c r="A24" s="32">
        <v>113</v>
      </c>
      <c r="B24" s="3">
        <v>6.7</v>
      </c>
    </row>
    <row r="25" spans="1:2" x14ac:dyDescent="0.3">
      <c r="A25" s="31">
        <v>201</v>
      </c>
      <c r="B25" s="4">
        <v>7.9</v>
      </c>
    </row>
    <row r="26" spans="1:2" x14ac:dyDescent="0.3">
      <c r="A26" s="32">
        <v>194</v>
      </c>
      <c r="B26" s="3">
        <v>6.1</v>
      </c>
    </row>
    <row r="27" spans="1:2" x14ac:dyDescent="0.3">
      <c r="A27" s="31">
        <v>147</v>
      </c>
      <c r="B27" s="4">
        <v>7.2</v>
      </c>
    </row>
    <row r="28" spans="1:2" x14ac:dyDescent="0.3">
      <c r="A28" s="32">
        <v>131</v>
      </c>
      <c r="B28" s="3">
        <v>7.7</v>
      </c>
    </row>
    <row r="29" spans="1:2" x14ac:dyDescent="0.3">
      <c r="A29" s="31">
        <v>124</v>
      </c>
      <c r="B29" s="4">
        <v>8.1999999999999993</v>
      </c>
    </row>
    <row r="30" spans="1:2" x14ac:dyDescent="0.3">
      <c r="A30" s="32">
        <v>143</v>
      </c>
      <c r="B30" s="3">
        <v>5.9</v>
      </c>
    </row>
    <row r="31" spans="1:2" x14ac:dyDescent="0.3">
      <c r="A31" s="31">
        <v>135</v>
      </c>
      <c r="B31" s="4">
        <v>7</v>
      </c>
    </row>
    <row r="32" spans="1:2" x14ac:dyDescent="0.3">
      <c r="A32" s="32">
        <v>195</v>
      </c>
      <c r="B32" s="3">
        <v>7.8</v>
      </c>
    </row>
    <row r="33" spans="1:2" x14ac:dyDescent="0.3">
      <c r="A33" s="31">
        <v>108</v>
      </c>
      <c r="B33" s="4">
        <v>7.3</v>
      </c>
    </row>
    <row r="34" spans="1:2" x14ac:dyDescent="0.3">
      <c r="A34" s="32">
        <v>104</v>
      </c>
      <c r="B34" s="3">
        <v>7.2</v>
      </c>
    </row>
    <row r="35" spans="1:2" x14ac:dyDescent="0.3">
      <c r="A35" s="31">
        <v>104</v>
      </c>
      <c r="B35" s="4">
        <v>6.5</v>
      </c>
    </row>
    <row r="36" spans="1:2" x14ac:dyDescent="0.3">
      <c r="A36" s="32">
        <v>150</v>
      </c>
      <c r="B36" s="3">
        <v>6.8</v>
      </c>
    </row>
    <row r="37" spans="1:2" x14ac:dyDescent="0.3">
      <c r="A37" s="31">
        <v>165</v>
      </c>
      <c r="B37" s="4">
        <v>7.3</v>
      </c>
    </row>
    <row r="38" spans="1:2" x14ac:dyDescent="0.3">
      <c r="A38" s="32">
        <v>130</v>
      </c>
      <c r="B38" s="3">
        <v>6</v>
      </c>
    </row>
    <row r="39" spans="1:2" x14ac:dyDescent="0.3">
      <c r="A39" s="31">
        <v>142</v>
      </c>
      <c r="B39" s="4">
        <v>5.7</v>
      </c>
    </row>
    <row r="40" spans="1:2" x14ac:dyDescent="0.3">
      <c r="A40" s="32">
        <v>125</v>
      </c>
      <c r="B40" s="3">
        <v>6.4</v>
      </c>
    </row>
    <row r="41" spans="1:2" x14ac:dyDescent="0.3">
      <c r="A41" s="31">
        <v>106</v>
      </c>
      <c r="B41" s="4">
        <v>6.7</v>
      </c>
    </row>
    <row r="42" spans="1:2" x14ac:dyDescent="0.3">
      <c r="A42" s="32">
        <v>123</v>
      </c>
      <c r="B42" s="3">
        <v>6.8</v>
      </c>
    </row>
    <row r="43" spans="1:2" x14ac:dyDescent="0.3">
      <c r="A43" s="31">
        <v>103</v>
      </c>
      <c r="B43" s="4">
        <v>6.3</v>
      </c>
    </row>
    <row r="44" spans="1:2" x14ac:dyDescent="0.3">
      <c r="A44" s="32">
        <v>118</v>
      </c>
      <c r="B44" s="3">
        <v>5.6</v>
      </c>
    </row>
    <row r="45" spans="1:2" x14ac:dyDescent="0.3">
      <c r="A45" s="31">
        <v>140</v>
      </c>
      <c r="B45" s="4">
        <v>8.3000000000000007</v>
      </c>
    </row>
    <row r="46" spans="1:2" x14ac:dyDescent="0.3">
      <c r="A46" s="32">
        <v>123</v>
      </c>
      <c r="B46" s="3">
        <v>6.6</v>
      </c>
    </row>
    <row r="47" spans="1:2" x14ac:dyDescent="0.3">
      <c r="A47" s="31">
        <v>149</v>
      </c>
      <c r="B47" s="4">
        <v>7.2</v>
      </c>
    </row>
    <row r="48" spans="1:2" x14ac:dyDescent="0.3">
      <c r="A48" s="32">
        <v>132</v>
      </c>
      <c r="B48" s="3">
        <v>7</v>
      </c>
    </row>
    <row r="49" spans="1:2" x14ac:dyDescent="0.3">
      <c r="A49" s="31">
        <v>114</v>
      </c>
      <c r="B49" s="4">
        <v>8</v>
      </c>
    </row>
    <row r="50" spans="1:2" x14ac:dyDescent="0.3">
      <c r="A50" s="32">
        <v>143</v>
      </c>
      <c r="B50" s="3">
        <v>7.8</v>
      </c>
    </row>
    <row r="51" spans="1:2" x14ac:dyDescent="0.3">
      <c r="A51" s="31">
        <v>116</v>
      </c>
      <c r="B51" s="4">
        <v>6.3</v>
      </c>
    </row>
    <row r="52" spans="1:2" x14ac:dyDescent="0.3">
      <c r="A52" s="32">
        <v>131</v>
      </c>
      <c r="B52" s="3">
        <v>7.3</v>
      </c>
    </row>
    <row r="53" spans="1:2" x14ac:dyDescent="0.3">
      <c r="A53" s="31">
        <v>154</v>
      </c>
      <c r="B53" s="4">
        <v>6.6</v>
      </c>
    </row>
    <row r="54" spans="1:2" x14ac:dyDescent="0.3">
      <c r="A54" s="32">
        <v>122</v>
      </c>
      <c r="B54" s="3">
        <v>7</v>
      </c>
    </row>
    <row r="55" spans="1:2" x14ac:dyDescent="0.3">
      <c r="A55" s="31">
        <v>93</v>
      </c>
      <c r="B55" s="4">
        <v>6.3</v>
      </c>
    </row>
    <row r="56" spans="1:2" x14ac:dyDescent="0.3">
      <c r="A56" s="32">
        <v>122</v>
      </c>
      <c r="B56" s="3">
        <v>6.2</v>
      </c>
    </row>
    <row r="57" spans="1:2" x14ac:dyDescent="0.3">
      <c r="A57" s="31">
        <v>98</v>
      </c>
      <c r="B57" s="4">
        <v>6.8</v>
      </c>
    </row>
    <row r="58" spans="1:2" x14ac:dyDescent="0.3">
      <c r="A58" s="32">
        <v>91</v>
      </c>
      <c r="B58" s="3">
        <v>7.2</v>
      </c>
    </row>
    <row r="59" spans="1:2" x14ac:dyDescent="0.3">
      <c r="A59" s="31">
        <v>158</v>
      </c>
      <c r="B59" s="4">
        <v>7.5</v>
      </c>
    </row>
    <row r="60" spans="1:2" x14ac:dyDescent="0.3">
      <c r="A60" s="32">
        <v>96</v>
      </c>
      <c r="B60" s="3">
        <v>8.4</v>
      </c>
    </row>
    <row r="61" spans="1:2" x14ac:dyDescent="0.3">
      <c r="A61" s="31">
        <v>127</v>
      </c>
      <c r="B61" s="4">
        <v>6.2</v>
      </c>
    </row>
    <row r="62" spans="1:2" x14ac:dyDescent="0.3">
      <c r="A62" s="32">
        <v>110</v>
      </c>
      <c r="B62" s="3">
        <v>5.8</v>
      </c>
    </row>
    <row r="63" spans="1:2" x14ac:dyDescent="0.3">
      <c r="A63" s="31">
        <v>150</v>
      </c>
      <c r="B63" s="4">
        <v>6.8</v>
      </c>
    </row>
    <row r="64" spans="1:2" x14ac:dyDescent="0.3">
      <c r="A64" s="32">
        <v>144</v>
      </c>
      <c r="B64" s="3">
        <v>5.4</v>
      </c>
    </row>
    <row r="65" spans="1:2" x14ac:dyDescent="0.3">
      <c r="A65" s="31">
        <v>152</v>
      </c>
      <c r="B65" s="4">
        <v>6.6</v>
      </c>
    </row>
    <row r="66" spans="1:2" x14ac:dyDescent="0.3">
      <c r="A66" s="32">
        <v>96</v>
      </c>
      <c r="B66" s="3">
        <v>6.9</v>
      </c>
    </row>
    <row r="67" spans="1:2" x14ac:dyDescent="0.3">
      <c r="A67" s="31">
        <v>94</v>
      </c>
      <c r="B67" s="4">
        <v>7.3</v>
      </c>
    </row>
    <row r="68" spans="1:2" x14ac:dyDescent="0.3">
      <c r="A68" s="32">
        <v>126</v>
      </c>
      <c r="B68" s="3">
        <v>9</v>
      </c>
    </row>
    <row r="69" spans="1:2" x14ac:dyDescent="0.3">
      <c r="A69" s="31">
        <v>126</v>
      </c>
      <c r="B69" s="4">
        <v>8.3000000000000007</v>
      </c>
    </row>
    <row r="70" spans="1:2" x14ac:dyDescent="0.3">
      <c r="A70" s="32">
        <v>106</v>
      </c>
      <c r="B70" s="3">
        <v>6.5</v>
      </c>
    </row>
    <row r="71" spans="1:2" x14ac:dyDescent="0.3">
      <c r="A71" s="31">
        <v>112</v>
      </c>
      <c r="B71" s="4">
        <v>7.9</v>
      </c>
    </row>
    <row r="72" spans="1:2" x14ac:dyDescent="0.3">
      <c r="A72" s="32">
        <v>123</v>
      </c>
      <c r="B72" s="3">
        <v>7.5</v>
      </c>
    </row>
    <row r="73" spans="1:2" x14ac:dyDescent="0.3">
      <c r="A73" s="31">
        <v>96</v>
      </c>
      <c r="B73" s="4">
        <v>4.8</v>
      </c>
    </row>
    <row r="74" spans="1:2" x14ac:dyDescent="0.3">
      <c r="A74" s="32">
        <v>113</v>
      </c>
      <c r="B74" s="3">
        <v>5.2</v>
      </c>
    </row>
    <row r="75" spans="1:2" x14ac:dyDescent="0.3">
      <c r="A75" s="31">
        <v>176</v>
      </c>
      <c r="B75" s="4">
        <v>6.9</v>
      </c>
    </row>
    <row r="76" spans="1:2" x14ac:dyDescent="0.3">
      <c r="A76" s="32">
        <v>118</v>
      </c>
      <c r="B76" s="3">
        <v>5.4</v>
      </c>
    </row>
    <row r="77" spans="1:2" x14ac:dyDescent="0.3">
      <c r="A77" s="31">
        <v>95</v>
      </c>
      <c r="B77" s="4">
        <v>7.9</v>
      </c>
    </row>
    <row r="78" spans="1:2" x14ac:dyDescent="0.3">
      <c r="A78" s="32">
        <v>106</v>
      </c>
      <c r="B78" s="3">
        <v>6.1</v>
      </c>
    </row>
    <row r="79" spans="1:2" x14ac:dyDescent="0.3">
      <c r="A79" s="31">
        <v>124</v>
      </c>
      <c r="B79" s="4">
        <v>5.8</v>
      </c>
    </row>
    <row r="80" spans="1:2" x14ac:dyDescent="0.3">
      <c r="A80" s="32">
        <v>132</v>
      </c>
      <c r="B80" s="3">
        <v>8.3000000000000007</v>
      </c>
    </row>
    <row r="81" spans="1:2" x14ac:dyDescent="0.3">
      <c r="A81" s="31">
        <v>97</v>
      </c>
      <c r="B81" s="4">
        <v>7.8</v>
      </c>
    </row>
    <row r="82" spans="1:2" x14ac:dyDescent="0.3">
      <c r="A82" s="32">
        <v>130</v>
      </c>
      <c r="B82" s="3">
        <v>7</v>
      </c>
    </row>
    <row r="83" spans="1:2" x14ac:dyDescent="0.3">
      <c r="A83" s="31">
        <v>128</v>
      </c>
      <c r="B83" s="4">
        <v>6.1</v>
      </c>
    </row>
    <row r="84" spans="1:2" x14ac:dyDescent="0.3">
      <c r="A84" s="32">
        <v>136</v>
      </c>
      <c r="B84" s="3">
        <v>7</v>
      </c>
    </row>
    <row r="85" spans="1:2" x14ac:dyDescent="0.3">
      <c r="A85" s="31">
        <v>93</v>
      </c>
      <c r="B85" s="4">
        <v>7.6</v>
      </c>
    </row>
    <row r="86" spans="1:2" x14ac:dyDescent="0.3">
      <c r="A86" s="32">
        <v>130</v>
      </c>
      <c r="B86" s="3">
        <v>4.5</v>
      </c>
    </row>
    <row r="87" spans="1:2" x14ac:dyDescent="0.3">
      <c r="A87" s="31">
        <v>102</v>
      </c>
      <c r="B87" s="4">
        <v>6.3</v>
      </c>
    </row>
    <row r="88" spans="1:2" x14ac:dyDescent="0.3">
      <c r="A88" s="32">
        <v>101</v>
      </c>
      <c r="B88" s="3">
        <v>7.8</v>
      </c>
    </row>
    <row r="89" spans="1:2" x14ac:dyDescent="0.3">
      <c r="A89" s="31">
        <v>100</v>
      </c>
      <c r="B89" s="4">
        <v>6.4</v>
      </c>
    </row>
    <row r="90" spans="1:2" x14ac:dyDescent="0.3">
      <c r="A90" s="32">
        <v>120</v>
      </c>
      <c r="B90" s="3">
        <v>6.5</v>
      </c>
    </row>
    <row r="91" spans="1:2" x14ac:dyDescent="0.3">
      <c r="A91" s="31">
        <v>98</v>
      </c>
      <c r="B91" s="4">
        <v>7.9</v>
      </c>
    </row>
    <row r="92" spans="1:2" x14ac:dyDescent="0.3">
      <c r="A92" s="32">
        <v>109</v>
      </c>
      <c r="B92" s="3">
        <v>7.8</v>
      </c>
    </row>
    <row r="93" spans="1:2" x14ac:dyDescent="0.3">
      <c r="A93" s="31">
        <v>121</v>
      </c>
      <c r="B93" s="4">
        <v>6.6</v>
      </c>
    </row>
    <row r="94" spans="1:2" x14ac:dyDescent="0.3">
      <c r="A94" s="32">
        <v>169</v>
      </c>
      <c r="B94" s="3">
        <v>5.5</v>
      </c>
    </row>
    <row r="95" spans="1:2" x14ac:dyDescent="0.3">
      <c r="A95" s="31">
        <v>148</v>
      </c>
      <c r="B95" s="4">
        <v>8.1999999999999993</v>
      </c>
    </row>
    <row r="96" spans="1:2" x14ac:dyDescent="0.3">
      <c r="A96" s="32">
        <v>182</v>
      </c>
      <c r="B96" s="3">
        <v>6.4</v>
      </c>
    </row>
    <row r="97" spans="1:2" x14ac:dyDescent="0.3">
      <c r="A97" s="31">
        <v>106</v>
      </c>
      <c r="B97" s="4">
        <v>8.1</v>
      </c>
    </row>
    <row r="98" spans="1:2" x14ac:dyDescent="0.3">
      <c r="A98" s="32">
        <v>166</v>
      </c>
      <c r="B98" s="3">
        <v>8.6</v>
      </c>
    </row>
    <row r="99" spans="1:2" x14ac:dyDescent="0.3">
      <c r="A99" s="31">
        <v>132</v>
      </c>
      <c r="B99" s="4">
        <v>8.8000000000000007</v>
      </c>
    </row>
    <row r="100" spans="1:2" x14ac:dyDescent="0.3">
      <c r="A100" s="32">
        <v>137</v>
      </c>
      <c r="B100" s="3">
        <v>8.1999999999999993</v>
      </c>
    </row>
    <row r="101" spans="1:2" x14ac:dyDescent="0.3">
      <c r="A101" s="31">
        <v>109</v>
      </c>
      <c r="B101" s="4">
        <v>7.9</v>
      </c>
    </row>
    <row r="102" spans="1:2" x14ac:dyDescent="0.3">
      <c r="A102" s="32">
        <v>98</v>
      </c>
      <c r="B102" s="3">
        <v>6.7</v>
      </c>
    </row>
    <row r="103" spans="1:2" x14ac:dyDescent="0.3">
      <c r="A103" s="31">
        <v>113</v>
      </c>
      <c r="B103" s="4">
        <v>7.8</v>
      </c>
    </row>
    <row r="104" spans="1:2" x14ac:dyDescent="0.3">
      <c r="A104" s="32">
        <v>93</v>
      </c>
      <c r="B104" s="3">
        <v>7.8</v>
      </c>
    </row>
    <row r="105" spans="1:2" x14ac:dyDescent="0.3">
      <c r="A105" s="31">
        <v>123</v>
      </c>
      <c r="B105" s="4">
        <v>6.6</v>
      </c>
    </row>
    <row r="106" spans="1:2" x14ac:dyDescent="0.3">
      <c r="A106" s="32">
        <v>126</v>
      </c>
      <c r="B106" s="3">
        <v>6.1</v>
      </c>
    </row>
    <row r="107" spans="1:2" x14ac:dyDescent="0.3">
      <c r="A107" s="31">
        <v>113</v>
      </c>
      <c r="B107" s="4">
        <v>5.6</v>
      </c>
    </row>
    <row r="108" spans="1:2" x14ac:dyDescent="0.3">
      <c r="A108" s="32">
        <v>184</v>
      </c>
      <c r="B108" s="3">
        <v>6.4</v>
      </c>
    </row>
    <row r="109" spans="1:2" x14ac:dyDescent="0.3">
      <c r="A109" s="31">
        <v>144</v>
      </c>
      <c r="B109" s="4">
        <v>6.1</v>
      </c>
    </row>
    <row r="110" spans="1:2" x14ac:dyDescent="0.3">
      <c r="A110" s="32">
        <v>206</v>
      </c>
      <c r="B110" s="3">
        <v>7.3</v>
      </c>
    </row>
    <row r="111" spans="1:2" x14ac:dyDescent="0.3">
      <c r="A111" s="31">
        <v>138</v>
      </c>
      <c r="B111" s="4">
        <v>6.6</v>
      </c>
    </row>
    <row r="112" spans="1:2" x14ac:dyDescent="0.3">
      <c r="A112" s="32">
        <v>157</v>
      </c>
      <c r="B112" s="3">
        <v>6.3</v>
      </c>
    </row>
    <row r="113" spans="1:2" x14ac:dyDescent="0.3">
      <c r="A113" s="31">
        <v>102</v>
      </c>
      <c r="B113" s="4">
        <v>6.1</v>
      </c>
    </row>
    <row r="114" spans="1:2" x14ac:dyDescent="0.3">
      <c r="A114" s="32">
        <v>104</v>
      </c>
      <c r="B114" s="3">
        <v>7.1</v>
      </c>
    </row>
    <row r="115" spans="1:2" x14ac:dyDescent="0.3">
      <c r="A115" s="31">
        <v>115</v>
      </c>
      <c r="B115" s="4">
        <v>5.5</v>
      </c>
    </row>
    <row r="116" spans="1:2" x14ac:dyDescent="0.3">
      <c r="A116" s="32">
        <v>111</v>
      </c>
      <c r="B116" s="3">
        <v>7.5</v>
      </c>
    </row>
    <row r="117" spans="1:2" x14ac:dyDescent="0.3">
      <c r="A117" s="31">
        <v>128</v>
      </c>
      <c r="B117" s="4">
        <v>7.6</v>
      </c>
    </row>
    <row r="118" spans="1:2" x14ac:dyDescent="0.3">
      <c r="A118" s="32">
        <v>89</v>
      </c>
      <c r="B118" s="3">
        <v>6.4</v>
      </c>
    </row>
    <row r="119" spans="1:2" x14ac:dyDescent="0.3">
      <c r="A119" s="31">
        <v>105</v>
      </c>
      <c r="B119" s="4">
        <v>7.2</v>
      </c>
    </row>
    <row r="120" spans="1:2" x14ac:dyDescent="0.3">
      <c r="A120" s="32">
        <v>119</v>
      </c>
      <c r="B120" s="3">
        <v>6.7</v>
      </c>
    </row>
    <row r="121" spans="1:2" x14ac:dyDescent="0.3">
      <c r="A121" s="31">
        <v>129</v>
      </c>
      <c r="B121" s="4">
        <v>8</v>
      </c>
    </row>
    <row r="122" spans="1:2" x14ac:dyDescent="0.3">
      <c r="A122" s="32">
        <v>102</v>
      </c>
      <c r="B122" s="3">
        <v>8.3000000000000007</v>
      </c>
    </row>
    <row r="123" spans="1:2" x14ac:dyDescent="0.3">
      <c r="A123" s="31">
        <v>138</v>
      </c>
      <c r="B123" s="4">
        <v>6.7</v>
      </c>
    </row>
    <row r="124" spans="1:2" x14ac:dyDescent="0.3">
      <c r="A124" s="32">
        <v>112</v>
      </c>
      <c r="B124" s="3">
        <v>5.9</v>
      </c>
    </row>
    <row r="125" spans="1:2" x14ac:dyDescent="0.3">
      <c r="A125" s="31">
        <v>120</v>
      </c>
      <c r="B125" s="4">
        <v>6.7</v>
      </c>
    </row>
    <row r="126" spans="1:2" x14ac:dyDescent="0.3">
      <c r="A126" s="32">
        <v>146</v>
      </c>
      <c r="B126" s="3">
        <v>6.7</v>
      </c>
    </row>
    <row r="127" spans="1:2" x14ac:dyDescent="0.3">
      <c r="A127" s="31">
        <v>115</v>
      </c>
      <c r="B127" s="4">
        <v>7.6</v>
      </c>
    </row>
    <row r="128" spans="1:2" x14ac:dyDescent="0.3">
      <c r="A128" s="32">
        <v>96</v>
      </c>
      <c r="B128" s="3">
        <v>7.2</v>
      </c>
    </row>
    <row r="129" spans="1:2" x14ac:dyDescent="0.3">
      <c r="A129" s="31">
        <v>88</v>
      </c>
      <c r="B129" s="4">
        <v>7.1</v>
      </c>
    </row>
    <row r="130" spans="1:2" x14ac:dyDescent="0.3">
      <c r="A130" s="32">
        <v>99</v>
      </c>
      <c r="B130" s="3">
        <v>8.1</v>
      </c>
    </row>
    <row r="131" spans="1:2" x14ac:dyDescent="0.3">
      <c r="A131" s="31">
        <v>113</v>
      </c>
      <c r="B131" s="4">
        <v>6.7</v>
      </c>
    </row>
    <row r="132" spans="1:2" x14ac:dyDescent="0.3">
      <c r="A132" s="32">
        <v>131</v>
      </c>
      <c r="B132" s="3">
        <v>7</v>
      </c>
    </row>
    <row r="133" spans="1:2" x14ac:dyDescent="0.3">
      <c r="A133" s="31">
        <v>119</v>
      </c>
      <c r="B133" s="4">
        <v>6.9</v>
      </c>
    </row>
    <row r="134" spans="1:2" x14ac:dyDescent="0.3">
      <c r="A134" s="32">
        <v>91</v>
      </c>
      <c r="B134" s="3">
        <v>5.0999999999999996</v>
      </c>
    </row>
    <row r="135" spans="1:2" x14ac:dyDescent="0.3">
      <c r="A135" s="31">
        <v>90</v>
      </c>
      <c r="B135" s="4">
        <v>5.8</v>
      </c>
    </row>
    <row r="136" spans="1:2" x14ac:dyDescent="0.3">
      <c r="A136" s="32">
        <v>103</v>
      </c>
      <c r="B136" s="3">
        <v>6.2</v>
      </c>
    </row>
    <row r="137" spans="1:2" x14ac:dyDescent="0.3">
      <c r="A137" s="31">
        <v>124</v>
      </c>
      <c r="B137" s="4">
        <v>7.4</v>
      </c>
    </row>
    <row r="138" spans="1:2" x14ac:dyDescent="0.3">
      <c r="A138" s="32">
        <v>131</v>
      </c>
      <c r="B138" s="3">
        <v>5.8</v>
      </c>
    </row>
    <row r="139" spans="1:2" x14ac:dyDescent="0.3">
      <c r="A139" s="31">
        <v>88</v>
      </c>
      <c r="B139" s="4">
        <v>6.6</v>
      </c>
    </row>
    <row r="140" spans="1:2" x14ac:dyDescent="0.3">
      <c r="A140" s="32">
        <v>85</v>
      </c>
      <c r="B140" s="3">
        <v>6.2</v>
      </c>
    </row>
    <row r="141" spans="1:2" x14ac:dyDescent="0.3">
      <c r="A141" s="31">
        <v>111</v>
      </c>
      <c r="B141" s="4">
        <v>7.3</v>
      </c>
    </row>
    <row r="142" spans="1:2" x14ac:dyDescent="0.3">
      <c r="A142" s="32">
        <v>92</v>
      </c>
      <c r="B142" s="3">
        <v>4.2</v>
      </c>
    </row>
    <row r="143" spans="1:2" x14ac:dyDescent="0.3">
      <c r="A143" s="31">
        <v>196</v>
      </c>
      <c r="B143" s="4">
        <v>6.9</v>
      </c>
    </row>
    <row r="144" spans="1:2" x14ac:dyDescent="0.3">
      <c r="A144" s="32">
        <v>93</v>
      </c>
      <c r="B144" s="3">
        <v>6.4</v>
      </c>
    </row>
    <row r="145" spans="1:2" x14ac:dyDescent="0.3">
      <c r="A145" s="31">
        <v>133</v>
      </c>
      <c r="B145" s="4">
        <v>5.4</v>
      </c>
    </row>
    <row r="146" spans="1:2" x14ac:dyDescent="0.3">
      <c r="A146" s="32">
        <v>116</v>
      </c>
      <c r="B146" s="3">
        <v>6.7</v>
      </c>
    </row>
    <row r="147" spans="1:2" x14ac:dyDescent="0.3">
      <c r="A147" s="31">
        <v>153</v>
      </c>
      <c r="B147" s="4">
        <v>5.8</v>
      </c>
    </row>
    <row r="148" spans="1:2" x14ac:dyDescent="0.3">
      <c r="A148" s="32">
        <v>88</v>
      </c>
      <c r="B148" s="3">
        <v>6.9</v>
      </c>
    </row>
    <row r="149" spans="1:2" x14ac:dyDescent="0.3">
      <c r="A149" s="31">
        <v>115</v>
      </c>
      <c r="B149" s="4">
        <v>7.2</v>
      </c>
    </row>
    <row r="150" spans="1:2" x14ac:dyDescent="0.3">
      <c r="A150" s="32">
        <v>95</v>
      </c>
      <c r="B150" s="3">
        <v>6.9</v>
      </c>
    </row>
    <row r="151" spans="1:2" x14ac:dyDescent="0.3">
      <c r="A151" s="31">
        <v>133</v>
      </c>
      <c r="B151" s="4">
        <v>6.1</v>
      </c>
    </row>
    <row r="152" spans="1:2" x14ac:dyDescent="0.3">
      <c r="A152" s="32">
        <v>97</v>
      </c>
      <c r="B152" s="3">
        <v>5.5</v>
      </c>
    </row>
    <row r="153" spans="1:2" x14ac:dyDescent="0.3">
      <c r="A153" s="31">
        <v>90</v>
      </c>
      <c r="B153" s="4">
        <v>6.6</v>
      </c>
    </row>
    <row r="154" spans="1:2" x14ac:dyDescent="0.3">
      <c r="A154" s="32">
        <v>154</v>
      </c>
      <c r="B154" s="3">
        <v>6.1</v>
      </c>
    </row>
    <row r="155" spans="1:2" x14ac:dyDescent="0.3">
      <c r="A155" s="31">
        <v>150</v>
      </c>
      <c r="B155" s="4">
        <v>6.3</v>
      </c>
    </row>
    <row r="156" spans="1:2" x14ac:dyDescent="0.3">
      <c r="A156" s="32">
        <v>127</v>
      </c>
      <c r="B156" s="3">
        <v>7.2</v>
      </c>
    </row>
    <row r="157" spans="1:2" x14ac:dyDescent="0.3">
      <c r="A157" s="31">
        <v>121</v>
      </c>
      <c r="B157" s="4">
        <v>7.4</v>
      </c>
    </row>
    <row r="158" spans="1:2" x14ac:dyDescent="0.3">
      <c r="A158" s="32">
        <v>102</v>
      </c>
      <c r="B158" s="3">
        <v>7.3</v>
      </c>
    </row>
    <row r="159" spans="1:2" x14ac:dyDescent="0.3">
      <c r="A159" s="31">
        <v>126</v>
      </c>
      <c r="B159" s="4">
        <v>6.1</v>
      </c>
    </row>
    <row r="160" spans="1:2" x14ac:dyDescent="0.3">
      <c r="A160" s="32">
        <v>121</v>
      </c>
      <c r="B160" s="3">
        <v>7.7</v>
      </c>
    </row>
    <row r="161" spans="1:2" x14ac:dyDescent="0.3">
      <c r="A161" s="31">
        <v>215</v>
      </c>
      <c r="B161" s="4">
        <v>6.1</v>
      </c>
    </row>
    <row r="162" spans="1:2" x14ac:dyDescent="0.3">
      <c r="A162" s="32">
        <v>127</v>
      </c>
      <c r="B162" s="3">
        <v>8</v>
      </c>
    </row>
    <row r="163" spans="1:2" x14ac:dyDescent="0.3">
      <c r="A163" s="31">
        <v>138</v>
      </c>
      <c r="B163" s="4">
        <v>7.3</v>
      </c>
    </row>
    <row r="164" spans="1:2" x14ac:dyDescent="0.3">
      <c r="A164" s="32">
        <v>122</v>
      </c>
      <c r="B164" s="3">
        <v>7.9</v>
      </c>
    </row>
    <row r="165" spans="1:2" x14ac:dyDescent="0.3">
      <c r="A165" s="31">
        <v>124</v>
      </c>
      <c r="B165" s="4">
        <v>5.5</v>
      </c>
    </row>
    <row r="166" spans="1:2" x14ac:dyDescent="0.3">
      <c r="A166" s="32">
        <v>106</v>
      </c>
      <c r="B166" s="3">
        <v>5</v>
      </c>
    </row>
    <row r="167" spans="1:2" x14ac:dyDescent="0.3">
      <c r="A167" s="31">
        <v>124</v>
      </c>
      <c r="B167" s="4">
        <v>7.7</v>
      </c>
    </row>
    <row r="168" spans="1:2" x14ac:dyDescent="0.3">
      <c r="A168" s="32">
        <v>128</v>
      </c>
      <c r="B168" s="3">
        <v>6.6</v>
      </c>
    </row>
    <row r="169" spans="1:2" x14ac:dyDescent="0.3">
      <c r="A169" s="31">
        <v>138</v>
      </c>
      <c r="B169" s="4">
        <v>5.7</v>
      </c>
    </row>
    <row r="170" spans="1:2" x14ac:dyDescent="0.3">
      <c r="A170" s="32">
        <v>115</v>
      </c>
      <c r="B170" s="3">
        <v>5.8</v>
      </c>
    </row>
    <row r="171" spans="1:2" x14ac:dyDescent="0.3">
      <c r="A171" s="31">
        <v>100</v>
      </c>
      <c r="B171" s="4">
        <v>6</v>
      </c>
    </row>
    <row r="172" spans="1:2" x14ac:dyDescent="0.3">
      <c r="A172" s="32">
        <v>135</v>
      </c>
      <c r="B172" s="3">
        <v>6.4</v>
      </c>
    </row>
    <row r="173" spans="1:2" x14ac:dyDescent="0.3">
      <c r="A173" s="31">
        <v>117</v>
      </c>
      <c r="B173" s="4">
        <v>6.9</v>
      </c>
    </row>
    <row r="174" spans="1:2" x14ac:dyDescent="0.3">
      <c r="A174" s="32">
        <v>156</v>
      </c>
      <c r="B174" s="3">
        <v>6.4</v>
      </c>
    </row>
    <row r="175" spans="1:2" x14ac:dyDescent="0.3">
      <c r="A175" s="31">
        <v>96</v>
      </c>
      <c r="B175" s="4">
        <v>7.4</v>
      </c>
    </row>
    <row r="176" spans="1:2" x14ac:dyDescent="0.3">
      <c r="A176" s="32">
        <v>107</v>
      </c>
      <c r="B176" s="3">
        <v>5.5</v>
      </c>
    </row>
    <row r="177" spans="1:2" x14ac:dyDescent="0.3">
      <c r="A177" s="31">
        <v>92</v>
      </c>
      <c r="B177" s="4">
        <v>5.9</v>
      </c>
    </row>
    <row r="178" spans="1:2" x14ac:dyDescent="0.3">
      <c r="A178" s="32">
        <v>115</v>
      </c>
      <c r="B178" s="3">
        <v>6.8</v>
      </c>
    </row>
    <row r="179" spans="1:2" x14ac:dyDescent="0.3">
      <c r="A179" s="31">
        <v>117</v>
      </c>
      <c r="B179" s="4">
        <v>6.8</v>
      </c>
    </row>
    <row r="180" spans="1:2" x14ac:dyDescent="0.3">
      <c r="A180" s="32">
        <v>146</v>
      </c>
      <c r="B180" s="3">
        <v>8.1</v>
      </c>
    </row>
    <row r="181" spans="1:2" x14ac:dyDescent="0.3">
      <c r="A181" s="31">
        <v>94</v>
      </c>
      <c r="B181" s="4">
        <v>6.5</v>
      </c>
    </row>
    <row r="182" spans="1:2" x14ac:dyDescent="0.3">
      <c r="A182" s="32">
        <v>116</v>
      </c>
      <c r="B182" s="3">
        <v>7.2</v>
      </c>
    </row>
    <row r="183" spans="1:2" x14ac:dyDescent="0.3">
      <c r="A183" s="31">
        <v>147</v>
      </c>
      <c r="B183" s="4">
        <v>6.7</v>
      </c>
    </row>
    <row r="184" spans="1:2" x14ac:dyDescent="0.3">
      <c r="A184" s="32">
        <v>90</v>
      </c>
      <c r="B184" s="3">
        <v>8.1</v>
      </c>
    </row>
    <row r="185" spans="1:2" x14ac:dyDescent="0.3">
      <c r="A185" s="31">
        <v>101</v>
      </c>
      <c r="B185" s="4">
        <v>7.6</v>
      </c>
    </row>
    <row r="186" spans="1:2" x14ac:dyDescent="0.3">
      <c r="A186" s="32">
        <v>138</v>
      </c>
      <c r="B186" s="3">
        <v>7.4</v>
      </c>
    </row>
    <row r="187" spans="1:2" x14ac:dyDescent="0.3">
      <c r="A187" s="31">
        <v>107</v>
      </c>
      <c r="B187" s="4">
        <v>7.6</v>
      </c>
    </row>
    <row r="188" spans="1:2" x14ac:dyDescent="0.3">
      <c r="A188" s="32">
        <v>142</v>
      </c>
      <c r="B188" s="3">
        <v>5.5</v>
      </c>
    </row>
    <row r="189" spans="1:2" x14ac:dyDescent="0.3">
      <c r="A189" s="31">
        <v>165</v>
      </c>
      <c r="B189" s="4">
        <v>6.7</v>
      </c>
    </row>
    <row r="190" spans="1:2" x14ac:dyDescent="0.3">
      <c r="A190" s="32">
        <v>100</v>
      </c>
      <c r="B190" s="3">
        <v>6.5</v>
      </c>
    </row>
    <row r="191" spans="1:2" x14ac:dyDescent="0.3">
      <c r="A191" s="31">
        <v>82</v>
      </c>
      <c r="B191" s="4">
        <v>6.6</v>
      </c>
    </row>
    <row r="192" spans="1:2" x14ac:dyDescent="0.3">
      <c r="A192" s="32">
        <v>98</v>
      </c>
      <c r="B192" s="3">
        <v>6.7</v>
      </c>
    </row>
    <row r="193" spans="1:2" x14ac:dyDescent="0.3">
      <c r="A193" s="31">
        <v>95</v>
      </c>
      <c r="B193" s="4">
        <v>6.4</v>
      </c>
    </row>
    <row r="194" spans="1:2" x14ac:dyDescent="0.3">
      <c r="A194" s="32">
        <v>159</v>
      </c>
      <c r="B194" s="3">
        <v>5.8</v>
      </c>
    </row>
    <row r="195" spans="1:2" x14ac:dyDescent="0.3">
      <c r="A195" s="31">
        <v>96</v>
      </c>
      <c r="B195" s="4">
        <v>7.4</v>
      </c>
    </row>
    <row r="196" spans="1:2" x14ac:dyDescent="0.3">
      <c r="A196" s="32">
        <v>143</v>
      </c>
      <c r="B196" s="3">
        <v>7.8</v>
      </c>
    </row>
    <row r="197" spans="1:2" x14ac:dyDescent="0.3">
      <c r="A197" s="31">
        <v>123</v>
      </c>
      <c r="B197" s="4">
        <v>6.6</v>
      </c>
    </row>
    <row r="198" spans="1:2" x14ac:dyDescent="0.3">
      <c r="A198" s="32">
        <v>174</v>
      </c>
      <c r="B198" s="3">
        <v>4.9000000000000004</v>
      </c>
    </row>
    <row r="199" spans="1:2" x14ac:dyDescent="0.3">
      <c r="A199" s="31">
        <v>101</v>
      </c>
      <c r="B199" s="4">
        <v>6.5</v>
      </c>
    </row>
    <row r="200" spans="1:2" x14ac:dyDescent="0.3">
      <c r="A200" s="32">
        <v>134</v>
      </c>
      <c r="B200" s="3">
        <v>7.5</v>
      </c>
    </row>
    <row r="201" spans="1:2" x14ac:dyDescent="0.3">
      <c r="A201" s="31">
        <v>132</v>
      </c>
      <c r="B201" s="4">
        <v>6.2</v>
      </c>
    </row>
    <row r="202" spans="1:2" x14ac:dyDescent="0.3">
      <c r="A202" s="32">
        <v>129</v>
      </c>
      <c r="B202" s="3">
        <v>7.3</v>
      </c>
    </row>
    <row r="203" spans="1:2" x14ac:dyDescent="0.3">
      <c r="A203" s="31">
        <v>106</v>
      </c>
      <c r="B203" s="4">
        <v>7.5</v>
      </c>
    </row>
    <row r="204" spans="1:2" x14ac:dyDescent="0.3">
      <c r="A204" s="32">
        <v>113</v>
      </c>
      <c r="B204" s="3">
        <v>5.6</v>
      </c>
    </row>
    <row r="205" spans="1:2" x14ac:dyDescent="0.3">
      <c r="A205" s="31">
        <v>102</v>
      </c>
      <c r="B205" s="4">
        <v>8.1999999999999993</v>
      </c>
    </row>
    <row r="206" spans="1:2" x14ac:dyDescent="0.3">
      <c r="A206" s="32">
        <v>135</v>
      </c>
      <c r="B206" s="3">
        <v>8.1</v>
      </c>
    </row>
    <row r="207" spans="1:2" x14ac:dyDescent="0.3">
      <c r="A207" s="31">
        <v>125</v>
      </c>
      <c r="B207" s="4">
        <v>6.4</v>
      </c>
    </row>
    <row r="208" spans="1:2" x14ac:dyDescent="0.3">
      <c r="A208" s="32">
        <v>110</v>
      </c>
      <c r="B208" s="3">
        <v>6.7</v>
      </c>
    </row>
    <row r="209" spans="1:2" x14ac:dyDescent="0.3">
      <c r="A209" s="31">
        <v>124</v>
      </c>
      <c r="B209" s="4">
        <v>6.6</v>
      </c>
    </row>
    <row r="210" spans="1:2" x14ac:dyDescent="0.3">
      <c r="A210" s="32">
        <v>123</v>
      </c>
      <c r="B210" s="3">
        <v>6.4</v>
      </c>
    </row>
    <row r="211" spans="1:2" x14ac:dyDescent="0.3">
      <c r="A211" s="31">
        <v>130</v>
      </c>
      <c r="B211" s="4">
        <v>7.5</v>
      </c>
    </row>
    <row r="212" spans="1:2" x14ac:dyDescent="0.3">
      <c r="A212" s="32">
        <v>92</v>
      </c>
      <c r="B212" s="3">
        <v>7.3</v>
      </c>
    </row>
    <row r="213" spans="1:2" x14ac:dyDescent="0.3">
      <c r="A213" s="31">
        <v>127</v>
      </c>
      <c r="B213" s="4">
        <v>7.5</v>
      </c>
    </row>
    <row r="214" spans="1:2" x14ac:dyDescent="0.3">
      <c r="A214" s="32">
        <v>123</v>
      </c>
      <c r="B214" s="3">
        <v>5.8</v>
      </c>
    </row>
    <row r="215" spans="1:2" x14ac:dyDescent="0.3">
      <c r="A215" s="31">
        <v>123</v>
      </c>
      <c r="B215" s="4">
        <v>7.5</v>
      </c>
    </row>
    <row r="216" spans="1:2" x14ac:dyDescent="0.3">
      <c r="A216" s="32">
        <v>107</v>
      </c>
      <c r="B216" s="3">
        <v>6.6</v>
      </c>
    </row>
    <row r="217" spans="1:2" x14ac:dyDescent="0.3">
      <c r="A217" s="31">
        <v>124</v>
      </c>
      <c r="B217" s="4">
        <v>6.7</v>
      </c>
    </row>
    <row r="218" spans="1:2" x14ac:dyDescent="0.3">
      <c r="A218" s="32">
        <v>77</v>
      </c>
      <c r="B218" s="3">
        <v>3.7</v>
      </c>
    </row>
    <row r="219" spans="1:2" x14ac:dyDescent="0.3">
      <c r="A219" s="31">
        <v>109</v>
      </c>
      <c r="B219" s="4">
        <v>6</v>
      </c>
    </row>
    <row r="220" spans="1:2" x14ac:dyDescent="0.3">
      <c r="A220" s="32">
        <v>134</v>
      </c>
      <c r="B220" s="3">
        <v>6.4</v>
      </c>
    </row>
    <row r="221" spans="1:2" x14ac:dyDescent="0.3">
      <c r="A221" s="31">
        <v>117</v>
      </c>
      <c r="B221" s="4">
        <v>6.1</v>
      </c>
    </row>
    <row r="222" spans="1:2" x14ac:dyDescent="0.3">
      <c r="A222" s="32">
        <v>135</v>
      </c>
      <c r="B222" s="3">
        <v>6.4</v>
      </c>
    </row>
    <row r="223" spans="1:2" x14ac:dyDescent="0.3">
      <c r="A223" s="31">
        <v>121</v>
      </c>
      <c r="B223" s="4">
        <v>5.6</v>
      </c>
    </row>
    <row r="224" spans="1:2" x14ac:dyDescent="0.3">
      <c r="A224" s="32">
        <v>117</v>
      </c>
      <c r="B224" s="3">
        <v>8</v>
      </c>
    </row>
    <row r="225" spans="1:2" x14ac:dyDescent="0.3">
      <c r="A225" s="31">
        <v>124</v>
      </c>
      <c r="B225" s="4">
        <v>5.2</v>
      </c>
    </row>
    <row r="226" spans="1:2" x14ac:dyDescent="0.3">
      <c r="A226" s="32">
        <v>140</v>
      </c>
      <c r="B226" s="3">
        <v>7.1</v>
      </c>
    </row>
    <row r="227" spans="1:2" x14ac:dyDescent="0.3">
      <c r="A227" s="31">
        <v>142</v>
      </c>
      <c r="B227" s="4">
        <v>4.8</v>
      </c>
    </row>
    <row r="228" spans="1:2" x14ac:dyDescent="0.3">
      <c r="A228" s="32">
        <v>92</v>
      </c>
      <c r="B228" s="3">
        <v>7</v>
      </c>
    </row>
    <row r="229" spans="1:2" x14ac:dyDescent="0.3">
      <c r="A229" s="31">
        <v>138</v>
      </c>
      <c r="B229" s="4">
        <v>5.4</v>
      </c>
    </row>
    <row r="230" spans="1:2" x14ac:dyDescent="0.3">
      <c r="A230" s="32">
        <v>136</v>
      </c>
      <c r="B230" s="3">
        <v>6.6</v>
      </c>
    </row>
    <row r="231" spans="1:2" x14ac:dyDescent="0.3">
      <c r="A231" s="31">
        <v>98</v>
      </c>
      <c r="B231" s="4">
        <v>6.7</v>
      </c>
    </row>
    <row r="232" spans="1:2" x14ac:dyDescent="0.3">
      <c r="A232" s="32">
        <v>153</v>
      </c>
      <c r="B232" s="3">
        <v>6.2</v>
      </c>
    </row>
    <row r="233" spans="1:2" x14ac:dyDescent="0.3">
      <c r="A233" s="31">
        <v>120</v>
      </c>
      <c r="B233" s="4">
        <v>6.1</v>
      </c>
    </row>
    <row r="234" spans="1:2" x14ac:dyDescent="0.3">
      <c r="A234" s="32">
        <v>101</v>
      </c>
      <c r="B234" s="3">
        <v>5.3</v>
      </c>
    </row>
    <row r="235" spans="1:2" x14ac:dyDescent="0.3">
      <c r="A235" s="31">
        <v>91</v>
      </c>
      <c r="B235" s="4">
        <v>6.3</v>
      </c>
    </row>
    <row r="236" spans="1:2" x14ac:dyDescent="0.3">
      <c r="A236" s="32">
        <v>108</v>
      </c>
      <c r="B236" s="3">
        <v>7</v>
      </c>
    </row>
    <row r="237" spans="1:2" x14ac:dyDescent="0.3">
      <c r="A237" s="31">
        <v>112</v>
      </c>
      <c r="B237" s="4">
        <v>7.6</v>
      </c>
    </row>
    <row r="238" spans="1:2" x14ac:dyDescent="0.3">
      <c r="A238" s="32">
        <v>100</v>
      </c>
      <c r="B238" s="3">
        <v>6.7</v>
      </c>
    </row>
    <row r="239" spans="1:2" x14ac:dyDescent="0.3">
      <c r="A239" s="31">
        <v>108</v>
      </c>
      <c r="B239" s="4">
        <v>8.1</v>
      </c>
    </row>
    <row r="240" spans="1:2" x14ac:dyDescent="0.3">
      <c r="A240" s="32">
        <v>114</v>
      </c>
      <c r="B240" s="3">
        <v>6.7</v>
      </c>
    </row>
    <row r="241" spans="1:2" x14ac:dyDescent="0.3">
      <c r="A241" s="31">
        <v>119</v>
      </c>
      <c r="B241" s="4">
        <v>6.5</v>
      </c>
    </row>
    <row r="242" spans="1:2" x14ac:dyDescent="0.3">
      <c r="A242" s="32">
        <v>142</v>
      </c>
      <c r="B242" s="3">
        <v>7.3</v>
      </c>
    </row>
    <row r="243" spans="1:2" x14ac:dyDescent="0.3">
      <c r="A243" s="31">
        <v>125</v>
      </c>
      <c r="B243" s="4">
        <v>5.0999999999999996</v>
      </c>
    </row>
    <row r="244" spans="1:2" x14ac:dyDescent="0.3">
      <c r="A244" s="32">
        <v>126</v>
      </c>
      <c r="B244" s="3">
        <v>6</v>
      </c>
    </row>
    <row r="245" spans="1:2" x14ac:dyDescent="0.3">
      <c r="A245" s="31">
        <v>119</v>
      </c>
      <c r="B245" s="4">
        <v>6.1</v>
      </c>
    </row>
    <row r="246" spans="1:2" x14ac:dyDescent="0.3">
      <c r="A246" s="32">
        <v>170</v>
      </c>
      <c r="B246" s="3">
        <v>5.9</v>
      </c>
    </row>
    <row r="247" spans="1:2" x14ac:dyDescent="0.3">
      <c r="A247" s="31">
        <v>85</v>
      </c>
      <c r="B247" s="4">
        <v>7.8</v>
      </c>
    </row>
    <row r="248" spans="1:2" x14ac:dyDescent="0.3">
      <c r="A248" s="32">
        <v>119</v>
      </c>
      <c r="B248" s="3">
        <v>5.8</v>
      </c>
    </row>
    <row r="249" spans="1:2" x14ac:dyDescent="0.3">
      <c r="A249" s="31">
        <v>102</v>
      </c>
      <c r="B249" s="4">
        <v>6.3</v>
      </c>
    </row>
    <row r="250" spans="1:2" x14ac:dyDescent="0.3">
      <c r="A250" s="32">
        <v>103</v>
      </c>
      <c r="B250" s="3">
        <v>4.3</v>
      </c>
    </row>
    <row r="251" spans="1:2" x14ac:dyDescent="0.3">
      <c r="A251" s="31">
        <v>76</v>
      </c>
      <c r="B251" s="4">
        <v>6.4</v>
      </c>
    </row>
    <row r="252" spans="1:2" x14ac:dyDescent="0.3">
      <c r="A252" s="32">
        <v>120</v>
      </c>
      <c r="B252" s="3">
        <v>6.1</v>
      </c>
    </row>
    <row r="253" spans="1:2" x14ac:dyDescent="0.3">
      <c r="A253" s="31">
        <v>127</v>
      </c>
      <c r="B253" s="4">
        <v>6.5</v>
      </c>
    </row>
    <row r="254" spans="1:2" x14ac:dyDescent="0.3">
      <c r="A254" s="32">
        <v>105</v>
      </c>
      <c r="B254" s="3">
        <v>7.1</v>
      </c>
    </row>
    <row r="255" spans="1:2" x14ac:dyDescent="0.3">
      <c r="A255" s="31">
        <v>121</v>
      </c>
      <c r="B255" s="4">
        <v>6.4</v>
      </c>
    </row>
    <row r="256" spans="1:2" x14ac:dyDescent="0.3">
      <c r="A256" s="32">
        <v>114</v>
      </c>
      <c r="B256" s="3">
        <v>6.5</v>
      </c>
    </row>
    <row r="257" spans="1:2" x14ac:dyDescent="0.3">
      <c r="A257" s="31">
        <v>129</v>
      </c>
      <c r="B257" s="4">
        <v>6.3</v>
      </c>
    </row>
    <row r="258" spans="1:2" x14ac:dyDescent="0.3">
      <c r="A258" s="32">
        <v>171</v>
      </c>
      <c r="B258" s="3">
        <v>7.5</v>
      </c>
    </row>
    <row r="259" spans="1:2" x14ac:dyDescent="0.3">
      <c r="A259" s="31">
        <v>120</v>
      </c>
      <c r="B259" s="4">
        <v>4.9000000000000004</v>
      </c>
    </row>
    <row r="260" spans="1:2" x14ac:dyDescent="0.3">
      <c r="A260" s="32">
        <v>165</v>
      </c>
      <c r="B260" s="3">
        <v>5.8</v>
      </c>
    </row>
    <row r="261" spans="1:2" x14ac:dyDescent="0.3">
      <c r="A261" s="31">
        <v>115</v>
      </c>
      <c r="B261" s="4">
        <v>6.2</v>
      </c>
    </row>
    <row r="262" spans="1:2" x14ac:dyDescent="0.3">
      <c r="A262" s="32">
        <v>194</v>
      </c>
      <c r="B262" s="3">
        <v>5.5</v>
      </c>
    </row>
    <row r="263" spans="1:2" x14ac:dyDescent="0.3">
      <c r="A263" s="31">
        <v>84</v>
      </c>
      <c r="B263" s="4">
        <v>5.4</v>
      </c>
    </row>
    <row r="264" spans="1:2" x14ac:dyDescent="0.3">
      <c r="A264" s="32">
        <v>97</v>
      </c>
      <c r="B264" s="3">
        <v>5.8</v>
      </c>
    </row>
    <row r="265" spans="1:2" x14ac:dyDescent="0.3">
      <c r="A265" s="31">
        <v>151</v>
      </c>
      <c r="B265" s="4">
        <v>7.1</v>
      </c>
    </row>
    <row r="266" spans="1:2" x14ac:dyDescent="0.3">
      <c r="A266" s="32">
        <v>136</v>
      </c>
      <c r="B266" s="3">
        <v>5.4</v>
      </c>
    </row>
    <row r="267" spans="1:2" x14ac:dyDescent="0.3">
      <c r="A267" s="31">
        <v>104</v>
      </c>
      <c r="B267" s="4">
        <v>3.7</v>
      </c>
    </row>
    <row r="268" spans="1:2" x14ac:dyDescent="0.3">
      <c r="A268" s="32">
        <v>127</v>
      </c>
      <c r="B268" s="3">
        <v>6.7</v>
      </c>
    </row>
    <row r="269" spans="1:2" x14ac:dyDescent="0.3">
      <c r="A269" s="31">
        <v>171</v>
      </c>
      <c r="B269" s="4">
        <v>7.2</v>
      </c>
    </row>
    <row r="270" spans="1:2" x14ac:dyDescent="0.3">
      <c r="A270" s="32">
        <v>145</v>
      </c>
      <c r="B270" s="3">
        <v>8.8000000000000007</v>
      </c>
    </row>
    <row r="271" spans="1:2" x14ac:dyDescent="0.3">
      <c r="A271" s="31">
        <v>174</v>
      </c>
      <c r="B271" s="4">
        <v>5.8</v>
      </c>
    </row>
    <row r="272" spans="1:2" x14ac:dyDescent="0.3">
      <c r="A272" s="32">
        <v>144</v>
      </c>
      <c r="B272" s="3">
        <v>6.8</v>
      </c>
    </row>
    <row r="273" spans="1:2" x14ac:dyDescent="0.3">
      <c r="A273" s="31">
        <v>119</v>
      </c>
      <c r="B273" s="4">
        <v>3.8</v>
      </c>
    </row>
    <row r="274" spans="1:2" x14ac:dyDescent="0.3">
      <c r="A274" s="32">
        <v>153</v>
      </c>
      <c r="B274" s="3">
        <v>7.1</v>
      </c>
    </row>
    <row r="275" spans="1:2" x14ac:dyDescent="0.3">
      <c r="A275" s="31">
        <v>140</v>
      </c>
      <c r="B275" s="4">
        <v>7.2</v>
      </c>
    </row>
    <row r="276" spans="1:2" x14ac:dyDescent="0.3">
      <c r="A276" s="32">
        <v>176</v>
      </c>
      <c r="B276" s="3">
        <v>5.9</v>
      </c>
    </row>
    <row r="277" spans="1:2" x14ac:dyDescent="0.3">
      <c r="A277" s="31">
        <v>141</v>
      </c>
      <c r="B277" s="4">
        <v>7.1</v>
      </c>
    </row>
    <row r="278" spans="1:2" x14ac:dyDescent="0.3">
      <c r="A278" s="32">
        <v>106</v>
      </c>
      <c r="B278" s="3">
        <v>8.1</v>
      </c>
    </row>
    <row r="279" spans="1:2" x14ac:dyDescent="0.3">
      <c r="A279" s="31">
        <v>98</v>
      </c>
      <c r="B279" s="4">
        <v>7.2</v>
      </c>
    </row>
    <row r="280" spans="1:2" x14ac:dyDescent="0.3">
      <c r="A280" s="32">
        <v>116</v>
      </c>
      <c r="B280" s="3">
        <v>6.9</v>
      </c>
    </row>
    <row r="281" spans="1:2" x14ac:dyDescent="0.3">
      <c r="A281" s="31">
        <v>115</v>
      </c>
      <c r="B281" s="4">
        <v>4.4000000000000004</v>
      </c>
    </row>
    <row r="282" spans="1:2" x14ac:dyDescent="0.3">
      <c r="A282" s="32">
        <v>165</v>
      </c>
      <c r="B282" s="3">
        <v>6.5</v>
      </c>
    </row>
    <row r="283" spans="1:2" x14ac:dyDescent="0.3">
      <c r="A283" s="31">
        <v>91</v>
      </c>
      <c r="B283" s="4">
        <v>8.5</v>
      </c>
    </row>
    <row r="284" spans="1:2" x14ac:dyDescent="0.3">
      <c r="A284" s="32">
        <v>78</v>
      </c>
      <c r="B284" s="3">
        <v>7.7</v>
      </c>
    </row>
    <row r="285" spans="1:2" x14ac:dyDescent="0.3">
      <c r="A285" s="31">
        <v>103</v>
      </c>
      <c r="B285" s="4">
        <v>7.4</v>
      </c>
    </row>
    <row r="286" spans="1:2" x14ac:dyDescent="0.3">
      <c r="A286" s="32">
        <v>131</v>
      </c>
      <c r="B286" s="3">
        <v>8</v>
      </c>
    </row>
    <row r="287" spans="1:2" x14ac:dyDescent="0.3">
      <c r="A287" s="31">
        <v>104</v>
      </c>
      <c r="B287" s="4">
        <v>5.7</v>
      </c>
    </row>
    <row r="288" spans="1:2" x14ac:dyDescent="0.3">
      <c r="A288" s="32">
        <v>101</v>
      </c>
      <c r="B288" s="3">
        <v>8.5</v>
      </c>
    </row>
    <row r="289" spans="1:2" x14ac:dyDescent="0.3">
      <c r="A289" s="31">
        <v>102</v>
      </c>
      <c r="B289" s="4">
        <v>7</v>
      </c>
    </row>
    <row r="290" spans="1:2" x14ac:dyDescent="0.3">
      <c r="A290" s="32">
        <v>103</v>
      </c>
      <c r="B290" s="3">
        <v>7.8</v>
      </c>
    </row>
    <row r="291" spans="1:2" x14ac:dyDescent="0.3">
      <c r="A291" s="31">
        <v>121</v>
      </c>
      <c r="B291" s="4">
        <v>7.2</v>
      </c>
    </row>
    <row r="292" spans="1:2" x14ac:dyDescent="0.3">
      <c r="A292" s="32">
        <v>143</v>
      </c>
      <c r="B292" s="3">
        <v>6.4</v>
      </c>
    </row>
    <row r="293" spans="1:2" x14ac:dyDescent="0.3">
      <c r="A293" s="31">
        <v>240</v>
      </c>
      <c r="B293" s="4">
        <v>5.5</v>
      </c>
    </row>
    <row r="294" spans="1:2" x14ac:dyDescent="0.3">
      <c r="A294" s="32">
        <v>121</v>
      </c>
      <c r="B294" s="3">
        <v>6.7</v>
      </c>
    </row>
    <row r="295" spans="1:2" x14ac:dyDescent="0.3">
      <c r="A295" s="31">
        <v>129</v>
      </c>
      <c r="B295" s="4">
        <v>6.1</v>
      </c>
    </row>
    <row r="296" spans="1:2" x14ac:dyDescent="0.3">
      <c r="A296" s="32">
        <v>172</v>
      </c>
      <c r="B296" s="3">
        <v>8.5</v>
      </c>
    </row>
    <row r="297" spans="1:2" x14ac:dyDescent="0.3">
      <c r="A297" s="31">
        <v>101</v>
      </c>
      <c r="B297" s="4">
        <v>6.9</v>
      </c>
    </row>
    <row r="298" spans="1:2" x14ac:dyDescent="0.3">
      <c r="A298" s="32">
        <v>87</v>
      </c>
      <c r="B298" s="3">
        <v>7.3</v>
      </c>
    </row>
    <row r="299" spans="1:2" x14ac:dyDescent="0.3">
      <c r="A299" s="31">
        <v>101</v>
      </c>
      <c r="B299" s="4">
        <v>6.7</v>
      </c>
    </row>
    <row r="300" spans="1:2" x14ac:dyDescent="0.3">
      <c r="A300" s="32">
        <v>95</v>
      </c>
      <c r="B300" s="3">
        <v>6.9</v>
      </c>
    </row>
    <row r="301" spans="1:2" x14ac:dyDescent="0.3">
      <c r="A301" s="31">
        <v>102</v>
      </c>
      <c r="B301" s="4">
        <v>5.0999999999999996</v>
      </c>
    </row>
    <row r="302" spans="1:2" x14ac:dyDescent="0.3">
      <c r="A302" s="32">
        <v>131</v>
      </c>
      <c r="B302" s="3">
        <v>6.8</v>
      </c>
    </row>
    <row r="303" spans="1:2" x14ac:dyDescent="0.3">
      <c r="A303" s="31">
        <v>114</v>
      </c>
      <c r="B303" s="4">
        <v>5.8</v>
      </c>
    </row>
    <row r="304" spans="1:2" x14ac:dyDescent="0.3">
      <c r="A304" s="32">
        <v>94</v>
      </c>
      <c r="B304" s="3">
        <v>6.7</v>
      </c>
    </row>
    <row r="305" spans="1:2" x14ac:dyDescent="0.3">
      <c r="A305" s="31">
        <v>122</v>
      </c>
      <c r="B305" s="4">
        <v>6</v>
      </c>
    </row>
    <row r="306" spans="1:2" x14ac:dyDescent="0.3">
      <c r="A306" s="32">
        <v>95</v>
      </c>
      <c r="B306" s="3">
        <v>5.7</v>
      </c>
    </row>
    <row r="307" spans="1:2" x14ac:dyDescent="0.3">
      <c r="A307" s="31">
        <v>115</v>
      </c>
      <c r="B307" s="4">
        <v>8</v>
      </c>
    </row>
    <row r="308" spans="1:2" x14ac:dyDescent="0.3">
      <c r="A308" s="32">
        <v>88</v>
      </c>
      <c r="B308" s="3">
        <v>8.1999999999999993</v>
      </c>
    </row>
    <row r="309" spans="1:2" x14ac:dyDescent="0.3">
      <c r="A309" s="31">
        <v>110</v>
      </c>
      <c r="B309" s="4">
        <v>5.4</v>
      </c>
    </row>
    <row r="310" spans="1:2" x14ac:dyDescent="0.3">
      <c r="A310" s="32">
        <v>130</v>
      </c>
      <c r="B310" s="3">
        <v>7.2</v>
      </c>
    </row>
    <row r="311" spans="1:2" x14ac:dyDescent="0.3">
      <c r="A311" s="31">
        <v>216</v>
      </c>
      <c r="B311" s="4">
        <v>7.5</v>
      </c>
    </row>
    <row r="312" spans="1:2" x14ac:dyDescent="0.3">
      <c r="A312" s="32">
        <v>146</v>
      </c>
      <c r="B312" s="3">
        <v>7</v>
      </c>
    </row>
    <row r="313" spans="1:2" x14ac:dyDescent="0.3">
      <c r="A313" s="31">
        <v>85</v>
      </c>
      <c r="B313" s="4">
        <v>3.3</v>
      </c>
    </row>
    <row r="314" spans="1:2" x14ac:dyDescent="0.3">
      <c r="A314" s="32">
        <v>93</v>
      </c>
      <c r="B314" s="3">
        <v>6</v>
      </c>
    </row>
    <row r="315" spans="1:2" x14ac:dyDescent="0.3">
      <c r="A315" s="31">
        <v>152</v>
      </c>
      <c r="B315" s="4">
        <v>7.1</v>
      </c>
    </row>
    <row r="316" spans="1:2" x14ac:dyDescent="0.3">
      <c r="A316" s="32">
        <v>85</v>
      </c>
      <c r="B316" s="3">
        <v>5.4</v>
      </c>
    </row>
    <row r="317" spans="1:2" x14ac:dyDescent="0.3">
      <c r="A317" s="31">
        <v>126</v>
      </c>
      <c r="B317" s="4">
        <v>6.1</v>
      </c>
    </row>
    <row r="318" spans="1:2" x14ac:dyDescent="0.3">
      <c r="A318" s="32">
        <v>146</v>
      </c>
      <c r="B318" s="3">
        <v>5.3</v>
      </c>
    </row>
    <row r="319" spans="1:2" x14ac:dyDescent="0.3">
      <c r="A319" s="31">
        <v>89</v>
      </c>
      <c r="B319" s="4">
        <v>2.2000000000000002</v>
      </c>
    </row>
    <row r="320" spans="1:2" x14ac:dyDescent="0.3">
      <c r="A320" s="32">
        <v>88</v>
      </c>
      <c r="B320" s="3">
        <v>7</v>
      </c>
    </row>
    <row r="321" spans="1:2" x14ac:dyDescent="0.3">
      <c r="A321" s="31">
        <v>105</v>
      </c>
      <c r="B321" s="4">
        <v>3.8</v>
      </c>
    </row>
    <row r="322" spans="1:2" x14ac:dyDescent="0.3">
      <c r="A322" s="32">
        <v>135</v>
      </c>
      <c r="B322" s="3">
        <v>6.9</v>
      </c>
    </row>
    <row r="323" spans="1:2" x14ac:dyDescent="0.3">
      <c r="A323" s="31">
        <v>100</v>
      </c>
      <c r="B323" s="4">
        <v>7.2</v>
      </c>
    </row>
    <row r="324" spans="1:2" x14ac:dyDescent="0.3">
      <c r="A324" s="32">
        <v>192</v>
      </c>
      <c r="B324" s="3">
        <v>7.3</v>
      </c>
    </row>
    <row r="325" spans="1:2" x14ac:dyDescent="0.3">
      <c r="A325" s="31">
        <v>172</v>
      </c>
      <c r="B325" s="4">
        <v>6.3</v>
      </c>
    </row>
    <row r="326" spans="1:2" x14ac:dyDescent="0.3">
      <c r="A326" s="32">
        <v>102</v>
      </c>
      <c r="B326" s="3">
        <v>7.5</v>
      </c>
    </row>
    <row r="327" spans="1:2" x14ac:dyDescent="0.3">
      <c r="A327" s="31">
        <v>100</v>
      </c>
      <c r="B327" s="4">
        <v>7.6</v>
      </c>
    </row>
    <row r="328" spans="1:2" x14ac:dyDescent="0.3">
      <c r="A328" s="32">
        <v>119</v>
      </c>
      <c r="B328" s="3">
        <v>6.8</v>
      </c>
    </row>
    <row r="329" spans="1:2" x14ac:dyDescent="0.3">
      <c r="A329" s="31">
        <v>92</v>
      </c>
      <c r="B329" s="4">
        <v>5.2</v>
      </c>
    </row>
    <row r="330" spans="1:2" x14ac:dyDescent="0.3">
      <c r="A330" s="32">
        <v>105</v>
      </c>
      <c r="B330" s="3">
        <v>7.7</v>
      </c>
    </row>
    <row r="331" spans="1:2" x14ac:dyDescent="0.3">
      <c r="A331" s="31">
        <v>107</v>
      </c>
      <c r="B331" s="4">
        <v>6.2</v>
      </c>
    </row>
    <row r="332" spans="1:2" x14ac:dyDescent="0.3">
      <c r="A332" s="32">
        <v>101</v>
      </c>
      <c r="B332" s="3">
        <v>7.7</v>
      </c>
    </row>
    <row r="333" spans="1:2" x14ac:dyDescent="0.3">
      <c r="A333" s="31">
        <v>137</v>
      </c>
      <c r="B333" s="4">
        <v>4.3</v>
      </c>
    </row>
    <row r="334" spans="1:2" x14ac:dyDescent="0.3">
      <c r="A334" s="32">
        <v>115</v>
      </c>
      <c r="B334" s="3">
        <v>6.9</v>
      </c>
    </row>
    <row r="335" spans="1:2" x14ac:dyDescent="0.3">
      <c r="A335" s="31">
        <v>124</v>
      </c>
      <c r="B335" s="4">
        <v>6.6</v>
      </c>
    </row>
    <row r="336" spans="1:2" x14ac:dyDescent="0.3">
      <c r="A336" s="32">
        <v>118</v>
      </c>
      <c r="B336" s="3">
        <v>7</v>
      </c>
    </row>
    <row r="337" spans="1:2" x14ac:dyDescent="0.3">
      <c r="A337" s="31">
        <v>98</v>
      </c>
      <c r="B337" s="4">
        <v>6.7</v>
      </c>
    </row>
    <row r="338" spans="1:2" x14ac:dyDescent="0.3">
      <c r="A338" s="32">
        <v>82</v>
      </c>
      <c r="B338" s="3">
        <v>8.1999999999999993</v>
      </c>
    </row>
    <row r="339" spans="1:2" x14ac:dyDescent="0.3">
      <c r="A339" s="31">
        <v>98</v>
      </c>
      <c r="B339" s="4">
        <v>8.9</v>
      </c>
    </row>
    <row r="340" spans="1:2" x14ac:dyDescent="0.3">
      <c r="A340" s="32">
        <v>90</v>
      </c>
      <c r="B340" s="3">
        <v>8.6999999999999993</v>
      </c>
    </row>
    <row r="341" spans="1:2" x14ac:dyDescent="0.3">
      <c r="A341" s="31">
        <v>130</v>
      </c>
      <c r="B341" s="4">
        <v>5.5</v>
      </c>
    </row>
    <row r="342" spans="1:2" x14ac:dyDescent="0.3">
      <c r="A342" s="32">
        <v>90</v>
      </c>
      <c r="B342" s="3">
        <v>5.7</v>
      </c>
    </row>
    <row r="343" spans="1:2" x14ac:dyDescent="0.3">
      <c r="A343" s="31">
        <v>94</v>
      </c>
      <c r="B343" s="4">
        <v>6.3</v>
      </c>
    </row>
    <row r="344" spans="1:2" x14ac:dyDescent="0.3">
      <c r="A344" s="32">
        <v>114</v>
      </c>
      <c r="B344" s="3">
        <v>5.9</v>
      </c>
    </row>
    <row r="345" spans="1:2" x14ac:dyDescent="0.3">
      <c r="A345" s="31">
        <v>94</v>
      </c>
      <c r="B345" s="4">
        <v>7.6</v>
      </c>
    </row>
    <row r="346" spans="1:2" x14ac:dyDescent="0.3">
      <c r="A346" s="32">
        <v>151</v>
      </c>
      <c r="B346" s="3">
        <v>6.6</v>
      </c>
    </row>
    <row r="347" spans="1:2" x14ac:dyDescent="0.3">
      <c r="A347" s="31">
        <v>88</v>
      </c>
      <c r="B347" s="4">
        <v>5.3</v>
      </c>
    </row>
    <row r="348" spans="1:2" x14ac:dyDescent="0.3">
      <c r="A348" s="32">
        <v>121</v>
      </c>
      <c r="B348" s="3">
        <v>6</v>
      </c>
    </row>
    <row r="349" spans="1:2" x14ac:dyDescent="0.3">
      <c r="A349" s="31">
        <v>158</v>
      </c>
      <c r="B349" s="4">
        <v>8</v>
      </c>
    </row>
    <row r="350" spans="1:2" x14ac:dyDescent="0.3">
      <c r="A350" s="32">
        <v>128</v>
      </c>
      <c r="B350" s="3">
        <v>5.6</v>
      </c>
    </row>
    <row r="351" spans="1:2" x14ac:dyDescent="0.3">
      <c r="A351" s="31">
        <v>128</v>
      </c>
      <c r="B351" s="4">
        <v>5.9</v>
      </c>
    </row>
    <row r="352" spans="1:2" x14ac:dyDescent="0.3">
      <c r="A352" s="32">
        <v>95</v>
      </c>
      <c r="B352" s="3">
        <v>7.3</v>
      </c>
    </row>
    <row r="353" spans="1:2" x14ac:dyDescent="0.3">
      <c r="A353" s="31">
        <v>92</v>
      </c>
      <c r="B353" s="4">
        <v>7.9</v>
      </c>
    </row>
    <row r="354" spans="1:2" x14ac:dyDescent="0.3">
      <c r="A354" s="32">
        <v>121</v>
      </c>
      <c r="B354" s="3">
        <v>6.8</v>
      </c>
    </row>
    <row r="355" spans="1:2" x14ac:dyDescent="0.3">
      <c r="A355" s="31">
        <v>113</v>
      </c>
      <c r="B355" s="4">
        <v>6.6</v>
      </c>
    </row>
    <row r="356" spans="1:2" x14ac:dyDescent="0.3">
      <c r="A356" s="32">
        <v>106</v>
      </c>
      <c r="B356" s="3">
        <v>6.6</v>
      </c>
    </row>
    <row r="357" spans="1:2" x14ac:dyDescent="0.3">
      <c r="A357" s="31">
        <v>146</v>
      </c>
      <c r="B357" s="4">
        <v>7</v>
      </c>
    </row>
    <row r="358" spans="1:2" x14ac:dyDescent="0.3">
      <c r="A358" s="32">
        <v>88</v>
      </c>
      <c r="B358" s="3">
        <v>7</v>
      </c>
    </row>
    <row r="359" spans="1:2" x14ac:dyDescent="0.3">
      <c r="A359" s="31">
        <v>150</v>
      </c>
      <c r="B359" s="4">
        <v>7.3</v>
      </c>
    </row>
    <row r="360" spans="1:2" x14ac:dyDescent="0.3">
      <c r="A360" s="32">
        <v>119</v>
      </c>
      <c r="B360" s="3">
        <v>5.5</v>
      </c>
    </row>
    <row r="361" spans="1:2" x14ac:dyDescent="0.3">
      <c r="A361" s="31">
        <v>128</v>
      </c>
      <c r="B361" s="4">
        <v>8.5</v>
      </c>
    </row>
    <row r="362" spans="1:2" x14ac:dyDescent="0.3">
      <c r="A362" s="32">
        <v>106</v>
      </c>
      <c r="B362" s="3">
        <v>7.5</v>
      </c>
    </row>
    <row r="363" spans="1:2" x14ac:dyDescent="0.3">
      <c r="A363" s="31">
        <v>117</v>
      </c>
      <c r="B363" s="4">
        <v>7</v>
      </c>
    </row>
    <row r="364" spans="1:2" x14ac:dyDescent="0.3">
      <c r="A364" s="32">
        <v>129</v>
      </c>
      <c r="B364" s="3">
        <v>7.8</v>
      </c>
    </row>
    <row r="365" spans="1:2" x14ac:dyDescent="0.3">
      <c r="A365" s="31">
        <v>116</v>
      </c>
      <c r="B365" s="4">
        <v>7.6</v>
      </c>
    </row>
    <row r="366" spans="1:2" x14ac:dyDescent="0.3">
      <c r="A366" s="32">
        <v>114</v>
      </c>
      <c r="B366" s="3">
        <v>7.6</v>
      </c>
    </row>
    <row r="367" spans="1:2" x14ac:dyDescent="0.3">
      <c r="A367" s="31">
        <v>114</v>
      </c>
      <c r="B367" s="4">
        <v>6.1</v>
      </c>
    </row>
    <row r="368" spans="1:2" x14ac:dyDescent="0.3">
      <c r="A368" s="32">
        <v>96</v>
      </c>
      <c r="B368" s="3">
        <v>6.8</v>
      </c>
    </row>
    <row r="369" spans="1:2" x14ac:dyDescent="0.3">
      <c r="A369" s="31">
        <v>132</v>
      </c>
      <c r="B369" s="4">
        <v>5</v>
      </c>
    </row>
    <row r="370" spans="1:2" x14ac:dyDescent="0.3">
      <c r="A370" s="32">
        <v>104</v>
      </c>
      <c r="B370" s="3">
        <v>7.1</v>
      </c>
    </row>
    <row r="371" spans="1:2" x14ac:dyDescent="0.3">
      <c r="A371" s="31">
        <v>111</v>
      </c>
      <c r="B371" s="4">
        <v>5.5</v>
      </c>
    </row>
    <row r="372" spans="1:2" x14ac:dyDescent="0.3">
      <c r="A372" s="32">
        <v>138</v>
      </c>
      <c r="B372" s="3">
        <v>5.6</v>
      </c>
    </row>
    <row r="373" spans="1:2" x14ac:dyDescent="0.3">
      <c r="A373" s="31">
        <v>129</v>
      </c>
      <c r="B373" s="4">
        <v>7.1</v>
      </c>
    </row>
    <row r="374" spans="1:2" x14ac:dyDescent="0.3">
      <c r="A374" s="32">
        <v>144</v>
      </c>
      <c r="B374" s="3">
        <v>4.9000000000000004</v>
      </c>
    </row>
    <row r="375" spans="1:2" x14ac:dyDescent="0.3">
      <c r="A375" s="31">
        <v>110</v>
      </c>
      <c r="B375" s="4">
        <v>7.4</v>
      </c>
    </row>
    <row r="376" spans="1:2" x14ac:dyDescent="0.3">
      <c r="A376" s="32">
        <v>140</v>
      </c>
      <c r="B376" s="3">
        <v>5.7</v>
      </c>
    </row>
    <row r="377" spans="1:2" x14ac:dyDescent="0.3">
      <c r="A377" s="31">
        <v>113</v>
      </c>
      <c r="B377" s="4">
        <v>6.4</v>
      </c>
    </row>
    <row r="378" spans="1:2" x14ac:dyDescent="0.3">
      <c r="A378" s="32">
        <v>143</v>
      </c>
      <c r="B378" s="3">
        <v>5.9</v>
      </c>
    </row>
    <row r="379" spans="1:2" x14ac:dyDescent="0.3">
      <c r="A379" s="31">
        <v>108</v>
      </c>
      <c r="B379" s="4">
        <v>5.5</v>
      </c>
    </row>
    <row r="380" spans="1:2" x14ac:dyDescent="0.3">
      <c r="A380" s="32">
        <v>108</v>
      </c>
      <c r="B380" s="3">
        <v>6.9</v>
      </c>
    </row>
    <row r="381" spans="1:2" x14ac:dyDescent="0.3">
      <c r="A381" s="31">
        <v>124</v>
      </c>
      <c r="B381" s="4">
        <v>6.2</v>
      </c>
    </row>
    <row r="382" spans="1:2" x14ac:dyDescent="0.3">
      <c r="A382" s="32">
        <v>116</v>
      </c>
      <c r="B382" s="3">
        <v>7</v>
      </c>
    </row>
    <row r="383" spans="1:2" x14ac:dyDescent="0.3">
      <c r="A383" s="31">
        <v>110</v>
      </c>
      <c r="B383" s="4">
        <v>5.6</v>
      </c>
    </row>
    <row r="384" spans="1:2" x14ac:dyDescent="0.3">
      <c r="A384" s="32">
        <v>91</v>
      </c>
      <c r="B384" s="3">
        <v>7</v>
      </c>
    </row>
    <row r="385" spans="1:2" x14ac:dyDescent="0.3">
      <c r="A385" s="31">
        <v>107</v>
      </c>
      <c r="B385" s="4">
        <v>6.8</v>
      </c>
    </row>
    <row r="386" spans="1:2" x14ac:dyDescent="0.3">
      <c r="A386" s="32">
        <v>115</v>
      </c>
      <c r="B386" s="3">
        <v>5.4</v>
      </c>
    </row>
    <row r="387" spans="1:2" x14ac:dyDescent="0.3">
      <c r="A387" s="31">
        <v>100</v>
      </c>
      <c r="B387" s="4">
        <v>6.1</v>
      </c>
    </row>
    <row r="388" spans="1:2" x14ac:dyDescent="0.3">
      <c r="A388" s="32">
        <v>104</v>
      </c>
      <c r="B388" s="3">
        <v>6.7</v>
      </c>
    </row>
    <row r="389" spans="1:2" x14ac:dyDescent="0.3">
      <c r="A389" s="31">
        <v>138</v>
      </c>
      <c r="B389" s="4">
        <v>4.3</v>
      </c>
    </row>
    <row r="390" spans="1:2" x14ac:dyDescent="0.3">
      <c r="A390" s="32">
        <v>140</v>
      </c>
      <c r="B390" s="3">
        <v>6.9</v>
      </c>
    </row>
    <row r="391" spans="1:2" x14ac:dyDescent="0.3">
      <c r="A391" s="31">
        <v>120</v>
      </c>
      <c r="B391" s="4">
        <v>8</v>
      </c>
    </row>
    <row r="392" spans="1:2" x14ac:dyDescent="0.3">
      <c r="A392" s="32">
        <v>122</v>
      </c>
      <c r="B392" s="3">
        <v>4.4000000000000004</v>
      </c>
    </row>
    <row r="393" spans="1:2" x14ac:dyDescent="0.3">
      <c r="A393" s="31">
        <v>83</v>
      </c>
      <c r="B393" s="4">
        <v>7.3</v>
      </c>
    </row>
    <row r="394" spans="1:2" x14ac:dyDescent="0.3">
      <c r="A394" s="32">
        <v>139</v>
      </c>
      <c r="B394" s="3">
        <v>6.3</v>
      </c>
    </row>
    <row r="395" spans="1:2" x14ac:dyDescent="0.3">
      <c r="A395" s="31">
        <v>131</v>
      </c>
      <c r="B395" s="4">
        <v>6.7</v>
      </c>
    </row>
    <row r="396" spans="1:2" x14ac:dyDescent="0.3">
      <c r="A396" s="32">
        <v>104</v>
      </c>
      <c r="B396" s="3">
        <v>7.7</v>
      </c>
    </row>
    <row r="397" spans="1:2" x14ac:dyDescent="0.3">
      <c r="A397" s="31">
        <v>130</v>
      </c>
      <c r="B397" s="4">
        <v>6.5</v>
      </c>
    </row>
    <row r="398" spans="1:2" x14ac:dyDescent="0.3">
      <c r="A398" s="32">
        <v>145</v>
      </c>
      <c r="B398" s="3">
        <v>7.8</v>
      </c>
    </row>
    <row r="399" spans="1:2" x14ac:dyDescent="0.3">
      <c r="A399" s="31">
        <v>104</v>
      </c>
      <c r="B399" s="4">
        <v>6.4</v>
      </c>
    </row>
    <row r="400" spans="1:2" x14ac:dyDescent="0.3">
      <c r="A400" s="32">
        <v>97</v>
      </c>
      <c r="B400" s="3">
        <v>7.8</v>
      </c>
    </row>
    <row r="401" spans="1:2" x14ac:dyDescent="0.3">
      <c r="A401" s="31">
        <v>178</v>
      </c>
      <c r="B401" s="4">
        <v>5.8</v>
      </c>
    </row>
    <row r="402" spans="1:2" x14ac:dyDescent="0.3">
      <c r="A402" s="32">
        <v>108</v>
      </c>
      <c r="B402" s="3">
        <v>7.1</v>
      </c>
    </row>
    <row r="403" spans="1:2" x14ac:dyDescent="0.3">
      <c r="A403" s="31">
        <v>106</v>
      </c>
      <c r="B403" s="4">
        <v>7.1</v>
      </c>
    </row>
    <row r="404" spans="1:2" x14ac:dyDescent="0.3">
      <c r="A404" s="32">
        <v>135</v>
      </c>
      <c r="B404" s="3">
        <v>6.8</v>
      </c>
    </row>
    <row r="405" spans="1:2" x14ac:dyDescent="0.3">
      <c r="A405" s="31">
        <v>109</v>
      </c>
      <c r="B405" s="4">
        <v>4.8</v>
      </c>
    </row>
    <row r="406" spans="1:2" x14ac:dyDescent="0.3">
      <c r="A406" s="32">
        <v>86</v>
      </c>
      <c r="B406" s="3">
        <v>6.2</v>
      </c>
    </row>
    <row r="407" spans="1:2" x14ac:dyDescent="0.3">
      <c r="A407" s="31">
        <v>95</v>
      </c>
      <c r="B407" s="4">
        <v>6.9</v>
      </c>
    </row>
    <row r="408" spans="1:2" x14ac:dyDescent="0.3">
      <c r="A408" s="32">
        <v>107</v>
      </c>
      <c r="B408" s="3">
        <v>7.3</v>
      </c>
    </row>
    <row r="409" spans="1:2" x14ac:dyDescent="0.3">
      <c r="A409" s="31">
        <v>82</v>
      </c>
      <c r="B409" s="4">
        <v>6.6</v>
      </c>
    </row>
    <row r="410" spans="1:2" x14ac:dyDescent="0.3">
      <c r="A410" s="32">
        <v>88</v>
      </c>
      <c r="B410" s="3">
        <v>6.9</v>
      </c>
    </row>
    <row r="411" spans="1:2" x14ac:dyDescent="0.3">
      <c r="A411" s="31">
        <v>120</v>
      </c>
      <c r="B411" s="4">
        <v>6.2</v>
      </c>
    </row>
    <row r="412" spans="1:2" x14ac:dyDescent="0.3">
      <c r="A412" s="32">
        <v>162</v>
      </c>
      <c r="B412" s="3">
        <v>6.7</v>
      </c>
    </row>
    <row r="413" spans="1:2" x14ac:dyDescent="0.3">
      <c r="A413" s="31">
        <v>123</v>
      </c>
      <c r="B413" s="4">
        <v>7.6</v>
      </c>
    </row>
    <row r="414" spans="1:2" x14ac:dyDescent="0.3">
      <c r="A414" s="32">
        <v>101</v>
      </c>
      <c r="B414" s="3">
        <v>6.7</v>
      </c>
    </row>
    <row r="415" spans="1:2" x14ac:dyDescent="0.3">
      <c r="A415" s="31">
        <v>113</v>
      </c>
      <c r="B415" s="4">
        <v>6.2</v>
      </c>
    </row>
    <row r="416" spans="1:2" x14ac:dyDescent="0.3">
      <c r="A416" s="32">
        <v>110</v>
      </c>
      <c r="B416" s="3">
        <v>7.3</v>
      </c>
    </row>
    <row r="417" spans="1:2" x14ac:dyDescent="0.3">
      <c r="A417" s="31">
        <v>142</v>
      </c>
      <c r="B417" s="4">
        <v>6</v>
      </c>
    </row>
    <row r="418" spans="1:2" x14ac:dyDescent="0.3">
      <c r="A418" s="32">
        <v>102</v>
      </c>
      <c r="B418" s="3">
        <v>7.1</v>
      </c>
    </row>
    <row r="419" spans="1:2" x14ac:dyDescent="0.3">
      <c r="A419" s="31">
        <v>126</v>
      </c>
      <c r="B419" s="4">
        <v>7.1</v>
      </c>
    </row>
    <row r="420" spans="1:2" x14ac:dyDescent="0.3">
      <c r="A420" s="32">
        <v>83</v>
      </c>
      <c r="B420" s="3">
        <v>5.5</v>
      </c>
    </row>
    <row r="421" spans="1:2" x14ac:dyDescent="0.3">
      <c r="A421" s="31">
        <v>85</v>
      </c>
      <c r="B421" s="4">
        <v>7.8</v>
      </c>
    </row>
    <row r="422" spans="1:2" x14ac:dyDescent="0.3">
      <c r="A422" s="32">
        <v>120</v>
      </c>
      <c r="B422" s="3">
        <v>5.6</v>
      </c>
    </row>
    <row r="423" spans="1:2" x14ac:dyDescent="0.3">
      <c r="A423" s="31">
        <v>116</v>
      </c>
      <c r="B423" s="4">
        <v>7.5</v>
      </c>
    </row>
    <row r="424" spans="1:2" x14ac:dyDescent="0.3">
      <c r="A424" s="32">
        <v>113</v>
      </c>
      <c r="B424" s="3">
        <v>5.4</v>
      </c>
    </row>
    <row r="425" spans="1:2" x14ac:dyDescent="0.3">
      <c r="A425" s="31">
        <v>87</v>
      </c>
      <c r="B425" s="4">
        <v>4.3</v>
      </c>
    </row>
    <row r="426" spans="1:2" x14ac:dyDescent="0.3">
      <c r="A426" s="32">
        <v>101</v>
      </c>
      <c r="B426" s="3">
        <v>4.9000000000000004</v>
      </c>
    </row>
    <row r="427" spans="1:2" x14ac:dyDescent="0.3">
      <c r="A427" s="31">
        <v>110</v>
      </c>
      <c r="B427" s="4">
        <v>7.1</v>
      </c>
    </row>
    <row r="428" spans="1:2" x14ac:dyDescent="0.3">
      <c r="A428" s="32">
        <v>128</v>
      </c>
      <c r="B428" s="3">
        <v>6.4</v>
      </c>
    </row>
    <row r="429" spans="1:2" x14ac:dyDescent="0.3">
      <c r="A429" s="31">
        <v>138</v>
      </c>
      <c r="B429" s="4">
        <v>6.9</v>
      </c>
    </row>
    <row r="430" spans="1:2" x14ac:dyDescent="0.3">
      <c r="A430" s="32">
        <v>88</v>
      </c>
      <c r="B430" s="3">
        <v>4.3</v>
      </c>
    </row>
    <row r="431" spans="1:2" x14ac:dyDescent="0.3">
      <c r="A431" s="31">
        <v>91</v>
      </c>
      <c r="B431" s="4">
        <v>6.1</v>
      </c>
    </row>
    <row r="432" spans="1:2" x14ac:dyDescent="0.3">
      <c r="A432" s="32">
        <v>138</v>
      </c>
      <c r="B432" s="3">
        <v>7</v>
      </c>
    </row>
    <row r="433" spans="1:2" x14ac:dyDescent="0.3">
      <c r="A433" s="31">
        <v>99</v>
      </c>
      <c r="B433" s="4">
        <v>7.7</v>
      </c>
    </row>
    <row r="434" spans="1:2" x14ac:dyDescent="0.3">
      <c r="A434" s="32">
        <v>117</v>
      </c>
      <c r="B434" s="3">
        <v>5.9</v>
      </c>
    </row>
    <row r="435" spans="1:2" x14ac:dyDescent="0.3">
      <c r="A435" s="31">
        <v>117</v>
      </c>
      <c r="B435" s="4">
        <v>6.7</v>
      </c>
    </row>
    <row r="436" spans="1:2" x14ac:dyDescent="0.3">
      <c r="A436" s="32">
        <v>123</v>
      </c>
      <c r="B436" s="3">
        <v>6.5</v>
      </c>
    </row>
    <row r="437" spans="1:2" x14ac:dyDescent="0.3">
      <c r="A437" s="31">
        <v>118</v>
      </c>
      <c r="B437" s="4">
        <v>7.1</v>
      </c>
    </row>
    <row r="438" spans="1:2" x14ac:dyDescent="0.3">
      <c r="A438" s="32">
        <v>154</v>
      </c>
      <c r="B438" s="3">
        <v>7.3</v>
      </c>
    </row>
    <row r="439" spans="1:2" x14ac:dyDescent="0.3">
      <c r="A439" s="31">
        <v>118</v>
      </c>
      <c r="B439" s="4">
        <v>6.5</v>
      </c>
    </row>
    <row r="440" spans="1:2" x14ac:dyDescent="0.3">
      <c r="A440" s="32">
        <v>90</v>
      </c>
      <c r="B440" s="3">
        <v>7</v>
      </c>
    </row>
    <row r="441" spans="1:2" x14ac:dyDescent="0.3">
      <c r="A441" s="31">
        <v>113</v>
      </c>
      <c r="B441" s="4">
        <v>6.8</v>
      </c>
    </row>
    <row r="442" spans="1:2" x14ac:dyDescent="0.3">
      <c r="A442" s="32">
        <v>88</v>
      </c>
      <c r="B442" s="3">
        <v>7.2</v>
      </c>
    </row>
    <row r="443" spans="1:2" x14ac:dyDescent="0.3">
      <c r="A443" s="31">
        <v>93</v>
      </c>
      <c r="B443" s="4">
        <v>6.4</v>
      </c>
    </row>
    <row r="444" spans="1:2" x14ac:dyDescent="0.3">
      <c r="A444" s="32">
        <v>104</v>
      </c>
      <c r="B444" s="3">
        <v>6.1</v>
      </c>
    </row>
    <row r="445" spans="1:2" x14ac:dyDescent="0.3">
      <c r="A445" s="31">
        <v>135</v>
      </c>
      <c r="B445" s="4">
        <v>6.7</v>
      </c>
    </row>
    <row r="446" spans="1:2" x14ac:dyDescent="0.3">
      <c r="A446" s="32">
        <v>134</v>
      </c>
      <c r="B446" s="3">
        <v>6.4</v>
      </c>
    </row>
    <row r="447" spans="1:2" x14ac:dyDescent="0.3">
      <c r="A447" s="31">
        <v>98</v>
      </c>
      <c r="B447" s="4">
        <v>4.4000000000000004</v>
      </c>
    </row>
    <row r="448" spans="1:2" x14ac:dyDescent="0.3">
      <c r="A448" s="32">
        <v>80</v>
      </c>
      <c r="B448" s="3">
        <v>5.4</v>
      </c>
    </row>
    <row r="449" spans="1:2" x14ac:dyDescent="0.3">
      <c r="A449" s="31">
        <v>83</v>
      </c>
      <c r="B449" s="4">
        <v>6.5</v>
      </c>
    </row>
    <row r="450" spans="1:2" x14ac:dyDescent="0.3">
      <c r="A450" s="32">
        <v>102</v>
      </c>
      <c r="B450" s="3">
        <v>6.7</v>
      </c>
    </row>
    <row r="451" spans="1:2" x14ac:dyDescent="0.3">
      <c r="A451" s="31">
        <v>130</v>
      </c>
      <c r="B451" s="4">
        <v>8.1</v>
      </c>
    </row>
    <row r="452" spans="1:2" x14ac:dyDescent="0.3">
      <c r="A452" s="32">
        <v>129</v>
      </c>
      <c r="B452" s="3">
        <v>5.6</v>
      </c>
    </row>
    <row r="453" spans="1:2" x14ac:dyDescent="0.3">
      <c r="A453" s="31">
        <v>89</v>
      </c>
      <c r="B453" s="4">
        <v>6.3</v>
      </c>
    </row>
    <row r="454" spans="1:2" x14ac:dyDescent="0.3">
      <c r="A454" s="32">
        <v>74</v>
      </c>
      <c r="B454" s="3">
        <v>7.3</v>
      </c>
    </row>
    <row r="455" spans="1:2" x14ac:dyDescent="0.3">
      <c r="A455" s="31">
        <v>96</v>
      </c>
      <c r="B455" s="4">
        <v>6.1</v>
      </c>
    </row>
    <row r="456" spans="1:2" x14ac:dyDescent="0.3">
      <c r="A456" s="32">
        <v>114</v>
      </c>
      <c r="B456" s="3">
        <v>7.7</v>
      </c>
    </row>
    <row r="457" spans="1:2" x14ac:dyDescent="0.3">
      <c r="A457" s="31">
        <v>99</v>
      </c>
      <c r="B457" s="4">
        <v>6.4</v>
      </c>
    </row>
    <row r="458" spans="1:2" x14ac:dyDescent="0.3">
      <c r="A458" s="32">
        <v>113</v>
      </c>
      <c r="B458" s="3">
        <v>6.8</v>
      </c>
    </row>
    <row r="459" spans="1:2" x14ac:dyDescent="0.3">
      <c r="A459" s="31">
        <v>90</v>
      </c>
      <c r="B459" s="4">
        <v>6.6</v>
      </c>
    </row>
    <row r="460" spans="1:2" x14ac:dyDescent="0.3">
      <c r="A460" s="32">
        <v>118</v>
      </c>
      <c r="B460" s="3">
        <v>7.2</v>
      </c>
    </row>
    <row r="461" spans="1:2" x14ac:dyDescent="0.3">
      <c r="A461" s="31">
        <v>106</v>
      </c>
      <c r="B461" s="4">
        <v>6.9</v>
      </c>
    </row>
    <row r="462" spans="1:2" x14ac:dyDescent="0.3">
      <c r="A462" s="32">
        <v>89</v>
      </c>
      <c r="B462" s="3">
        <v>5.2</v>
      </c>
    </row>
    <row r="463" spans="1:2" x14ac:dyDescent="0.3">
      <c r="A463" s="31">
        <v>145</v>
      </c>
      <c r="B463" s="4">
        <v>4.9000000000000004</v>
      </c>
    </row>
    <row r="464" spans="1:2" x14ac:dyDescent="0.3">
      <c r="A464" s="32">
        <v>114</v>
      </c>
      <c r="B464" s="3">
        <v>6.3</v>
      </c>
    </row>
    <row r="465" spans="1:2" x14ac:dyDescent="0.3">
      <c r="A465" s="31">
        <v>87</v>
      </c>
      <c r="B465" s="4">
        <v>5.6</v>
      </c>
    </row>
    <row r="466" spans="1:2" x14ac:dyDescent="0.3">
      <c r="A466" s="32">
        <v>119</v>
      </c>
      <c r="B466" s="3">
        <v>5.5</v>
      </c>
    </row>
    <row r="467" spans="1:2" x14ac:dyDescent="0.3">
      <c r="A467" s="31">
        <v>91</v>
      </c>
      <c r="B467" s="4">
        <v>6.7</v>
      </c>
    </row>
    <row r="468" spans="1:2" x14ac:dyDescent="0.3">
      <c r="A468" s="32">
        <v>118</v>
      </c>
      <c r="B468" s="3">
        <v>7.6</v>
      </c>
    </row>
    <row r="469" spans="1:2" x14ac:dyDescent="0.3">
      <c r="A469" s="31">
        <v>116</v>
      </c>
      <c r="B469" s="4">
        <v>5.7</v>
      </c>
    </row>
    <row r="470" spans="1:2" x14ac:dyDescent="0.3">
      <c r="A470" s="32">
        <v>177</v>
      </c>
      <c r="B470" s="3">
        <v>4.5999999999999996</v>
      </c>
    </row>
    <row r="471" spans="1:2" x14ac:dyDescent="0.3">
      <c r="A471" s="31">
        <v>97</v>
      </c>
      <c r="B471" s="4">
        <v>7</v>
      </c>
    </row>
    <row r="472" spans="1:2" x14ac:dyDescent="0.3">
      <c r="A472" s="32">
        <v>106</v>
      </c>
      <c r="B472" s="3">
        <v>5.2</v>
      </c>
    </row>
    <row r="473" spans="1:2" x14ac:dyDescent="0.3">
      <c r="A473" s="31">
        <v>106</v>
      </c>
      <c r="B473" s="4">
        <v>5.0999999999999996</v>
      </c>
    </row>
    <row r="474" spans="1:2" x14ac:dyDescent="0.3">
      <c r="A474" s="32">
        <v>94</v>
      </c>
      <c r="B474" s="3">
        <v>6.6</v>
      </c>
    </row>
    <row r="475" spans="1:2" x14ac:dyDescent="0.3">
      <c r="A475" s="31">
        <v>104</v>
      </c>
      <c r="B475" s="4">
        <v>7</v>
      </c>
    </row>
    <row r="476" spans="1:2" x14ac:dyDescent="0.3">
      <c r="A476" s="32">
        <v>102</v>
      </c>
      <c r="B476" s="3">
        <v>6.7</v>
      </c>
    </row>
    <row r="477" spans="1:2" x14ac:dyDescent="0.3">
      <c r="A477" s="31">
        <v>135</v>
      </c>
      <c r="B477" s="4">
        <v>7.3</v>
      </c>
    </row>
    <row r="478" spans="1:2" x14ac:dyDescent="0.3">
      <c r="A478" s="32">
        <v>73</v>
      </c>
      <c r="B478" s="3">
        <v>5.9</v>
      </c>
    </row>
    <row r="479" spans="1:2" x14ac:dyDescent="0.3">
      <c r="A479" s="31">
        <v>94</v>
      </c>
      <c r="B479" s="4">
        <v>5.6</v>
      </c>
    </row>
    <row r="480" spans="1:2" x14ac:dyDescent="0.3">
      <c r="A480" s="32">
        <v>95</v>
      </c>
      <c r="B480" s="3">
        <v>6.5</v>
      </c>
    </row>
    <row r="481" spans="1:2" x14ac:dyDescent="0.3">
      <c r="A481" s="31">
        <v>124</v>
      </c>
      <c r="B481" s="4">
        <v>5.9</v>
      </c>
    </row>
    <row r="482" spans="1:2" x14ac:dyDescent="0.3">
      <c r="A482" s="32">
        <v>136</v>
      </c>
      <c r="B482" s="3">
        <v>7</v>
      </c>
    </row>
    <row r="483" spans="1:2" x14ac:dyDescent="0.3">
      <c r="A483" s="31">
        <v>91</v>
      </c>
      <c r="B483" s="4">
        <v>5.3</v>
      </c>
    </row>
    <row r="484" spans="1:2" x14ac:dyDescent="0.3">
      <c r="A484" s="32">
        <v>107</v>
      </c>
      <c r="B484" s="3">
        <v>5.9</v>
      </c>
    </row>
    <row r="485" spans="1:2" x14ac:dyDescent="0.3">
      <c r="A485" s="31">
        <v>108</v>
      </c>
      <c r="B485" s="4">
        <v>6.3</v>
      </c>
    </row>
    <row r="486" spans="1:2" x14ac:dyDescent="0.3">
      <c r="A486" s="32">
        <v>99</v>
      </c>
      <c r="B486" s="3">
        <v>6.4</v>
      </c>
    </row>
    <row r="487" spans="1:2" x14ac:dyDescent="0.3">
      <c r="A487" s="31">
        <v>92</v>
      </c>
      <c r="B487" s="4">
        <v>6.9</v>
      </c>
    </row>
    <row r="488" spans="1:2" x14ac:dyDescent="0.3">
      <c r="A488" s="32">
        <v>87</v>
      </c>
      <c r="B488" s="3">
        <v>6.3</v>
      </c>
    </row>
    <row r="489" spans="1:2" x14ac:dyDescent="0.3">
      <c r="A489" s="31">
        <v>110</v>
      </c>
      <c r="B489" s="4">
        <v>7.3</v>
      </c>
    </row>
    <row r="490" spans="1:2" x14ac:dyDescent="0.3">
      <c r="A490" s="32">
        <v>98</v>
      </c>
      <c r="B490" s="3">
        <v>5.8</v>
      </c>
    </row>
    <row r="491" spans="1:2" x14ac:dyDescent="0.3">
      <c r="A491" s="31">
        <v>154</v>
      </c>
      <c r="B491" s="4">
        <v>5.2</v>
      </c>
    </row>
    <row r="492" spans="1:2" x14ac:dyDescent="0.3">
      <c r="A492" s="32">
        <v>129</v>
      </c>
      <c r="B492" s="3">
        <v>2.4</v>
      </c>
    </row>
    <row r="493" spans="1:2" x14ac:dyDescent="0.3">
      <c r="A493" s="31">
        <v>86</v>
      </c>
      <c r="B493" s="4">
        <v>5.7</v>
      </c>
    </row>
    <row r="494" spans="1:2" x14ac:dyDescent="0.3">
      <c r="A494" s="32">
        <v>109</v>
      </c>
      <c r="B494" s="3">
        <v>5.8</v>
      </c>
    </row>
    <row r="495" spans="1:2" x14ac:dyDescent="0.3">
      <c r="A495" s="31">
        <v>104</v>
      </c>
      <c r="B495" s="4">
        <v>5.6</v>
      </c>
    </row>
    <row r="496" spans="1:2" x14ac:dyDescent="0.3">
      <c r="A496" s="32">
        <v>110</v>
      </c>
      <c r="B496" s="3">
        <v>6</v>
      </c>
    </row>
    <row r="497" spans="1:2" x14ac:dyDescent="0.3">
      <c r="A497" s="31">
        <v>136</v>
      </c>
      <c r="B497" s="4">
        <v>5.8</v>
      </c>
    </row>
    <row r="498" spans="1:2" x14ac:dyDescent="0.3">
      <c r="A498" s="32">
        <v>115</v>
      </c>
      <c r="B498" s="3">
        <v>6</v>
      </c>
    </row>
    <row r="499" spans="1:2" x14ac:dyDescent="0.3">
      <c r="A499" s="31">
        <v>99</v>
      </c>
      <c r="B499" s="4">
        <v>5.7</v>
      </c>
    </row>
    <row r="500" spans="1:2" x14ac:dyDescent="0.3">
      <c r="A500" s="32">
        <v>117</v>
      </c>
      <c r="B500" s="3">
        <v>6</v>
      </c>
    </row>
    <row r="501" spans="1:2" x14ac:dyDescent="0.3">
      <c r="A501" s="31">
        <v>125</v>
      </c>
      <c r="B501" s="4">
        <v>7.8</v>
      </c>
    </row>
    <row r="502" spans="1:2" x14ac:dyDescent="0.3">
      <c r="A502" s="32">
        <v>110</v>
      </c>
      <c r="B502" s="3">
        <v>4.2</v>
      </c>
    </row>
    <row r="503" spans="1:2" x14ac:dyDescent="0.3">
      <c r="A503" s="31">
        <v>125</v>
      </c>
      <c r="B503" s="4">
        <v>5.6</v>
      </c>
    </row>
    <row r="504" spans="1:2" x14ac:dyDescent="0.3">
      <c r="A504" s="32">
        <v>102</v>
      </c>
      <c r="B504" s="3">
        <v>4.4000000000000004</v>
      </c>
    </row>
    <row r="505" spans="1:2" x14ac:dyDescent="0.3">
      <c r="A505" s="31">
        <v>128</v>
      </c>
      <c r="B505" s="4">
        <v>8.1999999999999993</v>
      </c>
    </row>
    <row r="506" spans="1:2" x14ac:dyDescent="0.3">
      <c r="A506" s="32">
        <v>100</v>
      </c>
      <c r="B506" s="3">
        <v>8.5</v>
      </c>
    </row>
    <row r="507" spans="1:2" x14ac:dyDescent="0.3">
      <c r="A507" s="31">
        <v>124</v>
      </c>
      <c r="B507" s="4">
        <v>5.8</v>
      </c>
    </row>
    <row r="508" spans="1:2" x14ac:dyDescent="0.3">
      <c r="A508" s="32">
        <v>102</v>
      </c>
      <c r="B508" s="3">
        <v>6.5</v>
      </c>
    </row>
    <row r="509" spans="1:2" x14ac:dyDescent="0.3">
      <c r="A509" s="31">
        <v>90</v>
      </c>
      <c r="B509" s="4">
        <v>7.2</v>
      </c>
    </row>
    <row r="510" spans="1:2" x14ac:dyDescent="0.3">
      <c r="A510" s="32">
        <v>130</v>
      </c>
      <c r="B510" s="3">
        <v>6.7</v>
      </c>
    </row>
    <row r="511" spans="1:2" x14ac:dyDescent="0.3">
      <c r="A511" s="31">
        <v>118</v>
      </c>
      <c r="B511" s="4">
        <v>3.4</v>
      </c>
    </row>
    <row r="512" spans="1:2" x14ac:dyDescent="0.3">
      <c r="A512" s="32">
        <v>163</v>
      </c>
      <c r="B512" s="3">
        <v>5.9</v>
      </c>
    </row>
    <row r="513" spans="1:2" x14ac:dyDescent="0.3">
      <c r="A513" s="31">
        <v>142</v>
      </c>
      <c r="B513" s="4">
        <v>7.8</v>
      </c>
    </row>
    <row r="514" spans="1:2" x14ac:dyDescent="0.3">
      <c r="A514" s="32">
        <v>100</v>
      </c>
      <c r="B514" s="3">
        <v>5.9</v>
      </c>
    </row>
    <row r="515" spans="1:2" x14ac:dyDescent="0.3">
      <c r="A515" s="31">
        <v>116</v>
      </c>
      <c r="B515" s="4">
        <v>4.0999999999999996</v>
      </c>
    </row>
    <row r="516" spans="1:2" x14ac:dyDescent="0.3">
      <c r="A516" s="32">
        <v>131</v>
      </c>
      <c r="B516" s="3">
        <v>6.8</v>
      </c>
    </row>
    <row r="517" spans="1:2" x14ac:dyDescent="0.3">
      <c r="A517" s="31">
        <v>91</v>
      </c>
      <c r="B517" s="4">
        <v>5.8</v>
      </c>
    </row>
    <row r="518" spans="1:2" x14ac:dyDescent="0.3">
      <c r="A518" s="32">
        <v>123</v>
      </c>
      <c r="B518" s="3">
        <v>7.5</v>
      </c>
    </row>
    <row r="519" spans="1:2" x14ac:dyDescent="0.3">
      <c r="A519" s="31">
        <v>134</v>
      </c>
      <c r="B519" s="4">
        <v>6.9</v>
      </c>
    </row>
    <row r="520" spans="1:2" x14ac:dyDescent="0.3">
      <c r="A520" s="32">
        <v>148</v>
      </c>
      <c r="B520" s="3">
        <v>6.5</v>
      </c>
    </row>
    <row r="521" spans="1:2" x14ac:dyDescent="0.3">
      <c r="A521" s="31">
        <v>110</v>
      </c>
      <c r="B521" s="4">
        <v>6.9</v>
      </c>
    </row>
    <row r="522" spans="1:2" x14ac:dyDescent="0.3">
      <c r="A522" s="32">
        <v>113</v>
      </c>
      <c r="B522" s="3">
        <v>7.9</v>
      </c>
    </row>
    <row r="523" spans="1:2" x14ac:dyDescent="0.3">
      <c r="A523" s="31">
        <v>94</v>
      </c>
      <c r="B523" s="4">
        <v>7.4</v>
      </c>
    </row>
    <row r="524" spans="1:2" x14ac:dyDescent="0.3">
      <c r="A524" s="32">
        <v>116</v>
      </c>
      <c r="B524" s="3">
        <v>6.7</v>
      </c>
    </row>
    <row r="525" spans="1:2" x14ac:dyDescent="0.3">
      <c r="A525" s="31">
        <v>99</v>
      </c>
      <c r="B525" s="4">
        <v>7.4</v>
      </c>
    </row>
    <row r="526" spans="1:2" x14ac:dyDescent="0.3">
      <c r="A526" s="32">
        <v>93</v>
      </c>
      <c r="B526" s="3">
        <v>6.9</v>
      </c>
    </row>
    <row r="527" spans="1:2" x14ac:dyDescent="0.3">
      <c r="A527" s="31">
        <v>113</v>
      </c>
      <c r="B527" s="4">
        <v>6.8</v>
      </c>
    </row>
    <row r="528" spans="1:2" x14ac:dyDescent="0.3">
      <c r="A528" s="32">
        <v>106</v>
      </c>
      <c r="B528" s="3">
        <v>6.7</v>
      </c>
    </row>
    <row r="529" spans="1:2" x14ac:dyDescent="0.3">
      <c r="A529" s="31">
        <v>91</v>
      </c>
      <c r="B529" s="4">
        <v>5.0999999999999996</v>
      </c>
    </row>
    <row r="530" spans="1:2" x14ac:dyDescent="0.3">
      <c r="A530" s="32">
        <v>128</v>
      </c>
      <c r="B530" s="3">
        <v>4.0999999999999996</v>
      </c>
    </row>
    <row r="531" spans="1:2" x14ac:dyDescent="0.3">
      <c r="A531" s="31">
        <v>98</v>
      </c>
      <c r="B531" s="4">
        <v>7.3</v>
      </c>
    </row>
    <row r="532" spans="1:2" x14ac:dyDescent="0.3">
      <c r="A532" s="32">
        <v>134</v>
      </c>
      <c r="B532" s="3">
        <v>6</v>
      </c>
    </row>
    <row r="533" spans="1:2" x14ac:dyDescent="0.3">
      <c r="A533" s="31">
        <v>97</v>
      </c>
      <c r="B533" s="4">
        <v>7.3</v>
      </c>
    </row>
    <row r="534" spans="1:2" x14ac:dyDescent="0.3">
      <c r="A534" s="32">
        <v>153</v>
      </c>
      <c r="B534" s="3">
        <v>5.4</v>
      </c>
    </row>
    <row r="535" spans="1:2" x14ac:dyDescent="0.3">
      <c r="A535" s="31">
        <v>110</v>
      </c>
      <c r="B535" s="4">
        <v>5.9</v>
      </c>
    </row>
    <row r="536" spans="1:2" x14ac:dyDescent="0.3">
      <c r="A536" s="32">
        <v>122</v>
      </c>
      <c r="B536" s="3">
        <v>7.1</v>
      </c>
    </row>
    <row r="537" spans="1:2" x14ac:dyDescent="0.3">
      <c r="A537" s="31">
        <v>87</v>
      </c>
      <c r="B537" s="4">
        <v>6</v>
      </c>
    </row>
    <row r="538" spans="1:2" x14ac:dyDescent="0.3">
      <c r="A538" s="32">
        <v>178</v>
      </c>
      <c r="B538" s="3">
        <v>6.5</v>
      </c>
    </row>
    <row r="539" spans="1:2" x14ac:dyDescent="0.3">
      <c r="A539" s="31">
        <v>87</v>
      </c>
      <c r="B539" s="4">
        <v>5.7</v>
      </c>
    </row>
    <row r="540" spans="1:2" x14ac:dyDescent="0.3">
      <c r="A540" s="32">
        <v>152</v>
      </c>
      <c r="B540" s="3">
        <v>7.6</v>
      </c>
    </row>
    <row r="541" spans="1:2" x14ac:dyDescent="0.3">
      <c r="A541" s="31">
        <v>116</v>
      </c>
      <c r="B541" s="4">
        <v>6.6</v>
      </c>
    </row>
    <row r="542" spans="1:2" x14ac:dyDescent="0.3">
      <c r="A542" s="32">
        <v>109</v>
      </c>
      <c r="B542" s="3">
        <v>5.4</v>
      </c>
    </row>
    <row r="543" spans="1:2" x14ac:dyDescent="0.3">
      <c r="A543" s="31">
        <v>108</v>
      </c>
      <c r="B543" s="4">
        <v>7.3</v>
      </c>
    </row>
    <row r="544" spans="1:2" x14ac:dyDescent="0.3">
      <c r="A544" s="32">
        <v>85</v>
      </c>
      <c r="B544" s="3">
        <v>6.5</v>
      </c>
    </row>
    <row r="545" spans="1:2" x14ac:dyDescent="0.3">
      <c r="A545" s="31">
        <v>106</v>
      </c>
      <c r="B545" s="4">
        <v>6.6</v>
      </c>
    </row>
    <row r="546" spans="1:2" x14ac:dyDescent="0.3">
      <c r="A546" s="32">
        <v>93</v>
      </c>
      <c r="B546" s="3">
        <v>6.6</v>
      </c>
    </row>
    <row r="547" spans="1:2" x14ac:dyDescent="0.3">
      <c r="A547" s="31">
        <v>117</v>
      </c>
      <c r="B547" s="4">
        <v>5.9</v>
      </c>
    </row>
    <row r="548" spans="1:2" x14ac:dyDescent="0.3">
      <c r="A548" s="32">
        <v>116</v>
      </c>
      <c r="B548" s="3">
        <v>6.7</v>
      </c>
    </row>
    <row r="549" spans="1:2" x14ac:dyDescent="0.3">
      <c r="A549" s="31">
        <v>132</v>
      </c>
      <c r="B549" s="4">
        <v>6.1</v>
      </c>
    </row>
    <row r="550" spans="1:2" x14ac:dyDescent="0.3">
      <c r="A550" s="32">
        <v>92</v>
      </c>
      <c r="B550" s="3">
        <v>6.6</v>
      </c>
    </row>
    <row r="551" spans="1:2" x14ac:dyDescent="0.3">
      <c r="A551" s="31">
        <v>139</v>
      </c>
      <c r="B551" s="4">
        <v>6.6</v>
      </c>
    </row>
    <row r="552" spans="1:2" x14ac:dyDescent="0.3">
      <c r="A552" s="32">
        <v>153</v>
      </c>
      <c r="B552" s="3">
        <v>5.3</v>
      </c>
    </row>
    <row r="553" spans="1:2" x14ac:dyDescent="0.3">
      <c r="A553" s="31">
        <v>142</v>
      </c>
      <c r="B553" s="4">
        <v>6</v>
      </c>
    </row>
    <row r="554" spans="1:2" x14ac:dyDescent="0.3">
      <c r="A554" s="32">
        <v>124</v>
      </c>
      <c r="B554" s="3">
        <v>6</v>
      </c>
    </row>
    <row r="555" spans="1:2" x14ac:dyDescent="0.3">
      <c r="A555" s="31">
        <v>117</v>
      </c>
      <c r="B555" s="4">
        <v>4.7</v>
      </c>
    </row>
    <row r="556" spans="1:2" x14ac:dyDescent="0.3">
      <c r="A556" s="32">
        <v>141</v>
      </c>
      <c r="B556" s="3">
        <v>6.1</v>
      </c>
    </row>
    <row r="557" spans="1:2" x14ac:dyDescent="0.3">
      <c r="A557" s="31">
        <v>110</v>
      </c>
      <c r="B557" s="4">
        <v>7.2</v>
      </c>
    </row>
    <row r="558" spans="1:2" x14ac:dyDescent="0.3">
      <c r="A558" s="32">
        <v>109</v>
      </c>
      <c r="B558" s="3">
        <v>6.4</v>
      </c>
    </row>
    <row r="559" spans="1:2" x14ac:dyDescent="0.3">
      <c r="A559" s="31">
        <v>88</v>
      </c>
      <c r="B559" s="4">
        <v>6.1</v>
      </c>
    </row>
    <row r="560" spans="1:2" x14ac:dyDescent="0.3">
      <c r="A560" s="32">
        <v>124</v>
      </c>
      <c r="B560" s="3">
        <v>5.9</v>
      </c>
    </row>
    <row r="561" spans="1:2" x14ac:dyDescent="0.3">
      <c r="A561" s="31">
        <v>119</v>
      </c>
      <c r="B561" s="4">
        <v>6</v>
      </c>
    </row>
    <row r="562" spans="1:2" x14ac:dyDescent="0.3">
      <c r="A562" s="32">
        <v>103</v>
      </c>
      <c r="B562" s="3">
        <v>6.3</v>
      </c>
    </row>
    <row r="563" spans="1:2" x14ac:dyDescent="0.3">
      <c r="A563" s="31">
        <v>116</v>
      </c>
      <c r="B563" s="4">
        <v>5.6</v>
      </c>
    </row>
    <row r="564" spans="1:2" x14ac:dyDescent="0.3">
      <c r="A564" s="32">
        <v>125</v>
      </c>
      <c r="B564" s="3">
        <v>6.4</v>
      </c>
    </row>
    <row r="565" spans="1:2" x14ac:dyDescent="0.3">
      <c r="A565" s="31">
        <v>125</v>
      </c>
      <c r="B565" s="4">
        <v>7.1</v>
      </c>
    </row>
    <row r="566" spans="1:2" x14ac:dyDescent="0.3">
      <c r="A566" s="32">
        <v>146</v>
      </c>
      <c r="B566" s="3">
        <v>6.6</v>
      </c>
    </row>
    <row r="567" spans="1:2" x14ac:dyDescent="0.3">
      <c r="A567" s="31">
        <v>118</v>
      </c>
      <c r="B567" s="4">
        <v>4.5999999999999996</v>
      </c>
    </row>
    <row r="568" spans="1:2" x14ac:dyDescent="0.3">
      <c r="A568" s="32">
        <v>171</v>
      </c>
      <c r="B568" s="3">
        <v>8.4</v>
      </c>
    </row>
    <row r="569" spans="1:2" x14ac:dyDescent="0.3">
      <c r="A569" s="31">
        <v>136</v>
      </c>
      <c r="B569" s="4">
        <v>7.1</v>
      </c>
    </row>
    <row r="570" spans="1:2" x14ac:dyDescent="0.3">
      <c r="A570" s="32">
        <v>92</v>
      </c>
      <c r="B570" s="3">
        <v>7.4</v>
      </c>
    </row>
    <row r="571" spans="1:2" x14ac:dyDescent="0.3">
      <c r="A571" s="31">
        <v>116</v>
      </c>
      <c r="B571" s="4">
        <v>6.9</v>
      </c>
    </row>
    <row r="572" spans="1:2" x14ac:dyDescent="0.3">
      <c r="A572" s="32">
        <v>127</v>
      </c>
      <c r="B572" s="3">
        <v>4.5</v>
      </c>
    </row>
    <row r="573" spans="1:2" x14ac:dyDescent="0.3">
      <c r="A573" s="31">
        <v>136</v>
      </c>
      <c r="B573" s="4">
        <v>7.1</v>
      </c>
    </row>
    <row r="574" spans="1:2" x14ac:dyDescent="0.3">
      <c r="A574" s="32">
        <v>111</v>
      </c>
      <c r="B574" s="3">
        <v>6.5</v>
      </c>
    </row>
    <row r="575" spans="1:2" x14ac:dyDescent="0.3">
      <c r="A575" s="31">
        <v>116</v>
      </c>
      <c r="B575" s="4">
        <v>5.3</v>
      </c>
    </row>
    <row r="576" spans="1:2" x14ac:dyDescent="0.3">
      <c r="A576" s="32">
        <v>113</v>
      </c>
      <c r="B576" s="3">
        <v>6.7</v>
      </c>
    </row>
    <row r="577" spans="1:2" x14ac:dyDescent="0.3">
      <c r="A577" s="31">
        <v>97</v>
      </c>
      <c r="B577" s="4">
        <v>7.2</v>
      </c>
    </row>
    <row r="578" spans="1:2" x14ac:dyDescent="0.3">
      <c r="A578" s="32">
        <v>88</v>
      </c>
      <c r="B578" s="3">
        <v>7.2</v>
      </c>
    </row>
    <row r="579" spans="1:2" x14ac:dyDescent="0.3">
      <c r="A579" s="31">
        <v>136</v>
      </c>
      <c r="B579" s="4">
        <v>5.5</v>
      </c>
    </row>
    <row r="580" spans="1:2" x14ac:dyDescent="0.3">
      <c r="A580" s="32">
        <v>125</v>
      </c>
      <c r="B580" s="3">
        <v>5.8</v>
      </c>
    </row>
    <row r="581" spans="1:2" x14ac:dyDescent="0.3">
      <c r="A581" s="31">
        <v>116</v>
      </c>
      <c r="B581" s="4">
        <v>6</v>
      </c>
    </row>
    <row r="582" spans="1:2" x14ac:dyDescent="0.3">
      <c r="A582" s="32">
        <v>98</v>
      </c>
      <c r="B582" s="3">
        <v>6.6</v>
      </c>
    </row>
    <row r="583" spans="1:2" x14ac:dyDescent="0.3">
      <c r="A583" s="31">
        <v>91</v>
      </c>
      <c r="B583" s="4">
        <v>8.3000000000000007</v>
      </c>
    </row>
    <row r="584" spans="1:2" x14ac:dyDescent="0.3">
      <c r="A584" s="32">
        <v>97</v>
      </c>
      <c r="B584" s="3">
        <v>6.7</v>
      </c>
    </row>
    <row r="585" spans="1:2" x14ac:dyDescent="0.3">
      <c r="A585" s="31">
        <v>95</v>
      </c>
      <c r="B585" s="4">
        <v>6</v>
      </c>
    </row>
    <row r="586" spans="1:2" x14ac:dyDescent="0.3">
      <c r="A586" s="32">
        <v>88</v>
      </c>
      <c r="B586" s="3">
        <v>7.1</v>
      </c>
    </row>
    <row r="587" spans="1:2" x14ac:dyDescent="0.3">
      <c r="A587" s="31">
        <v>133</v>
      </c>
      <c r="B587" s="4">
        <v>6</v>
      </c>
    </row>
    <row r="588" spans="1:2" x14ac:dyDescent="0.3">
      <c r="A588" s="32">
        <v>116</v>
      </c>
      <c r="B588" s="3">
        <v>6.9</v>
      </c>
    </row>
    <row r="589" spans="1:2" x14ac:dyDescent="0.3">
      <c r="A589" s="31">
        <v>115</v>
      </c>
      <c r="B589" s="4">
        <v>5.6</v>
      </c>
    </row>
    <row r="590" spans="1:2" x14ac:dyDescent="0.3">
      <c r="A590" s="32">
        <v>99</v>
      </c>
      <c r="B590" s="3">
        <v>5.6</v>
      </c>
    </row>
    <row r="591" spans="1:2" x14ac:dyDescent="0.3">
      <c r="A591" s="31">
        <v>124</v>
      </c>
      <c r="B591" s="4">
        <v>4.5</v>
      </c>
    </row>
    <row r="592" spans="1:2" x14ac:dyDescent="0.3">
      <c r="A592" s="32">
        <v>124</v>
      </c>
      <c r="B592" s="3">
        <v>7.1</v>
      </c>
    </row>
    <row r="593" spans="1:2" x14ac:dyDescent="0.3">
      <c r="A593" s="31">
        <v>124</v>
      </c>
      <c r="B593" s="4">
        <v>6.5</v>
      </c>
    </row>
    <row r="594" spans="1:2" x14ac:dyDescent="0.3">
      <c r="A594" s="32">
        <v>87</v>
      </c>
      <c r="B594" s="3">
        <v>6.4</v>
      </c>
    </row>
    <row r="595" spans="1:2" x14ac:dyDescent="0.3">
      <c r="A595" s="31">
        <v>105</v>
      </c>
      <c r="B595" s="4">
        <v>5.8</v>
      </c>
    </row>
    <row r="596" spans="1:2" x14ac:dyDescent="0.3">
      <c r="A596" s="32">
        <v>125</v>
      </c>
      <c r="B596" s="3">
        <v>8</v>
      </c>
    </row>
    <row r="597" spans="1:2" x14ac:dyDescent="0.3">
      <c r="A597" s="31">
        <v>141</v>
      </c>
      <c r="B597" s="4">
        <v>6.2</v>
      </c>
    </row>
    <row r="598" spans="1:2" x14ac:dyDescent="0.3">
      <c r="A598" s="32">
        <v>121</v>
      </c>
      <c r="B598" s="3">
        <v>7.2</v>
      </c>
    </row>
    <row r="599" spans="1:2" x14ac:dyDescent="0.3">
      <c r="A599" s="31">
        <v>111</v>
      </c>
      <c r="B599" s="4">
        <v>6.1</v>
      </c>
    </row>
    <row r="600" spans="1:2" x14ac:dyDescent="0.3">
      <c r="A600" s="32">
        <v>157</v>
      </c>
      <c r="B600" s="3">
        <v>7.6</v>
      </c>
    </row>
    <row r="601" spans="1:2" x14ac:dyDescent="0.3">
      <c r="A601" s="31">
        <v>128</v>
      </c>
      <c r="B601" s="4">
        <v>6.3</v>
      </c>
    </row>
    <row r="602" spans="1:2" x14ac:dyDescent="0.3">
      <c r="A602" s="32">
        <v>105</v>
      </c>
      <c r="B602" s="3">
        <v>6.3</v>
      </c>
    </row>
    <row r="603" spans="1:2" x14ac:dyDescent="0.3">
      <c r="A603" s="31">
        <v>113</v>
      </c>
      <c r="B603" s="4">
        <v>6.3</v>
      </c>
    </row>
    <row r="604" spans="1:2" x14ac:dyDescent="0.3">
      <c r="A604" s="32">
        <v>121</v>
      </c>
      <c r="B604" s="3">
        <v>7.7</v>
      </c>
    </row>
    <row r="605" spans="1:2" x14ac:dyDescent="0.3">
      <c r="A605" s="31">
        <v>102</v>
      </c>
      <c r="B605" s="4">
        <v>7</v>
      </c>
    </row>
    <row r="606" spans="1:2" x14ac:dyDescent="0.3">
      <c r="A606" s="32">
        <v>169</v>
      </c>
      <c r="B606" s="3">
        <v>5.3</v>
      </c>
    </row>
    <row r="607" spans="1:2" x14ac:dyDescent="0.3">
      <c r="A607" s="31">
        <v>132</v>
      </c>
      <c r="B607" s="4">
        <v>5.6</v>
      </c>
    </row>
    <row r="608" spans="1:2" x14ac:dyDescent="0.3">
      <c r="A608" s="32">
        <v>127</v>
      </c>
      <c r="B608" s="3">
        <v>5.2</v>
      </c>
    </row>
    <row r="609" spans="1:2" x14ac:dyDescent="0.3">
      <c r="A609" s="31">
        <v>103</v>
      </c>
      <c r="B609" s="4">
        <v>5.4</v>
      </c>
    </row>
    <row r="610" spans="1:2" x14ac:dyDescent="0.3">
      <c r="A610" s="32">
        <v>136</v>
      </c>
      <c r="B610" s="3">
        <v>6.4</v>
      </c>
    </row>
    <row r="611" spans="1:2" x14ac:dyDescent="0.3">
      <c r="A611" s="31">
        <v>150</v>
      </c>
      <c r="B611" s="4">
        <v>5.9</v>
      </c>
    </row>
    <row r="612" spans="1:2" x14ac:dyDescent="0.3">
      <c r="A612" s="32">
        <v>136</v>
      </c>
      <c r="B612" s="3">
        <v>6.3</v>
      </c>
    </row>
    <row r="613" spans="1:2" x14ac:dyDescent="0.3">
      <c r="A613" s="31">
        <v>140</v>
      </c>
      <c r="B613" s="4">
        <v>6.5</v>
      </c>
    </row>
    <row r="614" spans="1:2" x14ac:dyDescent="0.3">
      <c r="A614" s="32">
        <v>104</v>
      </c>
      <c r="B614" s="3">
        <v>3</v>
      </c>
    </row>
    <row r="615" spans="1:2" x14ac:dyDescent="0.3">
      <c r="A615" s="31">
        <v>158</v>
      </c>
      <c r="B615" s="4">
        <v>3.6</v>
      </c>
    </row>
    <row r="616" spans="1:2" x14ac:dyDescent="0.3">
      <c r="A616" s="32">
        <v>119</v>
      </c>
      <c r="B616" s="3">
        <v>5.8</v>
      </c>
    </row>
    <row r="617" spans="1:2" x14ac:dyDescent="0.3">
      <c r="A617" s="31">
        <v>106</v>
      </c>
      <c r="B617" s="4">
        <v>6.2</v>
      </c>
    </row>
    <row r="618" spans="1:2" x14ac:dyDescent="0.3">
      <c r="A618" s="32">
        <v>136</v>
      </c>
      <c r="B618" s="3">
        <v>5.6</v>
      </c>
    </row>
    <row r="619" spans="1:2" x14ac:dyDescent="0.3">
      <c r="A619" s="31">
        <v>95</v>
      </c>
      <c r="B619" s="4">
        <v>5.4</v>
      </c>
    </row>
    <row r="620" spans="1:2" x14ac:dyDescent="0.3">
      <c r="A620" s="32">
        <v>137</v>
      </c>
      <c r="B620" s="3">
        <v>6.1</v>
      </c>
    </row>
    <row r="621" spans="1:2" x14ac:dyDescent="0.3">
      <c r="A621" s="31">
        <v>130</v>
      </c>
      <c r="B621" s="4">
        <v>4.2</v>
      </c>
    </row>
    <row r="622" spans="1:2" x14ac:dyDescent="0.3">
      <c r="A622" s="32">
        <v>124</v>
      </c>
      <c r="B622" s="3">
        <v>6.7</v>
      </c>
    </row>
    <row r="623" spans="1:2" x14ac:dyDescent="0.3">
      <c r="A623" s="31">
        <v>108</v>
      </c>
      <c r="B623" s="4">
        <v>4.2</v>
      </c>
    </row>
    <row r="624" spans="1:2" x14ac:dyDescent="0.3">
      <c r="A624" s="32">
        <v>104</v>
      </c>
      <c r="B624" s="3">
        <v>6.4</v>
      </c>
    </row>
    <row r="625" spans="1:2" x14ac:dyDescent="0.3">
      <c r="A625" s="31">
        <v>129</v>
      </c>
      <c r="B625" s="4">
        <v>4.9000000000000004</v>
      </c>
    </row>
    <row r="626" spans="1:2" x14ac:dyDescent="0.3">
      <c r="A626" s="32">
        <v>117</v>
      </c>
      <c r="B626" s="3">
        <v>6.8</v>
      </c>
    </row>
    <row r="627" spans="1:2" x14ac:dyDescent="0.3">
      <c r="A627" s="31">
        <v>99</v>
      </c>
      <c r="B627" s="4">
        <v>7.7</v>
      </c>
    </row>
    <row r="628" spans="1:2" x14ac:dyDescent="0.3">
      <c r="A628" s="32">
        <v>159</v>
      </c>
      <c r="B628" s="3">
        <v>5.6</v>
      </c>
    </row>
    <row r="629" spans="1:2" x14ac:dyDescent="0.3">
      <c r="A629" s="31">
        <v>118</v>
      </c>
      <c r="B629" s="4">
        <v>6.4</v>
      </c>
    </row>
    <row r="630" spans="1:2" x14ac:dyDescent="0.3">
      <c r="A630" s="32">
        <v>105</v>
      </c>
      <c r="B630" s="3">
        <v>7.2</v>
      </c>
    </row>
    <row r="631" spans="1:2" x14ac:dyDescent="0.3">
      <c r="A631" s="31">
        <v>103</v>
      </c>
      <c r="B631" s="4">
        <v>6</v>
      </c>
    </row>
    <row r="632" spans="1:2" x14ac:dyDescent="0.3">
      <c r="A632" s="32">
        <v>122</v>
      </c>
      <c r="B632" s="3">
        <v>5.9</v>
      </c>
    </row>
    <row r="633" spans="1:2" x14ac:dyDescent="0.3">
      <c r="A633" s="31">
        <v>143</v>
      </c>
      <c r="B633" s="4">
        <v>7.9</v>
      </c>
    </row>
    <row r="634" spans="1:2" x14ac:dyDescent="0.3">
      <c r="A634" s="32">
        <v>96</v>
      </c>
      <c r="B634" s="3">
        <v>6.8</v>
      </c>
    </row>
    <row r="635" spans="1:2" x14ac:dyDescent="0.3">
      <c r="A635" s="31">
        <v>111</v>
      </c>
      <c r="B635" s="4">
        <v>7.1</v>
      </c>
    </row>
    <row r="636" spans="1:2" x14ac:dyDescent="0.3">
      <c r="A636" s="32">
        <v>121</v>
      </c>
      <c r="B636" s="3">
        <v>5.9</v>
      </c>
    </row>
    <row r="637" spans="1:2" x14ac:dyDescent="0.3">
      <c r="A637" s="31">
        <v>135</v>
      </c>
      <c r="B637" s="4">
        <v>5.9</v>
      </c>
    </row>
    <row r="638" spans="1:2" x14ac:dyDescent="0.3">
      <c r="A638" s="32">
        <v>101</v>
      </c>
      <c r="B638" s="3">
        <v>6.2</v>
      </c>
    </row>
    <row r="639" spans="1:2" x14ac:dyDescent="0.3">
      <c r="A639" s="31">
        <v>131</v>
      </c>
      <c r="B639" s="4">
        <v>7</v>
      </c>
    </row>
    <row r="640" spans="1:2" x14ac:dyDescent="0.3">
      <c r="A640" s="32">
        <v>100</v>
      </c>
      <c r="B640" s="3">
        <v>5.4</v>
      </c>
    </row>
    <row r="641" spans="1:2" x14ac:dyDescent="0.3">
      <c r="A641" s="31">
        <v>105</v>
      </c>
      <c r="B641" s="4">
        <v>8.6</v>
      </c>
    </row>
    <row r="642" spans="1:2" x14ac:dyDescent="0.3">
      <c r="A642" s="32">
        <v>92</v>
      </c>
      <c r="B642" s="3">
        <v>6.5</v>
      </c>
    </row>
    <row r="643" spans="1:2" x14ac:dyDescent="0.3">
      <c r="A643" s="31">
        <v>130</v>
      </c>
      <c r="B643" s="4">
        <v>6.4</v>
      </c>
    </row>
    <row r="644" spans="1:2" x14ac:dyDescent="0.3">
      <c r="A644" s="32">
        <v>100</v>
      </c>
      <c r="B644" s="3">
        <v>7.6</v>
      </c>
    </row>
    <row r="645" spans="1:2" x14ac:dyDescent="0.3">
      <c r="A645" s="31">
        <v>102</v>
      </c>
      <c r="B645" s="4">
        <v>5.5</v>
      </c>
    </row>
    <row r="646" spans="1:2" x14ac:dyDescent="0.3">
      <c r="A646" s="32">
        <v>133</v>
      </c>
      <c r="B646" s="3">
        <v>7.4</v>
      </c>
    </row>
    <row r="647" spans="1:2" x14ac:dyDescent="0.3">
      <c r="A647" s="31">
        <v>121</v>
      </c>
      <c r="B647" s="4">
        <v>8.6999999999999993</v>
      </c>
    </row>
    <row r="648" spans="1:2" x14ac:dyDescent="0.3">
      <c r="A648" s="32">
        <v>147</v>
      </c>
      <c r="B648" s="3">
        <v>7.6</v>
      </c>
    </row>
    <row r="649" spans="1:2" x14ac:dyDescent="0.3">
      <c r="A649" s="31">
        <v>94</v>
      </c>
      <c r="B649" s="4">
        <v>7.5</v>
      </c>
    </row>
    <row r="650" spans="1:2" x14ac:dyDescent="0.3">
      <c r="A650" s="32">
        <v>94</v>
      </c>
      <c r="B650" s="3">
        <v>5.5</v>
      </c>
    </row>
    <row r="651" spans="1:2" x14ac:dyDescent="0.3">
      <c r="A651" s="31">
        <v>127</v>
      </c>
      <c r="B651" s="4">
        <v>7.6</v>
      </c>
    </row>
    <row r="652" spans="1:2" x14ac:dyDescent="0.3">
      <c r="A652" s="32">
        <v>212</v>
      </c>
      <c r="B652" s="3">
        <v>6.5</v>
      </c>
    </row>
    <row r="653" spans="1:2" x14ac:dyDescent="0.3">
      <c r="A653" s="31">
        <v>141</v>
      </c>
      <c r="B653" s="4">
        <v>6.9</v>
      </c>
    </row>
    <row r="654" spans="1:2" x14ac:dyDescent="0.3">
      <c r="A654" s="32">
        <v>103</v>
      </c>
      <c r="B654" s="3">
        <v>6.7</v>
      </c>
    </row>
    <row r="655" spans="1:2" x14ac:dyDescent="0.3">
      <c r="A655" s="31">
        <v>98</v>
      </c>
      <c r="B655" s="4">
        <v>6.6</v>
      </c>
    </row>
    <row r="656" spans="1:2" x14ac:dyDescent="0.3">
      <c r="A656" s="32">
        <v>116</v>
      </c>
      <c r="B656" s="3">
        <v>7.2</v>
      </c>
    </row>
    <row r="657" spans="1:2" x14ac:dyDescent="0.3">
      <c r="A657" s="31">
        <v>114</v>
      </c>
      <c r="B657" s="4">
        <v>6.4</v>
      </c>
    </row>
    <row r="658" spans="1:2" x14ac:dyDescent="0.3">
      <c r="A658" s="32">
        <v>87</v>
      </c>
      <c r="B658" s="3">
        <v>6.4</v>
      </c>
    </row>
    <row r="659" spans="1:2" x14ac:dyDescent="0.3">
      <c r="A659" s="31">
        <v>125</v>
      </c>
      <c r="B659" s="4">
        <v>6</v>
      </c>
    </row>
    <row r="660" spans="1:2" x14ac:dyDescent="0.3">
      <c r="A660" s="32">
        <v>187</v>
      </c>
      <c r="B660" s="3">
        <v>6.1</v>
      </c>
    </row>
    <row r="661" spans="1:2" x14ac:dyDescent="0.3">
      <c r="A661" s="31">
        <v>93</v>
      </c>
      <c r="B661" s="4">
        <v>6</v>
      </c>
    </row>
    <row r="662" spans="1:2" x14ac:dyDescent="0.3">
      <c r="A662" s="32">
        <v>95</v>
      </c>
      <c r="B662" s="3">
        <v>6.4</v>
      </c>
    </row>
    <row r="663" spans="1:2" x14ac:dyDescent="0.3">
      <c r="A663" s="31">
        <v>117</v>
      </c>
      <c r="B663" s="4">
        <v>6.4</v>
      </c>
    </row>
    <row r="664" spans="1:2" x14ac:dyDescent="0.3">
      <c r="A664" s="32">
        <v>106</v>
      </c>
      <c r="B664" s="3">
        <v>7.3</v>
      </c>
    </row>
    <row r="665" spans="1:2" x14ac:dyDescent="0.3">
      <c r="A665" s="31">
        <v>115</v>
      </c>
      <c r="B665" s="4">
        <v>5.2</v>
      </c>
    </row>
    <row r="666" spans="1:2" x14ac:dyDescent="0.3">
      <c r="A666" s="32">
        <v>189</v>
      </c>
      <c r="B666" s="3">
        <v>6.6</v>
      </c>
    </row>
    <row r="667" spans="1:2" x14ac:dyDescent="0.3">
      <c r="A667" s="31">
        <v>81</v>
      </c>
      <c r="B667" s="4">
        <v>6.3</v>
      </c>
    </row>
    <row r="668" spans="1:2" x14ac:dyDescent="0.3">
      <c r="A668" s="32">
        <v>149</v>
      </c>
      <c r="B668" s="3">
        <v>5.9</v>
      </c>
    </row>
    <row r="669" spans="1:2" x14ac:dyDescent="0.3">
      <c r="A669" s="31">
        <v>119</v>
      </c>
      <c r="B669" s="4">
        <v>6.4</v>
      </c>
    </row>
    <row r="670" spans="1:2" x14ac:dyDescent="0.3">
      <c r="A670" s="32">
        <v>130</v>
      </c>
      <c r="B670" s="3">
        <v>6.7</v>
      </c>
    </row>
    <row r="671" spans="1:2" x14ac:dyDescent="0.3">
      <c r="A671" s="31">
        <v>116</v>
      </c>
      <c r="B671" s="4">
        <v>5.4</v>
      </c>
    </row>
    <row r="672" spans="1:2" x14ac:dyDescent="0.3">
      <c r="A672" s="32">
        <v>103</v>
      </c>
      <c r="B672" s="3">
        <v>6.4</v>
      </c>
    </row>
    <row r="673" spans="1:2" x14ac:dyDescent="0.3">
      <c r="A673" s="31">
        <v>99</v>
      </c>
      <c r="B673" s="4">
        <v>6.7</v>
      </c>
    </row>
    <row r="674" spans="1:2" x14ac:dyDescent="0.3">
      <c r="A674" s="32">
        <v>92</v>
      </c>
      <c r="B674" s="3">
        <v>6.2</v>
      </c>
    </row>
    <row r="675" spans="1:2" x14ac:dyDescent="0.3">
      <c r="A675" s="31">
        <v>109</v>
      </c>
      <c r="B675" s="4">
        <v>6.1</v>
      </c>
    </row>
    <row r="676" spans="1:2" x14ac:dyDescent="0.3">
      <c r="A676" s="32">
        <v>87</v>
      </c>
      <c r="B676" s="3">
        <v>8.8000000000000007</v>
      </c>
    </row>
    <row r="677" spans="1:2" x14ac:dyDescent="0.3">
      <c r="A677" s="31">
        <v>111</v>
      </c>
      <c r="B677" s="4">
        <v>7.1</v>
      </c>
    </row>
    <row r="678" spans="1:2" x14ac:dyDescent="0.3">
      <c r="A678" s="32">
        <v>83</v>
      </c>
      <c r="B678" s="3">
        <v>5.7</v>
      </c>
    </row>
    <row r="679" spans="1:2" x14ac:dyDescent="0.3">
      <c r="A679" s="31">
        <v>113</v>
      </c>
      <c r="B679" s="4">
        <v>5</v>
      </c>
    </row>
    <row r="680" spans="1:2" x14ac:dyDescent="0.3">
      <c r="A680" s="32">
        <v>107</v>
      </c>
      <c r="B680" s="3">
        <v>5.0999999999999996</v>
      </c>
    </row>
    <row r="681" spans="1:2" x14ac:dyDescent="0.3">
      <c r="A681" s="31">
        <v>94</v>
      </c>
      <c r="B681" s="4">
        <v>6.9</v>
      </c>
    </row>
    <row r="682" spans="1:2" x14ac:dyDescent="0.3">
      <c r="A682" s="32">
        <v>132</v>
      </c>
      <c r="B682" s="3">
        <v>4.8</v>
      </c>
    </row>
    <row r="683" spans="1:2" x14ac:dyDescent="0.3">
      <c r="A683" s="31">
        <v>140</v>
      </c>
      <c r="B683" s="4">
        <v>6.5</v>
      </c>
    </row>
    <row r="684" spans="1:2" x14ac:dyDescent="0.3">
      <c r="A684" s="32">
        <v>125</v>
      </c>
      <c r="B684" s="3">
        <v>5.0999999999999996</v>
      </c>
    </row>
    <row r="685" spans="1:2" x14ac:dyDescent="0.3">
      <c r="A685" s="31">
        <v>111</v>
      </c>
      <c r="B685" s="4">
        <v>7.1</v>
      </c>
    </row>
    <row r="686" spans="1:2" x14ac:dyDescent="0.3">
      <c r="A686" s="32">
        <v>156</v>
      </c>
      <c r="B686" s="3">
        <v>7.5</v>
      </c>
    </row>
    <row r="687" spans="1:2" x14ac:dyDescent="0.3">
      <c r="A687" s="31">
        <v>170</v>
      </c>
      <c r="B687" s="4">
        <v>6.2</v>
      </c>
    </row>
    <row r="688" spans="1:2" x14ac:dyDescent="0.3">
      <c r="A688" s="32">
        <v>120</v>
      </c>
      <c r="B688" s="3">
        <v>6.3</v>
      </c>
    </row>
    <row r="689" spans="1:2" x14ac:dyDescent="0.3">
      <c r="A689" s="31">
        <v>100</v>
      </c>
      <c r="B689" s="4">
        <v>8.1</v>
      </c>
    </row>
    <row r="690" spans="1:2" x14ac:dyDescent="0.3">
      <c r="A690" s="32">
        <v>115</v>
      </c>
      <c r="B690" s="3">
        <v>6.6</v>
      </c>
    </row>
    <row r="691" spans="1:2" x14ac:dyDescent="0.3">
      <c r="A691" s="31">
        <v>130</v>
      </c>
      <c r="B691" s="4">
        <v>6.9</v>
      </c>
    </row>
    <row r="692" spans="1:2" x14ac:dyDescent="0.3">
      <c r="A692" s="32">
        <v>105</v>
      </c>
      <c r="B692" s="3">
        <v>6.1</v>
      </c>
    </row>
    <row r="693" spans="1:2" x14ac:dyDescent="0.3">
      <c r="A693" s="31">
        <v>111</v>
      </c>
      <c r="B693" s="4">
        <v>4.3</v>
      </c>
    </row>
    <row r="694" spans="1:2" x14ac:dyDescent="0.3">
      <c r="A694" s="32">
        <v>106</v>
      </c>
      <c r="B694" s="3">
        <v>6.6</v>
      </c>
    </row>
    <row r="695" spans="1:2" x14ac:dyDescent="0.3">
      <c r="A695" s="31">
        <v>89</v>
      </c>
      <c r="B695" s="4">
        <v>6.8</v>
      </c>
    </row>
    <row r="696" spans="1:2" x14ac:dyDescent="0.3">
      <c r="A696" s="32">
        <v>100</v>
      </c>
      <c r="B696" s="3">
        <v>3.8</v>
      </c>
    </row>
    <row r="697" spans="1:2" x14ac:dyDescent="0.3">
      <c r="A697" s="31">
        <v>91</v>
      </c>
      <c r="B697" s="4">
        <v>5.9</v>
      </c>
    </row>
    <row r="698" spans="1:2" x14ac:dyDescent="0.3">
      <c r="A698" s="32">
        <v>146</v>
      </c>
      <c r="B698" s="3">
        <v>7.9</v>
      </c>
    </row>
    <row r="699" spans="1:2" x14ac:dyDescent="0.3">
      <c r="A699" s="31">
        <v>98</v>
      </c>
      <c r="B699" s="4">
        <v>6.3</v>
      </c>
    </row>
    <row r="700" spans="1:2" x14ac:dyDescent="0.3">
      <c r="A700" s="32">
        <v>101</v>
      </c>
      <c r="B700" s="3">
        <v>5.5</v>
      </c>
    </row>
    <row r="701" spans="1:2" x14ac:dyDescent="0.3">
      <c r="A701" s="31">
        <v>94</v>
      </c>
      <c r="B701" s="4">
        <v>7.7</v>
      </c>
    </row>
    <row r="702" spans="1:2" x14ac:dyDescent="0.3">
      <c r="A702" s="32">
        <v>132</v>
      </c>
      <c r="B702" s="3">
        <v>6.3</v>
      </c>
    </row>
    <row r="703" spans="1:2" x14ac:dyDescent="0.3">
      <c r="A703" s="31">
        <v>115</v>
      </c>
      <c r="B703" s="4">
        <v>7.1</v>
      </c>
    </row>
    <row r="704" spans="1:2" x14ac:dyDescent="0.3">
      <c r="A704" s="32">
        <v>92</v>
      </c>
      <c r="B704" s="3">
        <v>8.5</v>
      </c>
    </row>
    <row r="705" spans="1:2" x14ac:dyDescent="0.3">
      <c r="A705" s="31">
        <v>124</v>
      </c>
      <c r="B705" s="4">
        <v>5.9</v>
      </c>
    </row>
    <row r="706" spans="1:2" x14ac:dyDescent="0.3">
      <c r="A706" s="32">
        <v>119</v>
      </c>
      <c r="B706" s="3">
        <v>5.8</v>
      </c>
    </row>
    <row r="707" spans="1:2" x14ac:dyDescent="0.3">
      <c r="A707" s="31">
        <v>124</v>
      </c>
      <c r="B707" s="4">
        <v>8.1</v>
      </c>
    </row>
    <row r="708" spans="1:2" x14ac:dyDescent="0.3">
      <c r="A708" s="32">
        <v>93</v>
      </c>
      <c r="B708" s="3">
        <v>7.9</v>
      </c>
    </row>
    <row r="709" spans="1:2" x14ac:dyDescent="0.3">
      <c r="A709" s="31">
        <v>98</v>
      </c>
      <c r="B709" s="4">
        <v>7.2</v>
      </c>
    </row>
    <row r="710" spans="1:2" x14ac:dyDescent="0.3">
      <c r="A710" s="32">
        <v>92</v>
      </c>
      <c r="B710" s="3">
        <v>6.3</v>
      </c>
    </row>
    <row r="711" spans="1:2" x14ac:dyDescent="0.3">
      <c r="A711" s="31">
        <v>105</v>
      </c>
      <c r="B711" s="4">
        <v>8.1</v>
      </c>
    </row>
    <row r="712" spans="1:2" x14ac:dyDescent="0.3">
      <c r="A712" s="32">
        <v>124</v>
      </c>
      <c r="B712" s="3">
        <v>7</v>
      </c>
    </row>
    <row r="713" spans="1:2" x14ac:dyDescent="0.3">
      <c r="A713" s="31">
        <v>99</v>
      </c>
      <c r="B713" s="4">
        <v>5.5</v>
      </c>
    </row>
    <row r="714" spans="1:2" x14ac:dyDescent="0.3">
      <c r="A714" s="32">
        <v>116</v>
      </c>
      <c r="B714" s="3">
        <v>6.7</v>
      </c>
    </row>
    <row r="715" spans="1:2" x14ac:dyDescent="0.3">
      <c r="A715" s="31">
        <v>124</v>
      </c>
      <c r="B715" s="4">
        <v>5.2</v>
      </c>
    </row>
    <row r="716" spans="1:2" x14ac:dyDescent="0.3">
      <c r="A716" s="32">
        <v>96</v>
      </c>
      <c r="B716" s="3">
        <v>7</v>
      </c>
    </row>
    <row r="717" spans="1:2" x14ac:dyDescent="0.3">
      <c r="A717" s="31">
        <v>104</v>
      </c>
      <c r="B717" s="4">
        <v>6.1</v>
      </c>
    </row>
    <row r="718" spans="1:2" x14ac:dyDescent="0.3">
      <c r="A718" s="32">
        <v>100</v>
      </c>
      <c r="B718" s="3">
        <v>6.6</v>
      </c>
    </row>
    <row r="719" spans="1:2" x14ac:dyDescent="0.3">
      <c r="A719" s="31">
        <v>115</v>
      </c>
      <c r="B719" s="4">
        <v>5.5</v>
      </c>
    </row>
    <row r="720" spans="1:2" x14ac:dyDescent="0.3">
      <c r="A720" s="32">
        <v>101</v>
      </c>
      <c r="B720" s="3">
        <v>5.9</v>
      </c>
    </row>
    <row r="721" spans="1:2" x14ac:dyDescent="0.3">
      <c r="A721" s="31">
        <v>113</v>
      </c>
      <c r="B721" s="4">
        <v>5.4</v>
      </c>
    </row>
    <row r="722" spans="1:2" x14ac:dyDescent="0.3">
      <c r="A722" s="32">
        <v>100</v>
      </c>
      <c r="B722" s="3">
        <v>6.4</v>
      </c>
    </row>
    <row r="723" spans="1:2" x14ac:dyDescent="0.3">
      <c r="A723" s="31">
        <v>134</v>
      </c>
      <c r="B723" s="4">
        <v>5.7</v>
      </c>
    </row>
    <row r="724" spans="1:2" x14ac:dyDescent="0.3">
      <c r="A724" s="32">
        <v>125</v>
      </c>
      <c r="B724" s="3">
        <v>6.7</v>
      </c>
    </row>
    <row r="725" spans="1:2" x14ac:dyDescent="0.3">
      <c r="A725" s="31">
        <v>94</v>
      </c>
      <c r="B725" s="4">
        <v>7.1</v>
      </c>
    </row>
    <row r="726" spans="1:2" x14ac:dyDescent="0.3">
      <c r="A726" s="32">
        <v>107</v>
      </c>
      <c r="B726" s="3">
        <v>6.8</v>
      </c>
    </row>
    <row r="727" spans="1:2" x14ac:dyDescent="0.3">
      <c r="A727" s="31">
        <v>91</v>
      </c>
      <c r="B727" s="4">
        <v>6.5</v>
      </c>
    </row>
    <row r="728" spans="1:2" x14ac:dyDescent="0.3">
      <c r="A728" s="32">
        <v>116</v>
      </c>
      <c r="B728" s="3">
        <v>7.6</v>
      </c>
    </row>
    <row r="729" spans="1:2" x14ac:dyDescent="0.3">
      <c r="A729" s="31">
        <v>100</v>
      </c>
      <c r="B729" s="4">
        <v>5.5</v>
      </c>
    </row>
    <row r="730" spans="1:2" x14ac:dyDescent="0.3">
      <c r="A730" s="32">
        <v>117</v>
      </c>
      <c r="B730" s="3">
        <v>6.5</v>
      </c>
    </row>
    <row r="731" spans="1:2" x14ac:dyDescent="0.3">
      <c r="A731" s="31">
        <v>110</v>
      </c>
      <c r="B731" s="4">
        <v>7</v>
      </c>
    </row>
    <row r="732" spans="1:2" x14ac:dyDescent="0.3">
      <c r="A732" s="32">
        <v>96</v>
      </c>
      <c r="B732" s="3">
        <v>5.8</v>
      </c>
    </row>
    <row r="733" spans="1:2" x14ac:dyDescent="0.3">
      <c r="A733" s="31">
        <v>101</v>
      </c>
      <c r="B733" s="4">
        <v>7.3</v>
      </c>
    </row>
    <row r="734" spans="1:2" x14ac:dyDescent="0.3">
      <c r="A734" s="32">
        <v>111</v>
      </c>
      <c r="B734" s="3">
        <v>6.6</v>
      </c>
    </row>
    <row r="735" spans="1:2" x14ac:dyDescent="0.3">
      <c r="A735" s="31">
        <v>117</v>
      </c>
      <c r="B735" s="4">
        <v>4.4000000000000004</v>
      </c>
    </row>
    <row r="736" spans="1:2" x14ac:dyDescent="0.3">
      <c r="A736" s="32">
        <v>126</v>
      </c>
      <c r="B736" s="3">
        <v>7.7</v>
      </c>
    </row>
    <row r="737" spans="1:2" x14ac:dyDescent="0.3">
      <c r="A737" s="31">
        <v>152</v>
      </c>
      <c r="B737" s="4">
        <v>5</v>
      </c>
    </row>
    <row r="738" spans="1:2" x14ac:dyDescent="0.3">
      <c r="A738" s="32">
        <v>101</v>
      </c>
      <c r="B738" s="3">
        <v>7.7</v>
      </c>
    </row>
    <row r="739" spans="1:2" x14ac:dyDescent="0.3">
      <c r="A739" s="31">
        <v>87</v>
      </c>
      <c r="B739" s="4">
        <v>4.4000000000000004</v>
      </c>
    </row>
    <row r="740" spans="1:2" x14ac:dyDescent="0.3">
      <c r="A740" s="32">
        <v>85</v>
      </c>
      <c r="B740" s="3">
        <v>6.1</v>
      </c>
    </row>
    <row r="741" spans="1:2" x14ac:dyDescent="0.3">
      <c r="A741" s="31">
        <v>130</v>
      </c>
      <c r="B741" s="4">
        <v>5.4</v>
      </c>
    </row>
    <row r="742" spans="1:2" x14ac:dyDescent="0.3">
      <c r="A742" s="32">
        <v>104</v>
      </c>
      <c r="B742" s="3">
        <v>6.8</v>
      </c>
    </row>
    <row r="743" spans="1:2" x14ac:dyDescent="0.3">
      <c r="A743" s="31">
        <v>121</v>
      </c>
      <c r="B743" s="4">
        <v>6.5</v>
      </c>
    </row>
    <row r="744" spans="1:2" x14ac:dyDescent="0.3">
      <c r="A744" s="32">
        <v>140</v>
      </c>
      <c r="B744" s="3">
        <v>7</v>
      </c>
    </row>
    <row r="745" spans="1:2" x14ac:dyDescent="0.3">
      <c r="A745" s="31">
        <v>131</v>
      </c>
      <c r="B745" s="4">
        <v>6.3</v>
      </c>
    </row>
    <row r="746" spans="1:2" x14ac:dyDescent="0.3">
      <c r="A746" s="32">
        <v>91</v>
      </c>
      <c r="B746" s="3">
        <v>6.3</v>
      </c>
    </row>
    <row r="747" spans="1:2" x14ac:dyDescent="0.3">
      <c r="A747" s="31">
        <v>118</v>
      </c>
      <c r="B747" s="4">
        <v>6.1</v>
      </c>
    </row>
    <row r="748" spans="1:2" x14ac:dyDescent="0.3">
      <c r="A748" s="32">
        <v>130</v>
      </c>
      <c r="B748" s="3">
        <v>6.1</v>
      </c>
    </row>
    <row r="749" spans="1:2" x14ac:dyDescent="0.3">
      <c r="A749" s="31">
        <v>103</v>
      </c>
      <c r="B749" s="4">
        <v>5.3</v>
      </c>
    </row>
    <row r="750" spans="1:2" x14ac:dyDescent="0.3">
      <c r="A750" s="32">
        <v>122</v>
      </c>
      <c r="B750" s="3">
        <v>5.4</v>
      </c>
    </row>
    <row r="751" spans="1:2" x14ac:dyDescent="0.3">
      <c r="A751" s="31">
        <v>106</v>
      </c>
      <c r="B751" s="4">
        <v>6.2</v>
      </c>
    </row>
    <row r="752" spans="1:2" x14ac:dyDescent="0.3">
      <c r="A752" s="32">
        <v>103</v>
      </c>
      <c r="B752" s="3">
        <v>6.6</v>
      </c>
    </row>
    <row r="753" spans="1:2" x14ac:dyDescent="0.3">
      <c r="A753" s="31">
        <v>107</v>
      </c>
      <c r="B753" s="4">
        <v>5.9</v>
      </c>
    </row>
    <row r="754" spans="1:2" x14ac:dyDescent="0.3">
      <c r="A754" s="32">
        <v>156</v>
      </c>
      <c r="B754" s="3">
        <v>6.3</v>
      </c>
    </row>
    <row r="755" spans="1:2" x14ac:dyDescent="0.3">
      <c r="A755" s="31">
        <v>127</v>
      </c>
      <c r="B755" s="4">
        <v>7.2</v>
      </c>
    </row>
    <row r="756" spans="1:2" x14ac:dyDescent="0.3">
      <c r="A756" s="32">
        <v>132</v>
      </c>
      <c r="B756" s="3">
        <v>6.8</v>
      </c>
    </row>
    <row r="757" spans="1:2" x14ac:dyDescent="0.3">
      <c r="A757" s="31">
        <v>108</v>
      </c>
      <c r="B757" s="4">
        <v>6.1</v>
      </c>
    </row>
    <row r="758" spans="1:2" x14ac:dyDescent="0.3">
      <c r="A758" s="32">
        <v>114</v>
      </c>
      <c r="B758" s="3">
        <v>7.8</v>
      </c>
    </row>
    <row r="759" spans="1:2" x14ac:dyDescent="0.3">
      <c r="A759" s="31">
        <v>133</v>
      </c>
      <c r="B759" s="4">
        <v>5</v>
      </c>
    </row>
    <row r="760" spans="1:2" x14ac:dyDescent="0.3">
      <c r="A760" s="32">
        <v>103</v>
      </c>
      <c r="B760" s="3">
        <v>6.2</v>
      </c>
    </row>
    <row r="761" spans="1:2" x14ac:dyDescent="0.3">
      <c r="A761" s="31">
        <v>95</v>
      </c>
      <c r="B761" s="4">
        <v>6.7</v>
      </c>
    </row>
    <row r="762" spans="1:2" x14ac:dyDescent="0.3">
      <c r="A762" s="32">
        <v>90</v>
      </c>
      <c r="B762" s="3">
        <v>4.9000000000000004</v>
      </c>
    </row>
    <row r="763" spans="1:2" x14ac:dyDescent="0.3">
      <c r="A763" s="31">
        <v>87</v>
      </c>
      <c r="B763" s="4">
        <v>7.4</v>
      </c>
    </row>
    <row r="764" spans="1:2" x14ac:dyDescent="0.3">
      <c r="A764" s="32">
        <v>114</v>
      </c>
      <c r="B764" s="3">
        <v>7.1</v>
      </c>
    </row>
    <row r="765" spans="1:2" x14ac:dyDescent="0.3">
      <c r="A765" s="31">
        <v>103</v>
      </c>
      <c r="B765" s="4">
        <v>6.2</v>
      </c>
    </row>
    <row r="766" spans="1:2" x14ac:dyDescent="0.3">
      <c r="A766" s="32">
        <v>125</v>
      </c>
      <c r="B766" s="3">
        <v>4.9000000000000004</v>
      </c>
    </row>
    <row r="767" spans="1:2" x14ac:dyDescent="0.3">
      <c r="A767" s="31">
        <v>97</v>
      </c>
      <c r="B767" s="4">
        <v>6.1</v>
      </c>
    </row>
    <row r="768" spans="1:2" x14ac:dyDescent="0.3">
      <c r="A768" s="32">
        <v>125</v>
      </c>
      <c r="B768" s="3">
        <v>6.1</v>
      </c>
    </row>
    <row r="769" spans="1:2" x14ac:dyDescent="0.3">
      <c r="A769" s="31">
        <v>136</v>
      </c>
      <c r="B769" s="4">
        <v>6.4</v>
      </c>
    </row>
    <row r="770" spans="1:2" x14ac:dyDescent="0.3">
      <c r="A770" s="32">
        <v>116</v>
      </c>
      <c r="B770" s="3">
        <v>6.3</v>
      </c>
    </row>
    <row r="771" spans="1:2" x14ac:dyDescent="0.3">
      <c r="A771" s="31">
        <v>103</v>
      </c>
      <c r="B771" s="4">
        <v>6.8</v>
      </c>
    </row>
    <row r="772" spans="1:2" x14ac:dyDescent="0.3">
      <c r="A772" s="32">
        <v>97</v>
      </c>
      <c r="B772" s="3">
        <v>6.6</v>
      </c>
    </row>
    <row r="773" spans="1:2" x14ac:dyDescent="0.3">
      <c r="A773" s="31">
        <v>96</v>
      </c>
      <c r="B773" s="4">
        <v>5.7</v>
      </c>
    </row>
    <row r="774" spans="1:2" x14ac:dyDescent="0.3">
      <c r="A774" s="32">
        <v>131</v>
      </c>
      <c r="B774" s="3">
        <v>5.9</v>
      </c>
    </row>
    <row r="775" spans="1:2" x14ac:dyDescent="0.3">
      <c r="A775" s="31">
        <v>95</v>
      </c>
      <c r="B775" s="4">
        <v>6</v>
      </c>
    </row>
    <row r="776" spans="1:2" x14ac:dyDescent="0.3">
      <c r="A776" s="32">
        <v>86</v>
      </c>
      <c r="B776" s="3">
        <v>6.1</v>
      </c>
    </row>
    <row r="777" spans="1:2" x14ac:dyDescent="0.3">
      <c r="A777" s="31">
        <v>142</v>
      </c>
      <c r="B777" s="4">
        <v>6.7</v>
      </c>
    </row>
    <row r="778" spans="1:2" x14ac:dyDescent="0.3">
      <c r="A778" s="32">
        <v>92</v>
      </c>
      <c r="B778" s="3">
        <v>6.7</v>
      </c>
    </row>
    <row r="779" spans="1:2" x14ac:dyDescent="0.3">
      <c r="A779" s="31">
        <v>108</v>
      </c>
      <c r="B779" s="4">
        <v>7.9</v>
      </c>
    </row>
    <row r="780" spans="1:2" x14ac:dyDescent="0.3">
      <c r="A780" s="32">
        <v>84</v>
      </c>
      <c r="B780" s="3">
        <v>5</v>
      </c>
    </row>
    <row r="781" spans="1:2" x14ac:dyDescent="0.3">
      <c r="A781" s="31">
        <v>188</v>
      </c>
      <c r="B781" s="4">
        <v>4.3</v>
      </c>
    </row>
    <row r="782" spans="1:2" x14ac:dyDescent="0.3">
      <c r="A782" s="32">
        <v>95</v>
      </c>
      <c r="B782" s="3">
        <v>5.7</v>
      </c>
    </row>
    <row r="783" spans="1:2" x14ac:dyDescent="0.3">
      <c r="A783" s="31">
        <v>118</v>
      </c>
      <c r="B783" s="4">
        <v>6.7</v>
      </c>
    </row>
    <row r="784" spans="1:2" x14ac:dyDescent="0.3">
      <c r="A784" s="32">
        <v>92</v>
      </c>
      <c r="B784" s="3">
        <v>6.7</v>
      </c>
    </row>
    <row r="785" spans="1:2" x14ac:dyDescent="0.3">
      <c r="A785" s="31">
        <v>74</v>
      </c>
      <c r="B785" s="4">
        <v>8.1</v>
      </c>
    </row>
    <row r="786" spans="1:2" x14ac:dyDescent="0.3">
      <c r="A786" s="32">
        <v>134</v>
      </c>
      <c r="B786" s="3">
        <v>6.1</v>
      </c>
    </row>
    <row r="787" spans="1:2" x14ac:dyDescent="0.3">
      <c r="A787" s="31">
        <v>101</v>
      </c>
      <c r="B787" s="4">
        <v>5.6</v>
      </c>
    </row>
    <row r="788" spans="1:2" x14ac:dyDescent="0.3">
      <c r="A788" s="32">
        <v>100</v>
      </c>
      <c r="B788" s="3">
        <v>6.6</v>
      </c>
    </row>
    <row r="789" spans="1:2" x14ac:dyDescent="0.3">
      <c r="A789" s="31">
        <v>132</v>
      </c>
      <c r="B789" s="4">
        <v>6.9</v>
      </c>
    </row>
    <row r="790" spans="1:2" x14ac:dyDescent="0.3">
      <c r="A790" s="32">
        <v>105</v>
      </c>
      <c r="B790" s="3">
        <v>4.8</v>
      </c>
    </row>
    <row r="791" spans="1:2" x14ac:dyDescent="0.3">
      <c r="A791" s="31">
        <v>123</v>
      </c>
      <c r="B791" s="4">
        <v>6.2</v>
      </c>
    </row>
    <row r="792" spans="1:2" x14ac:dyDescent="0.3">
      <c r="A792" s="32">
        <v>117</v>
      </c>
      <c r="B792" s="3">
        <v>6</v>
      </c>
    </row>
    <row r="793" spans="1:2" x14ac:dyDescent="0.3">
      <c r="A793" s="31">
        <v>98</v>
      </c>
      <c r="B793" s="4">
        <v>4.9000000000000004</v>
      </c>
    </row>
    <row r="794" spans="1:2" x14ac:dyDescent="0.3">
      <c r="A794" s="32">
        <v>128</v>
      </c>
      <c r="B794" s="3">
        <v>5.6</v>
      </c>
    </row>
    <row r="795" spans="1:2" x14ac:dyDescent="0.3">
      <c r="A795" s="31">
        <v>114</v>
      </c>
      <c r="B795" s="4">
        <v>6.1</v>
      </c>
    </row>
    <row r="796" spans="1:2" x14ac:dyDescent="0.3">
      <c r="A796" s="32">
        <v>111</v>
      </c>
      <c r="B796" s="3">
        <v>6.1</v>
      </c>
    </row>
    <row r="797" spans="1:2" x14ac:dyDescent="0.3">
      <c r="A797" s="31">
        <v>85</v>
      </c>
      <c r="B797" s="4">
        <v>4.8</v>
      </c>
    </row>
    <row r="798" spans="1:2" x14ac:dyDescent="0.3">
      <c r="A798" s="32">
        <v>137</v>
      </c>
      <c r="B798" s="3">
        <v>5.5</v>
      </c>
    </row>
    <row r="799" spans="1:2" x14ac:dyDescent="0.3">
      <c r="A799" s="31">
        <v>97</v>
      </c>
      <c r="B799" s="4">
        <v>3.8</v>
      </c>
    </row>
    <row r="800" spans="1:2" x14ac:dyDescent="0.3">
      <c r="A800" s="32">
        <v>104</v>
      </c>
      <c r="B800" s="3">
        <v>6.5</v>
      </c>
    </row>
    <row r="801" spans="1:2" x14ac:dyDescent="0.3">
      <c r="A801" s="31">
        <v>110</v>
      </c>
      <c r="B801" s="4">
        <v>6</v>
      </c>
    </row>
    <row r="802" spans="1:2" x14ac:dyDescent="0.3">
      <c r="A802" s="32">
        <v>133</v>
      </c>
      <c r="B802" s="3">
        <v>6.7</v>
      </c>
    </row>
    <row r="803" spans="1:2" x14ac:dyDescent="0.3">
      <c r="A803" s="31">
        <v>94</v>
      </c>
      <c r="B803" s="4">
        <v>8.1</v>
      </c>
    </row>
    <row r="804" spans="1:2" x14ac:dyDescent="0.3">
      <c r="A804" s="32">
        <v>104</v>
      </c>
      <c r="B804" s="3">
        <v>4.9000000000000004</v>
      </c>
    </row>
    <row r="805" spans="1:2" x14ac:dyDescent="0.3">
      <c r="A805" s="31">
        <v>91</v>
      </c>
      <c r="B805" s="4">
        <v>7.3</v>
      </c>
    </row>
    <row r="806" spans="1:2" x14ac:dyDescent="0.3">
      <c r="A806" s="32">
        <v>145</v>
      </c>
      <c r="B806" s="3">
        <v>6.4</v>
      </c>
    </row>
    <row r="807" spans="1:2" x14ac:dyDescent="0.3">
      <c r="A807" s="31">
        <v>122</v>
      </c>
      <c r="B807" s="4">
        <v>6.7</v>
      </c>
    </row>
    <row r="808" spans="1:2" x14ac:dyDescent="0.3">
      <c r="A808" s="32">
        <v>110</v>
      </c>
      <c r="B808" s="3">
        <v>3.6</v>
      </c>
    </row>
    <row r="809" spans="1:2" x14ac:dyDescent="0.3">
      <c r="A809" s="31">
        <v>95</v>
      </c>
      <c r="B809" s="4">
        <v>5.7</v>
      </c>
    </row>
    <row r="810" spans="1:2" x14ac:dyDescent="0.3">
      <c r="A810" s="32">
        <v>102</v>
      </c>
      <c r="B810" s="3">
        <v>6</v>
      </c>
    </row>
    <row r="811" spans="1:2" x14ac:dyDescent="0.3">
      <c r="A811" s="31">
        <v>94</v>
      </c>
      <c r="B811" s="4">
        <v>4.9000000000000004</v>
      </c>
    </row>
    <row r="812" spans="1:2" x14ac:dyDescent="0.3">
      <c r="A812" s="32">
        <v>126</v>
      </c>
      <c r="B812" s="3">
        <v>4.7</v>
      </c>
    </row>
    <row r="813" spans="1:2" x14ac:dyDescent="0.3">
      <c r="A813" s="31">
        <v>118</v>
      </c>
      <c r="B813" s="4">
        <v>6.3</v>
      </c>
    </row>
    <row r="814" spans="1:2" x14ac:dyDescent="0.3">
      <c r="A814" s="32">
        <v>99</v>
      </c>
      <c r="B814" s="3">
        <v>5.9</v>
      </c>
    </row>
    <row r="815" spans="1:2" x14ac:dyDescent="0.3">
      <c r="A815" s="31">
        <v>88</v>
      </c>
      <c r="B815" s="4">
        <v>5.9</v>
      </c>
    </row>
    <row r="816" spans="1:2" x14ac:dyDescent="0.3">
      <c r="A816" s="32">
        <v>107</v>
      </c>
      <c r="B816" s="3">
        <v>7.5</v>
      </c>
    </row>
    <row r="817" spans="1:2" x14ac:dyDescent="0.3">
      <c r="A817" s="31">
        <v>116</v>
      </c>
      <c r="B817" s="4">
        <v>5.6</v>
      </c>
    </row>
    <row r="818" spans="1:2" x14ac:dyDescent="0.3">
      <c r="A818" s="32">
        <v>143</v>
      </c>
      <c r="B818" s="3">
        <v>6.4</v>
      </c>
    </row>
    <row r="819" spans="1:2" x14ac:dyDescent="0.3">
      <c r="A819" s="31">
        <v>114</v>
      </c>
      <c r="B819" s="4">
        <v>6.3</v>
      </c>
    </row>
    <row r="820" spans="1:2" x14ac:dyDescent="0.3">
      <c r="A820" s="32">
        <v>93</v>
      </c>
      <c r="B820" s="3">
        <v>4.3</v>
      </c>
    </row>
    <row r="821" spans="1:2" x14ac:dyDescent="0.3">
      <c r="A821" s="31">
        <v>280</v>
      </c>
      <c r="B821" s="4">
        <v>5.9</v>
      </c>
    </row>
    <row r="822" spans="1:2" x14ac:dyDescent="0.3">
      <c r="A822" s="32">
        <v>107</v>
      </c>
      <c r="B822" s="3">
        <v>5.5</v>
      </c>
    </row>
    <row r="823" spans="1:2" x14ac:dyDescent="0.3">
      <c r="A823" s="31">
        <v>119</v>
      </c>
      <c r="B823" s="4">
        <v>6.2</v>
      </c>
    </row>
    <row r="824" spans="1:2" x14ac:dyDescent="0.3">
      <c r="A824" s="32">
        <v>95</v>
      </c>
      <c r="B824" s="3">
        <v>8.8000000000000007</v>
      </c>
    </row>
    <row r="825" spans="1:2" x14ac:dyDescent="0.3">
      <c r="A825" s="31">
        <v>119</v>
      </c>
      <c r="B825" s="4">
        <v>5.2</v>
      </c>
    </row>
    <row r="826" spans="1:2" x14ac:dyDescent="0.3">
      <c r="A826" s="32">
        <v>133</v>
      </c>
      <c r="B826" s="3">
        <v>7</v>
      </c>
    </row>
    <row r="827" spans="1:2" x14ac:dyDescent="0.3">
      <c r="A827" s="31">
        <v>117</v>
      </c>
      <c r="B827" s="4">
        <v>6.6</v>
      </c>
    </row>
    <row r="828" spans="1:2" x14ac:dyDescent="0.3">
      <c r="A828" s="32">
        <v>123</v>
      </c>
      <c r="B828" s="3">
        <v>7.3</v>
      </c>
    </row>
    <row r="829" spans="1:2" x14ac:dyDescent="0.3">
      <c r="A829" s="31">
        <v>92</v>
      </c>
      <c r="B829" s="4">
        <v>5.6</v>
      </c>
    </row>
    <row r="830" spans="1:2" x14ac:dyDescent="0.3">
      <c r="A830" s="32">
        <v>170</v>
      </c>
      <c r="B830" s="3">
        <v>6.6</v>
      </c>
    </row>
    <row r="831" spans="1:2" x14ac:dyDescent="0.3">
      <c r="A831" s="31">
        <v>123</v>
      </c>
      <c r="B831" s="4">
        <v>5.4</v>
      </c>
    </row>
    <row r="832" spans="1:2" x14ac:dyDescent="0.3">
      <c r="A832" s="32">
        <v>110</v>
      </c>
      <c r="B832" s="3">
        <v>6.3</v>
      </c>
    </row>
    <row r="833" spans="1:2" x14ac:dyDescent="0.3">
      <c r="A833" s="31">
        <v>116</v>
      </c>
      <c r="B833" s="4">
        <v>7.9</v>
      </c>
    </row>
    <row r="834" spans="1:2" x14ac:dyDescent="0.3">
      <c r="A834" s="32">
        <v>121</v>
      </c>
      <c r="B834" s="3">
        <v>6.3</v>
      </c>
    </row>
    <row r="835" spans="1:2" x14ac:dyDescent="0.3">
      <c r="A835" s="31">
        <v>128</v>
      </c>
      <c r="B835" s="4">
        <v>6</v>
      </c>
    </row>
    <row r="836" spans="1:2" x14ac:dyDescent="0.3">
      <c r="A836" s="32">
        <v>99</v>
      </c>
      <c r="B836" s="3">
        <v>7.2</v>
      </c>
    </row>
    <row r="837" spans="1:2" x14ac:dyDescent="0.3">
      <c r="A837" s="31">
        <v>94</v>
      </c>
      <c r="B837" s="4">
        <v>5.0999999999999996</v>
      </c>
    </row>
    <row r="838" spans="1:2" x14ac:dyDescent="0.3">
      <c r="A838" s="32">
        <v>127</v>
      </c>
      <c r="B838" s="3">
        <v>7.3</v>
      </c>
    </row>
    <row r="839" spans="1:2" x14ac:dyDescent="0.3">
      <c r="A839" s="31">
        <v>89</v>
      </c>
      <c r="B839" s="4">
        <v>8</v>
      </c>
    </row>
    <row r="840" spans="1:2" x14ac:dyDescent="0.3">
      <c r="A840" s="32">
        <v>123</v>
      </c>
      <c r="B840" s="3">
        <v>6.2</v>
      </c>
    </row>
    <row r="841" spans="1:2" x14ac:dyDescent="0.3">
      <c r="A841" s="31">
        <v>135</v>
      </c>
      <c r="B841" s="4">
        <v>6</v>
      </c>
    </row>
    <row r="842" spans="1:2" x14ac:dyDescent="0.3">
      <c r="A842" s="32">
        <v>118</v>
      </c>
      <c r="B842" s="3">
        <v>6.7</v>
      </c>
    </row>
    <row r="843" spans="1:2" x14ac:dyDescent="0.3">
      <c r="A843" s="31">
        <v>189</v>
      </c>
      <c r="B843" s="4">
        <v>8.1</v>
      </c>
    </row>
    <row r="844" spans="1:2" x14ac:dyDescent="0.3">
      <c r="A844" s="32">
        <v>172</v>
      </c>
      <c r="B844" s="3">
        <v>6.4</v>
      </c>
    </row>
    <row r="845" spans="1:2" x14ac:dyDescent="0.3">
      <c r="A845" s="31">
        <v>141</v>
      </c>
      <c r="B845" s="4">
        <v>8</v>
      </c>
    </row>
    <row r="846" spans="1:2" x14ac:dyDescent="0.3">
      <c r="A846" s="32">
        <v>157</v>
      </c>
      <c r="B846" s="3">
        <v>6.3</v>
      </c>
    </row>
    <row r="847" spans="1:2" x14ac:dyDescent="0.3">
      <c r="A847" s="31">
        <v>106</v>
      </c>
      <c r="B847" s="4">
        <v>6.4</v>
      </c>
    </row>
    <row r="848" spans="1:2" x14ac:dyDescent="0.3">
      <c r="A848" s="32">
        <v>108</v>
      </c>
      <c r="B848" s="3">
        <v>6.6</v>
      </c>
    </row>
    <row r="849" spans="1:2" x14ac:dyDescent="0.3">
      <c r="A849" s="31">
        <v>125</v>
      </c>
      <c r="B849" s="4">
        <v>6.4</v>
      </c>
    </row>
    <row r="850" spans="1:2" x14ac:dyDescent="0.3">
      <c r="A850" s="32">
        <v>107</v>
      </c>
      <c r="B850" s="3">
        <v>6</v>
      </c>
    </row>
    <row r="851" spans="1:2" x14ac:dyDescent="0.3">
      <c r="A851" s="31">
        <v>215</v>
      </c>
      <c r="B851" s="4">
        <v>6.6</v>
      </c>
    </row>
    <row r="852" spans="1:2" x14ac:dyDescent="0.3">
      <c r="A852" s="32">
        <v>118</v>
      </c>
      <c r="B852" s="3">
        <v>5.9</v>
      </c>
    </row>
    <row r="853" spans="1:2" x14ac:dyDescent="0.3">
      <c r="A853" s="31">
        <v>118</v>
      </c>
      <c r="B853" s="4">
        <v>6.4</v>
      </c>
    </row>
    <row r="854" spans="1:2" x14ac:dyDescent="0.3">
      <c r="A854" s="32">
        <v>178</v>
      </c>
      <c r="B854" s="3">
        <v>6.3</v>
      </c>
    </row>
    <row r="855" spans="1:2" x14ac:dyDescent="0.3">
      <c r="A855" s="31">
        <v>92</v>
      </c>
      <c r="B855" s="4">
        <v>7.3</v>
      </c>
    </row>
    <row r="856" spans="1:2" x14ac:dyDescent="0.3">
      <c r="A856" s="32">
        <v>104</v>
      </c>
      <c r="B856" s="3">
        <v>6.8</v>
      </c>
    </row>
    <row r="857" spans="1:2" x14ac:dyDescent="0.3">
      <c r="A857" s="31">
        <v>116</v>
      </c>
      <c r="B857" s="4">
        <v>7.2</v>
      </c>
    </row>
    <row r="858" spans="1:2" x14ac:dyDescent="0.3">
      <c r="A858" s="32">
        <v>90</v>
      </c>
      <c r="B858" s="3">
        <v>5.7</v>
      </c>
    </row>
    <row r="859" spans="1:2" x14ac:dyDescent="0.3">
      <c r="A859" s="31">
        <v>130</v>
      </c>
      <c r="B859" s="4">
        <v>6</v>
      </c>
    </row>
    <row r="860" spans="1:2" x14ac:dyDescent="0.3">
      <c r="A860" s="32">
        <v>90</v>
      </c>
      <c r="B860" s="3">
        <v>6.5</v>
      </c>
    </row>
    <row r="861" spans="1:2" x14ac:dyDescent="0.3">
      <c r="A861" s="31">
        <v>106</v>
      </c>
      <c r="B861" s="4">
        <v>5.8</v>
      </c>
    </row>
    <row r="862" spans="1:2" x14ac:dyDescent="0.3">
      <c r="A862" s="32">
        <v>155</v>
      </c>
      <c r="B862" s="3">
        <v>5.8</v>
      </c>
    </row>
    <row r="863" spans="1:2" x14ac:dyDescent="0.3">
      <c r="A863" s="31">
        <v>139</v>
      </c>
      <c r="B863" s="4">
        <v>6.7</v>
      </c>
    </row>
    <row r="864" spans="1:2" x14ac:dyDescent="0.3">
      <c r="A864" s="32">
        <v>112</v>
      </c>
      <c r="B864" s="3">
        <v>7.8</v>
      </c>
    </row>
    <row r="865" spans="1:2" x14ac:dyDescent="0.3">
      <c r="A865" s="31">
        <v>139</v>
      </c>
      <c r="B865" s="4">
        <v>5.6</v>
      </c>
    </row>
    <row r="866" spans="1:2" x14ac:dyDescent="0.3">
      <c r="A866" s="32">
        <v>115</v>
      </c>
      <c r="B866" s="3">
        <v>5.8</v>
      </c>
    </row>
    <row r="867" spans="1:2" x14ac:dyDescent="0.3">
      <c r="A867" s="31">
        <v>143</v>
      </c>
      <c r="B867" s="4">
        <v>7.4</v>
      </c>
    </row>
    <row r="868" spans="1:2" x14ac:dyDescent="0.3">
      <c r="A868" s="32">
        <v>96</v>
      </c>
      <c r="B868" s="3">
        <v>6.9</v>
      </c>
    </row>
    <row r="869" spans="1:2" x14ac:dyDescent="0.3">
      <c r="A869" s="31">
        <v>112</v>
      </c>
      <c r="B869" s="4">
        <v>5.5</v>
      </c>
    </row>
    <row r="870" spans="1:2" x14ac:dyDescent="0.3">
      <c r="A870" s="32">
        <v>131</v>
      </c>
      <c r="B870" s="3">
        <v>6.3</v>
      </c>
    </row>
    <row r="871" spans="1:2" x14ac:dyDescent="0.3">
      <c r="A871" s="31">
        <v>116</v>
      </c>
      <c r="B871" s="4">
        <v>4.7</v>
      </c>
    </row>
    <row r="872" spans="1:2" x14ac:dyDescent="0.3">
      <c r="A872" s="32">
        <v>112</v>
      </c>
      <c r="B872" s="3">
        <v>5.6</v>
      </c>
    </row>
    <row r="873" spans="1:2" x14ac:dyDescent="0.3">
      <c r="A873" s="31">
        <v>123</v>
      </c>
      <c r="B873" s="4">
        <v>6.4</v>
      </c>
    </row>
    <row r="874" spans="1:2" x14ac:dyDescent="0.3">
      <c r="A874" s="32">
        <v>104</v>
      </c>
      <c r="B874" s="3">
        <v>4.2</v>
      </c>
    </row>
    <row r="875" spans="1:2" x14ac:dyDescent="0.3">
      <c r="A875" s="31">
        <v>107</v>
      </c>
      <c r="B875" s="4">
        <v>6.4</v>
      </c>
    </row>
    <row r="876" spans="1:2" x14ac:dyDescent="0.3">
      <c r="A876" s="32">
        <v>124</v>
      </c>
      <c r="B876" s="3">
        <v>7.7</v>
      </c>
    </row>
    <row r="877" spans="1:2" x14ac:dyDescent="0.3">
      <c r="A877" s="31">
        <v>96</v>
      </c>
      <c r="B877" s="4">
        <v>7.7</v>
      </c>
    </row>
    <row r="878" spans="1:2" x14ac:dyDescent="0.3">
      <c r="A878" s="32">
        <v>125</v>
      </c>
      <c r="B878" s="3">
        <v>5.3</v>
      </c>
    </row>
    <row r="879" spans="1:2" x14ac:dyDescent="0.3">
      <c r="A879" s="31">
        <v>129</v>
      </c>
      <c r="B879" s="4">
        <v>6.7</v>
      </c>
    </row>
    <row r="880" spans="1:2" x14ac:dyDescent="0.3">
      <c r="A880" s="32">
        <v>90</v>
      </c>
      <c r="B880" s="3">
        <v>7.7</v>
      </c>
    </row>
    <row r="881" spans="1:2" x14ac:dyDescent="0.3">
      <c r="A881" s="31">
        <v>109</v>
      </c>
      <c r="B881" s="4">
        <v>5.7</v>
      </c>
    </row>
    <row r="882" spans="1:2" x14ac:dyDescent="0.3">
      <c r="A882" s="32">
        <v>121</v>
      </c>
      <c r="B882" s="3">
        <v>7.6</v>
      </c>
    </row>
    <row r="883" spans="1:2" x14ac:dyDescent="0.3">
      <c r="A883" s="31">
        <v>95</v>
      </c>
      <c r="B883" s="4">
        <v>6.4</v>
      </c>
    </row>
    <row r="884" spans="1:2" x14ac:dyDescent="0.3">
      <c r="A884" s="32">
        <v>118</v>
      </c>
      <c r="B884" s="3">
        <v>5.6</v>
      </c>
    </row>
    <row r="885" spans="1:2" x14ac:dyDescent="0.3">
      <c r="A885" s="31">
        <v>80</v>
      </c>
      <c r="B885" s="4">
        <v>6.8</v>
      </c>
    </row>
    <row r="886" spans="1:2" x14ac:dyDescent="0.3">
      <c r="A886" s="32">
        <v>99</v>
      </c>
      <c r="B886" s="3">
        <v>2.4</v>
      </c>
    </row>
    <row r="887" spans="1:2" x14ac:dyDescent="0.3">
      <c r="A887" s="31">
        <v>133</v>
      </c>
      <c r="B887" s="4">
        <v>6.2</v>
      </c>
    </row>
    <row r="888" spans="1:2" x14ac:dyDescent="0.3">
      <c r="A888" s="32">
        <v>127</v>
      </c>
      <c r="B888" s="3">
        <v>5.9</v>
      </c>
    </row>
    <row r="889" spans="1:2" x14ac:dyDescent="0.3">
      <c r="A889" s="31">
        <v>106</v>
      </c>
      <c r="B889" s="4">
        <v>7.1</v>
      </c>
    </row>
    <row r="890" spans="1:2" x14ac:dyDescent="0.3">
      <c r="A890" s="32">
        <v>98</v>
      </c>
      <c r="B890" s="3">
        <v>7.6</v>
      </c>
    </row>
    <row r="891" spans="1:2" x14ac:dyDescent="0.3">
      <c r="A891" s="31">
        <v>132</v>
      </c>
      <c r="B891" s="4">
        <v>5.5</v>
      </c>
    </row>
    <row r="892" spans="1:2" x14ac:dyDescent="0.3">
      <c r="A892" s="32">
        <v>114</v>
      </c>
      <c r="B892" s="3">
        <v>7</v>
      </c>
    </row>
    <row r="893" spans="1:2" x14ac:dyDescent="0.3">
      <c r="A893" s="31">
        <v>78</v>
      </c>
      <c r="B893" s="4">
        <v>7.1</v>
      </c>
    </row>
    <row r="894" spans="1:2" x14ac:dyDescent="0.3">
      <c r="A894" s="32">
        <v>101</v>
      </c>
      <c r="B894" s="3">
        <v>7.4</v>
      </c>
    </row>
    <row r="895" spans="1:2" x14ac:dyDescent="0.3">
      <c r="A895" s="31">
        <v>113</v>
      </c>
      <c r="B895" s="4">
        <v>7.6</v>
      </c>
    </row>
    <row r="896" spans="1:2" x14ac:dyDescent="0.3">
      <c r="A896" s="32">
        <v>98</v>
      </c>
      <c r="B896" s="3">
        <v>5.9</v>
      </c>
    </row>
    <row r="897" spans="1:2" x14ac:dyDescent="0.3">
      <c r="A897" s="31">
        <v>124</v>
      </c>
      <c r="B897" s="4">
        <v>5.9</v>
      </c>
    </row>
    <row r="898" spans="1:2" x14ac:dyDescent="0.3">
      <c r="A898" s="32">
        <v>109</v>
      </c>
      <c r="B898" s="3">
        <v>8</v>
      </c>
    </row>
    <row r="899" spans="1:2" x14ac:dyDescent="0.3">
      <c r="A899" s="31">
        <v>128</v>
      </c>
      <c r="B899" s="4">
        <v>7.4</v>
      </c>
    </row>
    <row r="900" spans="1:2" x14ac:dyDescent="0.3">
      <c r="A900" s="32">
        <v>144</v>
      </c>
      <c r="B900" s="3">
        <v>5.8</v>
      </c>
    </row>
    <row r="901" spans="1:2" x14ac:dyDescent="0.3">
      <c r="A901" s="31">
        <v>95</v>
      </c>
      <c r="B901" s="4">
        <v>6.3</v>
      </c>
    </row>
    <row r="902" spans="1:2" x14ac:dyDescent="0.3">
      <c r="A902" s="32">
        <v>105</v>
      </c>
      <c r="B902" s="3">
        <v>5.7</v>
      </c>
    </row>
    <row r="903" spans="1:2" x14ac:dyDescent="0.3">
      <c r="A903" s="31">
        <v>121</v>
      </c>
      <c r="B903" s="4">
        <v>5.0999999999999996</v>
      </c>
    </row>
    <row r="904" spans="1:2" x14ac:dyDescent="0.3">
      <c r="A904" s="32">
        <v>125</v>
      </c>
      <c r="B904" s="3">
        <v>7.6</v>
      </c>
    </row>
    <row r="905" spans="1:2" x14ac:dyDescent="0.3">
      <c r="A905" s="31">
        <v>129</v>
      </c>
      <c r="B905" s="4">
        <v>6.4</v>
      </c>
    </row>
    <row r="906" spans="1:2" x14ac:dyDescent="0.3">
      <c r="A906" s="32">
        <v>132</v>
      </c>
      <c r="B906" s="3">
        <v>7.4</v>
      </c>
    </row>
    <row r="907" spans="1:2" x14ac:dyDescent="0.3">
      <c r="A907" s="31">
        <v>118</v>
      </c>
      <c r="B907" s="4">
        <v>8.1999999999999993</v>
      </c>
    </row>
    <row r="908" spans="1:2" x14ac:dyDescent="0.3">
      <c r="A908" s="32">
        <v>113</v>
      </c>
      <c r="B908" s="3">
        <v>6.5</v>
      </c>
    </row>
    <row r="909" spans="1:2" x14ac:dyDescent="0.3">
      <c r="A909" s="31">
        <v>140</v>
      </c>
      <c r="B909" s="4">
        <v>5.5</v>
      </c>
    </row>
    <row r="910" spans="1:2" x14ac:dyDescent="0.3">
      <c r="A910" s="32">
        <v>89</v>
      </c>
      <c r="B910" s="3">
        <v>6.5</v>
      </c>
    </row>
    <row r="911" spans="1:2" x14ac:dyDescent="0.3">
      <c r="A911" s="31">
        <v>104</v>
      </c>
      <c r="B911" s="4">
        <v>5.6</v>
      </c>
    </row>
    <row r="912" spans="1:2" x14ac:dyDescent="0.3">
      <c r="A912" s="32">
        <v>106</v>
      </c>
      <c r="B912" s="3">
        <v>4.9000000000000004</v>
      </c>
    </row>
    <row r="913" spans="1:2" x14ac:dyDescent="0.3">
      <c r="A913" s="31">
        <v>141</v>
      </c>
      <c r="B913" s="4">
        <v>4.5999999999999996</v>
      </c>
    </row>
    <row r="914" spans="1:2" x14ac:dyDescent="0.3">
      <c r="A914" s="32">
        <v>124</v>
      </c>
      <c r="B914" s="3">
        <v>7.9</v>
      </c>
    </row>
    <row r="915" spans="1:2" x14ac:dyDescent="0.3">
      <c r="A915" s="31">
        <v>98</v>
      </c>
      <c r="B915" s="4">
        <v>7.1</v>
      </c>
    </row>
    <row r="916" spans="1:2" x14ac:dyDescent="0.3">
      <c r="A916" s="32">
        <v>108</v>
      </c>
      <c r="B916" s="3">
        <v>6.9</v>
      </c>
    </row>
    <row r="917" spans="1:2" x14ac:dyDescent="0.3">
      <c r="A917" s="31">
        <v>114</v>
      </c>
      <c r="B917" s="4">
        <v>7.3</v>
      </c>
    </row>
    <row r="918" spans="1:2" x14ac:dyDescent="0.3">
      <c r="A918" s="32">
        <v>101</v>
      </c>
      <c r="B918" s="3">
        <v>7</v>
      </c>
    </row>
    <row r="919" spans="1:2" x14ac:dyDescent="0.3">
      <c r="A919" s="31">
        <v>93</v>
      </c>
      <c r="B919" s="4">
        <v>7.7</v>
      </c>
    </row>
    <row r="920" spans="1:2" x14ac:dyDescent="0.3">
      <c r="A920" s="32">
        <v>119</v>
      </c>
      <c r="B920" s="3">
        <v>6.7</v>
      </c>
    </row>
    <row r="921" spans="1:2" x14ac:dyDescent="0.3">
      <c r="A921" s="31">
        <v>119</v>
      </c>
      <c r="B921" s="4">
        <v>6.3</v>
      </c>
    </row>
    <row r="922" spans="1:2" x14ac:dyDescent="0.3">
      <c r="A922" s="32">
        <v>99</v>
      </c>
      <c r="B922" s="3">
        <v>5.8</v>
      </c>
    </row>
    <row r="923" spans="1:2" x14ac:dyDescent="0.3">
      <c r="A923" s="31">
        <v>137</v>
      </c>
      <c r="B923" s="4">
        <v>7.1</v>
      </c>
    </row>
    <row r="924" spans="1:2" x14ac:dyDescent="0.3">
      <c r="A924" s="32">
        <v>117</v>
      </c>
      <c r="B924" s="3">
        <v>7.3</v>
      </c>
    </row>
    <row r="925" spans="1:2" x14ac:dyDescent="0.3">
      <c r="A925" s="31">
        <v>87</v>
      </c>
      <c r="B925" s="4">
        <v>6.4</v>
      </c>
    </row>
    <row r="926" spans="1:2" x14ac:dyDescent="0.3">
      <c r="A926" s="32">
        <v>129</v>
      </c>
      <c r="B926" s="3">
        <v>7.1</v>
      </c>
    </row>
    <row r="927" spans="1:2" x14ac:dyDescent="0.3">
      <c r="A927" s="31">
        <v>115</v>
      </c>
      <c r="B927" s="4">
        <v>7.6</v>
      </c>
    </row>
    <row r="928" spans="1:2" x14ac:dyDescent="0.3">
      <c r="A928" s="32">
        <v>132</v>
      </c>
      <c r="B928" s="3">
        <v>6.8</v>
      </c>
    </row>
    <row r="929" spans="1:2" x14ac:dyDescent="0.3">
      <c r="A929" s="31">
        <v>131</v>
      </c>
      <c r="B929" s="4">
        <v>6.6</v>
      </c>
    </row>
    <row r="930" spans="1:2" x14ac:dyDescent="0.3">
      <c r="A930" s="32">
        <v>95</v>
      </c>
      <c r="B930" s="3">
        <v>6.7</v>
      </c>
    </row>
    <row r="931" spans="1:2" x14ac:dyDescent="0.3">
      <c r="A931" s="31">
        <v>125</v>
      </c>
      <c r="B931" s="4">
        <v>6.1</v>
      </c>
    </row>
    <row r="932" spans="1:2" x14ac:dyDescent="0.3">
      <c r="A932" s="32">
        <v>98</v>
      </c>
      <c r="B932" s="3">
        <v>6</v>
      </c>
    </row>
    <row r="933" spans="1:2" x14ac:dyDescent="0.3">
      <c r="A933" s="31">
        <v>110</v>
      </c>
      <c r="B933" s="4">
        <v>7.6</v>
      </c>
    </row>
    <row r="934" spans="1:2" x14ac:dyDescent="0.3">
      <c r="A934" s="32">
        <v>118</v>
      </c>
      <c r="B934" s="3">
        <v>7.1</v>
      </c>
    </row>
    <row r="935" spans="1:2" x14ac:dyDescent="0.3">
      <c r="A935" s="31">
        <v>101</v>
      </c>
      <c r="B935" s="4">
        <v>5</v>
      </c>
    </row>
    <row r="936" spans="1:2" x14ac:dyDescent="0.3">
      <c r="A936" s="32">
        <v>90</v>
      </c>
      <c r="B936" s="3">
        <v>7.1</v>
      </c>
    </row>
    <row r="937" spans="1:2" x14ac:dyDescent="0.3">
      <c r="A937" s="31">
        <v>119</v>
      </c>
      <c r="B937" s="4">
        <v>6.2</v>
      </c>
    </row>
    <row r="938" spans="1:2" x14ac:dyDescent="0.3">
      <c r="A938" s="32">
        <v>139</v>
      </c>
      <c r="B938" s="3">
        <v>5.6</v>
      </c>
    </row>
    <row r="939" spans="1:2" x14ac:dyDescent="0.3">
      <c r="A939" s="31">
        <v>130</v>
      </c>
      <c r="B939" s="4">
        <v>5.4</v>
      </c>
    </row>
    <row r="940" spans="1:2" x14ac:dyDescent="0.3">
      <c r="A940" s="32">
        <v>100</v>
      </c>
      <c r="B940" s="3">
        <v>7.4</v>
      </c>
    </row>
    <row r="941" spans="1:2" x14ac:dyDescent="0.3">
      <c r="A941" s="31">
        <v>114</v>
      </c>
      <c r="B941" s="4">
        <v>5</v>
      </c>
    </row>
    <row r="942" spans="1:2" x14ac:dyDescent="0.3">
      <c r="A942" s="32">
        <v>96</v>
      </c>
      <c r="B942" s="3">
        <v>5.2</v>
      </c>
    </row>
    <row r="943" spans="1:2" x14ac:dyDescent="0.3">
      <c r="A943" s="31">
        <v>110</v>
      </c>
      <c r="B943" s="4">
        <v>7.6</v>
      </c>
    </row>
    <row r="944" spans="1:2" x14ac:dyDescent="0.3">
      <c r="A944" s="32">
        <v>158</v>
      </c>
      <c r="B944" s="3">
        <v>6.6</v>
      </c>
    </row>
    <row r="945" spans="1:2" x14ac:dyDescent="0.3">
      <c r="A945" s="31">
        <v>102</v>
      </c>
      <c r="B945" s="4">
        <v>7</v>
      </c>
    </row>
    <row r="946" spans="1:2" x14ac:dyDescent="0.3">
      <c r="A946" s="32">
        <v>84</v>
      </c>
      <c r="B946" s="3">
        <v>5.7</v>
      </c>
    </row>
    <row r="947" spans="1:2" x14ac:dyDescent="0.3">
      <c r="A947" s="31">
        <v>115</v>
      </c>
      <c r="B947" s="4">
        <v>8.1999999999999993</v>
      </c>
    </row>
    <row r="948" spans="1:2" x14ac:dyDescent="0.3">
      <c r="A948" s="32">
        <v>99</v>
      </c>
      <c r="B948" s="3">
        <v>6.2</v>
      </c>
    </row>
    <row r="949" spans="1:2" x14ac:dyDescent="0.3">
      <c r="A949" s="31">
        <v>108</v>
      </c>
      <c r="B949" s="4">
        <v>6.6</v>
      </c>
    </row>
    <row r="950" spans="1:2" x14ac:dyDescent="0.3">
      <c r="A950" s="32">
        <v>127</v>
      </c>
      <c r="B950" s="3">
        <v>4.7</v>
      </c>
    </row>
    <row r="951" spans="1:2" x14ac:dyDescent="0.3">
      <c r="A951" s="31">
        <v>107</v>
      </c>
      <c r="B951" s="4">
        <v>6.3</v>
      </c>
    </row>
    <row r="952" spans="1:2" x14ac:dyDescent="0.3">
      <c r="A952" s="32">
        <v>95</v>
      </c>
      <c r="B952" s="3">
        <v>6.1</v>
      </c>
    </row>
    <row r="953" spans="1:2" x14ac:dyDescent="0.3">
      <c r="A953" s="31">
        <v>124</v>
      </c>
      <c r="B953" s="4">
        <v>6.7</v>
      </c>
    </row>
    <row r="954" spans="1:2" x14ac:dyDescent="0.3">
      <c r="A954" s="32">
        <v>109</v>
      </c>
      <c r="B954" s="3">
        <v>6.1</v>
      </c>
    </row>
    <row r="955" spans="1:2" x14ac:dyDescent="0.3">
      <c r="A955" s="31">
        <v>102</v>
      </c>
      <c r="B955" s="4">
        <v>7</v>
      </c>
    </row>
    <row r="956" spans="1:2" x14ac:dyDescent="0.3">
      <c r="A956" s="32">
        <v>88</v>
      </c>
      <c r="B956" s="3">
        <v>7.4</v>
      </c>
    </row>
    <row r="957" spans="1:2" x14ac:dyDescent="0.3">
      <c r="A957" s="31">
        <v>87</v>
      </c>
      <c r="B957" s="4">
        <v>7.3</v>
      </c>
    </row>
    <row r="958" spans="1:2" x14ac:dyDescent="0.3">
      <c r="A958" s="32">
        <v>104</v>
      </c>
      <c r="B958" s="3">
        <v>5.8</v>
      </c>
    </row>
    <row r="959" spans="1:2" x14ac:dyDescent="0.3">
      <c r="A959" s="31">
        <v>96</v>
      </c>
      <c r="B959" s="4">
        <v>6.7</v>
      </c>
    </row>
    <row r="960" spans="1:2" x14ac:dyDescent="0.3">
      <c r="A960" s="32">
        <v>85</v>
      </c>
      <c r="B960" s="3">
        <v>5.8</v>
      </c>
    </row>
    <row r="961" spans="1:2" x14ac:dyDescent="0.3">
      <c r="A961" s="31">
        <v>104</v>
      </c>
      <c r="B961" s="4">
        <v>7.8</v>
      </c>
    </row>
    <row r="962" spans="1:2" x14ac:dyDescent="0.3">
      <c r="A962" s="32">
        <v>190</v>
      </c>
      <c r="B962" s="3">
        <v>6.6</v>
      </c>
    </row>
    <row r="963" spans="1:2" x14ac:dyDescent="0.3">
      <c r="A963" s="31">
        <v>127</v>
      </c>
      <c r="B963" s="4">
        <v>6.5</v>
      </c>
    </row>
    <row r="964" spans="1:2" x14ac:dyDescent="0.3">
      <c r="A964" s="32">
        <v>120</v>
      </c>
      <c r="B964" s="3">
        <v>6.7</v>
      </c>
    </row>
    <row r="965" spans="1:2" x14ac:dyDescent="0.3">
      <c r="A965" s="31">
        <v>118</v>
      </c>
      <c r="B965" s="4">
        <v>7.3</v>
      </c>
    </row>
    <row r="966" spans="1:2" x14ac:dyDescent="0.3">
      <c r="A966" s="32">
        <v>112</v>
      </c>
      <c r="B966" s="3">
        <v>5.8</v>
      </c>
    </row>
    <row r="967" spans="1:2" x14ac:dyDescent="0.3">
      <c r="A967" s="31">
        <v>114</v>
      </c>
      <c r="B967" s="4">
        <v>5.5</v>
      </c>
    </row>
    <row r="968" spans="1:2" x14ac:dyDescent="0.3">
      <c r="A968" s="32">
        <v>137</v>
      </c>
      <c r="B968" s="3">
        <v>6.3</v>
      </c>
    </row>
    <row r="969" spans="1:2" x14ac:dyDescent="0.3">
      <c r="A969" s="31">
        <v>112</v>
      </c>
      <c r="B969" s="4">
        <v>7.4</v>
      </c>
    </row>
    <row r="970" spans="1:2" x14ac:dyDescent="0.3">
      <c r="A970" s="32">
        <v>120</v>
      </c>
      <c r="B970" s="3">
        <v>5.9</v>
      </c>
    </row>
    <row r="971" spans="1:2" x14ac:dyDescent="0.3">
      <c r="A971" s="31">
        <v>123</v>
      </c>
      <c r="B971" s="4">
        <v>6.2</v>
      </c>
    </row>
    <row r="972" spans="1:2" x14ac:dyDescent="0.3">
      <c r="A972" s="32">
        <v>93</v>
      </c>
      <c r="B972" s="3">
        <v>5.9</v>
      </c>
    </row>
    <row r="973" spans="1:2" x14ac:dyDescent="0.3">
      <c r="A973" s="31">
        <v>123</v>
      </c>
      <c r="B973" s="4">
        <v>6.5</v>
      </c>
    </row>
    <row r="974" spans="1:2" x14ac:dyDescent="0.3">
      <c r="A974" s="32">
        <v>122</v>
      </c>
      <c r="B974" s="3">
        <v>4.4000000000000004</v>
      </c>
    </row>
    <row r="975" spans="1:2" x14ac:dyDescent="0.3">
      <c r="A975" s="31">
        <v>115</v>
      </c>
      <c r="B975" s="4">
        <v>3.5</v>
      </c>
    </row>
    <row r="976" spans="1:2" x14ac:dyDescent="0.3">
      <c r="A976" s="32">
        <v>123</v>
      </c>
      <c r="B976" s="3">
        <v>6.6</v>
      </c>
    </row>
    <row r="977" spans="1:2" x14ac:dyDescent="0.3">
      <c r="A977" s="31">
        <v>96</v>
      </c>
      <c r="B977" s="4">
        <v>6</v>
      </c>
    </row>
    <row r="978" spans="1:2" x14ac:dyDescent="0.3">
      <c r="A978" s="32">
        <v>105</v>
      </c>
      <c r="B978" s="3">
        <v>6.4</v>
      </c>
    </row>
    <row r="979" spans="1:2" x14ac:dyDescent="0.3">
      <c r="A979" s="31">
        <v>113</v>
      </c>
      <c r="B979" s="4">
        <v>6.5</v>
      </c>
    </row>
    <row r="980" spans="1:2" x14ac:dyDescent="0.3">
      <c r="A980" s="32">
        <v>75</v>
      </c>
      <c r="B980" s="3">
        <v>4.3</v>
      </c>
    </row>
    <row r="981" spans="1:2" x14ac:dyDescent="0.3">
      <c r="A981" s="31">
        <v>108</v>
      </c>
      <c r="B981" s="4">
        <v>4.2</v>
      </c>
    </row>
    <row r="982" spans="1:2" x14ac:dyDescent="0.3">
      <c r="A982" s="32">
        <v>105</v>
      </c>
      <c r="B982" s="3">
        <v>6.5</v>
      </c>
    </row>
    <row r="983" spans="1:2" x14ac:dyDescent="0.3">
      <c r="A983" s="31">
        <v>102</v>
      </c>
      <c r="B983" s="4">
        <v>6.1</v>
      </c>
    </row>
    <row r="984" spans="1:2" x14ac:dyDescent="0.3">
      <c r="A984" s="32">
        <v>118</v>
      </c>
      <c r="B984" s="3">
        <v>6.3</v>
      </c>
    </row>
    <row r="985" spans="1:2" x14ac:dyDescent="0.3">
      <c r="A985" s="31">
        <v>111</v>
      </c>
      <c r="B985" s="4">
        <v>6.2</v>
      </c>
    </row>
    <row r="986" spans="1:2" x14ac:dyDescent="0.3">
      <c r="A986" s="32">
        <v>81</v>
      </c>
      <c r="B986" s="3">
        <v>5.9</v>
      </c>
    </row>
    <row r="987" spans="1:2" x14ac:dyDescent="0.3">
      <c r="A987" s="31">
        <v>116</v>
      </c>
      <c r="B987" s="4">
        <v>5.9</v>
      </c>
    </row>
    <row r="988" spans="1:2" x14ac:dyDescent="0.3">
      <c r="A988" s="32">
        <v>86</v>
      </c>
      <c r="B988" s="3">
        <v>6.5</v>
      </c>
    </row>
    <row r="989" spans="1:2" x14ac:dyDescent="0.3">
      <c r="A989" s="31">
        <v>127</v>
      </c>
      <c r="B989" s="4">
        <v>6.4</v>
      </c>
    </row>
    <row r="990" spans="1:2" x14ac:dyDescent="0.3">
      <c r="A990" s="32">
        <v>91</v>
      </c>
      <c r="B990" s="3">
        <v>6.5</v>
      </c>
    </row>
    <row r="991" spans="1:2" x14ac:dyDescent="0.3">
      <c r="A991" s="31">
        <v>98</v>
      </c>
      <c r="B991" s="4">
        <v>5.7</v>
      </c>
    </row>
    <row r="992" spans="1:2" x14ac:dyDescent="0.3">
      <c r="A992" s="32">
        <v>109</v>
      </c>
      <c r="B992" s="3">
        <v>8</v>
      </c>
    </row>
    <row r="993" spans="1:2" x14ac:dyDescent="0.3">
      <c r="A993" s="31">
        <v>93</v>
      </c>
      <c r="B993" s="4">
        <v>7.3</v>
      </c>
    </row>
    <row r="994" spans="1:2" x14ac:dyDescent="0.3">
      <c r="A994" s="32">
        <v>113</v>
      </c>
      <c r="B994" s="3">
        <v>6.7</v>
      </c>
    </row>
    <row r="995" spans="1:2" x14ac:dyDescent="0.3">
      <c r="A995" s="31">
        <v>141</v>
      </c>
      <c r="B995" s="4">
        <v>7.5</v>
      </c>
    </row>
    <row r="996" spans="1:2" x14ac:dyDescent="0.3">
      <c r="A996" s="32">
        <v>119</v>
      </c>
      <c r="B996" s="3">
        <v>5.4</v>
      </c>
    </row>
    <row r="997" spans="1:2" x14ac:dyDescent="0.3">
      <c r="A997" s="31">
        <v>97</v>
      </c>
      <c r="B997" s="4">
        <v>6.6</v>
      </c>
    </row>
    <row r="998" spans="1:2" x14ac:dyDescent="0.3">
      <c r="A998" s="32">
        <v>117</v>
      </c>
      <c r="B998" s="3">
        <v>7.7</v>
      </c>
    </row>
    <row r="999" spans="1:2" x14ac:dyDescent="0.3">
      <c r="A999" s="31">
        <v>101</v>
      </c>
      <c r="B999" s="4">
        <v>5.8</v>
      </c>
    </row>
    <row r="1000" spans="1:2" x14ac:dyDescent="0.3">
      <c r="A1000" s="32">
        <v>153</v>
      </c>
      <c r="B1000" s="3">
        <v>6.4</v>
      </c>
    </row>
    <row r="1001" spans="1:2" x14ac:dyDescent="0.3">
      <c r="A1001" s="31">
        <v>122</v>
      </c>
      <c r="B1001" s="4">
        <v>5.6</v>
      </c>
    </row>
    <row r="1002" spans="1:2" x14ac:dyDescent="0.3">
      <c r="A1002" s="32">
        <v>102</v>
      </c>
      <c r="B1002" s="3">
        <v>6</v>
      </c>
    </row>
    <row r="1003" spans="1:2" x14ac:dyDescent="0.3">
      <c r="A1003" s="31">
        <v>83</v>
      </c>
      <c r="B1003" s="4">
        <v>6.2</v>
      </c>
    </row>
    <row r="1004" spans="1:2" x14ac:dyDescent="0.3">
      <c r="A1004" s="32">
        <v>103</v>
      </c>
      <c r="B1004" s="3">
        <v>5.9</v>
      </c>
    </row>
    <row r="1005" spans="1:2" x14ac:dyDescent="0.3">
      <c r="A1005" s="31">
        <v>110</v>
      </c>
      <c r="B1005" s="4">
        <v>5.0999999999999996</v>
      </c>
    </row>
    <row r="1006" spans="1:2" x14ac:dyDescent="0.3">
      <c r="A1006" s="32">
        <v>136</v>
      </c>
      <c r="B1006" s="3">
        <v>6.8</v>
      </c>
    </row>
    <row r="1007" spans="1:2" x14ac:dyDescent="0.3">
      <c r="A1007" s="31">
        <v>89</v>
      </c>
      <c r="B1007" s="4">
        <v>6</v>
      </c>
    </row>
    <row r="1008" spans="1:2" x14ac:dyDescent="0.3">
      <c r="A1008" s="32">
        <v>107</v>
      </c>
      <c r="B1008" s="3">
        <v>5.0999999999999996</v>
      </c>
    </row>
    <row r="1009" spans="1:2" x14ac:dyDescent="0.3">
      <c r="A1009" s="31">
        <v>129</v>
      </c>
      <c r="B1009" s="4">
        <v>5.8</v>
      </c>
    </row>
    <row r="1010" spans="1:2" x14ac:dyDescent="0.3">
      <c r="A1010" s="32">
        <v>95</v>
      </c>
      <c r="B1010" s="3">
        <v>6.2</v>
      </c>
    </row>
    <row r="1011" spans="1:2" x14ac:dyDescent="0.3">
      <c r="A1011" s="31">
        <v>122</v>
      </c>
      <c r="B1011" s="4">
        <v>6.4</v>
      </c>
    </row>
    <row r="1012" spans="1:2" x14ac:dyDescent="0.3">
      <c r="A1012" s="32">
        <v>110</v>
      </c>
      <c r="B1012" s="3">
        <v>4.8</v>
      </c>
    </row>
    <row r="1013" spans="1:2" x14ac:dyDescent="0.3">
      <c r="A1013" s="31">
        <v>135</v>
      </c>
      <c r="B1013" s="4">
        <v>4.9000000000000004</v>
      </c>
    </row>
    <row r="1014" spans="1:2" x14ac:dyDescent="0.3">
      <c r="A1014" s="32">
        <v>95</v>
      </c>
      <c r="B1014" s="3">
        <v>5.6</v>
      </c>
    </row>
    <row r="1015" spans="1:2" x14ac:dyDescent="0.3">
      <c r="A1015" s="31">
        <v>109</v>
      </c>
      <c r="B1015" s="4">
        <v>5.5</v>
      </c>
    </row>
    <row r="1016" spans="1:2" x14ac:dyDescent="0.3">
      <c r="A1016" s="32">
        <v>93</v>
      </c>
      <c r="B1016" s="3">
        <v>3.7</v>
      </c>
    </row>
    <row r="1017" spans="1:2" x14ac:dyDescent="0.3">
      <c r="A1017" s="31">
        <v>94</v>
      </c>
      <c r="B1017" s="4">
        <v>5.9</v>
      </c>
    </row>
    <row r="1018" spans="1:2" x14ac:dyDescent="0.3">
      <c r="A1018" s="32">
        <v>112</v>
      </c>
      <c r="B1018" s="3">
        <v>6.3</v>
      </c>
    </row>
    <row r="1019" spans="1:2" x14ac:dyDescent="0.3">
      <c r="A1019" s="31">
        <v>111</v>
      </c>
      <c r="B1019" s="4">
        <v>7.4</v>
      </c>
    </row>
    <row r="1020" spans="1:2" x14ac:dyDescent="0.3">
      <c r="A1020" s="32">
        <v>96</v>
      </c>
      <c r="B1020" s="3">
        <v>7.6</v>
      </c>
    </row>
    <row r="1021" spans="1:2" x14ac:dyDescent="0.3">
      <c r="A1021" s="31">
        <v>141</v>
      </c>
      <c r="B1021" s="4">
        <v>8.3000000000000007</v>
      </c>
    </row>
    <row r="1022" spans="1:2" x14ac:dyDescent="0.3">
      <c r="A1022" s="32">
        <v>94</v>
      </c>
      <c r="B1022" s="3">
        <v>6.6</v>
      </c>
    </row>
    <row r="1023" spans="1:2" x14ac:dyDescent="0.3">
      <c r="A1023" s="31">
        <v>87</v>
      </c>
      <c r="B1023" s="4">
        <v>6.9</v>
      </c>
    </row>
    <row r="1024" spans="1:2" x14ac:dyDescent="0.3">
      <c r="A1024" s="32">
        <v>88</v>
      </c>
      <c r="B1024" s="3">
        <v>6.7</v>
      </c>
    </row>
    <row r="1025" spans="1:2" x14ac:dyDescent="0.3">
      <c r="A1025" s="31">
        <v>177</v>
      </c>
      <c r="B1025" s="4">
        <v>6.8</v>
      </c>
    </row>
    <row r="1026" spans="1:2" x14ac:dyDescent="0.3">
      <c r="A1026" s="32">
        <v>133</v>
      </c>
      <c r="B1026" s="3">
        <v>4.5999999999999996</v>
      </c>
    </row>
    <row r="1027" spans="1:2" x14ac:dyDescent="0.3">
      <c r="A1027" s="31">
        <v>119</v>
      </c>
      <c r="B1027" s="4">
        <v>7.1</v>
      </c>
    </row>
    <row r="1028" spans="1:2" x14ac:dyDescent="0.3">
      <c r="A1028" s="32">
        <v>102</v>
      </c>
      <c r="B1028" s="3">
        <v>6.4</v>
      </c>
    </row>
    <row r="1029" spans="1:2" x14ac:dyDescent="0.3">
      <c r="A1029" s="31">
        <v>101</v>
      </c>
      <c r="B1029" s="4">
        <v>6.4</v>
      </c>
    </row>
    <row r="1030" spans="1:2" x14ac:dyDescent="0.3">
      <c r="A1030" s="32">
        <v>91</v>
      </c>
      <c r="B1030" s="3">
        <v>7.4</v>
      </c>
    </row>
    <row r="1031" spans="1:2" x14ac:dyDescent="0.3">
      <c r="A1031" s="31">
        <v>117</v>
      </c>
      <c r="B1031" s="4">
        <v>6.4</v>
      </c>
    </row>
    <row r="1032" spans="1:2" x14ac:dyDescent="0.3">
      <c r="A1032" s="32">
        <v>86</v>
      </c>
      <c r="B1032" s="3">
        <v>6</v>
      </c>
    </row>
    <row r="1033" spans="1:2" x14ac:dyDescent="0.3">
      <c r="A1033" s="31">
        <v>124</v>
      </c>
      <c r="B1033" s="4">
        <v>6.5</v>
      </c>
    </row>
    <row r="1034" spans="1:2" x14ac:dyDescent="0.3">
      <c r="A1034" s="32">
        <v>134</v>
      </c>
      <c r="B1034" s="3">
        <v>7.8</v>
      </c>
    </row>
    <row r="1035" spans="1:2" x14ac:dyDescent="0.3">
      <c r="A1035" s="31">
        <v>100</v>
      </c>
      <c r="B1035" s="4">
        <v>6</v>
      </c>
    </row>
    <row r="1036" spans="1:2" x14ac:dyDescent="0.3">
      <c r="A1036" s="32">
        <v>220</v>
      </c>
      <c r="B1036" s="3">
        <v>7</v>
      </c>
    </row>
    <row r="1037" spans="1:2" x14ac:dyDescent="0.3">
      <c r="A1037" s="31">
        <v>212</v>
      </c>
      <c r="B1037" s="4">
        <v>6</v>
      </c>
    </row>
    <row r="1038" spans="1:2" x14ac:dyDescent="0.3">
      <c r="A1038" s="32">
        <v>128</v>
      </c>
      <c r="B1038" s="3">
        <v>7.8</v>
      </c>
    </row>
    <row r="1039" spans="1:2" x14ac:dyDescent="0.3">
      <c r="A1039" s="31">
        <v>106</v>
      </c>
      <c r="B1039" s="4">
        <v>6.1</v>
      </c>
    </row>
    <row r="1040" spans="1:2" x14ac:dyDescent="0.3">
      <c r="A1040" s="32">
        <v>160</v>
      </c>
      <c r="B1040" s="3">
        <v>6.8</v>
      </c>
    </row>
    <row r="1041" spans="1:2" x14ac:dyDescent="0.3">
      <c r="A1041" s="31">
        <v>114</v>
      </c>
      <c r="B1041" s="4">
        <v>6.4</v>
      </c>
    </row>
    <row r="1042" spans="1:2" x14ac:dyDescent="0.3">
      <c r="A1042" s="32">
        <v>99</v>
      </c>
      <c r="B1042" s="3">
        <v>7.7</v>
      </c>
    </row>
    <row r="1043" spans="1:2" x14ac:dyDescent="0.3">
      <c r="A1043" s="31">
        <v>74</v>
      </c>
      <c r="B1043" s="4">
        <v>8.1</v>
      </c>
    </row>
    <row r="1044" spans="1:2" x14ac:dyDescent="0.3">
      <c r="A1044" s="32">
        <v>139</v>
      </c>
      <c r="B1044" s="3">
        <v>4.5</v>
      </c>
    </row>
    <row r="1045" spans="1:2" x14ac:dyDescent="0.3">
      <c r="A1045" s="31">
        <v>103</v>
      </c>
      <c r="B1045" s="4">
        <v>5.8</v>
      </c>
    </row>
    <row r="1046" spans="1:2" x14ac:dyDescent="0.3">
      <c r="A1046" s="32">
        <v>101</v>
      </c>
      <c r="B1046" s="3">
        <v>6.3</v>
      </c>
    </row>
    <row r="1047" spans="1:2" x14ac:dyDescent="0.3">
      <c r="A1047" s="31">
        <v>130</v>
      </c>
      <c r="B1047" s="4">
        <v>5.7</v>
      </c>
    </row>
    <row r="1048" spans="1:2" x14ac:dyDescent="0.3">
      <c r="A1048" s="32">
        <v>130</v>
      </c>
      <c r="B1048" s="3">
        <v>7.2</v>
      </c>
    </row>
    <row r="1049" spans="1:2" x14ac:dyDescent="0.3">
      <c r="A1049" s="31">
        <v>110</v>
      </c>
      <c r="B1049" s="4">
        <v>7.6</v>
      </c>
    </row>
    <row r="1050" spans="1:2" x14ac:dyDescent="0.3">
      <c r="A1050" s="32">
        <v>147</v>
      </c>
      <c r="B1050" s="3">
        <v>4.7</v>
      </c>
    </row>
    <row r="1051" spans="1:2" x14ac:dyDescent="0.3">
      <c r="A1051" s="31">
        <v>96</v>
      </c>
      <c r="B1051" s="4">
        <v>6.6</v>
      </c>
    </row>
    <row r="1052" spans="1:2" x14ac:dyDescent="0.3">
      <c r="A1052" s="32">
        <v>118</v>
      </c>
      <c r="B1052" s="3">
        <v>6.8</v>
      </c>
    </row>
    <row r="1053" spans="1:2" x14ac:dyDescent="0.3">
      <c r="A1053" s="31">
        <v>88</v>
      </c>
      <c r="B1053" s="4">
        <v>7.3</v>
      </c>
    </row>
    <row r="1054" spans="1:2" x14ac:dyDescent="0.3">
      <c r="A1054" s="32">
        <v>325</v>
      </c>
      <c r="B1054" s="3">
        <v>2.7</v>
      </c>
    </row>
    <row r="1055" spans="1:2" x14ac:dyDescent="0.3">
      <c r="A1055" s="31">
        <v>102</v>
      </c>
      <c r="B1055" s="4">
        <v>4.8</v>
      </c>
    </row>
    <row r="1056" spans="1:2" x14ac:dyDescent="0.3">
      <c r="A1056" s="32">
        <v>110</v>
      </c>
      <c r="B1056" s="3">
        <v>6.3</v>
      </c>
    </row>
    <row r="1057" spans="1:2" x14ac:dyDescent="0.3">
      <c r="A1057" s="31">
        <v>136</v>
      </c>
      <c r="B1057" s="4">
        <v>5.5</v>
      </c>
    </row>
    <row r="1058" spans="1:2" x14ac:dyDescent="0.3">
      <c r="A1058" s="32">
        <v>103</v>
      </c>
      <c r="B1058" s="3">
        <v>6.2</v>
      </c>
    </row>
    <row r="1059" spans="1:2" x14ac:dyDescent="0.3">
      <c r="A1059" s="31">
        <v>103</v>
      </c>
      <c r="B1059" s="4">
        <v>5.8</v>
      </c>
    </row>
    <row r="1060" spans="1:2" x14ac:dyDescent="0.3">
      <c r="A1060" s="32">
        <v>90</v>
      </c>
      <c r="B1060" s="3">
        <v>5.7</v>
      </c>
    </row>
    <row r="1061" spans="1:2" x14ac:dyDescent="0.3">
      <c r="A1061" s="31">
        <v>154</v>
      </c>
      <c r="B1061" s="4">
        <v>6.5</v>
      </c>
    </row>
    <row r="1062" spans="1:2" x14ac:dyDescent="0.3">
      <c r="A1062" s="32">
        <v>99</v>
      </c>
      <c r="B1062" s="3">
        <v>6.7</v>
      </c>
    </row>
    <row r="1063" spans="1:2" x14ac:dyDescent="0.3">
      <c r="A1063" s="31">
        <v>93</v>
      </c>
      <c r="B1063" s="4">
        <v>7.4</v>
      </c>
    </row>
    <row r="1064" spans="1:2" x14ac:dyDescent="0.3">
      <c r="A1064" s="32">
        <v>109</v>
      </c>
      <c r="B1064" s="3">
        <v>6.9</v>
      </c>
    </row>
    <row r="1065" spans="1:2" x14ac:dyDescent="0.3">
      <c r="A1065" s="31">
        <v>124</v>
      </c>
      <c r="B1065" s="4">
        <v>5.5</v>
      </c>
    </row>
    <row r="1066" spans="1:2" x14ac:dyDescent="0.3">
      <c r="A1066" s="32">
        <v>84</v>
      </c>
      <c r="B1066" s="3">
        <v>8.1</v>
      </c>
    </row>
    <row r="1067" spans="1:2" x14ac:dyDescent="0.3">
      <c r="A1067" s="31">
        <v>90</v>
      </c>
      <c r="B1067" s="4">
        <v>7.7</v>
      </c>
    </row>
    <row r="1068" spans="1:2" x14ac:dyDescent="0.3">
      <c r="A1068" s="32">
        <v>117</v>
      </c>
      <c r="B1068" s="3">
        <v>7.3</v>
      </c>
    </row>
    <row r="1069" spans="1:2" x14ac:dyDescent="0.3">
      <c r="A1069" s="31">
        <v>123</v>
      </c>
      <c r="B1069" s="4">
        <v>5.2</v>
      </c>
    </row>
    <row r="1070" spans="1:2" x14ac:dyDescent="0.3">
      <c r="A1070" s="32">
        <v>251</v>
      </c>
      <c r="B1070" s="3">
        <v>7.1</v>
      </c>
    </row>
    <row r="1071" spans="1:2" x14ac:dyDescent="0.3">
      <c r="A1071" s="31">
        <v>105</v>
      </c>
      <c r="B1071" s="4">
        <v>7.1</v>
      </c>
    </row>
    <row r="1072" spans="1:2" x14ac:dyDescent="0.3">
      <c r="A1072" s="32">
        <v>115</v>
      </c>
      <c r="B1072" s="3">
        <v>7.2</v>
      </c>
    </row>
    <row r="1073" spans="1:2" x14ac:dyDescent="0.3">
      <c r="A1073" s="31">
        <v>122</v>
      </c>
      <c r="B1073" s="4">
        <v>6.5</v>
      </c>
    </row>
    <row r="1074" spans="1:2" x14ac:dyDescent="0.3">
      <c r="A1074" s="32">
        <v>119</v>
      </c>
      <c r="B1074" s="3">
        <v>4.5999999999999996</v>
      </c>
    </row>
    <row r="1075" spans="1:2" x14ac:dyDescent="0.3">
      <c r="A1075" s="31">
        <v>81</v>
      </c>
      <c r="B1075" s="4">
        <v>5.6</v>
      </c>
    </row>
    <row r="1076" spans="1:2" x14ac:dyDescent="0.3">
      <c r="A1076" s="32">
        <v>133</v>
      </c>
      <c r="B1076" s="3">
        <v>7.7</v>
      </c>
    </row>
    <row r="1077" spans="1:2" x14ac:dyDescent="0.3">
      <c r="A1077" s="31">
        <v>100</v>
      </c>
      <c r="B1077" s="4">
        <v>7.2</v>
      </c>
    </row>
    <row r="1078" spans="1:2" x14ac:dyDescent="0.3">
      <c r="A1078" s="32">
        <v>120</v>
      </c>
      <c r="B1078" s="3">
        <v>6.8</v>
      </c>
    </row>
    <row r="1079" spans="1:2" x14ac:dyDescent="0.3">
      <c r="A1079" s="31">
        <v>104</v>
      </c>
      <c r="B1079" s="4">
        <v>5.4</v>
      </c>
    </row>
    <row r="1080" spans="1:2" x14ac:dyDescent="0.3">
      <c r="A1080" s="32">
        <v>122</v>
      </c>
      <c r="B1080" s="3">
        <v>6.3</v>
      </c>
    </row>
    <row r="1081" spans="1:2" x14ac:dyDescent="0.3">
      <c r="A1081" s="31">
        <v>80</v>
      </c>
      <c r="B1081" s="4">
        <v>7.2</v>
      </c>
    </row>
    <row r="1082" spans="1:2" x14ac:dyDescent="0.3">
      <c r="A1082" s="32">
        <v>91</v>
      </c>
      <c r="B1082" s="3">
        <v>5.6</v>
      </c>
    </row>
    <row r="1083" spans="1:2" x14ac:dyDescent="0.3">
      <c r="A1083" s="31">
        <v>112</v>
      </c>
      <c r="B1083" s="4">
        <v>6.8</v>
      </c>
    </row>
    <row r="1084" spans="1:2" x14ac:dyDescent="0.3">
      <c r="A1084" s="32">
        <v>100</v>
      </c>
      <c r="B1084" s="3">
        <v>4.3</v>
      </c>
    </row>
    <row r="1085" spans="1:2" x14ac:dyDescent="0.3">
      <c r="A1085" s="31">
        <v>105</v>
      </c>
      <c r="B1085" s="4">
        <v>6.3</v>
      </c>
    </row>
    <row r="1086" spans="1:2" x14ac:dyDescent="0.3">
      <c r="A1086" s="32">
        <v>110</v>
      </c>
      <c r="B1086" s="3">
        <v>6.5</v>
      </c>
    </row>
    <row r="1087" spans="1:2" x14ac:dyDescent="0.3">
      <c r="A1087" s="31">
        <v>144</v>
      </c>
      <c r="B1087" s="4">
        <v>6.4</v>
      </c>
    </row>
    <row r="1088" spans="1:2" x14ac:dyDescent="0.3">
      <c r="A1088" s="32">
        <v>108</v>
      </c>
      <c r="B1088" s="3">
        <v>6.3</v>
      </c>
    </row>
    <row r="1089" spans="1:2" x14ac:dyDescent="0.3">
      <c r="A1089" s="31">
        <v>107</v>
      </c>
      <c r="B1089" s="4">
        <v>5.9</v>
      </c>
    </row>
    <row r="1090" spans="1:2" x14ac:dyDescent="0.3">
      <c r="A1090" s="32">
        <v>102</v>
      </c>
      <c r="B1090" s="3">
        <v>6.5</v>
      </c>
    </row>
    <row r="1091" spans="1:2" x14ac:dyDescent="0.3">
      <c r="A1091" s="31">
        <v>100</v>
      </c>
      <c r="B1091" s="4">
        <v>6.5</v>
      </c>
    </row>
    <row r="1092" spans="1:2" x14ac:dyDescent="0.3">
      <c r="A1092" s="32">
        <v>126</v>
      </c>
      <c r="B1092" s="3">
        <v>6.1</v>
      </c>
    </row>
    <row r="1093" spans="1:2" x14ac:dyDescent="0.3">
      <c r="A1093" s="31">
        <v>138</v>
      </c>
      <c r="B1093" s="4">
        <v>5.9</v>
      </c>
    </row>
    <row r="1094" spans="1:2" x14ac:dyDescent="0.3">
      <c r="A1094" s="32">
        <v>108</v>
      </c>
      <c r="B1094" s="3">
        <v>6.6</v>
      </c>
    </row>
    <row r="1095" spans="1:2" x14ac:dyDescent="0.3">
      <c r="A1095" s="31">
        <v>105</v>
      </c>
      <c r="B1095" s="4">
        <v>7.4</v>
      </c>
    </row>
    <row r="1096" spans="1:2" x14ac:dyDescent="0.3">
      <c r="A1096" s="32">
        <v>108</v>
      </c>
      <c r="B1096" s="3">
        <v>7.3</v>
      </c>
    </row>
    <row r="1097" spans="1:2" x14ac:dyDescent="0.3">
      <c r="A1097" s="31">
        <v>89</v>
      </c>
      <c r="B1097" s="4">
        <v>6.6</v>
      </c>
    </row>
    <row r="1098" spans="1:2" x14ac:dyDescent="0.3">
      <c r="A1098" s="32">
        <v>129</v>
      </c>
      <c r="B1098" s="3">
        <v>5.6</v>
      </c>
    </row>
    <row r="1099" spans="1:2" x14ac:dyDescent="0.3">
      <c r="A1099" s="31">
        <v>84</v>
      </c>
      <c r="B1099" s="4">
        <v>5.3</v>
      </c>
    </row>
    <row r="1100" spans="1:2" x14ac:dyDescent="0.3">
      <c r="A1100" s="32">
        <v>149</v>
      </c>
      <c r="B1100" s="3">
        <v>6</v>
      </c>
    </row>
    <row r="1101" spans="1:2" x14ac:dyDescent="0.3">
      <c r="A1101" s="31">
        <v>94</v>
      </c>
      <c r="B1101" s="4">
        <v>5.4</v>
      </c>
    </row>
    <row r="1102" spans="1:2" x14ac:dyDescent="0.3">
      <c r="A1102" s="32">
        <v>121</v>
      </c>
      <c r="B1102" s="3">
        <v>6.8</v>
      </c>
    </row>
    <row r="1103" spans="1:2" x14ac:dyDescent="0.3">
      <c r="A1103" s="31">
        <v>128</v>
      </c>
      <c r="B1103" s="4">
        <v>6.4</v>
      </c>
    </row>
    <row r="1104" spans="1:2" x14ac:dyDescent="0.3">
      <c r="A1104" s="32">
        <v>134</v>
      </c>
      <c r="B1104" s="3">
        <v>7.1</v>
      </c>
    </row>
    <row r="1105" spans="1:2" x14ac:dyDescent="0.3">
      <c r="A1105" s="31">
        <v>120</v>
      </c>
      <c r="B1105" s="4">
        <v>4.9000000000000004</v>
      </c>
    </row>
    <row r="1106" spans="1:2" x14ac:dyDescent="0.3">
      <c r="A1106" s="32">
        <v>129</v>
      </c>
      <c r="B1106" s="3">
        <v>5.8</v>
      </c>
    </row>
    <row r="1107" spans="1:2" x14ac:dyDescent="0.3">
      <c r="A1107" s="31">
        <v>89</v>
      </c>
      <c r="B1107" s="4">
        <v>7.1</v>
      </c>
    </row>
    <row r="1108" spans="1:2" x14ac:dyDescent="0.3">
      <c r="A1108" s="32">
        <v>116</v>
      </c>
      <c r="B1108" s="3">
        <v>7.2</v>
      </c>
    </row>
    <row r="1109" spans="1:2" x14ac:dyDescent="0.3">
      <c r="A1109" s="31">
        <v>118</v>
      </c>
      <c r="B1109" s="4">
        <v>6</v>
      </c>
    </row>
    <row r="1110" spans="1:2" x14ac:dyDescent="0.3">
      <c r="A1110" s="32">
        <v>107</v>
      </c>
      <c r="B1110" s="3">
        <v>6</v>
      </c>
    </row>
    <row r="1111" spans="1:2" x14ac:dyDescent="0.3">
      <c r="A1111" s="31">
        <v>155</v>
      </c>
      <c r="B1111" s="4">
        <v>7</v>
      </c>
    </row>
    <row r="1112" spans="1:2" x14ac:dyDescent="0.3">
      <c r="A1112" s="32">
        <v>123</v>
      </c>
      <c r="B1112" s="3">
        <v>5.4</v>
      </c>
    </row>
    <row r="1113" spans="1:2" x14ac:dyDescent="0.3">
      <c r="A1113" s="31">
        <v>128</v>
      </c>
      <c r="B1113" s="4">
        <v>6.5</v>
      </c>
    </row>
    <row r="1114" spans="1:2" x14ac:dyDescent="0.3">
      <c r="A1114" s="32">
        <v>139</v>
      </c>
      <c r="B1114" s="3">
        <v>6.4</v>
      </c>
    </row>
    <row r="1115" spans="1:2" x14ac:dyDescent="0.3">
      <c r="A1115" s="31">
        <v>120</v>
      </c>
      <c r="B1115" s="4">
        <v>4.9000000000000004</v>
      </c>
    </row>
    <row r="1116" spans="1:2" x14ac:dyDescent="0.3">
      <c r="A1116" s="32">
        <v>121</v>
      </c>
      <c r="B1116" s="3">
        <v>6.3</v>
      </c>
    </row>
    <row r="1117" spans="1:2" x14ac:dyDescent="0.3">
      <c r="A1117" s="31">
        <v>102</v>
      </c>
      <c r="B1117" s="4">
        <v>1.7</v>
      </c>
    </row>
    <row r="1118" spans="1:2" x14ac:dyDescent="0.3">
      <c r="A1118" s="32">
        <v>117</v>
      </c>
      <c r="B1118" s="3">
        <v>7.7</v>
      </c>
    </row>
    <row r="1119" spans="1:2" x14ac:dyDescent="0.3">
      <c r="A1119" s="31">
        <v>178</v>
      </c>
      <c r="B1119" s="4">
        <v>7.8</v>
      </c>
    </row>
    <row r="1120" spans="1:2" x14ac:dyDescent="0.3">
      <c r="A1120" s="32">
        <v>147</v>
      </c>
      <c r="B1120" s="3">
        <v>5.5</v>
      </c>
    </row>
    <row r="1121" spans="1:2" x14ac:dyDescent="0.3">
      <c r="A1121" s="31">
        <v>90</v>
      </c>
      <c r="B1121" s="4">
        <v>7.5</v>
      </c>
    </row>
    <row r="1122" spans="1:2" x14ac:dyDescent="0.3">
      <c r="A1122" s="32">
        <v>105</v>
      </c>
      <c r="B1122" s="3">
        <v>6.4</v>
      </c>
    </row>
    <row r="1123" spans="1:2" x14ac:dyDescent="0.3">
      <c r="A1123" s="31">
        <v>114</v>
      </c>
      <c r="B1123" s="4">
        <v>5.6</v>
      </c>
    </row>
    <row r="1124" spans="1:2" x14ac:dyDescent="0.3">
      <c r="A1124" s="32">
        <v>206</v>
      </c>
      <c r="B1124" s="3">
        <v>7.5</v>
      </c>
    </row>
    <row r="1125" spans="1:2" x14ac:dyDescent="0.3">
      <c r="A1125" s="31">
        <v>99</v>
      </c>
      <c r="B1125" s="4">
        <v>6.8</v>
      </c>
    </row>
    <row r="1126" spans="1:2" x14ac:dyDescent="0.3">
      <c r="A1126" s="32">
        <v>123</v>
      </c>
      <c r="B1126" s="3">
        <v>6.8</v>
      </c>
    </row>
    <row r="1127" spans="1:2" x14ac:dyDescent="0.3">
      <c r="A1127" s="31">
        <v>102</v>
      </c>
      <c r="B1127" s="4">
        <v>6</v>
      </c>
    </row>
    <row r="1128" spans="1:2" x14ac:dyDescent="0.3">
      <c r="A1128" s="32">
        <v>109</v>
      </c>
      <c r="B1128" s="3">
        <v>7.3</v>
      </c>
    </row>
    <row r="1129" spans="1:2" x14ac:dyDescent="0.3">
      <c r="A1129" s="31">
        <v>82</v>
      </c>
      <c r="B1129" s="4">
        <v>6</v>
      </c>
    </row>
    <row r="1130" spans="1:2" x14ac:dyDescent="0.3">
      <c r="A1130" s="32">
        <v>142</v>
      </c>
      <c r="B1130" s="3">
        <v>7</v>
      </c>
    </row>
    <row r="1131" spans="1:2" x14ac:dyDescent="0.3">
      <c r="A1131" s="31">
        <v>106</v>
      </c>
      <c r="B1131" s="4">
        <v>5.0999999999999996</v>
      </c>
    </row>
    <row r="1132" spans="1:2" x14ac:dyDescent="0.3">
      <c r="A1132" s="32">
        <v>106</v>
      </c>
      <c r="B1132" s="3">
        <v>6.8</v>
      </c>
    </row>
    <row r="1133" spans="1:2" x14ac:dyDescent="0.3">
      <c r="A1133" s="31">
        <v>108</v>
      </c>
      <c r="B1133" s="4">
        <v>6.5</v>
      </c>
    </row>
    <row r="1134" spans="1:2" x14ac:dyDescent="0.3">
      <c r="A1134" s="32">
        <v>98</v>
      </c>
      <c r="B1134" s="3">
        <v>6.6</v>
      </c>
    </row>
    <row r="1135" spans="1:2" x14ac:dyDescent="0.3">
      <c r="A1135" s="31">
        <v>131</v>
      </c>
      <c r="B1135" s="4">
        <v>7.2</v>
      </c>
    </row>
    <row r="1136" spans="1:2" x14ac:dyDescent="0.3">
      <c r="A1136" s="32">
        <v>118</v>
      </c>
      <c r="B1136" s="3">
        <v>7</v>
      </c>
    </row>
    <row r="1137" spans="1:2" x14ac:dyDescent="0.3">
      <c r="A1137" s="31">
        <v>113</v>
      </c>
      <c r="B1137" s="4">
        <v>7</v>
      </c>
    </row>
    <row r="1138" spans="1:2" x14ac:dyDescent="0.3">
      <c r="A1138" s="32">
        <v>130</v>
      </c>
      <c r="B1138" s="3">
        <v>5.9</v>
      </c>
    </row>
    <row r="1139" spans="1:2" x14ac:dyDescent="0.3">
      <c r="A1139" s="31">
        <v>116</v>
      </c>
      <c r="B1139" s="4">
        <v>5.4</v>
      </c>
    </row>
    <row r="1140" spans="1:2" x14ac:dyDescent="0.3">
      <c r="A1140" s="32">
        <v>89</v>
      </c>
      <c r="B1140" s="3">
        <v>6.6</v>
      </c>
    </row>
    <row r="1141" spans="1:2" x14ac:dyDescent="0.3">
      <c r="A1141" s="31">
        <v>139</v>
      </c>
      <c r="B1141" s="4">
        <v>7</v>
      </c>
    </row>
    <row r="1142" spans="1:2" x14ac:dyDescent="0.3">
      <c r="A1142" s="32">
        <v>130</v>
      </c>
      <c r="B1142" s="3">
        <v>6.5</v>
      </c>
    </row>
    <row r="1143" spans="1:2" x14ac:dyDescent="0.3">
      <c r="A1143" s="31">
        <v>107</v>
      </c>
      <c r="B1143" s="4">
        <v>6.3</v>
      </c>
    </row>
    <row r="1144" spans="1:2" x14ac:dyDescent="0.3">
      <c r="A1144" s="32">
        <v>116</v>
      </c>
      <c r="B1144" s="3">
        <v>6.5</v>
      </c>
    </row>
    <row r="1145" spans="1:2" x14ac:dyDescent="0.3">
      <c r="A1145" s="31">
        <v>96</v>
      </c>
      <c r="B1145" s="4">
        <v>6.5</v>
      </c>
    </row>
    <row r="1146" spans="1:2" x14ac:dyDescent="0.3">
      <c r="A1146" s="32">
        <v>99</v>
      </c>
      <c r="B1146" s="3">
        <v>5.8</v>
      </c>
    </row>
    <row r="1147" spans="1:2" x14ac:dyDescent="0.3">
      <c r="A1147" s="31">
        <v>104</v>
      </c>
      <c r="B1147" s="4">
        <v>6.6</v>
      </c>
    </row>
    <row r="1148" spans="1:2" x14ac:dyDescent="0.3">
      <c r="A1148" s="32">
        <v>105</v>
      </c>
      <c r="B1148" s="3">
        <v>5.4</v>
      </c>
    </row>
    <row r="1149" spans="1:2" x14ac:dyDescent="0.3">
      <c r="A1149" s="31">
        <v>101</v>
      </c>
      <c r="B1149" s="4">
        <v>6.1</v>
      </c>
    </row>
    <row r="1150" spans="1:2" x14ac:dyDescent="0.3">
      <c r="A1150" s="32">
        <v>134</v>
      </c>
      <c r="B1150" s="3">
        <v>4</v>
      </c>
    </row>
    <row r="1151" spans="1:2" x14ac:dyDescent="0.3">
      <c r="A1151" s="31">
        <v>135</v>
      </c>
      <c r="B1151" s="4">
        <v>7.6</v>
      </c>
    </row>
    <row r="1152" spans="1:2" x14ac:dyDescent="0.3">
      <c r="A1152" s="32">
        <v>98</v>
      </c>
      <c r="B1152" s="3">
        <v>7.9</v>
      </c>
    </row>
    <row r="1153" spans="1:2" x14ac:dyDescent="0.3">
      <c r="A1153" s="31">
        <v>155</v>
      </c>
      <c r="B1153" s="4">
        <v>5.3</v>
      </c>
    </row>
    <row r="1154" spans="1:2" x14ac:dyDescent="0.3">
      <c r="A1154" s="32">
        <v>106</v>
      </c>
      <c r="B1154" s="3">
        <v>6.6</v>
      </c>
    </row>
    <row r="1155" spans="1:2" x14ac:dyDescent="0.3">
      <c r="A1155" s="31">
        <v>102</v>
      </c>
      <c r="B1155" s="4">
        <v>6.3</v>
      </c>
    </row>
    <row r="1156" spans="1:2" x14ac:dyDescent="0.3">
      <c r="A1156" s="32">
        <v>103</v>
      </c>
      <c r="B1156" s="3">
        <v>7.2</v>
      </c>
    </row>
    <row r="1157" spans="1:2" x14ac:dyDescent="0.3">
      <c r="A1157" s="31">
        <v>109</v>
      </c>
      <c r="B1157" s="4">
        <v>7</v>
      </c>
    </row>
    <row r="1158" spans="1:2" x14ac:dyDescent="0.3">
      <c r="A1158" s="32">
        <v>95</v>
      </c>
      <c r="B1158" s="3">
        <v>4.9000000000000004</v>
      </c>
    </row>
    <row r="1159" spans="1:2" x14ac:dyDescent="0.3">
      <c r="A1159" s="31">
        <v>111</v>
      </c>
      <c r="B1159" s="4">
        <v>6.9</v>
      </c>
    </row>
    <row r="1160" spans="1:2" x14ac:dyDescent="0.3">
      <c r="A1160" s="32">
        <v>123</v>
      </c>
      <c r="B1160" s="3">
        <v>5.2</v>
      </c>
    </row>
    <row r="1161" spans="1:2" x14ac:dyDescent="0.3">
      <c r="A1161" s="31">
        <v>140</v>
      </c>
      <c r="B1161" s="4">
        <v>8.1</v>
      </c>
    </row>
    <row r="1162" spans="1:2" x14ac:dyDescent="0.3">
      <c r="A1162" s="32">
        <v>94</v>
      </c>
      <c r="B1162" s="3">
        <v>6.6</v>
      </c>
    </row>
    <row r="1163" spans="1:2" x14ac:dyDescent="0.3">
      <c r="A1163" s="31">
        <v>94</v>
      </c>
      <c r="B1163" s="4">
        <v>6.2</v>
      </c>
    </row>
    <row r="1164" spans="1:2" x14ac:dyDescent="0.3">
      <c r="A1164" s="32">
        <v>92</v>
      </c>
      <c r="B1164" s="3">
        <v>7.2</v>
      </c>
    </row>
    <row r="1165" spans="1:2" x14ac:dyDescent="0.3">
      <c r="A1165" s="31">
        <v>102</v>
      </c>
      <c r="B1165" s="4">
        <v>7.3</v>
      </c>
    </row>
    <row r="1166" spans="1:2" x14ac:dyDescent="0.3">
      <c r="A1166" s="32">
        <v>123</v>
      </c>
      <c r="B1166" s="3">
        <v>6.7</v>
      </c>
    </row>
    <row r="1167" spans="1:2" x14ac:dyDescent="0.3">
      <c r="A1167" s="31">
        <v>104</v>
      </c>
      <c r="B1167" s="4">
        <v>6.4</v>
      </c>
    </row>
    <row r="1168" spans="1:2" x14ac:dyDescent="0.3">
      <c r="A1168" s="32">
        <v>102</v>
      </c>
      <c r="B1168" s="3">
        <v>7.8</v>
      </c>
    </row>
    <row r="1169" spans="1:2" x14ac:dyDescent="0.3">
      <c r="A1169" s="31">
        <v>136</v>
      </c>
      <c r="B1169" s="4">
        <v>6.4</v>
      </c>
    </row>
    <row r="1170" spans="1:2" x14ac:dyDescent="0.3">
      <c r="A1170" s="32">
        <v>93</v>
      </c>
      <c r="B1170" s="3">
        <v>4.0999999999999996</v>
      </c>
    </row>
    <row r="1171" spans="1:2" x14ac:dyDescent="0.3">
      <c r="A1171" s="31">
        <v>129</v>
      </c>
      <c r="B1171" s="4">
        <v>4.0999999999999996</v>
      </c>
    </row>
    <row r="1172" spans="1:2" x14ac:dyDescent="0.3">
      <c r="A1172" s="32">
        <v>107</v>
      </c>
      <c r="B1172" s="3">
        <v>7.4</v>
      </c>
    </row>
    <row r="1173" spans="1:2" x14ac:dyDescent="0.3">
      <c r="A1173" s="31">
        <v>117</v>
      </c>
      <c r="B1173" s="4">
        <v>5.8</v>
      </c>
    </row>
    <row r="1174" spans="1:2" x14ac:dyDescent="0.3">
      <c r="A1174" s="32">
        <v>116</v>
      </c>
      <c r="B1174" s="3">
        <v>7.6</v>
      </c>
    </row>
    <row r="1175" spans="1:2" x14ac:dyDescent="0.3">
      <c r="A1175" s="31">
        <v>135</v>
      </c>
      <c r="B1175" s="4">
        <v>7.2</v>
      </c>
    </row>
    <row r="1176" spans="1:2" x14ac:dyDescent="0.3">
      <c r="A1176" s="32">
        <v>107</v>
      </c>
      <c r="B1176" s="3">
        <v>7.8</v>
      </c>
    </row>
    <row r="1177" spans="1:2" x14ac:dyDescent="0.3">
      <c r="A1177" s="31">
        <v>90</v>
      </c>
      <c r="B1177" s="4">
        <v>7.7</v>
      </c>
    </row>
    <row r="1178" spans="1:2" x14ac:dyDescent="0.3">
      <c r="A1178" s="32">
        <v>99</v>
      </c>
      <c r="B1178" s="3">
        <v>6.4</v>
      </c>
    </row>
    <row r="1179" spans="1:2" x14ac:dyDescent="0.3">
      <c r="A1179" s="31">
        <v>104</v>
      </c>
      <c r="B1179" s="4">
        <v>5.0999999999999996</v>
      </c>
    </row>
    <row r="1180" spans="1:2" x14ac:dyDescent="0.3">
      <c r="A1180" s="32">
        <v>115</v>
      </c>
      <c r="B1180" s="3">
        <v>5.5</v>
      </c>
    </row>
    <row r="1181" spans="1:2" x14ac:dyDescent="0.3">
      <c r="A1181" s="31">
        <v>119</v>
      </c>
      <c r="B1181" s="4">
        <v>7.4</v>
      </c>
    </row>
    <row r="1182" spans="1:2" x14ac:dyDescent="0.3">
      <c r="A1182" s="32">
        <v>99</v>
      </c>
      <c r="B1182" s="3">
        <v>6</v>
      </c>
    </row>
    <row r="1183" spans="1:2" x14ac:dyDescent="0.3">
      <c r="A1183" s="31">
        <v>112</v>
      </c>
      <c r="B1183" s="4">
        <v>7.5</v>
      </c>
    </row>
    <row r="1184" spans="1:2" x14ac:dyDescent="0.3">
      <c r="A1184" s="32">
        <v>128</v>
      </c>
      <c r="B1184" s="3">
        <v>7</v>
      </c>
    </row>
    <row r="1185" spans="1:2" x14ac:dyDescent="0.3">
      <c r="A1185" s="31">
        <v>112</v>
      </c>
      <c r="B1185" s="4">
        <v>7.5</v>
      </c>
    </row>
    <row r="1186" spans="1:2" x14ac:dyDescent="0.3">
      <c r="A1186" s="32">
        <v>86</v>
      </c>
      <c r="B1186" s="3">
        <v>7.3</v>
      </c>
    </row>
    <row r="1187" spans="1:2" x14ac:dyDescent="0.3">
      <c r="A1187" s="31">
        <v>108</v>
      </c>
      <c r="B1187" s="4">
        <v>5.7</v>
      </c>
    </row>
    <row r="1188" spans="1:2" x14ac:dyDescent="0.3">
      <c r="A1188" s="32">
        <v>128</v>
      </c>
      <c r="B1188" s="3">
        <v>7.3</v>
      </c>
    </row>
    <row r="1189" spans="1:2" x14ac:dyDescent="0.3">
      <c r="A1189" s="31">
        <v>84</v>
      </c>
      <c r="B1189" s="4">
        <v>7.2</v>
      </c>
    </row>
    <row r="1190" spans="1:2" x14ac:dyDescent="0.3">
      <c r="A1190" s="32">
        <v>111</v>
      </c>
      <c r="B1190" s="3">
        <v>5.9</v>
      </c>
    </row>
    <row r="1191" spans="1:2" x14ac:dyDescent="0.3">
      <c r="A1191" s="31">
        <v>131</v>
      </c>
      <c r="B1191" s="4">
        <v>7.8</v>
      </c>
    </row>
    <row r="1192" spans="1:2" x14ac:dyDescent="0.3">
      <c r="A1192" s="32">
        <v>123</v>
      </c>
      <c r="B1192" s="3">
        <v>7.7</v>
      </c>
    </row>
    <row r="1193" spans="1:2" x14ac:dyDescent="0.3">
      <c r="A1193" s="31">
        <v>101</v>
      </c>
      <c r="B1193" s="4">
        <v>8.1</v>
      </c>
    </row>
    <row r="1194" spans="1:2" x14ac:dyDescent="0.3">
      <c r="A1194" s="32">
        <v>102</v>
      </c>
      <c r="B1194" s="3">
        <v>6.6</v>
      </c>
    </row>
    <row r="1195" spans="1:2" x14ac:dyDescent="0.3">
      <c r="A1195" s="31">
        <v>114</v>
      </c>
      <c r="B1195" s="4">
        <v>7.1</v>
      </c>
    </row>
    <row r="1196" spans="1:2" x14ac:dyDescent="0.3">
      <c r="A1196" s="32">
        <v>107</v>
      </c>
      <c r="B1196" s="3">
        <v>5.9</v>
      </c>
    </row>
    <row r="1197" spans="1:2" x14ac:dyDescent="0.3">
      <c r="A1197" s="31">
        <v>87</v>
      </c>
      <c r="B1197" s="4">
        <v>8</v>
      </c>
    </row>
    <row r="1198" spans="1:2" x14ac:dyDescent="0.3">
      <c r="A1198" s="32">
        <v>103</v>
      </c>
      <c r="B1198" s="3">
        <v>4.5999999999999996</v>
      </c>
    </row>
    <row r="1199" spans="1:2" x14ac:dyDescent="0.3">
      <c r="A1199" s="31">
        <v>99</v>
      </c>
      <c r="B1199" s="4">
        <v>6.1</v>
      </c>
    </row>
    <row r="1200" spans="1:2" x14ac:dyDescent="0.3">
      <c r="A1200" s="32">
        <v>122</v>
      </c>
      <c r="B1200" s="3">
        <v>7.2</v>
      </c>
    </row>
    <row r="1201" spans="1:2" x14ac:dyDescent="0.3">
      <c r="A1201" s="31">
        <v>91</v>
      </c>
      <c r="B1201" s="4">
        <v>6.4</v>
      </c>
    </row>
    <row r="1202" spans="1:2" x14ac:dyDescent="0.3">
      <c r="A1202" s="32">
        <v>103</v>
      </c>
      <c r="B1202" s="3">
        <v>6</v>
      </c>
    </row>
    <row r="1203" spans="1:2" x14ac:dyDescent="0.3">
      <c r="A1203" s="31">
        <v>107</v>
      </c>
      <c r="B1203" s="4">
        <v>5.2</v>
      </c>
    </row>
    <row r="1204" spans="1:2" x14ac:dyDescent="0.3">
      <c r="A1204" s="32">
        <v>106</v>
      </c>
      <c r="B1204" s="3">
        <v>7.6</v>
      </c>
    </row>
    <row r="1205" spans="1:2" x14ac:dyDescent="0.3">
      <c r="A1205" s="31">
        <v>101</v>
      </c>
      <c r="B1205" s="4">
        <v>6.4</v>
      </c>
    </row>
    <row r="1206" spans="1:2" x14ac:dyDescent="0.3">
      <c r="A1206" s="32">
        <v>109</v>
      </c>
      <c r="B1206" s="3">
        <v>6.4</v>
      </c>
    </row>
    <row r="1207" spans="1:2" x14ac:dyDescent="0.3">
      <c r="A1207" s="31">
        <v>89</v>
      </c>
      <c r="B1207" s="4">
        <v>6.1</v>
      </c>
    </row>
    <row r="1208" spans="1:2" x14ac:dyDescent="0.3">
      <c r="A1208" s="32">
        <v>119</v>
      </c>
      <c r="B1208" s="3">
        <v>6.1</v>
      </c>
    </row>
    <row r="1209" spans="1:2" x14ac:dyDescent="0.3">
      <c r="A1209" s="31">
        <v>83</v>
      </c>
      <c r="B1209" s="4">
        <v>5.2</v>
      </c>
    </row>
    <row r="1210" spans="1:2" x14ac:dyDescent="0.3">
      <c r="A1210" s="32">
        <v>108</v>
      </c>
      <c r="B1210" s="3">
        <v>7.7</v>
      </c>
    </row>
    <row r="1211" spans="1:2" x14ac:dyDescent="0.3">
      <c r="A1211" s="31">
        <v>102</v>
      </c>
      <c r="B1211" s="4">
        <v>7.3</v>
      </c>
    </row>
    <row r="1212" spans="1:2" x14ac:dyDescent="0.3">
      <c r="A1212" s="32">
        <v>93</v>
      </c>
      <c r="B1212" s="3">
        <v>6.9</v>
      </c>
    </row>
    <row r="1213" spans="1:2" x14ac:dyDescent="0.3">
      <c r="A1213" s="31">
        <v>84</v>
      </c>
      <c r="B1213" s="4">
        <v>8.5</v>
      </c>
    </row>
    <row r="1214" spans="1:2" x14ac:dyDescent="0.3">
      <c r="A1214" s="32">
        <v>107</v>
      </c>
      <c r="B1214" s="3">
        <v>6.3</v>
      </c>
    </row>
    <row r="1215" spans="1:2" x14ac:dyDescent="0.3">
      <c r="A1215" s="31">
        <v>91</v>
      </c>
      <c r="B1215" s="4">
        <v>5.9</v>
      </c>
    </row>
    <row r="1216" spans="1:2" x14ac:dyDescent="0.3">
      <c r="A1216" s="32">
        <v>94</v>
      </c>
      <c r="B1216" s="3">
        <v>7.8</v>
      </c>
    </row>
    <row r="1217" spans="1:2" x14ac:dyDescent="0.3">
      <c r="A1217" s="31">
        <v>115</v>
      </c>
      <c r="B1217" s="4">
        <v>6.7</v>
      </c>
    </row>
    <row r="1218" spans="1:2" x14ac:dyDescent="0.3">
      <c r="A1218" s="32">
        <v>93</v>
      </c>
      <c r="B1218" s="3">
        <v>6.4</v>
      </c>
    </row>
    <row r="1219" spans="1:2" x14ac:dyDescent="0.3">
      <c r="A1219" s="31">
        <v>105</v>
      </c>
      <c r="B1219" s="4">
        <v>5.9</v>
      </c>
    </row>
    <row r="1220" spans="1:2" x14ac:dyDescent="0.3">
      <c r="A1220" s="32">
        <v>107</v>
      </c>
      <c r="B1220" s="3">
        <v>6.6</v>
      </c>
    </row>
    <row r="1221" spans="1:2" x14ac:dyDescent="0.3">
      <c r="A1221" s="31">
        <v>101</v>
      </c>
      <c r="B1221" s="4">
        <v>6.8</v>
      </c>
    </row>
    <row r="1222" spans="1:2" x14ac:dyDescent="0.3">
      <c r="A1222" s="32">
        <v>111</v>
      </c>
      <c r="B1222" s="3">
        <v>6.5</v>
      </c>
    </row>
    <row r="1223" spans="1:2" x14ac:dyDescent="0.3">
      <c r="A1223" s="31">
        <v>113</v>
      </c>
      <c r="B1223" s="4">
        <v>6.6</v>
      </c>
    </row>
    <row r="1224" spans="1:2" x14ac:dyDescent="0.3">
      <c r="A1224" s="32">
        <v>112</v>
      </c>
      <c r="B1224" s="3">
        <v>5.8</v>
      </c>
    </row>
    <row r="1225" spans="1:2" x14ac:dyDescent="0.3">
      <c r="A1225" s="31">
        <v>126</v>
      </c>
      <c r="B1225" s="4">
        <v>6.9</v>
      </c>
    </row>
    <row r="1226" spans="1:2" x14ac:dyDescent="0.3">
      <c r="A1226" s="32">
        <v>98</v>
      </c>
      <c r="B1226" s="3">
        <v>7.1</v>
      </c>
    </row>
    <row r="1227" spans="1:2" x14ac:dyDescent="0.3">
      <c r="A1227" s="31">
        <v>159</v>
      </c>
      <c r="B1227" s="4">
        <v>5.8</v>
      </c>
    </row>
    <row r="1228" spans="1:2" x14ac:dyDescent="0.3">
      <c r="A1228" s="32">
        <v>107</v>
      </c>
      <c r="B1228" s="3">
        <v>7.2</v>
      </c>
    </row>
    <row r="1229" spans="1:2" x14ac:dyDescent="0.3">
      <c r="A1229" s="31">
        <v>87</v>
      </c>
      <c r="B1229" s="4">
        <v>6</v>
      </c>
    </row>
    <row r="1230" spans="1:2" x14ac:dyDescent="0.3">
      <c r="A1230" s="32">
        <v>119</v>
      </c>
      <c r="B1230" s="3">
        <v>4.7</v>
      </c>
    </row>
    <row r="1231" spans="1:2" x14ac:dyDescent="0.3">
      <c r="A1231" s="31">
        <v>110</v>
      </c>
      <c r="B1231" s="4">
        <v>5.2</v>
      </c>
    </row>
    <row r="1232" spans="1:2" x14ac:dyDescent="0.3">
      <c r="A1232" s="32">
        <v>125</v>
      </c>
      <c r="B1232" s="3">
        <v>5.5</v>
      </c>
    </row>
    <row r="1233" spans="1:2" x14ac:dyDescent="0.3">
      <c r="A1233" s="31">
        <v>113</v>
      </c>
      <c r="B1233" s="4">
        <v>6.5</v>
      </c>
    </row>
    <row r="1234" spans="1:2" x14ac:dyDescent="0.3">
      <c r="A1234" s="32">
        <v>150</v>
      </c>
      <c r="B1234" s="3">
        <v>7</v>
      </c>
    </row>
    <row r="1235" spans="1:2" x14ac:dyDescent="0.3">
      <c r="A1235" s="31">
        <v>108</v>
      </c>
      <c r="B1235" s="4">
        <v>5.8</v>
      </c>
    </row>
    <row r="1236" spans="1:2" x14ac:dyDescent="0.3">
      <c r="A1236" s="32">
        <v>96</v>
      </c>
      <c r="B1236" s="3">
        <v>6.2</v>
      </c>
    </row>
    <row r="1237" spans="1:2" x14ac:dyDescent="0.3">
      <c r="A1237" s="31">
        <v>93</v>
      </c>
      <c r="B1237" s="4">
        <v>6.5</v>
      </c>
    </row>
    <row r="1238" spans="1:2" x14ac:dyDescent="0.3">
      <c r="A1238" s="32">
        <v>100</v>
      </c>
      <c r="B1238" s="3">
        <v>7.2</v>
      </c>
    </row>
    <row r="1239" spans="1:2" x14ac:dyDescent="0.3">
      <c r="A1239" s="31">
        <v>118</v>
      </c>
      <c r="B1239" s="4">
        <v>5.0999999999999996</v>
      </c>
    </row>
    <row r="1240" spans="1:2" x14ac:dyDescent="0.3">
      <c r="A1240" s="32">
        <v>122</v>
      </c>
      <c r="B1240" s="3">
        <v>4.7</v>
      </c>
    </row>
    <row r="1241" spans="1:2" x14ac:dyDescent="0.3">
      <c r="A1241" s="31">
        <v>120</v>
      </c>
      <c r="B1241" s="4">
        <v>5.9</v>
      </c>
    </row>
    <row r="1242" spans="1:2" x14ac:dyDescent="0.3">
      <c r="A1242" s="32">
        <v>146</v>
      </c>
      <c r="B1242" s="3">
        <v>5.8</v>
      </c>
    </row>
    <row r="1243" spans="1:2" x14ac:dyDescent="0.3">
      <c r="A1243" s="31">
        <v>115</v>
      </c>
      <c r="B1243" s="4">
        <v>7.2</v>
      </c>
    </row>
    <row r="1244" spans="1:2" x14ac:dyDescent="0.3">
      <c r="A1244" s="32">
        <v>123</v>
      </c>
      <c r="B1244" s="3">
        <v>6.2</v>
      </c>
    </row>
    <row r="1245" spans="1:2" x14ac:dyDescent="0.3">
      <c r="A1245" s="31">
        <v>102</v>
      </c>
      <c r="B1245" s="4">
        <v>5.7</v>
      </c>
    </row>
    <row r="1246" spans="1:2" x14ac:dyDescent="0.3">
      <c r="A1246" s="32">
        <v>98</v>
      </c>
      <c r="B1246" s="3">
        <v>6.1</v>
      </c>
    </row>
    <row r="1247" spans="1:2" x14ac:dyDescent="0.3">
      <c r="A1247" s="31">
        <v>133</v>
      </c>
      <c r="B1247" s="4">
        <v>6</v>
      </c>
    </row>
    <row r="1248" spans="1:2" x14ac:dyDescent="0.3">
      <c r="A1248" s="32">
        <v>118</v>
      </c>
      <c r="B1248" s="3">
        <v>6.9</v>
      </c>
    </row>
    <row r="1249" spans="1:2" x14ac:dyDescent="0.3">
      <c r="A1249" s="31">
        <v>105</v>
      </c>
      <c r="B1249" s="4">
        <v>6.5</v>
      </c>
    </row>
    <row r="1250" spans="1:2" x14ac:dyDescent="0.3">
      <c r="A1250" s="32">
        <v>109</v>
      </c>
      <c r="B1250" s="3">
        <v>5</v>
      </c>
    </row>
    <row r="1251" spans="1:2" x14ac:dyDescent="0.3">
      <c r="A1251" s="31">
        <v>129</v>
      </c>
      <c r="B1251" s="4">
        <v>5.7</v>
      </c>
    </row>
    <row r="1252" spans="1:2" x14ac:dyDescent="0.3">
      <c r="A1252" s="32">
        <v>109</v>
      </c>
      <c r="B1252" s="3">
        <v>7</v>
      </c>
    </row>
    <row r="1253" spans="1:2" x14ac:dyDescent="0.3">
      <c r="A1253" s="31">
        <v>127</v>
      </c>
      <c r="B1253" s="4">
        <v>5.0999999999999996</v>
      </c>
    </row>
    <row r="1254" spans="1:2" x14ac:dyDescent="0.3">
      <c r="A1254" s="32">
        <v>118</v>
      </c>
      <c r="B1254" s="3">
        <v>5.3</v>
      </c>
    </row>
    <row r="1255" spans="1:2" x14ac:dyDescent="0.3">
      <c r="A1255" s="31">
        <v>110</v>
      </c>
      <c r="B1255" s="4">
        <v>4.4000000000000004</v>
      </c>
    </row>
    <row r="1256" spans="1:2" x14ac:dyDescent="0.3">
      <c r="A1256" s="32">
        <v>90</v>
      </c>
      <c r="B1256" s="3">
        <v>4.7</v>
      </c>
    </row>
    <row r="1257" spans="1:2" x14ac:dyDescent="0.3">
      <c r="A1257" s="31">
        <v>144</v>
      </c>
      <c r="B1257" s="4">
        <v>6.7</v>
      </c>
    </row>
    <row r="1258" spans="1:2" x14ac:dyDescent="0.3">
      <c r="A1258" s="32">
        <v>130</v>
      </c>
      <c r="B1258" s="3">
        <v>6.7</v>
      </c>
    </row>
    <row r="1259" spans="1:2" x14ac:dyDescent="0.3">
      <c r="A1259" s="31">
        <v>112</v>
      </c>
      <c r="B1259" s="4">
        <v>5.7</v>
      </c>
    </row>
    <row r="1260" spans="1:2" x14ac:dyDescent="0.3">
      <c r="A1260" s="32">
        <v>133</v>
      </c>
      <c r="B1260" s="3">
        <v>7.4</v>
      </c>
    </row>
    <row r="1261" spans="1:2" x14ac:dyDescent="0.3">
      <c r="A1261" s="31">
        <v>150</v>
      </c>
      <c r="B1261" s="4">
        <v>6.1</v>
      </c>
    </row>
    <row r="1262" spans="1:2" x14ac:dyDescent="0.3">
      <c r="A1262" s="32">
        <v>110</v>
      </c>
      <c r="B1262" s="3">
        <v>6.4</v>
      </c>
    </row>
    <row r="1263" spans="1:2" x14ac:dyDescent="0.3">
      <c r="A1263" s="31">
        <v>96</v>
      </c>
      <c r="B1263" s="4">
        <v>6.2</v>
      </c>
    </row>
    <row r="1264" spans="1:2" x14ac:dyDescent="0.3">
      <c r="A1264" s="32">
        <v>96</v>
      </c>
      <c r="B1264" s="3">
        <v>6.2</v>
      </c>
    </row>
    <row r="1265" spans="1:2" x14ac:dyDescent="0.3">
      <c r="A1265" s="31">
        <v>123</v>
      </c>
      <c r="B1265" s="4">
        <v>5.9</v>
      </c>
    </row>
    <row r="1266" spans="1:2" x14ac:dyDescent="0.3">
      <c r="A1266" s="32">
        <v>188</v>
      </c>
      <c r="B1266" s="3">
        <v>4</v>
      </c>
    </row>
    <row r="1267" spans="1:2" x14ac:dyDescent="0.3">
      <c r="A1267" s="31">
        <v>107</v>
      </c>
      <c r="B1267" s="4">
        <v>6.2</v>
      </c>
    </row>
    <row r="1268" spans="1:2" x14ac:dyDescent="0.3">
      <c r="A1268" s="32">
        <v>110</v>
      </c>
      <c r="B1268" s="3">
        <v>4.5999999999999996</v>
      </c>
    </row>
    <row r="1269" spans="1:2" x14ac:dyDescent="0.3">
      <c r="A1269" s="31">
        <v>113</v>
      </c>
      <c r="B1269" s="4">
        <v>6.4</v>
      </c>
    </row>
    <row r="1270" spans="1:2" x14ac:dyDescent="0.3">
      <c r="A1270" s="32">
        <v>122</v>
      </c>
      <c r="B1270" s="3">
        <v>5.9</v>
      </c>
    </row>
    <row r="1271" spans="1:2" x14ac:dyDescent="0.3">
      <c r="A1271" s="31">
        <v>116</v>
      </c>
      <c r="B1271" s="4">
        <v>5.0999999999999996</v>
      </c>
    </row>
    <row r="1272" spans="1:2" x14ac:dyDescent="0.3">
      <c r="A1272" s="32">
        <v>93</v>
      </c>
      <c r="B1272" s="3">
        <v>7.6</v>
      </c>
    </row>
    <row r="1273" spans="1:2" x14ac:dyDescent="0.3">
      <c r="A1273" s="31">
        <v>118</v>
      </c>
      <c r="B1273" s="4">
        <v>4.2</v>
      </c>
    </row>
    <row r="1274" spans="1:2" x14ac:dyDescent="0.3">
      <c r="A1274" s="32">
        <v>93</v>
      </c>
      <c r="B1274" s="3">
        <v>7.8</v>
      </c>
    </row>
    <row r="1275" spans="1:2" x14ac:dyDescent="0.3">
      <c r="A1275" s="31">
        <v>121</v>
      </c>
      <c r="B1275" s="4">
        <v>5.8</v>
      </c>
    </row>
    <row r="1276" spans="1:2" x14ac:dyDescent="0.3">
      <c r="A1276" s="32">
        <v>101</v>
      </c>
      <c r="B1276" s="3">
        <v>5.9</v>
      </c>
    </row>
    <row r="1277" spans="1:2" x14ac:dyDescent="0.3">
      <c r="A1277" s="31">
        <v>107</v>
      </c>
      <c r="B1277" s="4">
        <v>8.4</v>
      </c>
    </row>
    <row r="1278" spans="1:2" x14ac:dyDescent="0.3">
      <c r="A1278" s="32">
        <v>124</v>
      </c>
      <c r="B1278" s="3">
        <v>4.8</v>
      </c>
    </row>
    <row r="1279" spans="1:2" x14ac:dyDescent="0.3">
      <c r="A1279" s="31">
        <v>109</v>
      </c>
      <c r="B1279" s="4">
        <v>6.2</v>
      </c>
    </row>
    <row r="1280" spans="1:2" x14ac:dyDescent="0.3">
      <c r="A1280" s="32">
        <v>105</v>
      </c>
      <c r="B1280" s="3">
        <v>6.5</v>
      </c>
    </row>
    <row r="1281" spans="1:2" x14ac:dyDescent="0.3">
      <c r="A1281" s="31">
        <v>130</v>
      </c>
      <c r="B1281" s="4">
        <v>6.3</v>
      </c>
    </row>
    <row r="1282" spans="1:2" x14ac:dyDescent="0.3">
      <c r="A1282" s="32">
        <v>127</v>
      </c>
      <c r="B1282" s="3">
        <v>3.3</v>
      </c>
    </row>
    <row r="1283" spans="1:2" x14ac:dyDescent="0.3">
      <c r="A1283" s="31">
        <v>114</v>
      </c>
      <c r="B1283" s="4">
        <v>5.9</v>
      </c>
    </row>
    <row r="1284" spans="1:2" x14ac:dyDescent="0.3">
      <c r="A1284" s="32">
        <v>106</v>
      </c>
      <c r="B1284" s="3">
        <v>6</v>
      </c>
    </row>
    <row r="1285" spans="1:2" x14ac:dyDescent="0.3">
      <c r="A1285" s="31">
        <v>95</v>
      </c>
      <c r="B1285" s="4">
        <v>5.8</v>
      </c>
    </row>
    <row r="1286" spans="1:2" x14ac:dyDescent="0.3">
      <c r="A1286" s="32">
        <v>81</v>
      </c>
      <c r="B1286" s="3">
        <v>6.5</v>
      </c>
    </row>
    <row r="1287" spans="1:2" x14ac:dyDescent="0.3">
      <c r="A1287" s="31">
        <v>95</v>
      </c>
      <c r="B1287" s="4">
        <v>4.7</v>
      </c>
    </row>
    <row r="1288" spans="1:2" x14ac:dyDescent="0.3">
      <c r="A1288" s="32">
        <v>108</v>
      </c>
      <c r="B1288" s="3">
        <v>4.0999999999999996</v>
      </c>
    </row>
    <row r="1289" spans="1:2" x14ac:dyDescent="0.3">
      <c r="A1289" s="31">
        <v>105</v>
      </c>
      <c r="B1289" s="4">
        <v>6.8</v>
      </c>
    </row>
    <row r="1290" spans="1:2" x14ac:dyDescent="0.3">
      <c r="A1290" s="32">
        <v>95</v>
      </c>
      <c r="B1290" s="3">
        <v>6.2</v>
      </c>
    </row>
    <row r="1291" spans="1:2" x14ac:dyDescent="0.3">
      <c r="A1291" s="31">
        <v>126</v>
      </c>
      <c r="B1291" s="4">
        <v>4.5</v>
      </c>
    </row>
    <row r="1292" spans="1:2" x14ac:dyDescent="0.3">
      <c r="A1292" s="32">
        <v>102</v>
      </c>
      <c r="B1292" s="3">
        <v>5.8</v>
      </c>
    </row>
    <row r="1293" spans="1:2" x14ac:dyDescent="0.3">
      <c r="A1293" s="31">
        <v>121</v>
      </c>
      <c r="B1293" s="4">
        <v>7.3</v>
      </c>
    </row>
    <row r="1294" spans="1:2" x14ac:dyDescent="0.3">
      <c r="A1294" s="32">
        <v>129</v>
      </c>
      <c r="B1294" s="3">
        <v>5.9</v>
      </c>
    </row>
    <row r="1295" spans="1:2" x14ac:dyDescent="0.3">
      <c r="A1295" s="31">
        <v>88</v>
      </c>
      <c r="B1295" s="4">
        <v>4.4000000000000004</v>
      </c>
    </row>
    <row r="1296" spans="1:2" x14ac:dyDescent="0.3">
      <c r="A1296" s="32">
        <v>106</v>
      </c>
      <c r="B1296" s="3">
        <v>5.8</v>
      </c>
    </row>
    <row r="1297" spans="1:2" x14ac:dyDescent="0.3">
      <c r="A1297" s="31">
        <v>110</v>
      </c>
      <c r="B1297" s="4">
        <v>5.0999999999999996</v>
      </c>
    </row>
    <row r="1298" spans="1:2" x14ac:dyDescent="0.3">
      <c r="A1298" s="32">
        <v>109</v>
      </c>
      <c r="B1298" s="3">
        <v>6.9</v>
      </c>
    </row>
    <row r="1299" spans="1:2" x14ac:dyDescent="0.3">
      <c r="A1299" s="31">
        <v>143</v>
      </c>
      <c r="B1299" s="4">
        <v>6.2</v>
      </c>
    </row>
    <row r="1300" spans="1:2" x14ac:dyDescent="0.3">
      <c r="A1300" s="32">
        <v>120</v>
      </c>
      <c r="B1300" s="3">
        <v>6.9</v>
      </c>
    </row>
    <row r="1301" spans="1:2" x14ac:dyDescent="0.3">
      <c r="A1301" s="31">
        <v>128</v>
      </c>
      <c r="B1301" s="4">
        <v>7.3</v>
      </c>
    </row>
    <row r="1302" spans="1:2" x14ac:dyDescent="0.3">
      <c r="A1302" s="32">
        <v>123</v>
      </c>
      <c r="B1302" s="3">
        <v>7.1</v>
      </c>
    </row>
    <row r="1303" spans="1:2" x14ac:dyDescent="0.3">
      <c r="A1303" s="31">
        <v>129</v>
      </c>
      <c r="B1303" s="4">
        <v>6</v>
      </c>
    </row>
    <row r="1304" spans="1:2" x14ac:dyDescent="0.3">
      <c r="A1304" s="32">
        <v>105</v>
      </c>
      <c r="B1304" s="3">
        <v>7</v>
      </c>
    </row>
    <row r="1305" spans="1:2" x14ac:dyDescent="0.3">
      <c r="A1305" s="31">
        <v>162</v>
      </c>
      <c r="B1305" s="4">
        <v>6.8</v>
      </c>
    </row>
    <row r="1306" spans="1:2" x14ac:dyDescent="0.3">
      <c r="A1306" s="32">
        <v>138</v>
      </c>
      <c r="B1306" s="3">
        <v>5.7</v>
      </c>
    </row>
    <row r="1307" spans="1:2" x14ac:dyDescent="0.3">
      <c r="A1307" s="31">
        <v>100</v>
      </c>
      <c r="B1307" s="4">
        <v>7.6</v>
      </c>
    </row>
    <row r="1308" spans="1:2" x14ac:dyDescent="0.3">
      <c r="A1308" s="32">
        <v>90</v>
      </c>
      <c r="B1308" s="3">
        <v>8.4</v>
      </c>
    </row>
    <row r="1309" spans="1:2" x14ac:dyDescent="0.3">
      <c r="A1309" s="31">
        <v>108</v>
      </c>
      <c r="B1309" s="4">
        <v>7.1</v>
      </c>
    </row>
    <row r="1310" spans="1:2" x14ac:dyDescent="0.3">
      <c r="A1310" s="32">
        <v>101</v>
      </c>
      <c r="B1310" s="3">
        <v>5.6</v>
      </c>
    </row>
    <row r="1311" spans="1:2" x14ac:dyDescent="0.3">
      <c r="A1311" s="31">
        <v>109</v>
      </c>
      <c r="B1311" s="4">
        <v>6.7</v>
      </c>
    </row>
    <row r="1312" spans="1:2" x14ac:dyDescent="0.3">
      <c r="A1312" s="32">
        <v>132</v>
      </c>
      <c r="B1312" s="3">
        <v>7</v>
      </c>
    </row>
    <row r="1313" spans="1:2" x14ac:dyDescent="0.3">
      <c r="A1313" s="31">
        <v>123</v>
      </c>
      <c r="B1313" s="4">
        <v>8</v>
      </c>
    </row>
    <row r="1314" spans="1:2" x14ac:dyDescent="0.3">
      <c r="A1314" s="32">
        <v>87</v>
      </c>
      <c r="B1314" s="3">
        <v>5.3</v>
      </c>
    </row>
    <row r="1315" spans="1:2" x14ac:dyDescent="0.3">
      <c r="A1315" s="31">
        <v>109</v>
      </c>
      <c r="B1315" s="4">
        <v>4.9000000000000004</v>
      </c>
    </row>
    <row r="1316" spans="1:2" x14ac:dyDescent="0.3">
      <c r="A1316" s="32">
        <v>109</v>
      </c>
      <c r="B1316" s="3">
        <v>6.4</v>
      </c>
    </row>
    <row r="1317" spans="1:2" x14ac:dyDescent="0.3">
      <c r="A1317" s="31">
        <v>92</v>
      </c>
      <c r="B1317" s="4">
        <v>7.4</v>
      </c>
    </row>
    <row r="1318" spans="1:2" x14ac:dyDescent="0.3">
      <c r="A1318" s="32">
        <v>125</v>
      </c>
      <c r="B1318" s="3">
        <v>6.1</v>
      </c>
    </row>
    <row r="1319" spans="1:2" x14ac:dyDescent="0.3">
      <c r="A1319" s="31">
        <v>202</v>
      </c>
      <c r="B1319" s="4">
        <v>6.5</v>
      </c>
    </row>
    <row r="1320" spans="1:2" x14ac:dyDescent="0.3">
      <c r="A1320" s="32">
        <v>134</v>
      </c>
      <c r="B1320" s="3">
        <v>5.7</v>
      </c>
    </row>
    <row r="1321" spans="1:2" x14ac:dyDescent="0.3">
      <c r="A1321" s="31">
        <v>88</v>
      </c>
      <c r="B1321" s="4">
        <v>5.0999999999999996</v>
      </c>
    </row>
    <row r="1322" spans="1:2" x14ac:dyDescent="0.3">
      <c r="A1322" s="32">
        <v>92</v>
      </c>
      <c r="B1322" s="3">
        <v>6.6</v>
      </c>
    </row>
    <row r="1323" spans="1:2" x14ac:dyDescent="0.3">
      <c r="A1323" s="31">
        <v>91</v>
      </c>
      <c r="B1323" s="4">
        <v>6.5</v>
      </c>
    </row>
    <row r="1324" spans="1:2" x14ac:dyDescent="0.3">
      <c r="A1324" s="32">
        <v>75</v>
      </c>
      <c r="B1324" s="3">
        <v>6.9</v>
      </c>
    </row>
    <row r="1325" spans="1:2" x14ac:dyDescent="0.3">
      <c r="A1325" s="31">
        <v>147</v>
      </c>
      <c r="B1325" s="4">
        <v>6.4</v>
      </c>
    </row>
    <row r="1326" spans="1:2" x14ac:dyDescent="0.3">
      <c r="A1326" s="32">
        <v>100</v>
      </c>
      <c r="B1326" s="3">
        <v>7.6</v>
      </c>
    </row>
    <row r="1327" spans="1:2" x14ac:dyDescent="0.3">
      <c r="A1327" s="31">
        <v>120</v>
      </c>
      <c r="B1327" s="4">
        <v>5.6</v>
      </c>
    </row>
    <row r="1328" spans="1:2" x14ac:dyDescent="0.3">
      <c r="A1328" s="32">
        <v>104</v>
      </c>
      <c r="B1328" s="3">
        <v>6.2</v>
      </c>
    </row>
    <row r="1329" spans="1:2" x14ac:dyDescent="0.3">
      <c r="A1329" s="31">
        <v>103</v>
      </c>
      <c r="B1329" s="4">
        <v>4.4000000000000004</v>
      </c>
    </row>
    <row r="1330" spans="1:2" x14ac:dyDescent="0.3">
      <c r="A1330" s="32">
        <v>109</v>
      </c>
      <c r="B1330" s="3">
        <v>5.6</v>
      </c>
    </row>
    <row r="1331" spans="1:2" x14ac:dyDescent="0.3">
      <c r="A1331" s="31">
        <v>104</v>
      </c>
      <c r="B1331" s="4">
        <v>5.5</v>
      </c>
    </row>
    <row r="1332" spans="1:2" x14ac:dyDescent="0.3">
      <c r="A1332" s="32">
        <v>112</v>
      </c>
      <c r="B1332" s="3">
        <v>6.7</v>
      </c>
    </row>
    <row r="1333" spans="1:2" x14ac:dyDescent="0.3">
      <c r="A1333" s="31">
        <v>95</v>
      </c>
      <c r="B1333" s="4">
        <v>6.1</v>
      </c>
    </row>
    <row r="1334" spans="1:2" x14ac:dyDescent="0.3">
      <c r="A1334" s="32">
        <v>102</v>
      </c>
      <c r="B1334" s="3">
        <v>6.2</v>
      </c>
    </row>
    <row r="1335" spans="1:2" x14ac:dyDescent="0.3">
      <c r="A1335" s="31">
        <v>150</v>
      </c>
      <c r="B1335" s="4">
        <v>7.3</v>
      </c>
    </row>
    <row r="1336" spans="1:2" x14ac:dyDescent="0.3">
      <c r="A1336" s="32">
        <v>101</v>
      </c>
      <c r="B1336" s="3">
        <v>6.6</v>
      </c>
    </row>
    <row r="1337" spans="1:2" x14ac:dyDescent="0.3">
      <c r="A1337" s="31">
        <v>108</v>
      </c>
      <c r="B1337" s="4">
        <v>8.1999999999999993</v>
      </c>
    </row>
    <row r="1338" spans="1:2" x14ac:dyDescent="0.3">
      <c r="A1338" s="32">
        <v>98</v>
      </c>
      <c r="B1338" s="3">
        <v>6.4</v>
      </c>
    </row>
    <row r="1339" spans="1:2" x14ac:dyDescent="0.3">
      <c r="A1339" s="31">
        <v>137</v>
      </c>
      <c r="B1339" s="4">
        <v>6.4</v>
      </c>
    </row>
    <row r="1340" spans="1:2" x14ac:dyDescent="0.3">
      <c r="A1340" s="32">
        <v>112</v>
      </c>
      <c r="B1340" s="3">
        <v>5.2</v>
      </c>
    </row>
    <row r="1341" spans="1:2" x14ac:dyDescent="0.3">
      <c r="A1341" s="31">
        <v>101</v>
      </c>
      <c r="B1341" s="4">
        <v>6.5</v>
      </c>
    </row>
    <row r="1342" spans="1:2" x14ac:dyDescent="0.3">
      <c r="A1342" s="32">
        <v>103</v>
      </c>
      <c r="B1342" s="3">
        <v>7.1</v>
      </c>
    </row>
    <row r="1343" spans="1:2" x14ac:dyDescent="0.3">
      <c r="A1343" s="31">
        <v>101</v>
      </c>
      <c r="B1343" s="4">
        <v>4.8</v>
      </c>
    </row>
    <row r="1344" spans="1:2" x14ac:dyDescent="0.3">
      <c r="A1344" s="32">
        <v>112</v>
      </c>
      <c r="B1344" s="3">
        <v>7.3</v>
      </c>
    </row>
    <row r="1345" spans="1:2" x14ac:dyDescent="0.3">
      <c r="A1345" s="31">
        <v>102</v>
      </c>
      <c r="B1345" s="4">
        <v>5.2</v>
      </c>
    </row>
    <row r="1346" spans="1:2" x14ac:dyDescent="0.3">
      <c r="A1346" s="32">
        <v>101</v>
      </c>
      <c r="B1346" s="3">
        <v>7.7</v>
      </c>
    </row>
    <row r="1347" spans="1:2" x14ac:dyDescent="0.3">
      <c r="A1347" s="31">
        <v>155</v>
      </c>
      <c r="B1347" s="4">
        <v>7.6</v>
      </c>
    </row>
    <row r="1348" spans="1:2" x14ac:dyDescent="0.3">
      <c r="A1348" s="32">
        <v>109</v>
      </c>
      <c r="B1348" s="3">
        <v>5.7</v>
      </c>
    </row>
    <row r="1349" spans="1:2" x14ac:dyDescent="0.3">
      <c r="A1349" s="31">
        <v>140</v>
      </c>
      <c r="B1349" s="4">
        <v>7</v>
      </c>
    </row>
    <row r="1350" spans="1:2" x14ac:dyDescent="0.3">
      <c r="A1350" s="32">
        <v>108</v>
      </c>
      <c r="B1350" s="3">
        <v>6</v>
      </c>
    </row>
    <row r="1351" spans="1:2" x14ac:dyDescent="0.3">
      <c r="A1351" s="31">
        <v>96</v>
      </c>
      <c r="B1351" s="4">
        <v>8.1</v>
      </c>
    </row>
    <row r="1352" spans="1:2" x14ac:dyDescent="0.3">
      <c r="A1352" s="32">
        <v>123</v>
      </c>
      <c r="B1352" s="3">
        <v>8</v>
      </c>
    </row>
    <row r="1353" spans="1:2" x14ac:dyDescent="0.3">
      <c r="A1353" s="31">
        <v>106</v>
      </c>
      <c r="B1353" s="4">
        <v>5.6</v>
      </c>
    </row>
    <row r="1354" spans="1:2" x14ac:dyDescent="0.3">
      <c r="A1354" s="32">
        <v>76</v>
      </c>
      <c r="B1354" s="3">
        <v>6.1</v>
      </c>
    </row>
    <row r="1355" spans="1:2" x14ac:dyDescent="0.3">
      <c r="A1355" s="31">
        <v>107</v>
      </c>
      <c r="B1355" s="4">
        <v>6.9</v>
      </c>
    </row>
    <row r="1356" spans="1:2" x14ac:dyDescent="0.3">
      <c r="A1356" s="32">
        <v>82</v>
      </c>
      <c r="B1356" s="3">
        <v>5.2</v>
      </c>
    </row>
    <row r="1357" spans="1:2" x14ac:dyDescent="0.3">
      <c r="A1357" s="31">
        <v>109</v>
      </c>
      <c r="B1357" s="4">
        <v>7</v>
      </c>
    </row>
    <row r="1358" spans="1:2" x14ac:dyDescent="0.3">
      <c r="A1358" s="32">
        <v>99</v>
      </c>
      <c r="B1358" s="3">
        <v>6.3</v>
      </c>
    </row>
    <row r="1359" spans="1:2" x14ac:dyDescent="0.3">
      <c r="A1359" s="31">
        <v>91</v>
      </c>
      <c r="B1359" s="4">
        <v>7</v>
      </c>
    </row>
    <row r="1360" spans="1:2" x14ac:dyDescent="0.3">
      <c r="A1360" s="32">
        <v>87</v>
      </c>
      <c r="B1360" s="3">
        <v>5.3</v>
      </c>
    </row>
    <row r="1361" spans="1:2" x14ac:dyDescent="0.3">
      <c r="A1361" s="31">
        <v>125</v>
      </c>
      <c r="B1361" s="4">
        <v>6.9</v>
      </c>
    </row>
    <row r="1362" spans="1:2" x14ac:dyDescent="0.3">
      <c r="A1362" s="32">
        <v>118</v>
      </c>
      <c r="B1362" s="3">
        <v>6.2</v>
      </c>
    </row>
    <row r="1363" spans="1:2" x14ac:dyDescent="0.3">
      <c r="A1363" s="31">
        <v>98</v>
      </c>
      <c r="B1363" s="4">
        <v>6.4</v>
      </c>
    </row>
    <row r="1364" spans="1:2" x14ac:dyDescent="0.3">
      <c r="A1364" s="32">
        <v>92</v>
      </c>
      <c r="B1364" s="3">
        <v>6.4</v>
      </c>
    </row>
    <row r="1365" spans="1:2" x14ac:dyDescent="0.3">
      <c r="A1365" s="31">
        <v>92</v>
      </c>
      <c r="B1365" s="4">
        <v>5.7</v>
      </c>
    </row>
    <row r="1366" spans="1:2" x14ac:dyDescent="0.3">
      <c r="A1366" s="32">
        <v>115</v>
      </c>
      <c r="B1366" s="3">
        <v>6.1</v>
      </c>
    </row>
    <row r="1367" spans="1:2" x14ac:dyDescent="0.3">
      <c r="A1367" s="31">
        <v>120</v>
      </c>
      <c r="B1367" s="4">
        <v>5.4</v>
      </c>
    </row>
    <row r="1368" spans="1:2" x14ac:dyDescent="0.3">
      <c r="A1368" s="32">
        <v>111</v>
      </c>
      <c r="B1368" s="3">
        <v>6.7</v>
      </c>
    </row>
    <row r="1369" spans="1:2" x14ac:dyDescent="0.3">
      <c r="A1369" s="31">
        <v>94</v>
      </c>
      <c r="B1369" s="4">
        <v>6.8</v>
      </c>
    </row>
    <row r="1370" spans="1:2" x14ac:dyDescent="0.3">
      <c r="A1370" s="32">
        <v>100</v>
      </c>
      <c r="B1370" s="3">
        <v>6</v>
      </c>
    </row>
    <row r="1371" spans="1:2" x14ac:dyDescent="0.3">
      <c r="A1371" s="31">
        <v>101</v>
      </c>
      <c r="B1371" s="4">
        <v>7.8</v>
      </c>
    </row>
    <row r="1372" spans="1:2" x14ac:dyDescent="0.3">
      <c r="A1372" s="32">
        <v>139</v>
      </c>
      <c r="B1372" s="3">
        <v>5.3</v>
      </c>
    </row>
    <row r="1373" spans="1:2" x14ac:dyDescent="0.3">
      <c r="A1373" s="31">
        <v>91</v>
      </c>
      <c r="B1373" s="4">
        <v>4.5</v>
      </c>
    </row>
    <row r="1374" spans="1:2" x14ac:dyDescent="0.3">
      <c r="A1374" s="32">
        <v>109</v>
      </c>
      <c r="B1374" s="3">
        <v>5.4</v>
      </c>
    </row>
    <row r="1375" spans="1:2" x14ac:dyDescent="0.3">
      <c r="A1375" s="31">
        <v>102</v>
      </c>
      <c r="B1375" s="4">
        <v>7.8</v>
      </c>
    </row>
    <row r="1376" spans="1:2" x14ac:dyDescent="0.3">
      <c r="A1376" s="32">
        <v>103</v>
      </c>
      <c r="B1376" s="3">
        <v>7.2</v>
      </c>
    </row>
    <row r="1377" spans="1:2" x14ac:dyDescent="0.3">
      <c r="A1377" s="31">
        <v>83</v>
      </c>
      <c r="B1377" s="4">
        <v>6.6</v>
      </c>
    </row>
    <row r="1378" spans="1:2" x14ac:dyDescent="0.3">
      <c r="A1378" s="32">
        <v>123</v>
      </c>
      <c r="B1378" s="3">
        <v>7.6</v>
      </c>
    </row>
    <row r="1379" spans="1:2" x14ac:dyDescent="0.3">
      <c r="A1379" s="31">
        <v>101</v>
      </c>
      <c r="B1379" s="4">
        <v>5.9</v>
      </c>
    </row>
    <row r="1380" spans="1:2" x14ac:dyDescent="0.3">
      <c r="A1380" s="32">
        <v>117</v>
      </c>
      <c r="B1380" s="3">
        <v>6.7</v>
      </c>
    </row>
    <row r="1381" spans="1:2" x14ac:dyDescent="0.3">
      <c r="A1381" s="31">
        <v>114</v>
      </c>
      <c r="B1381" s="4">
        <v>7.7</v>
      </c>
    </row>
    <row r="1382" spans="1:2" x14ac:dyDescent="0.3">
      <c r="A1382" s="32">
        <v>121</v>
      </c>
      <c r="B1382" s="3">
        <v>5.4</v>
      </c>
    </row>
    <row r="1383" spans="1:2" x14ac:dyDescent="0.3">
      <c r="A1383" s="31">
        <v>114</v>
      </c>
      <c r="B1383" s="4">
        <v>6.9</v>
      </c>
    </row>
    <row r="1384" spans="1:2" x14ac:dyDescent="0.3">
      <c r="A1384" s="32">
        <v>148</v>
      </c>
      <c r="B1384" s="3">
        <v>7.7</v>
      </c>
    </row>
    <row r="1385" spans="1:2" x14ac:dyDescent="0.3">
      <c r="A1385" s="31">
        <v>113</v>
      </c>
      <c r="B1385" s="4">
        <v>6.8</v>
      </c>
    </row>
    <row r="1386" spans="1:2" x14ac:dyDescent="0.3">
      <c r="A1386" s="32">
        <v>91</v>
      </c>
      <c r="B1386" s="3">
        <v>6.4</v>
      </c>
    </row>
    <row r="1387" spans="1:2" x14ac:dyDescent="0.3">
      <c r="A1387" s="31">
        <v>139</v>
      </c>
      <c r="B1387" s="4">
        <v>5.7</v>
      </c>
    </row>
    <row r="1388" spans="1:2" x14ac:dyDescent="0.3">
      <c r="A1388" s="32">
        <v>96</v>
      </c>
      <c r="B1388" s="3">
        <v>7.3</v>
      </c>
    </row>
    <row r="1389" spans="1:2" x14ac:dyDescent="0.3">
      <c r="A1389" s="31">
        <v>102</v>
      </c>
      <c r="B1389" s="4">
        <v>6.8</v>
      </c>
    </row>
    <row r="1390" spans="1:2" x14ac:dyDescent="0.3">
      <c r="A1390" s="32">
        <v>96</v>
      </c>
      <c r="B1390" s="3">
        <v>6.3</v>
      </c>
    </row>
    <row r="1391" spans="1:2" x14ac:dyDescent="0.3">
      <c r="A1391" s="31">
        <v>101</v>
      </c>
      <c r="B1391" s="4">
        <v>5.9</v>
      </c>
    </row>
    <row r="1392" spans="1:2" x14ac:dyDescent="0.3">
      <c r="A1392" s="32">
        <v>128</v>
      </c>
      <c r="B1392" s="3">
        <v>7.4</v>
      </c>
    </row>
    <row r="1393" spans="1:2" x14ac:dyDescent="0.3">
      <c r="A1393" s="31">
        <v>109</v>
      </c>
      <c r="B1393" s="4">
        <v>8.3000000000000007</v>
      </c>
    </row>
    <row r="1394" spans="1:2" x14ac:dyDescent="0.3">
      <c r="A1394" s="32">
        <v>114</v>
      </c>
      <c r="B1394" s="3">
        <v>6.2</v>
      </c>
    </row>
    <row r="1395" spans="1:2" x14ac:dyDescent="0.3">
      <c r="A1395" s="31">
        <v>105</v>
      </c>
      <c r="B1395" s="4">
        <v>6.3</v>
      </c>
    </row>
    <row r="1396" spans="1:2" x14ac:dyDescent="0.3">
      <c r="A1396" s="32">
        <v>141</v>
      </c>
      <c r="B1396" s="3">
        <v>5.8</v>
      </c>
    </row>
    <row r="1397" spans="1:2" x14ac:dyDescent="0.3">
      <c r="A1397" s="31">
        <v>138</v>
      </c>
      <c r="B1397" s="4">
        <v>7.5</v>
      </c>
    </row>
    <row r="1398" spans="1:2" x14ac:dyDescent="0.3">
      <c r="A1398" s="32">
        <v>101</v>
      </c>
      <c r="B1398" s="3">
        <v>6.3</v>
      </c>
    </row>
    <row r="1399" spans="1:2" x14ac:dyDescent="0.3">
      <c r="A1399" s="31">
        <v>99</v>
      </c>
      <c r="B1399" s="4">
        <v>6.4</v>
      </c>
    </row>
    <row r="1400" spans="1:2" x14ac:dyDescent="0.3">
      <c r="A1400" s="32">
        <v>85</v>
      </c>
      <c r="B1400" s="3">
        <v>7.2</v>
      </c>
    </row>
    <row r="1401" spans="1:2" x14ac:dyDescent="0.3">
      <c r="A1401" s="31">
        <v>89</v>
      </c>
      <c r="B1401" s="4">
        <v>6.3</v>
      </c>
    </row>
    <row r="1402" spans="1:2" x14ac:dyDescent="0.3">
      <c r="A1402" s="32">
        <v>99</v>
      </c>
      <c r="B1402" s="3">
        <v>6.9</v>
      </c>
    </row>
    <row r="1403" spans="1:2" x14ac:dyDescent="0.3">
      <c r="A1403" s="31">
        <v>105</v>
      </c>
      <c r="B1403" s="4">
        <v>6.6</v>
      </c>
    </row>
    <row r="1404" spans="1:2" x14ac:dyDescent="0.3">
      <c r="A1404" s="32">
        <v>97</v>
      </c>
      <c r="B1404" s="3">
        <v>6</v>
      </c>
    </row>
    <row r="1405" spans="1:2" x14ac:dyDescent="0.3">
      <c r="A1405" s="31">
        <v>140</v>
      </c>
      <c r="B1405" s="4">
        <v>7.5</v>
      </c>
    </row>
    <row r="1406" spans="1:2" x14ac:dyDescent="0.3">
      <c r="A1406" s="32">
        <v>118</v>
      </c>
      <c r="B1406" s="3">
        <v>7.7</v>
      </c>
    </row>
    <row r="1407" spans="1:2" x14ac:dyDescent="0.3">
      <c r="A1407" s="31">
        <v>94</v>
      </c>
      <c r="B1407" s="4">
        <v>6.2</v>
      </c>
    </row>
    <row r="1408" spans="1:2" x14ac:dyDescent="0.3">
      <c r="A1408" s="32">
        <v>124</v>
      </c>
      <c r="B1408" s="3">
        <v>5.4</v>
      </c>
    </row>
    <row r="1409" spans="1:2" x14ac:dyDescent="0.3">
      <c r="A1409" s="31">
        <v>134</v>
      </c>
      <c r="B1409" s="4">
        <v>6.6</v>
      </c>
    </row>
    <row r="1410" spans="1:2" x14ac:dyDescent="0.3">
      <c r="A1410" s="32">
        <v>113</v>
      </c>
      <c r="B1410" s="3">
        <v>5.3</v>
      </c>
    </row>
    <row r="1411" spans="1:2" x14ac:dyDescent="0.3">
      <c r="A1411" s="31">
        <v>124</v>
      </c>
      <c r="B1411" s="4">
        <v>5.6</v>
      </c>
    </row>
    <row r="1412" spans="1:2" x14ac:dyDescent="0.3">
      <c r="A1412" s="32">
        <v>97</v>
      </c>
      <c r="B1412" s="3">
        <v>5.9</v>
      </c>
    </row>
    <row r="1413" spans="1:2" x14ac:dyDescent="0.3">
      <c r="A1413" s="31">
        <v>123</v>
      </c>
      <c r="B1413" s="4">
        <v>7.8</v>
      </c>
    </row>
    <row r="1414" spans="1:2" x14ac:dyDescent="0.3">
      <c r="A1414" s="32">
        <v>99</v>
      </c>
      <c r="B1414" s="3">
        <v>6.7</v>
      </c>
    </row>
    <row r="1415" spans="1:2" x14ac:dyDescent="0.3">
      <c r="A1415" s="31">
        <v>101</v>
      </c>
      <c r="B1415" s="4">
        <v>7.4</v>
      </c>
    </row>
    <row r="1416" spans="1:2" x14ac:dyDescent="0.3">
      <c r="A1416" s="32">
        <v>92</v>
      </c>
      <c r="B1416" s="3">
        <v>6.2</v>
      </c>
    </row>
    <row r="1417" spans="1:2" x14ac:dyDescent="0.3">
      <c r="A1417" s="31">
        <v>131</v>
      </c>
      <c r="B1417" s="4">
        <v>5.4</v>
      </c>
    </row>
    <row r="1418" spans="1:2" x14ac:dyDescent="0.3">
      <c r="A1418" s="32">
        <v>107</v>
      </c>
      <c r="B1418" s="3">
        <v>6.7</v>
      </c>
    </row>
    <row r="1419" spans="1:2" x14ac:dyDescent="0.3">
      <c r="A1419" s="31">
        <v>103</v>
      </c>
      <c r="B1419" s="4">
        <v>5.3</v>
      </c>
    </row>
    <row r="1420" spans="1:2" x14ac:dyDescent="0.3">
      <c r="A1420" s="32">
        <v>129</v>
      </c>
      <c r="B1420" s="3">
        <v>5.9</v>
      </c>
    </row>
    <row r="1421" spans="1:2" x14ac:dyDescent="0.3">
      <c r="A1421" s="31">
        <v>89</v>
      </c>
      <c r="B1421" s="4">
        <v>4.8</v>
      </c>
    </row>
    <row r="1422" spans="1:2" x14ac:dyDescent="0.3">
      <c r="A1422" s="32">
        <v>113</v>
      </c>
      <c r="B1422" s="3">
        <v>7.3</v>
      </c>
    </row>
    <row r="1423" spans="1:2" x14ac:dyDescent="0.3">
      <c r="A1423" s="31">
        <v>93</v>
      </c>
      <c r="B1423" s="4">
        <v>3.8</v>
      </c>
    </row>
    <row r="1424" spans="1:2" x14ac:dyDescent="0.3">
      <c r="A1424" s="32">
        <v>120</v>
      </c>
      <c r="B1424" s="3">
        <v>8.5</v>
      </c>
    </row>
    <row r="1425" spans="1:2" x14ac:dyDescent="0.3">
      <c r="A1425" s="31">
        <v>98</v>
      </c>
      <c r="B1425" s="4">
        <v>6.8</v>
      </c>
    </row>
    <row r="1426" spans="1:2" x14ac:dyDescent="0.3">
      <c r="A1426" s="32">
        <v>105</v>
      </c>
      <c r="B1426" s="3">
        <v>6.8</v>
      </c>
    </row>
    <row r="1427" spans="1:2" x14ac:dyDescent="0.3">
      <c r="A1427" s="31">
        <v>98</v>
      </c>
      <c r="B1427" s="4">
        <v>5.3</v>
      </c>
    </row>
    <row r="1428" spans="1:2" x14ac:dyDescent="0.3">
      <c r="A1428" s="32">
        <v>96</v>
      </c>
      <c r="B1428" s="3">
        <v>7.3</v>
      </c>
    </row>
    <row r="1429" spans="1:2" x14ac:dyDescent="0.3">
      <c r="A1429" s="31">
        <v>87</v>
      </c>
      <c r="B1429" s="4">
        <v>6.6</v>
      </c>
    </row>
    <row r="1430" spans="1:2" x14ac:dyDescent="0.3">
      <c r="A1430" s="32">
        <v>107</v>
      </c>
      <c r="B1430" s="3">
        <v>6.2</v>
      </c>
    </row>
    <row r="1431" spans="1:2" x14ac:dyDescent="0.3">
      <c r="A1431" s="31">
        <v>90</v>
      </c>
      <c r="B1431" s="4">
        <v>5.2</v>
      </c>
    </row>
    <row r="1432" spans="1:2" x14ac:dyDescent="0.3">
      <c r="A1432" s="32">
        <v>121</v>
      </c>
      <c r="B1432" s="3">
        <v>6.2</v>
      </c>
    </row>
    <row r="1433" spans="1:2" x14ac:dyDescent="0.3">
      <c r="A1433" s="31">
        <v>119</v>
      </c>
      <c r="B1433" s="4">
        <v>6.2</v>
      </c>
    </row>
    <row r="1434" spans="1:2" x14ac:dyDescent="0.3">
      <c r="A1434" s="32">
        <v>107</v>
      </c>
      <c r="B1434" s="3">
        <v>6.6</v>
      </c>
    </row>
    <row r="1435" spans="1:2" x14ac:dyDescent="0.3">
      <c r="A1435" s="31">
        <v>110</v>
      </c>
      <c r="B1435" s="4">
        <v>6.4</v>
      </c>
    </row>
    <row r="1436" spans="1:2" x14ac:dyDescent="0.3">
      <c r="A1436" s="32">
        <v>100</v>
      </c>
      <c r="B1436" s="3">
        <v>6.2</v>
      </c>
    </row>
    <row r="1437" spans="1:2" x14ac:dyDescent="0.3">
      <c r="A1437" s="31">
        <v>75</v>
      </c>
      <c r="B1437" s="4">
        <v>5.0999999999999996</v>
      </c>
    </row>
    <row r="1438" spans="1:2" x14ac:dyDescent="0.3">
      <c r="A1438" s="32">
        <v>132</v>
      </c>
      <c r="B1438" s="3">
        <v>6.6</v>
      </c>
    </row>
    <row r="1439" spans="1:2" x14ac:dyDescent="0.3">
      <c r="A1439" s="31">
        <v>105</v>
      </c>
      <c r="B1439" s="4">
        <v>6.1</v>
      </c>
    </row>
    <row r="1440" spans="1:2" x14ac:dyDescent="0.3">
      <c r="A1440" s="32">
        <v>289</v>
      </c>
      <c r="B1440" s="3">
        <v>6.1</v>
      </c>
    </row>
    <row r="1441" spans="1:2" x14ac:dyDescent="0.3">
      <c r="A1441" s="31">
        <v>102</v>
      </c>
      <c r="B1441" s="4">
        <v>6.6</v>
      </c>
    </row>
    <row r="1442" spans="1:2" x14ac:dyDescent="0.3">
      <c r="A1442" s="32">
        <v>143</v>
      </c>
      <c r="B1442" s="3">
        <v>5.9</v>
      </c>
    </row>
    <row r="1443" spans="1:2" x14ac:dyDescent="0.3">
      <c r="A1443" s="31">
        <v>113</v>
      </c>
      <c r="B1443" s="4">
        <v>6.3</v>
      </c>
    </row>
    <row r="1444" spans="1:2" x14ac:dyDescent="0.3">
      <c r="A1444" s="32">
        <v>161</v>
      </c>
      <c r="B1444" s="3">
        <v>7.1</v>
      </c>
    </row>
    <row r="1445" spans="1:2" x14ac:dyDescent="0.3">
      <c r="A1445" s="31">
        <v>138</v>
      </c>
      <c r="B1445" s="4">
        <v>5</v>
      </c>
    </row>
    <row r="1446" spans="1:2" x14ac:dyDescent="0.3">
      <c r="A1446" s="32">
        <v>126</v>
      </c>
      <c r="B1446" s="3">
        <v>5.6</v>
      </c>
    </row>
    <row r="1447" spans="1:2" x14ac:dyDescent="0.3">
      <c r="A1447" s="31">
        <v>99</v>
      </c>
      <c r="B1447" s="4">
        <v>7.4</v>
      </c>
    </row>
    <row r="1448" spans="1:2" x14ac:dyDescent="0.3">
      <c r="A1448" s="32">
        <v>101</v>
      </c>
      <c r="B1448" s="3">
        <v>4.5</v>
      </c>
    </row>
    <row r="1449" spans="1:2" x14ac:dyDescent="0.3">
      <c r="A1449" s="31">
        <v>103</v>
      </c>
      <c r="B1449" s="4">
        <v>6.2</v>
      </c>
    </row>
    <row r="1450" spans="1:2" x14ac:dyDescent="0.3">
      <c r="A1450" s="32">
        <v>118</v>
      </c>
      <c r="B1450" s="3">
        <v>5</v>
      </c>
    </row>
    <row r="1451" spans="1:2" x14ac:dyDescent="0.3">
      <c r="A1451" s="31">
        <v>99</v>
      </c>
      <c r="B1451" s="4">
        <v>6.5</v>
      </c>
    </row>
    <row r="1452" spans="1:2" x14ac:dyDescent="0.3">
      <c r="A1452" s="32">
        <v>105</v>
      </c>
      <c r="B1452" s="3">
        <v>5.0999999999999996</v>
      </c>
    </row>
    <row r="1453" spans="1:2" x14ac:dyDescent="0.3">
      <c r="A1453" s="31">
        <v>113</v>
      </c>
      <c r="B1453" s="4">
        <v>6.5</v>
      </c>
    </row>
    <row r="1454" spans="1:2" x14ac:dyDescent="0.3">
      <c r="A1454" s="32">
        <v>93</v>
      </c>
      <c r="B1454" s="3">
        <v>6.2</v>
      </c>
    </row>
    <row r="1455" spans="1:2" x14ac:dyDescent="0.3">
      <c r="A1455" s="31">
        <v>108</v>
      </c>
      <c r="B1455" s="4">
        <v>6.3</v>
      </c>
    </row>
    <row r="1456" spans="1:2" x14ac:dyDescent="0.3">
      <c r="A1456" s="32">
        <v>74</v>
      </c>
      <c r="B1456" s="3">
        <v>3.8</v>
      </c>
    </row>
    <row r="1457" spans="1:2" x14ac:dyDescent="0.3">
      <c r="A1457" s="31">
        <v>116</v>
      </c>
      <c r="B1457" s="4">
        <v>5.2</v>
      </c>
    </row>
    <row r="1458" spans="1:2" x14ac:dyDescent="0.3">
      <c r="A1458" s="32">
        <v>104</v>
      </c>
      <c r="B1458" s="3">
        <v>6</v>
      </c>
    </row>
    <row r="1459" spans="1:2" x14ac:dyDescent="0.3">
      <c r="A1459" s="31">
        <v>106</v>
      </c>
      <c r="B1459" s="4">
        <v>6.2</v>
      </c>
    </row>
    <row r="1460" spans="1:2" x14ac:dyDescent="0.3">
      <c r="A1460" s="32">
        <v>120</v>
      </c>
      <c r="B1460" s="3">
        <v>5.7</v>
      </c>
    </row>
    <row r="1461" spans="1:2" x14ac:dyDescent="0.3">
      <c r="A1461" s="31">
        <v>135</v>
      </c>
      <c r="B1461" s="4">
        <v>6.7</v>
      </c>
    </row>
    <row r="1462" spans="1:2" x14ac:dyDescent="0.3">
      <c r="A1462" s="32">
        <v>132</v>
      </c>
      <c r="B1462" s="3">
        <v>6.8</v>
      </c>
    </row>
    <row r="1463" spans="1:2" x14ac:dyDescent="0.3">
      <c r="A1463" s="31">
        <v>92</v>
      </c>
      <c r="B1463" s="4">
        <v>6</v>
      </c>
    </row>
    <row r="1464" spans="1:2" x14ac:dyDescent="0.3">
      <c r="A1464" s="32">
        <v>99</v>
      </c>
      <c r="B1464" s="3">
        <v>7.3</v>
      </c>
    </row>
    <row r="1465" spans="1:2" x14ac:dyDescent="0.3">
      <c r="A1465" s="31">
        <v>90</v>
      </c>
      <c r="B1465" s="4">
        <v>5.5</v>
      </c>
    </row>
    <row r="1466" spans="1:2" x14ac:dyDescent="0.3">
      <c r="A1466" s="32">
        <v>111</v>
      </c>
      <c r="B1466" s="3">
        <v>6.7</v>
      </c>
    </row>
    <row r="1467" spans="1:2" x14ac:dyDescent="0.3">
      <c r="A1467" s="31">
        <v>103</v>
      </c>
      <c r="B1467" s="4">
        <v>4.8</v>
      </c>
    </row>
    <row r="1468" spans="1:2" x14ac:dyDescent="0.3">
      <c r="A1468" s="32">
        <v>127</v>
      </c>
      <c r="B1468" s="3">
        <v>5.7</v>
      </c>
    </row>
    <row r="1469" spans="1:2" x14ac:dyDescent="0.3">
      <c r="A1469" s="31">
        <v>112</v>
      </c>
      <c r="B1469" s="4">
        <v>5.0999999999999996</v>
      </c>
    </row>
    <row r="1470" spans="1:2" x14ac:dyDescent="0.3">
      <c r="A1470" s="32">
        <v>87</v>
      </c>
      <c r="B1470" s="3">
        <v>6</v>
      </c>
    </row>
    <row r="1471" spans="1:2" x14ac:dyDescent="0.3">
      <c r="A1471" s="31">
        <v>138</v>
      </c>
      <c r="B1471" s="4">
        <v>4.2</v>
      </c>
    </row>
    <row r="1472" spans="1:2" x14ac:dyDescent="0.3">
      <c r="A1472" s="32">
        <v>132</v>
      </c>
      <c r="B1472" s="3">
        <v>7.4</v>
      </c>
    </row>
    <row r="1473" spans="1:2" x14ac:dyDescent="0.3">
      <c r="A1473" s="31">
        <v>103</v>
      </c>
      <c r="B1473" s="4">
        <v>4.5999999999999996</v>
      </c>
    </row>
    <row r="1474" spans="1:2" x14ac:dyDescent="0.3">
      <c r="A1474" s="32">
        <v>123</v>
      </c>
      <c r="B1474" s="3">
        <v>6.9</v>
      </c>
    </row>
    <row r="1475" spans="1:2" x14ac:dyDescent="0.3">
      <c r="A1475" s="31">
        <v>102</v>
      </c>
      <c r="B1475" s="4">
        <v>6.9</v>
      </c>
    </row>
    <row r="1476" spans="1:2" x14ac:dyDescent="0.3">
      <c r="A1476" s="32">
        <v>78</v>
      </c>
      <c r="B1476" s="3">
        <v>8</v>
      </c>
    </row>
    <row r="1477" spans="1:2" x14ac:dyDescent="0.3">
      <c r="A1477" s="31">
        <v>132</v>
      </c>
      <c r="B1477" s="4">
        <v>6.4</v>
      </c>
    </row>
    <row r="1478" spans="1:2" x14ac:dyDescent="0.3">
      <c r="A1478" s="32">
        <v>133</v>
      </c>
      <c r="B1478" s="3">
        <v>6.3</v>
      </c>
    </row>
    <row r="1479" spans="1:2" x14ac:dyDescent="0.3">
      <c r="A1479" s="31">
        <v>108</v>
      </c>
      <c r="B1479" s="4">
        <v>8.4</v>
      </c>
    </row>
    <row r="1480" spans="1:2" x14ac:dyDescent="0.3">
      <c r="A1480" s="32">
        <v>125</v>
      </c>
      <c r="B1480" s="3">
        <v>7.1</v>
      </c>
    </row>
    <row r="1481" spans="1:2" x14ac:dyDescent="0.3">
      <c r="A1481" s="31">
        <v>98</v>
      </c>
      <c r="B1481" s="4">
        <v>6.8</v>
      </c>
    </row>
    <row r="1482" spans="1:2" x14ac:dyDescent="0.3">
      <c r="A1482" s="32">
        <v>119</v>
      </c>
      <c r="B1482" s="3">
        <v>7.5</v>
      </c>
    </row>
    <row r="1483" spans="1:2" x14ac:dyDescent="0.3">
      <c r="A1483" s="31">
        <v>87</v>
      </c>
      <c r="B1483" s="4">
        <v>4.5</v>
      </c>
    </row>
    <row r="1484" spans="1:2" x14ac:dyDescent="0.3">
      <c r="A1484" s="32">
        <v>91</v>
      </c>
      <c r="B1484" s="3">
        <v>5.7</v>
      </c>
    </row>
    <row r="1485" spans="1:2" x14ac:dyDescent="0.3">
      <c r="A1485" s="31">
        <v>100</v>
      </c>
      <c r="B1485" s="4">
        <v>7.2</v>
      </c>
    </row>
    <row r="1486" spans="1:2" x14ac:dyDescent="0.3">
      <c r="A1486" s="32">
        <v>118</v>
      </c>
      <c r="B1486" s="3">
        <v>6.8</v>
      </c>
    </row>
    <row r="1487" spans="1:2" x14ac:dyDescent="0.3">
      <c r="A1487" s="31">
        <v>109</v>
      </c>
      <c r="B1487" s="4">
        <v>5.4</v>
      </c>
    </row>
    <row r="1488" spans="1:2" x14ac:dyDescent="0.3">
      <c r="A1488" s="32">
        <v>99</v>
      </c>
      <c r="B1488" s="3">
        <v>7.2</v>
      </c>
    </row>
    <row r="1489" spans="1:2" x14ac:dyDescent="0.3">
      <c r="A1489" s="31">
        <v>114</v>
      </c>
      <c r="B1489" s="4">
        <v>7.3</v>
      </c>
    </row>
    <row r="1490" spans="1:2" x14ac:dyDescent="0.3">
      <c r="A1490" s="32">
        <v>89</v>
      </c>
      <c r="B1490" s="3">
        <v>5.2</v>
      </c>
    </row>
    <row r="1491" spans="1:2" x14ac:dyDescent="0.3">
      <c r="A1491" s="31">
        <v>95</v>
      </c>
      <c r="B1491" s="4">
        <v>5.5</v>
      </c>
    </row>
    <row r="1492" spans="1:2" x14ac:dyDescent="0.3">
      <c r="A1492" s="32">
        <v>98</v>
      </c>
      <c r="B1492" s="3">
        <v>7.7</v>
      </c>
    </row>
    <row r="1493" spans="1:2" x14ac:dyDescent="0.3">
      <c r="A1493" s="31">
        <v>94</v>
      </c>
      <c r="B1493" s="4">
        <v>7.1</v>
      </c>
    </row>
    <row r="1494" spans="1:2" x14ac:dyDescent="0.3">
      <c r="A1494" s="32">
        <v>85</v>
      </c>
      <c r="B1494" s="3">
        <v>5.3</v>
      </c>
    </row>
    <row r="1495" spans="1:2" x14ac:dyDescent="0.3">
      <c r="A1495" s="31">
        <v>124</v>
      </c>
      <c r="B1495" s="4">
        <v>5.6</v>
      </c>
    </row>
    <row r="1496" spans="1:2" x14ac:dyDescent="0.3">
      <c r="A1496" s="32">
        <v>131</v>
      </c>
      <c r="B1496" s="3">
        <v>5.7</v>
      </c>
    </row>
    <row r="1497" spans="1:2" x14ac:dyDescent="0.3">
      <c r="A1497" s="31">
        <v>107</v>
      </c>
      <c r="B1497" s="4">
        <v>7.1</v>
      </c>
    </row>
    <row r="1498" spans="1:2" x14ac:dyDescent="0.3">
      <c r="A1498" s="32">
        <v>99</v>
      </c>
      <c r="B1498" s="3">
        <v>7.5</v>
      </c>
    </row>
    <row r="1499" spans="1:2" x14ac:dyDescent="0.3">
      <c r="A1499" s="31">
        <v>83</v>
      </c>
      <c r="B1499" s="4">
        <v>7.6</v>
      </c>
    </row>
    <row r="1500" spans="1:2" x14ac:dyDescent="0.3">
      <c r="A1500" s="32">
        <v>131</v>
      </c>
      <c r="B1500" s="3">
        <v>5.5</v>
      </c>
    </row>
    <row r="1501" spans="1:2" x14ac:dyDescent="0.3">
      <c r="A1501" s="31">
        <v>85</v>
      </c>
      <c r="B1501" s="4">
        <v>5.0999999999999996</v>
      </c>
    </row>
    <row r="1502" spans="1:2" x14ac:dyDescent="0.3">
      <c r="A1502" s="32">
        <v>126</v>
      </c>
      <c r="B1502" s="3">
        <v>6.3</v>
      </c>
    </row>
    <row r="1503" spans="1:2" x14ac:dyDescent="0.3">
      <c r="A1503" s="31">
        <v>123</v>
      </c>
      <c r="B1503" s="4">
        <v>4.9000000000000004</v>
      </c>
    </row>
    <row r="1504" spans="1:2" x14ac:dyDescent="0.3">
      <c r="A1504" s="32">
        <v>105</v>
      </c>
      <c r="B1504" s="3">
        <v>6.5</v>
      </c>
    </row>
    <row r="1505" spans="1:2" x14ac:dyDescent="0.3">
      <c r="A1505" s="31">
        <v>125</v>
      </c>
      <c r="B1505" s="4">
        <v>5.6</v>
      </c>
    </row>
    <row r="1506" spans="1:2" x14ac:dyDescent="0.3">
      <c r="A1506" s="32">
        <v>77</v>
      </c>
      <c r="B1506" s="3">
        <v>5.3</v>
      </c>
    </row>
    <row r="1507" spans="1:2" x14ac:dyDescent="0.3">
      <c r="A1507" s="31">
        <v>121</v>
      </c>
      <c r="B1507" s="4">
        <v>6.5</v>
      </c>
    </row>
    <row r="1508" spans="1:2" x14ac:dyDescent="0.3">
      <c r="A1508" s="32">
        <v>124</v>
      </c>
      <c r="B1508" s="3">
        <v>6.8</v>
      </c>
    </row>
    <row r="1509" spans="1:2" x14ac:dyDescent="0.3">
      <c r="A1509" s="31">
        <v>99</v>
      </c>
      <c r="B1509" s="4">
        <v>6.5</v>
      </c>
    </row>
    <row r="1510" spans="1:2" x14ac:dyDescent="0.3">
      <c r="A1510" s="32">
        <v>112</v>
      </c>
      <c r="B1510" s="3">
        <v>6</v>
      </c>
    </row>
    <row r="1511" spans="1:2" x14ac:dyDescent="0.3">
      <c r="A1511" s="31">
        <v>111</v>
      </c>
      <c r="B1511" s="4">
        <v>8.4</v>
      </c>
    </row>
    <row r="1512" spans="1:2" x14ac:dyDescent="0.3">
      <c r="A1512" s="32">
        <v>107</v>
      </c>
      <c r="B1512" s="3">
        <v>6</v>
      </c>
    </row>
    <row r="1513" spans="1:2" x14ac:dyDescent="0.3">
      <c r="A1513" s="31">
        <v>104</v>
      </c>
      <c r="B1513" s="4">
        <v>7.6</v>
      </c>
    </row>
    <row r="1514" spans="1:2" x14ac:dyDescent="0.3">
      <c r="A1514" s="32">
        <v>113</v>
      </c>
      <c r="B1514" s="3">
        <v>5.6</v>
      </c>
    </row>
    <row r="1515" spans="1:2" x14ac:dyDescent="0.3">
      <c r="A1515" s="31">
        <v>113</v>
      </c>
      <c r="B1515" s="4">
        <v>6.9</v>
      </c>
    </row>
    <row r="1516" spans="1:2" x14ac:dyDescent="0.3">
      <c r="A1516" s="32">
        <v>95</v>
      </c>
      <c r="B1516" s="3">
        <v>6.4</v>
      </c>
    </row>
    <row r="1517" spans="1:2" x14ac:dyDescent="0.3">
      <c r="A1517" s="31">
        <v>86</v>
      </c>
      <c r="B1517" s="4">
        <v>5.0999999999999996</v>
      </c>
    </row>
    <row r="1518" spans="1:2" x14ac:dyDescent="0.3">
      <c r="A1518" s="32">
        <v>126</v>
      </c>
      <c r="B1518" s="3">
        <v>7</v>
      </c>
    </row>
    <row r="1519" spans="1:2" x14ac:dyDescent="0.3">
      <c r="A1519" s="31">
        <v>101</v>
      </c>
      <c r="B1519" s="4">
        <v>5.7</v>
      </c>
    </row>
    <row r="1520" spans="1:2" x14ac:dyDescent="0.3">
      <c r="A1520" s="32">
        <v>102</v>
      </c>
      <c r="B1520" s="3">
        <v>6.8</v>
      </c>
    </row>
    <row r="1521" spans="1:2" x14ac:dyDescent="0.3">
      <c r="A1521" s="31">
        <v>111</v>
      </c>
      <c r="B1521" s="4">
        <v>6.7</v>
      </c>
    </row>
    <row r="1522" spans="1:2" x14ac:dyDescent="0.3">
      <c r="A1522" s="32">
        <v>95</v>
      </c>
      <c r="B1522" s="3">
        <v>6.2</v>
      </c>
    </row>
    <row r="1523" spans="1:2" x14ac:dyDescent="0.3">
      <c r="A1523" s="31">
        <v>98</v>
      </c>
      <c r="B1523" s="4">
        <v>7.2</v>
      </c>
    </row>
    <row r="1524" spans="1:2" x14ac:dyDescent="0.3">
      <c r="A1524" s="32">
        <v>100</v>
      </c>
      <c r="B1524" s="3">
        <v>6.2</v>
      </c>
    </row>
    <row r="1525" spans="1:2" x14ac:dyDescent="0.3">
      <c r="A1525" s="31">
        <v>118</v>
      </c>
      <c r="B1525" s="4">
        <v>5.6</v>
      </c>
    </row>
    <row r="1526" spans="1:2" x14ac:dyDescent="0.3">
      <c r="A1526" s="32">
        <v>125</v>
      </c>
      <c r="B1526" s="3">
        <v>4.4000000000000004</v>
      </c>
    </row>
    <row r="1527" spans="1:2" x14ac:dyDescent="0.3">
      <c r="A1527" s="31">
        <v>94</v>
      </c>
      <c r="B1527" s="4">
        <v>7.5</v>
      </c>
    </row>
    <row r="1528" spans="1:2" x14ac:dyDescent="0.3">
      <c r="A1528" s="32">
        <v>79</v>
      </c>
      <c r="B1528" s="3">
        <v>7.1</v>
      </c>
    </row>
    <row r="1529" spans="1:2" x14ac:dyDescent="0.3">
      <c r="A1529" s="31">
        <v>106</v>
      </c>
      <c r="B1529" s="4">
        <v>6.4</v>
      </c>
    </row>
    <row r="1530" spans="1:2" x14ac:dyDescent="0.3">
      <c r="A1530" s="32">
        <v>63</v>
      </c>
      <c r="B1530" s="3">
        <v>7.1</v>
      </c>
    </row>
    <row r="1531" spans="1:2" x14ac:dyDescent="0.3">
      <c r="A1531" s="31">
        <v>85</v>
      </c>
      <c r="B1531" s="4">
        <v>5.9</v>
      </c>
    </row>
    <row r="1532" spans="1:2" x14ac:dyDescent="0.3">
      <c r="A1532" s="32">
        <v>108</v>
      </c>
      <c r="B1532" s="3">
        <v>6.9</v>
      </c>
    </row>
    <row r="1533" spans="1:2" x14ac:dyDescent="0.3">
      <c r="A1533" s="31">
        <v>139</v>
      </c>
      <c r="B1533" s="4">
        <v>7.5</v>
      </c>
    </row>
    <row r="1534" spans="1:2" x14ac:dyDescent="0.3">
      <c r="A1534" s="32">
        <v>127</v>
      </c>
      <c r="B1534" s="3">
        <v>6.3</v>
      </c>
    </row>
    <row r="1535" spans="1:2" x14ac:dyDescent="0.3">
      <c r="A1535" s="31">
        <v>106</v>
      </c>
      <c r="B1535" s="4">
        <v>6.4</v>
      </c>
    </row>
    <row r="1536" spans="1:2" x14ac:dyDescent="0.3">
      <c r="A1536" s="32">
        <v>95</v>
      </c>
      <c r="B1536" s="3">
        <v>5.9</v>
      </c>
    </row>
    <row r="1537" spans="1:2" x14ac:dyDescent="0.3">
      <c r="A1537" s="31">
        <v>118</v>
      </c>
      <c r="B1537" s="4">
        <v>6.8</v>
      </c>
    </row>
    <row r="1538" spans="1:2" x14ac:dyDescent="0.3">
      <c r="A1538" s="32">
        <v>108</v>
      </c>
      <c r="B1538" s="3">
        <v>6.3</v>
      </c>
    </row>
    <row r="1539" spans="1:2" x14ac:dyDescent="0.3">
      <c r="A1539" s="31">
        <v>105</v>
      </c>
      <c r="B1539" s="4">
        <v>3.6</v>
      </c>
    </row>
    <row r="1540" spans="1:2" x14ac:dyDescent="0.3">
      <c r="A1540" s="32">
        <v>131</v>
      </c>
      <c r="B1540" s="3">
        <v>5.3</v>
      </c>
    </row>
    <row r="1541" spans="1:2" x14ac:dyDescent="0.3">
      <c r="A1541" s="31">
        <v>104</v>
      </c>
      <c r="B1541" s="4">
        <v>5.9</v>
      </c>
    </row>
    <row r="1542" spans="1:2" x14ac:dyDescent="0.3">
      <c r="A1542" s="32">
        <v>133</v>
      </c>
      <c r="B1542" s="3">
        <v>6.9</v>
      </c>
    </row>
    <row r="1543" spans="1:2" x14ac:dyDescent="0.3">
      <c r="A1543" s="31">
        <v>94</v>
      </c>
      <c r="B1543" s="4">
        <v>6.9</v>
      </c>
    </row>
    <row r="1544" spans="1:2" x14ac:dyDescent="0.3">
      <c r="A1544" s="32">
        <v>109</v>
      </c>
      <c r="B1544" s="3">
        <v>6.1</v>
      </c>
    </row>
    <row r="1545" spans="1:2" x14ac:dyDescent="0.3">
      <c r="A1545" s="31">
        <v>96</v>
      </c>
      <c r="B1545" s="4">
        <v>5.7</v>
      </c>
    </row>
    <row r="1546" spans="1:2" x14ac:dyDescent="0.3">
      <c r="A1546" s="32">
        <v>105</v>
      </c>
      <c r="B1546" s="3">
        <v>8.5</v>
      </c>
    </row>
    <row r="1547" spans="1:2" x14ac:dyDescent="0.3">
      <c r="A1547" s="31">
        <v>99</v>
      </c>
      <c r="B1547" s="4">
        <v>6.3</v>
      </c>
    </row>
    <row r="1548" spans="1:2" x14ac:dyDescent="0.3">
      <c r="A1548" s="32">
        <v>112</v>
      </c>
      <c r="B1548" s="3">
        <v>7.3</v>
      </c>
    </row>
    <row r="1549" spans="1:2" x14ac:dyDescent="0.3">
      <c r="A1549" s="31">
        <v>108</v>
      </c>
      <c r="B1549" s="4">
        <v>6.3</v>
      </c>
    </row>
    <row r="1550" spans="1:2" x14ac:dyDescent="0.3">
      <c r="A1550" s="32">
        <v>126</v>
      </c>
      <c r="B1550" s="3">
        <v>7.2</v>
      </c>
    </row>
    <row r="1551" spans="1:2" x14ac:dyDescent="0.3">
      <c r="A1551" s="31">
        <v>98</v>
      </c>
      <c r="B1551" s="4">
        <v>7.3</v>
      </c>
    </row>
    <row r="1552" spans="1:2" x14ac:dyDescent="0.3">
      <c r="A1552" s="32">
        <v>104</v>
      </c>
      <c r="B1552" s="3">
        <v>6.3</v>
      </c>
    </row>
    <row r="1553" spans="1:2" x14ac:dyDescent="0.3">
      <c r="A1553" s="31">
        <v>110</v>
      </c>
      <c r="B1553" s="4">
        <v>8.1</v>
      </c>
    </row>
    <row r="1554" spans="1:2" x14ac:dyDescent="0.3">
      <c r="A1554" s="32">
        <v>130</v>
      </c>
      <c r="B1554" s="3">
        <v>6.9</v>
      </c>
    </row>
    <row r="1555" spans="1:2" x14ac:dyDescent="0.3">
      <c r="A1555" s="31">
        <v>93</v>
      </c>
      <c r="B1555" s="4">
        <v>6.3</v>
      </c>
    </row>
    <row r="1556" spans="1:2" x14ac:dyDescent="0.3">
      <c r="A1556" s="32">
        <v>96</v>
      </c>
      <c r="B1556" s="3">
        <v>7.3</v>
      </c>
    </row>
    <row r="1557" spans="1:2" x14ac:dyDescent="0.3">
      <c r="A1557" s="31">
        <v>114</v>
      </c>
      <c r="B1557" s="4">
        <v>5.5</v>
      </c>
    </row>
    <row r="1558" spans="1:2" x14ac:dyDescent="0.3">
      <c r="A1558" s="32">
        <v>106</v>
      </c>
      <c r="B1558" s="3">
        <v>6.1</v>
      </c>
    </row>
    <row r="1559" spans="1:2" x14ac:dyDescent="0.3">
      <c r="A1559" s="31">
        <v>150</v>
      </c>
      <c r="B1559" s="4">
        <v>6.9</v>
      </c>
    </row>
    <row r="1560" spans="1:2" x14ac:dyDescent="0.3">
      <c r="A1560" s="32">
        <v>100</v>
      </c>
      <c r="B1560" s="3">
        <v>7.2</v>
      </c>
    </row>
    <row r="1561" spans="1:2" x14ac:dyDescent="0.3">
      <c r="A1561" s="31">
        <v>100</v>
      </c>
      <c r="B1561" s="4">
        <v>6.4</v>
      </c>
    </row>
    <row r="1562" spans="1:2" x14ac:dyDescent="0.3">
      <c r="A1562" s="32">
        <v>100</v>
      </c>
      <c r="B1562" s="3">
        <v>6.4</v>
      </c>
    </row>
    <row r="1563" spans="1:2" x14ac:dyDescent="0.3">
      <c r="A1563" s="31">
        <v>107</v>
      </c>
      <c r="B1563" s="4">
        <v>8.3000000000000007</v>
      </c>
    </row>
    <row r="1564" spans="1:2" x14ac:dyDescent="0.3">
      <c r="A1564" s="32">
        <v>102</v>
      </c>
      <c r="B1564" s="3">
        <v>7.2</v>
      </c>
    </row>
    <row r="1565" spans="1:2" x14ac:dyDescent="0.3">
      <c r="A1565" s="31">
        <v>101</v>
      </c>
      <c r="B1565" s="4">
        <v>6.8</v>
      </c>
    </row>
    <row r="1566" spans="1:2" x14ac:dyDescent="0.3">
      <c r="A1566" s="32">
        <v>86</v>
      </c>
      <c r="B1566" s="3">
        <v>6.5</v>
      </c>
    </row>
    <row r="1567" spans="1:2" x14ac:dyDescent="0.3">
      <c r="A1567" s="31">
        <v>108</v>
      </c>
      <c r="B1567" s="4">
        <v>7.8</v>
      </c>
    </row>
    <row r="1568" spans="1:2" x14ac:dyDescent="0.3">
      <c r="A1568" s="32">
        <v>123</v>
      </c>
      <c r="B1568" s="3">
        <v>7.6</v>
      </c>
    </row>
    <row r="1569" spans="1:2" x14ac:dyDescent="0.3">
      <c r="A1569" s="31">
        <v>88</v>
      </c>
      <c r="B1569" s="4">
        <v>7.2</v>
      </c>
    </row>
    <row r="1570" spans="1:2" x14ac:dyDescent="0.3">
      <c r="A1570" s="32">
        <v>109</v>
      </c>
      <c r="B1570" s="3">
        <v>6.7</v>
      </c>
    </row>
    <row r="1571" spans="1:2" x14ac:dyDescent="0.3">
      <c r="A1571" s="31">
        <v>122</v>
      </c>
      <c r="B1571" s="4">
        <v>6.8</v>
      </c>
    </row>
    <row r="1572" spans="1:2" x14ac:dyDescent="0.3">
      <c r="A1572" s="32">
        <v>251</v>
      </c>
      <c r="B1572" s="3">
        <v>6.3</v>
      </c>
    </row>
    <row r="1573" spans="1:2" x14ac:dyDescent="0.3">
      <c r="A1573" s="31">
        <v>118</v>
      </c>
      <c r="B1573" s="4">
        <v>6.2</v>
      </c>
    </row>
    <row r="1574" spans="1:2" x14ac:dyDescent="0.3">
      <c r="A1574" s="32">
        <v>131</v>
      </c>
      <c r="B1574" s="3">
        <v>6.2</v>
      </c>
    </row>
    <row r="1575" spans="1:2" x14ac:dyDescent="0.3">
      <c r="A1575" s="31">
        <v>109</v>
      </c>
      <c r="B1575" s="4">
        <v>8.6</v>
      </c>
    </row>
    <row r="1576" spans="1:2" x14ac:dyDescent="0.3">
      <c r="A1576" s="32">
        <v>88</v>
      </c>
      <c r="B1576" s="3">
        <v>8</v>
      </c>
    </row>
    <row r="1577" spans="1:2" x14ac:dyDescent="0.3">
      <c r="A1577" s="31">
        <v>103</v>
      </c>
      <c r="B1577" s="4">
        <v>7</v>
      </c>
    </row>
    <row r="1578" spans="1:2" x14ac:dyDescent="0.3">
      <c r="A1578" s="32">
        <v>87</v>
      </c>
      <c r="B1578" s="3">
        <v>8</v>
      </c>
    </row>
    <row r="1579" spans="1:2" x14ac:dyDescent="0.3">
      <c r="A1579" s="31">
        <v>160</v>
      </c>
      <c r="B1579" s="4">
        <v>8.1</v>
      </c>
    </row>
    <row r="1580" spans="1:2" x14ac:dyDescent="0.3">
      <c r="A1580" s="32">
        <v>121</v>
      </c>
      <c r="B1580" s="3">
        <v>6.7</v>
      </c>
    </row>
    <row r="1581" spans="1:2" x14ac:dyDescent="0.3">
      <c r="A1581" s="31">
        <v>129</v>
      </c>
      <c r="B1581" s="4">
        <v>7.9</v>
      </c>
    </row>
    <row r="1582" spans="1:2" x14ac:dyDescent="0.3">
      <c r="A1582" s="32">
        <v>115</v>
      </c>
      <c r="B1582" s="3">
        <v>6.1</v>
      </c>
    </row>
    <row r="1583" spans="1:2" x14ac:dyDescent="0.3">
      <c r="A1583" s="31">
        <v>153</v>
      </c>
      <c r="B1583" s="4">
        <v>4.2</v>
      </c>
    </row>
    <row r="1584" spans="1:2" x14ac:dyDescent="0.3">
      <c r="A1584" s="32">
        <v>128</v>
      </c>
      <c r="B1584" s="3">
        <v>6.1</v>
      </c>
    </row>
    <row r="1585" spans="1:2" x14ac:dyDescent="0.3">
      <c r="A1585" s="31">
        <v>89</v>
      </c>
      <c r="B1585" s="4">
        <v>6.6</v>
      </c>
    </row>
    <row r="1586" spans="1:2" x14ac:dyDescent="0.3">
      <c r="A1586" s="32">
        <v>122</v>
      </c>
      <c r="B1586" s="3">
        <v>7.5</v>
      </c>
    </row>
    <row r="1587" spans="1:2" x14ac:dyDescent="0.3">
      <c r="A1587" s="31">
        <v>99</v>
      </c>
      <c r="B1587" s="4">
        <v>7.4</v>
      </c>
    </row>
    <row r="1588" spans="1:2" x14ac:dyDescent="0.3">
      <c r="A1588" s="32">
        <v>99</v>
      </c>
      <c r="B1588" s="3">
        <v>7.2</v>
      </c>
    </row>
    <row r="1589" spans="1:2" x14ac:dyDescent="0.3">
      <c r="A1589" s="31">
        <v>147</v>
      </c>
      <c r="B1589" s="4">
        <v>6.9</v>
      </c>
    </row>
    <row r="1590" spans="1:2" x14ac:dyDescent="0.3">
      <c r="A1590" s="32">
        <v>112</v>
      </c>
      <c r="B1590" s="3">
        <v>7.4</v>
      </c>
    </row>
    <row r="1591" spans="1:2" x14ac:dyDescent="0.3">
      <c r="A1591" s="31">
        <v>88</v>
      </c>
      <c r="B1591" s="4">
        <v>5.4</v>
      </c>
    </row>
    <row r="1592" spans="1:2" x14ac:dyDescent="0.3">
      <c r="A1592" s="32">
        <v>94</v>
      </c>
      <c r="B1592" s="3">
        <v>6.8</v>
      </c>
    </row>
    <row r="1593" spans="1:2" x14ac:dyDescent="0.3">
      <c r="A1593" s="31">
        <v>90</v>
      </c>
      <c r="B1593" s="4">
        <v>6.3</v>
      </c>
    </row>
    <row r="1594" spans="1:2" x14ac:dyDescent="0.3">
      <c r="A1594" s="32">
        <v>167</v>
      </c>
      <c r="B1594" s="3">
        <v>7.2</v>
      </c>
    </row>
    <row r="1595" spans="1:2" x14ac:dyDescent="0.3">
      <c r="A1595" s="31">
        <v>83</v>
      </c>
      <c r="B1595" s="4">
        <v>6.9</v>
      </c>
    </row>
    <row r="1596" spans="1:2" x14ac:dyDescent="0.3">
      <c r="A1596" s="32">
        <v>104</v>
      </c>
      <c r="B1596" s="3">
        <v>6</v>
      </c>
    </row>
    <row r="1597" spans="1:2" x14ac:dyDescent="0.3">
      <c r="A1597" s="31">
        <v>102</v>
      </c>
      <c r="B1597" s="4">
        <v>5.9</v>
      </c>
    </row>
    <row r="1598" spans="1:2" x14ac:dyDescent="0.3">
      <c r="A1598" s="32">
        <v>131</v>
      </c>
      <c r="B1598" s="3">
        <v>5.4</v>
      </c>
    </row>
    <row r="1599" spans="1:2" x14ac:dyDescent="0.3">
      <c r="A1599" s="31">
        <v>101</v>
      </c>
      <c r="B1599" s="4">
        <v>5.9</v>
      </c>
    </row>
    <row r="1600" spans="1:2" x14ac:dyDescent="0.3">
      <c r="A1600" s="32">
        <v>130</v>
      </c>
      <c r="B1600" s="3">
        <v>6.1</v>
      </c>
    </row>
    <row r="1601" spans="1:2" x14ac:dyDescent="0.3">
      <c r="A1601" s="31">
        <v>120</v>
      </c>
      <c r="B1601" s="4">
        <v>7.7</v>
      </c>
    </row>
    <row r="1602" spans="1:2" x14ac:dyDescent="0.3">
      <c r="A1602" s="32">
        <v>135</v>
      </c>
      <c r="B1602" s="3">
        <v>5.8</v>
      </c>
    </row>
    <row r="1603" spans="1:2" x14ac:dyDescent="0.3">
      <c r="A1603" s="31">
        <v>110</v>
      </c>
      <c r="B1603" s="4">
        <v>7.6</v>
      </c>
    </row>
    <row r="1604" spans="1:2" x14ac:dyDescent="0.3">
      <c r="A1604" s="32">
        <v>103</v>
      </c>
      <c r="B1604" s="3">
        <v>6.1</v>
      </c>
    </row>
    <row r="1605" spans="1:2" x14ac:dyDescent="0.3">
      <c r="A1605" s="31">
        <v>110</v>
      </c>
      <c r="B1605" s="4">
        <v>5.4</v>
      </c>
    </row>
    <row r="1606" spans="1:2" x14ac:dyDescent="0.3">
      <c r="A1606" s="32">
        <v>91</v>
      </c>
      <c r="B1606" s="3">
        <v>5.0999999999999996</v>
      </c>
    </row>
    <row r="1607" spans="1:2" x14ac:dyDescent="0.3">
      <c r="A1607" s="31">
        <v>105</v>
      </c>
      <c r="B1607" s="4">
        <v>6.4</v>
      </c>
    </row>
    <row r="1608" spans="1:2" x14ac:dyDescent="0.3">
      <c r="A1608" s="32">
        <v>127</v>
      </c>
      <c r="B1608" s="3">
        <v>6.3</v>
      </c>
    </row>
    <row r="1609" spans="1:2" x14ac:dyDescent="0.3">
      <c r="A1609" s="31">
        <v>82</v>
      </c>
      <c r="B1609" s="4">
        <v>7.5</v>
      </c>
    </row>
    <row r="1610" spans="1:2" x14ac:dyDescent="0.3">
      <c r="A1610" s="32">
        <v>99</v>
      </c>
      <c r="B1610" s="3">
        <v>7.1</v>
      </c>
    </row>
    <row r="1611" spans="1:2" x14ac:dyDescent="0.3">
      <c r="A1611" s="31">
        <v>90</v>
      </c>
      <c r="B1611" s="4">
        <v>5.2</v>
      </c>
    </row>
    <row r="1612" spans="1:2" x14ac:dyDescent="0.3">
      <c r="A1612" s="32">
        <v>115</v>
      </c>
      <c r="B1612" s="3">
        <v>7.8</v>
      </c>
    </row>
    <row r="1613" spans="1:2" x14ac:dyDescent="0.3">
      <c r="A1613" s="31">
        <v>96</v>
      </c>
      <c r="B1613" s="4">
        <v>6.5</v>
      </c>
    </row>
    <row r="1614" spans="1:2" x14ac:dyDescent="0.3">
      <c r="A1614" s="32">
        <v>104</v>
      </c>
      <c r="B1614" s="3">
        <v>6.6</v>
      </c>
    </row>
    <row r="1615" spans="1:2" x14ac:dyDescent="0.3">
      <c r="A1615" s="31">
        <v>117</v>
      </c>
      <c r="B1615" s="4">
        <v>5.0999999999999996</v>
      </c>
    </row>
    <row r="1616" spans="1:2" x14ac:dyDescent="0.3">
      <c r="A1616" s="32">
        <v>83</v>
      </c>
      <c r="B1616" s="3">
        <v>7.4</v>
      </c>
    </row>
    <row r="1617" spans="1:2" x14ac:dyDescent="0.3">
      <c r="A1617" s="31">
        <v>99</v>
      </c>
      <c r="B1617" s="4">
        <v>7.2</v>
      </c>
    </row>
    <row r="1618" spans="1:2" x14ac:dyDescent="0.3">
      <c r="A1618" s="32">
        <v>81</v>
      </c>
      <c r="B1618" s="3">
        <v>7.6</v>
      </c>
    </row>
    <row r="1619" spans="1:2" x14ac:dyDescent="0.3">
      <c r="A1619" s="31">
        <v>135</v>
      </c>
      <c r="B1619" s="4">
        <v>7.5</v>
      </c>
    </row>
    <row r="1620" spans="1:2" x14ac:dyDescent="0.3">
      <c r="A1620" s="32">
        <v>117</v>
      </c>
      <c r="B1620" s="3">
        <v>6.6</v>
      </c>
    </row>
    <row r="1621" spans="1:2" x14ac:dyDescent="0.3">
      <c r="A1621" s="31">
        <v>139</v>
      </c>
      <c r="B1621" s="4">
        <v>7.2</v>
      </c>
    </row>
    <row r="1622" spans="1:2" x14ac:dyDescent="0.3">
      <c r="A1622" s="32">
        <v>123</v>
      </c>
      <c r="B1622" s="3">
        <v>7.6</v>
      </c>
    </row>
    <row r="1623" spans="1:2" x14ac:dyDescent="0.3">
      <c r="A1623" s="31">
        <v>117</v>
      </c>
      <c r="B1623" s="4">
        <v>6.2</v>
      </c>
    </row>
    <row r="1624" spans="1:2" x14ac:dyDescent="0.3">
      <c r="A1624" s="32">
        <v>97</v>
      </c>
      <c r="B1624" s="3">
        <v>5.6</v>
      </c>
    </row>
    <row r="1625" spans="1:2" x14ac:dyDescent="0.3">
      <c r="A1625" s="31">
        <v>81</v>
      </c>
      <c r="B1625" s="4">
        <v>7.6</v>
      </c>
    </row>
    <row r="1626" spans="1:2" x14ac:dyDescent="0.3">
      <c r="A1626" s="32">
        <v>103</v>
      </c>
      <c r="B1626" s="3">
        <v>6.6</v>
      </c>
    </row>
    <row r="1627" spans="1:2" x14ac:dyDescent="0.3">
      <c r="A1627" s="31">
        <v>119</v>
      </c>
      <c r="B1627" s="4">
        <v>7</v>
      </c>
    </row>
    <row r="1628" spans="1:2" x14ac:dyDescent="0.3">
      <c r="A1628" s="32">
        <v>94</v>
      </c>
      <c r="B1628" s="3">
        <v>2.7</v>
      </c>
    </row>
    <row r="1629" spans="1:2" x14ac:dyDescent="0.3">
      <c r="A1629" s="31">
        <v>89</v>
      </c>
      <c r="B1629" s="4">
        <v>7.6</v>
      </c>
    </row>
    <row r="1630" spans="1:2" x14ac:dyDescent="0.3">
      <c r="A1630" s="32">
        <v>98</v>
      </c>
      <c r="B1630" s="3">
        <v>6.6</v>
      </c>
    </row>
    <row r="1631" spans="1:2" x14ac:dyDescent="0.3">
      <c r="A1631" s="31">
        <v>107</v>
      </c>
      <c r="B1631" s="4">
        <v>6.9</v>
      </c>
    </row>
    <row r="1632" spans="1:2" x14ac:dyDescent="0.3">
      <c r="A1632" s="32">
        <v>108</v>
      </c>
      <c r="B1632" s="3">
        <v>6.8</v>
      </c>
    </row>
    <row r="1633" spans="1:2" x14ac:dyDescent="0.3">
      <c r="A1633" s="31">
        <v>110</v>
      </c>
      <c r="B1633" s="4">
        <v>3.7</v>
      </c>
    </row>
    <row r="1634" spans="1:2" x14ac:dyDescent="0.3">
      <c r="A1634" s="32">
        <v>103</v>
      </c>
      <c r="B1634" s="3">
        <v>6.1</v>
      </c>
    </row>
    <row r="1635" spans="1:2" x14ac:dyDescent="0.3">
      <c r="A1635" s="31">
        <v>100</v>
      </c>
      <c r="B1635" s="4">
        <v>5.9</v>
      </c>
    </row>
    <row r="1636" spans="1:2" x14ac:dyDescent="0.3">
      <c r="A1636" s="32">
        <v>131</v>
      </c>
      <c r="B1636" s="3">
        <v>6.7</v>
      </c>
    </row>
    <row r="1637" spans="1:2" x14ac:dyDescent="0.3">
      <c r="A1637" s="31">
        <v>109</v>
      </c>
      <c r="B1637" s="4">
        <v>6.9</v>
      </c>
    </row>
    <row r="1638" spans="1:2" x14ac:dyDescent="0.3">
      <c r="A1638" s="32">
        <v>114</v>
      </c>
      <c r="B1638" s="3">
        <v>5.5</v>
      </c>
    </row>
    <row r="1639" spans="1:2" x14ac:dyDescent="0.3">
      <c r="A1639" s="31">
        <v>164</v>
      </c>
      <c r="B1639" s="4">
        <v>7.1</v>
      </c>
    </row>
    <row r="1640" spans="1:2" x14ac:dyDescent="0.3">
      <c r="A1640" s="32">
        <v>92</v>
      </c>
      <c r="B1640" s="3">
        <v>7.1</v>
      </c>
    </row>
    <row r="1641" spans="1:2" x14ac:dyDescent="0.3">
      <c r="A1641" s="31">
        <v>122</v>
      </c>
      <c r="B1641" s="4">
        <v>5.9</v>
      </c>
    </row>
    <row r="1642" spans="1:2" x14ac:dyDescent="0.3">
      <c r="A1642" s="32">
        <v>110</v>
      </c>
      <c r="B1642" s="3">
        <v>7.3</v>
      </c>
    </row>
    <row r="1643" spans="1:2" x14ac:dyDescent="0.3">
      <c r="A1643" s="31">
        <v>116</v>
      </c>
      <c r="B1643" s="4">
        <v>3.4</v>
      </c>
    </row>
    <row r="1644" spans="1:2" x14ac:dyDescent="0.3">
      <c r="A1644" s="32">
        <v>115</v>
      </c>
      <c r="B1644" s="3">
        <v>6.8</v>
      </c>
    </row>
    <row r="1645" spans="1:2" x14ac:dyDescent="0.3">
      <c r="A1645" s="31">
        <v>148</v>
      </c>
      <c r="B1645" s="4">
        <v>6.9</v>
      </c>
    </row>
    <row r="1646" spans="1:2" x14ac:dyDescent="0.3">
      <c r="A1646" s="32">
        <v>118</v>
      </c>
      <c r="B1646" s="3">
        <v>7</v>
      </c>
    </row>
    <row r="1647" spans="1:2" x14ac:dyDescent="0.3">
      <c r="A1647" s="31">
        <v>101</v>
      </c>
      <c r="B1647" s="4">
        <v>5.5</v>
      </c>
    </row>
    <row r="1648" spans="1:2" x14ac:dyDescent="0.3">
      <c r="A1648" s="32">
        <v>82</v>
      </c>
      <c r="B1648" s="3">
        <v>5.0999999999999996</v>
      </c>
    </row>
    <row r="1649" spans="1:2" x14ac:dyDescent="0.3">
      <c r="A1649" s="31">
        <v>110</v>
      </c>
      <c r="B1649" s="4">
        <v>6.2</v>
      </c>
    </row>
    <row r="1650" spans="1:2" x14ac:dyDescent="0.3">
      <c r="A1650" s="32">
        <v>193</v>
      </c>
      <c r="B1650" s="3">
        <v>5.9</v>
      </c>
    </row>
    <row r="1651" spans="1:2" x14ac:dyDescent="0.3">
      <c r="A1651" s="31">
        <v>130</v>
      </c>
      <c r="B1651" s="4">
        <v>5.2</v>
      </c>
    </row>
    <row r="1652" spans="1:2" x14ac:dyDescent="0.3">
      <c r="A1652" s="32">
        <v>111</v>
      </c>
      <c r="B1652" s="3">
        <v>6.2</v>
      </c>
    </row>
    <row r="1653" spans="1:2" x14ac:dyDescent="0.3">
      <c r="A1653" s="31">
        <v>110</v>
      </c>
      <c r="B1653" s="4">
        <v>5.5</v>
      </c>
    </row>
    <row r="1654" spans="1:2" x14ac:dyDescent="0.3">
      <c r="A1654" s="32">
        <v>123</v>
      </c>
      <c r="B1654" s="3">
        <v>7.4</v>
      </c>
    </row>
    <row r="1655" spans="1:2" x14ac:dyDescent="0.3">
      <c r="A1655" s="31">
        <v>109</v>
      </c>
      <c r="B1655" s="4">
        <v>4.4000000000000004</v>
      </c>
    </row>
    <row r="1656" spans="1:2" x14ac:dyDescent="0.3">
      <c r="A1656" s="32">
        <v>99</v>
      </c>
      <c r="B1656" s="3">
        <v>6.3</v>
      </c>
    </row>
    <row r="1657" spans="1:2" x14ac:dyDescent="0.3">
      <c r="A1657" s="31">
        <v>106</v>
      </c>
      <c r="B1657" s="4">
        <v>6.1</v>
      </c>
    </row>
    <row r="1658" spans="1:2" x14ac:dyDescent="0.3">
      <c r="A1658" s="32">
        <v>89</v>
      </c>
      <c r="B1658" s="3">
        <v>5.3</v>
      </c>
    </row>
    <row r="1659" spans="1:2" x14ac:dyDescent="0.3">
      <c r="A1659" s="31">
        <v>98</v>
      </c>
      <c r="B1659" s="4">
        <v>5.4</v>
      </c>
    </row>
    <row r="1660" spans="1:2" x14ac:dyDescent="0.3">
      <c r="A1660" s="32">
        <v>93</v>
      </c>
      <c r="B1660" s="3">
        <v>6.7</v>
      </c>
    </row>
    <row r="1661" spans="1:2" x14ac:dyDescent="0.3">
      <c r="A1661" s="31">
        <v>112</v>
      </c>
      <c r="B1661" s="4">
        <v>5.9</v>
      </c>
    </row>
    <row r="1662" spans="1:2" x14ac:dyDescent="0.3">
      <c r="A1662" s="32">
        <v>101</v>
      </c>
      <c r="B1662" s="3">
        <v>7.3</v>
      </c>
    </row>
    <row r="1663" spans="1:2" x14ac:dyDescent="0.3">
      <c r="A1663" s="31">
        <v>104</v>
      </c>
      <c r="B1663" s="4">
        <v>5.5</v>
      </c>
    </row>
    <row r="1664" spans="1:2" x14ac:dyDescent="0.3">
      <c r="A1664" s="32">
        <v>120</v>
      </c>
      <c r="B1664" s="3">
        <v>5.8</v>
      </c>
    </row>
    <row r="1665" spans="1:2" x14ac:dyDescent="0.3">
      <c r="A1665" s="31">
        <v>91</v>
      </c>
      <c r="B1665" s="4">
        <v>4.5999999999999996</v>
      </c>
    </row>
    <row r="1666" spans="1:2" x14ac:dyDescent="0.3">
      <c r="A1666" s="32">
        <v>97</v>
      </c>
      <c r="B1666" s="3">
        <v>6.7</v>
      </c>
    </row>
    <row r="1667" spans="1:2" x14ac:dyDescent="0.3">
      <c r="A1667" s="31">
        <v>133</v>
      </c>
      <c r="B1667" s="4">
        <v>5.0999999999999996</v>
      </c>
    </row>
    <row r="1668" spans="1:2" x14ac:dyDescent="0.3">
      <c r="A1668" s="32">
        <v>123</v>
      </c>
      <c r="B1668" s="3">
        <v>5.6</v>
      </c>
    </row>
    <row r="1669" spans="1:2" x14ac:dyDescent="0.3">
      <c r="A1669" s="31">
        <v>114</v>
      </c>
      <c r="B1669" s="4">
        <v>7</v>
      </c>
    </row>
    <row r="1670" spans="1:2" x14ac:dyDescent="0.3">
      <c r="A1670" s="32">
        <v>111</v>
      </c>
      <c r="B1670" s="3">
        <v>6.4</v>
      </c>
    </row>
    <row r="1671" spans="1:2" x14ac:dyDescent="0.3">
      <c r="A1671" s="31">
        <v>117</v>
      </c>
      <c r="B1671" s="4">
        <v>6.7</v>
      </c>
    </row>
    <row r="1672" spans="1:2" x14ac:dyDescent="0.3">
      <c r="A1672" s="32">
        <v>121</v>
      </c>
      <c r="B1672" s="3">
        <v>4.0999999999999996</v>
      </c>
    </row>
    <row r="1673" spans="1:2" x14ac:dyDescent="0.3">
      <c r="A1673" s="31">
        <v>139</v>
      </c>
      <c r="B1673" s="4">
        <v>5.5</v>
      </c>
    </row>
    <row r="1674" spans="1:2" x14ac:dyDescent="0.3">
      <c r="A1674" s="32">
        <v>115</v>
      </c>
      <c r="B1674" s="3">
        <v>2.7</v>
      </c>
    </row>
    <row r="1675" spans="1:2" x14ac:dyDescent="0.3">
      <c r="A1675" s="31">
        <v>175</v>
      </c>
      <c r="B1675" s="4">
        <v>6.4</v>
      </c>
    </row>
    <row r="1676" spans="1:2" x14ac:dyDescent="0.3">
      <c r="A1676" s="32">
        <v>85</v>
      </c>
      <c r="B1676" s="3">
        <v>4.8</v>
      </c>
    </row>
    <row r="1677" spans="1:2" x14ac:dyDescent="0.3">
      <c r="A1677" s="31">
        <v>90</v>
      </c>
      <c r="B1677" s="4">
        <v>6.1</v>
      </c>
    </row>
    <row r="1678" spans="1:2" x14ac:dyDescent="0.3">
      <c r="A1678" s="32">
        <v>107</v>
      </c>
      <c r="B1678" s="3">
        <v>4.8</v>
      </c>
    </row>
    <row r="1679" spans="1:2" x14ac:dyDescent="0.3">
      <c r="A1679" s="31">
        <v>100</v>
      </c>
      <c r="B1679" s="4">
        <v>7</v>
      </c>
    </row>
    <row r="1680" spans="1:2" x14ac:dyDescent="0.3">
      <c r="A1680" s="32">
        <v>129</v>
      </c>
      <c r="B1680" s="3">
        <v>6.8</v>
      </c>
    </row>
    <row r="1681" spans="1:2" x14ac:dyDescent="0.3">
      <c r="A1681" s="31">
        <v>109</v>
      </c>
      <c r="B1681" s="4">
        <v>7.3</v>
      </c>
    </row>
    <row r="1682" spans="1:2" x14ac:dyDescent="0.3">
      <c r="A1682" s="32">
        <v>133</v>
      </c>
      <c r="B1682" s="3">
        <v>5.6</v>
      </c>
    </row>
    <row r="1683" spans="1:2" x14ac:dyDescent="0.3">
      <c r="A1683" s="31">
        <v>105</v>
      </c>
      <c r="B1683" s="4">
        <v>6.1</v>
      </c>
    </row>
    <row r="1684" spans="1:2" x14ac:dyDescent="0.3">
      <c r="A1684" s="32">
        <v>100</v>
      </c>
      <c r="B1684" s="3">
        <v>7.9</v>
      </c>
    </row>
    <row r="1685" spans="1:2" x14ac:dyDescent="0.3">
      <c r="A1685" s="31">
        <v>113</v>
      </c>
      <c r="B1685" s="4">
        <v>8.4</v>
      </c>
    </row>
    <row r="1686" spans="1:2" x14ac:dyDescent="0.3">
      <c r="A1686" s="32">
        <v>118</v>
      </c>
      <c r="B1686" s="3">
        <v>6.5</v>
      </c>
    </row>
    <row r="1687" spans="1:2" x14ac:dyDescent="0.3">
      <c r="A1687" s="31">
        <v>110</v>
      </c>
      <c r="B1687" s="4">
        <v>7.1</v>
      </c>
    </row>
    <row r="1688" spans="1:2" x14ac:dyDescent="0.3">
      <c r="A1688" s="32">
        <v>110</v>
      </c>
      <c r="B1688" s="3">
        <v>6.6</v>
      </c>
    </row>
    <row r="1689" spans="1:2" x14ac:dyDescent="0.3">
      <c r="A1689" s="31">
        <v>99</v>
      </c>
      <c r="B1689" s="4">
        <v>4</v>
      </c>
    </row>
    <row r="1690" spans="1:2" x14ac:dyDescent="0.3">
      <c r="A1690" s="32">
        <v>101</v>
      </c>
      <c r="B1690" s="3">
        <v>7</v>
      </c>
    </row>
    <row r="1691" spans="1:2" x14ac:dyDescent="0.3">
      <c r="A1691" s="31">
        <v>103</v>
      </c>
      <c r="B1691" s="4">
        <v>5.6</v>
      </c>
    </row>
    <row r="1692" spans="1:2" x14ac:dyDescent="0.3">
      <c r="A1692" s="32">
        <v>95</v>
      </c>
      <c r="B1692" s="3">
        <v>4.8</v>
      </c>
    </row>
    <row r="1693" spans="1:2" x14ac:dyDescent="0.3">
      <c r="A1693" s="31">
        <v>117</v>
      </c>
      <c r="B1693" s="4">
        <v>7.5</v>
      </c>
    </row>
    <row r="1694" spans="1:2" x14ac:dyDescent="0.3">
      <c r="A1694" s="32">
        <v>129</v>
      </c>
      <c r="B1694" s="3">
        <v>6</v>
      </c>
    </row>
    <row r="1695" spans="1:2" x14ac:dyDescent="0.3">
      <c r="A1695" s="31">
        <v>120</v>
      </c>
      <c r="B1695" s="4">
        <v>7.2</v>
      </c>
    </row>
    <row r="1696" spans="1:2" x14ac:dyDescent="0.3">
      <c r="A1696" s="32">
        <v>125</v>
      </c>
      <c r="B1696" s="3">
        <v>5.6</v>
      </c>
    </row>
    <row r="1697" spans="1:2" x14ac:dyDescent="0.3">
      <c r="A1697" s="31">
        <v>133</v>
      </c>
      <c r="B1697" s="4">
        <v>6.8</v>
      </c>
    </row>
    <row r="1698" spans="1:2" x14ac:dyDescent="0.3">
      <c r="A1698" s="32">
        <v>116</v>
      </c>
      <c r="B1698" s="3">
        <v>4.9000000000000004</v>
      </c>
    </row>
    <row r="1699" spans="1:2" x14ac:dyDescent="0.3">
      <c r="A1699" s="31">
        <v>129</v>
      </c>
      <c r="B1699" s="4">
        <v>7.1</v>
      </c>
    </row>
    <row r="1700" spans="1:2" x14ac:dyDescent="0.3">
      <c r="A1700" s="32">
        <v>93</v>
      </c>
      <c r="B1700" s="3">
        <v>2</v>
      </c>
    </row>
    <row r="1701" spans="1:2" x14ac:dyDescent="0.3">
      <c r="A1701" s="31">
        <v>118</v>
      </c>
      <c r="B1701" s="4">
        <v>5.7</v>
      </c>
    </row>
    <row r="1702" spans="1:2" x14ac:dyDescent="0.3">
      <c r="A1702" s="32">
        <v>129</v>
      </c>
      <c r="B1702" s="3">
        <v>4.0999999999999996</v>
      </c>
    </row>
    <row r="1703" spans="1:2" x14ac:dyDescent="0.3">
      <c r="A1703" s="31">
        <v>185</v>
      </c>
      <c r="B1703" s="4">
        <v>6.7</v>
      </c>
    </row>
    <row r="1704" spans="1:2" x14ac:dyDescent="0.3">
      <c r="A1704" s="32">
        <v>146</v>
      </c>
      <c r="B1704" s="3">
        <v>7.5</v>
      </c>
    </row>
    <row r="1705" spans="1:2" x14ac:dyDescent="0.3">
      <c r="A1705" s="31">
        <v>128</v>
      </c>
      <c r="B1705" s="4">
        <v>6.5</v>
      </c>
    </row>
    <row r="1706" spans="1:2" x14ac:dyDescent="0.3">
      <c r="A1706" s="32">
        <v>93</v>
      </c>
      <c r="B1706" s="3">
        <v>7.9</v>
      </c>
    </row>
    <row r="1707" spans="1:2" x14ac:dyDescent="0.3">
      <c r="A1707" s="31">
        <v>82</v>
      </c>
      <c r="B1707" s="4">
        <v>6.4</v>
      </c>
    </row>
    <row r="1708" spans="1:2" x14ac:dyDescent="0.3">
      <c r="A1708" s="32">
        <v>85</v>
      </c>
      <c r="B1708" s="3">
        <v>5.8</v>
      </c>
    </row>
    <row r="1709" spans="1:2" x14ac:dyDescent="0.3">
      <c r="A1709" s="31">
        <v>88</v>
      </c>
      <c r="B1709" s="4">
        <v>7.7</v>
      </c>
    </row>
    <row r="1710" spans="1:2" x14ac:dyDescent="0.3">
      <c r="A1710" s="32">
        <v>119</v>
      </c>
      <c r="B1710" s="3">
        <v>7.1</v>
      </c>
    </row>
    <row r="1711" spans="1:2" x14ac:dyDescent="0.3">
      <c r="A1711" s="31">
        <v>122</v>
      </c>
      <c r="B1711" s="4">
        <v>5.3</v>
      </c>
    </row>
    <row r="1712" spans="1:2" x14ac:dyDescent="0.3">
      <c r="A1712" s="32">
        <v>99</v>
      </c>
      <c r="B1712" s="3">
        <v>5.3</v>
      </c>
    </row>
    <row r="1713" spans="1:2" x14ac:dyDescent="0.3">
      <c r="A1713" s="31">
        <v>97</v>
      </c>
      <c r="B1713" s="4">
        <v>7.5</v>
      </c>
    </row>
    <row r="1714" spans="1:2" x14ac:dyDescent="0.3">
      <c r="A1714" s="32">
        <v>121</v>
      </c>
      <c r="B1714" s="3">
        <v>6.9</v>
      </c>
    </row>
    <row r="1715" spans="1:2" x14ac:dyDescent="0.3">
      <c r="A1715" s="31">
        <v>95</v>
      </c>
      <c r="B1715" s="4">
        <v>4.9000000000000004</v>
      </c>
    </row>
    <row r="1716" spans="1:2" x14ac:dyDescent="0.3">
      <c r="A1716" s="32">
        <v>105</v>
      </c>
      <c r="B1716" s="3">
        <v>7.1</v>
      </c>
    </row>
    <row r="1717" spans="1:2" x14ac:dyDescent="0.3">
      <c r="A1717" s="31">
        <v>108</v>
      </c>
      <c r="B1717" s="4">
        <v>8</v>
      </c>
    </row>
    <row r="1718" spans="1:2" x14ac:dyDescent="0.3">
      <c r="A1718" s="32">
        <v>134</v>
      </c>
      <c r="B1718" s="3">
        <v>7.9</v>
      </c>
    </row>
    <row r="1719" spans="1:2" x14ac:dyDescent="0.3">
      <c r="A1719" s="31">
        <v>115</v>
      </c>
      <c r="B1719" s="4">
        <v>7.6</v>
      </c>
    </row>
    <row r="1720" spans="1:2" x14ac:dyDescent="0.3">
      <c r="A1720" s="32">
        <v>86</v>
      </c>
      <c r="B1720" s="3">
        <v>5.9</v>
      </c>
    </row>
    <row r="1721" spans="1:2" x14ac:dyDescent="0.3">
      <c r="A1721" s="31">
        <v>101</v>
      </c>
      <c r="B1721" s="4">
        <v>6.3</v>
      </c>
    </row>
    <row r="1722" spans="1:2" x14ac:dyDescent="0.3">
      <c r="A1722" s="32">
        <v>96</v>
      </c>
      <c r="B1722" s="3">
        <v>7.1</v>
      </c>
    </row>
    <row r="1723" spans="1:2" x14ac:dyDescent="0.3">
      <c r="A1723" s="31">
        <v>101</v>
      </c>
      <c r="B1723" s="4">
        <v>6.4</v>
      </c>
    </row>
    <row r="1724" spans="1:2" x14ac:dyDescent="0.3">
      <c r="A1724" s="32">
        <v>100</v>
      </c>
      <c r="B1724" s="3">
        <v>8.1999999999999993</v>
      </c>
    </row>
    <row r="1725" spans="1:2" x14ac:dyDescent="0.3">
      <c r="A1725" s="31">
        <v>117</v>
      </c>
      <c r="B1725" s="4">
        <v>6.9</v>
      </c>
    </row>
    <row r="1726" spans="1:2" x14ac:dyDescent="0.3">
      <c r="A1726" s="32">
        <v>101</v>
      </c>
      <c r="B1726" s="3">
        <v>7.8</v>
      </c>
    </row>
    <row r="1727" spans="1:2" x14ac:dyDescent="0.3">
      <c r="A1727" s="31">
        <v>98</v>
      </c>
      <c r="B1727" s="4">
        <v>6.7</v>
      </c>
    </row>
    <row r="1728" spans="1:2" x14ac:dyDescent="0.3">
      <c r="A1728" s="32">
        <v>146</v>
      </c>
      <c r="B1728" s="3">
        <v>7.5</v>
      </c>
    </row>
    <row r="1729" spans="1:2" x14ac:dyDescent="0.3">
      <c r="A1729" s="31">
        <v>102</v>
      </c>
      <c r="B1729" s="4">
        <v>7.4</v>
      </c>
    </row>
    <row r="1730" spans="1:2" x14ac:dyDescent="0.3">
      <c r="A1730" s="32">
        <v>97</v>
      </c>
      <c r="B1730" s="3">
        <v>5.2</v>
      </c>
    </row>
    <row r="1731" spans="1:2" x14ac:dyDescent="0.3">
      <c r="A1731" s="31">
        <v>142</v>
      </c>
      <c r="B1731" s="4">
        <v>6.5</v>
      </c>
    </row>
    <row r="1732" spans="1:2" x14ac:dyDescent="0.3">
      <c r="A1732" s="32">
        <v>98</v>
      </c>
      <c r="B1732" s="3">
        <v>7.6</v>
      </c>
    </row>
    <row r="1733" spans="1:2" x14ac:dyDescent="0.3">
      <c r="A1733" s="31">
        <v>219</v>
      </c>
      <c r="B1733" s="4">
        <v>7.3</v>
      </c>
    </row>
    <row r="1734" spans="1:2" x14ac:dyDescent="0.3">
      <c r="A1734" s="32">
        <v>109</v>
      </c>
      <c r="B1734" s="3">
        <v>6.6</v>
      </c>
    </row>
    <row r="1735" spans="1:2" x14ac:dyDescent="0.3">
      <c r="A1735" s="31">
        <v>97</v>
      </c>
      <c r="B1735" s="4">
        <v>6.8</v>
      </c>
    </row>
    <row r="1736" spans="1:2" x14ac:dyDescent="0.3">
      <c r="A1736" s="32">
        <v>158</v>
      </c>
      <c r="B1736" s="3">
        <v>6.9</v>
      </c>
    </row>
    <row r="1737" spans="1:2" x14ac:dyDescent="0.3">
      <c r="A1737" s="31">
        <v>85</v>
      </c>
      <c r="B1737" s="4">
        <v>5.8</v>
      </c>
    </row>
    <row r="1738" spans="1:2" x14ac:dyDescent="0.3">
      <c r="A1738" s="32">
        <v>80</v>
      </c>
      <c r="B1738" s="3">
        <v>6.6</v>
      </c>
    </row>
    <row r="1739" spans="1:2" x14ac:dyDescent="0.3">
      <c r="A1739" s="31">
        <v>86</v>
      </c>
      <c r="B1739" s="4">
        <v>6.7</v>
      </c>
    </row>
    <row r="1740" spans="1:2" x14ac:dyDescent="0.3">
      <c r="A1740" s="32">
        <v>119</v>
      </c>
      <c r="B1740" s="3">
        <v>6.7</v>
      </c>
    </row>
    <row r="1741" spans="1:2" x14ac:dyDescent="0.3">
      <c r="A1741" s="31">
        <v>98</v>
      </c>
      <c r="B1741" s="4">
        <v>6.3</v>
      </c>
    </row>
    <row r="1742" spans="1:2" x14ac:dyDescent="0.3">
      <c r="A1742" s="32">
        <v>97</v>
      </c>
      <c r="B1742" s="3">
        <v>7.7</v>
      </c>
    </row>
    <row r="1743" spans="1:2" x14ac:dyDescent="0.3">
      <c r="A1743" s="31">
        <v>124</v>
      </c>
      <c r="B1743" s="4">
        <v>6.1</v>
      </c>
    </row>
    <row r="1744" spans="1:2" x14ac:dyDescent="0.3">
      <c r="A1744" s="32">
        <v>97</v>
      </c>
      <c r="B1744" s="3">
        <v>4.9000000000000004</v>
      </c>
    </row>
    <row r="1745" spans="1:2" x14ac:dyDescent="0.3">
      <c r="A1745" s="31">
        <v>105</v>
      </c>
      <c r="B1745" s="4">
        <v>6.2</v>
      </c>
    </row>
    <row r="1746" spans="1:2" x14ac:dyDescent="0.3">
      <c r="A1746" s="32">
        <v>104</v>
      </c>
      <c r="B1746" s="3">
        <v>7.8</v>
      </c>
    </row>
    <row r="1747" spans="1:2" x14ac:dyDescent="0.3">
      <c r="A1747" s="31">
        <v>101</v>
      </c>
      <c r="B1747" s="4">
        <v>8.1999999999999993</v>
      </c>
    </row>
    <row r="1748" spans="1:2" x14ac:dyDescent="0.3">
      <c r="A1748" s="32">
        <v>101</v>
      </c>
      <c r="B1748" s="3">
        <v>6.9</v>
      </c>
    </row>
    <row r="1749" spans="1:2" x14ac:dyDescent="0.3">
      <c r="A1749" s="31">
        <v>114</v>
      </c>
      <c r="B1749" s="4">
        <v>6.2</v>
      </c>
    </row>
    <row r="1750" spans="1:2" x14ac:dyDescent="0.3">
      <c r="A1750" s="32">
        <v>105</v>
      </c>
      <c r="B1750" s="3">
        <v>6.9</v>
      </c>
    </row>
    <row r="1751" spans="1:2" x14ac:dyDescent="0.3">
      <c r="A1751" s="31">
        <v>90</v>
      </c>
      <c r="B1751" s="4">
        <v>4.8</v>
      </c>
    </row>
    <row r="1752" spans="1:2" x14ac:dyDescent="0.3">
      <c r="A1752" s="32">
        <v>97</v>
      </c>
      <c r="B1752" s="3">
        <v>8</v>
      </c>
    </row>
    <row r="1753" spans="1:2" x14ac:dyDescent="0.3">
      <c r="A1753" s="31">
        <v>144</v>
      </c>
      <c r="B1753" s="4">
        <v>5.3</v>
      </c>
    </row>
    <row r="1754" spans="1:2" x14ac:dyDescent="0.3">
      <c r="A1754" s="32">
        <v>114</v>
      </c>
      <c r="B1754" s="3">
        <v>6.7</v>
      </c>
    </row>
    <row r="1755" spans="1:2" x14ac:dyDescent="0.3">
      <c r="A1755" s="31">
        <v>124</v>
      </c>
      <c r="B1755" s="4">
        <v>5.4</v>
      </c>
    </row>
    <row r="1756" spans="1:2" x14ac:dyDescent="0.3">
      <c r="A1756" s="32">
        <v>89</v>
      </c>
      <c r="B1756" s="3">
        <v>5.4</v>
      </c>
    </row>
    <row r="1757" spans="1:2" x14ac:dyDescent="0.3">
      <c r="A1757" s="31">
        <v>160</v>
      </c>
      <c r="B1757" s="4">
        <v>4.9000000000000004</v>
      </c>
    </row>
    <row r="1758" spans="1:2" x14ac:dyDescent="0.3">
      <c r="A1758" s="32">
        <v>93</v>
      </c>
      <c r="B1758" s="3">
        <v>6.1</v>
      </c>
    </row>
    <row r="1759" spans="1:2" x14ac:dyDescent="0.3">
      <c r="A1759" s="31">
        <v>88</v>
      </c>
      <c r="B1759" s="4">
        <v>5.8</v>
      </c>
    </row>
    <row r="1760" spans="1:2" x14ac:dyDescent="0.3">
      <c r="A1760" s="32">
        <v>142</v>
      </c>
      <c r="B1760" s="3">
        <v>7</v>
      </c>
    </row>
    <row r="1761" spans="1:2" x14ac:dyDescent="0.3">
      <c r="A1761" s="31">
        <v>92</v>
      </c>
      <c r="B1761" s="4">
        <v>6.5</v>
      </c>
    </row>
    <row r="1762" spans="1:2" x14ac:dyDescent="0.3">
      <c r="A1762" s="32">
        <v>117</v>
      </c>
      <c r="B1762" s="3">
        <v>6.6</v>
      </c>
    </row>
    <row r="1763" spans="1:2" x14ac:dyDescent="0.3">
      <c r="A1763" s="31">
        <v>111</v>
      </c>
      <c r="B1763" s="4">
        <v>6.1</v>
      </c>
    </row>
    <row r="1764" spans="1:2" x14ac:dyDescent="0.3">
      <c r="A1764" s="32">
        <v>121</v>
      </c>
      <c r="B1764" s="3">
        <v>5.7</v>
      </c>
    </row>
    <row r="1765" spans="1:2" x14ac:dyDescent="0.3">
      <c r="A1765" s="31">
        <v>107</v>
      </c>
      <c r="B1765" s="4">
        <v>6.6</v>
      </c>
    </row>
    <row r="1766" spans="1:2" x14ac:dyDescent="0.3">
      <c r="A1766" s="32">
        <v>106</v>
      </c>
      <c r="B1766" s="3">
        <v>7</v>
      </c>
    </row>
    <row r="1767" spans="1:2" x14ac:dyDescent="0.3">
      <c r="A1767" s="31">
        <v>136</v>
      </c>
      <c r="B1767" s="4">
        <v>7.4</v>
      </c>
    </row>
    <row r="1768" spans="1:2" x14ac:dyDescent="0.3">
      <c r="A1768" s="32">
        <v>97</v>
      </c>
      <c r="B1768" s="3">
        <v>5.3</v>
      </c>
    </row>
    <row r="1769" spans="1:2" x14ac:dyDescent="0.3">
      <c r="A1769" s="31">
        <v>108</v>
      </c>
      <c r="B1769" s="4">
        <v>7.4</v>
      </c>
    </row>
    <row r="1770" spans="1:2" x14ac:dyDescent="0.3">
      <c r="A1770" s="32">
        <v>97</v>
      </c>
      <c r="B1770" s="3">
        <v>7.4</v>
      </c>
    </row>
    <row r="1771" spans="1:2" x14ac:dyDescent="0.3">
      <c r="A1771" s="31">
        <v>99</v>
      </c>
      <c r="B1771" s="4">
        <v>6.8</v>
      </c>
    </row>
    <row r="1772" spans="1:2" x14ac:dyDescent="0.3">
      <c r="A1772" s="32">
        <v>95</v>
      </c>
      <c r="B1772" s="3">
        <v>7.2</v>
      </c>
    </row>
    <row r="1773" spans="1:2" x14ac:dyDescent="0.3">
      <c r="A1773" s="31">
        <v>93</v>
      </c>
      <c r="B1773" s="4">
        <v>6</v>
      </c>
    </row>
    <row r="1774" spans="1:2" x14ac:dyDescent="0.3">
      <c r="A1774" s="32">
        <v>98</v>
      </c>
      <c r="B1774" s="3">
        <v>7.8</v>
      </c>
    </row>
    <row r="1775" spans="1:2" x14ac:dyDescent="0.3">
      <c r="A1775" s="31">
        <v>90</v>
      </c>
      <c r="B1775" s="4">
        <v>6.6</v>
      </c>
    </row>
    <row r="1776" spans="1:2" x14ac:dyDescent="0.3">
      <c r="A1776" s="32">
        <v>107</v>
      </c>
      <c r="B1776" s="3">
        <v>7.9</v>
      </c>
    </row>
    <row r="1777" spans="1:2" x14ac:dyDescent="0.3">
      <c r="A1777" s="31">
        <v>90</v>
      </c>
      <c r="B1777" s="4">
        <v>6.2</v>
      </c>
    </row>
    <row r="1778" spans="1:2" x14ac:dyDescent="0.3">
      <c r="A1778" s="32">
        <v>115</v>
      </c>
      <c r="B1778" s="3">
        <v>5.7</v>
      </c>
    </row>
    <row r="1779" spans="1:2" x14ac:dyDescent="0.3">
      <c r="A1779" s="31">
        <v>93</v>
      </c>
      <c r="B1779" s="4">
        <v>7.1</v>
      </c>
    </row>
    <row r="1780" spans="1:2" x14ac:dyDescent="0.3">
      <c r="A1780" s="32">
        <v>99</v>
      </c>
      <c r="B1780" s="3">
        <v>5.6</v>
      </c>
    </row>
    <row r="1781" spans="1:2" x14ac:dyDescent="0.3">
      <c r="A1781" s="31">
        <v>107</v>
      </c>
      <c r="B1781" s="4">
        <v>7.8</v>
      </c>
    </row>
    <row r="1782" spans="1:2" x14ac:dyDescent="0.3">
      <c r="A1782" s="32">
        <v>110</v>
      </c>
      <c r="B1782" s="3">
        <v>7.9</v>
      </c>
    </row>
    <row r="1783" spans="1:2" x14ac:dyDescent="0.3">
      <c r="A1783" s="31">
        <v>101</v>
      </c>
      <c r="B1783" s="4">
        <v>6.9</v>
      </c>
    </row>
    <row r="1784" spans="1:2" x14ac:dyDescent="0.3">
      <c r="A1784" s="32">
        <v>85</v>
      </c>
      <c r="B1784" s="3">
        <v>7.4</v>
      </c>
    </row>
    <row r="1785" spans="1:2" x14ac:dyDescent="0.3">
      <c r="A1785" s="31">
        <v>132</v>
      </c>
      <c r="B1785" s="4">
        <v>7.7</v>
      </c>
    </row>
    <row r="1786" spans="1:2" x14ac:dyDescent="0.3">
      <c r="A1786" s="32">
        <v>90</v>
      </c>
      <c r="B1786" s="3">
        <v>6.9</v>
      </c>
    </row>
    <row r="1787" spans="1:2" x14ac:dyDescent="0.3">
      <c r="A1787" s="31">
        <v>110</v>
      </c>
      <c r="B1787" s="4">
        <v>6.7</v>
      </c>
    </row>
    <row r="1788" spans="1:2" x14ac:dyDescent="0.3">
      <c r="A1788" s="32">
        <v>122</v>
      </c>
      <c r="B1788" s="3">
        <v>6</v>
      </c>
    </row>
    <row r="1789" spans="1:2" x14ac:dyDescent="0.3">
      <c r="A1789" s="31">
        <v>107</v>
      </c>
      <c r="B1789" s="4">
        <v>6.2</v>
      </c>
    </row>
    <row r="1790" spans="1:2" x14ac:dyDescent="0.3">
      <c r="A1790" s="32">
        <v>127</v>
      </c>
      <c r="B1790" s="3">
        <v>5.9</v>
      </c>
    </row>
    <row r="1791" spans="1:2" x14ac:dyDescent="0.3">
      <c r="A1791" s="31">
        <v>99</v>
      </c>
      <c r="B1791" s="4">
        <v>6.8</v>
      </c>
    </row>
    <row r="1792" spans="1:2" x14ac:dyDescent="0.3">
      <c r="A1792" s="32">
        <v>140</v>
      </c>
      <c r="B1792" s="3">
        <v>3.6</v>
      </c>
    </row>
    <row r="1793" spans="1:2" x14ac:dyDescent="0.3">
      <c r="A1793" s="31">
        <v>133</v>
      </c>
      <c r="B1793" s="4">
        <v>6.7</v>
      </c>
    </row>
    <row r="1794" spans="1:2" x14ac:dyDescent="0.3">
      <c r="A1794" s="32">
        <v>271</v>
      </c>
      <c r="B1794" s="3">
        <v>6.3</v>
      </c>
    </row>
    <row r="1795" spans="1:2" x14ac:dyDescent="0.3">
      <c r="A1795" s="31">
        <v>112</v>
      </c>
      <c r="B1795" s="4">
        <v>6.4</v>
      </c>
    </row>
    <row r="1796" spans="1:2" x14ac:dyDescent="0.3">
      <c r="A1796" s="32">
        <v>99</v>
      </c>
      <c r="B1796" s="3">
        <v>6.4</v>
      </c>
    </row>
    <row r="1797" spans="1:2" x14ac:dyDescent="0.3">
      <c r="A1797" s="31">
        <v>100</v>
      </c>
      <c r="B1797" s="4">
        <v>5.7</v>
      </c>
    </row>
    <row r="1798" spans="1:2" x14ac:dyDescent="0.3">
      <c r="A1798" s="32">
        <v>92</v>
      </c>
      <c r="B1798" s="3">
        <v>6.2</v>
      </c>
    </row>
    <row r="1799" spans="1:2" x14ac:dyDescent="0.3">
      <c r="A1799" s="31">
        <v>105</v>
      </c>
      <c r="B1799" s="4">
        <v>6.6</v>
      </c>
    </row>
    <row r="1800" spans="1:2" x14ac:dyDescent="0.3">
      <c r="A1800" s="32">
        <v>110</v>
      </c>
      <c r="B1800" s="3">
        <v>5.2</v>
      </c>
    </row>
    <row r="1801" spans="1:2" x14ac:dyDescent="0.3">
      <c r="A1801" s="31">
        <v>116</v>
      </c>
      <c r="B1801" s="4">
        <v>6.1</v>
      </c>
    </row>
    <row r="1802" spans="1:2" x14ac:dyDescent="0.3">
      <c r="A1802" s="32">
        <v>88</v>
      </c>
      <c r="B1802" s="3">
        <v>7.1</v>
      </c>
    </row>
    <row r="1803" spans="1:2" x14ac:dyDescent="0.3">
      <c r="A1803" s="31">
        <v>111</v>
      </c>
      <c r="B1803" s="4">
        <v>7.2</v>
      </c>
    </row>
    <row r="1804" spans="1:2" x14ac:dyDescent="0.3">
      <c r="A1804" s="32">
        <v>95</v>
      </c>
      <c r="B1804" s="3">
        <v>6.5</v>
      </c>
    </row>
    <row r="1805" spans="1:2" x14ac:dyDescent="0.3">
      <c r="A1805" s="31">
        <v>95</v>
      </c>
      <c r="B1805" s="4">
        <v>6</v>
      </c>
    </row>
    <row r="1806" spans="1:2" x14ac:dyDescent="0.3">
      <c r="A1806" s="32">
        <v>127</v>
      </c>
      <c r="B1806" s="3">
        <v>7</v>
      </c>
    </row>
    <row r="1807" spans="1:2" x14ac:dyDescent="0.3">
      <c r="A1807" s="31">
        <v>104</v>
      </c>
      <c r="B1807" s="4">
        <v>7</v>
      </c>
    </row>
    <row r="1808" spans="1:2" x14ac:dyDescent="0.3">
      <c r="A1808" s="32">
        <v>95</v>
      </c>
      <c r="B1808" s="3">
        <v>7.5</v>
      </c>
    </row>
    <row r="1809" spans="1:2" x14ac:dyDescent="0.3">
      <c r="A1809" s="31">
        <v>121</v>
      </c>
      <c r="B1809" s="4">
        <v>6.6</v>
      </c>
    </row>
    <row r="1810" spans="1:2" x14ac:dyDescent="0.3">
      <c r="A1810" s="32">
        <v>107</v>
      </c>
      <c r="B1810" s="3">
        <v>7.4</v>
      </c>
    </row>
    <row r="1811" spans="1:2" x14ac:dyDescent="0.3">
      <c r="A1811" s="31">
        <v>117</v>
      </c>
      <c r="B1811" s="4">
        <v>6.5</v>
      </c>
    </row>
    <row r="1812" spans="1:2" x14ac:dyDescent="0.3">
      <c r="A1812" s="32">
        <v>107</v>
      </c>
      <c r="B1812" s="3">
        <v>6.2</v>
      </c>
    </row>
    <row r="1813" spans="1:2" x14ac:dyDescent="0.3">
      <c r="A1813" s="31">
        <v>131</v>
      </c>
      <c r="B1813" s="4">
        <v>7.8</v>
      </c>
    </row>
    <row r="1814" spans="1:2" x14ac:dyDescent="0.3">
      <c r="A1814" s="32">
        <v>122</v>
      </c>
      <c r="B1814" s="3">
        <v>5.2</v>
      </c>
    </row>
    <row r="1815" spans="1:2" x14ac:dyDescent="0.3">
      <c r="A1815" s="31">
        <v>134</v>
      </c>
      <c r="B1815" s="4">
        <v>6.5</v>
      </c>
    </row>
    <row r="1816" spans="1:2" x14ac:dyDescent="0.3">
      <c r="A1816" s="32">
        <v>117</v>
      </c>
      <c r="B1816" s="3">
        <v>6.5</v>
      </c>
    </row>
    <row r="1817" spans="1:2" x14ac:dyDescent="0.3">
      <c r="A1817" s="31">
        <v>138</v>
      </c>
      <c r="B1817" s="4">
        <v>5.2</v>
      </c>
    </row>
    <row r="1818" spans="1:2" x14ac:dyDescent="0.3">
      <c r="A1818" s="32">
        <v>100</v>
      </c>
      <c r="B1818" s="3">
        <v>7.2</v>
      </c>
    </row>
    <row r="1819" spans="1:2" x14ac:dyDescent="0.3">
      <c r="A1819" s="31">
        <v>119</v>
      </c>
      <c r="B1819" s="4">
        <v>7.1</v>
      </c>
    </row>
    <row r="1820" spans="1:2" x14ac:dyDescent="0.3">
      <c r="A1820" s="32">
        <v>137</v>
      </c>
      <c r="B1820" s="3">
        <v>4.5</v>
      </c>
    </row>
    <row r="1821" spans="1:2" x14ac:dyDescent="0.3">
      <c r="A1821" s="31">
        <v>119</v>
      </c>
      <c r="B1821" s="4">
        <v>5.7</v>
      </c>
    </row>
    <row r="1822" spans="1:2" x14ac:dyDescent="0.3">
      <c r="A1822" s="32">
        <v>139</v>
      </c>
      <c r="B1822" s="3">
        <v>6</v>
      </c>
    </row>
    <row r="1823" spans="1:2" x14ac:dyDescent="0.3">
      <c r="A1823" s="31">
        <v>120</v>
      </c>
      <c r="B1823" s="4">
        <v>6.4</v>
      </c>
    </row>
    <row r="1824" spans="1:2" x14ac:dyDescent="0.3">
      <c r="A1824" s="32">
        <v>98</v>
      </c>
      <c r="B1824" s="3">
        <v>5.2</v>
      </c>
    </row>
    <row r="1825" spans="1:2" x14ac:dyDescent="0.3">
      <c r="A1825" s="31">
        <v>106</v>
      </c>
      <c r="B1825" s="4">
        <v>4.3</v>
      </c>
    </row>
    <row r="1826" spans="1:2" x14ac:dyDescent="0.3">
      <c r="A1826" s="32">
        <v>98</v>
      </c>
      <c r="B1826" s="3">
        <v>6.1</v>
      </c>
    </row>
    <row r="1827" spans="1:2" x14ac:dyDescent="0.3">
      <c r="A1827" s="31">
        <v>107</v>
      </c>
      <c r="B1827" s="4">
        <v>6.3</v>
      </c>
    </row>
    <row r="1828" spans="1:2" x14ac:dyDescent="0.3">
      <c r="A1828" s="32">
        <v>88</v>
      </c>
      <c r="B1828" s="3">
        <v>6.8</v>
      </c>
    </row>
    <row r="1829" spans="1:2" x14ac:dyDescent="0.3">
      <c r="A1829" s="31">
        <v>137</v>
      </c>
      <c r="B1829" s="4">
        <v>4</v>
      </c>
    </row>
    <row r="1830" spans="1:2" x14ac:dyDescent="0.3">
      <c r="A1830" s="32">
        <v>100</v>
      </c>
      <c r="B1830" s="3">
        <v>5.2</v>
      </c>
    </row>
    <row r="1831" spans="1:2" x14ac:dyDescent="0.3">
      <c r="A1831" s="31">
        <v>115</v>
      </c>
      <c r="B1831" s="4">
        <v>6.5</v>
      </c>
    </row>
    <row r="1832" spans="1:2" x14ac:dyDescent="0.3">
      <c r="A1832" s="32">
        <v>101</v>
      </c>
      <c r="B1832" s="3">
        <v>7.5</v>
      </c>
    </row>
    <row r="1833" spans="1:2" x14ac:dyDescent="0.3">
      <c r="A1833" s="31">
        <v>110</v>
      </c>
      <c r="B1833" s="4">
        <v>7.1</v>
      </c>
    </row>
    <row r="1834" spans="1:2" x14ac:dyDescent="0.3">
      <c r="A1834" s="32">
        <v>94</v>
      </c>
      <c r="B1834" s="3">
        <v>6.9</v>
      </c>
    </row>
    <row r="1835" spans="1:2" x14ac:dyDescent="0.3">
      <c r="A1835" s="31">
        <v>88</v>
      </c>
      <c r="B1835" s="4">
        <v>8</v>
      </c>
    </row>
    <row r="1836" spans="1:2" x14ac:dyDescent="0.3">
      <c r="A1836" s="32">
        <v>127</v>
      </c>
      <c r="B1836" s="3">
        <v>8.1999999999999993</v>
      </c>
    </row>
    <row r="1837" spans="1:2" x14ac:dyDescent="0.3">
      <c r="A1837" s="31">
        <v>95</v>
      </c>
      <c r="B1837" s="4">
        <v>6.4</v>
      </c>
    </row>
    <row r="1838" spans="1:2" x14ac:dyDescent="0.3">
      <c r="A1838" s="32">
        <v>87</v>
      </c>
      <c r="B1838" s="3">
        <v>7.9</v>
      </c>
    </row>
    <row r="1839" spans="1:2" x14ac:dyDescent="0.3">
      <c r="A1839" s="31">
        <v>118</v>
      </c>
      <c r="B1839" s="4">
        <v>6.7</v>
      </c>
    </row>
    <row r="1840" spans="1:2" x14ac:dyDescent="0.3">
      <c r="A1840" s="32">
        <v>107</v>
      </c>
      <c r="B1840" s="3">
        <v>6.1</v>
      </c>
    </row>
    <row r="1841" spans="1:2" x14ac:dyDescent="0.3">
      <c r="A1841" s="31">
        <v>124</v>
      </c>
      <c r="B1841" s="4">
        <v>8.9</v>
      </c>
    </row>
    <row r="1842" spans="1:2" x14ac:dyDescent="0.3">
      <c r="A1842" s="32">
        <v>89</v>
      </c>
      <c r="B1842" s="3">
        <v>8.1</v>
      </c>
    </row>
    <row r="1843" spans="1:2" x14ac:dyDescent="0.3">
      <c r="A1843" s="31">
        <v>88</v>
      </c>
      <c r="B1843" s="4">
        <v>6.2</v>
      </c>
    </row>
    <row r="1844" spans="1:2" x14ac:dyDescent="0.3">
      <c r="A1844" s="32">
        <v>118</v>
      </c>
      <c r="B1844" s="3">
        <v>4.9000000000000004</v>
      </c>
    </row>
    <row r="1845" spans="1:2" x14ac:dyDescent="0.3">
      <c r="A1845" s="31">
        <v>93</v>
      </c>
      <c r="B1845" s="4">
        <v>5.4</v>
      </c>
    </row>
    <row r="1846" spans="1:2" x14ac:dyDescent="0.3">
      <c r="A1846" s="32">
        <v>80</v>
      </c>
      <c r="B1846" s="3">
        <v>5.8</v>
      </c>
    </row>
    <row r="1847" spans="1:2" x14ac:dyDescent="0.3">
      <c r="A1847" s="31">
        <v>120</v>
      </c>
      <c r="B1847" s="4">
        <v>4.7</v>
      </c>
    </row>
    <row r="1848" spans="1:2" x14ac:dyDescent="0.3">
      <c r="A1848" s="32">
        <v>98</v>
      </c>
      <c r="B1848" s="3">
        <v>6</v>
      </c>
    </row>
    <row r="1849" spans="1:2" x14ac:dyDescent="0.3">
      <c r="A1849" s="31">
        <v>119</v>
      </c>
      <c r="B1849" s="4">
        <v>7</v>
      </c>
    </row>
    <row r="1850" spans="1:2" x14ac:dyDescent="0.3">
      <c r="A1850" s="32">
        <v>88</v>
      </c>
      <c r="B1850" s="3">
        <v>6</v>
      </c>
    </row>
    <row r="1851" spans="1:2" x14ac:dyDescent="0.3">
      <c r="A1851" s="31">
        <v>90</v>
      </c>
      <c r="B1851" s="4">
        <v>7.9</v>
      </c>
    </row>
    <row r="1852" spans="1:2" x14ac:dyDescent="0.3">
      <c r="A1852" s="32">
        <v>127</v>
      </c>
      <c r="B1852" s="3">
        <v>8.1</v>
      </c>
    </row>
    <row r="1853" spans="1:2" x14ac:dyDescent="0.3">
      <c r="A1853" s="31">
        <v>119</v>
      </c>
      <c r="B1853" s="4">
        <v>6.2</v>
      </c>
    </row>
    <row r="1854" spans="1:2" x14ac:dyDescent="0.3">
      <c r="A1854" s="32">
        <v>85</v>
      </c>
      <c r="B1854" s="3">
        <v>6.7</v>
      </c>
    </row>
    <row r="1855" spans="1:2" x14ac:dyDescent="0.3">
      <c r="A1855" s="31">
        <v>98</v>
      </c>
      <c r="B1855" s="4">
        <v>7.3</v>
      </c>
    </row>
    <row r="1856" spans="1:2" x14ac:dyDescent="0.3">
      <c r="A1856" s="32">
        <v>101</v>
      </c>
      <c r="B1856" s="3">
        <v>4.5999999999999996</v>
      </c>
    </row>
    <row r="1857" spans="1:2" x14ac:dyDescent="0.3">
      <c r="A1857" s="31">
        <v>112</v>
      </c>
      <c r="B1857" s="4">
        <v>6.1</v>
      </c>
    </row>
    <row r="1858" spans="1:2" x14ac:dyDescent="0.3">
      <c r="A1858" s="32">
        <v>97</v>
      </c>
      <c r="B1858" s="3">
        <v>6.2</v>
      </c>
    </row>
    <row r="1859" spans="1:2" x14ac:dyDescent="0.3">
      <c r="A1859" s="31">
        <v>126</v>
      </c>
      <c r="B1859" s="4">
        <v>7.8</v>
      </c>
    </row>
    <row r="1860" spans="1:2" x14ac:dyDescent="0.3">
      <c r="A1860" s="32">
        <v>97</v>
      </c>
      <c r="B1860" s="3">
        <v>6.1</v>
      </c>
    </row>
    <row r="1861" spans="1:2" x14ac:dyDescent="0.3">
      <c r="A1861" s="31">
        <v>100</v>
      </c>
      <c r="B1861" s="4">
        <v>7.6</v>
      </c>
    </row>
    <row r="1862" spans="1:2" x14ac:dyDescent="0.3">
      <c r="A1862" s="32">
        <v>114</v>
      </c>
      <c r="B1862" s="3">
        <v>5.8</v>
      </c>
    </row>
    <row r="1863" spans="1:2" x14ac:dyDescent="0.3">
      <c r="A1863" s="31">
        <v>88</v>
      </c>
      <c r="B1863" s="4">
        <v>6.5</v>
      </c>
    </row>
    <row r="1864" spans="1:2" x14ac:dyDescent="0.3">
      <c r="A1864" s="32">
        <v>93</v>
      </c>
      <c r="B1864" s="3">
        <v>7.2</v>
      </c>
    </row>
    <row r="1865" spans="1:2" x14ac:dyDescent="0.3">
      <c r="A1865" s="31">
        <v>92</v>
      </c>
      <c r="B1865" s="4">
        <v>7.8</v>
      </c>
    </row>
    <row r="1866" spans="1:2" x14ac:dyDescent="0.3">
      <c r="A1866" s="32">
        <v>98</v>
      </c>
      <c r="B1866" s="3">
        <v>4.7</v>
      </c>
    </row>
    <row r="1867" spans="1:2" x14ac:dyDescent="0.3">
      <c r="A1867" s="31">
        <v>94</v>
      </c>
      <c r="B1867" s="4">
        <v>6.8</v>
      </c>
    </row>
    <row r="1868" spans="1:2" x14ac:dyDescent="0.3">
      <c r="A1868" s="32">
        <v>102</v>
      </c>
      <c r="B1868" s="3">
        <v>5.9</v>
      </c>
    </row>
    <row r="1869" spans="1:2" x14ac:dyDescent="0.3">
      <c r="A1869" s="31">
        <v>98</v>
      </c>
      <c r="B1869" s="4">
        <v>7.2</v>
      </c>
    </row>
    <row r="1870" spans="1:2" x14ac:dyDescent="0.3">
      <c r="A1870" s="32">
        <v>111</v>
      </c>
      <c r="B1870" s="3">
        <v>8.6999999999999993</v>
      </c>
    </row>
    <row r="1871" spans="1:2" x14ac:dyDescent="0.3">
      <c r="A1871" s="31">
        <v>100</v>
      </c>
      <c r="B1871" s="4">
        <v>5</v>
      </c>
    </row>
    <row r="1872" spans="1:2" x14ac:dyDescent="0.3">
      <c r="A1872" s="32">
        <v>141</v>
      </c>
      <c r="B1872" s="3">
        <v>6.6</v>
      </c>
    </row>
    <row r="1873" spans="1:2" x14ac:dyDescent="0.3">
      <c r="A1873" s="31">
        <v>114</v>
      </c>
      <c r="B1873" s="4">
        <v>8.3000000000000007</v>
      </c>
    </row>
    <row r="1874" spans="1:2" x14ac:dyDescent="0.3">
      <c r="A1874" s="32">
        <v>96</v>
      </c>
      <c r="B1874" s="3">
        <v>6.7</v>
      </c>
    </row>
    <row r="1875" spans="1:2" x14ac:dyDescent="0.3">
      <c r="A1875" s="31">
        <v>111</v>
      </c>
      <c r="B1875" s="4">
        <v>7.8</v>
      </c>
    </row>
    <row r="1876" spans="1:2" x14ac:dyDescent="0.3">
      <c r="A1876" s="32">
        <v>127</v>
      </c>
      <c r="B1876" s="3">
        <v>6.5</v>
      </c>
    </row>
    <row r="1877" spans="1:2" x14ac:dyDescent="0.3">
      <c r="A1877" s="31">
        <v>107</v>
      </c>
      <c r="B1877" s="4">
        <v>6.1</v>
      </c>
    </row>
    <row r="1878" spans="1:2" x14ac:dyDescent="0.3">
      <c r="A1878" s="32">
        <v>97</v>
      </c>
      <c r="B1878" s="3">
        <v>8.1</v>
      </c>
    </row>
    <row r="1879" spans="1:2" x14ac:dyDescent="0.3">
      <c r="A1879" s="31">
        <v>127</v>
      </c>
      <c r="B1879" s="4">
        <v>5.2</v>
      </c>
    </row>
    <row r="1880" spans="1:2" x14ac:dyDescent="0.3">
      <c r="A1880" s="32">
        <v>110</v>
      </c>
      <c r="B1880" s="3">
        <v>5.6</v>
      </c>
    </row>
    <row r="1881" spans="1:2" x14ac:dyDescent="0.3">
      <c r="A1881" s="31">
        <v>135</v>
      </c>
      <c r="B1881" s="4">
        <v>5.8</v>
      </c>
    </row>
    <row r="1882" spans="1:2" x14ac:dyDescent="0.3">
      <c r="A1882" s="32">
        <v>84</v>
      </c>
      <c r="B1882" s="3">
        <v>6.6</v>
      </c>
    </row>
    <row r="1883" spans="1:2" x14ac:dyDescent="0.3">
      <c r="A1883" s="31">
        <v>122</v>
      </c>
      <c r="B1883" s="4">
        <v>6.6</v>
      </c>
    </row>
    <row r="1884" spans="1:2" x14ac:dyDescent="0.3">
      <c r="A1884" s="32">
        <v>114</v>
      </c>
      <c r="B1884" s="3">
        <v>5.5</v>
      </c>
    </row>
    <row r="1885" spans="1:2" x14ac:dyDescent="0.3">
      <c r="A1885" s="31">
        <v>132</v>
      </c>
      <c r="B1885" s="4">
        <v>5.5</v>
      </c>
    </row>
    <row r="1886" spans="1:2" x14ac:dyDescent="0.3">
      <c r="A1886" s="32">
        <v>170</v>
      </c>
      <c r="B1886" s="3">
        <v>7</v>
      </c>
    </row>
    <row r="1887" spans="1:2" x14ac:dyDescent="0.3">
      <c r="A1887" s="31">
        <v>133</v>
      </c>
      <c r="B1887" s="4">
        <v>6.5</v>
      </c>
    </row>
    <row r="1888" spans="1:2" x14ac:dyDescent="0.3">
      <c r="A1888" s="32">
        <v>112</v>
      </c>
      <c r="B1888" s="3">
        <v>5.8</v>
      </c>
    </row>
    <row r="1889" spans="1:2" x14ac:dyDescent="0.3">
      <c r="A1889" s="31">
        <v>108</v>
      </c>
      <c r="B1889" s="4">
        <v>5.6</v>
      </c>
    </row>
    <row r="1890" spans="1:2" x14ac:dyDescent="0.3">
      <c r="A1890" s="32">
        <v>115</v>
      </c>
      <c r="B1890" s="3">
        <v>5.6</v>
      </c>
    </row>
    <row r="1891" spans="1:2" x14ac:dyDescent="0.3">
      <c r="A1891" s="31">
        <v>83</v>
      </c>
      <c r="B1891" s="4">
        <v>5.8</v>
      </c>
    </row>
    <row r="1892" spans="1:2" x14ac:dyDescent="0.3">
      <c r="A1892" s="32">
        <v>105</v>
      </c>
      <c r="B1892" s="3">
        <v>7.6</v>
      </c>
    </row>
    <row r="1893" spans="1:2" x14ac:dyDescent="0.3">
      <c r="A1893" s="31">
        <v>96</v>
      </c>
      <c r="B1893" s="4">
        <v>6.4</v>
      </c>
    </row>
    <row r="1894" spans="1:2" x14ac:dyDescent="0.3">
      <c r="A1894" s="32">
        <v>94</v>
      </c>
      <c r="B1894" s="3">
        <v>6.3</v>
      </c>
    </row>
    <row r="1895" spans="1:2" x14ac:dyDescent="0.3">
      <c r="A1895" s="31">
        <v>142</v>
      </c>
      <c r="B1895" s="4">
        <v>4.5999999999999996</v>
      </c>
    </row>
    <row r="1896" spans="1:2" x14ac:dyDescent="0.3">
      <c r="A1896" s="32">
        <v>104</v>
      </c>
      <c r="B1896" s="3">
        <v>6.5</v>
      </c>
    </row>
    <row r="1897" spans="1:2" x14ac:dyDescent="0.3">
      <c r="A1897" s="31">
        <v>106</v>
      </c>
      <c r="B1897" s="4">
        <v>7.5</v>
      </c>
    </row>
    <row r="1898" spans="1:2" x14ac:dyDescent="0.3">
      <c r="A1898" s="32">
        <v>106</v>
      </c>
      <c r="B1898" s="3">
        <v>7.5</v>
      </c>
    </row>
    <row r="1899" spans="1:2" x14ac:dyDescent="0.3">
      <c r="A1899" s="31">
        <v>98</v>
      </c>
      <c r="B1899" s="4">
        <v>5.3</v>
      </c>
    </row>
    <row r="1900" spans="1:2" x14ac:dyDescent="0.3">
      <c r="A1900" s="32">
        <v>100</v>
      </c>
      <c r="B1900" s="3">
        <v>7.5</v>
      </c>
    </row>
    <row r="1901" spans="1:2" x14ac:dyDescent="0.3">
      <c r="A1901" s="31">
        <v>95</v>
      </c>
      <c r="B1901" s="4">
        <v>3.3</v>
      </c>
    </row>
    <row r="1902" spans="1:2" x14ac:dyDescent="0.3">
      <c r="A1902" s="32">
        <v>107</v>
      </c>
      <c r="B1902" s="3">
        <v>5.7</v>
      </c>
    </row>
    <row r="1903" spans="1:2" x14ac:dyDescent="0.3">
      <c r="A1903" s="31">
        <v>104</v>
      </c>
      <c r="B1903" s="4">
        <v>3.5</v>
      </c>
    </row>
    <row r="1904" spans="1:2" x14ac:dyDescent="0.3">
      <c r="A1904" s="32">
        <v>104</v>
      </c>
      <c r="B1904" s="3">
        <v>9.3000000000000007</v>
      </c>
    </row>
    <row r="1905" spans="1:2" x14ac:dyDescent="0.3">
      <c r="A1905" s="31">
        <v>143</v>
      </c>
      <c r="B1905" s="4">
        <v>4.8</v>
      </c>
    </row>
    <row r="1906" spans="1:2" x14ac:dyDescent="0.3">
      <c r="A1906" s="32">
        <v>77</v>
      </c>
      <c r="B1906" s="3">
        <v>6.9</v>
      </c>
    </row>
    <row r="1907" spans="1:2" x14ac:dyDescent="0.3">
      <c r="A1907" s="31">
        <v>96</v>
      </c>
      <c r="B1907" s="4">
        <v>6</v>
      </c>
    </row>
    <row r="1908" spans="1:2" x14ac:dyDescent="0.3">
      <c r="A1908" s="32">
        <v>145</v>
      </c>
      <c r="B1908" s="3">
        <v>7.3</v>
      </c>
    </row>
    <row r="1909" spans="1:2" x14ac:dyDescent="0.3">
      <c r="A1909" s="31">
        <v>116</v>
      </c>
      <c r="B1909" s="4">
        <v>6</v>
      </c>
    </row>
    <row r="1910" spans="1:2" x14ac:dyDescent="0.3">
      <c r="A1910" s="32">
        <v>100</v>
      </c>
      <c r="B1910" s="3">
        <v>6.6</v>
      </c>
    </row>
    <row r="1911" spans="1:2" x14ac:dyDescent="0.3">
      <c r="A1911" s="31">
        <v>104</v>
      </c>
      <c r="B1911" s="4">
        <v>7.5</v>
      </c>
    </row>
    <row r="1912" spans="1:2" x14ac:dyDescent="0.3">
      <c r="A1912" s="32">
        <v>92</v>
      </c>
      <c r="B1912" s="3">
        <v>6.9</v>
      </c>
    </row>
    <row r="1913" spans="1:2" x14ac:dyDescent="0.3">
      <c r="A1913" s="31">
        <v>105</v>
      </c>
      <c r="B1913" s="4">
        <v>6.8</v>
      </c>
    </row>
    <row r="1914" spans="1:2" x14ac:dyDescent="0.3">
      <c r="A1914" s="32">
        <v>116</v>
      </c>
      <c r="B1914" s="3">
        <v>6.3</v>
      </c>
    </row>
    <row r="1915" spans="1:2" x14ac:dyDescent="0.3">
      <c r="A1915" s="31">
        <v>119</v>
      </c>
      <c r="B1915" s="4">
        <v>6.4</v>
      </c>
    </row>
    <row r="1916" spans="1:2" x14ac:dyDescent="0.3">
      <c r="A1916" s="32">
        <v>101</v>
      </c>
      <c r="B1916" s="3">
        <v>5.6</v>
      </c>
    </row>
    <row r="1917" spans="1:2" x14ac:dyDescent="0.3">
      <c r="A1917" s="31">
        <v>117</v>
      </c>
      <c r="B1917" s="4">
        <v>6.3</v>
      </c>
    </row>
    <row r="1918" spans="1:2" x14ac:dyDescent="0.3">
      <c r="A1918" s="32">
        <v>112</v>
      </c>
      <c r="B1918" s="3">
        <v>7.3</v>
      </c>
    </row>
    <row r="1919" spans="1:2" x14ac:dyDescent="0.3">
      <c r="A1919" s="31">
        <v>136</v>
      </c>
      <c r="B1919" s="4">
        <v>6.6</v>
      </c>
    </row>
    <row r="1920" spans="1:2" x14ac:dyDescent="0.3">
      <c r="A1920" s="32">
        <v>81</v>
      </c>
      <c r="B1920" s="3">
        <v>4.5999999999999996</v>
      </c>
    </row>
    <row r="1921" spans="1:2" x14ac:dyDescent="0.3">
      <c r="A1921" s="31">
        <v>87</v>
      </c>
      <c r="B1921" s="4">
        <v>5.0999999999999996</v>
      </c>
    </row>
    <row r="1922" spans="1:2" x14ac:dyDescent="0.3">
      <c r="A1922" s="32">
        <v>96</v>
      </c>
      <c r="B1922" s="3">
        <v>5.6</v>
      </c>
    </row>
    <row r="1923" spans="1:2" x14ac:dyDescent="0.3">
      <c r="A1923" s="31">
        <v>106</v>
      </c>
      <c r="B1923" s="4">
        <v>5.3</v>
      </c>
    </row>
    <row r="1924" spans="1:2" x14ac:dyDescent="0.3">
      <c r="A1924" s="32">
        <v>122</v>
      </c>
      <c r="B1924" s="3">
        <v>7.5</v>
      </c>
    </row>
    <row r="1925" spans="1:2" x14ac:dyDescent="0.3">
      <c r="A1925" s="31">
        <v>123</v>
      </c>
      <c r="B1925" s="4">
        <v>5.6</v>
      </c>
    </row>
    <row r="1926" spans="1:2" x14ac:dyDescent="0.3">
      <c r="A1926" s="32">
        <v>92</v>
      </c>
      <c r="B1926" s="3">
        <v>5.9</v>
      </c>
    </row>
    <row r="1927" spans="1:2" x14ac:dyDescent="0.3">
      <c r="A1927" s="31">
        <v>110</v>
      </c>
      <c r="B1927" s="4">
        <v>4.7</v>
      </c>
    </row>
    <row r="1928" spans="1:2" x14ac:dyDescent="0.3">
      <c r="A1928" s="32">
        <v>104</v>
      </c>
      <c r="B1928" s="3">
        <v>4.8</v>
      </c>
    </row>
    <row r="1929" spans="1:2" x14ac:dyDescent="0.3">
      <c r="A1929" s="31">
        <v>98</v>
      </c>
      <c r="B1929" s="4">
        <v>6.8</v>
      </c>
    </row>
    <row r="1930" spans="1:2" x14ac:dyDescent="0.3">
      <c r="A1930" s="32">
        <v>120</v>
      </c>
      <c r="B1930" s="3">
        <v>5.4</v>
      </c>
    </row>
    <row r="1931" spans="1:2" x14ac:dyDescent="0.3">
      <c r="A1931" s="31">
        <v>112</v>
      </c>
      <c r="B1931" s="4">
        <v>5.0999999999999996</v>
      </c>
    </row>
    <row r="1932" spans="1:2" x14ac:dyDescent="0.3">
      <c r="A1932" s="32">
        <v>127</v>
      </c>
      <c r="B1932" s="3">
        <v>7</v>
      </c>
    </row>
    <row r="1933" spans="1:2" x14ac:dyDescent="0.3">
      <c r="A1933" s="31">
        <v>102</v>
      </c>
      <c r="B1933" s="4">
        <v>6.7</v>
      </c>
    </row>
    <row r="1934" spans="1:2" x14ac:dyDescent="0.3">
      <c r="A1934" s="32">
        <v>91</v>
      </c>
      <c r="B1934" s="3">
        <v>4</v>
      </c>
    </row>
    <row r="1935" spans="1:2" x14ac:dyDescent="0.3">
      <c r="A1935" s="31">
        <v>114</v>
      </c>
      <c r="B1935" s="4">
        <v>7.3</v>
      </c>
    </row>
    <row r="1936" spans="1:2" x14ac:dyDescent="0.3">
      <c r="A1936" s="32">
        <v>115</v>
      </c>
      <c r="B1936" s="3">
        <v>6.8</v>
      </c>
    </row>
    <row r="1937" spans="1:2" x14ac:dyDescent="0.3">
      <c r="A1937" s="31">
        <v>115</v>
      </c>
      <c r="B1937" s="4">
        <v>6.1</v>
      </c>
    </row>
    <row r="1938" spans="1:2" x14ac:dyDescent="0.3">
      <c r="A1938" s="32">
        <v>135</v>
      </c>
      <c r="B1938" s="3">
        <v>7</v>
      </c>
    </row>
    <row r="1939" spans="1:2" x14ac:dyDescent="0.3">
      <c r="A1939" s="31">
        <v>90</v>
      </c>
      <c r="B1939" s="4">
        <v>7.1</v>
      </c>
    </row>
    <row r="1940" spans="1:2" x14ac:dyDescent="0.3">
      <c r="A1940" s="32">
        <v>100</v>
      </c>
      <c r="B1940" s="3">
        <v>6.9</v>
      </c>
    </row>
    <row r="1941" spans="1:2" x14ac:dyDescent="0.3">
      <c r="A1941" s="31">
        <v>105</v>
      </c>
      <c r="B1941" s="4">
        <v>7.3</v>
      </c>
    </row>
    <row r="1942" spans="1:2" x14ac:dyDescent="0.3">
      <c r="A1942" s="32">
        <v>138</v>
      </c>
      <c r="B1942" s="3">
        <v>6.3</v>
      </c>
    </row>
    <row r="1943" spans="1:2" x14ac:dyDescent="0.3">
      <c r="A1943" s="31">
        <v>94</v>
      </c>
      <c r="B1943" s="4">
        <v>8.1999999999999993</v>
      </c>
    </row>
    <row r="1944" spans="1:2" x14ac:dyDescent="0.3">
      <c r="A1944" s="32">
        <v>101</v>
      </c>
      <c r="B1944" s="3">
        <v>7.1</v>
      </c>
    </row>
    <row r="1945" spans="1:2" x14ac:dyDescent="0.3">
      <c r="A1945" s="31">
        <v>131</v>
      </c>
      <c r="B1945" s="4">
        <v>7.7</v>
      </c>
    </row>
    <row r="1946" spans="1:2" x14ac:dyDescent="0.3">
      <c r="A1946" s="32">
        <v>91</v>
      </c>
      <c r="B1946" s="3">
        <v>6.5</v>
      </c>
    </row>
    <row r="1947" spans="1:2" x14ac:dyDescent="0.3">
      <c r="A1947" s="31">
        <v>112</v>
      </c>
      <c r="B1947" s="4">
        <v>4.9000000000000004</v>
      </c>
    </row>
    <row r="1948" spans="1:2" x14ac:dyDescent="0.3">
      <c r="A1948" s="32">
        <v>95</v>
      </c>
      <c r="B1948" s="3">
        <v>6.4</v>
      </c>
    </row>
    <row r="1949" spans="1:2" x14ac:dyDescent="0.3">
      <c r="A1949" s="31">
        <v>100</v>
      </c>
      <c r="B1949" s="4">
        <v>5.9</v>
      </c>
    </row>
    <row r="1950" spans="1:2" x14ac:dyDescent="0.3">
      <c r="A1950" s="32">
        <v>108</v>
      </c>
      <c r="B1950" s="3">
        <v>6.2</v>
      </c>
    </row>
    <row r="1951" spans="1:2" x14ac:dyDescent="0.3">
      <c r="A1951" s="31">
        <v>101</v>
      </c>
      <c r="B1951" s="4">
        <v>5.8</v>
      </c>
    </row>
    <row r="1952" spans="1:2" x14ac:dyDescent="0.3">
      <c r="A1952" s="32">
        <v>109</v>
      </c>
      <c r="B1952" s="3">
        <v>6.7</v>
      </c>
    </row>
    <row r="1953" spans="1:2" x14ac:dyDescent="0.3">
      <c r="A1953" s="31">
        <v>115</v>
      </c>
      <c r="B1953" s="4">
        <v>5.9</v>
      </c>
    </row>
    <row r="1954" spans="1:2" x14ac:dyDescent="0.3">
      <c r="A1954" s="32">
        <v>117</v>
      </c>
      <c r="B1954" s="3">
        <v>7.3</v>
      </c>
    </row>
    <row r="1955" spans="1:2" x14ac:dyDescent="0.3">
      <c r="A1955" s="31">
        <v>107</v>
      </c>
      <c r="B1955" s="4">
        <v>4.8</v>
      </c>
    </row>
    <row r="1956" spans="1:2" x14ac:dyDescent="0.3">
      <c r="A1956" s="32">
        <v>134</v>
      </c>
      <c r="B1956" s="3">
        <v>4.0999999999999996</v>
      </c>
    </row>
    <row r="1957" spans="1:2" x14ac:dyDescent="0.3">
      <c r="A1957" s="31">
        <v>118</v>
      </c>
      <c r="B1957" s="4">
        <v>4.9000000000000004</v>
      </c>
    </row>
    <row r="1958" spans="1:2" x14ac:dyDescent="0.3">
      <c r="A1958" s="32">
        <v>121</v>
      </c>
      <c r="B1958" s="3">
        <v>7.9</v>
      </c>
    </row>
    <row r="1959" spans="1:2" x14ac:dyDescent="0.3">
      <c r="A1959" s="31">
        <v>105</v>
      </c>
      <c r="B1959" s="4">
        <v>5.6</v>
      </c>
    </row>
    <row r="1960" spans="1:2" x14ac:dyDescent="0.3">
      <c r="A1960" s="32">
        <v>110</v>
      </c>
      <c r="B1960" s="3">
        <v>5.2</v>
      </c>
    </row>
    <row r="1961" spans="1:2" x14ac:dyDescent="0.3">
      <c r="A1961" s="31">
        <v>114</v>
      </c>
      <c r="B1961" s="4">
        <v>4.0999999999999996</v>
      </c>
    </row>
    <row r="1962" spans="1:2" x14ac:dyDescent="0.3">
      <c r="A1962" s="32">
        <v>100</v>
      </c>
      <c r="B1962" s="3">
        <v>6.6</v>
      </c>
    </row>
    <row r="1963" spans="1:2" x14ac:dyDescent="0.3">
      <c r="A1963" s="31">
        <v>85</v>
      </c>
      <c r="B1963" s="4">
        <v>2.9</v>
      </c>
    </row>
    <row r="1964" spans="1:2" x14ac:dyDescent="0.3">
      <c r="A1964" s="32">
        <v>72</v>
      </c>
      <c r="B1964" s="3">
        <v>7.2</v>
      </c>
    </row>
    <row r="1965" spans="1:2" x14ac:dyDescent="0.3">
      <c r="A1965" s="31">
        <v>128</v>
      </c>
      <c r="B1965" s="4">
        <v>6.5</v>
      </c>
    </row>
    <row r="1966" spans="1:2" x14ac:dyDescent="0.3">
      <c r="A1966" s="32">
        <v>72</v>
      </c>
      <c r="B1966" s="3">
        <v>6.8</v>
      </c>
    </row>
    <row r="1967" spans="1:2" x14ac:dyDescent="0.3">
      <c r="A1967" s="31">
        <v>89</v>
      </c>
      <c r="B1967" s="4">
        <v>7.2</v>
      </c>
    </row>
    <row r="1968" spans="1:2" x14ac:dyDescent="0.3">
      <c r="A1968" s="32">
        <v>96</v>
      </c>
      <c r="B1968" s="3">
        <v>6.8</v>
      </c>
    </row>
    <row r="1969" spans="1:2" x14ac:dyDescent="0.3">
      <c r="A1969" s="31">
        <v>77</v>
      </c>
      <c r="B1969" s="4">
        <v>7.8</v>
      </c>
    </row>
    <row r="1970" spans="1:2" x14ac:dyDescent="0.3">
      <c r="A1970" s="32">
        <v>111</v>
      </c>
      <c r="B1970" s="3">
        <v>6.7</v>
      </c>
    </row>
    <row r="1971" spans="1:2" x14ac:dyDescent="0.3">
      <c r="A1971" s="31">
        <v>93</v>
      </c>
      <c r="B1971" s="4">
        <v>6.1</v>
      </c>
    </row>
    <row r="1972" spans="1:2" x14ac:dyDescent="0.3">
      <c r="A1972" s="32">
        <v>128</v>
      </c>
      <c r="B1972" s="3">
        <v>7.1</v>
      </c>
    </row>
    <row r="1973" spans="1:2" x14ac:dyDescent="0.3">
      <c r="A1973" s="31">
        <v>110</v>
      </c>
      <c r="B1973" s="4">
        <v>5.7</v>
      </c>
    </row>
    <row r="1974" spans="1:2" x14ac:dyDescent="0.3">
      <c r="A1974" s="32">
        <v>137</v>
      </c>
      <c r="B1974" s="3">
        <v>2.9</v>
      </c>
    </row>
    <row r="1975" spans="1:2" x14ac:dyDescent="0.3">
      <c r="A1975" s="31">
        <v>124</v>
      </c>
      <c r="B1975" s="4">
        <v>5.2</v>
      </c>
    </row>
    <row r="1976" spans="1:2" x14ac:dyDescent="0.3">
      <c r="A1976" s="32">
        <v>93</v>
      </c>
      <c r="B1976" s="3">
        <v>5.3</v>
      </c>
    </row>
    <row r="1977" spans="1:2" x14ac:dyDescent="0.3">
      <c r="A1977" s="31">
        <v>115</v>
      </c>
      <c r="B1977" s="4">
        <v>6.2</v>
      </c>
    </row>
    <row r="1978" spans="1:2" x14ac:dyDescent="0.3">
      <c r="A1978" s="32">
        <v>105</v>
      </c>
      <c r="B1978" s="3">
        <v>7.3</v>
      </c>
    </row>
    <row r="1979" spans="1:2" x14ac:dyDescent="0.3">
      <c r="A1979" s="31">
        <v>127</v>
      </c>
      <c r="B1979" s="4">
        <v>6.5</v>
      </c>
    </row>
    <row r="1980" spans="1:2" x14ac:dyDescent="0.3">
      <c r="A1980" s="32">
        <v>82</v>
      </c>
      <c r="B1980" s="3">
        <v>4.0999999999999996</v>
      </c>
    </row>
    <row r="1981" spans="1:2" x14ac:dyDescent="0.3">
      <c r="A1981" s="31">
        <v>143</v>
      </c>
      <c r="B1981" s="4">
        <v>7.7</v>
      </c>
    </row>
    <row r="1982" spans="1:2" x14ac:dyDescent="0.3">
      <c r="A1982" s="32">
        <v>103</v>
      </c>
      <c r="B1982" s="3">
        <v>6.1</v>
      </c>
    </row>
    <row r="1983" spans="1:2" x14ac:dyDescent="0.3">
      <c r="A1983" s="31">
        <v>104</v>
      </c>
      <c r="B1983" s="4">
        <v>7.3</v>
      </c>
    </row>
    <row r="1984" spans="1:2" x14ac:dyDescent="0.3">
      <c r="A1984" s="32">
        <v>98</v>
      </c>
      <c r="B1984" s="3">
        <v>7.2</v>
      </c>
    </row>
    <row r="1985" spans="1:2" x14ac:dyDescent="0.3">
      <c r="A1985" s="31">
        <v>92</v>
      </c>
      <c r="B1985" s="4">
        <v>5.3</v>
      </c>
    </row>
    <row r="1986" spans="1:2" x14ac:dyDescent="0.3">
      <c r="A1986" s="32">
        <v>123</v>
      </c>
      <c r="B1986" s="3">
        <v>6.1</v>
      </c>
    </row>
    <row r="1987" spans="1:2" x14ac:dyDescent="0.3">
      <c r="A1987" s="31">
        <v>88</v>
      </c>
      <c r="B1987" s="4">
        <v>5.8</v>
      </c>
    </row>
    <row r="1988" spans="1:2" x14ac:dyDescent="0.3">
      <c r="A1988" s="32">
        <v>128</v>
      </c>
      <c r="B1988" s="3">
        <v>5.7</v>
      </c>
    </row>
    <row r="1989" spans="1:2" x14ac:dyDescent="0.3">
      <c r="A1989" s="31">
        <v>107</v>
      </c>
      <c r="B1989" s="4">
        <v>6.7</v>
      </c>
    </row>
    <row r="1990" spans="1:2" x14ac:dyDescent="0.3">
      <c r="A1990" s="32">
        <v>91</v>
      </c>
      <c r="B1990" s="3">
        <v>6.5</v>
      </c>
    </row>
    <row r="1991" spans="1:2" x14ac:dyDescent="0.3">
      <c r="A1991" s="31">
        <v>90</v>
      </c>
      <c r="B1991" s="4">
        <v>7.2</v>
      </c>
    </row>
    <row r="1992" spans="1:2" x14ac:dyDescent="0.3">
      <c r="A1992" s="32">
        <v>115</v>
      </c>
      <c r="B1992" s="3">
        <v>7.6</v>
      </c>
    </row>
    <row r="1993" spans="1:2" x14ac:dyDescent="0.3">
      <c r="A1993" s="31">
        <v>113</v>
      </c>
      <c r="B1993" s="4">
        <v>4.5999999999999996</v>
      </c>
    </row>
    <row r="1994" spans="1:2" x14ac:dyDescent="0.3">
      <c r="A1994" s="32">
        <v>113</v>
      </c>
      <c r="B1994" s="3">
        <v>6.9</v>
      </c>
    </row>
    <row r="1995" spans="1:2" x14ac:dyDescent="0.3">
      <c r="A1995" s="31">
        <v>87</v>
      </c>
      <c r="B1995" s="4">
        <v>6.6</v>
      </c>
    </row>
    <row r="1996" spans="1:2" x14ac:dyDescent="0.3">
      <c r="A1996" s="32">
        <v>101</v>
      </c>
      <c r="B1996" s="3">
        <v>6.3</v>
      </c>
    </row>
    <row r="1997" spans="1:2" x14ac:dyDescent="0.3">
      <c r="A1997" s="31">
        <v>111</v>
      </c>
      <c r="B1997" s="4">
        <v>6.2</v>
      </c>
    </row>
    <row r="1998" spans="1:2" x14ac:dyDescent="0.3">
      <c r="A1998" s="32">
        <v>108</v>
      </c>
      <c r="B1998" s="3">
        <v>5.3</v>
      </c>
    </row>
    <row r="1999" spans="1:2" x14ac:dyDescent="0.3">
      <c r="A1999" s="31">
        <v>105</v>
      </c>
      <c r="B1999" s="4">
        <v>7.3</v>
      </c>
    </row>
    <row r="2000" spans="1:2" x14ac:dyDescent="0.3">
      <c r="A2000" s="32">
        <v>109</v>
      </c>
      <c r="B2000" s="3">
        <v>5.6</v>
      </c>
    </row>
    <row r="2001" spans="1:2" x14ac:dyDescent="0.3">
      <c r="A2001" s="31">
        <v>109</v>
      </c>
      <c r="B2001" s="4">
        <v>6.2</v>
      </c>
    </row>
    <row r="2002" spans="1:2" x14ac:dyDescent="0.3">
      <c r="A2002" s="32">
        <v>99</v>
      </c>
      <c r="B2002" s="3">
        <v>5.2</v>
      </c>
    </row>
    <row r="2003" spans="1:2" x14ac:dyDescent="0.3">
      <c r="A2003" s="31">
        <v>98</v>
      </c>
      <c r="B2003" s="4">
        <v>5.3</v>
      </c>
    </row>
    <row r="2004" spans="1:2" x14ac:dyDescent="0.3">
      <c r="A2004" s="32">
        <v>104</v>
      </c>
      <c r="B2004" s="3">
        <v>5.4</v>
      </c>
    </row>
    <row r="2005" spans="1:2" x14ac:dyDescent="0.3">
      <c r="A2005" s="31">
        <v>109</v>
      </c>
      <c r="B2005" s="4">
        <v>4.9000000000000004</v>
      </c>
    </row>
    <row r="2006" spans="1:2" x14ac:dyDescent="0.3">
      <c r="A2006" s="32">
        <v>75</v>
      </c>
      <c r="B2006" s="3">
        <v>5.5</v>
      </c>
    </row>
    <row r="2007" spans="1:2" x14ac:dyDescent="0.3">
      <c r="A2007" s="31">
        <v>119</v>
      </c>
      <c r="B2007" s="4">
        <v>6.7</v>
      </c>
    </row>
    <row r="2008" spans="1:2" x14ac:dyDescent="0.3">
      <c r="A2008" s="32">
        <v>90</v>
      </c>
      <c r="B2008" s="3">
        <v>3.9</v>
      </c>
    </row>
    <row r="2009" spans="1:2" x14ac:dyDescent="0.3">
      <c r="A2009" s="31">
        <v>97</v>
      </c>
      <c r="B2009" s="4">
        <v>7.2</v>
      </c>
    </row>
    <row r="2010" spans="1:2" x14ac:dyDescent="0.3">
      <c r="A2010" s="32">
        <v>89</v>
      </c>
      <c r="B2010" s="3">
        <v>5.0999999999999996</v>
      </c>
    </row>
    <row r="2011" spans="1:2" x14ac:dyDescent="0.3">
      <c r="A2011" s="31">
        <v>106</v>
      </c>
      <c r="B2011" s="4">
        <v>6.5</v>
      </c>
    </row>
    <row r="2012" spans="1:2" x14ac:dyDescent="0.3">
      <c r="A2012" s="32">
        <v>96</v>
      </c>
      <c r="B2012" s="3">
        <v>8.1999999999999993</v>
      </c>
    </row>
    <row r="2013" spans="1:2" x14ac:dyDescent="0.3">
      <c r="A2013" s="31">
        <v>104</v>
      </c>
      <c r="B2013" s="4">
        <v>7.7</v>
      </c>
    </row>
    <row r="2014" spans="1:2" x14ac:dyDescent="0.3">
      <c r="A2014" s="32">
        <v>108</v>
      </c>
      <c r="B2014" s="3">
        <v>7.2</v>
      </c>
    </row>
    <row r="2015" spans="1:2" x14ac:dyDescent="0.3">
      <c r="A2015" s="31">
        <v>112</v>
      </c>
      <c r="B2015" s="4">
        <v>6.1</v>
      </c>
    </row>
    <row r="2016" spans="1:2" x14ac:dyDescent="0.3">
      <c r="A2016" s="32">
        <v>104</v>
      </c>
      <c r="B2016" s="3">
        <v>8.8000000000000007</v>
      </c>
    </row>
    <row r="2017" spans="1:2" x14ac:dyDescent="0.3">
      <c r="A2017" s="31">
        <v>113</v>
      </c>
      <c r="B2017" s="4">
        <v>6.8</v>
      </c>
    </row>
    <row r="2018" spans="1:2" x14ac:dyDescent="0.3">
      <c r="A2018" s="32">
        <v>98</v>
      </c>
      <c r="B2018" s="3">
        <v>6.8</v>
      </c>
    </row>
    <row r="2019" spans="1:2" x14ac:dyDescent="0.3">
      <c r="A2019" s="31">
        <v>114</v>
      </c>
      <c r="B2019" s="4">
        <v>6.7</v>
      </c>
    </row>
    <row r="2020" spans="1:2" x14ac:dyDescent="0.3">
      <c r="A2020" s="32">
        <v>124</v>
      </c>
      <c r="B2020" s="3">
        <v>7.1</v>
      </c>
    </row>
    <row r="2021" spans="1:2" x14ac:dyDescent="0.3">
      <c r="A2021" s="31">
        <v>148</v>
      </c>
      <c r="B2021" s="4">
        <v>7.1</v>
      </c>
    </row>
    <row r="2022" spans="1:2" x14ac:dyDescent="0.3">
      <c r="A2022" s="32">
        <v>108</v>
      </c>
      <c r="B2022" s="3">
        <v>6.1</v>
      </c>
    </row>
    <row r="2023" spans="1:2" x14ac:dyDescent="0.3">
      <c r="A2023" s="31">
        <v>95</v>
      </c>
      <c r="B2023" s="4">
        <v>8</v>
      </c>
    </row>
    <row r="2024" spans="1:2" x14ac:dyDescent="0.3">
      <c r="A2024" s="32">
        <v>108</v>
      </c>
      <c r="B2024" s="3">
        <v>7.5</v>
      </c>
    </row>
    <row r="2025" spans="1:2" x14ac:dyDescent="0.3">
      <c r="A2025" s="31">
        <v>68</v>
      </c>
      <c r="B2025" s="4">
        <v>6.6</v>
      </c>
    </row>
    <row r="2026" spans="1:2" x14ac:dyDescent="0.3">
      <c r="A2026" s="32">
        <v>103</v>
      </c>
      <c r="B2026" s="3">
        <v>5.4</v>
      </c>
    </row>
    <row r="2027" spans="1:2" x14ac:dyDescent="0.3">
      <c r="A2027" s="31">
        <v>99</v>
      </c>
      <c r="B2027" s="4">
        <v>6.1</v>
      </c>
    </row>
    <row r="2028" spans="1:2" x14ac:dyDescent="0.3">
      <c r="A2028" s="32">
        <v>88</v>
      </c>
      <c r="B2028" s="3">
        <v>6.1</v>
      </c>
    </row>
    <row r="2029" spans="1:2" x14ac:dyDescent="0.3">
      <c r="A2029" s="31">
        <v>128</v>
      </c>
      <c r="B2029" s="4">
        <v>5.6</v>
      </c>
    </row>
    <row r="2030" spans="1:2" x14ac:dyDescent="0.3">
      <c r="A2030" s="32">
        <v>124</v>
      </c>
      <c r="B2030" s="3">
        <v>5.8</v>
      </c>
    </row>
    <row r="2031" spans="1:2" x14ac:dyDescent="0.3">
      <c r="A2031" s="31">
        <v>84</v>
      </c>
      <c r="B2031" s="4">
        <v>2.8</v>
      </c>
    </row>
    <row r="2032" spans="1:2" x14ac:dyDescent="0.3">
      <c r="A2032" s="32">
        <v>101</v>
      </c>
      <c r="B2032" s="3">
        <v>6.7</v>
      </c>
    </row>
    <row r="2033" spans="1:2" x14ac:dyDescent="0.3">
      <c r="A2033" s="31">
        <v>98</v>
      </c>
      <c r="B2033" s="4">
        <v>5.0999999999999996</v>
      </c>
    </row>
    <row r="2034" spans="1:2" x14ac:dyDescent="0.3">
      <c r="A2034" s="32">
        <v>225</v>
      </c>
      <c r="B2034" s="3">
        <v>7.2</v>
      </c>
    </row>
    <row r="2035" spans="1:2" x14ac:dyDescent="0.3">
      <c r="A2035" s="31">
        <v>88</v>
      </c>
      <c r="B2035" s="4">
        <v>6</v>
      </c>
    </row>
    <row r="2036" spans="1:2" x14ac:dyDescent="0.3">
      <c r="A2036" s="32">
        <v>88</v>
      </c>
      <c r="B2036" s="3">
        <v>7.2</v>
      </c>
    </row>
    <row r="2037" spans="1:2" x14ac:dyDescent="0.3">
      <c r="A2037" s="31">
        <v>94</v>
      </c>
      <c r="B2037" s="4">
        <v>6.7</v>
      </c>
    </row>
    <row r="2038" spans="1:2" x14ac:dyDescent="0.3">
      <c r="A2038" s="32">
        <v>117</v>
      </c>
      <c r="B2038" s="3">
        <v>6.3</v>
      </c>
    </row>
    <row r="2039" spans="1:2" x14ac:dyDescent="0.3">
      <c r="A2039" s="31">
        <v>95</v>
      </c>
      <c r="B2039" s="4">
        <v>6.2</v>
      </c>
    </row>
    <row r="2040" spans="1:2" x14ac:dyDescent="0.3">
      <c r="A2040" s="32">
        <v>96</v>
      </c>
      <c r="B2040" s="3">
        <v>6.2</v>
      </c>
    </row>
    <row r="2041" spans="1:2" x14ac:dyDescent="0.3">
      <c r="A2041" s="31">
        <v>98</v>
      </c>
      <c r="B2041" s="4">
        <v>6.9</v>
      </c>
    </row>
    <row r="2042" spans="1:2" x14ac:dyDescent="0.3">
      <c r="A2042" s="32">
        <v>123</v>
      </c>
      <c r="B2042" s="3">
        <v>6.8</v>
      </c>
    </row>
    <row r="2043" spans="1:2" x14ac:dyDescent="0.3">
      <c r="A2043" s="31">
        <v>101</v>
      </c>
      <c r="B2043" s="4">
        <v>7.1</v>
      </c>
    </row>
    <row r="2044" spans="1:2" x14ac:dyDescent="0.3">
      <c r="A2044" s="32">
        <v>102</v>
      </c>
      <c r="B2044" s="3">
        <v>7.1</v>
      </c>
    </row>
    <row r="2045" spans="1:2" x14ac:dyDescent="0.3">
      <c r="A2045" s="31">
        <v>94</v>
      </c>
      <c r="B2045" s="4">
        <v>7</v>
      </c>
    </row>
    <row r="2046" spans="1:2" x14ac:dyDescent="0.3">
      <c r="A2046" s="32">
        <v>102</v>
      </c>
      <c r="B2046" s="3">
        <v>7.1</v>
      </c>
    </row>
    <row r="2047" spans="1:2" x14ac:dyDescent="0.3">
      <c r="A2047" s="31">
        <v>108</v>
      </c>
      <c r="B2047" s="4">
        <v>6.4</v>
      </c>
    </row>
    <row r="2048" spans="1:2" x14ac:dyDescent="0.3">
      <c r="A2048" s="32">
        <v>116</v>
      </c>
      <c r="B2048" s="3">
        <v>7</v>
      </c>
    </row>
    <row r="2049" spans="1:2" x14ac:dyDescent="0.3">
      <c r="A2049" s="31">
        <v>93</v>
      </c>
      <c r="B2049" s="4">
        <v>6.2</v>
      </c>
    </row>
    <row r="2050" spans="1:2" x14ac:dyDescent="0.3">
      <c r="A2050" s="32">
        <v>102</v>
      </c>
      <c r="B2050" s="3">
        <v>7.5</v>
      </c>
    </row>
    <row r="2051" spans="1:2" x14ac:dyDescent="0.3">
      <c r="A2051" s="31">
        <v>103</v>
      </c>
      <c r="B2051" s="4">
        <v>4.8</v>
      </c>
    </row>
    <row r="2052" spans="1:2" x14ac:dyDescent="0.3">
      <c r="A2052" s="32">
        <v>115</v>
      </c>
      <c r="B2052" s="3">
        <v>8.1</v>
      </c>
    </row>
    <row r="2053" spans="1:2" x14ac:dyDescent="0.3">
      <c r="A2053" s="31">
        <v>96</v>
      </c>
      <c r="B2053" s="4">
        <v>7.3</v>
      </c>
    </row>
    <row r="2054" spans="1:2" x14ac:dyDescent="0.3">
      <c r="A2054" s="32">
        <v>98</v>
      </c>
      <c r="B2054" s="3">
        <v>5.8</v>
      </c>
    </row>
    <row r="2055" spans="1:2" x14ac:dyDescent="0.3">
      <c r="A2055" s="31">
        <v>101</v>
      </c>
      <c r="B2055" s="4">
        <v>7.6</v>
      </c>
    </row>
    <row r="2056" spans="1:2" x14ac:dyDescent="0.3">
      <c r="A2056" s="32">
        <v>106</v>
      </c>
      <c r="B2056" s="3">
        <v>5.6</v>
      </c>
    </row>
    <row r="2057" spans="1:2" x14ac:dyDescent="0.3">
      <c r="A2057" s="31">
        <v>101</v>
      </c>
      <c r="B2057" s="4">
        <v>7</v>
      </c>
    </row>
    <row r="2058" spans="1:2" x14ac:dyDescent="0.3">
      <c r="A2058" s="32">
        <v>111</v>
      </c>
      <c r="B2058" s="3">
        <v>6.6</v>
      </c>
    </row>
    <row r="2059" spans="1:2" x14ac:dyDescent="0.3">
      <c r="A2059" s="31">
        <v>99</v>
      </c>
      <c r="B2059" s="4">
        <v>6.5</v>
      </c>
    </row>
    <row r="2060" spans="1:2" x14ac:dyDescent="0.3">
      <c r="A2060" s="32">
        <v>88</v>
      </c>
      <c r="B2060" s="3">
        <v>7.4</v>
      </c>
    </row>
    <row r="2061" spans="1:2" x14ac:dyDescent="0.3">
      <c r="A2061" s="31">
        <v>83</v>
      </c>
      <c r="B2061" s="4">
        <v>4.5999999999999996</v>
      </c>
    </row>
    <row r="2062" spans="1:2" x14ac:dyDescent="0.3">
      <c r="A2062" s="32">
        <v>91</v>
      </c>
      <c r="B2062" s="3">
        <v>6.4</v>
      </c>
    </row>
    <row r="2063" spans="1:2" x14ac:dyDescent="0.3">
      <c r="A2063" s="31">
        <v>108</v>
      </c>
      <c r="B2063" s="4">
        <v>6</v>
      </c>
    </row>
    <row r="2064" spans="1:2" x14ac:dyDescent="0.3">
      <c r="A2064" s="32">
        <v>148</v>
      </c>
      <c r="B2064" s="3">
        <v>6.4</v>
      </c>
    </row>
    <row r="2065" spans="1:2" x14ac:dyDescent="0.3">
      <c r="A2065" s="31">
        <v>77</v>
      </c>
      <c r="B2065" s="4">
        <v>5.9</v>
      </c>
    </row>
    <row r="2066" spans="1:2" x14ac:dyDescent="0.3">
      <c r="A2066" s="32">
        <v>110</v>
      </c>
      <c r="B2066" s="3">
        <v>6.4</v>
      </c>
    </row>
    <row r="2067" spans="1:2" x14ac:dyDescent="0.3">
      <c r="A2067" s="31">
        <v>83</v>
      </c>
      <c r="B2067" s="4">
        <v>6.6</v>
      </c>
    </row>
    <row r="2068" spans="1:2" x14ac:dyDescent="0.3">
      <c r="A2068" s="32">
        <v>107</v>
      </c>
      <c r="B2068" s="3">
        <v>6.9</v>
      </c>
    </row>
    <row r="2069" spans="1:2" x14ac:dyDescent="0.3">
      <c r="A2069" s="31">
        <v>100</v>
      </c>
      <c r="B2069" s="4">
        <v>6.9</v>
      </c>
    </row>
    <row r="2070" spans="1:2" x14ac:dyDescent="0.3">
      <c r="A2070" s="32">
        <v>87</v>
      </c>
      <c r="B2070" s="3">
        <v>5.8</v>
      </c>
    </row>
    <row r="2071" spans="1:2" x14ac:dyDescent="0.3">
      <c r="A2071" s="31">
        <v>154</v>
      </c>
      <c r="B2071" s="4">
        <v>6.4</v>
      </c>
    </row>
    <row r="2072" spans="1:2" x14ac:dyDescent="0.3">
      <c r="A2072" s="32">
        <v>106</v>
      </c>
      <c r="B2072" s="3">
        <v>5.3</v>
      </c>
    </row>
    <row r="2073" spans="1:2" x14ac:dyDescent="0.3">
      <c r="A2073" s="31">
        <v>99</v>
      </c>
      <c r="B2073" s="4">
        <v>6.5</v>
      </c>
    </row>
    <row r="2074" spans="1:2" x14ac:dyDescent="0.3">
      <c r="A2074" s="32">
        <v>100</v>
      </c>
      <c r="B2074" s="3">
        <v>5.7</v>
      </c>
    </row>
    <row r="2075" spans="1:2" x14ac:dyDescent="0.3">
      <c r="A2075" s="31">
        <v>116</v>
      </c>
      <c r="B2075" s="4">
        <v>6.7</v>
      </c>
    </row>
    <row r="2076" spans="1:2" x14ac:dyDescent="0.3">
      <c r="A2076" s="32">
        <v>94</v>
      </c>
      <c r="B2076" s="3">
        <v>3.9</v>
      </c>
    </row>
    <row r="2077" spans="1:2" x14ac:dyDescent="0.3">
      <c r="A2077" s="31">
        <v>111</v>
      </c>
      <c r="B2077" s="4">
        <v>4.0999999999999996</v>
      </c>
    </row>
    <row r="2078" spans="1:2" x14ac:dyDescent="0.3">
      <c r="A2078" s="32">
        <v>100</v>
      </c>
      <c r="B2078" s="3">
        <v>6.2</v>
      </c>
    </row>
    <row r="2079" spans="1:2" x14ac:dyDescent="0.3">
      <c r="A2079" s="31">
        <v>125</v>
      </c>
      <c r="B2079" s="4">
        <v>3.8</v>
      </c>
    </row>
    <row r="2080" spans="1:2" x14ac:dyDescent="0.3">
      <c r="A2080" s="32">
        <v>119</v>
      </c>
      <c r="B2080" s="3">
        <v>5.0999999999999996</v>
      </c>
    </row>
    <row r="2081" spans="1:2" x14ac:dyDescent="0.3">
      <c r="A2081" s="31">
        <v>135</v>
      </c>
      <c r="B2081" s="4">
        <v>6.4</v>
      </c>
    </row>
    <row r="2082" spans="1:2" x14ac:dyDescent="0.3">
      <c r="A2082" s="32">
        <v>93</v>
      </c>
      <c r="B2082" s="3">
        <v>7.8</v>
      </c>
    </row>
    <row r="2083" spans="1:2" x14ac:dyDescent="0.3">
      <c r="A2083" s="31">
        <v>114</v>
      </c>
      <c r="B2083" s="4">
        <v>7.8</v>
      </c>
    </row>
    <row r="2084" spans="1:2" x14ac:dyDescent="0.3">
      <c r="A2084" s="32">
        <v>124</v>
      </c>
      <c r="B2084" s="3">
        <v>6.1</v>
      </c>
    </row>
    <row r="2085" spans="1:2" x14ac:dyDescent="0.3">
      <c r="A2085" s="31">
        <v>134</v>
      </c>
      <c r="B2085" s="4">
        <v>5.8</v>
      </c>
    </row>
    <row r="2086" spans="1:2" x14ac:dyDescent="0.3">
      <c r="A2086" s="32">
        <v>114</v>
      </c>
      <c r="B2086" s="3">
        <v>6.3</v>
      </c>
    </row>
    <row r="2087" spans="1:2" x14ac:dyDescent="0.3">
      <c r="A2087" s="31">
        <v>124</v>
      </c>
      <c r="B2087" s="4">
        <v>7.7</v>
      </c>
    </row>
    <row r="2088" spans="1:2" x14ac:dyDescent="0.3">
      <c r="A2088" s="32">
        <v>104</v>
      </c>
      <c r="B2088" s="3">
        <v>5.4</v>
      </c>
    </row>
    <row r="2089" spans="1:2" x14ac:dyDescent="0.3">
      <c r="A2089" s="31">
        <v>118</v>
      </c>
      <c r="B2089" s="4">
        <v>7.3</v>
      </c>
    </row>
    <row r="2090" spans="1:2" x14ac:dyDescent="0.3">
      <c r="A2090" s="32">
        <v>80</v>
      </c>
      <c r="B2090" s="3">
        <v>6.8</v>
      </c>
    </row>
    <row r="2091" spans="1:2" x14ac:dyDescent="0.3">
      <c r="A2091" s="31">
        <v>107</v>
      </c>
      <c r="B2091" s="4">
        <v>7.3</v>
      </c>
    </row>
    <row r="2092" spans="1:2" x14ac:dyDescent="0.3">
      <c r="A2092" s="32">
        <v>125</v>
      </c>
      <c r="B2092" s="3">
        <v>6.5</v>
      </c>
    </row>
    <row r="2093" spans="1:2" x14ac:dyDescent="0.3">
      <c r="A2093" s="31">
        <v>115</v>
      </c>
      <c r="B2093" s="4">
        <v>7.2</v>
      </c>
    </row>
    <row r="2094" spans="1:2" x14ac:dyDescent="0.3">
      <c r="A2094" s="32">
        <v>88</v>
      </c>
      <c r="B2094" s="3">
        <v>6.7</v>
      </c>
    </row>
    <row r="2095" spans="1:2" x14ac:dyDescent="0.3">
      <c r="A2095" s="31">
        <v>122</v>
      </c>
      <c r="B2095" s="4">
        <v>6.3</v>
      </c>
    </row>
    <row r="2096" spans="1:2" x14ac:dyDescent="0.3">
      <c r="A2096" s="32">
        <v>103</v>
      </c>
      <c r="B2096" s="3">
        <v>5.9</v>
      </c>
    </row>
    <row r="2097" spans="1:2" x14ac:dyDescent="0.3">
      <c r="A2097" s="31">
        <v>101</v>
      </c>
      <c r="B2097" s="4">
        <v>7.8</v>
      </c>
    </row>
    <row r="2098" spans="1:2" x14ac:dyDescent="0.3">
      <c r="A2098" s="32">
        <v>107</v>
      </c>
      <c r="B2098" s="3">
        <v>7.4</v>
      </c>
    </row>
    <row r="2099" spans="1:2" x14ac:dyDescent="0.3">
      <c r="A2099" s="31">
        <v>118</v>
      </c>
      <c r="B2099" s="4">
        <v>4.8</v>
      </c>
    </row>
    <row r="2100" spans="1:2" x14ac:dyDescent="0.3">
      <c r="A2100" s="32">
        <v>107</v>
      </c>
      <c r="B2100" s="3">
        <v>6.3</v>
      </c>
    </row>
    <row r="2101" spans="1:2" x14ac:dyDescent="0.3">
      <c r="A2101" s="31">
        <v>100</v>
      </c>
      <c r="B2101" s="4">
        <v>7.8</v>
      </c>
    </row>
    <row r="2102" spans="1:2" x14ac:dyDescent="0.3">
      <c r="A2102" s="32">
        <v>110</v>
      </c>
      <c r="B2102" s="3">
        <v>7.5</v>
      </c>
    </row>
    <row r="2103" spans="1:2" x14ac:dyDescent="0.3">
      <c r="A2103" s="31">
        <v>125</v>
      </c>
      <c r="B2103" s="4">
        <v>6</v>
      </c>
    </row>
    <row r="2104" spans="1:2" x14ac:dyDescent="0.3">
      <c r="A2104" s="32">
        <v>184</v>
      </c>
      <c r="B2104" s="3">
        <v>6.8</v>
      </c>
    </row>
    <row r="2105" spans="1:2" x14ac:dyDescent="0.3">
      <c r="A2105" s="31">
        <v>236</v>
      </c>
      <c r="B2105" s="4">
        <v>6.6</v>
      </c>
    </row>
    <row r="2106" spans="1:2" x14ac:dyDescent="0.3">
      <c r="A2106" s="32">
        <v>97</v>
      </c>
      <c r="B2106" s="3">
        <v>4.5999999999999996</v>
      </c>
    </row>
    <row r="2107" spans="1:2" x14ac:dyDescent="0.3">
      <c r="A2107" s="31">
        <v>95</v>
      </c>
      <c r="B2107" s="4">
        <v>7.1</v>
      </c>
    </row>
    <row r="2108" spans="1:2" x14ac:dyDescent="0.3">
      <c r="A2108" s="32">
        <v>103</v>
      </c>
      <c r="B2108" s="3">
        <v>6.1</v>
      </c>
    </row>
    <row r="2109" spans="1:2" x14ac:dyDescent="0.3">
      <c r="A2109" s="31">
        <v>91</v>
      </c>
      <c r="B2109" s="4">
        <v>6.7</v>
      </c>
    </row>
    <row r="2110" spans="1:2" x14ac:dyDescent="0.3">
      <c r="A2110" s="32">
        <v>116</v>
      </c>
      <c r="B2110" s="3">
        <v>7.1</v>
      </c>
    </row>
    <row r="2111" spans="1:2" x14ac:dyDescent="0.3">
      <c r="A2111" s="31">
        <v>93</v>
      </c>
      <c r="B2111" s="4">
        <v>5.8</v>
      </c>
    </row>
    <row r="2112" spans="1:2" x14ac:dyDescent="0.3">
      <c r="A2112" s="32">
        <v>113</v>
      </c>
      <c r="B2112" s="3">
        <v>6.7</v>
      </c>
    </row>
    <row r="2113" spans="1:2" x14ac:dyDescent="0.3">
      <c r="A2113" s="31">
        <v>101</v>
      </c>
      <c r="B2113" s="4">
        <v>5.8</v>
      </c>
    </row>
    <row r="2114" spans="1:2" x14ac:dyDescent="0.3">
      <c r="A2114" s="32">
        <v>95</v>
      </c>
      <c r="B2114" s="3">
        <v>6.8</v>
      </c>
    </row>
    <row r="2115" spans="1:2" x14ac:dyDescent="0.3">
      <c r="A2115" s="31">
        <v>109</v>
      </c>
      <c r="B2115" s="4">
        <v>8.5</v>
      </c>
    </row>
    <row r="2116" spans="1:2" x14ac:dyDescent="0.3">
      <c r="A2116" s="32">
        <v>85</v>
      </c>
      <c r="B2116" s="3">
        <v>6.6</v>
      </c>
    </row>
    <row r="2117" spans="1:2" x14ac:dyDescent="0.3">
      <c r="A2117" s="31">
        <v>101</v>
      </c>
      <c r="B2117" s="4">
        <v>7.7</v>
      </c>
    </row>
    <row r="2118" spans="1:2" x14ac:dyDescent="0.3">
      <c r="A2118" s="32">
        <v>125</v>
      </c>
      <c r="B2118" s="3">
        <v>4.7</v>
      </c>
    </row>
    <row r="2119" spans="1:2" x14ac:dyDescent="0.3">
      <c r="A2119" s="31">
        <v>132</v>
      </c>
      <c r="B2119" s="4">
        <v>6.4</v>
      </c>
    </row>
    <row r="2120" spans="1:2" x14ac:dyDescent="0.3">
      <c r="A2120" s="32">
        <v>131</v>
      </c>
      <c r="B2120" s="3">
        <v>5.5</v>
      </c>
    </row>
    <row r="2121" spans="1:2" x14ac:dyDescent="0.3">
      <c r="A2121" s="31">
        <v>129</v>
      </c>
      <c r="B2121" s="4">
        <v>8.6</v>
      </c>
    </row>
    <row r="2122" spans="1:2" x14ac:dyDescent="0.3">
      <c r="A2122" s="32">
        <v>100</v>
      </c>
      <c r="B2122" s="3">
        <v>7</v>
      </c>
    </row>
    <row r="2123" spans="1:2" x14ac:dyDescent="0.3">
      <c r="A2123" s="31">
        <v>97</v>
      </c>
      <c r="B2123" s="4">
        <v>7.1</v>
      </c>
    </row>
    <row r="2124" spans="1:2" x14ac:dyDescent="0.3">
      <c r="A2124" s="32">
        <v>92</v>
      </c>
      <c r="B2124" s="3">
        <v>5.7</v>
      </c>
    </row>
    <row r="2125" spans="1:2" x14ac:dyDescent="0.3">
      <c r="A2125" s="31">
        <v>116</v>
      </c>
      <c r="B2125" s="4">
        <v>3.7</v>
      </c>
    </row>
    <row r="2126" spans="1:2" x14ac:dyDescent="0.3">
      <c r="A2126" s="32">
        <v>90</v>
      </c>
      <c r="B2126" s="3">
        <v>7.5</v>
      </c>
    </row>
    <row r="2127" spans="1:2" x14ac:dyDescent="0.3">
      <c r="A2127" s="31">
        <v>81</v>
      </c>
      <c r="B2127" s="4">
        <v>4.5999999999999996</v>
      </c>
    </row>
    <row r="2128" spans="1:2" x14ac:dyDescent="0.3">
      <c r="A2128" s="32">
        <v>97</v>
      </c>
      <c r="B2128" s="3">
        <v>4.9000000000000004</v>
      </c>
    </row>
    <row r="2129" spans="1:2" x14ac:dyDescent="0.3">
      <c r="A2129" s="31">
        <v>118</v>
      </c>
      <c r="B2129" s="4">
        <v>6.9</v>
      </c>
    </row>
    <row r="2130" spans="1:2" x14ac:dyDescent="0.3">
      <c r="A2130" s="32">
        <v>100</v>
      </c>
      <c r="B2130" s="3">
        <v>7.1</v>
      </c>
    </row>
    <row r="2131" spans="1:2" x14ac:dyDescent="0.3">
      <c r="A2131" s="31">
        <v>97</v>
      </c>
      <c r="B2131" s="4">
        <v>5.8</v>
      </c>
    </row>
    <row r="2132" spans="1:2" x14ac:dyDescent="0.3">
      <c r="A2132" s="32">
        <v>114</v>
      </c>
      <c r="B2132" s="3">
        <v>7</v>
      </c>
    </row>
    <row r="2133" spans="1:2" x14ac:dyDescent="0.3">
      <c r="A2133" s="31">
        <v>130</v>
      </c>
      <c r="B2133" s="4">
        <v>5.4</v>
      </c>
    </row>
    <row r="2134" spans="1:2" x14ac:dyDescent="0.3">
      <c r="A2134" s="32">
        <v>82</v>
      </c>
      <c r="B2134" s="3">
        <v>7.3</v>
      </c>
    </row>
    <row r="2135" spans="1:2" x14ac:dyDescent="0.3">
      <c r="A2135" s="31">
        <v>96</v>
      </c>
      <c r="B2135" s="4">
        <v>7.1</v>
      </c>
    </row>
    <row r="2136" spans="1:2" x14ac:dyDescent="0.3">
      <c r="A2136" s="32">
        <v>105</v>
      </c>
      <c r="B2136" s="3">
        <v>5.8</v>
      </c>
    </row>
    <row r="2137" spans="1:2" x14ac:dyDescent="0.3">
      <c r="A2137" s="31">
        <v>122</v>
      </c>
      <c r="B2137" s="4">
        <v>8.1</v>
      </c>
    </row>
    <row r="2138" spans="1:2" x14ac:dyDescent="0.3">
      <c r="A2138" s="32">
        <v>88</v>
      </c>
      <c r="B2138" s="3">
        <v>5.7</v>
      </c>
    </row>
    <row r="2139" spans="1:2" x14ac:dyDescent="0.3">
      <c r="A2139" s="31">
        <v>110</v>
      </c>
      <c r="B2139" s="4">
        <v>4.4000000000000004</v>
      </c>
    </row>
    <row r="2140" spans="1:2" x14ac:dyDescent="0.3">
      <c r="A2140" s="32">
        <v>103</v>
      </c>
      <c r="B2140" s="3">
        <v>7.9</v>
      </c>
    </row>
    <row r="2141" spans="1:2" x14ac:dyDescent="0.3">
      <c r="A2141" s="31">
        <v>106</v>
      </c>
      <c r="B2141" s="4">
        <v>7.6</v>
      </c>
    </row>
    <row r="2142" spans="1:2" x14ac:dyDescent="0.3">
      <c r="A2142" s="32">
        <v>98</v>
      </c>
      <c r="B2142" s="3">
        <v>4.8</v>
      </c>
    </row>
    <row r="2143" spans="1:2" x14ac:dyDescent="0.3">
      <c r="A2143" s="31">
        <v>68</v>
      </c>
      <c r="B2143" s="4">
        <v>7.8</v>
      </c>
    </row>
    <row r="2144" spans="1:2" x14ac:dyDescent="0.3">
      <c r="A2144" s="32">
        <v>94</v>
      </c>
      <c r="B2144" s="3">
        <v>6.7</v>
      </c>
    </row>
    <row r="2145" spans="1:2" x14ac:dyDescent="0.3">
      <c r="A2145" s="31">
        <v>99</v>
      </c>
      <c r="B2145" s="4">
        <v>2.7</v>
      </c>
    </row>
    <row r="2146" spans="1:2" x14ac:dyDescent="0.3">
      <c r="A2146" s="32">
        <v>107</v>
      </c>
      <c r="B2146" s="3">
        <v>5.8</v>
      </c>
    </row>
    <row r="2147" spans="1:2" x14ac:dyDescent="0.3">
      <c r="A2147" s="31">
        <v>180</v>
      </c>
      <c r="B2147" s="4">
        <v>7.5</v>
      </c>
    </row>
    <row r="2148" spans="1:2" x14ac:dyDescent="0.3">
      <c r="A2148" s="32">
        <v>89</v>
      </c>
      <c r="B2148" s="3">
        <v>5.4</v>
      </c>
    </row>
    <row r="2149" spans="1:2" x14ac:dyDescent="0.3">
      <c r="A2149" s="31">
        <v>97</v>
      </c>
      <c r="B2149" s="4">
        <v>4.0999999999999996</v>
      </c>
    </row>
    <row r="2150" spans="1:2" x14ac:dyDescent="0.3">
      <c r="A2150" s="32">
        <v>113</v>
      </c>
      <c r="B2150" s="3">
        <v>5.9</v>
      </c>
    </row>
    <row r="2151" spans="1:2" x14ac:dyDescent="0.3">
      <c r="A2151" s="31">
        <v>131</v>
      </c>
      <c r="B2151" s="4">
        <v>6.3</v>
      </c>
    </row>
    <row r="2152" spans="1:2" x14ac:dyDescent="0.3">
      <c r="A2152" s="32">
        <v>103</v>
      </c>
      <c r="B2152" s="3">
        <v>7</v>
      </c>
    </row>
    <row r="2153" spans="1:2" x14ac:dyDescent="0.3">
      <c r="A2153" s="31">
        <v>119</v>
      </c>
      <c r="B2153" s="4">
        <v>6.8</v>
      </c>
    </row>
    <row r="2154" spans="1:2" x14ac:dyDescent="0.3">
      <c r="A2154" s="32">
        <v>111</v>
      </c>
      <c r="B2154" s="3">
        <v>2.2999999999999998</v>
      </c>
    </row>
    <row r="2155" spans="1:2" x14ac:dyDescent="0.3">
      <c r="A2155" s="31">
        <v>94</v>
      </c>
      <c r="B2155" s="4">
        <v>6.9</v>
      </c>
    </row>
    <row r="2156" spans="1:2" x14ac:dyDescent="0.3">
      <c r="A2156" s="32">
        <v>81</v>
      </c>
      <c r="B2156" s="3">
        <v>8.1</v>
      </c>
    </row>
    <row r="2157" spans="1:2" x14ac:dyDescent="0.3">
      <c r="A2157" s="31">
        <v>89</v>
      </c>
      <c r="B2157" s="4">
        <v>6.1</v>
      </c>
    </row>
    <row r="2158" spans="1:2" x14ac:dyDescent="0.3">
      <c r="A2158" s="32">
        <v>106</v>
      </c>
      <c r="B2158" s="3">
        <v>5</v>
      </c>
    </row>
    <row r="2159" spans="1:2" x14ac:dyDescent="0.3">
      <c r="A2159" s="31">
        <v>86</v>
      </c>
      <c r="B2159" s="4">
        <v>5.5</v>
      </c>
    </row>
    <row r="2160" spans="1:2" x14ac:dyDescent="0.3">
      <c r="A2160" s="32">
        <v>103</v>
      </c>
      <c r="B2160" s="3">
        <v>6.2</v>
      </c>
    </row>
    <row r="2161" spans="1:2" x14ac:dyDescent="0.3">
      <c r="A2161" s="31">
        <v>121</v>
      </c>
      <c r="B2161" s="4">
        <v>6.2</v>
      </c>
    </row>
    <row r="2162" spans="1:2" x14ac:dyDescent="0.3">
      <c r="A2162" s="32">
        <v>109</v>
      </c>
      <c r="B2162" s="3">
        <v>5.9</v>
      </c>
    </row>
    <row r="2163" spans="1:2" x14ac:dyDescent="0.3">
      <c r="A2163" s="31">
        <v>109</v>
      </c>
      <c r="B2163" s="4">
        <v>6.3</v>
      </c>
    </row>
    <row r="2164" spans="1:2" x14ac:dyDescent="0.3">
      <c r="A2164" s="32">
        <v>123</v>
      </c>
      <c r="B2164" s="3">
        <v>6.7</v>
      </c>
    </row>
    <row r="2165" spans="1:2" x14ac:dyDescent="0.3">
      <c r="A2165" s="31">
        <v>94</v>
      </c>
      <c r="B2165" s="4">
        <v>3.5</v>
      </c>
    </row>
    <row r="2166" spans="1:2" x14ac:dyDescent="0.3">
      <c r="A2166" s="32">
        <v>94</v>
      </c>
      <c r="B2166" s="3">
        <v>7.5</v>
      </c>
    </row>
    <row r="2167" spans="1:2" x14ac:dyDescent="0.3">
      <c r="A2167" s="31">
        <v>115</v>
      </c>
      <c r="B2167" s="4">
        <v>6.6</v>
      </c>
    </row>
    <row r="2168" spans="1:2" x14ac:dyDescent="0.3">
      <c r="A2168" s="32">
        <v>107</v>
      </c>
      <c r="B2168" s="3">
        <v>7.5</v>
      </c>
    </row>
    <row r="2169" spans="1:2" x14ac:dyDescent="0.3">
      <c r="A2169" s="31">
        <v>91</v>
      </c>
      <c r="B2169" s="4">
        <v>7.2</v>
      </c>
    </row>
    <row r="2170" spans="1:2" x14ac:dyDescent="0.3">
      <c r="A2170" s="32">
        <v>125</v>
      </c>
      <c r="B2170" s="3">
        <v>4.8</v>
      </c>
    </row>
    <row r="2171" spans="1:2" x14ac:dyDescent="0.3">
      <c r="A2171" s="31">
        <v>122</v>
      </c>
      <c r="B2171" s="4">
        <v>6.6</v>
      </c>
    </row>
    <row r="2172" spans="1:2" x14ac:dyDescent="0.3">
      <c r="A2172" s="32">
        <v>102</v>
      </c>
      <c r="B2172" s="3">
        <v>3.5</v>
      </c>
    </row>
    <row r="2173" spans="1:2" x14ac:dyDescent="0.3">
      <c r="A2173" s="31">
        <v>90</v>
      </c>
      <c r="B2173" s="4">
        <v>6.7</v>
      </c>
    </row>
    <row r="2174" spans="1:2" x14ac:dyDescent="0.3">
      <c r="A2174" s="32">
        <v>98</v>
      </c>
      <c r="B2174" s="3">
        <v>7.6</v>
      </c>
    </row>
    <row r="2175" spans="1:2" x14ac:dyDescent="0.3">
      <c r="A2175" s="31">
        <v>109</v>
      </c>
      <c r="B2175" s="4">
        <v>6.3</v>
      </c>
    </row>
    <row r="2176" spans="1:2" x14ac:dyDescent="0.3">
      <c r="A2176" s="32">
        <v>90</v>
      </c>
      <c r="B2176" s="3">
        <v>5.5</v>
      </c>
    </row>
    <row r="2177" spans="1:2" x14ac:dyDescent="0.3">
      <c r="A2177" s="31">
        <v>112</v>
      </c>
      <c r="B2177" s="4">
        <v>6.3</v>
      </c>
    </row>
    <row r="2178" spans="1:2" x14ac:dyDescent="0.3">
      <c r="A2178" s="32">
        <v>94</v>
      </c>
      <c r="B2178" s="3">
        <v>6.5</v>
      </c>
    </row>
    <row r="2179" spans="1:2" x14ac:dyDescent="0.3">
      <c r="A2179" s="31">
        <v>105</v>
      </c>
      <c r="B2179" s="4">
        <v>5.6</v>
      </c>
    </row>
    <row r="2180" spans="1:2" x14ac:dyDescent="0.3">
      <c r="A2180" s="32">
        <v>104</v>
      </c>
      <c r="B2180" s="3">
        <v>6.9</v>
      </c>
    </row>
    <row r="2181" spans="1:2" x14ac:dyDescent="0.3">
      <c r="A2181" s="31">
        <v>112</v>
      </c>
      <c r="B2181" s="4">
        <v>7.6</v>
      </c>
    </row>
    <row r="2182" spans="1:2" x14ac:dyDescent="0.3">
      <c r="A2182" s="32">
        <v>108</v>
      </c>
      <c r="B2182" s="3">
        <v>3.9</v>
      </c>
    </row>
    <row r="2183" spans="1:2" x14ac:dyDescent="0.3">
      <c r="A2183" s="31">
        <v>112</v>
      </c>
      <c r="B2183" s="4">
        <v>6.1</v>
      </c>
    </row>
    <row r="2184" spans="1:2" x14ac:dyDescent="0.3">
      <c r="A2184" s="32">
        <v>127</v>
      </c>
      <c r="B2184" s="3">
        <v>7.3</v>
      </c>
    </row>
    <row r="2185" spans="1:2" x14ac:dyDescent="0.3">
      <c r="A2185" s="31">
        <v>111</v>
      </c>
      <c r="B2185" s="4">
        <v>8.3000000000000007</v>
      </c>
    </row>
    <row r="2186" spans="1:2" x14ac:dyDescent="0.3">
      <c r="A2186" s="32">
        <v>126</v>
      </c>
      <c r="B2186" s="3">
        <v>5.8</v>
      </c>
    </row>
    <row r="2187" spans="1:2" x14ac:dyDescent="0.3">
      <c r="A2187" s="31">
        <v>114</v>
      </c>
      <c r="B2187" s="4">
        <v>6.8</v>
      </c>
    </row>
    <row r="2188" spans="1:2" x14ac:dyDescent="0.3">
      <c r="A2188" s="32">
        <v>99</v>
      </c>
      <c r="B2188" s="3">
        <v>7</v>
      </c>
    </row>
    <row r="2189" spans="1:2" x14ac:dyDescent="0.3">
      <c r="A2189" s="31">
        <v>150</v>
      </c>
      <c r="B2189" s="4">
        <v>5.9</v>
      </c>
    </row>
    <row r="2190" spans="1:2" x14ac:dyDescent="0.3">
      <c r="A2190" s="32">
        <v>112</v>
      </c>
      <c r="B2190" s="3">
        <v>6.5</v>
      </c>
    </row>
    <row r="2191" spans="1:2" x14ac:dyDescent="0.3">
      <c r="A2191" s="31">
        <v>108</v>
      </c>
      <c r="B2191" s="4">
        <v>6.4</v>
      </c>
    </row>
    <row r="2192" spans="1:2" x14ac:dyDescent="0.3">
      <c r="A2192" s="32">
        <v>116</v>
      </c>
      <c r="B2192" s="3">
        <v>5.8</v>
      </c>
    </row>
    <row r="2193" spans="1:2" x14ac:dyDescent="0.3">
      <c r="A2193" s="31">
        <v>144</v>
      </c>
      <c r="B2193" s="4">
        <v>5.0999999999999996</v>
      </c>
    </row>
    <row r="2194" spans="1:2" x14ac:dyDescent="0.3">
      <c r="A2194" s="32">
        <v>93</v>
      </c>
      <c r="B2194" s="3">
        <v>6.8</v>
      </c>
    </row>
    <row r="2195" spans="1:2" x14ac:dyDescent="0.3">
      <c r="A2195" s="31">
        <v>103</v>
      </c>
      <c r="B2195" s="4">
        <v>5.3</v>
      </c>
    </row>
    <row r="2196" spans="1:2" x14ac:dyDescent="0.3">
      <c r="A2196" s="32">
        <v>121</v>
      </c>
      <c r="B2196" s="3">
        <v>5.3</v>
      </c>
    </row>
    <row r="2197" spans="1:2" x14ac:dyDescent="0.3">
      <c r="A2197" s="31">
        <v>105</v>
      </c>
      <c r="B2197" s="4">
        <v>6.4</v>
      </c>
    </row>
    <row r="2198" spans="1:2" x14ac:dyDescent="0.3">
      <c r="A2198" s="32">
        <v>119</v>
      </c>
      <c r="B2198" s="3">
        <v>4.9000000000000004</v>
      </c>
    </row>
    <row r="2199" spans="1:2" x14ac:dyDescent="0.3">
      <c r="A2199" s="31">
        <v>98</v>
      </c>
      <c r="B2199" s="4">
        <v>6.8</v>
      </c>
    </row>
    <row r="2200" spans="1:2" x14ac:dyDescent="0.3">
      <c r="A2200" s="32">
        <v>80</v>
      </c>
      <c r="B2200" s="3">
        <v>7.1</v>
      </c>
    </row>
    <row r="2201" spans="1:2" x14ac:dyDescent="0.3">
      <c r="A2201" s="31">
        <v>121</v>
      </c>
      <c r="B2201" s="4">
        <v>6.8</v>
      </c>
    </row>
    <row r="2202" spans="1:2" x14ac:dyDescent="0.3">
      <c r="A2202" s="32">
        <v>94</v>
      </c>
      <c r="B2202" s="3">
        <v>6.1</v>
      </c>
    </row>
    <row r="2203" spans="1:2" x14ac:dyDescent="0.3">
      <c r="A2203" s="31">
        <v>116</v>
      </c>
      <c r="B2203" s="4">
        <v>8.5</v>
      </c>
    </row>
    <row r="2204" spans="1:2" x14ac:dyDescent="0.3">
      <c r="A2204" s="32">
        <v>101</v>
      </c>
      <c r="B2204" s="3">
        <v>5.9</v>
      </c>
    </row>
    <row r="2205" spans="1:2" x14ac:dyDescent="0.3">
      <c r="A2205" s="31">
        <v>154</v>
      </c>
      <c r="B2205" s="4">
        <v>6.3</v>
      </c>
    </row>
    <row r="2206" spans="1:2" x14ac:dyDescent="0.3">
      <c r="A2206" s="32">
        <v>170</v>
      </c>
      <c r="B2206" s="3">
        <v>5.9</v>
      </c>
    </row>
    <row r="2207" spans="1:2" x14ac:dyDescent="0.3">
      <c r="A2207" s="31">
        <v>99</v>
      </c>
      <c r="B2207" s="4">
        <v>5.4</v>
      </c>
    </row>
    <row r="2208" spans="1:2" x14ac:dyDescent="0.3">
      <c r="A2208" s="32">
        <v>104</v>
      </c>
      <c r="B2208" s="3">
        <v>7</v>
      </c>
    </row>
    <row r="2209" spans="1:2" x14ac:dyDescent="0.3">
      <c r="A2209" s="31">
        <v>126</v>
      </c>
      <c r="B2209" s="4">
        <v>6.9</v>
      </c>
    </row>
    <row r="2210" spans="1:2" x14ac:dyDescent="0.3">
      <c r="A2210" s="32">
        <v>110</v>
      </c>
      <c r="B2210" s="3">
        <v>7.5</v>
      </c>
    </row>
    <row r="2211" spans="1:2" x14ac:dyDescent="0.3">
      <c r="A2211" s="31">
        <v>101</v>
      </c>
      <c r="B2211" s="4">
        <v>8.1999999999999993</v>
      </c>
    </row>
    <row r="2212" spans="1:2" x14ac:dyDescent="0.3">
      <c r="A2212" s="32">
        <v>87</v>
      </c>
      <c r="B2212" s="3">
        <v>5.9</v>
      </c>
    </row>
    <row r="2213" spans="1:2" x14ac:dyDescent="0.3">
      <c r="A2213" s="31">
        <v>123</v>
      </c>
      <c r="B2213" s="4">
        <v>5</v>
      </c>
    </row>
    <row r="2214" spans="1:2" x14ac:dyDescent="0.3">
      <c r="A2214" s="32">
        <v>109</v>
      </c>
      <c r="B2214" s="3">
        <v>7.3</v>
      </c>
    </row>
    <row r="2215" spans="1:2" x14ac:dyDescent="0.3">
      <c r="A2215" s="31">
        <v>90</v>
      </c>
      <c r="B2215" s="4">
        <v>6.4</v>
      </c>
    </row>
    <row r="2216" spans="1:2" x14ac:dyDescent="0.3">
      <c r="A2216" s="32">
        <v>96</v>
      </c>
      <c r="B2216" s="3">
        <v>6.6</v>
      </c>
    </row>
    <row r="2217" spans="1:2" x14ac:dyDescent="0.3">
      <c r="A2217" s="31">
        <v>82</v>
      </c>
      <c r="B2217" s="4">
        <v>7.8</v>
      </c>
    </row>
    <row r="2218" spans="1:2" x14ac:dyDescent="0.3">
      <c r="A2218" s="32">
        <v>108</v>
      </c>
      <c r="B2218" s="3">
        <v>4</v>
      </c>
    </row>
    <row r="2219" spans="1:2" x14ac:dyDescent="0.3">
      <c r="A2219" s="31">
        <v>98</v>
      </c>
      <c r="B2219" s="4">
        <v>7.6</v>
      </c>
    </row>
    <row r="2220" spans="1:2" x14ac:dyDescent="0.3">
      <c r="A2220" s="32">
        <v>129</v>
      </c>
      <c r="B2220" s="3">
        <v>7.7</v>
      </c>
    </row>
    <row r="2221" spans="1:2" x14ac:dyDescent="0.3">
      <c r="A2221" s="31">
        <v>112</v>
      </c>
      <c r="B2221" s="4">
        <v>5.8</v>
      </c>
    </row>
    <row r="2222" spans="1:2" x14ac:dyDescent="0.3">
      <c r="A2222" s="32">
        <v>108</v>
      </c>
      <c r="B2222" s="3">
        <v>5.2</v>
      </c>
    </row>
    <row r="2223" spans="1:2" x14ac:dyDescent="0.3">
      <c r="A2223" s="31">
        <v>121</v>
      </c>
      <c r="B2223" s="4">
        <v>5.6</v>
      </c>
    </row>
    <row r="2224" spans="1:2" x14ac:dyDescent="0.3">
      <c r="A2224" s="32">
        <v>89</v>
      </c>
      <c r="B2224" s="3">
        <v>5.3</v>
      </c>
    </row>
    <row r="2225" spans="1:2" x14ac:dyDescent="0.3">
      <c r="A2225" s="31">
        <v>89</v>
      </c>
      <c r="B2225" s="4">
        <v>7.4</v>
      </c>
    </row>
    <row r="2226" spans="1:2" x14ac:dyDescent="0.3">
      <c r="A2226" s="32">
        <v>73</v>
      </c>
      <c r="B2226" s="3">
        <v>6.6</v>
      </c>
    </row>
    <row r="2227" spans="1:2" x14ac:dyDescent="0.3">
      <c r="A2227" s="31">
        <v>132</v>
      </c>
      <c r="B2227" s="4">
        <v>6.2</v>
      </c>
    </row>
    <row r="2228" spans="1:2" x14ac:dyDescent="0.3">
      <c r="A2228" s="32">
        <v>96</v>
      </c>
      <c r="B2228" s="3">
        <v>1.9</v>
      </c>
    </row>
    <row r="2229" spans="1:2" x14ac:dyDescent="0.3">
      <c r="A2229" s="31">
        <v>98</v>
      </c>
      <c r="B2229" s="4">
        <v>5.7</v>
      </c>
    </row>
    <row r="2230" spans="1:2" x14ac:dyDescent="0.3">
      <c r="A2230" s="32">
        <v>107</v>
      </c>
      <c r="B2230" s="3">
        <v>6.6</v>
      </c>
    </row>
    <row r="2231" spans="1:2" x14ac:dyDescent="0.3">
      <c r="A2231" s="31">
        <v>134</v>
      </c>
      <c r="B2231" s="4">
        <v>6</v>
      </c>
    </row>
    <row r="2232" spans="1:2" x14ac:dyDescent="0.3">
      <c r="A2232" s="32">
        <v>122</v>
      </c>
      <c r="B2232" s="3">
        <v>6.1</v>
      </c>
    </row>
    <row r="2233" spans="1:2" x14ac:dyDescent="0.3">
      <c r="A2233" s="31">
        <v>97</v>
      </c>
      <c r="B2233" s="4">
        <v>4.8</v>
      </c>
    </row>
    <row r="2234" spans="1:2" x14ac:dyDescent="0.3">
      <c r="A2234" s="32">
        <v>110</v>
      </c>
      <c r="B2234" s="3">
        <v>6.2</v>
      </c>
    </row>
    <row r="2235" spans="1:2" x14ac:dyDescent="0.3">
      <c r="A2235" s="31">
        <v>102</v>
      </c>
      <c r="B2235" s="4">
        <v>7.5</v>
      </c>
    </row>
    <row r="2236" spans="1:2" x14ac:dyDescent="0.3">
      <c r="A2236" s="32">
        <v>98</v>
      </c>
      <c r="B2236" s="3">
        <v>6.3</v>
      </c>
    </row>
    <row r="2237" spans="1:2" x14ac:dyDescent="0.3">
      <c r="A2237" s="31">
        <v>120</v>
      </c>
      <c r="B2237" s="4">
        <v>7.1</v>
      </c>
    </row>
    <row r="2238" spans="1:2" x14ac:dyDescent="0.3">
      <c r="A2238" s="32">
        <v>160</v>
      </c>
      <c r="B2238" s="3">
        <v>6.6</v>
      </c>
    </row>
    <row r="2239" spans="1:2" x14ac:dyDescent="0.3">
      <c r="A2239" s="31">
        <v>83</v>
      </c>
      <c r="B2239" s="4">
        <v>6.1</v>
      </c>
    </row>
    <row r="2240" spans="1:2" x14ac:dyDescent="0.3">
      <c r="A2240" s="32">
        <v>102</v>
      </c>
      <c r="B2240" s="3">
        <v>6.7</v>
      </c>
    </row>
    <row r="2241" spans="1:2" x14ac:dyDescent="0.3">
      <c r="A2241" s="31">
        <v>122</v>
      </c>
      <c r="B2241" s="4">
        <v>5.6</v>
      </c>
    </row>
    <row r="2242" spans="1:2" x14ac:dyDescent="0.3">
      <c r="A2242" s="32">
        <v>126</v>
      </c>
      <c r="B2242" s="3">
        <v>7.2</v>
      </c>
    </row>
    <row r="2243" spans="1:2" x14ac:dyDescent="0.3">
      <c r="A2243" s="31">
        <v>136</v>
      </c>
      <c r="B2243" s="4">
        <v>4.3</v>
      </c>
    </row>
    <row r="2244" spans="1:2" x14ac:dyDescent="0.3">
      <c r="A2244" s="32">
        <v>120</v>
      </c>
      <c r="B2244" s="3">
        <v>6.4</v>
      </c>
    </row>
    <row r="2245" spans="1:2" x14ac:dyDescent="0.3">
      <c r="A2245" s="31">
        <v>108</v>
      </c>
      <c r="B2245" s="4">
        <v>7.1</v>
      </c>
    </row>
    <row r="2246" spans="1:2" x14ac:dyDescent="0.3">
      <c r="A2246" s="32">
        <v>126</v>
      </c>
      <c r="B2246" s="3">
        <v>6.3</v>
      </c>
    </row>
    <row r="2247" spans="1:2" x14ac:dyDescent="0.3">
      <c r="A2247" s="31">
        <v>128</v>
      </c>
      <c r="B2247" s="4">
        <v>7.4</v>
      </c>
    </row>
    <row r="2248" spans="1:2" x14ac:dyDescent="0.3">
      <c r="A2248" s="32">
        <v>113</v>
      </c>
      <c r="B2248" s="3">
        <v>6.1</v>
      </c>
    </row>
    <row r="2249" spans="1:2" x14ac:dyDescent="0.3">
      <c r="A2249" s="31">
        <v>89</v>
      </c>
      <c r="B2249" s="4">
        <v>6.6</v>
      </c>
    </row>
    <row r="2250" spans="1:2" x14ac:dyDescent="0.3">
      <c r="A2250" s="32">
        <v>129</v>
      </c>
      <c r="B2250" s="3">
        <v>6</v>
      </c>
    </row>
    <row r="2251" spans="1:2" x14ac:dyDescent="0.3">
      <c r="A2251" s="31">
        <v>94</v>
      </c>
      <c r="B2251" s="4">
        <v>6.8</v>
      </c>
    </row>
    <row r="2252" spans="1:2" x14ac:dyDescent="0.3">
      <c r="A2252" s="32">
        <v>106</v>
      </c>
      <c r="B2252" s="3">
        <v>7.4</v>
      </c>
    </row>
    <row r="2253" spans="1:2" x14ac:dyDescent="0.3">
      <c r="A2253" s="31">
        <v>100</v>
      </c>
      <c r="B2253" s="4">
        <v>6.8</v>
      </c>
    </row>
    <row r="2254" spans="1:2" x14ac:dyDescent="0.3">
      <c r="A2254" s="32">
        <v>89</v>
      </c>
      <c r="B2254" s="3">
        <v>7.2</v>
      </c>
    </row>
    <row r="2255" spans="1:2" x14ac:dyDescent="0.3">
      <c r="A2255" s="31">
        <v>94</v>
      </c>
      <c r="B2255" s="4">
        <v>1.9</v>
      </c>
    </row>
    <row r="2256" spans="1:2" x14ac:dyDescent="0.3">
      <c r="A2256" s="32">
        <v>83</v>
      </c>
      <c r="B2256" s="3">
        <v>5.5</v>
      </c>
    </row>
    <row r="2257" spans="1:2" x14ac:dyDescent="0.3">
      <c r="A2257" s="31">
        <v>111</v>
      </c>
      <c r="B2257" s="4">
        <v>4.5</v>
      </c>
    </row>
    <row r="2258" spans="1:2" x14ac:dyDescent="0.3">
      <c r="A2258" s="32">
        <v>80</v>
      </c>
      <c r="B2258" s="3">
        <v>6.3</v>
      </c>
    </row>
    <row r="2259" spans="1:2" x14ac:dyDescent="0.3">
      <c r="A2259" s="31">
        <v>112</v>
      </c>
      <c r="B2259" s="4">
        <v>7</v>
      </c>
    </row>
    <row r="2260" spans="1:2" x14ac:dyDescent="0.3">
      <c r="A2260" s="32">
        <v>94</v>
      </c>
      <c r="B2260" s="3">
        <v>6.7</v>
      </c>
    </row>
    <row r="2261" spans="1:2" x14ac:dyDescent="0.3">
      <c r="A2261" s="31">
        <v>130</v>
      </c>
      <c r="B2261" s="4">
        <v>2.8</v>
      </c>
    </row>
    <row r="2262" spans="1:2" x14ac:dyDescent="0.3">
      <c r="A2262" s="32">
        <v>91</v>
      </c>
      <c r="B2262" s="3">
        <v>5</v>
      </c>
    </row>
    <row r="2263" spans="1:2" x14ac:dyDescent="0.3">
      <c r="A2263" s="31">
        <v>110</v>
      </c>
      <c r="B2263" s="4">
        <v>4.3</v>
      </c>
    </row>
    <row r="2264" spans="1:2" x14ac:dyDescent="0.3">
      <c r="A2264" s="32">
        <v>121</v>
      </c>
      <c r="B2264" s="3">
        <v>5.6</v>
      </c>
    </row>
    <row r="2265" spans="1:2" x14ac:dyDescent="0.3">
      <c r="A2265" s="31">
        <v>114</v>
      </c>
      <c r="B2265" s="4">
        <v>6.2</v>
      </c>
    </row>
    <row r="2266" spans="1:2" x14ac:dyDescent="0.3">
      <c r="A2266" s="32">
        <v>96</v>
      </c>
      <c r="B2266" s="3">
        <v>5.3</v>
      </c>
    </row>
    <row r="2267" spans="1:2" x14ac:dyDescent="0.3">
      <c r="A2267" s="31">
        <v>94</v>
      </c>
      <c r="B2267" s="4">
        <v>7.4</v>
      </c>
    </row>
    <row r="2268" spans="1:2" x14ac:dyDescent="0.3">
      <c r="A2268" s="32">
        <v>109</v>
      </c>
      <c r="B2268" s="3">
        <v>7.4</v>
      </c>
    </row>
    <row r="2269" spans="1:2" x14ac:dyDescent="0.3">
      <c r="A2269" s="31">
        <v>107</v>
      </c>
      <c r="B2269" s="4">
        <v>6.5</v>
      </c>
    </row>
    <row r="2270" spans="1:2" x14ac:dyDescent="0.3">
      <c r="A2270" s="32">
        <v>96</v>
      </c>
      <c r="B2270" s="3">
        <v>7.1</v>
      </c>
    </row>
    <row r="2271" spans="1:2" x14ac:dyDescent="0.3">
      <c r="A2271" s="31">
        <v>88</v>
      </c>
      <c r="B2271" s="4">
        <v>7.2</v>
      </c>
    </row>
    <row r="2272" spans="1:2" x14ac:dyDescent="0.3">
      <c r="A2272" s="32">
        <v>113</v>
      </c>
      <c r="B2272" s="3">
        <v>2.2999999999999998</v>
      </c>
    </row>
    <row r="2273" spans="1:2" x14ac:dyDescent="0.3">
      <c r="A2273" s="31">
        <v>101</v>
      </c>
      <c r="B2273" s="4">
        <v>6.4</v>
      </c>
    </row>
    <row r="2274" spans="1:2" x14ac:dyDescent="0.3">
      <c r="A2274" s="32">
        <v>105</v>
      </c>
      <c r="B2274" s="3">
        <v>6.1</v>
      </c>
    </row>
    <row r="2275" spans="1:2" x14ac:dyDescent="0.3">
      <c r="A2275" s="31">
        <v>125</v>
      </c>
      <c r="B2275" s="4">
        <v>7</v>
      </c>
    </row>
    <row r="2276" spans="1:2" x14ac:dyDescent="0.3">
      <c r="A2276" s="32">
        <v>100</v>
      </c>
      <c r="B2276" s="3">
        <v>6.5</v>
      </c>
    </row>
    <row r="2277" spans="1:2" x14ac:dyDescent="0.3">
      <c r="A2277" s="31">
        <v>112</v>
      </c>
      <c r="B2277" s="4">
        <v>7</v>
      </c>
    </row>
    <row r="2278" spans="1:2" x14ac:dyDescent="0.3">
      <c r="A2278" s="32">
        <v>112</v>
      </c>
      <c r="B2278" s="3">
        <v>7</v>
      </c>
    </row>
    <row r="2279" spans="1:2" x14ac:dyDescent="0.3">
      <c r="A2279" s="31">
        <v>95</v>
      </c>
      <c r="B2279" s="4">
        <v>4.9000000000000004</v>
      </c>
    </row>
    <row r="2280" spans="1:2" x14ac:dyDescent="0.3">
      <c r="A2280" s="32">
        <v>110</v>
      </c>
      <c r="B2280" s="3">
        <v>6.9</v>
      </c>
    </row>
    <row r="2281" spans="1:2" x14ac:dyDescent="0.3">
      <c r="A2281" s="31">
        <v>118</v>
      </c>
      <c r="B2281" s="4">
        <v>7.5</v>
      </c>
    </row>
    <row r="2282" spans="1:2" x14ac:dyDescent="0.3">
      <c r="A2282" s="32">
        <v>97</v>
      </c>
      <c r="B2282" s="3">
        <v>8.4</v>
      </c>
    </row>
    <row r="2283" spans="1:2" x14ac:dyDescent="0.3">
      <c r="A2283" s="31">
        <v>120</v>
      </c>
      <c r="B2283" s="4">
        <v>6.9</v>
      </c>
    </row>
    <row r="2284" spans="1:2" x14ac:dyDescent="0.3">
      <c r="A2284" s="32">
        <v>135</v>
      </c>
      <c r="B2284" s="3">
        <v>4.5</v>
      </c>
    </row>
    <row r="2285" spans="1:2" x14ac:dyDescent="0.3">
      <c r="A2285" s="31">
        <v>101</v>
      </c>
      <c r="B2285" s="4">
        <v>7.4</v>
      </c>
    </row>
    <row r="2286" spans="1:2" x14ac:dyDescent="0.3">
      <c r="A2286" s="32">
        <v>92</v>
      </c>
      <c r="B2286" s="3">
        <v>7</v>
      </c>
    </row>
    <row r="2287" spans="1:2" x14ac:dyDescent="0.3">
      <c r="A2287" s="31">
        <v>92</v>
      </c>
      <c r="B2287" s="4">
        <v>2.8</v>
      </c>
    </row>
    <row r="2288" spans="1:2" x14ac:dyDescent="0.3">
      <c r="A2288" s="32">
        <v>161</v>
      </c>
      <c r="B2288" s="3">
        <v>7.5</v>
      </c>
    </row>
    <row r="2289" spans="1:2" x14ac:dyDescent="0.3">
      <c r="A2289" s="31">
        <v>92</v>
      </c>
      <c r="B2289" s="4">
        <v>7.1</v>
      </c>
    </row>
    <row r="2290" spans="1:2" x14ac:dyDescent="0.3">
      <c r="A2290" s="32">
        <v>122</v>
      </c>
      <c r="B2290" s="3">
        <v>6.4</v>
      </c>
    </row>
    <row r="2291" spans="1:2" x14ac:dyDescent="0.3">
      <c r="A2291" s="31">
        <v>91</v>
      </c>
      <c r="B2291" s="4">
        <v>6.7</v>
      </c>
    </row>
    <row r="2292" spans="1:2" x14ac:dyDescent="0.3">
      <c r="A2292" s="32">
        <v>93</v>
      </c>
      <c r="B2292" s="3">
        <v>5.3</v>
      </c>
    </row>
    <row r="2293" spans="1:2" x14ac:dyDescent="0.3">
      <c r="A2293" s="31">
        <v>94</v>
      </c>
      <c r="B2293" s="4">
        <v>6.9</v>
      </c>
    </row>
    <row r="2294" spans="1:2" x14ac:dyDescent="0.3">
      <c r="A2294" s="32">
        <v>95</v>
      </c>
      <c r="B2294" s="3">
        <v>6.2</v>
      </c>
    </row>
    <row r="2295" spans="1:2" x14ac:dyDescent="0.3">
      <c r="A2295" s="31">
        <v>105</v>
      </c>
      <c r="B2295" s="4">
        <v>6.3</v>
      </c>
    </row>
    <row r="2296" spans="1:2" x14ac:dyDescent="0.3">
      <c r="A2296" s="32">
        <v>103</v>
      </c>
      <c r="B2296" s="3">
        <v>6.4</v>
      </c>
    </row>
    <row r="2297" spans="1:2" x14ac:dyDescent="0.3">
      <c r="A2297" s="31">
        <v>102</v>
      </c>
      <c r="B2297" s="4">
        <v>6.5</v>
      </c>
    </row>
    <row r="2298" spans="1:2" x14ac:dyDescent="0.3">
      <c r="A2298" s="32">
        <v>116</v>
      </c>
      <c r="B2298" s="3">
        <v>6</v>
      </c>
    </row>
    <row r="2299" spans="1:2" x14ac:dyDescent="0.3">
      <c r="A2299" s="31">
        <v>110</v>
      </c>
      <c r="B2299" s="4">
        <v>5.0999999999999996</v>
      </c>
    </row>
    <row r="2300" spans="1:2" x14ac:dyDescent="0.3">
      <c r="A2300" s="32">
        <v>120</v>
      </c>
      <c r="B2300" s="3">
        <v>5.5</v>
      </c>
    </row>
    <row r="2301" spans="1:2" x14ac:dyDescent="0.3">
      <c r="A2301" s="31">
        <v>118</v>
      </c>
      <c r="B2301" s="4">
        <v>5.4</v>
      </c>
    </row>
    <row r="2302" spans="1:2" x14ac:dyDescent="0.3">
      <c r="A2302" s="32">
        <v>107</v>
      </c>
      <c r="B2302" s="3">
        <v>5.7</v>
      </c>
    </row>
    <row r="2303" spans="1:2" x14ac:dyDescent="0.3">
      <c r="A2303" s="31">
        <v>102</v>
      </c>
      <c r="B2303" s="4">
        <v>5.2</v>
      </c>
    </row>
    <row r="2304" spans="1:2" x14ac:dyDescent="0.3">
      <c r="A2304" s="32">
        <v>154</v>
      </c>
      <c r="B2304" s="3">
        <v>6.2</v>
      </c>
    </row>
    <row r="2305" spans="1:2" x14ac:dyDescent="0.3">
      <c r="A2305" s="31">
        <v>114</v>
      </c>
      <c r="B2305" s="4">
        <v>6.7</v>
      </c>
    </row>
    <row r="2306" spans="1:2" x14ac:dyDescent="0.3">
      <c r="A2306" s="32">
        <v>109</v>
      </c>
      <c r="B2306" s="3">
        <v>5.8</v>
      </c>
    </row>
    <row r="2307" spans="1:2" x14ac:dyDescent="0.3">
      <c r="A2307" s="31">
        <v>94</v>
      </c>
      <c r="B2307" s="4">
        <v>7</v>
      </c>
    </row>
    <row r="2308" spans="1:2" x14ac:dyDescent="0.3">
      <c r="A2308" s="32">
        <v>100</v>
      </c>
      <c r="B2308" s="3">
        <v>4.8</v>
      </c>
    </row>
    <row r="2309" spans="1:2" x14ac:dyDescent="0.3">
      <c r="A2309" s="31">
        <v>98</v>
      </c>
      <c r="B2309" s="4">
        <v>7.2</v>
      </c>
    </row>
    <row r="2310" spans="1:2" x14ac:dyDescent="0.3">
      <c r="A2310" s="32">
        <v>102</v>
      </c>
      <c r="B2310" s="3">
        <v>5.6</v>
      </c>
    </row>
    <row r="2311" spans="1:2" x14ac:dyDescent="0.3">
      <c r="A2311" s="31">
        <v>94</v>
      </c>
      <c r="B2311" s="4">
        <v>6.4</v>
      </c>
    </row>
    <row r="2312" spans="1:2" x14ac:dyDescent="0.3">
      <c r="A2312" s="32">
        <v>92</v>
      </c>
      <c r="B2312" s="3">
        <v>7.5</v>
      </c>
    </row>
    <row r="2313" spans="1:2" x14ac:dyDescent="0.3">
      <c r="A2313" s="31">
        <v>113</v>
      </c>
      <c r="B2313" s="4">
        <v>7.4</v>
      </c>
    </row>
    <row r="2314" spans="1:2" x14ac:dyDescent="0.3">
      <c r="A2314" s="32">
        <v>115</v>
      </c>
      <c r="B2314" s="3">
        <v>8</v>
      </c>
    </row>
    <row r="2315" spans="1:2" x14ac:dyDescent="0.3">
      <c r="A2315" s="31">
        <v>95</v>
      </c>
      <c r="B2315" s="4">
        <v>5.7</v>
      </c>
    </row>
    <row r="2316" spans="1:2" x14ac:dyDescent="0.3">
      <c r="A2316" s="32">
        <v>87</v>
      </c>
      <c r="B2316" s="3">
        <v>6.8</v>
      </c>
    </row>
    <row r="2317" spans="1:2" x14ac:dyDescent="0.3">
      <c r="A2317" s="31">
        <v>88</v>
      </c>
      <c r="B2317" s="4">
        <v>5.9</v>
      </c>
    </row>
    <row r="2318" spans="1:2" x14ac:dyDescent="0.3">
      <c r="A2318" s="32">
        <v>97</v>
      </c>
      <c r="B2318" s="3">
        <v>7.2</v>
      </c>
    </row>
    <row r="2319" spans="1:2" x14ac:dyDescent="0.3">
      <c r="A2319" s="31">
        <v>94</v>
      </c>
      <c r="B2319" s="4">
        <v>5.5</v>
      </c>
    </row>
    <row r="2320" spans="1:2" x14ac:dyDescent="0.3">
      <c r="A2320" s="32">
        <v>112</v>
      </c>
      <c r="B2320" s="3">
        <v>8.4</v>
      </c>
    </row>
    <row r="2321" spans="1:2" x14ac:dyDescent="0.3">
      <c r="A2321" s="31">
        <v>98</v>
      </c>
      <c r="B2321" s="4">
        <v>8.5</v>
      </c>
    </row>
    <row r="2322" spans="1:2" x14ac:dyDescent="0.3">
      <c r="A2322" s="32">
        <v>104</v>
      </c>
      <c r="B2322" s="3">
        <v>5.6</v>
      </c>
    </row>
    <row r="2323" spans="1:2" x14ac:dyDescent="0.3">
      <c r="A2323" s="31">
        <v>120</v>
      </c>
      <c r="B2323" s="4">
        <v>4.0999999999999996</v>
      </c>
    </row>
    <row r="2324" spans="1:2" x14ac:dyDescent="0.3">
      <c r="A2324" s="32">
        <v>99</v>
      </c>
      <c r="B2324" s="3">
        <v>5</v>
      </c>
    </row>
    <row r="2325" spans="1:2" x14ac:dyDescent="0.3">
      <c r="A2325" s="31">
        <v>109</v>
      </c>
      <c r="B2325" s="4">
        <v>6.1</v>
      </c>
    </row>
    <row r="2326" spans="1:2" x14ac:dyDescent="0.3">
      <c r="A2326" s="32">
        <v>106</v>
      </c>
      <c r="B2326" s="3">
        <v>5.4</v>
      </c>
    </row>
    <row r="2327" spans="1:2" x14ac:dyDescent="0.3">
      <c r="A2327" s="31">
        <v>123</v>
      </c>
      <c r="B2327" s="4">
        <v>7.1</v>
      </c>
    </row>
    <row r="2328" spans="1:2" x14ac:dyDescent="0.3">
      <c r="A2328" s="32">
        <v>120</v>
      </c>
      <c r="B2328" s="3">
        <v>3.6</v>
      </c>
    </row>
    <row r="2329" spans="1:2" x14ac:dyDescent="0.3">
      <c r="A2329" s="31">
        <v>227</v>
      </c>
      <c r="B2329" s="4">
        <v>6.5</v>
      </c>
    </row>
    <row r="2330" spans="1:2" x14ac:dyDescent="0.3">
      <c r="A2330" s="32">
        <v>119</v>
      </c>
      <c r="B2330" s="3">
        <v>8.6</v>
      </c>
    </row>
    <row r="2331" spans="1:2" x14ac:dyDescent="0.3">
      <c r="A2331" s="31">
        <v>115</v>
      </c>
      <c r="B2331" s="4">
        <v>6.2</v>
      </c>
    </row>
    <row r="2332" spans="1:2" x14ac:dyDescent="0.3">
      <c r="A2332" s="32">
        <v>114</v>
      </c>
      <c r="B2332" s="3">
        <v>7</v>
      </c>
    </row>
    <row r="2333" spans="1:2" x14ac:dyDescent="0.3">
      <c r="A2333" s="31">
        <v>90</v>
      </c>
      <c r="B2333" s="4">
        <v>7.6</v>
      </c>
    </row>
    <row r="2334" spans="1:2" x14ac:dyDescent="0.3">
      <c r="A2334" s="32">
        <v>94</v>
      </c>
      <c r="B2334" s="3">
        <v>6.5</v>
      </c>
    </row>
    <row r="2335" spans="1:2" x14ac:dyDescent="0.3">
      <c r="A2335" s="31">
        <v>98</v>
      </c>
      <c r="B2335" s="4">
        <v>6.4</v>
      </c>
    </row>
    <row r="2336" spans="1:2" x14ac:dyDescent="0.3">
      <c r="A2336" s="32">
        <v>126</v>
      </c>
      <c r="B2336" s="3">
        <v>6.7</v>
      </c>
    </row>
    <row r="2337" spans="1:2" x14ac:dyDescent="0.3">
      <c r="A2337" s="31">
        <v>100</v>
      </c>
      <c r="B2337" s="4">
        <v>6.3</v>
      </c>
    </row>
    <row r="2338" spans="1:2" x14ac:dyDescent="0.3">
      <c r="A2338" s="32">
        <v>89</v>
      </c>
      <c r="B2338" s="3">
        <v>6.4</v>
      </c>
    </row>
    <row r="2339" spans="1:2" x14ac:dyDescent="0.3">
      <c r="A2339" s="31">
        <v>111</v>
      </c>
      <c r="B2339" s="4">
        <v>5.7</v>
      </c>
    </row>
    <row r="2340" spans="1:2" x14ac:dyDescent="0.3">
      <c r="A2340" s="32">
        <v>100</v>
      </c>
      <c r="B2340" s="3">
        <v>6.3</v>
      </c>
    </row>
    <row r="2341" spans="1:2" x14ac:dyDescent="0.3">
      <c r="A2341" s="31">
        <v>115</v>
      </c>
      <c r="B2341" s="4">
        <v>7.8</v>
      </c>
    </row>
    <row r="2342" spans="1:2" x14ac:dyDescent="0.3">
      <c r="A2342" s="32">
        <v>106</v>
      </c>
      <c r="B2342" s="3">
        <v>6</v>
      </c>
    </row>
    <row r="2343" spans="1:2" x14ac:dyDescent="0.3">
      <c r="A2343" s="31">
        <v>124</v>
      </c>
      <c r="B2343" s="4">
        <v>7.7</v>
      </c>
    </row>
    <row r="2344" spans="1:2" x14ac:dyDescent="0.3">
      <c r="A2344" s="32">
        <v>107</v>
      </c>
      <c r="B2344" s="3">
        <v>6.2</v>
      </c>
    </row>
    <row r="2345" spans="1:2" x14ac:dyDescent="0.3">
      <c r="A2345" s="31">
        <v>99</v>
      </c>
      <c r="B2345" s="4">
        <v>5.7</v>
      </c>
    </row>
    <row r="2346" spans="1:2" x14ac:dyDescent="0.3">
      <c r="A2346" s="32">
        <v>90</v>
      </c>
      <c r="B2346" s="3">
        <v>7.7</v>
      </c>
    </row>
    <row r="2347" spans="1:2" x14ac:dyDescent="0.3">
      <c r="A2347" s="31">
        <v>101</v>
      </c>
      <c r="B2347" s="4">
        <v>6.4</v>
      </c>
    </row>
    <row r="2348" spans="1:2" x14ac:dyDescent="0.3">
      <c r="A2348" s="32">
        <v>119</v>
      </c>
      <c r="B2348" s="3">
        <v>6.4</v>
      </c>
    </row>
    <row r="2349" spans="1:2" x14ac:dyDescent="0.3">
      <c r="A2349" s="31">
        <v>103</v>
      </c>
      <c r="B2349" s="4">
        <v>6.9</v>
      </c>
    </row>
    <row r="2350" spans="1:2" x14ac:dyDescent="0.3">
      <c r="A2350" s="32">
        <v>134</v>
      </c>
      <c r="B2350" s="3">
        <v>7.3</v>
      </c>
    </row>
    <row r="2351" spans="1:2" x14ac:dyDescent="0.3">
      <c r="A2351" s="31">
        <v>155</v>
      </c>
      <c r="B2351" s="4">
        <v>7.3</v>
      </c>
    </row>
    <row r="2352" spans="1:2" x14ac:dyDescent="0.3">
      <c r="A2352" s="32">
        <v>94</v>
      </c>
      <c r="B2352" s="3">
        <v>6.2</v>
      </c>
    </row>
    <row r="2353" spans="1:2" x14ac:dyDescent="0.3">
      <c r="A2353" s="31">
        <v>95</v>
      </c>
      <c r="B2353" s="4">
        <v>6.6</v>
      </c>
    </row>
    <row r="2354" spans="1:2" x14ac:dyDescent="0.3">
      <c r="A2354" s="32">
        <v>89</v>
      </c>
      <c r="B2354" s="3">
        <v>6.7</v>
      </c>
    </row>
    <row r="2355" spans="1:2" x14ac:dyDescent="0.3">
      <c r="A2355" s="31">
        <v>97</v>
      </c>
      <c r="B2355" s="4">
        <v>5.7</v>
      </c>
    </row>
    <row r="2356" spans="1:2" x14ac:dyDescent="0.3">
      <c r="A2356" s="32">
        <v>90</v>
      </c>
      <c r="B2356" s="3">
        <v>3.1</v>
      </c>
    </row>
    <row r="2357" spans="1:2" x14ac:dyDescent="0.3">
      <c r="A2357" s="31">
        <v>92</v>
      </c>
      <c r="B2357" s="4">
        <v>6.3</v>
      </c>
    </row>
    <row r="2358" spans="1:2" x14ac:dyDescent="0.3">
      <c r="A2358" s="32">
        <v>100</v>
      </c>
      <c r="B2358" s="3">
        <v>5.7</v>
      </c>
    </row>
    <row r="2359" spans="1:2" x14ac:dyDescent="0.3">
      <c r="A2359" s="31">
        <v>117</v>
      </c>
      <c r="B2359" s="4">
        <v>7.1</v>
      </c>
    </row>
    <row r="2360" spans="1:2" x14ac:dyDescent="0.3">
      <c r="A2360" s="32">
        <v>84</v>
      </c>
      <c r="B2360" s="3">
        <v>7</v>
      </c>
    </row>
    <row r="2361" spans="1:2" x14ac:dyDescent="0.3">
      <c r="A2361" s="31">
        <v>140</v>
      </c>
      <c r="B2361" s="4">
        <v>6.1</v>
      </c>
    </row>
    <row r="2362" spans="1:2" x14ac:dyDescent="0.3">
      <c r="A2362" s="32">
        <v>108</v>
      </c>
      <c r="B2362" s="3">
        <v>6.6</v>
      </c>
    </row>
    <row r="2363" spans="1:2" x14ac:dyDescent="0.3">
      <c r="A2363" s="31">
        <v>109</v>
      </c>
      <c r="B2363" s="4">
        <v>7.8</v>
      </c>
    </row>
    <row r="2364" spans="1:2" x14ac:dyDescent="0.3">
      <c r="A2364" s="32">
        <v>131</v>
      </c>
      <c r="B2364" s="3">
        <v>8.3000000000000007</v>
      </c>
    </row>
    <row r="2365" spans="1:2" x14ac:dyDescent="0.3">
      <c r="A2365" s="31">
        <v>114</v>
      </c>
      <c r="B2365" s="4">
        <v>3.9</v>
      </c>
    </row>
    <row r="2366" spans="1:2" x14ac:dyDescent="0.3">
      <c r="A2366" s="32">
        <v>97</v>
      </c>
      <c r="B2366" s="3">
        <v>7</v>
      </c>
    </row>
    <row r="2367" spans="1:2" x14ac:dyDescent="0.3">
      <c r="A2367" s="31">
        <v>122</v>
      </c>
      <c r="B2367" s="4">
        <v>6.7</v>
      </c>
    </row>
    <row r="2368" spans="1:2" x14ac:dyDescent="0.3">
      <c r="A2368" s="32">
        <v>87</v>
      </c>
      <c r="B2368" s="3">
        <v>7.3</v>
      </c>
    </row>
    <row r="2369" spans="1:2" x14ac:dyDescent="0.3">
      <c r="A2369" s="31">
        <v>101</v>
      </c>
      <c r="B2369" s="4">
        <v>6.3</v>
      </c>
    </row>
    <row r="2370" spans="1:2" x14ac:dyDescent="0.3">
      <c r="A2370" s="32">
        <v>121</v>
      </c>
      <c r="B2370" s="3">
        <v>7.8</v>
      </c>
    </row>
    <row r="2371" spans="1:2" x14ac:dyDescent="0.3">
      <c r="A2371" s="31">
        <v>107</v>
      </c>
      <c r="B2371" s="4">
        <v>7.3</v>
      </c>
    </row>
    <row r="2372" spans="1:2" x14ac:dyDescent="0.3">
      <c r="A2372" s="32">
        <v>111</v>
      </c>
      <c r="B2372" s="3">
        <v>7.6</v>
      </c>
    </row>
    <row r="2373" spans="1:2" x14ac:dyDescent="0.3">
      <c r="A2373" s="31">
        <v>97</v>
      </c>
      <c r="B2373" s="4">
        <v>5.3</v>
      </c>
    </row>
    <row r="2374" spans="1:2" x14ac:dyDescent="0.3">
      <c r="A2374" s="32">
        <v>97</v>
      </c>
      <c r="B2374" s="3">
        <v>7.9</v>
      </c>
    </row>
    <row r="2375" spans="1:2" x14ac:dyDescent="0.3">
      <c r="A2375" s="31">
        <v>125</v>
      </c>
      <c r="B2375" s="4">
        <v>5.3</v>
      </c>
    </row>
    <row r="2376" spans="1:2" x14ac:dyDescent="0.3">
      <c r="A2376" s="32">
        <v>124</v>
      </c>
      <c r="B2376" s="3">
        <v>6.8</v>
      </c>
    </row>
    <row r="2377" spans="1:2" x14ac:dyDescent="0.3">
      <c r="A2377" s="31">
        <v>76</v>
      </c>
      <c r="B2377" s="4">
        <v>7.1</v>
      </c>
    </row>
    <row r="2378" spans="1:2" x14ac:dyDescent="0.3">
      <c r="A2378" s="32">
        <v>107</v>
      </c>
      <c r="B2378" s="3">
        <v>7.2</v>
      </c>
    </row>
    <row r="2379" spans="1:2" x14ac:dyDescent="0.3">
      <c r="A2379" s="31">
        <v>91</v>
      </c>
      <c r="B2379" s="4">
        <v>5.8</v>
      </c>
    </row>
    <row r="2380" spans="1:2" x14ac:dyDescent="0.3">
      <c r="A2380" s="32">
        <v>96</v>
      </c>
      <c r="B2380" s="3">
        <v>5.8</v>
      </c>
    </row>
    <row r="2381" spans="1:2" x14ac:dyDescent="0.3">
      <c r="A2381" s="31">
        <v>142</v>
      </c>
      <c r="B2381" s="4">
        <v>8.3000000000000007</v>
      </c>
    </row>
    <row r="2382" spans="1:2" x14ac:dyDescent="0.3">
      <c r="A2382" s="32">
        <v>103</v>
      </c>
      <c r="B2382" s="3">
        <v>5.6</v>
      </c>
    </row>
    <row r="2383" spans="1:2" x14ac:dyDescent="0.3">
      <c r="A2383" s="31">
        <v>117</v>
      </c>
      <c r="B2383" s="4">
        <v>6.8</v>
      </c>
    </row>
    <row r="2384" spans="1:2" x14ac:dyDescent="0.3">
      <c r="A2384" s="32">
        <v>116</v>
      </c>
      <c r="B2384" s="3">
        <v>5</v>
      </c>
    </row>
    <row r="2385" spans="1:2" x14ac:dyDescent="0.3">
      <c r="A2385" s="31">
        <v>118</v>
      </c>
      <c r="B2385" s="4">
        <v>7.6</v>
      </c>
    </row>
    <row r="2386" spans="1:2" x14ac:dyDescent="0.3">
      <c r="A2386" s="32">
        <v>108</v>
      </c>
      <c r="B2386" s="3">
        <v>6.7</v>
      </c>
    </row>
    <row r="2387" spans="1:2" x14ac:dyDescent="0.3">
      <c r="A2387" s="31">
        <v>94</v>
      </c>
      <c r="B2387" s="4">
        <v>6.7</v>
      </c>
    </row>
    <row r="2388" spans="1:2" x14ac:dyDescent="0.3">
      <c r="A2388" s="32">
        <v>97</v>
      </c>
      <c r="B2388" s="3">
        <v>5.7</v>
      </c>
    </row>
    <row r="2389" spans="1:2" x14ac:dyDescent="0.3">
      <c r="A2389" s="31">
        <v>97</v>
      </c>
      <c r="B2389" s="4">
        <v>5.2</v>
      </c>
    </row>
    <row r="2390" spans="1:2" x14ac:dyDescent="0.3">
      <c r="A2390" s="32">
        <v>91</v>
      </c>
      <c r="B2390" s="3">
        <v>7.5</v>
      </c>
    </row>
    <row r="2391" spans="1:2" x14ac:dyDescent="0.3">
      <c r="A2391" s="31">
        <v>107</v>
      </c>
      <c r="B2391" s="4">
        <v>7.2</v>
      </c>
    </row>
    <row r="2392" spans="1:2" x14ac:dyDescent="0.3">
      <c r="A2392" s="32">
        <v>95</v>
      </c>
      <c r="B2392" s="3">
        <v>5.3</v>
      </c>
    </row>
    <row r="2393" spans="1:2" x14ac:dyDescent="0.3">
      <c r="A2393" s="31">
        <v>102</v>
      </c>
      <c r="B2393" s="4">
        <v>6.5</v>
      </c>
    </row>
    <row r="2394" spans="1:2" x14ac:dyDescent="0.3">
      <c r="A2394" s="32">
        <v>88</v>
      </c>
      <c r="B2394" s="3">
        <v>5</v>
      </c>
    </row>
    <row r="2395" spans="1:2" x14ac:dyDescent="0.3">
      <c r="A2395" s="31">
        <v>106</v>
      </c>
      <c r="B2395" s="4">
        <v>6.1</v>
      </c>
    </row>
    <row r="2396" spans="1:2" x14ac:dyDescent="0.3">
      <c r="A2396" s="32">
        <v>92</v>
      </c>
      <c r="B2396" s="3">
        <v>7.4</v>
      </c>
    </row>
    <row r="2397" spans="1:2" x14ac:dyDescent="0.3">
      <c r="A2397" s="31">
        <v>105</v>
      </c>
      <c r="B2397" s="4">
        <v>4.4000000000000004</v>
      </c>
    </row>
    <row r="2398" spans="1:2" x14ac:dyDescent="0.3">
      <c r="A2398" s="32">
        <v>107</v>
      </c>
      <c r="B2398" s="3">
        <v>7.5</v>
      </c>
    </row>
    <row r="2399" spans="1:2" x14ac:dyDescent="0.3">
      <c r="A2399" s="31">
        <v>120</v>
      </c>
      <c r="B2399" s="4">
        <v>5.7</v>
      </c>
    </row>
    <row r="2400" spans="1:2" x14ac:dyDescent="0.3">
      <c r="A2400" s="32">
        <v>103</v>
      </c>
      <c r="B2400" s="3">
        <v>5.5</v>
      </c>
    </row>
    <row r="2401" spans="1:2" x14ac:dyDescent="0.3">
      <c r="A2401" s="31">
        <v>92</v>
      </c>
      <c r="B2401" s="4">
        <v>7.1</v>
      </c>
    </row>
    <row r="2402" spans="1:2" x14ac:dyDescent="0.3">
      <c r="A2402" s="32">
        <v>147</v>
      </c>
      <c r="B2402" s="3">
        <v>5.9</v>
      </c>
    </row>
    <row r="2403" spans="1:2" x14ac:dyDescent="0.3">
      <c r="A2403" s="31">
        <v>98</v>
      </c>
      <c r="B2403" s="4">
        <v>6.7</v>
      </c>
    </row>
    <row r="2404" spans="1:2" x14ac:dyDescent="0.3">
      <c r="A2404" s="32">
        <v>103</v>
      </c>
      <c r="B2404" s="3">
        <v>7</v>
      </c>
    </row>
    <row r="2405" spans="1:2" x14ac:dyDescent="0.3">
      <c r="A2405" s="31">
        <v>111</v>
      </c>
      <c r="B2405" s="4">
        <v>7.9</v>
      </c>
    </row>
    <row r="2406" spans="1:2" x14ac:dyDescent="0.3">
      <c r="A2406" s="32">
        <v>98</v>
      </c>
      <c r="B2406" s="3">
        <v>6.9</v>
      </c>
    </row>
    <row r="2407" spans="1:2" x14ac:dyDescent="0.3">
      <c r="A2407" s="31">
        <v>111</v>
      </c>
      <c r="B2407" s="4">
        <v>7.3</v>
      </c>
    </row>
    <row r="2408" spans="1:2" x14ac:dyDescent="0.3">
      <c r="A2408" s="32">
        <v>111</v>
      </c>
      <c r="B2408" s="3">
        <v>7.3</v>
      </c>
    </row>
    <row r="2409" spans="1:2" x14ac:dyDescent="0.3">
      <c r="A2409" s="31">
        <v>145</v>
      </c>
      <c r="B2409" s="4">
        <v>3.5</v>
      </c>
    </row>
    <row r="2410" spans="1:2" x14ac:dyDescent="0.3">
      <c r="A2410" s="32">
        <v>84</v>
      </c>
      <c r="B2410" s="3">
        <v>7.8</v>
      </c>
    </row>
    <row r="2411" spans="1:2" x14ac:dyDescent="0.3">
      <c r="A2411" s="31">
        <v>115</v>
      </c>
      <c r="B2411" s="4">
        <v>7.4</v>
      </c>
    </row>
    <row r="2412" spans="1:2" x14ac:dyDescent="0.3">
      <c r="A2412" s="32">
        <v>105</v>
      </c>
      <c r="B2412" s="3">
        <v>6.7</v>
      </c>
    </row>
    <row r="2413" spans="1:2" x14ac:dyDescent="0.3">
      <c r="A2413" s="31">
        <v>98</v>
      </c>
      <c r="B2413" s="4">
        <v>6.4</v>
      </c>
    </row>
    <row r="2414" spans="1:2" x14ac:dyDescent="0.3">
      <c r="A2414" s="32">
        <v>110</v>
      </c>
      <c r="B2414" s="3">
        <v>7.1</v>
      </c>
    </row>
    <row r="2415" spans="1:2" x14ac:dyDescent="0.3">
      <c r="A2415" s="31">
        <v>90</v>
      </c>
      <c r="B2415" s="4">
        <v>7.8</v>
      </c>
    </row>
    <row r="2416" spans="1:2" x14ac:dyDescent="0.3">
      <c r="A2416" s="32">
        <v>105</v>
      </c>
      <c r="B2416" s="3">
        <v>4</v>
      </c>
    </row>
    <row r="2417" spans="1:2" x14ac:dyDescent="0.3">
      <c r="A2417" s="31">
        <v>93</v>
      </c>
      <c r="B2417" s="4">
        <v>5.9</v>
      </c>
    </row>
    <row r="2418" spans="1:2" x14ac:dyDescent="0.3">
      <c r="A2418" s="32">
        <v>101</v>
      </c>
      <c r="B2418" s="3">
        <v>7.2</v>
      </c>
    </row>
    <row r="2419" spans="1:2" x14ac:dyDescent="0.3">
      <c r="A2419" s="31">
        <v>115</v>
      </c>
      <c r="B2419" s="4">
        <v>7.2</v>
      </c>
    </row>
    <row r="2420" spans="1:2" x14ac:dyDescent="0.3">
      <c r="A2420" s="32">
        <v>120</v>
      </c>
      <c r="B2420" s="3">
        <v>5.0999999999999996</v>
      </c>
    </row>
    <row r="2421" spans="1:2" x14ac:dyDescent="0.3">
      <c r="A2421" s="31">
        <v>131</v>
      </c>
      <c r="B2421" s="4">
        <v>5.5</v>
      </c>
    </row>
    <row r="2422" spans="1:2" x14ac:dyDescent="0.3">
      <c r="A2422" s="32">
        <v>139</v>
      </c>
      <c r="B2422" s="3">
        <v>6.2</v>
      </c>
    </row>
    <row r="2423" spans="1:2" x14ac:dyDescent="0.3">
      <c r="A2423" s="31">
        <v>120</v>
      </c>
      <c r="B2423" s="4">
        <v>7.2</v>
      </c>
    </row>
    <row r="2424" spans="1:2" x14ac:dyDescent="0.3">
      <c r="A2424" s="32">
        <v>119</v>
      </c>
      <c r="B2424" s="3">
        <v>5.2</v>
      </c>
    </row>
    <row r="2425" spans="1:2" x14ac:dyDescent="0.3">
      <c r="A2425" s="31">
        <v>125</v>
      </c>
      <c r="B2425" s="4">
        <v>6.7</v>
      </c>
    </row>
    <row r="2426" spans="1:2" x14ac:dyDescent="0.3">
      <c r="A2426" s="32">
        <v>108</v>
      </c>
      <c r="B2426" s="3">
        <v>6.3</v>
      </c>
    </row>
    <row r="2427" spans="1:2" x14ac:dyDescent="0.3">
      <c r="A2427" s="31">
        <v>145</v>
      </c>
      <c r="B2427" s="4">
        <v>5</v>
      </c>
    </row>
    <row r="2428" spans="1:2" x14ac:dyDescent="0.3">
      <c r="A2428" s="32">
        <v>98</v>
      </c>
      <c r="B2428" s="3">
        <v>6.2</v>
      </c>
    </row>
    <row r="2429" spans="1:2" x14ac:dyDescent="0.3">
      <c r="A2429" s="31">
        <v>101</v>
      </c>
      <c r="B2429" s="4">
        <v>7.6</v>
      </c>
    </row>
    <row r="2430" spans="1:2" x14ac:dyDescent="0.3">
      <c r="A2430" s="32">
        <v>109</v>
      </c>
      <c r="B2430" s="3">
        <v>4.0999999999999996</v>
      </c>
    </row>
    <row r="2431" spans="1:2" x14ac:dyDescent="0.3">
      <c r="A2431" s="31">
        <v>123</v>
      </c>
      <c r="B2431" s="4">
        <v>5.3</v>
      </c>
    </row>
    <row r="2432" spans="1:2" x14ac:dyDescent="0.3">
      <c r="A2432" s="32">
        <v>99</v>
      </c>
      <c r="B2432" s="3">
        <v>6.2</v>
      </c>
    </row>
    <row r="2433" spans="1:2" x14ac:dyDescent="0.3">
      <c r="A2433" s="31">
        <v>107</v>
      </c>
      <c r="B2433" s="4">
        <v>6.5</v>
      </c>
    </row>
    <row r="2434" spans="1:2" x14ac:dyDescent="0.3">
      <c r="A2434" s="32">
        <v>81</v>
      </c>
      <c r="B2434" s="3">
        <v>8.1</v>
      </c>
    </row>
    <row r="2435" spans="1:2" x14ac:dyDescent="0.3">
      <c r="A2435" s="31">
        <v>105</v>
      </c>
      <c r="B2435" s="4">
        <v>6.3</v>
      </c>
    </row>
    <row r="2436" spans="1:2" x14ac:dyDescent="0.3">
      <c r="A2436" s="32">
        <v>82</v>
      </c>
      <c r="B2436" s="3">
        <v>4.4000000000000004</v>
      </c>
    </row>
    <row r="2437" spans="1:2" x14ac:dyDescent="0.3">
      <c r="A2437" s="31">
        <v>109</v>
      </c>
      <c r="B2437" s="4">
        <v>4.5999999999999996</v>
      </c>
    </row>
    <row r="2438" spans="1:2" x14ac:dyDescent="0.3">
      <c r="A2438" s="32">
        <v>95</v>
      </c>
      <c r="B2438" s="3">
        <v>6</v>
      </c>
    </row>
    <row r="2439" spans="1:2" x14ac:dyDescent="0.3">
      <c r="A2439" s="31">
        <v>100</v>
      </c>
      <c r="B2439" s="4">
        <v>7.6</v>
      </c>
    </row>
    <row r="2440" spans="1:2" x14ac:dyDescent="0.3">
      <c r="A2440" s="32">
        <v>91</v>
      </c>
      <c r="B2440" s="3">
        <v>8.4</v>
      </c>
    </row>
    <row r="2441" spans="1:2" x14ac:dyDescent="0.3">
      <c r="A2441" s="31">
        <v>90</v>
      </c>
      <c r="B2441" s="4">
        <v>7.9</v>
      </c>
    </row>
    <row r="2442" spans="1:2" x14ac:dyDescent="0.3">
      <c r="A2442" s="32">
        <v>108</v>
      </c>
      <c r="B2442" s="3">
        <v>5.6</v>
      </c>
    </row>
    <row r="2443" spans="1:2" x14ac:dyDescent="0.3">
      <c r="A2443" s="31">
        <v>103</v>
      </c>
      <c r="B2443" s="4">
        <v>6.5</v>
      </c>
    </row>
    <row r="2444" spans="1:2" x14ac:dyDescent="0.3">
      <c r="A2444" s="32">
        <v>96</v>
      </c>
      <c r="B2444" s="3">
        <v>7.5</v>
      </c>
    </row>
    <row r="2445" spans="1:2" x14ac:dyDescent="0.3">
      <c r="A2445" s="31">
        <v>117</v>
      </c>
      <c r="B2445" s="4">
        <v>6.3</v>
      </c>
    </row>
    <row r="2446" spans="1:2" x14ac:dyDescent="0.3">
      <c r="A2446" s="32">
        <v>93</v>
      </c>
      <c r="B2446" s="3">
        <v>7.9</v>
      </c>
    </row>
    <row r="2447" spans="1:2" x14ac:dyDescent="0.3">
      <c r="A2447" s="31">
        <v>115</v>
      </c>
      <c r="B2447" s="4">
        <v>7.9</v>
      </c>
    </row>
    <row r="2448" spans="1:2" x14ac:dyDescent="0.3">
      <c r="A2448" s="32">
        <v>85</v>
      </c>
      <c r="B2448" s="3">
        <v>5.0999999999999996</v>
      </c>
    </row>
    <row r="2449" spans="1:2" x14ac:dyDescent="0.3">
      <c r="A2449" s="31">
        <v>112</v>
      </c>
      <c r="B2449" s="4">
        <v>6.7</v>
      </c>
    </row>
    <row r="2450" spans="1:2" x14ac:dyDescent="0.3">
      <c r="A2450" s="32">
        <v>86</v>
      </c>
      <c r="B2450" s="3">
        <v>6.7</v>
      </c>
    </row>
    <row r="2451" spans="1:2" x14ac:dyDescent="0.3">
      <c r="A2451" s="31">
        <v>86</v>
      </c>
      <c r="B2451" s="4">
        <v>5.6</v>
      </c>
    </row>
    <row r="2452" spans="1:2" x14ac:dyDescent="0.3">
      <c r="A2452" s="32">
        <v>137</v>
      </c>
      <c r="B2452" s="3">
        <v>5.6</v>
      </c>
    </row>
    <row r="2453" spans="1:2" x14ac:dyDescent="0.3">
      <c r="A2453" s="31">
        <v>90</v>
      </c>
      <c r="B2453" s="4">
        <v>6.8</v>
      </c>
    </row>
    <row r="2454" spans="1:2" x14ac:dyDescent="0.3">
      <c r="A2454" s="32">
        <v>107</v>
      </c>
      <c r="B2454" s="3">
        <v>6.2</v>
      </c>
    </row>
    <row r="2455" spans="1:2" x14ac:dyDescent="0.3">
      <c r="A2455" s="31">
        <v>98</v>
      </c>
      <c r="B2455" s="4">
        <v>5.6</v>
      </c>
    </row>
    <row r="2456" spans="1:2" x14ac:dyDescent="0.3">
      <c r="A2456" s="32">
        <v>84</v>
      </c>
      <c r="B2456" s="3">
        <v>6.4</v>
      </c>
    </row>
    <row r="2457" spans="1:2" x14ac:dyDescent="0.3">
      <c r="A2457" s="31">
        <v>139</v>
      </c>
      <c r="B2457" s="4">
        <v>5.6</v>
      </c>
    </row>
    <row r="2458" spans="1:2" x14ac:dyDescent="0.3">
      <c r="A2458" s="32">
        <v>127</v>
      </c>
      <c r="B2458" s="3">
        <v>7.4</v>
      </c>
    </row>
    <row r="2459" spans="1:2" x14ac:dyDescent="0.3">
      <c r="A2459" s="31">
        <v>150</v>
      </c>
      <c r="B2459" s="4">
        <v>4.9000000000000004</v>
      </c>
    </row>
    <row r="2460" spans="1:2" x14ac:dyDescent="0.3">
      <c r="A2460" s="32">
        <v>132</v>
      </c>
      <c r="B2460" s="3">
        <v>6</v>
      </c>
    </row>
    <row r="2461" spans="1:2" x14ac:dyDescent="0.3">
      <c r="A2461" s="31">
        <v>115</v>
      </c>
      <c r="B2461" s="4">
        <v>7.2</v>
      </c>
    </row>
    <row r="2462" spans="1:2" x14ac:dyDescent="0.3">
      <c r="A2462" s="32">
        <v>186</v>
      </c>
      <c r="B2462" s="3">
        <v>4.9000000000000004</v>
      </c>
    </row>
    <row r="2463" spans="1:2" x14ac:dyDescent="0.3">
      <c r="A2463" s="31">
        <v>90</v>
      </c>
      <c r="B2463" s="4">
        <v>7.5</v>
      </c>
    </row>
    <row r="2464" spans="1:2" x14ac:dyDescent="0.3">
      <c r="A2464" s="32">
        <v>134</v>
      </c>
      <c r="B2464" s="3">
        <v>4.8</v>
      </c>
    </row>
    <row r="2465" spans="1:2" x14ac:dyDescent="0.3">
      <c r="A2465" s="31">
        <v>97</v>
      </c>
      <c r="B2465" s="4">
        <v>3.1</v>
      </c>
    </row>
    <row r="2466" spans="1:2" x14ac:dyDescent="0.3">
      <c r="A2466" s="32">
        <v>107</v>
      </c>
      <c r="B2466" s="3">
        <v>5.8</v>
      </c>
    </row>
    <row r="2467" spans="1:2" x14ac:dyDescent="0.3">
      <c r="A2467" s="31">
        <v>99</v>
      </c>
      <c r="B2467" s="4">
        <v>6.7</v>
      </c>
    </row>
    <row r="2468" spans="1:2" x14ac:dyDescent="0.3">
      <c r="A2468" s="32">
        <v>124</v>
      </c>
      <c r="B2468" s="3">
        <v>6.8</v>
      </c>
    </row>
    <row r="2469" spans="1:2" x14ac:dyDescent="0.3">
      <c r="A2469" s="31">
        <v>110</v>
      </c>
      <c r="B2469" s="4">
        <v>6.5</v>
      </c>
    </row>
    <row r="2470" spans="1:2" x14ac:dyDescent="0.3">
      <c r="A2470" s="32">
        <v>178</v>
      </c>
      <c r="B2470" s="3">
        <v>5.9</v>
      </c>
    </row>
    <row r="2471" spans="1:2" x14ac:dyDescent="0.3">
      <c r="A2471" s="31">
        <v>125</v>
      </c>
      <c r="B2471" s="4">
        <v>5.5</v>
      </c>
    </row>
    <row r="2472" spans="1:2" x14ac:dyDescent="0.3">
      <c r="A2472" s="32">
        <v>121</v>
      </c>
      <c r="B2472" s="3">
        <v>3.6</v>
      </c>
    </row>
    <row r="2473" spans="1:2" x14ac:dyDescent="0.3">
      <c r="A2473" s="31">
        <v>100</v>
      </c>
      <c r="B2473" s="4">
        <v>3.3</v>
      </c>
    </row>
    <row r="2474" spans="1:2" x14ac:dyDescent="0.3">
      <c r="A2474" s="32">
        <v>115</v>
      </c>
      <c r="B2474" s="3">
        <v>7.4</v>
      </c>
    </row>
    <row r="2475" spans="1:2" x14ac:dyDescent="0.3">
      <c r="A2475" s="31">
        <v>108</v>
      </c>
      <c r="B2475" s="4">
        <v>6.7</v>
      </c>
    </row>
    <row r="2476" spans="1:2" x14ac:dyDescent="0.3">
      <c r="A2476" s="32">
        <v>220</v>
      </c>
      <c r="B2476" s="3">
        <v>3</v>
      </c>
    </row>
    <row r="2477" spans="1:2" x14ac:dyDescent="0.3">
      <c r="A2477" s="31">
        <v>112</v>
      </c>
      <c r="B2477" s="4">
        <v>7.6</v>
      </c>
    </row>
    <row r="2478" spans="1:2" x14ac:dyDescent="0.3">
      <c r="A2478" s="32">
        <v>99</v>
      </c>
      <c r="B2478" s="3">
        <v>6.4</v>
      </c>
    </row>
    <row r="2479" spans="1:2" x14ac:dyDescent="0.3">
      <c r="A2479" s="31">
        <v>109</v>
      </c>
      <c r="B2479" s="4">
        <v>6.9</v>
      </c>
    </row>
    <row r="2480" spans="1:2" x14ac:dyDescent="0.3">
      <c r="A2480" s="32">
        <v>83</v>
      </c>
      <c r="B2480" s="3">
        <v>6.6</v>
      </c>
    </row>
    <row r="2481" spans="1:2" x14ac:dyDescent="0.3">
      <c r="A2481" s="31">
        <v>107</v>
      </c>
      <c r="B2481" s="4">
        <v>5.5</v>
      </c>
    </row>
    <row r="2482" spans="1:2" x14ac:dyDescent="0.3">
      <c r="A2482" s="32">
        <v>102</v>
      </c>
      <c r="B2482" s="3">
        <v>6.6</v>
      </c>
    </row>
    <row r="2483" spans="1:2" x14ac:dyDescent="0.3">
      <c r="A2483" s="31">
        <v>100</v>
      </c>
      <c r="B2483" s="4">
        <v>5.2</v>
      </c>
    </row>
    <row r="2484" spans="1:2" x14ac:dyDescent="0.3">
      <c r="A2484" s="32">
        <v>97</v>
      </c>
      <c r="B2484" s="3">
        <v>4.0999999999999996</v>
      </c>
    </row>
    <row r="2485" spans="1:2" x14ac:dyDescent="0.3">
      <c r="A2485" s="31">
        <v>92</v>
      </c>
      <c r="B2485" s="4">
        <v>6.8</v>
      </c>
    </row>
    <row r="2486" spans="1:2" x14ac:dyDescent="0.3">
      <c r="A2486" s="32">
        <v>84</v>
      </c>
      <c r="B2486" s="3">
        <v>6.5</v>
      </c>
    </row>
    <row r="2487" spans="1:2" x14ac:dyDescent="0.3">
      <c r="A2487" s="31">
        <v>86</v>
      </c>
      <c r="B2487" s="4">
        <v>7.6</v>
      </c>
    </row>
    <row r="2488" spans="1:2" x14ac:dyDescent="0.3">
      <c r="A2488" s="32">
        <v>120</v>
      </c>
      <c r="B2488" s="3">
        <v>7.4</v>
      </c>
    </row>
    <row r="2489" spans="1:2" x14ac:dyDescent="0.3">
      <c r="A2489" s="31">
        <v>89</v>
      </c>
      <c r="B2489" s="4">
        <v>7.7</v>
      </c>
    </row>
    <row r="2490" spans="1:2" x14ac:dyDescent="0.3">
      <c r="A2490" s="32">
        <v>117</v>
      </c>
      <c r="B2490" s="3">
        <v>7.1</v>
      </c>
    </row>
    <row r="2491" spans="1:2" x14ac:dyDescent="0.3">
      <c r="A2491" s="31">
        <v>97</v>
      </c>
      <c r="B2491" s="4">
        <v>6.3</v>
      </c>
    </row>
    <row r="2492" spans="1:2" x14ac:dyDescent="0.3">
      <c r="A2492" s="32">
        <v>91</v>
      </c>
      <c r="B2492" s="3">
        <v>7.6</v>
      </c>
    </row>
    <row r="2493" spans="1:2" x14ac:dyDescent="0.3">
      <c r="A2493" s="31">
        <v>100</v>
      </c>
      <c r="B2493" s="4">
        <v>8</v>
      </c>
    </row>
    <row r="2494" spans="1:2" x14ac:dyDescent="0.3">
      <c r="A2494" s="32">
        <v>72</v>
      </c>
      <c r="B2494" s="3">
        <v>7.3</v>
      </c>
    </row>
    <row r="2495" spans="1:2" x14ac:dyDescent="0.3">
      <c r="A2495" s="31">
        <v>84</v>
      </c>
      <c r="B2495" s="4">
        <v>7.6</v>
      </c>
    </row>
    <row r="2496" spans="1:2" x14ac:dyDescent="0.3">
      <c r="A2496" s="32">
        <v>126</v>
      </c>
      <c r="B2496" s="3">
        <v>7.8</v>
      </c>
    </row>
    <row r="2497" spans="1:2" x14ac:dyDescent="0.3">
      <c r="A2497" s="31">
        <v>108</v>
      </c>
      <c r="B2497" s="4">
        <v>6.5</v>
      </c>
    </row>
    <row r="2498" spans="1:2" x14ac:dyDescent="0.3">
      <c r="A2498" s="32">
        <v>112</v>
      </c>
      <c r="B2498" s="3">
        <v>6.4</v>
      </c>
    </row>
    <row r="2499" spans="1:2" x14ac:dyDescent="0.3">
      <c r="A2499" s="31">
        <v>90</v>
      </c>
      <c r="B2499" s="4">
        <v>8</v>
      </c>
    </row>
    <row r="2500" spans="1:2" x14ac:dyDescent="0.3">
      <c r="A2500" s="32">
        <v>91</v>
      </c>
      <c r="B2500" s="3">
        <v>4.8</v>
      </c>
    </row>
    <row r="2501" spans="1:2" x14ac:dyDescent="0.3">
      <c r="A2501" s="31">
        <v>135</v>
      </c>
      <c r="B2501" s="4">
        <v>7.8</v>
      </c>
    </row>
    <row r="2502" spans="1:2" x14ac:dyDescent="0.3">
      <c r="A2502" s="32">
        <v>141</v>
      </c>
      <c r="B2502" s="3">
        <v>5.9</v>
      </c>
    </row>
    <row r="2503" spans="1:2" x14ac:dyDescent="0.3">
      <c r="A2503" s="31">
        <v>104</v>
      </c>
      <c r="B2503" s="4">
        <v>5.4</v>
      </c>
    </row>
    <row r="2504" spans="1:2" x14ac:dyDescent="0.3">
      <c r="A2504" s="32">
        <v>84</v>
      </c>
      <c r="B2504" s="3">
        <v>3.3</v>
      </c>
    </row>
    <row r="2505" spans="1:2" x14ac:dyDescent="0.3">
      <c r="A2505" s="31">
        <v>118</v>
      </c>
      <c r="B2505" s="4">
        <v>8.1999999999999993</v>
      </c>
    </row>
    <row r="2506" spans="1:2" x14ac:dyDescent="0.3">
      <c r="A2506" s="32">
        <v>95</v>
      </c>
      <c r="B2506" s="3">
        <v>5.4</v>
      </c>
    </row>
    <row r="2507" spans="1:2" x14ac:dyDescent="0.3">
      <c r="A2507" s="31">
        <v>94</v>
      </c>
      <c r="B2507" s="4">
        <v>6.4</v>
      </c>
    </row>
    <row r="2508" spans="1:2" x14ac:dyDescent="0.3">
      <c r="A2508" s="32">
        <v>99</v>
      </c>
      <c r="B2508" s="3">
        <v>4.8</v>
      </c>
    </row>
    <row r="2509" spans="1:2" x14ac:dyDescent="0.3">
      <c r="A2509" s="31">
        <v>121</v>
      </c>
      <c r="B2509" s="4">
        <v>5.9</v>
      </c>
    </row>
    <row r="2510" spans="1:2" x14ac:dyDescent="0.3">
      <c r="A2510" s="32">
        <v>84</v>
      </c>
      <c r="B2510" s="3">
        <v>5.5</v>
      </c>
    </row>
    <row r="2511" spans="1:2" x14ac:dyDescent="0.3">
      <c r="A2511" s="31">
        <v>93</v>
      </c>
      <c r="B2511" s="4">
        <v>7.9</v>
      </c>
    </row>
    <row r="2512" spans="1:2" x14ac:dyDescent="0.3">
      <c r="A2512" s="32">
        <v>93</v>
      </c>
      <c r="B2512" s="3">
        <v>4.9000000000000004</v>
      </c>
    </row>
    <row r="2513" spans="1:2" x14ac:dyDescent="0.3">
      <c r="A2513" s="31">
        <v>120</v>
      </c>
      <c r="B2513" s="4">
        <v>7.2</v>
      </c>
    </row>
    <row r="2514" spans="1:2" x14ac:dyDescent="0.3">
      <c r="A2514" s="32">
        <v>112</v>
      </c>
      <c r="B2514" s="3">
        <v>6.6</v>
      </c>
    </row>
    <row r="2515" spans="1:2" x14ac:dyDescent="0.3">
      <c r="A2515" s="31">
        <v>107</v>
      </c>
      <c r="B2515" s="4">
        <v>6.7</v>
      </c>
    </row>
    <row r="2516" spans="1:2" x14ac:dyDescent="0.3">
      <c r="A2516" s="32">
        <v>112</v>
      </c>
      <c r="B2516" s="3">
        <v>5.3</v>
      </c>
    </row>
    <row r="2517" spans="1:2" x14ac:dyDescent="0.3">
      <c r="A2517" s="31">
        <v>96</v>
      </c>
      <c r="B2517" s="4">
        <v>7.2</v>
      </c>
    </row>
    <row r="2518" spans="1:2" x14ac:dyDescent="0.3">
      <c r="A2518" s="32">
        <v>91</v>
      </c>
      <c r="B2518" s="3">
        <v>5.0999999999999996</v>
      </c>
    </row>
    <row r="2519" spans="1:2" x14ac:dyDescent="0.3">
      <c r="A2519" s="31">
        <v>125</v>
      </c>
      <c r="B2519" s="4">
        <v>5.6</v>
      </c>
    </row>
    <row r="2520" spans="1:2" x14ac:dyDescent="0.3">
      <c r="A2520" s="32">
        <v>102</v>
      </c>
      <c r="B2520" s="3">
        <v>7.6</v>
      </c>
    </row>
    <row r="2521" spans="1:2" x14ac:dyDescent="0.3">
      <c r="A2521" s="31">
        <v>87</v>
      </c>
      <c r="B2521" s="4">
        <v>3.1</v>
      </c>
    </row>
    <row r="2522" spans="1:2" x14ac:dyDescent="0.3">
      <c r="A2522" s="32">
        <v>118</v>
      </c>
      <c r="B2522" s="3">
        <v>7.2</v>
      </c>
    </row>
    <row r="2523" spans="1:2" x14ac:dyDescent="0.3">
      <c r="A2523" s="31">
        <v>115</v>
      </c>
      <c r="B2523" s="4">
        <v>5.7</v>
      </c>
    </row>
    <row r="2524" spans="1:2" x14ac:dyDescent="0.3">
      <c r="A2524" s="32">
        <v>91</v>
      </c>
      <c r="B2524" s="3">
        <v>5.2</v>
      </c>
    </row>
    <row r="2525" spans="1:2" x14ac:dyDescent="0.3">
      <c r="A2525" s="31">
        <v>88</v>
      </c>
      <c r="B2525" s="4">
        <v>7.7</v>
      </c>
    </row>
    <row r="2526" spans="1:2" x14ac:dyDescent="0.3">
      <c r="A2526" s="32">
        <v>127</v>
      </c>
      <c r="B2526" s="3">
        <v>7</v>
      </c>
    </row>
    <row r="2527" spans="1:2" x14ac:dyDescent="0.3">
      <c r="A2527" s="31">
        <v>94</v>
      </c>
      <c r="B2527" s="4">
        <v>3.6</v>
      </c>
    </row>
    <row r="2528" spans="1:2" x14ac:dyDescent="0.3">
      <c r="A2528" s="32">
        <v>115</v>
      </c>
      <c r="B2528" s="3">
        <v>4.9000000000000004</v>
      </c>
    </row>
    <row r="2529" spans="1:2" x14ac:dyDescent="0.3">
      <c r="A2529" s="31">
        <v>90</v>
      </c>
      <c r="B2529" s="4">
        <v>6</v>
      </c>
    </row>
    <row r="2530" spans="1:2" x14ac:dyDescent="0.3">
      <c r="A2530" s="32">
        <v>102</v>
      </c>
      <c r="B2530" s="3">
        <v>6.6</v>
      </c>
    </row>
    <row r="2531" spans="1:2" x14ac:dyDescent="0.3">
      <c r="A2531" s="31">
        <v>117</v>
      </c>
      <c r="B2531" s="4">
        <v>6.8</v>
      </c>
    </row>
    <row r="2532" spans="1:2" x14ac:dyDescent="0.3">
      <c r="A2532" s="32">
        <v>109</v>
      </c>
      <c r="B2532" s="3">
        <v>7.2</v>
      </c>
    </row>
    <row r="2533" spans="1:2" x14ac:dyDescent="0.3">
      <c r="A2533" s="31">
        <v>121</v>
      </c>
      <c r="B2533" s="4">
        <v>7.2</v>
      </c>
    </row>
    <row r="2534" spans="1:2" x14ac:dyDescent="0.3">
      <c r="A2534" s="32">
        <v>100</v>
      </c>
      <c r="B2534" s="3">
        <v>2.8</v>
      </c>
    </row>
    <row r="2535" spans="1:2" x14ac:dyDescent="0.3">
      <c r="A2535" s="31">
        <v>109</v>
      </c>
      <c r="B2535" s="4">
        <v>6.6</v>
      </c>
    </row>
    <row r="2536" spans="1:2" x14ac:dyDescent="0.3">
      <c r="A2536" s="32">
        <v>101</v>
      </c>
      <c r="B2536" s="3">
        <v>6.7</v>
      </c>
    </row>
    <row r="2537" spans="1:2" x14ac:dyDescent="0.3">
      <c r="A2537" s="31">
        <v>106</v>
      </c>
      <c r="B2537" s="4">
        <v>7</v>
      </c>
    </row>
    <row r="2538" spans="1:2" x14ac:dyDescent="0.3">
      <c r="A2538" s="32">
        <v>94</v>
      </c>
      <c r="B2538" s="3">
        <v>4.4000000000000004</v>
      </c>
    </row>
    <row r="2539" spans="1:2" x14ac:dyDescent="0.3">
      <c r="A2539" s="31">
        <v>140</v>
      </c>
      <c r="B2539" s="4">
        <v>7.1</v>
      </c>
    </row>
    <row r="2540" spans="1:2" x14ac:dyDescent="0.3">
      <c r="A2540" s="32">
        <v>132</v>
      </c>
      <c r="B2540" s="3">
        <v>6.2</v>
      </c>
    </row>
    <row r="2541" spans="1:2" x14ac:dyDescent="0.3">
      <c r="A2541" s="31">
        <v>99</v>
      </c>
      <c r="B2541" s="4">
        <v>7.3</v>
      </c>
    </row>
    <row r="2542" spans="1:2" x14ac:dyDescent="0.3">
      <c r="A2542" s="32">
        <v>90</v>
      </c>
      <c r="B2542" s="3">
        <v>5.0999999999999996</v>
      </c>
    </row>
    <row r="2543" spans="1:2" x14ac:dyDescent="0.3">
      <c r="A2543" s="31">
        <v>105</v>
      </c>
      <c r="B2543" s="4">
        <v>8.1</v>
      </c>
    </row>
    <row r="2544" spans="1:2" x14ac:dyDescent="0.3">
      <c r="A2544" s="32">
        <v>108</v>
      </c>
      <c r="B2544" s="3">
        <v>6.7</v>
      </c>
    </row>
    <row r="2545" spans="1:2" x14ac:dyDescent="0.3">
      <c r="A2545" s="31">
        <v>69</v>
      </c>
      <c r="B2545" s="4">
        <v>6.6</v>
      </c>
    </row>
    <row r="2546" spans="1:2" x14ac:dyDescent="0.3">
      <c r="A2546" s="32">
        <v>148</v>
      </c>
      <c r="B2546" s="3">
        <v>4.5</v>
      </c>
    </row>
    <row r="2547" spans="1:2" x14ac:dyDescent="0.3">
      <c r="A2547" s="31">
        <v>132</v>
      </c>
      <c r="B2547" s="4">
        <v>6.6</v>
      </c>
    </row>
    <row r="2548" spans="1:2" x14ac:dyDescent="0.3">
      <c r="A2548" s="32">
        <v>130</v>
      </c>
      <c r="B2548" s="3">
        <v>6.5</v>
      </c>
    </row>
    <row r="2549" spans="1:2" x14ac:dyDescent="0.3">
      <c r="A2549" s="31">
        <v>95</v>
      </c>
      <c r="B2549" s="4">
        <v>5.9</v>
      </c>
    </row>
    <row r="2550" spans="1:2" x14ac:dyDescent="0.3">
      <c r="A2550" s="32">
        <v>80</v>
      </c>
      <c r="B2550" s="3">
        <v>6.6</v>
      </c>
    </row>
    <row r="2551" spans="1:2" x14ac:dyDescent="0.3">
      <c r="A2551" s="31">
        <v>94</v>
      </c>
      <c r="B2551" s="4">
        <v>6.5</v>
      </c>
    </row>
    <row r="2552" spans="1:2" x14ac:dyDescent="0.3">
      <c r="A2552" s="32">
        <v>122</v>
      </c>
      <c r="B2552" s="3">
        <v>7.3</v>
      </c>
    </row>
    <row r="2553" spans="1:2" x14ac:dyDescent="0.3">
      <c r="A2553" s="31">
        <v>102</v>
      </c>
      <c r="B2553" s="4">
        <v>7.5</v>
      </c>
    </row>
    <row r="2554" spans="1:2" x14ac:dyDescent="0.3">
      <c r="A2554" s="32">
        <v>116</v>
      </c>
      <c r="B2554" s="3">
        <v>5.9</v>
      </c>
    </row>
    <row r="2555" spans="1:2" x14ac:dyDescent="0.3">
      <c r="A2555" s="31">
        <v>78</v>
      </c>
      <c r="B2555" s="4">
        <v>7.4</v>
      </c>
    </row>
    <row r="2556" spans="1:2" x14ac:dyDescent="0.3">
      <c r="A2556" s="32">
        <v>114</v>
      </c>
      <c r="B2556" s="3">
        <v>6.9</v>
      </c>
    </row>
    <row r="2557" spans="1:2" x14ac:dyDescent="0.3">
      <c r="A2557" s="31">
        <v>112</v>
      </c>
      <c r="B2557" s="4">
        <v>7.9</v>
      </c>
    </row>
    <row r="2558" spans="1:2" x14ac:dyDescent="0.3">
      <c r="A2558" s="32">
        <v>110</v>
      </c>
      <c r="B2558" s="3">
        <v>8.4</v>
      </c>
    </row>
    <row r="2559" spans="1:2" x14ac:dyDescent="0.3">
      <c r="A2559" s="31">
        <v>104</v>
      </c>
      <c r="B2559" s="4">
        <v>8</v>
      </c>
    </row>
    <row r="2560" spans="1:2" x14ac:dyDescent="0.3">
      <c r="A2560" s="32">
        <v>81</v>
      </c>
      <c r="B2560" s="3">
        <v>6</v>
      </c>
    </row>
    <row r="2561" spans="1:2" x14ac:dyDescent="0.3">
      <c r="A2561" s="31">
        <v>102</v>
      </c>
      <c r="B2561" s="4">
        <v>6.8</v>
      </c>
    </row>
    <row r="2562" spans="1:2" x14ac:dyDescent="0.3">
      <c r="A2562" s="32">
        <v>89</v>
      </c>
      <c r="B2562" s="3">
        <v>7.8</v>
      </c>
    </row>
    <row r="2563" spans="1:2" x14ac:dyDescent="0.3">
      <c r="A2563" s="31">
        <v>132</v>
      </c>
      <c r="B2563" s="4">
        <v>5.7</v>
      </c>
    </row>
    <row r="2564" spans="1:2" x14ac:dyDescent="0.3">
      <c r="A2564" s="32">
        <v>103</v>
      </c>
      <c r="B2564" s="3">
        <v>6.1</v>
      </c>
    </row>
    <row r="2565" spans="1:2" x14ac:dyDescent="0.3">
      <c r="A2565" s="31">
        <v>93</v>
      </c>
      <c r="B2565" s="4">
        <v>8.1</v>
      </c>
    </row>
    <row r="2566" spans="1:2" x14ac:dyDescent="0.3">
      <c r="A2566" s="32">
        <v>93</v>
      </c>
      <c r="B2566" s="3">
        <v>6.1</v>
      </c>
    </row>
    <row r="2567" spans="1:2" x14ac:dyDescent="0.3">
      <c r="A2567" s="31">
        <v>96</v>
      </c>
      <c r="B2567" s="4">
        <v>7.5</v>
      </c>
    </row>
    <row r="2568" spans="1:2" x14ac:dyDescent="0.3">
      <c r="A2568" s="32">
        <v>89</v>
      </c>
      <c r="B2568" s="3">
        <v>6.2</v>
      </c>
    </row>
    <row r="2569" spans="1:2" x14ac:dyDescent="0.3">
      <c r="A2569" s="31">
        <v>92</v>
      </c>
      <c r="B2569" s="4">
        <v>6.2</v>
      </c>
    </row>
    <row r="2570" spans="1:2" x14ac:dyDescent="0.3">
      <c r="A2570" s="32">
        <v>97</v>
      </c>
      <c r="B2570" s="3">
        <v>7.9</v>
      </c>
    </row>
    <row r="2571" spans="1:2" x14ac:dyDescent="0.3">
      <c r="A2571" s="31">
        <v>93</v>
      </c>
      <c r="B2571" s="4">
        <v>7.4</v>
      </c>
    </row>
    <row r="2572" spans="1:2" x14ac:dyDescent="0.3">
      <c r="A2572" s="32">
        <v>89</v>
      </c>
      <c r="B2572" s="3">
        <v>6.6</v>
      </c>
    </row>
    <row r="2573" spans="1:2" x14ac:dyDescent="0.3">
      <c r="A2573" s="31">
        <v>123</v>
      </c>
      <c r="B2573" s="4">
        <v>7.3</v>
      </c>
    </row>
    <row r="2574" spans="1:2" x14ac:dyDescent="0.3">
      <c r="A2574" s="32">
        <v>93</v>
      </c>
      <c r="B2574" s="3">
        <v>7.5</v>
      </c>
    </row>
    <row r="2575" spans="1:2" x14ac:dyDescent="0.3">
      <c r="A2575" s="31">
        <v>133</v>
      </c>
      <c r="B2575" s="4">
        <v>5.6</v>
      </c>
    </row>
    <row r="2576" spans="1:2" x14ac:dyDescent="0.3">
      <c r="A2576" s="32">
        <v>121</v>
      </c>
      <c r="B2576" s="3">
        <v>7.3</v>
      </c>
    </row>
    <row r="2577" spans="1:2" x14ac:dyDescent="0.3">
      <c r="A2577" s="31">
        <v>102</v>
      </c>
      <c r="B2577" s="4">
        <v>6.4</v>
      </c>
    </row>
    <row r="2578" spans="1:2" x14ac:dyDescent="0.3">
      <c r="A2578" s="32">
        <v>99</v>
      </c>
      <c r="B2578" s="3">
        <v>5</v>
      </c>
    </row>
    <row r="2579" spans="1:2" x14ac:dyDescent="0.3">
      <c r="A2579" s="31">
        <v>98</v>
      </c>
      <c r="B2579" s="4">
        <v>5.4</v>
      </c>
    </row>
    <row r="2580" spans="1:2" x14ac:dyDescent="0.3">
      <c r="A2580" s="32">
        <v>118</v>
      </c>
      <c r="B2580" s="3">
        <v>8.1999999999999993</v>
      </c>
    </row>
    <row r="2581" spans="1:2" x14ac:dyDescent="0.3">
      <c r="A2581" s="31">
        <v>104</v>
      </c>
      <c r="B2581" s="4">
        <v>7.1</v>
      </c>
    </row>
    <row r="2582" spans="1:2" x14ac:dyDescent="0.3">
      <c r="A2582" s="32">
        <v>109</v>
      </c>
      <c r="B2582" s="3">
        <v>5.3</v>
      </c>
    </row>
    <row r="2583" spans="1:2" x14ac:dyDescent="0.3">
      <c r="A2583" s="31">
        <v>115</v>
      </c>
      <c r="B2583" s="4">
        <v>6.5</v>
      </c>
    </row>
    <row r="2584" spans="1:2" x14ac:dyDescent="0.3">
      <c r="A2584" s="32">
        <v>92</v>
      </c>
      <c r="B2584" s="3">
        <v>6.2</v>
      </c>
    </row>
    <row r="2585" spans="1:2" x14ac:dyDescent="0.3">
      <c r="A2585" s="31">
        <v>91</v>
      </c>
      <c r="B2585" s="4">
        <v>6.4</v>
      </c>
    </row>
    <row r="2586" spans="1:2" x14ac:dyDescent="0.3">
      <c r="A2586" s="32">
        <v>94</v>
      </c>
      <c r="B2586" s="3">
        <v>7.2</v>
      </c>
    </row>
    <row r="2587" spans="1:2" x14ac:dyDescent="0.3">
      <c r="A2587" s="31">
        <v>93</v>
      </c>
      <c r="B2587" s="4">
        <v>6.9</v>
      </c>
    </row>
    <row r="2588" spans="1:2" x14ac:dyDescent="0.3">
      <c r="A2588" s="32">
        <v>100</v>
      </c>
      <c r="B2588" s="3">
        <v>5.7</v>
      </c>
    </row>
    <row r="2589" spans="1:2" x14ac:dyDescent="0.3">
      <c r="A2589" s="31">
        <v>293</v>
      </c>
      <c r="B2589" s="4">
        <v>7.7</v>
      </c>
    </row>
    <row r="2590" spans="1:2" x14ac:dyDescent="0.3">
      <c r="A2590" s="32">
        <v>93</v>
      </c>
      <c r="B2590" s="3">
        <v>5.4</v>
      </c>
    </row>
    <row r="2591" spans="1:2" x14ac:dyDescent="0.3">
      <c r="A2591" s="31">
        <v>123</v>
      </c>
      <c r="B2591" s="4">
        <v>5.6</v>
      </c>
    </row>
    <row r="2592" spans="1:2" x14ac:dyDescent="0.3">
      <c r="A2592" s="32">
        <v>119</v>
      </c>
      <c r="B2592" s="3">
        <v>7.7</v>
      </c>
    </row>
    <row r="2593" spans="1:2" x14ac:dyDescent="0.3">
      <c r="A2593" s="31">
        <v>107</v>
      </c>
      <c r="B2593" s="4">
        <v>5.0999999999999996</v>
      </c>
    </row>
    <row r="2594" spans="1:2" x14ac:dyDescent="0.3">
      <c r="A2594" s="32">
        <v>106</v>
      </c>
      <c r="B2594" s="3">
        <v>6.8</v>
      </c>
    </row>
    <row r="2595" spans="1:2" x14ac:dyDescent="0.3">
      <c r="A2595" s="31">
        <v>109</v>
      </c>
      <c r="B2595" s="4">
        <v>8.4</v>
      </c>
    </row>
    <row r="2596" spans="1:2" x14ac:dyDescent="0.3">
      <c r="A2596" s="32">
        <v>81</v>
      </c>
      <c r="B2596" s="3">
        <v>4.9000000000000004</v>
      </c>
    </row>
    <row r="2597" spans="1:2" x14ac:dyDescent="0.3">
      <c r="A2597" s="31">
        <v>95</v>
      </c>
      <c r="B2597" s="4">
        <v>7.1</v>
      </c>
    </row>
    <row r="2598" spans="1:2" x14ac:dyDescent="0.3">
      <c r="A2598" s="32">
        <v>86</v>
      </c>
      <c r="B2598" s="3">
        <v>6.6</v>
      </c>
    </row>
    <row r="2599" spans="1:2" x14ac:dyDescent="0.3">
      <c r="A2599" s="31">
        <v>113</v>
      </c>
      <c r="B2599" s="4">
        <v>6.1</v>
      </c>
    </row>
    <row r="2600" spans="1:2" x14ac:dyDescent="0.3">
      <c r="A2600" s="32">
        <v>122</v>
      </c>
      <c r="B2600" s="3">
        <v>4.0999999999999996</v>
      </c>
    </row>
    <row r="2601" spans="1:2" x14ac:dyDescent="0.3">
      <c r="A2601" s="31">
        <v>90</v>
      </c>
      <c r="B2601" s="4">
        <v>5.8</v>
      </c>
    </row>
    <row r="2602" spans="1:2" x14ac:dyDescent="0.3">
      <c r="A2602" s="32">
        <v>108</v>
      </c>
      <c r="B2602" s="3">
        <v>8.1</v>
      </c>
    </row>
    <row r="2603" spans="1:2" x14ac:dyDescent="0.3">
      <c r="A2603" s="31">
        <v>113</v>
      </c>
      <c r="B2603" s="4">
        <v>7.6</v>
      </c>
    </row>
    <row r="2604" spans="1:2" x14ac:dyDescent="0.3">
      <c r="A2604" s="32">
        <v>110</v>
      </c>
      <c r="B2604" s="3">
        <v>7.8</v>
      </c>
    </row>
    <row r="2605" spans="1:2" x14ac:dyDescent="0.3">
      <c r="A2605" s="31">
        <v>109</v>
      </c>
      <c r="B2605" s="4">
        <v>4.5999999999999996</v>
      </c>
    </row>
    <row r="2606" spans="1:2" x14ac:dyDescent="0.3">
      <c r="A2606" s="32">
        <v>110</v>
      </c>
      <c r="B2606" s="3">
        <v>6</v>
      </c>
    </row>
    <row r="2607" spans="1:2" x14ac:dyDescent="0.3">
      <c r="A2607" s="31">
        <v>101</v>
      </c>
      <c r="B2607" s="4">
        <v>7</v>
      </c>
    </row>
    <row r="2608" spans="1:2" x14ac:dyDescent="0.3">
      <c r="A2608" s="32">
        <v>97</v>
      </c>
      <c r="B2608" s="3">
        <v>6.7</v>
      </c>
    </row>
    <row r="2609" spans="1:2" x14ac:dyDescent="0.3">
      <c r="A2609" s="31">
        <v>172</v>
      </c>
      <c r="B2609" s="4">
        <v>6.4</v>
      </c>
    </row>
    <row r="2610" spans="1:2" x14ac:dyDescent="0.3">
      <c r="A2610" s="32">
        <v>104</v>
      </c>
      <c r="B2610" s="3">
        <v>7.2</v>
      </c>
    </row>
    <row r="2611" spans="1:2" x14ac:dyDescent="0.3">
      <c r="A2611" s="31">
        <v>99</v>
      </c>
      <c r="B2611" s="4">
        <v>7.4</v>
      </c>
    </row>
    <row r="2612" spans="1:2" x14ac:dyDescent="0.3">
      <c r="A2612" s="32">
        <v>129</v>
      </c>
      <c r="B2612" s="3">
        <v>4.8</v>
      </c>
    </row>
    <row r="2613" spans="1:2" x14ac:dyDescent="0.3">
      <c r="A2613" s="31">
        <v>91</v>
      </c>
      <c r="B2613" s="4">
        <v>4</v>
      </c>
    </row>
    <row r="2614" spans="1:2" x14ac:dyDescent="0.3">
      <c r="A2614" s="32">
        <v>100</v>
      </c>
      <c r="B2614" s="3">
        <v>6.2</v>
      </c>
    </row>
    <row r="2615" spans="1:2" x14ac:dyDescent="0.3">
      <c r="A2615" s="31">
        <v>111</v>
      </c>
      <c r="B2615" s="4">
        <v>7.7</v>
      </c>
    </row>
    <row r="2616" spans="1:2" x14ac:dyDescent="0.3">
      <c r="A2616" s="32">
        <v>114</v>
      </c>
      <c r="B2616" s="3">
        <v>6.7</v>
      </c>
    </row>
    <row r="2617" spans="1:2" x14ac:dyDescent="0.3">
      <c r="A2617" s="31">
        <v>86</v>
      </c>
      <c r="B2617" s="4">
        <v>7.9</v>
      </c>
    </row>
    <row r="2618" spans="1:2" x14ac:dyDescent="0.3">
      <c r="A2618" s="32">
        <v>107</v>
      </c>
      <c r="B2618" s="3">
        <v>7.9</v>
      </c>
    </row>
    <row r="2619" spans="1:2" x14ac:dyDescent="0.3">
      <c r="A2619" s="31">
        <v>90</v>
      </c>
      <c r="B2619" s="4">
        <v>5.5</v>
      </c>
    </row>
    <row r="2620" spans="1:2" x14ac:dyDescent="0.3">
      <c r="A2620" s="32">
        <v>120</v>
      </c>
      <c r="B2620" s="3">
        <v>6.2</v>
      </c>
    </row>
    <row r="2621" spans="1:2" x14ac:dyDescent="0.3">
      <c r="A2621" s="31">
        <v>134</v>
      </c>
      <c r="B2621" s="4">
        <v>5.0999999999999996</v>
      </c>
    </row>
    <row r="2622" spans="1:2" x14ac:dyDescent="0.3">
      <c r="A2622" s="32">
        <v>110</v>
      </c>
      <c r="B2622" s="3">
        <v>4.0999999999999996</v>
      </c>
    </row>
    <row r="2623" spans="1:2" x14ac:dyDescent="0.3">
      <c r="A2623" s="31">
        <v>132</v>
      </c>
      <c r="B2623" s="4">
        <v>6.7</v>
      </c>
    </row>
    <row r="2624" spans="1:2" x14ac:dyDescent="0.3">
      <c r="A2624" s="32">
        <v>113</v>
      </c>
      <c r="B2624" s="3">
        <v>4.7</v>
      </c>
    </row>
    <row r="2625" spans="1:2" x14ac:dyDescent="0.3">
      <c r="A2625" s="31">
        <v>111</v>
      </c>
      <c r="B2625" s="4">
        <v>6.4</v>
      </c>
    </row>
    <row r="2626" spans="1:2" x14ac:dyDescent="0.3">
      <c r="A2626" s="32">
        <v>99</v>
      </c>
      <c r="B2626" s="3">
        <v>6.3</v>
      </c>
    </row>
    <row r="2627" spans="1:2" x14ac:dyDescent="0.3">
      <c r="A2627" s="31">
        <v>104</v>
      </c>
      <c r="B2627" s="4">
        <v>5.5</v>
      </c>
    </row>
    <row r="2628" spans="1:2" x14ac:dyDescent="0.3">
      <c r="A2628" s="32">
        <v>103</v>
      </c>
      <c r="B2628" s="3">
        <v>7.3</v>
      </c>
    </row>
    <row r="2629" spans="1:2" x14ac:dyDescent="0.3">
      <c r="A2629" s="31">
        <v>134</v>
      </c>
      <c r="B2629" s="4">
        <v>6.3</v>
      </c>
    </row>
    <row r="2630" spans="1:2" x14ac:dyDescent="0.3">
      <c r="A2630" s="32">
        <v>106</v>
      </c>
      <c r="B2630" s="3">
        <v>4.9000000000000004</v>
      </c>
    </row>
    <row r="2631" spans="1:2" x14ac:dyDescent="0.3">
      <c r="A2631" s="31">
        <v>125</v>
      </c>
      <c r="B2631" s="4">
        <v>7.6</v>
      </c>
    </row>
    <row r="2632" spans="1:2" x14ac:dyDescent="0.3">
      <c r="A2632" s="32">
        <v>109</v>
      </c>
      <c r="B2632" s="3">
        <v>6</v>
      </c>
    </row>
    <row r="2633" spans="1:2" x14ac:dyDescent="0.3">
      <c r="A2633" s="31">
        <v>200</v>
      </c>
      <c r="B2633" s="4">
        <v>6.2</v>
      </c>
    </row>
    <row r="2634" spans="1:2" x14ac:dyDescent="0.3">
      <c r="A2634" s="32">
        <v>112</v>
      </c>
      <c r="B2634" s="3">
        <v>6.8</v>
      </c>
    </row>
    <row r="2635" spans="1:2" x14ac:dyDescent="0.3">
      <c r="A2635" s="31">
        <v>116</v>
      </c>
      <c r="B2635" s="4">
        <v>4.5</v>
      </c>
    </row>
    <row r="2636" spans="1:2" x14ac:dyDescent="0.3">
      <c r="A2636" s="32">
        <v>120</v>
      </c>
      <c r="B2636" s="3">
        <v>5.7</v>
      </c>
    </row>
    <row r="2637" spans="1:2" x14ac:dyDescent="0.3">
      <c r="A2637" s="31">
        <v>107</v>
      </c>
      <c r="B2637" s="4">
        <v>8.4</v>
      </c>
    </row>
    <row r="2638" spans="1:2" x14ac:dyDescent="0.3">
      <c r="A2638" s="32">
        <v>107</v>
      </c>
      <c r="B2638" s="3">
        <v>4.5999999999999996</v>
      </c>
    </row>
    <row r="2639" spans="1:2" x14ac:dyDescent="0.3">
      <c r="A2639" s="31">
        <v>81</v>
      </c>
      <c r="B2639" s="4">
        <v>6.2</v>
      </c>
    </row>
    <row r="2640" spans="1:2" x14ac:dyDescent="0.3">
      <c r="A2640" s="32">
        <v>101</v>
      </c>
      <c r="B2640" s="3">
        <v>7</v>
      </c>
    </row>
    <row r="2641" spans="1:2" x14ac:dyDescent="0.3">
      <c r="A2641" s="31">
        <v>122</v>
      </c>
      <c r="B2641" s="4">
        <v>6.9</v>
      </c>
    </row>
    <row r="2642" spans="1:2" x14ac:dyDescent="0.3">
      <c r="A2642" s="32">
        <v>97</v>
      </c>
      <c r="B2642" s="3">
        <v>6.1</v>
      </c>
    </row>
    <row r="2643" spans="1:2" x14ac:dyDescent="0.3">
      <c r="A2643" s="31">
        <v>92</v>
      </c>
      <c r="B2643" s="4">
        <v>6.7</v>
      </c>
    </row>
    <row r="2644" spans="1:2" x14ac:dyDescent="0.3">
      <c r="A2644" s="32">
        <v>110</v>
      </c>
      <c r="B2644" s="3">
        <v>5.6</v>
      </c>
    </row>
    <row r="2645" spans="1:2" x14ac:dyDescent="0.3">
      <c r="A2645" s="31">
        <v>86</v>
      </c>
      <c r="B2645" s="4">
        <v>6.6</v>
      </c>
    </row>
    <row r="2646" spans="1:2" x14ac:dyDescent="0.3">
      <c r="A2646" s="32">
        <v>91</v>
      </c>
      <c r="B2646" s="3">
        <v>6.4</v>
      </c>
    </row>
    <row r="2647" spans="1:2" x14ac:dyDescent="0.3">
      <c r="A2647" s="31">
        <v>100</v>
      </c>
      <c r="B2647" s="4">
        <v>2.8</v>
      </c>
    </row>
    <row r="2648" spans="1:2" x14ac:dyDescent="0.3">
      <c r="A2648" s="32">
        <v>111</v>
      </c>
      <c r="B2648" s="3">
        <v>5.4</v>
      </c>
    </row>
    <row r="2649" spans="1:2" x14ac:dyDescent="0.3">
      <c r="A2649" s="31">
        <v>89</v>
      </c>
      <c r="B2649" s="4">
        <v>5</v>
      </c>
    </row>
    <row r="2650" spans="1:2" x14ac:dyDescent="0.3">
      <c r="A2650" s="32">
        <v>84</v>
      </c>
      <c r="B2650" s="3">
        <v>5.0999999999999996</v>
      </c>
    </row>
    <row r="2651" spans="1:2" x14ac:dyDescent="0.3">
      <c r="A2651" s="31">
        <v>98</v>
      </c>
      <c r="B2651" s="4">
        <v>8</v>
      </c>
    </row>
    <row r="2652" spans="1:2" x14ac:dyDescent="0.3">
      <c r="A2652" s="32">
        <v>95</v>
      </c>
      <c r="B2652" s="3">
        <v>5.9</v>
      </c>
    </row>
    <row r="2653" spans="1:2" x14ac:dyDescent="0.3">
      <c r="A2653" s="31">
        <v>109</v>
      </c>
      <c r="B2653" s="4">
        <v>8.1999999999999993</v>
      </c>
    </row>
    <row r="2654" spans="1:2" x14ac:dyDescent="0.3">
      <c r="A2654" s="32">
        <v>118</v>
      </c>
      <c r="B2654" s="3">
        <v>7</v>
      </c>
    </row>
    <row r="2655" spans="1:2" x14ac:dyDescent="0.3">
      <c r="A2655" s="31">
        <v>88</v>
      </c>
      <c r="B2655" s="4">
        <v>6.6</v>
      </c>
    </row>
    <row r="2656" spans="1:2" x14ac:dyDescent="0.3">
      <c r="A2656" s="32">
        <v>86</v>
      </c>
      <c r="B2656" s="3">
        <v>6.7</v>
      </c>
    </row>
    <row r="2657" spans="1:2" x14ac:dyDescent="0.3">
      <c r="A2657" s="31">
        <v>118</v>
      </c>
      <c r="B2657" s="4">
        <v>5.5</v>
      </c>
    </row>
    <row r="2658" spans="1:2" x14ac:dyDescent="0.3">
      <c r="A2658" s="32">
        <v>125</v>
      </c>
      <c r="B2658" s="3">
        <v>4.9000000000000004</v>
      </c>
    </row>
    <row r="2659" spans="1:2" x14ac:dyDescent="0.3">
      <c r="A2659" s="31">
        <v>125</v>
      </c>
      <c r="B2659" s="4">
        <v>6.9</v>
      </c>
    </row>
    <row r="2660" spans="1:2" x14ac:dyDescent="0.3">
      <c r="A2660" s="32">
        <v>94</v>
      </c>
      <c r="B2660" s="3">
        <v>7.4</v>
      </c>
    </row>
    <row r="2661" spans="1:2" x14ac:dyDescent="0.3">
      <c r="A2661" s="31">
        <v>113</v>
      </c>
      <c r="B2661" s="4">
        <v>5.6</v>
      </c>
    </row>
    <row r="2662" spans="1:2" x14ac:dyDescent="0.3">
      <c r="A2662" s="32">
        <v>104</v>
      </c>
      <c r="B2662" s="3">
        <v>8</v>
      </c>
    </row>
    <row r="2663" spans="1:2" x14ac:dyDescent="0.3">
      <c r="A2663" s="31">
        <v>95</v>
      </c>
      <c r="B2663" s="4">
        <v>5.3</v>
      </c>
    </row>
    <row r="2664" spans="1:2" x14ac:dyDescent="0.3">
      <c r="A2664" s="32">
        <v>102</v>
      </c>
      <c r="B2664" s="3">
        <v>6.2</v>
      </c>
    </row>
    <row r="2665" spans="1:2" x14ac:dyDescent="0.3">
      <c r="A2665" s="31">
        <v>104</v>
      </c>
      <c r="B2665" s="4">
        <v>5.3</v>
      </c>
    </row>
    <row r="2666" spans="1:2" x14ac:dyDescent="0.3">
      <c r="A2666" s="32">
        <v>95</v>
      </c>
      <c r="B2666" s="3">
        <v>6.6</v>
      </c>
    </row>
    <row r="2667" spans="1:2" x14ac:dyDescent="0.3">
      <c r="A2667" s="31">
        <v>118</v>
      </c>
      <c r="B2667" s="4">
        <v>7.2</v>
      </c>
    </row>
    <row r="2668" spans="1:2" x14ac:dyDescent="0.3">
      <c r="A2668" s="32">
        <v>193</v>
      </c>
      <c r="B2668" s="3">
        <v>4.5999999999999996</v>
      </c>
    </row>
    <row r="2669" spans="1:2" x14ac:dyDescent="0.3">
      <c r="A2669" s="31">
        <v>97</v>
      </c>
      <c r="B2669" s="4">
        <v>7.5</v>
      </c>
    </row>
    <row r="2670" spans="1:2" x14ac:dyDescent="0.3">
      <c r="A2670" s="32">
        <v>98</v>
      </c>
      <c r="B2670" s="3">
        <v>6.5</v>
      </c>
    </row>
    <row r="2671" spans="1:2" x14ac:dyDescent="0.3">
      <c r="A2671" s="31">
        <v>103</v>
      </c>
      <c r="B2671" s="4">
        <v>7.6</v>
      </c>
    </row>
    <row r="2672" spans="1:2" x14ac:dyDescent="0.3">
      <c r="A2672" s="32">
        <v>161</v>
      </c>
      <c r="B2672" s="3">
        <v>6.2</v>
      </c>
    </row>
    <row r="2673" spans="1:2" x14ac:dyDescent="0.3">
      <c r="A2673" s="31">
        <v>120</v>
      </c>
      <c r="B2673" s="4">
        <v>8</v>
      </c>
    </row>
    <row r="2674" spans="1:2" x14ac:dyDescent="0.3">
      <c r="A2674" s="32">
        <v>97</v>
      </c>
      <c r="B2674" s="3">
        <v>5.5</v>
      </c>
    </row>
    <row r="2675" spans="1:2" x14ac:dyDescent="0.3">
      <c r="A2675" s="31">
        <v>99</v>
      </c>
      <c r="B2675" s="4">
        <v>6.3</v>
      </c>
    </row>
    <row r="2676" spans="1:2" x14ac:dyDescent="0.3">
      <c r="A2676" s="32">
        <v>145</v>
      </c>
      <c r="B2676" s="3">
        <v>7.2</v>
      </c>
    </row>
    <row r="2677" spans="1:2" x14ac:dyDescent="0.3">
      <c r="A2677" s="31">
        <v>121</v>
      </c>
      <c r="B2677" s="4">
        <v>6.7</v>
      </c>
    </row>
    <row r="2678" spans="1:2" x14ac:dyDescent="0.3">
      <c r="A2678" s="32">
        <v>117</v>
      </c>
      <c r="B2678" s="3">
        <v>5.3</v>
      </c>
    </row>
    <row r="2679" spans="1:2" x14ac:dyDescent="0.3">
      <c r="A2679" s="31">
        <v>98</v>
      </c>
      <c r="B2679" s="4">
        <v>6.3</v>
      </c>
    </row>
    <row r="2680" spans="1:2" x14ac:dyDescent="0.3">
      <c r="A2680" s="32">
        <v>109</v>
      </c>
      <c r="B2680" s="3">
        <v>6.5</v>
      </c>
    </row>
    <row r="2681" spans="1:2" x14ac:dyDescent="0.3">
      <c r="A2681" s="31">
        <v>95</v>
      </c>
      <c r="B2681" s="4">
        <v>5.6</v>
      </c>
    </row>
    <row r="2682" spans="1:2" x14ac:dyDescent="0.3">
      <c r="A2682" s="32">
        <v>96</v>
      </c>
      <c r="B2682" s="3">
        <v>7</v>
      </c>
    </row>
    <row r="2683" spans="1:2" x14ac:dyDescent="0.3">
      <c r="A2683" s="31">
        <v>101</v>
      </c>
      <c r="B2683" s="4">
        <v>8.3000000000000007</v>
      </c>
    </row>
    <row r="2684" spans="1:2" x14ac:dyDescent="0.3">
      <c r="A2684" s="32">
        <v>107</v>
      </c>
      <c r="B2684" s="3">
        <v>7.2</v>
      </c>
    </row>
    <row r="2685" spans="1:2" x14ac:dyDescent="0.3">
      <c r="A2685" s="31">
        <v>119</v>
      </c>
      <c r="B2685" s="4">
        <v>6.8</v>
      </c>
    </row>
    <row r="2686" spans="1:2" x14ac:dyDescent="0.3">
      <c r="A2686" s="32">
        <v>100</v>
      </c>
      <c r="B2686" s="3">
        <v>6.4</v>
      </c>
    </row>
    <row r="2687" spans="1:2" x14ac:dyDescent="0.3">
      <c r="A2687" s="31">
        <v>98</v>
      </c>
      <c r="B2687" s="4">
        <v>6.9</v>
      </c>
    </row>
    <row r="2688" spans="1:2" x14ac:dyDescent="0.3">
      <c r="A2688" s="32">
        <v>92</v>
      </c>
      <c r="B2688" s="3">
        <v>8</v>
      </c>
    </row>
    <row r="2689" spans="1:2" x14ac:dyDescent="0.3">
      <c r="A2689" s="31">
        <v>90</v>
      </c>
      <c r="B2689" s="4">
        <v>6.2</v>
      </c>
    </row>
    <row r="2690" spans="1:2" x14ac:dyDescent="0.3">
      <c r="A2690" s="32">
        <v>90</v>
      </c>
      <c r="B2690" s="3">
        <v>6.4</v>
      </c>
    </row>
    <row r="2691" spans="1:2" x14ac:dyDescent="0.3">
      <c r="A2691" s="31">
        <v>153</v>
      </c>
      <c r="B2691" s="4">
        <v>5.6</v>
      </c>
    </row>
    <row r="2692" spans="1:2" x14ac:dyDescent="0.3">
      <c r="A2692" s="32">
        <v>124</v>
      </c>
      <c r="B2692" s="3">
        <v>6.1</v>
      </c>
    </row>
    <row r="2693" spans="1:2" x14ac:dyDescent="0.3">
      <c r="A2693" s="31">
        <v>82</v>
      </c>
      <c r="B2693" s="4">
        <v>6</v>
      </c>
    </row>
    <row r="2694" spans="1:2" x14ac:dyDescent="0.3">
      <c r="A2694" s="32">
        <v>107</v>
      </c>
      <c r="B2694" s="3">
        <v>5.0999999999999996</v>
      </c>
    </row>
    <row r="2695" spans="1:2" x14ac:dyDescent="0.3">
      <c r="A2695" s="31">
        <v>97</v>
      </c>
      <c r="B2695" s="4">
        <v>4.5</v>
      </c>
    </row>
    <row r="2696" spans="1:2" x14ac:dyDescent="0.3">
      <c r="A2696" s="32">
        <v>80</v>
      </c>
      <c r="B2696" s="3">
        <v>5.9</v>
      </c>
    </row>
    <row r="2697" spans="1:2" x14ac:dyDescent="0.3">
      <c r="A2697" s="31">
        <v>85</v>
      </c>
      <c r="B2697" s="4">
        <v>6</v>
      </c>
    </row>
    <row r="2698" spans="1:2" x14ac:dyDescent="0.3">
      <c r="A2698" s="32">
        <v>97</v>
      </c>
      <c r="B2698" s="3">
        <v>5.8</v>
      </c>
    </row>
    <row r="2699" spans="1:2" x14ac:dyDescent="0.3">
      <c r="A2699" s="31">
        <v>109</v>
      </c>
      <c r="B2699" s="4">
        <v>6.1</v>
      </c>
    </row>
    <row r="2700" spans="1:2" x14ac:dyDescent="0.3">
      <c r="A2700" s="32">
        <v>140</v>
      </c>
      <c r="B2700" s="3">
        <v>4.9000000000000004</v>
      </c>
    </row>
    <row r="2701" spans="1:2" x14ac:dyDescent="0.3">
      <c r="A2701" s="31">
        <v>90</v>
      </c>
      <c r="B2701" s="4">
        <v>5.7</v>
      </c>
    </row>
    <row r="2702" spans="1:2" x14ac:dyDescent="0.3">
      <c r="A2702" s="32">
        <v>130</v>
      </c>
      <c r="B2702" s="3">
        <v>7.1</v>
      </c>
    </row>
    <row r="2703" spans="1:2" x14ac:dyDescent="0.3">
      <c r="A2703" s="31">
        <v>98</v>
      </c>
      <c r="B2703" s="4">
        <v>6.6</v>
      </c>
    </row>
    <row r="2704" spans="1:2" x14ac:dyDescent="0.3">
      <c r="A2704" s="32">
        <v>101</v>
      </c>
      <c r="B2704" s="3">
        <v>8.1</v>
      </c>
    </row>
    <row r="2705" spans="1:2" x14ac:dyDescent="0.3">
      <c r="A2705" s="31">
        <v>114</v>
      </c>
      <c r="B2705" s="4">
        <v>5.7</v>
      </c>
    </row>
    <row r="2706" spans="1:2" x14ac:dyDescent="0.3">
      <c r="A2706" s="32">
        <v>100</v>
      </c>
      <c r="B2706" s="3">
        <v>6.8</v>
      </c>
    </row>
    <row r="2707" spans="1:2" x14ac:dyDescent="0.3">
      <c r="A2707" s="31">
        <v>85</v>
      </c>
      <c r="B2707" s="4">
        <v>7.5</v>
      </c>
    </row>
    <row r="2708" spans="1:2" x14ac:dyDescent="0.3">
      <c r="A2708" s="32">
        <v>103</v>
      </c>
      <c r="B2708" s="3">
        <v>6.2</v>
      </c>
    </row>
    <row r="2709" spans="1:2" x14ac:dyDescent="0.3">
      <c r="A2709" s="31">
        <v>100</v>
      </c>
      <c r="B2709" s="4">
        <v>8.3000000000000007</v>
      </c>
    </row>
    <row r="2710" spans="1:2" x14ac:dyDescent="0.3">
      <c r="A2710" s="32">
        <v>114</v>
      </c>
      <c r="B2710" s="3">
        <v>7.4</v>
      </c>
    </row>
    <row r="2711" spans="1:2" x14ac:dyDescent="0.3">
      <c r="A2711" s="31">
        <v>97</v>
      </c>
      <c r="B2711" s="4">
        <v>8</v>
      </c>
    </row>
    <row r="2712" spans="1:2" x14ac:dyDescent="0.3">
      <c r="A2712" s="32">
        <v>116</v>
      </c>
      <c r="B2712" s="3">
        <v>6.9</v>
      </c>
    </row>
    <row r="2713" spans="1:2" x14ac:dyDescent="0.3">
      <c r="A2713" s="31">
        <v>96</v>
      </c>
      <c r="B2713" s="4">
        <v>6.9</v>
      </c>
    </row>
    <row r="2714" spans="1:2" x14ac:dyDescent="0.3">
      <c r="A2714" s="32">
        <v>98</v>
      </c>
      <c r="B2714" s="3">
        <v>9.5</v>
      </c>
    </row>
    <row r="2715" spans="1:2" x14ac:dyDescent="0.3">
      <c r="A2715" s="31">
        <v>105</v>
      </c>
      <c r="B2715" s="4">
        <v>5.5</v>
      </c>
    </row>
    <row r="2716" spans="1:2" x14ac:dyDescent="0.3">
      <c r="A2716" s="32">
        <v>123</v>
      </c>
      <c r="B2716" s="3">
        <v>5.7</v>
      </c>
    </row>
    <row r="2717" spans="1:2" x14ac:dyDescent="0.3">
      <c r="A2717" s="31">
        <v>93</v>
      </c>
      <c r="B2717" s="4">
        <v>7.2</v>
      </c>
    </row>
    <row r="2718" spans="1:2" x14ac:dyDescent="0.3">
      <c r="A2718" s="32">
        <v>97</v>
      </c>
      <c r="B2718" s="3">
        <v>6.9</v>
      </c>
    </row>
    <row r="2719" spans="1:2" x14ac:dyDescent="0.3">
      <c r="A2719" s="31">
        <v>122</v>
      </c>
      <c r="B2719" s="4">
        <v>5.5</v>
      </c>
    </row>
    <row r="2720" spans="1:2" x14ac:dyDescent="0.3">
      <c r="A2720" s="32">
        <v>101</v>
      </c>
      <c r="B2720" s="3">
        <v>5.9</v>
      </c>
    </row>
    <row r="2721" spans="1:2" x14ac:dyDescent="0.3">
      <c r="A2721" s="31">
        <v>100</v>
      </c>
      <c r="B2721" s="4">
        <v>7.7</v>
      </c>
    </row>
    <row r="2722" spans="1:2" x14ac:dyDescent="0.3">
      <c r="A2722" s="32">
        <v>129</v>
      </c>
      <c r="B2722" s="3">
        <v>5.2</v>
      </c>
    </row>
    <row r="2723" spans="1:2" x14ac:dyDescent="0.3">
      <c r="A2723" s="31">
        <v>81</v>
      </c>
      <c r="B2723" s="4">
        <v>7.1</v>
      </c>
    </row>
    <row r="2724" spans="1:2" x14ac:dyDescent="0.3">
      <c r="A2724" s="32">
        <v>84</v>
      </c>
      <c r="B2724" s="3">
        <v>5.5</v>
      </c>
    </row>
    <row r="2725" spans="1:2" x14ac:dyDescent="0.3">
      <c r="A2725" s="31">
        <v>110</v>
      </c>
      <c r="B2725" s="4">
        <v>7.7</v>
      </c>
    </row>
    <row r="2726" spans="1:2" x14ac:dyDescent="0.3">
      <c r="A2726" s="32">
        <v>130</v>
      </c>
      <c r="B2726" s="3">
        <v>5.4</v>
      </c>
    </row>
    <row r="2727" spans="1:2" x14ac:dyDescent="0.3">
      <c r="A2727" s="31">
        <v>84</v>
      </c>
      <c r="B2727" s="4">
        <v>6.7</v>
      </c>
    </row>
    <row r="2728" spans="1:2" x14ac:dyDescent="0.3">
      <c r="A2728" s="32">
        <v>106</v>
      </c>
      <c r="B2728" s="3">
        <v>5</v>
      </c>
    </row>
    <row r="2729" spans="1:2" x14ac:dyDescent="0.3">
      <c r="A2729" s="31">
        <v>76</v>
      </c>
      <c r="B2729" s="4">
        <v>6.4</v>
      </c>
    </row>
    <row r="2730" spans="1:2" x14ac:dyDescent="0.3">
      <c r="A2730" s="32">
        <v>99</v>
      </c>
      <c r="B2730" s="3">
        <v>6.6</v>
      </c>
    </row>
    <row r="2731" spans="1:2" x14ac:dyDescent="0.3">
      <c r="A2731" s="31">
        <v>96</v>
      </c>
      <c r="B2731" s="4">
        <v>5.9</v>
      </c>
    </row>
    <row r="2732" spans="1:2" x14ac:dyDescent="0.3">
      <c r="A2732" s="32">
        <v>104</v>
      </c>
      <c r="B2732" s="3">
        <v>5.7</v>
      </c>
    </row>
    <row r="2733" spans="1:2" x14ac:dyDescent="0.3">
      <c r="A2733" s="31">
        <v>108</v>
      </c>
      <c r="B2733" s="4">
        <v>4.5</v>
      </c>
    </row>
    <row r="2734" spans="1:2" x14ac:dyDescent="0.3">
      <c r="A2734" s="32">
        <v>108</v>
      </c>
      <c r="B2734" s="3">
        <v>3.7</v>
      </c>
    </row>
    <row r="2735" spans="1:2" x14ac:dyDescent="0.3">
      <c r="A2735" s="31">
        <v>87</v>
      </c>
      <c r="B2735" s="4">
        <v>5</v>
      </c>
    </row>
    <row r="2736" spans="1:2" x14ac:dyDescent="0.3">
      <c r="A2736" s="32">
        <v>89</v>
      </c>
      <c r="B2736" s="3">
        <v>4.5999999999999996</v>
      </c>
    </row>
    <row r="2737" spans="1:2" x14ac:dyDescent="0.3">
      <c r="A2737" s="31">
        <v>97</v>
      </c>
      <c r="B2737" s="4">
        <v>6.5</v>
      </c>
    </row>
    <row r="2738" spans="1:2" x14ac:dyDescent="0.3">
      <c r="A2738" s="32">
        <v>106</v>
      </c>
      <c r="B2738" s="3">
        <v>4.9000000000000004</v>
      </c>
    </row>
    <row r="2739" spans="1:2" x14ac:dyDescent="0.3">
      <c r="A2739" s="31">
        <v>100</v>
      </c>
      <c r="B2739" s="4">
        <v>6</v>
      </c>
    </row>
    <row r="2740" spans="1:2" x14ac:dyDescent="0.3">
      <c r="A2740" s="32">
        <v>89</v>
      </c>
      <c r="B2740" s="3">
        <v>6.9</v>
      </c>
    </row>
    <row r="2741" spans="1:2" x14ac:dyDescent="0.3">
      <c r="A2741" s="31">
        <v>95</v>
      </c>
      <c r="B2741" s="4">
        <v>5.7</v>
      </c>
    </row>
    <row r="2742" spans="1:2" x14ac:dyDescent="0.3">
      <c r="A2742" s="32">
        <v>97</v>
      </c>
      <c r="B2742" s="3">
        <v>6.7</v>
      </c>
    </row>
    <row r="2743" spans="1:2" x14ac:dyDescent="0.3">
      <c r="A2743" s="31">
        <v>94</v>
      </c>
      <c r="B2743" s="4">
        <v>6.9</v>
      </c>
    </row>
    <row r="2744" spans="1:2" x14ac:dyDescent="0.3">
      <c r="A2744" s="32">
        <v>95</v>
      </c>
      <c r="B2744" s="3">
        <v>5.5</v>
      </c>
    </row>
    <row r="2745" spans="1:2" x14ac:dyDescent="0.3">
      <c r="A2745" s="31">
        <v>101</v>
      </c>
      <c r="B2745" s="4">
        <v>4.4000000000000004</v>
      </c>
    </row>
    <row r="2746" spans="1:2" x14ac:dyDescent="0.3">
      <c r="A2746" s="32">
        <v>101</v>
      </c>
      <c r="B2746" s="3">
        <v>5.4</v>
      </c>
    </row>
    <row r="2747" spans="1:2" x14ac:dyDescent="0.3">
      <c r="A2747" s="31">
        <v>82</v>
      </c>
      <c r="B2747" s="4">
        <v>7</v>
      </c>
    </row>
    <row r="2748" spans="1:2" x14ac:dyDescent="0.3">
      <c r="A2748" s="32">
        <v>74</v>
      </c>
      <c r="B2748" s="3">
        <v>5.4</v>
      </c>
    </row>
    <row r="2749" spans="1:2" x14ac:dyDescent="0.3">
      <c r="A2749" s="31">
        <v>130</v>
      </c>
      <c r="B2749" s="4">
        <v>5.4</v>
      </c>
    </row>
    <row r="2750" spans="1:2" x14ac:dyDescent="0.3">
      <c r="A2750" s="32">
        <v>112</v>
      </c>
      <c r="B2750" s="3">
        <v>8</v>
      </c>
    </row>
    <row r="2751" spans="1:2" x14ac:dyDescent="0.3">
      <c r="A2751" s="31">
        <v>96</v>
      </c>
      <c r="B2751" s="4">
        <v>7.6</v>
      </c>
    </row>
    <row r="2752" spans="1:2" x14ac:dyDescent="0.3">
      <c r="A2752" s="32">
        <v>89</v>
      </c>
      <c r="B2752" s="3">
        <v>5.9</v>
      </c>
    </row>
    <row r="2753" spans="1:2" x14ac:dyDescent="0.3">
      <c r="A2753" s="31">
        <v>121</v>
      </c>
      <c r="B2753" s="4">
        <v>6.6</v>
      </c>
    </row>
    <row r="2754" spans="1:2" x14ac:dyDescent="0.3">
      <c r="A2754" s="32">
        <v>85</v>
      </c>
      <c r="B2754" s="3">
        <v>6.7</v>
      </c>
    </row>
    <row r="2755" spans="1:2" x14ac:dyDescent="0.3">
      <c r="A2755" s="31">
        <v>120</v>
      </c>
      <c r="B2755" s="4">
        <v>3.9</v>
      </c>
    </row>
    <row r="2756" spans="1:2" x14ac:dyDescent="0.3">
      <c r="A2756" s="32">
        <v>106</v>
      </c>
      <c r="B2756" s="3">
        <v>5.7</v>
      </c>
    </row>
    <row r="2757" spans="1:2" x14ac:dyDescent="0.3">
      <c r="A2757" s="31">
        <v>83</v>
      </c>
      <c r="B2757" s="4">
        <v>6.7</v>
      </c>
    </row>
    <row r="2758" spans="1:2" x14ac:dyDescent="0.3">
      <c r="A2758" s="32">
        <v>120</v>
      </c>
      <c r="B2758" s="3">
        <v>6.5</v>
      </c>
    </row>
    <row r="2759" spans="1:2" x14ac:dyDescent="0.3">
      <c r="A2759" s="31">
        <v>111</v>
      </c>
      <c r="B2759" s="4">
        <v>6.8</v>
      </c>
    </row>
    <row r="2760" spans="1:2" x14ac:dyDescent="0.3">
      <c r="A2760" s="32">
        <v>100</v>
      </c>
      <c r="B2760" s="3">
        <v>6.3</v>
      </c>
    </row>
    <row r="2761" spans="1:2" x14ac:dyDescent="0.3">
      <c r="A2761" s="31">
        <v>89</v>
      </c>
      <c r="B2761" s="4">
        <v>7.3</v>
      </c>
    </row>
    <row r="2762" spans="1:2" x14ac:dyDescent="0.3">
      <c r="A2762" s="32">
        <v>115</v>
      </c>
      <c r="B2762" s="3">
        <v>6.9</v>
      </c>
    </row>
    <row r="2763" spans="1:2" x14ac:dyDescent="0.3">
      <c r="A2763" s="31">
        <v>135</v>
      </c>
      <c r="B2763" s="4">
        <v>7</v>
      </c>
    </row>
    <row r="2764" spans="1:2" x14ac:dyDescent="0.3">
      <c r="A2764" s="32">
        <v>92</v>
      </c>
      <c r="B2764" s="3">
        <v>6.5</v>
      </c>
    </row>
    <row r="2765" spans="1:2" x14ac:dyDescent="0.3">
      <c r="A2765" s="31">
        <v>120</v>
      </c>
      <c r="B2765" s="4">
        <v>3.6</v>
      </c>
    </row>
    <row r="2766" spans="1:2" x14ac:dyDescent="0.3">
      <c r="A2766" s="32">
        <v>97</v>
      </c>
      <c r="B2766" s="3">
        <v>7.7</v>
      </c>
    </row>
    <row r="2767" spans="1:2" x14ac:dyDescent="0.3">
      <c r="A2767" s="31">
        <v>135</v>
      </c>
      <c r="B2767" s="4">
        <v>7.7</v>
      </c>
    </row>
    <row r="2768" spans="1:2" x14ac:dyDescent="0.3">
      <c r="A2768" s="32">
        <v>93</v>
      </c>
      <c r="B2768" s="3">
        <v>5.9</v>
      </c>
    </row>
    <row r="2769" spans="1:2" x14ac:dyDescent="0.3">
      <c r="A2769" s="31">
        <v>118</v>
      </c>
      <c r="B2769" s="4">
        <v>6.8</v>
      </c>
    </row>
    <row r="2770" spans="1:2" x14ac:dyDescent="0.3">
      <c r="A2770" s="32">
        <v>97</v>
      </c>
      <c r="B2770" s="3">
        <v>7.4</v>
      </c>
    </row>
    <row r="2771" spans="1:2" x14ac:dyDescent="0.3">
      <c r="A2771" s="31">
        <v>98</v>
      </c>
      <c r="B2771" s="4">
        <v>5.0999999999999996</v>
      </c>
    </row>
    <row r="2772" spans="1:2" x14ac:dyDescent="0.3">
      <c r="A2772" s="32">
        <v>101</v>
      </c>
      <c r="B2772" s="3">
        <v>7.4</v>
      </c>
    </row>
    <row r="2773" spans="1:2" x14ac:dyDescent="0.3">
      <c r="A2773" s="31">
        <v>132</v>
      </c>
      <c r="B2773" s="4">
        <v>7.2</v>
      </c>
    </row>
    <row r="2774" spans="1:2" x14ac:dyDescent="0.3">
      <c r="A2774" s="32">
        <v>106</v>
      </c>
      <c r="B2774" s="3">
        <v>6</v>
      </c>
    </row>
    <row r="2775" spans="1:2" x14ac:dyDescent="0.3">
      <c r="A2775" s="31">
        <v>98</v>
      </c>
      <c r="B2775" s="4">
        <v>8.3000000000000007</v>
      </c>
    </row>
    <row r="2776" spans="1:2" x14ac:dyDescent="0.3">
      <c r="A2776" s="32">
        <v>96</v>
      </c>
      <c r="B2776" s="3">
        <v>8.1</v>
      </c>
    </row>
    <row r="2777" spans="1:2" x14ac:dyDescent="0.3">
      <c r="A2777" s="31">
        <v>104</v>
      </c>
      <c r="B2777" s="4">
        <v>6.3</v>
      </c>
    </row>
    <row r="2778" spans="1:2" x14ac:dyDescent="0.3">
      <c r="A2778" s="32">
        <v>93</v>
      </c>
      <c r="B2778" s="3">
        <v>7.3</v>
      </c>
    </row>
    <row r="2779" spans="1:2" x14ac:dyDescent="0.3">
      <c r="A2779" s="31">
        <v>95</v>
      </c>
      <c r="B2779" s="4">
        <v>3.6</v>
      </c>
    </row>
    <row r="2780" spans="1:2" x14ac:dyDescent="0.3">
      <c r="A2780" s="32">
        <v>89</v>
      </c>
      <c r="B2780" s="3">
        <v>1.6</v>
      </c>
    </row>
    <row r="2781" spans="1:2" x14ac:dyDescent="0.3">
      <c r="A2781" s="31">
        <v>107</v>
      </c>
      <c r="B2781" s="4">
        <v>8</v>
      </c>
    </row>
    <row r="2782" spans="1:2" x14ac:dyDescent="0.3">
      <c r="A2782" s="32">
        <v>85</v>
      </c>
      <c r="B2782" s="3">
        <v>6.2</v>
      </c>
    </row>
    <row r="2783" spans="1:2" x14ac:dyDescent="0.3">
      <c r="A2783" s="31">
        <v>93</v>
      </c>
      <c r="B2783" s="4">
        <v>9</v>
      </c>
    </row>
    <row r="2784" spans="1:2" x14ac:dyDescent="0.3">
      <c r="A2784" s="32">
        <v>101</v>
      </c>
      <c r="B2784" s="3">
        <v>6.1</v>
      </c>
    </row>
    <row r="2785" spans="1:2" x14ac:dyDescent="0.3">
      <c r="A2785" s="31">
        <v>103</v>
      </c>
      <c r="B2785" s="4">
        <v>5.7</v>
      </c>
    </row>
    <row r="2786" spans="1:2" x14ac:dyDescent="0.3">
      <c r="A2786" s="32">
        <v>111</v>
      </c>
      <c r="B2786" s="3">
        <v>6.8</v>
      </c>
    </row>
    <row r="2787" spans="1:2" x14ac:dyDescent="0.3">
      <c r="A2787" s="31">
        <v>86</v>
      </c>
      <c r="B2787" s="4">
        <v>5.5</v>
      </c>
    </row>
    <row r="2788" spans="1:2" x14ac:dyDescent="0.3">
      <c r="A2788" s="32">
        <v>90</v>
      </c>
      <c r="B2788" s="3">
        <v>6.8</v>
      </c>
    </row>
    <row r="2789" spans="1:2" x14ac:dyDescent="0.3">
      <c r="A2789" s="31">
        <v>82</v>
      </c>
      <c r="B2789" s="4">
        <v>7.3</v>
      </c>
    </row>
    <row r="2790" spans="1:2" x14ac:dyDescent="0.3">
      <c r="A2790" s="32">
        <v>83</v>
      </c>
      <c r="B2790" s="3">
        <v>6.1</v>
      </c>
    </row>
    <row r="2791" spans="1:2" x14ac:dyDescent="0.3">
      <c r="A2791" s="31">
        <v>125</v>
      </c>
      <c r="B2791" s="4">
        <v>7.2</v>
      </c>
    </row>
    <row r="2792" spans="1:2" x14ac:dyDescent="0.3">
      <c r="A2792" s="32">
        <v>86</v>
      </c>
      <c r="B2792" s="3">
        <v>5.9</v>
      </c>
    </row>
    <row r="2793" spans="1:2" x14ac:dyDescent="0.3">
      <c r="A2793" s="31">
        <v>91</v>
      </c>
      <c r="B2793" s="4">
        <v>6.1</v>
      </c>
    </row>
    <row r="2794" spans="1:2" x14ac:dyDescent="0.3">
      <c r="A2794" s="32">
        <v>90</v>
      </c>
      <c r="B2794" s="3">
        <v>6.8</v>
      </c>
    </row>
    <row r="2795" spans="1:2" x14ac:dyDescent="0.3">
      <c r="A2795" s="31">
        <v>90</v>
      </c>
      <c r="B2795" s="4">
        <v>7.7</v>
      </c>
    </row>
    <row r="2796" spans="1:2" x14ac:dyDescent="0.3">
      <c r="A2796" s="32">
        <v>93</v>
      </c>
      <c r="B2796" s="3">
        <v>4.9000000000000004</v>
      </c>
    </row>
    <row r="2797" spans="1:2" x14ac:dyDescent="0.3">
      <c r="A2797" s="31">
        <v>104</v>
      </c>
      <c r="B2797" s="4">
        <v>6.1</v>
      </c>
    </row>
    <row r="2798" spans="1:2" x14ac:dyDescent="0.3">
      <c r="A2798" s="32">
        <v>85</v>
      </c>
      <c r="B2798" s="3">
        <v>2.5</v>
      </c>
    </row>
    <row r="2799" spans="1:2" x14ac:dyDescent="0.3">
      <c r="A2799" s="31">
        <v>81</v>
      </c>
      <c r="B2799" s="4">
        <v>6.1</v>
      </c>
    </row>
    <row r="2800" spans="1:2" x14ac:dyDescent="0.3">
      <c r="A2800" s="32">
        <v>135</v>
      </c>
      <c r="B2800" s="3">
        <v>5.9</v>
      </c>
    </row>
    <row r="2801" spans="1:2" x14ac:dyDescent="0.3">
      <c r="A2801" s="31">
        <v>144</v>
      </c>
      <c r="B2801" s="4">
        <v>5.7</v>
      </c>
    </row>
    <row r="2802" spans="1:2" x14ac:dyDescent="0.3">
      <c r="A2802" s="32">
        <v>98</v>
      </c>
      <c r="B2802" s="3">
        <v>5.6</v>
      </c>
    </row>
    <row r="2803" spans="1:2" x14ac:dyDescent="0.3">
      <c r="A2803" s="31">
        <v>117</v>
      </c>
      <c r="B2803" s="4">
        <v>7.2</v>
      </c>
    </row>
    <row r="2804" spans="1:2" x14ac:dyDescent="0.3">
      <c r="A2804" s="32">
        <v>127</v>
      </c>
      <c r="B2804" s="3">
        <v>7.7</v>
      </c>
    </row>
    <row r="2805" spans="1:2" x14ac:dyDescent="0.3">
      <c r="A2805" s="31">
        <v>98</v>
      </c>
      <c r="B2805" s="4">
        <v>7.8</v>
      </c>
    </row>
    <row r="2806" spans="1:2" x14ac:dyDescent="0.3">
      <c r="A2806" s="32">
        <v>197</v>
      </c>
      <c r="B2806" s="3">
        <v>6.1</v>
      </c>
    </row>
    <row r="2807" spans="1:2" x14ac:dyDescent="0.3">
      <c r="A2807" s="31">
        <v>104</v>
      </c>
      <c r="B2807" s="4">
        <v>5.8</v>
      </c>
    </row>
    <row r="2808" spans="1:2" x14ac:dyDescent="0.3">
      <c r="A2808" s="32">
        <v>90</v>
      </c>
      <c r="B2808" s="3">
        <v>6.5</v>
      </c>
    </row>
    <row r="2809" spans="1:2" x14ac:dyDescent="0.3">
      <c r="A2809" s="31">
        <v>130</v>
      </c>
      <c r="B2809" s="4">
        <v>7.9</v>
      </c>
    </row>
    <row r="2810" spans="1:2" x14ac:dyDescent="0.3">
      <c r="A2810" s="32">
        <v>176</v>
      </c>
      <c r="B2810" s="3">
        <v>6.3</v>
      </c>
    </row>
    <row r="2811" spans="1:2" x14ac:dyDescent="0.3">
      <c r="A2811" s="31">
        <v>116</v>
      </c>
      <c r="B2811" s="4">
        <v>3.8</v>
      </c>
    </row>
    <row r="2812" spans="1:2" x14ac:dyDescent="0.3">
      <c r="A2812" s="32">
        <v>88</v>
      </c>
      <c r="B2812" s="3">
        <v>8.3000000000000007</v>
      </c>
    </row>
    <row r="2813" spans="1:2" x14ac:dyDescent="0.3">
      <c r="A2813" s="31">
        <v>106</v>
      </c>
      <c r="B2813" s="4">
        <v>6.4</v>
      </c>
    </row>
    <row r="2814" spans="1:2" x14ac:dyDescent="0.3">
      <c r="A2814" s="32">
        <v>181</v>
      </c>
      <c r="B2814" s="3">
        <v>6.7</v>
      </c>
    </row>
    <row r="2815" spans="1:2" x14ac:dyDescent="0.3">
      <c r="A2815" s="31">
        <v>130</v>
      </c>
      <c r="B2815" s="4">
        <v>6.1</v>
      </c>
    </row>
    <row r="2816" spans="1:2" x14ac:dyDescent="0.3">
      <c r="A2816" s="32">
        <v>123</v>
      </c>
      <c r="B2816" s="3">
        <v>8.1</v>
      </c>
    </row>
    <row r="2817" spans="1:2" x14ac:dyDescent="0.3">
      <c r="A2817" s="31">
        <v>120</v>
      </c>
      <c r="B2817" s="4">
        <v>6</v>
      </c>
    </row>
    <row r="2818" spans="1:2" x14ac:dyDescent="0.3">
      <c r="A2818" s="32">
        <v>87</v>
      </c>
      <c r="B2818" s="3">
        <v>5.8</v>
      </c>
    </row>
    <row r="2819" spans="1:2" x14ac:dyDescent="0.3">
      <c r="A2819" s="31">
        <v>123</v>
      </c>
      <c r="B2819" s="4">
        <v>5.6</v>
      </c>
    </row>
    <row r="2820" spans="1:2" x14ac:dyDescent="0.3">
      <c r="A2820" s="32">
        <v>103</v>
      </c>
      <c r="B2820" s="3">
        <v>6.1</v>
      </c>
    </row>
    <row r="2821" spans="1:2" x14ac:dyDescent="0.3">
      <c r="A2821" s="31">
        <v>91</v>
      </c>
      <c r="B2821" s="4">
        <v>5.9</v>
      </c>
    </row>
    <row r="2822" spans="1:2" x14ac:dyDescent="0.3">
      <c r="A2822" s="32">
        <v>88</v>
      </c>
      <c r="B2822" s="3">
        <v>7.3</v>
      </c>
    </row>
    <row r="2823" spans="1:2" x14ac:dyDescent="0.3">
      <c r="A2823" s="31">
        <v>126</v>
      </c>
      <c r="B2823" s="4">
        <v>6.8</v>
      </c>
    </row>
    <row r="2824" spans="1:2" x14ac:dyDescent="0.3">
      <c r="A2824" s="32">
        <v>120</v>
      </c>
      <c r="B2824" s="3">
        <v>5.7</v>
      </c>
    </row>
    <row r="2825" spans="1:2" x14ac:dyDescent="0.3">
      <c r="A2825" s="31">
        <v>94</v>
      </c>
      <c r="B2825" s="4">
        <v>7.3</v>
      </c>
    </row>
    <row r="2826" spans="1:2" x14ac:dyDescent="0.3">
      <c r="A2826" s="32">
        <v>137</v>
      </c>
      <c r="B2826" s="3">
        <v>6.3</v>
      </c>
    </row>
    <row r="2827" spans="1:2" x14ac:dyDescent="0.3">
      <c r="A2827" s="31">
        <v>119</v>
      </c>
      <c r="B2827" s="4">
        <v>5.9</v>
      </c>
    </row>
    <row r="2828" spans="1:2" x14ac:dyDescent="0.3">
      <c r="A2828" s="32">
        <v>99</v>
      </c>
      <c r="B2828" s="3">
        <v>7.1</v>
      </c>
    </row>
    <row r="2829" spans="1:2" x14ac:dyDescent="0.3">
      <c r="A2829" s="31">
        <v>79</v>
      </c>
      <c r="B2829" s="4">
        <v>7.1</v>
      </c>
    </row>
    <row r="2830" spans="1:2" x14ac:dyDescent="0.3">
      <c r="A2830" s="32">
        <v>95</v>
      </c>
      <c r="B2830" s="3">
        <v>8</v>
      </c>
    </row>
    <row r="2831" spans="1:2" x14ac:dyDescent="0.3">
      <c r="A2831" s="31">
        <v>103</v>
      </c>
      <c r="B2831" s="4">
        <v>5.0999999999999996</v>
      </c>
    </row>
    <row r="2832" spans="1:2" x14ac:dyDescent="0.3">
      <c r="A2832" s="32">
        <v>92</v>
      </c>
      <c r="B2832" s="3">
        <v>7.1</v>
      </c>
    </row>
    <row r="2833" spans="1:2" x14ac:dyDescent="0.3">
      <c r="A2833" s="31">
        <v>84</v>
      </c>
      <c r="B2833" s="4">
        <v>6.5</v>
      </c>
    </row>
    <row r="2834" spans="1:2" x14ac:dyDescent="0.3">
      <c r="A2834" s="32">
        <v>300</v>
      </c>
      <c r="B2834" s="3">
        <v>4.5</v>
      </c>
    </row>
    <row r="2835" spans="1:2" x14ac:dyDescent="0.3">
      <c r="A2835" s="31">
        <v>120</v>
      </c>
      <c r="B2835" s="4">
        <v>6.6</v>
      </c>
    </row>
    <row r="2836" spans="1:2" x14ac:dyDescent="0.3">
      <c r="A2836" s="32">
        <v>121</v>
      </c>
      <c r="B2836" s="3">
        <v>4.3</v>
      </c>
    </row>
    <row r="2837" spans="1:2" x14ac:dyDescent="0.3">
      <c r="A2837" s="31">
        <v>97</v>
      </c>
      <c r="B2837" s="4">
        <v>6.7</v>
      </c>
    </row>
    <row r="2838" spans="1:2" x14ac:dyDescent="0.3">
      <c r="A2838" s="32">
        <v>86</v>
      </c>
      <c r="B2838" s="3">
        <v>6.8</v>
      </c>
    </row>
    <row r="2839" spans="1:2" x14ac:dyDescent="0.3">
      <c r="A2839" s="31">
        <v>45</v>
      </c>
      <c r="B2839" s="4">
        <v>5.4</v>
      </c>
    </row>
    <row r="2840" spans="1:2" x14ac:dyDescent="0.3">
      <c r="A2840" s="32">
        <v>97</v>
      </c>
      <c r="B2840" s="3">
        <v>6.6</v>
      </c>
    </row>
    <row r="2841" spans="1:2" x14ac:dyDescent="0.3">
      <c r="A2841" s="31">
        <v>93</v>
      </c>
      <c r="B2841" s="4">
        <v>7.4</v>
      </c>
    </row>
    <row r="2842" spans="1:2" x14ac:dyDescent="0.3">
      <c r="A2842" s="32">
        <v>84</v>
      </c>
      <c r="B2842" s="3">
        <v>7.3</v>
      </c>
    </row>
    <row r="2843" spans="1:2" x14ac:dyDescent="0.3">
      <c r="A2843" s="31">
        <v>96</v>
      </c>
      <c r="B2843" s="4">
        <v>6.9</v>
      </c>
    </row>
    <row r="2844" spans="1:2" x14ac:dyDescent="0.3">
      <c r="A2844" s="32">
        <v>112</v>
      </c>
      <c r="B2844" s="3">
        <v>8</v>
      </c>
    </row>
    <row r="2845" spans="1:2" x14ac:dyDescent="0.3">
      <c r="A2845" s="31">
        <v>125</v>
      </c>
      <c r="B2845" s="4">
        <v>6.4</v>
      </c>
    </row>
    <row r="2846" spans="1:2" x14ac:dyDescent="0.3">
      <c r="A2846" s="32">
        <v>96</v>
      </c>
      <c r="B2846" s="3">
        <v>7.8</v>
      </c>
    </row>
    <row r="2847" spans="1:2" x14ac:dyDescent="0.3">
      <c r="A2847" s="31">
        <v>103</v>
      </c>
      <c r="B2847" s="4">
        <v>6.1</v>
      </c>
    </row>
    <row r="2848" spans="1:2" x14ac:dyDescent="0.3">
      <c r="A2848" s="32">
        <v>101</v>
      </c>
      <c r="B2848" s="3">
        <v>6.1</v>
      </c>
    </row>
    <row r="2849" spans="1:2" x14ac:dyDescent="0.3">
      <c r="A2849" s="31">
        <v>104</v>
      </c>
      <c r="B2849" s="4">
        <v>5.0999999999999996</v>
      </c>
    </row>
    <row r="2850" spans="1:2" x14ac:dyDescent="0.3">
      <c r="A2850" s="32">
        <v>119</v>
      </c>
      <c r="B2850" s="3">
        <v>7.8</v>
      </c>
    </row>
    <row r="2851" spans="1:2" x14ac:dyDescent="0.3">
      <c r="A2851" s="31">
        <v>128</v>
      </c>
      <c r="B2851" s="4">
        <v>7.4</v>
      </c>
    </row>
    <row r="2852" spans="1:2" x14ac:dyDescent="0.3">
      <c r="A2852" s="32">
        <v>106</v>
      </c>
      <c r="B2852" s="3">
        <v>7.8</v>
      </c>
    </row>
    <row r="2853" spans="1:2" x14ac:dyDescent="0.3">
      <c r="A2853" s="31">
        <v>126</v>
      </c>
      <c r="B2853" s="4">
        <v>8</v>
      </c>
    </row>
    <row r="2854" spans="1:2" x14ac:dyDescent="0.3">
      <c r="A2854" s="32">
        <v>150</v>
      </c>
      <c r="B2854" s="3">
        <v>6.7</v>
      </c>
    </row>
    <row r="2855" spans="1:2" x14ac:dyDescent="0.3">
      <c r="A2855" s="31">
        <v>178</v>
      </c>
      <c r="B2855" s="4">
        <v>6.6</v>
      </c>
    </row>
    <row r="2856" spans="1:2" x14ac:dyDescent="0.3">
      <c r="A2856" s="32">
        <v>117</v>
      </c>
      <c r="B2856" s="3">
        <v>6.4</v>
      </c>
    </row>
    <row r="2857" spans="1:2" x14ac:dyDescent="0.3">
      <c r="A2857" s="31">
        <v>119</v>
      </c>
      <c r="B2857" s="4">
        <v>6.7</v>
      </c>
    </row>
    <row r="2858" spans="1:2" x14ac:dyDescent="0.3">
      <c r="A2858" s="32">
        <v>174</v>
      </c>
      <c r="B2858" s="3">
        <v>6.2</v>
      </c>
    </row>
    <row r="2859" spans="1:2" x14ac:dyDescent="0.3">
      <c r="A2859" s="31">
        <v>111</v>
      </c>
      <c r="B2859" s="4">
        <v>7.3</v>
      </c>
    </row>
    <row r="2860" spans="1:2" x14ac:dyDescent="0.3">
      <c r="A2860" s="32">
        <v>101</v>
      </c>
      <c r="B2860" s="3">
        <v>8.1</v>
      </c>
    </row>
    <row r="2861" spans="1:2" x14ac:dyDescent="0.3">
      <c r="A2861" s="31">
        <v>89</v>
      </c>
      <c r="B2861" s="4">
        <v>7</v>
      </c>
    </row>
    <row r="2862" spans="1:2" x14ac:dyDescent="0.3">
      <c r="A2862" s="32">
        <v>113</v>
      </c>
      <c r="B2862" s="3">
        <v>8</v>
      </c>
    </row>
    <row r="2863" spans="1:2" x14ac:dyDescent="0.3">
      <c r="A2863" s="31">
        <v>95</v>
      </c>
      <c r="B2863" s="4">
        <v>8</v>
      </c>
    </row>
    <row r="2864" spans="1:2" x14ac:dyDescent="0.3">
      <c r="A2864" s="32">
        <v>112</v>
      </c>
      <c r="B2864" s="3">
        <v>7</v>
      </c>
    </row>
    <row r="2865" spans="1:2" x14ac:dyDescent="0.3">
      <c r="A2865" s="31">
        <v>109</v>
      </c>
      <c r="B2865" s="4">
        <v>7.9</v>
      </c>
    </row>
    <row r="2866" spans="1:2" x14ac:dyDescent="0.3">
      <c r="A2866" s="32">
        <v>108</v>
      </c>
      <c r="B2866" s="3">
        <v>5.9</v>
      </c>
    </row>
    <row r="2867" spans="1:2" x14ac:dyDescent="0.3">
      <c r="A2867" s="31">
        <v>100</v>
      </c>
      <c r="B2867" s="4">
        <v>6.6</v>
      </c>
    </row>
    <row r="2868" spans="1:2" x14ac:dyDescent="0.3">
      <c r="A2868" s="32">
        <v>90</v>
      </c>
      <c r="B2868" s="3">
        <v>6.3</v>
      </c>
    </row>
    <row r="2869" spans="1:2" x14ac:dyDescent="0.3">
      <c r="A2869" s="31">
        <v>94</v>
      </c>
      <c r="B2869" s="4">
        <v>7.7</v>
      </c>
    </row>
    <row r="2870" spans="1:2" x14ac:dyDescent="0.3">
      <c r="A2870" s="32">
        <v>111</v>
      </c>
      <c r="B2870" s="3">
        <v>6.9</v>
      </c>
    </row>
    <row r="2871" spans="1:2" x14ac:dyDescent="0.3">
      <c r="A2871" s="31">
        <v>142</v>
      </c>
      <c r="B2871" s="4">
        <v>7.1</v>
      </c>
    </row>
    <row r="2872" spans="1:2" x14ac:dyDescent="0.3">
      <c r="A2872" s="32">
        <v>107</v>
      </c>
      <c r="B2872" s="3">
        <v>7.4</v>
      </c>
    </row>
    <row r="2873" spans="1:2" x14ac:dyDescent="0.3">
      <c r="A2873" s="31">
        <v>91</v>
      </c>
      <c r="B2873" s="4">
        <v>6.5</v>
      </c>
    </row>
    <row r="2874" spans="1:2" x14ac:dyDescent="0.3">
      <c r="A2874" s="32">
        <v>82</v>
      </c>
      <c r="B2874" s="3">
        <v>6.5</v>
      </c>
    </row>
    <row r="2875" spans="1:2" x14ac:dyDescent="0.3">
      <c r="A2875" s="31">
        <v>97</v>
      </c>
      <c r="B2875" s="4">
        <v>6.8</v>
      </c>
    </row>
    <row r="2876" spans="1:2" x14ac:dyDescent="0.3">
      <c r="A2876" s="32">
        <v>102</v>
      </c>
      <c r="B2876" s="3">
        <v>7.5</v>
      </c>
    </row>
    <row r="2877" spans="1:2" x14ac:dyDescent="0.3">
      <c r="A2877" s="31">
        <v>93</v>
      </c>
      <c r="B2877" s="4">
        <v>6.6</v>
      </c>
    </row>
    <row r="2878" spans="1:2" x14ac:dyDescent="0.3">
      <c r="A2878" s="32">
        <v>138</v>
      </c>
      <c r="B2878" s="3">
        <v>7.1</v>
      </c>
    </row>
    <row r="2879" spans="1:2" x14ac:dyDescent="0.3">
      <c r="A2879" s="31">
        <v>93</v>
      </c>
      <c r="B2879" s="4">
        <v>6.6</v>
      </c>
    </row>
    <row r="2880" spans="1:2" x14ac:dyDescent="0.3">
      <c r="A2880" s="32">
        <v>92</v>
      </c>
      <c r="B2880" s="3">
        <v>7</v>
      </c>
    </row>
    <row r="2881" spans="1:2" x14ac:dyDescent="0.3">
      <c r="A2881" s="31">
        <v>92</v>
      </c>
      <c r="B2881" s="4">
        <v>3.3</v>
      </c>
    </row>
    <row r="2882" spans="1:2" x14ac:dyDescent="0.3">
      <c r="A2882" s="32">
        <v>104</v>
      </c>
      <c r="B2882" s="3">
        <v>6.7</v>
      </c>
    </row>
    <row r="2883" spans="1:2" x14ac:dyDescent="0.3">
      <c r="A2883" s="31">
        <v>89</v>
      </c>
      <c r="B2883" s="4">
        <v>8</v>
      </c>
    </row>
    <row r="2884" spans="1:2" x14ac:dyDescent="0.3">
      <c r="A2884" s="32">
        <v>92</v>
      </c>
      <c r="B2884" s="3">
        <v>6.8</v>
      </c>
    </row>
    <row r="2885" spans="1:2" x14ac:dyDescent="0.3">
      <c r="A2885" s="31">
        <v>90</v>
      </c>
      <c r="B2885" s="4">
        <v>6</v>
      </c>
    </row>
    <row r="2886" spans="1:2" x14ac:dyDescent="0.3">
      <c r="A2886" s="32">
        <v>129</v>
      </c>
      <c r="B2886" s="3">
        <v>5.4</v>
      </c>
    </row>
    <row r="2887" spans="1:2" x14ac:dyDescent="0.3">
      <c r="A2887" s="31">
        <v>111</v>
      </c>
      <c r="B2887" s="4">
        <v>4.3</v>
      </c>
    </row>
    <row r="2888" spans="1:2" x14ac:dyDescent="0.3">
      <c r="A2888" s="32">
        <v>79</v>
      </c>
      <c r="B2888" s="3">
        <v>6.2</v>
      </c>
    </row>
    <row r="2889" spans="1:2" x14ac:dyDescent="0.3">
      <c r="A2889" s="31">
        <v>104</v>
      </c>
      <c r="B2889" s="4">
        <v>7.7</v>
      </c>
    </row>
    <row r="2890" spans="1:2" x14ac:dyDescent="0.3">
      <c r="A2890" s="32">
        <v>101</v>
      </c>
      <c r="B2890" s="3">
        <v>8</v>
      </c>
    </row>
    <row r="2891" spans="1:2" x14ac:dyDescent="0.3">
      <c r="A2891" s="31">
        <v>113</v>
      </c>
      <c r="B2891" s="4">
        <v>7.4</v>
      </c>
    </row>
    <row r="2892" spans="1:2" x14ac:dyDescent="0.3">
      <c r="A2892" s="32">
        <v>92</v>
      </c>
      <c r="B2892" s="3">
        <v>5.9</v>
      </c>
    </row>
    <row r="2893" spans="1:2" x14ac:dyDescent="0.3">
      <c r="A2893" s="31">
        <v>106</v>
      </c>
      <c r="B2893" s="4">
        <v>7.8</v>
      </c>
    </row>
    <row r="2894" spans="1:2" x14ac:dyDescent="0.3">
      <c r="A2894" s="32">
        <v>75</v>
      </c>
      <c r="B2894" s="3">
        <v>7.4</v>
      </c>
    </row>
    <row r="2895" spans="1:2" x14ac:dyDescent="0.3">
      <c r="A2895" s="31">
        <v>104</v>
      </c>
      <c r="B2895" s="4">
        <v>6.5</v>
      </c>
    </row>
    <row r="2896" spans="1:2" x14ac:dyDescent="0.3">
      <c r="A2896" s="32">
        <v>108</v>
      </c>
      <c r="B2896" s="3">
        <v>5.4</v>
      </c>
    </row>
    <row r="2897" spans="1:2" x14ac:dyDescent="0.3">
      <c r="A2897" s="31">
        <v>99</v>
      </c>
      <c r="B2897" s="4">
        <v>7</v>
      </c>
    </row>
    <row r="2898" spans="1:2" x14ac:dyDescent="0.3">
      <c r="A2898" s="32">
        <v>93</v>
      </c>
      <c r="B2898" s="3">
        <v>7.6</v>
      </c>
    </row>
    <row r="2899" spans="1:2" x14ac:dyDescent="0.3">
      <c r="A2899" s="31">
        <v>99</v>
      </c>
      <c r="B2899" s="4">
        <v>6.9</v>
      </c>
    </row>
    <row r="2900" spans="1:2" x14ac:dyDescent="0.3">
      <c r="A2900" s="32">
        <v>98</v>
      </c>
      <c r="B2900" s="3">
        <v>7</v>
      </c>
    </row>
    <row r="2901" spans="1:2" x14ac:dyDescent="0.3">
      <c r="A2901" s="31">
        <v>95</v>
      </c>
      <c r="B2901" s="4">
        <v>5.3</v>
      </c>
    </row>
    <row r="2902" spans="1:2" x14ac:dyDescent="0.3">
      <c r="A2902" s="32">
        <v>107</v>
      </c>
      <c r="B2902" s="3">
        <v>6.4</v>
      </c>
    </row>
    <row r="2903" spans="1:2" x14ac:dyDescent="0.3">
      <c r="A2903" s="31">
        <v>102</v>
      </c>
      <c r="B2903" s="4">
        <v>4.5</v>
      </c>
    </row>
    <row r="2904" spans="1:2" x14ac:dyDescent="0.3">
      <c r="A2904" s="32">
        <v>97</v>
      </c>
      <c r="B2904" s="3">
        <v>7.8</v>
      </c>
    </row>
    <row r="2905" spans="1:2" x14ac:dyDescent="0.3">
      <c r="A2905" s="31">
        <v>124</v>
      </c>
      <c r="B2905" s="4">
        <v>6.7</v>
      </c>
    </row>
    <row r="2906" spans="1:2" x14ac:dyDescent="0.3">
      <c r="A2906" s="32">
        <v>90</v>
      </c>
      <c r="B2906" s="3">
        <v>5.3</v>
      </c>
    </row>
    <row r="2907" spans="1:2" x14ac:dyDescent="0.3">
      <c r="A2907" s="31">
        <v>90</v>
      </c>
      <c r="B2907" s="4">
        <v>6.3</v>
      </c>
    </row>
    <row r="2908" spans="1:2" x14ac:dyDescent="0.3">
      <c r="A2908" s="32">
        <v>99</v>
      </c>
      <c r="B2908" s="3">
        <v>7</v>
      </c>
    </row>
    <row r="2909" spans="1:2" x14ac:dyDescent="0.3">
      <c r="A2909" s="31">
        <v>115</v>
      </c>
      <c r="B2909" s="4">
        <v>5.3</v>
      </c>
    </row>
    <row r="2910" spans="1:2" x14ac:dyDescent="0.3">
      <c r="A2910" s="32">
        <v>89</v>
      </c>
      <c r="B2910" s="3">
        <v>6.6</v>
      </c>
    </row>
    <row r="2911" spans="1:2" x14ac:dyDescent="0.3">
      <c r="A2911" s="31">
        <v>92</v>
      </c>
      <c r="B2911" s="4">
        <v>5.8</v>
      </c>
    </row>
    <row r="2912" spans="1:2" x14ac:dyDescent="0.3">
      <c r="A2912" s="32">
        <v>94</v>
      </c>
      <c r="B2912" s="3">
        <v>6.7</v>
      </c>
    </row>
    <row r="2913" spans="1:2" x14ac:dyDescent="0.3">
      <c r="A2913" s="31">
        <v>100</v>
      </c>
      <c r="B2913" s="4">
        <v>6.6</v>
      </c>
    </row>
    <row r="2914" spans="1:2" x14ac:dyDescent="0.3">
      <c r="A2914" s="32">
        <v>109</v>
      </c>
      <c r="B2914" s="3">
        <v>7</v>
      </c>
    </row>
    <row r="2915" spans="1:2" x14ac:dyDescent="0.3">
      <c r="A2915" s="31">
        <v>105</v>
      </c>
      <c r="B2915" s="4">
        <v>8.4</v>
      </c>
    </row>
    <row r="2916" spans="1:2" x14ac:dyDescent="0.3">
      <c r="A2916" s="32">
        <v>102</v>
      </c>
      <c r="B2916" s="3">
        <v>6</v>
      </c>
    </row>
    <row r="2917" spans="1:2" x14ac:dyDescent="0.3">
      <c r="A2917" s="31">
        <v>97</v>
      </c>
      <c r="B2917" s="4">
        <v>5.4</v>
      </c>
    </row>
    <row r="2918" spans="1:2" x14ac:dyDescent="0.3">
      <c r="A2918" s="32">
        <v>118</v>
      </c>
      <c r="B2918" s="3">
        <v>7.8</v>
      </c>
    </row>
    <row r="2919" spans="1:2" x14ac:dyDescent="0.3">
      <c r="A2919" s="31">
        <v>92</v>
      </c>
      <c r="B2919" s="4">
        <v>7.6</v>
      </c>
    </row>
    <row r="2920" spans="1:2" x14ac:dyDescent="0.3">
      <c r="A2920" s="32">
        <v>103</v>
      </c>
      <c r="B2920" s="3">
        <v>6.6</v>
      </c>
    </row>
    <row r="2921" spans="1:2" x14ac:dyDescent="0.3">
      <c r="A2921" s="31">
        <v>93</v>
      </c>
      <c r="B2921" s="4">
        <v>6.4</v>
      </c>
    </row>
    <row r="2922" spans="1:2" x14ac:dyDescent="0.3">
      <c r="A2922" s="32">
        <v>113</v>
      </c>
      <c r="B2922" s="3">
        <v>7</v>
      </c>
    </row>
    <row r="2923" spans="1:2" x14ac:dyDescent="0.3">
      <c r="A2923" s="31">
        <v>153</v>
      </c>
      <c r="B2923" s="4">
        <v>5.7</v>
      </c>
    </row>
    <row r="2924" spans="1:2" x14ac:dyDescent="0.3">
      <c r="A2924" s="32">
        <v>89</v>
      </c>
      <c r="B2924" s="3">
        <v>5.9</v>
      </c>
    </row>
    <row r="2925" spans="1:2" x14ac:dyDescent="0.3">
      <c r="A2925" s="31">
        <v>118</v>
      </c>
      <c r="B2925" s="4">
        <v>6.3</v>
      </c>
    </row>
    <row r="2926" spans="1:2" x14ac:dyDescent="0.3">
      <c r="A2926" s="32">
        <v>97</v>
      </c>
      <c r="B2926" s="3">
        <v>6.3</v>
      </c>
    </row>
    <row r="2927" spans="1:2" x14ac:dyDescent="0.3">
      <c r="A2927" s="31">
        <v>100</v>
      </c>
      <c r="B2927" s="4">
        <v>6.2</v>
      </c>
    </row>
    <row r="2928" spans="1:2" x14ac:dyDescent="0.3">
      <c r="A2928" s="32">
        <v>96</v>
      </c>
      <c r="B2928" s="3">
        <v>2.1</v>
      </c>
    </row>
    <row r="2929" spans="1:2" x14ac:dyDescent="0.3">
      <c r="A2929" s="31">
        <v>120</v>
      </c>
      <c r="B2929" s="4">
        <v>5</v>
      </c>
    </row>
    <row r="2930" spans="1:2" x14ac:dyDescent="0.3">
      <c r="A2930" s="32">
        <v>175</v>
      </c>
      <c r="B2930" s="3">
        <v>5.3</v>
      </c>
    </row>
    <row r="2931" spans="1:2" x14ac:dyDescent="0.3">
      <c r="A2931" s="31">
        <v>95</v>
      </c>
      <c r="B2931" s="4">
        <v>7.1</v>
      </c>
    </row>
    <row r="2932" spans="1:2" x14ac:dyDescent="0.3">
      <c r="A2932" s="32">
        <v>95</v>
      </c>
      <c r="B2932" s="3">
        <v>7</v>
      </c>
    </row>
    <row r="2933" spans="1:2" x14ac:dyDescent="0.3">
      <c r="A2933" s="31">
        <v>121</v>
      </c>
      <c r="B2933" s="4">
        <v>7</v>
      </c>
    </row>
    <row r="2934" spans="1:2" x14ac:dyDescent="0.3">
      <c r="A2934" s="32">
        <v>110</v>
      </c>
      <c r="B2934" s="3">
        <v>5.7</v>
      </c>
    </row>
    <row r="2935" spans="1:2" x14ac:dyDescent="0.3">
      <c r="A2935" s="31">
        <v>96</v>
      </c>
      <c r="B2935" s="4">
        <v>7.1</v>
      </c>
    </row>
    <row r="2936" spans="1:2" x14ac:dyDescent="0.3">
      <c r="A2936" s="32">
        <v>121</v>
      </c>
      <c r="B2936" s="3">
        <v>7</v>
      </c>
    </row>
    <row r="2937" spans="1:2" x14ac:dyDescent="0.3">
      <c r="A2937" s="31">
        <v>95</v>
      </c>
      <c r="B2937" s="4">
        <v>7.7</v>
      </c>
    </row>
    <row r="2938" spans="1:2" x14ac:dyDescent="0.3">
      <c r="A2938" s="32">
        <v>112</v>
      </c>
      <c r="B2938" s="3">
        <v>7.1</v>
      </c>
    </row>
    <row r="2939" spans="1:2" x14ac:dyDescent="0.3">
      <c r="A2939" s="31">
        <v>93</v>
      </c>
      <c r="B2939" s="4">
        <v>6.8</v>
      </c>
    </row>
    <row r="2940" spans="1:2" x14ac:dyDescent="0.3">
      <c r="A2940" s="32">
        <v>110</v>
      </c>
      <c r="B2940" s="3">
        <v>7.5</v>
      </c>
    </row>
    <row r="2941" spans="1:2" x14ac:dyDescent="0.3">
      <c r="A2941" s="31">
        <v>104</v>
      </c>
      <c r="B2941" s="4">
        <v>6.3</v>
      </c>
    </row>
    <row r="2942" spans="1:2" x14ac:dyDescent="0.3">
      <c r="A2942" s="32">
        <v>119</v>
      </c>
      <c r="B2942" s="3">
        <v>7.3</v>
      </c>
    </row>
    <row r="2943" spans="1:2" x14ac:dyDescent="0.3">
      <c r="A2943" s="31">
        <v>125</v>
      </c>
      <c r="B2943" s="4">
        <v>6.8</v>
      </c>
    </row>
    <row r="2944" spans="1:2" x14ac:dyDescent="0.3">
      <c r="A2944" s="32">
        <v>96</v>
      </c>
      <c r="B2944" s="3">
        <v>7.2</v>
      </c>
    </row>
    <row r="2945" spans="1:2" x14ac:dyDescent="0.3">
      <c r="A2945" s="31">
        <v>100</v>
      </c>
      <c r="B2945" s="4">
        <v>6.4</v>
      </c>
    </row>
    <row r="2946" spans="1:2" x14ac:dyDescent="0.3">
      <c r="A2946" s="32">
        <v>89</v>
      </c>
      <c r="B2946" s="3">
        <v>6</v>
      </c>
    </row>
    <row r="2947" spans="1:2" x14ac:dyDescent="0.3">
      <c r="A2947" s="31">
        <v>92</v>
      </c>
      <c r="B2947" s="4">
        <v>6.4</v>
      </c>
    </row>
    <row r="2948" spans="1:2" x14ac:dyDescent="0.3">
      <c r="A2948" s="32">
        <v>109</v>
      </c>
      <c r="B2948" s="3">
        <v>5.0999999999999996</v>
      </c>
    </row>
    <row r="2949" spans="1:2" x14ac:dyDescent="0.3">
      <c r="A2949" s="31">
        <v>103</v>
      </c>
      <c r="B2949" s="4">
        <v>7.5</v>
      </c>
    </row>
    <row r="2950" spans="1:2" x14ac:dyDescent="0.3">
      <c r="A2950" s="32">
        <v>95</v>
      </c>
      <c r="B2950" s="3">
        <v>7.1</v>
      </c>
    </row>
    <row r="2951" spans="1:2" x14ac:dyDescent="0.3">
      <c r="A2951" s="31">
        <v>105</v>
      </c>
      <c r="B2951" s="4">
        <v>4.5999999999999996</v>
      </c>
    </row>
    <row r="2952" spans="1:2" x14ac:dyDescent="0.3">
      <c r="A2952" s="32">
        <v>106</v>
      </c>
      <c r="B2952" s="3">
        <v>5.7</v>
      </c>
    </row>
    <row r="2953" spans="1:2" x14ac:dyDescent="0.3">
      <c r="A2953" s="31">
        <v>100</v>
      </c>
      <c r="B2953" s="4">
        <v>6.8</v>
      </c>
    </row>
    <row r="2954" spans="1:2" x14ac:dyDescent="0.3">
      <c r="A2954" s="32">
        <v>103</v>
      </c>
      <c r="B2954" s="3">
        <v>7.7</v>
      </c>
    </row>
    <row r="2955" spans="1:2" x14ac:dyDescent="0.3">
      <c r="A2955" s="31">
        <v>116</v>
      </c>
      <c r="B2955" s="4">
        <v>6.7</v>
      </c>
    </row>
    <row r="2956" spans="1:2" x14ac:dyDescent="0.3">
      <c r="A2956" s="32">
        <v>99</v>
      </c>
      <c r="B2956" s="3">
        <v>3.2</v>
      </c>
    </row>
    <row r="2957" spans="1:2" x14ac:dyDescent="0.3">
      <c r="A2957" s="31">
        <v>164</v>
      </c>
      <c r="B2957" s="4">
        <v>6.1</v>
      </c>
    </row>
    <row r="2958" spans="1:2" x14ac:dyDescent="0.3">
      <c r="A2958" s="32">
        <v>96</v>
      </c>
      <c r="B2958" s="3">
        <v>5.6</v>
      </c>
    </row>
    <row r="2959" spans="1:2" x14ac:dyDescent="0.3">
      <c r="A2959" s="31">
        <v>122</v>
      </c>
      <c r="B2959" s="4">
        <v>6.9</v>
      </c>
    </row>
    <row r="2960" spans="1:2" x14ac:dyDescent="0.3">
      <c r="A2960" s="32">
        <v>94</v>
      </c>
      <c r="B2960" s="3">
        <v>7.5</v>
      </c>
    </row>
    <row r="2961" spans="1:2" x14ac:dyDescent="0.3">
      <c r="A2961" s="31">
        <v>93</v>
      </c>
      <c r="B2961" s="4">
        <v>5.8</v>
      </c>
    </row>
    <row r="2962" spans="1:2" x14ac:dyDescent="0.3">
      <c r="A2962" s="32">
        <v>96</v>
      </c>
      <c r="B2962" s="3">
        <v>8.3000000000000007</v>
      </c>
    </row>
    <row r="2963" spans="1:2" x14ac:dyDescent="0.3">
      <c r="A2963" s="31">
        <v>113</v>
      </c>
      <c r="B2963" s="4">
        <v>2.8</v>
      </c>
    </row>
    <row r="2964" spans="1:2" x14ac:dyDescent="0.3">
      <c r="A2964" s="32">
        <v>192</v>
      </c>
      <c r="B2964" s="3">
        <v>6.6</v>
      </c>
    </row>
    <row r="2965" spans="1:2" x14ac:dyDescent="0.3">
      <c r="A2965" s="31">
        <v>99</v>
      </c>
      <c r="B2965" s="4">
        <v>7.5</v>
      </c>
    </row>
    <row r="2966" spans="1:2" x14ac:dyDescent="0.3">
      <c r="A2966" s="32">
        <v>91</v>
      </c>
      <c r="B2966" s="3">
        <v>6</v>
      </c>
    </row>
    <row r="2967" spans="1:2" x14ac:dyDescent="0.3">
      <c r="A2967" s="31">
        <v>100</v>
      </c>
      <c r="B2967" s="4">
        <v>6.2</v>
      </c>
    </row>
    <row r="2968" spans="1:2" x14ac:dyDescent="0.3">
      <c r="A2968" s="32">
        <v>105</v>
      </c>
      <c r="B2968" s="3">
        <v>7.2</v>
      </c>
    </row>
    <row r="2969" spans="1:2" x14ac:dyDescent="0.3">
      <c r="A2969" s="31">
        <v>99</v>
      </c>
      <c r="B2969" s="4">
        <v>8.6999999999999993</v>
      </c>
    </row>
    <row r="2970" spans="1:2" x14ac:dyDescent="0.3">
      <c r="A2970" s="32">
        <v>112</v>
      </c>
      <c r="B2970" s="3">
        <v>6</v>
      </c>
    </row>
    <row r="2971" spans="1:2" x14ac:dyDescent="0.3">
      <c r="A2971" s="31">
        <v>99</v>
      </c>
      <c r="B2971" s="4">
        <v>8</v>
      </c>
    </row>
    <row r="2972" spans="1:2" x14ac:dyDescent="0.3">
      <c r="A2972" s="32">
        <v>125</v>
      </c>
      <c r="B2972" s="3">
        <v>7.2</v>
      </c>
    </row>
    <row r="2973" spans="1:2" x14ac:dyDescent="0.3">
      <c r="A2973" s="31">
        <v>107</v>
      </c>
      <c r="B2973" s="4">
        <v>4.5</v>
      </c>
    </row>
    <row r="2974" spans="1:2" x14ac:dyDescent="0.3">
      <c r="A2974" s="32">
        <v>107</v>
      </c>
      <c r="B2974" s="3">
        <v>7.9</v>
      </c>
    </row>
    <row r="2975" spans="1:2" x14ac:dyDescent="0.3">
      <c r="A2975" s="31">
        <v>97</v>
      </c>
      <c r="B2975" s="4">
        <v>7.1</v>
      </c>
    </row>
    <row r="2976" spans="1:2" x14ac:dyDescent="0.3">
      <c r="A2976" s="32">
        <v>95</v>
      </c>
      <c r="B2976" s="3">
        <v>7.5</v>
      </c>
    </row>
    <row r="2977" spans="1:2" x14ac:dyDescent="0.3">
      <c r="A2977" s="31">
        <v>106</v>
      </c>
      <c r="B2977" s="4">
        <v>6.8</v>
      </c>
    </row>
    <row r="2978" spans="1:2" x14ac:dyDescent="0.3">
      <c r="A2978" s="32">
        <v>103</v>
      </c>
      <c r="B2978" s="3">
        <v>4.3</v>
      </c>
    </row>
    <row r="2979" spans="1:2" x14ac:dyDescent="0.3">
      <c r="A2979" s="31">
        <v>96</v>
      </c>
      <c r="B2979" s="4">
        <v>7.2</v>
      </c>
    </row>
    <row r="2980" spans="1:2" x14ac:dyDescent="0.3">
      <c r="A2980" s="32">
        <v>103</v>
      </c>
      <c r="B2980" s="3">
        <v>5.8</v>
      </c>
    </row>
    <row r="2981" spans="1:2" x14ac:dyDescent="0.3">
      <c r="A2981" s="31">
        <v>108</v>
      </c>
      <c r="B2981" s="4">
        <v>7.1</v>
      </c>
    </row>
    <row r="2982" spans="1:2" x14ac:dyDescent="0.3">
      <c r="A2982" s="32">
        <v>118</v>
      </c>
      <c r="B2982" s="3">
        <v>7.4</v>
      </c>
    </row>
    <row r="2983" spans="1:2" x14ac:dyDescent="0.3">
      <c r="A2983" s="31">
        <v>97</v>
      </c>
      <c r="B2983" s="4">
        <v>7.6</v>
      </c>
    </row>
    <row r="2984" spans="1:2" x14ac:dyDescent="0.3">
      <c r="A2984" s="32">
        <v>115</v>
      </c>
      <c r="B2984" s="3">
        <v>6.9</v>
      </c>
    </row>
    <row r="2985" spans="1:2" x14ac:dyDescent="0.3">
      <c r="A2985" s="31">
        <v>102</v>
      </c>
      <c r="B2985" s="4">
        <v>6</v>
      </c>
    </row>
    <row r="2986" spans="1:2" x14ac:dyDescent="0.3">
      <c r="A2986" s="32">
        <v>125</v>
      </c>
      <c r="B2986" s="3">
        <v>6.9</v>
      </c>
    </row>
    <row r="2987" spans="1:2" x14ac:dyDescent="0.3">
      <c r="A2987" s="31">
        <v>108</v>
      </c>
      <c r="B2987" s="4">
        <v>7.3</v>
      </c>
    </row>
    <row r="2988" spans="1:2" x14ac:dyDescent="0.3">
      <c r="A2988" s="32">
        <v>101</v>
      </c>
      <c r="B2988" s="3">
        <v>4.5999999999999996</v>
      </c>
    </row>
    <row r="2989" spans="1:2" x14ac:dyDescent="0.3">
      <c r="A2989" s="31">
        <v>101</v>
      </c>
      <c r="B2989" s="4">
        <v>6</v>
      </c>
    </row>
    <row r="2990" spans="1:2" x14ac:dyDescent="0.3">
      <c r="A2990" s="32">
        <v>139</v>
      </c>
      <c r="B2990" s="3">
        <v>6.4</v>
      </c>
    </row>
    <row r="2991" spans="1:2" x14ac:dyDescent="0.3">
      <c r="A2991" s="31">
        <v>125</v>
      </c>
      <c r="B2991" s="4">
        <v>5.5</v>
      </c>
    </row>
    <row r="2992" spans="1:2" x14ac:dyDescent="0.3">
      <c r="A2992" s="32">
        <v>115</v>
      </c>
      <c r="B2992" s="3">
        <v>7.5</v>
      </c>
    </row>
    <row r="2993" spans="1:2" x14ac:dyDescent="0.3">
      <c r="A2993" s="31">
        <v>99</v>
      </c>
      <c r="B2993" s="4">
        <v>8.1</v>
      </c>
    </row>
    <row r="2994" spans="1:2" x14ac:dyDescent="0.3">
      <c r="A2994" s="32">
        <v>88</v>
      </c>
      <c r="B2994" s="3">
        <v>6.3</v>
      </c>
    </row>
    <row r="2995" spans="1:2" x14ac:dyDescent="0.3">
      <c r="A2995" s="31">
        <v>112</v>
      </c>
      <c r="B2995" s="4">
        <v>5.0999999999999996</v>
      </c>
    </row>
    <row r="2996" spans="1:2" x14ac:dyDescent="0.3">
      <c r="A2996" s="32">
        <v>108</v>
      </c>
      <c r="B2996" s="3">
        <v>6.8</v>
      </c>
    </row>
    <row r="2997" spans="1:2" x14ac:dyDescent="0.3">
      <c r="A2997" s="31">
        <v>104</v>
      </c>
      <c r="B2997" s="4">
        <v>5.3</v>
      </c>
    </row>
    <row r="2998" spans="1:2" x14ac:dyDescent="0.3">
      <c r="A2998" s="32">
        <v>108</v>
      </c>
      <c r="B2998" s="3">
        <v>7.3</v>
      </c>
    </row>
    <row r="2999" spans="1:2" x14ac:dyDescent="0.3">
      <c r="A2999" s="31">
        <v>102</v>
      </c>
      <c r="B2999" s="4">
        <v>7.3</v>
      </c>
    </row>
    <row r="3000" spans="1:2" x14ac:dyDescent="0.3">
      <c r="A3000" s="32">
        <v>88</v>
      </c>
      <c r="B3000" s="3">
        <v>7.1</v>
      </c>
    </row>
    <row r="3001" spans="1:2" x14ac:dyDescent="0.3">
      <c r="A3001" s="31">
        <v>91</v>
      </c>
      <c r="B3001" s="4">
        <v>7.6</v>
      </c>
    </row>
    <row r="3002" spans="1:2" x14ac:dyDescent="0.3">
      <c r="A3002" s="32">
        <v>141</v>
      </c>
      <c r="B3002" s="3">
        <v>5.3</v>
      </c>
    </row>
    <row r="3003" spans="1:2" x14ac:dyDescent="0.3">
      <c r="A3003" s="31">
        <v>101</v>
      </c>
      <c r="B3003" s="4">
        <v>7.8</v>
      </c>
    </row>
    <row r="3004" spans="1:2" x14ac:dyDescent="0.3">
      <c r="A3004" s="32">
        <v>105</v>
      </c>
      <c r="B3004" s="3">
        <v>7.7</v>
      </c>
    </row>
    <row r="3005" spans="1:2" x14ac:dyDescent="0.3">
      <c r="A3005" s="31">
        <v>100</v>
      </c>
      <c r="B3005" s="4">
        <v>7.7</v>
      </c>
    </row>
    <row r="3006" spans="1:2" x14ac:dyDescent="0.3">
      <c r="A3006" s="32">
        <v>116</v>
      </c>
      <c r="B3006" s="3">
        <v>5.4</v>
      </c>
    </row>
    <row r="3007" spans="1:2" x14ac:dyDescent="0.3">
      <c r="A3007" s="31">
        <v>97</v>
      </c>
      <c r="B3007" s="4">
        <v>6.2</v>
      </c>
    </row>
    <row r="3008" spans="1:2" x14ac:dyDescent="0.3">
      <c r="A3008" s="32">
        <v>106</v>
      </c>
      <c r="B3008" s="3">
        <v>7.4</v>
      </c>
    </row>
    <row r="3009" spans="1:2" x14ac:dyDescent="0.3">
      <c r="A3009" s="31">
        <v>105</v>
      </c>
      <c r="B3009" s="4">
        <v>6.2</v>
      </c>
    </row>
    <row r="3010" spans="1:2" x14ac:dyDescent="0.3">
      <c r="A3010" s="32">
        <v>122</v>
      </c>
      <c r="B3010" s="3">
        <v>5.0999999999999996</v>
      </c>
    </row>
    <row r="3011" spans="1:2" x14ac:dyDescent="0.3">
      <c r="A3011" s="31">
        <v>107</v>
      </c>
      <c r="B3011" s="4">
        <v>6.9</v>
      </c>
    </row>
    <row r="3012" spans="1:2" x14ac:dyDescent="0.3">
      <c r="A3012" s="32">
        <v>121</v>
      </c>
      <c r="B3012" s="3">
        <v>6.3</v>
      </c>
    </row>
    <row r="3013" spans="1:2" x14ac:dyDescent="0.3">
      <c r="A3013" s="31">
        <v>98</v>
      </c>
      <c r="B3013" s="4">
        <v>6.8</v>
      </c>
    </row>
    <row r="3014" spans="1:2" x14ac:dyDescent="0.3">
      <c r="A3014" s="32">
        <v>123</v>
      </c>
      <c r="B3014" s="3">
        <v>7.4</v>
      </c>
    </row>
    <row r="3015" spans="1:2" x14ac:dyDescent="0.3">
      <c r="A3015" s="31">
        <v>110</v>
      </c>
      <c r="B3015" s="4">
        <v>5.7</v>
      </c>
    </row>
    <row r="3016" spans="1:2" x14ac:dyDescent="0.3">
      <c r="A3016" s="32">
        <v>120</v>
      </c>
      <c r="B3016" s="3">
        <v>5.8</v>
      </c>
    </row>
    <row r="3017" spans="1:2" x14ac:dyDescent="0.3">
      <c r="A3017" s="31">
        <v>122</v>
      </c>
      <c r="B3017" s="4">
        <v>6.2</v>
      </c>
    </row>
    <row r="3018" spans="1:2" x14ac:dyDescent="0.3">
      <c r="A3018" s="32">
        <v>110</v>
      </c>
      <c r="B3018" s="3">
        <v>4.3</v>
      </c>
    </row>
    <row r="3019" spans="1:2" x14ac:dyDescent="0.3">
      <c r="A3019" s="31">
        <v>139</v>
      </c>
      <c r="B3019" s="4">
        <v>6.4</v>
      </c>
    </row>
    <row r="3020" spans="1:2" x14ac:dyDescent="0.3">
      <c r="A3020" s="32">
        <v>124</v>
      </c>
      <c r="B3020" s="3">
        <v>6</v>
      </c>
    </row>
    <row r="3021" spans="1:2" x14ac:dyDescent="0.3">
      <c r="A3021" s="31">
        <v>152</v>
      </c>
      <c r="B3021" s="4">
        <v>6.9</v>
      </c>
    </row>
    <row r="3022" spans="1:2" x14ac:dyDescent="0.3">
      <c r="A3022" s="32">
        <v>98</v>
      </c>
      <c r="B3022" s="3">
        <v>5.5</v>
      </c>
    </row>
    <row r="3023" spans="1:2" x14ac:dyDescent="0.3">
      <c r="A3023" s="31">
        <v>106</v>
      </c>
      <c r="B3023" s="4">
        <v>5.4</v>
      </c>
    </row>
    <row r="3024" spans="1:2" x14ac:dyDescent="0.3">
      <c r="A3024" s="32">
        <v>106</v>
      </c>
      <c r="B3024" s="3">
        <v>8.3000000000000007</v>
      </c>
    </row>
    <row r="3025" spans="1:2" x14ac:dyDescent="0.3">
      <c r="A3025" s="31">
        <v>106</v>
      </c>
      <c r="B3025" s="4">
        <v>7.9</v>
      </c>
    </row>
    <row r="3026" spans="1:2" x14ac:dyDescent="0.3">
      <c r="A3026" s="32">
        <v>89</v>
      </c>
      <c r="B3026" s="3">
        <v>6.5</v>
      </c>
    </row>
    <row r="3027" spans="1:2" x14ac:dyDescent="0.3">
      <c r="A3027" s="31">
        <v>94</v>
      </c>
      <c r="B3027" s="4">
        <v>6.3</v>
      </c>
    </row>
    <row r="3028" spans="1:2" x14ac:dyDescent="0.3">
      <c r="A3028" s="32">
        <v>109</v>
      </c>
      <c r="B3028" s="3">
        <v>6.4</v>
      </c>
    </row>
    <row r="3029" spans="1:2" x14ac:dyDescent="0.3">
      <c r="A3029" s="31">
        <v>90</v>
      </c>
      <c r="B3029" s="4">
        <v>5.3</v>
      </c>
    </row>
    <row r="3030" spans="1:2" x14ac:dyDescent="0.3">
      <c r="A3030" s="32">
        <v>106</v>
      </c>
      <c r="B3030" s="3">
        <v>5.8</v>
      </c>
    </row>
    <row r="3031" spans="1:2" x14ac:dyDescent="0.3">
      <c r="A3031" s="31">
        <v>121</v>
      </c>
      <c r="B3031" s="4">
        <v>6.6</v>
      </c>
    </row>
    <row r="3032" spans="1:2" x14ac:dyDescent="0.3">
      <c r="A3032" s="32">
        <v>89</v>
      </c>
      <c r="B3032" s="3">
        <v>7.4</v>
      </c>
    </row>
    <row r="3033" spans="1:2" x14ac:dyDescent="0.3">
      <c r="A3033" s="31">
        <v>104</v>
      </c>
      <c r="B3033" s="4">
        <v>8.3000000000000007</v>
      </c>
    </row>
    <row r="3034" spans="1:2" x14ac:dyDescent="0.3">
      <c r="A3034" s="32">
        <v>99</v>
      </c>
      <c r="B3034" s="3">
        <v>5.3</v>
      </c>
    </row>
    <row r="3035" spans="1:2" x14ac:dyDescent="0.3">
      <c r="A3035" s="31">
        <v>98</v>
      </c>
      <c r="B3035" s="4">
        <v>6.2</v>
      </c>
    </row>
    <row r="3036" spans="1:2" x14ac:dyDescent="0.3">
      <c r="A3036" s="32">
        <v>121</v>
      </c>
      <c r="B3036" s="3">
        <v>6.9</v>
      </c>
    </row>
    <row r="3037" spans="1:2" x14ac:dyDescent="0.3">
      <c r="A3037" s="31">
        <v>96</v>
      </c>
      <c r="B3037" s="4">
        <v>5.9</v>
      </c>
    </row>
    <row r="3038" spans="1:2" x14ac:dyDescent="0.3">
      <c r="A3038" s="32">
        <v>99</v>
      </c>
      <c r="B3038" s="3">
        <v>6.1</v>
      </c>
    </row>
    <row r="3039" spans="1:2" x14ac:dyDescent="0.3">
      <c r="A3039" s="31">
        <v>42</v>
      </c>
      <c r="B3039" s="4">
        <v>5.8</v>
      </c>
    </row>
    <row r="3040" spans="1:2" x14ac:dyDescent="0.3">
      <c r="A3040" s="32">
        <v>122</v>
      </c>
      <c r="B3040" s="3">
        <v>7.3</v>
      </c>
    </row>
    <row r="3041" spans="1:2" x14ac:dyDescent="0.3">
      <c r="A3041" s="31">
        <v>101</v>
      </c>
      <c r="B3041" s="4">
        <v>5.9</v>
      </c>
    </row>
    <row r="3042" spans="1:2" x14ac:dyDescent="0.3">
      <c r="A3042" s="32">
        <v>102</v>
      </c>
      <c r="B3042" s="3">
        <v>5.5</v>
      </c>
    </row>
    <row r="3043" spans="1:2" x14ac:dyDescent="0.3">
      <c r="A3043" s="31">
        <v>84</v>
      </c>
      <c r="B3043" s="4">
        <v>5</v>
      </c>
    </row>
    <row r="3044" spans="1:2" x14ac:dyDescent="0.3">
      <c r="A3044" s="32">
        <v>104</v>
      </c>
      <c r="B3044" s="3">
        <v>7</v>
      </c>
    </row>
    <row r="3045" spans="1:2" x14ac:dyDescent="0.3">
      <c r="A3045" s="31">
        <v>96</v>
      </c>
      <c r="B3045" s="4">
        <v>7.8</v>
      </c>
    </row>
    <row r="3046" spans="1:2" x14ac:dyDescent="0.3">
      <c r="A3046" s="32">
        <v>94</v>
      </c>
      <c r="B3046" s="3">
        <v>6.4</v>
      </c>
    </row>
    <row r="3047" spans="1:2" x14ac:dyDescent="0.3">
      <c r="A3047" s="31">
        <v>90</v>
      </c>
      <c r="B3047" s="4">
        <v>5.9</v>
      </c>
    </row>
    <row r="3048" spans="1:2" x14ac:dyDescent="0.3">
      <c r="A3048" s="32">
        <v>90</v>
      </c>
      <c r="B3048" s="3">
        <v>7</v>
      </c>
    </row>
    <row r="3049" spans="1:2" x14ac:dyDescent="0.3">
      <c r="A3049" s="31">
        <v>106</v>
      </c>
      <c r="B3049" s="4">
        <v>6.1</v>
      </c>
    </row>
    <row r="3050" spans="1:2" x14ac:dyDescent="0.3">
      <c r="A3050" s="32">
        <v>96</v>
      </c>
      <c r="B3050" s="3">
        <v>6.9</v>
      </c>
    </row>
    <row r="3051" spans="1:2" x14ac:dyDescent="0.3">
      <c r="A3051" s="31">
        <v>95</v>
      </c>
      <c r="B3051" s="4">
        <v>7.5</v>
      </c>
    </row>
    <row r="3052" spans="1:2" x14ac:dyDescent="0.3">
      <c r="A3052" s="32">
        <v>99</v>
      </c>
      <c r="B3052" s="3">
        <v>7.3</v>
      </c>
    </row>
    <row r="3053" spans="1:2" x14ac:dyDescent="0.3">
      <c r="A3053" s="31">
        <v>99</v>
      </c>
      <c r="B3053" s="4">
        <v>6.5</v>
      </c>
    </row>
    <row r="3054" spans="1:2" x14ac:dyDescent="0.3">
      <c r="A3054" s="32">
        <v>95</v>
      </c>
      <c r="B3054" s="3">
        <v>6.2</v>
      </c>
    </row>
    <row r="3055" spans="1:2" x14ac:dyDescent="0.3">
      <c r="A3055" s="31">
        <v>99</v>
      </c>
      <c r="B3055" s="4">
        <v>6.7</v>
      </c>
    </row>
    <row r="3056" spans="1:2" x14ac:dyDescent="0.3">
      <c r="A3056" s="32">
        <v>107</v>
      </c>
      <c r="B3056" s="3">
        <v>6</v>
      </c>
    </row>
    <row r="3057" spans="1:2" x14ac:dyDescent="0.3">
      <c r="A3057" s="31">
        <v>90</v>
      </c>
      <c r="B3057" s="4">
        <v>6.3</v>
      </c>
    </row>
    <row r="3058" spans="1:2" x14ac:dyDescent="0.3">
      <c r="A3058" s="32">
        <v>96</v>
      </c>
      <c r="B3058" s="3">
        <v>5.8</v>
      </c>
    </row>
    <row r="3059" spans="1:2" x14ac:dyDescent="0.3">
      <c r="A3059" s="31">
        <v>104</v>
      </c>
      <c r="B3059" s="4">
        <v>6.1</v>
      </c>
    </row>
    <row r="3060" spans="1:2" x14ac:dyDescent="0.3">
      <c r="A3060" s="32">
        <v>97</v>
      </c>
      <c r="B3060" s="3">
        <v>6.9</v>
      </c>
    </row>
    <row r="3061" spans="1:2" x14ac:dyDescent="0.3">
      <c r="A3061" s="31">
        <v>107</v>
      </c>
      <c r="B3061" s="4">
        <v>8.3000000000000007</v>
      </c>
    </row>
    <row r="3062" spans="1:2" x14ac:dyDescent="0.3">
      <c r="A3062" s="32">
        <v>85</v>
      </c>
      <c r="B3062" s="3">
        <v>5.4</v>
      </c>
    </row>
    <row r="3063" spans="1:2" x14ac:dyDescent="0.3">
      <c r="A3063" s="31">
        <v>95</v>
      </c>
      <c r="B3063" s="4">
        <v>6.7</v>
      </c>
    </row>
    <row r="3064" spans="1:2" x14ac:dyDescent="0.3">
      <c r="A3064" s="32">
        <v>111</v>
      </c>
      <c r="B3064" s="3">
        <v>7.4</v>
      </c>
    </row>
    <row r="3065" spans="1:2" x14ac:dyDescent="0.3">
      <c r="A3065" s="31">
        <v>86</v>
      </c>
      <c r="B3065" s="4">
        <v>5.6</v>
      </c>
    </row>
    <row r="3066" spans="1:2" x14ac:dyDescent="0.3">
      <c r="A3066" s="32">
        <v>103</v>
      </c>
      <c r="B3066" s="3">
        <v>6.5</v>
      </c>
    </row>
    <row r="3067" spans="1:2" x14ac:dyDescent="0.3">
      <c r="A3067" s="31">
        <v>111</v>
      </c>
      <c r="B3067" s="4">
        <v>6.5</v>
      </c>
    </row>
    <row r="3068" spans="1:2" x14ac:dyDescent="0.3">
      <c r="A3068" s="32">
        <v>112</v>
      </c>
      <c r="B3068" s="3">
        <v>5.8</v>
      </c>
    </row>
    <row r="3069" spans="1:2" x14ac:dyDescent="0.3">
      <c r="A3069" s="31">
        <v>141</v>
      </c>
      <c r="B3069" s="4">
        <v>5</v>
      </c>
    </row>
    <row r="3070" spans="1:2" x14ac:dyDescent="0.3">
      <c r="A3070" s="32">
        <v>95</v>
      </c>
      <c r="B3070" s="3">
        <v>5.5</v>
      </c>
    </row>
    <row r="3071" spans="1:2" x14ac:dyDescent="0.3">
      <c r="A3071" s="31">
        <v>85</v>
      </c>
      <c r="B3071" s="4">
        <v>6.5</v>
      </c>
    </row>
    <row r="3072" spans="1:2" x14ac:dyDescent="0.3">
      <c r="A3072" s="32">
        <v>129</v>
      </c>
      <c r="B3072" s="3">
        <v>7.2</v>
      </c>
    </row>
    <row r="3073" spans="1:2" x14ac:dyDescent="0.3">
      <c r="A3073" s="31">
        <v>125</v>
      </c>
      <c r="B3073" s="4">
        <v>7.3</v>
      </c>
    </row>
    <row r="3074" spans="1:2" x14ac:dyDescent="0.3">
      <c r="A3074" s="32">
        <v>116</v>
      </c>
      <c r="B3074" s="3">
        <v>7.2</v>
      </c>
    </row>
    <row r="3075" spans="1:2" x14ac:dyDescent="0.3">
      <c r="A3075" s="31">
        <v>105</v>
      </c>
      <c r="B3075" s="4">
        <v>5.2</v>
      </c>
    </row>
    <row r="3076" spans="1:2" x14ac:dyDescent="0.3">
      <c r="A3076" s="32">
        <v>90</v>
      </c>
      <c r="B3076" s="3">
        <v>5.7</v>
      </c>
    </row>
    <row r="3077" spans="1:2" x14ac:dyDescent="0.3">
      <c r="A3077" s="31">
        <v>111</v>
      </c>
      <c r="B3077" s="4">
        <v>4.7</v>
      </c>
    </row>
    <row r="3078" spans="1:2" x14ac:dyDescent="0.3">
      <c r="A3078" s="32">
        <v>91</v>
      </c>
      <c r="B3078" s="3">
        <v>5.9</v>
      </c>
    </row>
    <row r="3079" spans="1:2" x14ac:dyDescent="0.3">
      <c r="A3079" s="31">
        <v>97</v>
      </c>
      <c r="B3079" s="4">
        <v>6.8</v>
      </c>
    </row>
    <row r="3080" spans="1:2" x14ac:dyDescent="0.3">
      <c r="A3080" s="32">
        <v>92</v>
      </c>
      <c r="B3080" s="3">
        <v>5.9</v>
      </c>
    </row>
    <row r="3081" spans="1:2" x14ac:dyDescent="0.3">
      <c r="A3081" s="31">
        <v>104</v>
      </c>
      <c r="B3081" s="4">
        <v>5.3</v>
      </c>
    </row>
    <row r="3082" spans="1:2" x14ac:dyDescent="0.3">
      <c r="A3082" s="32">
        <v>120</v>
      </c>
      <c r="B3082" s="3">
        <v>6</v>
      </c>
    </row>
    <row r="3083" spans="1:2" x14ac:dyDescent="0.3">
      <c r="A3083" s="31">
        <v>99</v>
      </c>
      <c r="B3083" s="4">
        <v>7.7</v>
      </c>
    </row>
    <row r="3084" spans="1:2" x14ac:dyDescent="0.3">
      <c r="A3084" s="32">
        <v>93</v>
      </c>
      <c r="B3084" s="3">
        <v>4.4000000000000004</v>
      </c>
    </row>
    <row r="3085" spans="1:2" x14ac:dyDescent="0.3">
      <c r="A3085" s="31">
        <v>99</v>
      </c>
      <c r="B3085" s="4">
        <v>6.6</v>
      </c>
    </row>
    <row r="3086" spans="1:2" x14ac:dyDescent="0.3">
      <c r="A3086" s="32">
        <v>96</v>
      </c>
      <c r="B3086" s="3">
        <v>6.7</v>
      </c>
    </row>
    <row r="3087" spans="1:2" x14ac:dyDescent="0.3">
      <c r="A3087" s="31">
        <v>96</v>
      </c>
      <c r="B3087" s="4">
        <v>5.5</v>
      </c>
    </row>
    <row r="3088" spans="1:2" x14ac:dyDescent="0.3">
      <c r="A3088" s="32">
        <v>100</v>
      </c>
      <c r="B3088" s="3">
        <v>6.5</v>
      </c>
    </row>
    <row r="3089" spans="1:2" x14ac:dyDescent="0.3">
      <c r="A3089" s="31">
        <v>98</v>
      </c>
      <c r="B3089" s="4">
        <v>6.2</v>
      </c>
    </row>
    <row r="3090" spans="1:2" x14ac:dyDescent="0.3">
      <c r="A3090" s="32">
        <v>106</v>
      </c>
      <c r="B3090" s="3">
        <v>7.1</v>
      </c>
    </row>
    <row r="3091" spans="1:2" x14ac:dyDescent="0.3">
      <c r="A3091" s="31">
        <v>95</v>
      </c>
      <c r="B3091" s="4">
        <v>6.1</v>
      </c>
    </row>
    <row r="3092" spans="1:2" x14ac:dyDescent="0.3">
      <c r="A3092" s="32">
        <v>104</v>
      </c>
      <c r="B3092" s="3">
        <v>7.1</v>
      </c>
    </row>
    <row r="3093" spans="1:2" x14ac:dyDescent="0.3">
      <c r="A3093" s="31">
        <v>87</v>
      </c>
      <c r="B3093" s="4">
        <v>6</v>
      </c>
    </row>
    <row r="3094" spans="1:2" x14ac:dyDescent="0.3">
      <c r="A3094" s="32">
        <v>81</v>
      </c>
      <c r="B3094" s="3">
        <v>7.4</v>
      </c>
    </row>
    <row r="3095" spans="1:2" x14ac:dyDescent="0.3">
      <c r="A3095" s="31">
        <v>94</v>
      </c>
      <c r="B3095" s="4">
        <v>5.9</v>
      </c>
    </row>
    <row r="3096" spans="1:2" x14ac:dyDescent="0.3">
      <c r="A3096" s="32">
        <v>89</v>
      </c>
      <c r="B3096" s="3">
        <v>4.0999999999999996</v>
      </c>
    </row>
    <row r="3097" spans="1:2" x14ac:dyDescent="0.3">
      <c r="A3097" s="31">
        <v>88</v>
      </c>
      <c r="B3097" s="4">
        <v>5.8</v>
      </c>
    </row>
    <row r="3098" spans="1:2" x14ac:dyDescent="0.3">
      <c r="A3098" s="32">
        <v>115</v>
      </c>
      <c r="B3098" s="3">
        <v>5.9</v>
      </c>
    </row>
    <row r="3099" spans="1:2" x14ac:dyDescent="0.3">
      <c r="A3099" s="31">
        <v>96</v>
      </c>
      <c r="B3099" s="4">
        <v>7</v>
      </c>
    </row>
    <row r="3100" spans="1:2" x14ac:dyDescent="0.3">
      <c r="A3100" s="32">
        <v>135</v>
      </c>
      <c r="B3100" s="3">
        <v>6.8</v>
      </c>
    </row>
    <row r="3101" spans="1:2" x14ac:dyDescent="0.3">
      <c r="A3101" s="31">
        <v>93</v>
      </c>
      <c r="B3101" s="4">
        <v>7.4</v>
      </c>
    </row>
    <row r="3102" spans="1:2" x14ac:dyDescent="0.3">
      <c r="A3102" s="32">
        <v>109</v>
      </c>
      <c r="B3102" s="3">
        <v>7.1</v>
      </c>
    </row>
    <row r="3103" spans="1:2" x14ac:dyDescent="0.3">
      <c r="A3103" s="31">
        <v>101</v>
      </c>
      <c r="B3103" s="4">
        <v>7</v>
      </c>
    </row>
    <row r="3104" spans="1:2" x14ac:dyDescent="0.3">
      <c r="A3104" s="32">
        <v>117</v>
      </c>
      <c r="B3104" s="3">
        <v>5.8</v>
      </c>
    </row>
    <row r="3105" spans="1:2" x14ac:dyDescent="0.3">
      <c r="A3105" s="31">
        <v>83</v>
      </c>
      <c r="B3105" s="4">
        <v>7.8</v>
      </c>
    </row>
    <row r="3106" spans="1:2" x14ac:dyDescent="0.3">
      <c r="A3106" s="32">
        <v>113</v>
      </c>
      <c r="B3106" s="3">
        <v>6.5</v>
      </c>
    </row>
    <row r="3107" spans="1:2" x14ac:dyDescent="0.3">
      <c r="A3107" s="31">
        <v>104</v>
      </c>
      <c r="B3107" s="4">
        <v>7</v>
      </c>
    </row>
    <row r="3108" spans="1:2" x14ac:dyDescent="0.3">
      <c r="A3108" s="32">
        <v>97</v>
      </c>
      <c r="B3108" s="3">
        <v>6.3</v>
      </c>
    </row>
    <row r="3109" spans="1:2" x14ac:dyDescent="0.3">
      <c r="A3109" s="31">
        <v>110</v>
      </c>
      <c r="B3109" s="4">
        <v>5.3</v>
      </c>
    </row>
    <row r="3110" spans="1:2" x14ac:dyDescent="0.3">
      <c r="A3110" s="32">
        <v>103</v>
      </c>
      <c r="B3110" s="3">
        <v>6.8</v>
      </c>
    </row>
    <row r="3111" spans="1:2" x14ac:dyDescent="0.3">
      <c r="A3111" s="31">
        <v>94</v>
      </c>
      <c r="B3111" s="4">
        <v>5.5</v>
      </c>
    </row>
    <row r="3112" spans="1:2" x14ac:dyDescent="0.3">
      <c r="A3112" s="32">
        <v>77</v>
      </c>
      <c r="B3112" s="3">
        <v>7.4</v>
      </c>
    </row>
    <row r="3113" spans="1:2" x14ac:dyDescent="0.3">
      <c r="A3113" s="31">
        <v>134</v>
      </c>
      <c r="B3113" s="4">
        <v>4.3</v>
      </c>
    </row>
    <row r="3114" spans="1:2" x14ac:dyDescent="0.3">
      <c r="A3114" s="32">
        <v>90</v>
      </c>
      <c r="B3114" s="3">
        <v>6</v>
      </c>
    </row>
    <row r="3115" spans="1:2" x14ac:dyDescent="0.3">
      <c r="A3115" s="31">
        <v>104</v>
      </c>
      <c r="B3115" s="4">
        <v>5.2</v>
      </c>
    </row>
    <row r="3116" spans="1:2" x14ac:dyDescent="0.3">
      <c r="A3116" s="32">
        <v>93</v>
      </c>
      <c r="B3116" s="3">
        <v>6.7</v>
      </c>
    </row>
    <row r="3117" spans="1:2" x14ac:dyDescent="0.3">
      <c r="A3117" s="31">
        <v>106</v>
      </c>
      <c r="B3117" s="4">
        <v>6.3</v>
      </c>
    </row>
    <row r="3118" spans="1:2" x14ac:dyDescent="0.3">
      <c r="A3118" s="32">
        <v>101</v>
      </c>
      <c r="B3118" s="3">
        <v>8.6</v>
      </c>
    </row>
    <row r="3119" spans="1:2" x14ac:dyDescent="0.3">
      <c r="A3119" s="31">
        <v>100</v>
      </c>
      <c r="B3119" s="4">
        <v>6.1</v>
      </c>
    </row>
    <row r="3120" spans="1:2" x14ac:dyDescent="0.3">
      <c r="A3120" s="32">
        <v>95</v>
      </c>
      <c r="B3120" s="3">
        <v>5.8</v>
      </c>
    </row>
    <row r="3121" spans="1:2" x14ac:dyDescent="0.3">
      <c r="A3121" s="31">
        <v>94</v>
      </c>
      <c r="B3121" s="4">
        <v>7.7</v>
      </c>
    </row>
    <row r="3122" spans="1:2" x14ac:dyDescent="0.3">
      <c r="A3122" s="32">
        <v>93</v>
      </c>
      <c r="B3122" s="3">
        <v>8</v>
      </c>
    </row>
    <row r="3123" spans="1:2" x14ac:dyDescent="0.3">
      <c r="A3123" s="31">
        <v>106</v>
      </c>
      <c r="B3123" s="4">
        <v>5.6</v>
      </c>
    </row>
    <row r="3124" spans="1:2" x14ac:dyDescent="0.3">
      <c r="A3124" s="32">
        <v>99</v>
      </c>
      <c r="B3124" s="3">
        <v>6.7</v>
      </c>
    </row>
    <row r="3125" spans="1:2" x14ac:dyDescent="0.3">
      <c r="A3125" s="31">
        <v>82</v>
      </c>
      <c r="B3125" s="4">
        <v>6.6</v>
      </c>
    </row>
    <row r="3126" spans="1:2" x14ac:dyDescent="0.3">
      <c r="A3126" s="32">
        <v>135</v>
      </c>
      <c r="B3126" s="3">
        <v>4.2</v>
      </c>
    </row>
    <row r="3127" spans="1:2" x14ac:dyDescent="0.3">
      <c r="A3127" s="31">
        <v>88</v>
      </c>
      <c r="B3127" s="4">
        <v>6.6</v>
      </c>
    </row>
    <row r="3128" spans="1:2" x14ac:dyDescent="0.3">
      <c r="A3128" s="32">
        <v>89</v>
      </c>
      <c r="B3128" s="3">
        <v>4.0999999999999996</v>
      </c>
    </row>
    <row r="3129" spans="1:2" x14ac:dyDescent="0.3">
      <c r="A3129" s="31">
        <v>110</v>
      </c>
      <c r="B3129" s="4">
        <v>7.3</v>
      </c>
    </row>
    <row r="3130" spans="1:2" x14ac:dyDescent="0.3">
      <c r="A3130" s="32">
        <v>107</v>
      </c>
      <c r="B3130" s="3">
        <v>7.1</v>
      </c>
    </row>
    <row r="3131" spans="1:2" x14ac:dyDescent="0.3">
      <c r="A3131" s="31">
        <v>86</v>
      </c>
      <c r="B3131" s="4">
        <v>6.5</v>
      </c>
    </row>
    <row r="3132" spans="1:2" x14ac:dyDescent="0.3">
      <c r="A3132" s="32">
        <v>91</v>
      </c>
      <c r="B3132" s="3">
        <v>7</v>
      </c>
    </row>
    <row r="3133" spans="1:2" x14ac:dyDescent="0.3">
      <c r="A3133" s="31">
        <v>103</v>
      </c>
      <c r="B3133" s="4">
        <v>5.5</v>
      </c>
    </row>
    <row r="3134" spans="1:2" x14ac:dyDescent="0.3">
      <c r="A3134" s="32">
        <v>92</v>
      </c>
      <c r="B3134" s="3">
        <v>6.6</v>
      </c>
    </row>
    <row r="3135" spans="1:2" x14ac:dyDescent="0.3">
      <c r="A3135" s="31">
        <v>99</v>
      </c>
      <c r="B3135" s="4">
        <v>7.1</v>
      </c>
    </row>
    <row r="3136" spans="1:2" x14ac:dyDescent="0.3">
      <c r="A3136" s="32">
        <v>96</v>
      </c>
      <c r="B3136" s="3">
        <v>7.9</v>
      </c>
    </row>
    <row r="3137" spans="1:2" x14ac:dyDescent="0.3">
      <c r="A3137" s="31">
        <v>82</v>
      </c>
      <c r="B3137" s="4">
        <v>7.1</v>
      </c>
    </row>
    <row r="3138" spans="1:2" x14ac:dyDescent="0.3">
      <c r="A3138" s="32">
        <v>92</v>
      </c>
      <c r="B3138" s="3">
        <v>5.6</v>
      </c>
    </row>
    <row r="3139" spans="1:2" x14ac:dyDescent="0.3">
      <c r="A3139" s="31">
        <v>112</v>
      </c>
      <c r="B3139" s="4">
        <v>7.3</v>
      </c>
    </row>
    <row r="3140" spans="1:2" x14ac:dyDescent="0.3">
      <c r="A3140" s="32">
        <v>90</v>
      </c>
      <c r="B3140" s="3">
        <v>3.3</v>
      </c>
    </row>
    <row r="3141" spans="1:2" x14ac:dyDescent="0.3">
      <c r="A3141" s="31">
        <v>150</v>
      </c>
      <c r="B3141" s="4">
        <v>6.5</v>
      </c>
    </row>
    <row r="3142" spans="1:2" x14ac:dyDescent="0.3">
      <c r="A3142" s="32">
        <v>91</v>
      </c>
      <c r="B3142" s="3">
        <v>4.8</v>
      </c>
    </row>
    <row r="3143" spans="1:2" x14ac:dyDescent="0.3">
      <c r="A3143" s="31">
        <v>95</v>
      </c>
      <c r="B3143" s="4">
        <v>5.2</v>
      </c>
    </row>
    <row r="3144" spans="1:2" x14ac:dyDescent="0.3">
      <c r="A3144" s="32">
        <v>97</v>
      </c>
      <c r="B3144" s="3">
        <v>6.3</v>
      </c>
    </row>
    <row r="3145" spans="1:2" x14ac:dyDescent="0.3">
      <c r="A3145" s="31">
        <v>41</v>
      </c>
      <c r="B3145" s="4">
        <v>7.2</v>
      </c>
    </row>
    <row r="3146" spans="1:2" x14ac:dyDescent="0.3">
      <c r="A3146" s="32">
        <v>112</v>
      </c>
      <c r="B3146" s="3">
        <v>6.8</v>
      </c>
    </row>
    <row r="3147" spans="1:2" x14ac:dyDescent="0.3">
      <c r="A3147" s="31">
        <v>122</v>
      </c>
      <c r="B3147" s="4">
        <v>5.7</v>
      </c>
    </row>
    <row r="3148" spans="1:2" x14ac:dyDescent="0.3">
      <c r="A3148" s="32">
        <v>110</v>
      </c>
      <c r="B3148" s="3">
        <v>7.2</v>
      </c>
    </row>
    <row r="3149" spans="1:2" x14ac:dyDescent="0.3">
      <c r="A3149" s="31">
        <v>108</v>
      </c>
      <c r="B3149" s="4">
        <v>6.9</v>
      </c>
    </row>
    <row r="3150" spans="1:2" x14ac:dyDescent="0.3">
      <c r="A3150" s="32">
        <v>97</v>
      </c>
      <c r="B3150" s="3">
        <v>6.3</v>
      </c>
    </row>
    <row r="3151" spans="1:2" x14ac:dyDescent="0.3">
      <c r="A3151" s="31">
        <v>116</v>
      </c>
      <c r="B3151" s="4">
        <v>6.2</v>
      </c>
    </row>
    <row r="3152" spans="1:2" x14ac:dyDescent="0.3">
      <c r="A3152" s="32">
        <v>94</v>
      </c>
      <c r="B3152" s="3">
        <v>6.7</v>
      </c>
    </row>
    <row r="3153" spans="1:2" x14ac:dyDescent="0.3">
      <c r="A3153" s="31">
        <v>103</v>
      </c>
      <c r="B3153" s="4">
        <v>6.5</v>
      </c>
    </row>
    <row r="3154" spans="1:2" x14ac:dyDescent="0.3">
      <c r="A3154" s="32">
        <v>112</v>
      </c>
      <c r="B3154" s="3">
        <v>7.2</v>
      </c>
    </row>
    <row r="3155" spans="1:2" x14ac:dyDescent="0.3">
      <c r="A3155" s="31">
        <v>91</v>
      </c>
      <c r="B3155" s="4">
        <v>5.3</v>
      </c>
    </row>
    <row r="3156" spans="1:2" x14ac:dyDescent="0.3">
      <c r="A3156" s="32">
        <v>98</v>
      </c>
      <c r="B3156" s="3">
        <v>6.7</v>
      </c>
    </row>
    <row r="3157" spans="1:2" x14ac:dyDescent="0.3">
      <c r="A3157" s="31">
        <v>95</v>
      </c>
      <c r="B3157" s="4">
        <v>6.2</v>
      </c>
    </row>
    <row r="3158" spans="1:2" x14ac:dyDescent="0.3">
      <c r="A3158" s="32">
        <v>99</v>
      </c>
      <c r="B3158" s="3">
        <v>3.6</v>
      </c>
    </row>
    <row r="3159" spans="1:2" x14ac:dyDescent="0.3">
      <c r="A3159" s="31">
        <v>91</v>
      </c>
      <c r="B3159" s="4">
        <v>5.7</v>
      </c>
    </row>
    <row r="3160" spans="1:2" x14ac:dyDescent="0.3">
      <c r="A3160" s="32">
        <v>97</v>
      </c>
      <c r="B3160" s="3">
        <v>7.3</v>
      </c>
    </row>
    <row r="3161" spans="1:2" x14ac:dyDescent="0.3">
      <c r="A3161" s="31">
        <v>90</v>
      </c>
      <c r="B3161" s="4">
        <v>5</v>
      </c>
    </row>
    <row r="3162" spans="1:2" x14ac:dyDescent="0.3">
      <c r="A3162" s="32">
        <v>90</v>
      </c>
      <c r="B3162" s="3">
        <v>6.6</v>
      </c>
    </row>
    <row r="3163" spans="1:2" x14ac:dyDescent="0.3">
      <c r="A3163" s="31">
        <v>94</v>
      </c>
      <c r="B3163" s="4">
        <v>6.6</v>
      </c>
    </row>
    <row r="3164" spans="1:2" x14ac:dyDescent="0.3">
      <c r="A3164" s="32">
        <v>90</v>
      </c>
      <c r="B3164" s="3">
        <v>6.8</v>
      </c>
    </row>
    <row r="3165" spans="1:2" x14ac:dyDescent="0.3">
      <c r="A3165" s="31">
        <v>103</v>
      </c>
      <c r="B3165" s="4">
        <v>6.2</v>
      </c>
    </row>
    <row r="3166" spans="1:2" x14ac:dyDescent="0.3">
      <c r="A3166" s="32">
        <v>105</v>
      </c>
      <c r="B3166" s="3">
        <v>7.3</v>
      </c>
    </row>
    <row r="3167" spans="1:2" x14ac:dyDescent="0.3">
      <c r="A3167" s="31">
        <v>113</v>
      </c>
      <c r="B3167" s="4">
        <v>6.2</v>
      </c>
    </row>
    <row r="3168" spans="1:2" x14ac:dyDescent="0.3">
      <c r="A3168" s="32">
        <v>99</v>
      </c>
      <c r="B3168" s="3">
        <v>6.9</v>
      </c>
    </row>
    <row r="3169" spans="1:2" x14ac:dyDescent="0.3">
      <c r="A3169" s="31">
        <v>148</v>
      </c>
      <c r="B3169" s="4">
        <v>6.6</v>
      </c>
    </row>
    <row r="3170" spans="1:2" x14ac:dyDescent="0.3">
      <c r="A3170" s="32">
        <v>93</v>
      </c>
      <c r="B3170" s="3">
        <v>6.3</v>
      </c>
    </row>
    <row r="3171" spans="1:2" x14ac:dyDescent="0.3">
      <c r="A3171" s="31">
        <v>94</v>
      </c>
      <c r="B3171" s="4">
        <v>7</v>
      </c>
    </row>
    <row r="3172" spans="1:2" x14ac:dyDescent="0.3">
      <c r="A3172" s="32">
        <v>121</v>
      </c>
      <c r="B3172" s="3">
        <v>3.3</v>
      </c>
    </row>
    <row r="3173" spans="1:2" x14ac:dyDescent="0.3">
      <c r="A3173" s="31">
        <v>118</v>
      </c>
      <c r="B3173" s="4">
        <v>6.7</v>
      </c>
    </row>
    <row r="3174" spans="1:2" x14ac:dyDescent="0.3">
      <c r="A3174" s="32">
        <v>101</v>
      </c>
      <c r="B3174" s="3">
        <v>6.2</v>
      </c>
    </row>
    <row r="3175" spans="1:2" x14ac:dyDescent="0.3">
      <c r="A3175" s="31">
        <v>90</v>
      </c>
      <c r="B3175" s="4">
        <v>6.5</v>
      </c>
    </row>
    <row r="3176" spans="1:2" x14ac:dyDescent="0.3">
      <c r="A3176" s="32">
        <v>100</v>
      </c>
      <c r="B3176" s="3">
        <v>3.5</v>
      </c>
    </row>
    <row r="3177" spans="1:2" x14ac:dyDescent="0.3">
      <c r="A3177" s="31">
        <v>97</v>
      </c>
      <c r="B3177" s="4">
        <v>5.5</v>
      </c>
    </row>
    <row r="3178" spans="1:2" x14ac:dyDescent="0.3">
      <c r="A3178" s="32">
        <v>96</v>
      </c>
      <c r="B3178" s="3">
        <v>5.9</v>
      </c>
    </row>
    <row r="3179" spans="1:2" x14ac:dyDescent="0.3">
      <c r="A3179" s="31">
        <v>117</v>
      </c>
      <c r="B3179" s="4">
        <v>4.7</v>
      </c>
    </row>
    <row r="3180" spans="1:2" x14ac:dyDescent="0.3">
      <c r="A3180" s="32">
        <v>108</v>
      </c>
      <c r="B3180" s="3">
        <v>4.2</v>
      </c>
    </row>
    <row r="3181" spans="1:2" x14ac:dyDescent="0.3">
      <c r="A3181" s="31">
        <v>109</v>
      </c>
      <c r="B3181" s="4">
        <v>5.2</v>
      </c>
    </row>
    <row r="3182" spans="1:2" x14ac:dyDescent="0.3">
      <c r="A3182" s="32">
        <v>102</v>
      </c>
      <c r="B3182" s="3">
        <v>5.2</v>
      </c>
    </row>
    <row r="3183" spans="1:2" x14ac:dyDescent="0.3">
      <c r="A3183" s="31">
        <v>115</v>
      </c>
      <c r="B3183" s="4">
        <v>3.9</v>
      </c>
    </row>
    <row r="3184" spans="1:2" x14ac:dyDescent="0.3">
      <c r="A3184" s="32">
        <v>98</v>
      </c>
      <c r="B3184" s="3">
        <v>6.1</v>
      </c>
    </row>
    <row r="3185" spans="1:2" x14ac:dyDescent="0.3">
      <c r="A3185" s="31">
        <v>133</v>
      </c>
      <c r="B3185" s="4">
        <v>5.8</v>
      </c>
    </row>
    <row r="3186" spans="1:2" x14ac:dyDescent="0.3">
      <c r="A3186" s="32">
        <v>122</v>
      </c>
      <c r="B3186" s="3">
        <v>6.7</v>
      </c>
    </row>
    <row r="3187" spans="1:2" x14ac:dyDescent="0.3">
      <c r="A3187" s="31">
        <v>106</v>
      </c>
      <c r="B3187" s="4">
        <v>5.7</v>
      </c>
    </row>
    <row r="3188" spans="1:2" x14ac:dyDescent="0.3">
      <c r="A3188" s="32">
        <v>112</v>
      </c>
      <c r="B3188" s="3">
        <v>4.5</v>
      </c>
    </row>
    <row r="3189" spans="1:2" x14ac:dyDescent="0.3">
      <c r="A3189" s="31">
        <v>99</v>
      </c>
      <c r="B3189" s="4">
        <v>6.9</v>
      </c>
    </row>
    <row r="3190" spans="1:2" x14ac:dyDescent="0.3">
      <c r="A3190" s="32">
        <v>110</v>
      </c>
      <c r="B3190" s="3">
        <v>4.8</v>
      </c>
    </row>
    <row r="3191" spans="1:2" x14ac:dyDescent="0.3">
      <c r="A3191" s="31">
        <v>104</v>
      </c>
      <c r="B3191" s="4">
        <v>6.3</v>
      </c>
    </row>
    <row r="3192" spans="1:2" x14ac:dyDescent="0.3">
      <c r="A3192" s="32">
        <v>133</v>
      </c>
      <c r="B3192" s="3">
        <v>6.9</v>
      </c>
    </row>
    <row r="3193" spans="1:2" x14ac:dyDescent="0.3">
      <c r="A3193" s="31">
        <v>103</v>
      </c>
      <c r="B3193" s="4">
        <v>5.4</v>
      </c>
    </row>
    <row r="3194" spans="1:2" x14ac:dyDescent="0.3">
      <c r="A3194" s="32">
        <v>112</v>
      </c>
      <c r="B3194" s="3">
        <v>3.8</v>
      </c>
    </row>
    <row r="3195" spans="1:2" x14ac:dyDescent="0.3">
      <c r="A3195" s="31">
        <v>101</v>
      </c>
      <c r="B3195" s="4">
        <v>7</v>
      </c>
    </row>
    <row r="3196" spans="1:2" x14ac:dyDescent="0.3">
      <c r="A3196" s="32">
        <v>133</v>
      </c>
      <c r="B3196" s="3">
        <v>5.2</v>
      </c>
    </row>
    <row r="3197" spans="1:2" x14ac:dyDescent="0.3">
      <c r="A3197" s="31">
        <v>104</v>
      </c>
      <c r="B3197" s="4">
        <v>7.3</v>
      </c>
    </row>
    <row r="3198" spans="1:2" x14ac:dyDescent="0.3">
      <c r="A3198" s="32">
        <v>112</v>
      </c>
      <c r="B3198" s="3">
        <v>4.5999999999999996</v>
      </c>
    </row>
    <row r="3199" spans="1:2" x14ac:dyDescent="0.3">
      <c r="A3199" s="31">
        <v>94</v>
      </c>
      <c r="B3199" s="4">
        <v>6.5</v>
      </c>
    </row>
    <row r="3200" spans="1:2" x14ac:dyDescent="0.3">
      <c r="A3200" s="32">
        <v>90</v>
      </c>
      <c r="B3200" s="3">
        <v>6.8</v>
      </c>
    </row>
    <row r="3201" spans="1:2" x14ac:dyDescent="0.3">
      <c r="A3201" s="31">
        <v>101</v>
      </c>
      <c r="B3201" s="4">
        <v>6.7</v>
      </c>
    </row>
    <row r="3202" spans="1:2" x14ac:dyDescent="0.3">
      <c r="A3202" s="32">
        <v>93</v>
      </c>
      <c r="B3202" s="3">
        <v>6.1</v>
      </c>
    </row>
    <row r="3203" spans="1:2" x14ac:dyDescent="0.3">
      <c r="A3203" s="31">
        <v>152</v>
      </c>
      <c r="B3203" s="4">
        <v>5.2</v>
      </c>
    </row>
    <row r="3204" spans="1:2" x14ac:dyDescent="0.3">
      <c r="A3204" s="32">
        <v>112</v>
      </c>
      <c r="B3204" s="3">
        <v>6.9</v>
      </c>
    </row>
    <row r="3205" spans="1:2" x14ac:dyDescent="0.3">
      <c r="A3205" s="31">
        <v>95</v>
      </c>
      <c r="B3205" s="4">
        <v>6</v>
      </c>
    </row>
    <row r="3206" spans="1:2" x14ac:dyDescent="0.3">
      <c r="A3206" s="32">
        <v>111</v>
      </c>
      <c r="B3206" s="3">
        <v>7.9</v>
      </c>
    </row>
    <row r="3207" spans="1:2" x14ac:dyDescent="0.3">
      <c r="A3207" s="31">
        <v>91</v>
      </c>
      <c r="B3207" s="4">
        <v>4.5</v>
      </c>
    </row>
    <row r="3208" spans="1:2" x14ac:dyDescent="0.3">
      <c r="A3208" s="32">
        <v>106</v>
      </c>
      <c r="B3208" s="3">
        <v>5.0999999999999996</v>
      </c>
    </row>
    <row r="3209" spans="1:2" x14ac:dyDescent="0.3">
      <c r="A3209" s="31">
        <v>93</v>
      </c>
      <c r="B3209" s="4">
        <v>7.6</v>
      </c>
    </row>
    <row r="3210" spans="1:2" x14ac:dyDescent="0.3">
      <c r="A3210" s="32">
        <v>93</v>
      </c>
      <c r="B3210" s="3">
        <v>7.6</v>
      </c>
    </row>
    <row r="3211" spans="1:2" x14ac:dyDescent="0.3">
      <c r="A3211" s="31">
        <v>165</v>
      </c>
      <c r="B3211" s="4">
        <v>6.7</v>
      </c>
    </row>
    <row r="3212" spans="1:2" x14ac:dyDescent="0.3">
      <c r="A3212" s="32">
        <v>96</v>
      </c>
      <c r="B3212" s="3">
        <v>6.1</v>
      </c>
    </row>
    <row r="3213" spans="1:2" x14ac:dyDescent="0.3">
      <c r="A3213" s="31">
        <v>93</v>
      </c>
      <c r="B3213" s="4">
        <v>7.5</v>
      </c>
    </row>
    <row r="3214" spans="1:2" x14ac:dyDescent="0.3">
      <c r="A3214" s="32">
        <v>82</v>
      </c>
      <c r="B3214" s="3">
        <v>5.3</v>
      </c>
    </row>
    <row r="3215" spans="1:2" x14ac:dyDescent="0.3">
      <c r="A3215" s="31">
        <v>101</v>
      </c>
      <c r="B3215" s="4">
        <v>6</v>
      </c>
    </row>
    <row r="3216" spans="1:2" x14ac:dyDescent="0.3">
      <c r="A3216" s="32">
        <v>81</v>
      </c>
      <c r="B3216" s="3">
        <v>7.1</v>
      </c>
    </row>
    <row r="3217" spans="1:2" x14ac:dyDescent="0.3">
      <c r="A3217" s="31">
        <v>105</v>
      </c>
      <c r="B3217" s="4">
        <v>7.5</v>
      </c>
    </row>
    <row r="3218" spans="1:2" x14ac:dyDescent="0.3">
      <c r="A3218" s="32">
        <v>86</v>
      </c>
      <c r="B3218" s="3">
        <v>6.9</v>
      </c>
    </row>
    <row r="3219" spans="1:2" x14ac:dyDescent="0.3">
      <c r="A3219" s="31">
        <v>110</v>
      </c>
      <c r="B3219" s="4">
        <v>8.5</v>
      </c>
    </row>
    <row r="3220" spans="1:2" x14ac:dyDescent="0.3">
      <c r="A3220" s="32">
        <v>110</v>
      </c>
      <c r="B3220" s="3">
        <v>7.5</v>
      </c>
    </row>
    <row r="3221" spans="1:2" x14ac:dyDescent="0.3">
      <c r="A3221" s="31">
        <v>104</v>
      </c>
      <c r="B3221" s="4">
        <v>6.6</v>
      </c>
    </row>
    <row r="3222" spans="1:2" x14ac:dyDescent="0.3">
      <c r="A3222" s="32">
        <v>96</v>
      </c>
      <c r="B3222" s="3">
        <v>8</v>
      </c>
    </row>
    <row r="3223" spans="1:2" x14ac:dyDescent="0.3">
      <c r="A3223" s="31">
        <v>110</v>
      </c>
      <c r="B3223" s="4">
        <v>7</v>
      </c>
    </row>
    <row r="3224" spans="1:2" x14ac:dyDescent="0.3">
      <c r="A3224" s="32">
        <v>84</v>
      </c>
      <c r="B3224" s="3">
        <v>5.8</v>
      </c>
    </row>
    <row r="3225" spans="1:2" x14ac:dyDescent="0.3">
      <c r="A3225" s="31">
        <v>94</v>
      </c>
      <c r="B3225" s="4">
        <v>7.3</v>
      </c>
    </row>
    <row r="3226" spans="1:2" x14ac:dyDescent="0.3">
      <c r="A3226" s="32">
        <v>93</v>
      </c>
      <c r="B3226" s="3">
        <v>6.8</v>
      </c>
    </row>
    <row r="3227" spans="1:2" x14ac:dyDescent="0.3">
      <c r="A3227" s="31">
        <v>96</v>
      </c>
      <c r="B3227" s="4">
        <v>6.7</v>
      </c>
    </row>
    <row r="3228" spans="1:2" x14ac:dyDescent="0.3">
      <c r="A3228" s="32">
        <v>101</v>
      </c>
      <c r="B3228" s="3">
        <v>6.5</v>
      </c>
    </row>
    <row r="3229" spans="1:2" x14ac:dyDescent="0.3">
      <c r="A3229" s="31">
        <v>102</v>
      </c>
      <c r="B3229" s="4">
        <v>8</v>
      </c>
    </row>
    <row r="3230" spans="1:2" x14ac:dyDescent="0.3">
      <c r="A3230" s="32">
        <v>87</v>
      </c>
      <c r="B3230" s="3">
        <v>6.5</v>
      </c>
    </row>
    <row r="3231" spans="1:2" x14ac:dyDescent="0.3">
      <c r="A3231" s="31">
        <v>99</v>
      </c>
      <c r="B3231" s="4">
        <v>4.9000000000000004</v>
      </c>
    </row>
    <row r="3232" spans="1:2" x14ac:dyDescent="0.3">
      <c r="A3232" s="32">
        <v>106</v>
      </c>
      <c r="B3232" s="3">
        <v>7.1</v>
      </c>
    </row>
    <row r="3233" spans="1:2" x14ac:dyDescent="0.3">
      <c r="A3233" s="31">
        <v>117</v>
      </c>
      <c r="B3233" s="4">
        <v>7</v>
      </c>
    </row>
    <row r="3234" spans="1:2" x14ac:dyDescent="0.3">
      <c r="A3234" s="32">
        <v>99</v>
      </c>
      <c r="B3234" s="3">
        <v>7</v>
      </c>
    </row>
    <row r="3235" spans="1:2" x14ac:dyDescent="0.3">
      <c r="A3235" s="31">
        <v>102</v>
      </c>
      <c r="B3235" s="4">
        <v>7.5</v>
      </c>
    </row>
    <row r="3236" spans="1:2" x14ac:dyDescent="0.3">
      <c r="A3236" s="32">
        <v>85</v>
      </c>
      <c r="B3236" s="3">
        <v>4.5</v>
      </c>
    </row>
    <row r="3237" spans="1:2" x14ac:dyDescent="0.3">
      <c r="A3237" s="31">
        <v>86</v>
      </c>
      <c r="B3237" s="4">
        <v>5.5</v>
      </c>
    </row>
    <row r="3238" spans="1:2" x14ac:dyDescent="0.3">
      <c r="A3238" s="32">
        <v>120</v>
      </c>
      <c r="B3238" s="3">
        <v>7.7</v>
      </c>
    </row>
    <row r="3239" spans="1:2" x14ac:dyDescent="0.3">
      <c r="A3239" s="31">
        <v>106</v>
      </c>
      <c r="B3239" s="4">
        <v>7.2</v>
      </c>
    </row>
    <row r="3240" spans="1:2" x14ac:dyDescent="0.3">
      <c r="A3240" s="32">
        <v>103</v>
      </c>
      <c r="B3240" s="3">
        <v>4.8</v>
      </c>
    </row>
    <row r="3241" spans="1:2" x14ac:dyDescent="0.3">
      <c r="A3241" s="31">
        <v>93</v>
      </c>
      <c r="B3241" s="4">
        <v>6.7</v>
      </c>
    </row>
    <row r="3242" spans="1:2" x14ac:dyDescent="0.3">
      <c r="A3242" s="32">
        <v>112</v>
      </c>
      <c r="B3242" s="3">
        <v>7</v>
      </c>
    </row>
    <row r="3243" spans="1:2" x14ac:dyDescent="0.3">
      <c r="A3243" s="31">
        <v>113</v>
      </c>
      <c r="B3243" s="4">
        <v>6.5</v>
      </c>
    </row>
    <row r="3244" spans="1:2" x14ac:dyDescent="0.3">
      <c r="A3244" s="32">
        <v>98</v>
      </c>
      <c r="B3244" s="3">
        <v>7.4</v>
      </c>
    </row>
    <row r="3245" spans="1:2" x14ac:dyDescent="0.3">
      <c r="A3245" s="31">
        <v>106</v>
      </c>
      <c r="B3245" s="4">
        <v>5.7</v>
      </c>
    </row>
    <row r="3246" spans="1:2" x14ac:dyDescent="0.3">
      <c r="A3246" s="32">
        <v>93</v>
      </c>
      <c r="B3246" s="3">
        <v>6.2</v>
      </c>
    </row>
    <row r="3247" spans="1:2" x14ac:dyDescent="0.3">
      <c r="A3247" s="31">
        <v>226</v>
      </c>
      <c r="B3247" s="4">
        <v>5.7</v>
      </c>
    </row>
    <row r="3248" spans="1:2" x14ac:dyDescent="0.3">
      <c r="A3248" s="32">
        <v>104</v>
      </c>
      <c r="B3248" s="3">
        <v>6.4</v>
      </c>
    </row>
    <row r="3249" spans="1:2" x14ac:dyDescent="0.3">
      <c r="A3249" s="31">
        <v>152</v>
      </c>
      <c r="B3249" s="4">
        <v>7</v>
      </c>
    </row>
    <row r="3250" spans="1:2" x14ac:dyDescent="0.3">
      <c r="A3250" s="32">
        <v>107</v>
      </c>
      <c r="B3250" s="3">
        <v>7.7</v>
      </c>
    </row>
    <row r="3251" spans="1:2" x14ac:dyDescent="0.3">
      <c r="A3251" s="31">
        <v>95</v>
      </c>
      <c r="B3251" s="4">
        <v>5.4</v>
      </c>
    </row>
    <row r="3252" spans="1:2" x14ac:dyDescent="0.3">
      <c r="A3252" s="32">
        <v>102</v>
      </c>
      <c r="B3252" s="3">
        <v>6.6</v>
      </c>
    </row>
    <row r="3253" spans="1:2" x14ac:dyDescent="0.3">
      <c r="A3253" s="31">
        <v>99</v>
      </c>
      <c r="B3253" s="4">
        <v>6.1</v>
      </c>
    </row>
    <row r="3254" spans="1:2" x14ac:dyDescent="0.3">
      <c r="A3254" s="32">
        <v>109</v>
      </c>
      <c r="B3254" s="3">
        <v>6.1</v>
      </c>
    </row>
    <row r="3255" spans="1:2" x14ac:dyDescent="0.3">
      <c r="A3255" s="31">
        <v>91</v>
      </c>
      <c r="B3255" s="4">
        <v>7.6</v>
      </c>
    </row>
    <row r="3256" spans="1:2" x14ac:dyDescent="0.3">
      <c r="A3256" s="32">
        <v>88</v>
      </c>
      <c r="B3256" s="3">
        <v>6.2</v>
      </c>
    </row>
    <row r="3257" spans="1:2" x14ac:dyDescent="0.3">
      <c r="A3257" s="31">
        <v>97</v>
      </c>
      <c r="B3257" s="4">
        <v>6.6</v>
      </c>
    </row>
    <row r="3258" spans="1:2" x14ac:dyDescent="0.3">
      <c r="A3258" s="32">
        <v>97</v>
      </c>
      <c r="B3258" s="3">
        <v>6.1</v>
      </c>
    </row>
    <row r="3259" spans="1:2" x14ac:dyDescent="0.3">
      <c r="A3259" s="31">
        <v>85</v>
      </c>
      <c r="B3259" s="4">
        <v>7.3</v>
      </c>
    </row>
    <row r="3260" spans="1:2" x14ac:dyDescent="0.3">
      <c r="A3260" s="32">
        <v>92</v>
      </c>
      <c r="B3260" s="3">
        <v>4.2</v>
      </c>
    </row>
    <row r="3261" spans="1:2" x14ac:dyDescent="0.3">
      <c r="A3261" s="31">
        <v>93</v>
      </c>
      <c r="B3261" s="4">
        <v>7.1</v>
      </c>
    </row>
    <row r="3262" spans="1:2" x14ac:dyDescent="0.3">
      <c r="A3262" s="32">
        <v>96</v>
      </c>
      <c r="B3262" s="3">
        <v>6</v>
      </c>
    </row>
    <row r="3263" spans="1:2" x14ac:dyDescent="0.3">
      <c r="A3263" s="31">
        <v>105</v>
      </c>
      <c r="B3263" s="4">
        <v>6.5</v>
      </c>
    </row>
    <row r="3264" spans="1:2" x14ac:dyDescent="0.3">
      <c r="A3264" s="32">
        <v>129</v>
      </c>
      <c r="B3264" s="3">
        <v>6.5</v>
      </c>
    </row>
    <row r="3265" spans="1:2" x14ac:dyDescent="0.3">
      <c r="A3265" s="31">
        <v>37</v>
      </c>
      <c r="B3265" s="4">
        <v>5.7</v>
      </c>
    </row>
    <row r="3266" spans="1:2" x14ac:dyDescent="0.3">
      <c r="A3266" s="32">
        <v>81</v>
      </c>
      <c r="B3266" s="3">
        <v>6.1</v>
      </c>
    </row>
    <row r="3267" spans="1:2" x14ac:dyDescent="0.3">
      <c r="A3267" s="31">
        <v>106</v>
      </c>
      <c r="B3267" s="4">
        <v>7.1</v>
      </c>
    </row>
    <row r="3268" spans="1:2" x14ac:dyDescent="0.3">
      <c r="A3268" s="32">
        <v>103</v>
      </c>
      <c r="B3268" s="3">
        <v>7.3</v>
      </c>
    </row>
    <row r="3269" spans="1:2" x14ac:dyDescent="0.3">
      <c r="A3269" s="31">
        <v>101</v>
      </c>
      <c r="B3269" s="4">
        <v>6.5</v>
      </c>
    </row>
    <row r="3270" spans="1:2" x14ac:dyDescent="0.3">
      <c r="A3270" s="32">
        <v>91</v>
      </c>
      <c r="B3270" s="3">
        <v>5.7</v>
      </c>
    </row>
    <row r="3271" spans="1:2" x14ac:dyDescent="0.3">
      <c r="A3271" s="31">
        <v>105</v>
      </c>
      <c r="B3271" s="4">
        <v>7.2</v>
      </c>
    </row>
    <row r="3272" spans="1:2" x14ac:dyDescent="0.3">
      <c r="A3272" s="32">
        <v>100</v>
      </c>
      <c r="B3272" s="3">
        <v>7.3</v>
      </c>
    </row>
    <row r="3273" spans="1:2" x14ac:dyDescent="0.3">
      <c r="A3273" s="31">
        <v>80</v>
      </c>
      <c r="B3273" s="4">
        <v>6.9</v>
      </c>
    </row>
    <row r="3274" spans="1:2" x14ac:dyDescent="0.3">
      <c r="A3274" s="32">
        <v>107</v>
      </c>
      <c r="B3274" s="3">
        <v>5</v>
      </c>
    </row>
    <row r="3275" spans="1:2" x14ac:dyDescent="0.3">
      <c r="A3275" s="31">
        <v>92</v>
      </c>
      <c r="B3275" s="4">
        <v>5.9</v>
      </c>
    </row>
    <row r="3276" spans="1:2" x14ac:dyDescent="0.3">
      <c r="A3276" s="32">
        <v>107</v>
      </c>
      <c r="B3276" s="3">
        <v>6.7</v>
      </c>
    </row>
    <row r="3277" spans="1:2" x14ac:dyDescent="0.3">
      <c r="A3277" s="31">
        <v>135</v>
      </c>
      <c r="B3277" s="4">
        <v>7.3</v>
      </c>
    </row>
    <row r="3278" spans="1:2" x14ac:dyDescent="0.3">
      <c r="A3278" s="32">
        <v>99</v>
      </c>
      <c r="B3278" s="3">
        <v>7.6</v>
      </c>
    </row>
    <row r="3279" spans="1:2" x14ac:dyDescent="0.3">
      <c r="A3279" s="31">
        <v>115</v>
      </c>
      <c r="B3279" s="4">
        <v>6.5</v>
      </c>
    </row>
    <row r="3280" spans="1:2" x14ac:dyDescent="0.3">
      <c r="A3280" s="32">
        <v>91</v>
      </c>
      <c r="B3280" s="3">
        <v>2.1</v>
      </c>
    </row>
    <row r="3281" spans="1:2" x14ac:dyDescent="0.3">
      <c r="A3281" s="31">
        <v>92</v>
      </c>
      <c r="B3281" s="4">
        <v>5.3</v>
      </c>
    </row>
    <row r="3282" spans="1:2" x14ac:dyDescent="0.3">
      <c r="A3282" s="32">
        <v>101</v>
      </c>
      <c r="B3282" s="3">
        <v>7.2</v>
      </c>
    </row>
    <row r="3283" spans="1:2" x14ac:dyDescent="0.3">
      <c r="A3283" s="31">
        <v>105</v>
      </c>
      <c r="B3283" s="4">
        <v>7</v>
      </c>
    </row>
    <row r="3284" spans="1:2" x14ac:dyDescent="0.3">
      <c r="A3284" s="32">
        <v>109</v>
      </c>
      <c r="B3284" s="3">
        <v>8</v>
      </c>
    </row>
    <row r="3285" spans="1:2" x14ac:dyDescent="0.3">
      <c r="A3285" s="31">
        <v>110</v>
      </c>
      <c r="B3285" s="4">
        <v>6.5</v>
      </c>
    </row>
    <row r="3286" spans="1:2" x14ac:dyDescent="0.3">
      <c r="A3286" s="32">
        <v>94</v>
      </c>
      <c r="B3286" s="3">
        <v>6.9</v>
      </c>
    </row>
    <row r="3287" spans="1:2" x14ac:dyDescent="0.3">
      <c r="A3287" s="31">
        <v>115</v>
      </c>
      <c r="B3287" s="4">
        <v>7.1</v>
      </c>
    </row>
    <row r="3288" spans="1:2" x14ac:dyDescent="0.3">
      <c r="A3288" s="32">
        <v>98</v>
      </c>
      <c r="B3288" s="3">
        <v>7.3</v>
      </c>
    </row>
    <row r="3289" spans="1:2" x14ac:dyDescent="0.3">
      <c r="A3289" s="31">
        <v>91</v>
      </c>
      <c r="B3289" s="4">
        <v>7.5</v>
      </c>
    </row>
    <row r="3290" spans="1:2" x14ac:dyDescent="0.3">
      <c r="A3290" s="32">
        <v>120</v>
      </c>
      <c r="B3290" s="3">
        <v>6.9</v>
      </c>
    </row>
    <row r="3291" spans="1:2" x14ac:dyDescent="0.3">
      <c r="A3291" s="31">
        <v>87</v>
      </c>
      <c r="B3291" s="4">
        <v>7.2</v>
      </c>
    </row>
    <row r="3292" spans="1:2" x14ac:dyDescent="0.3">
      <c r="A3292" s="32">
        <v>117</v>
      </c>
      <c r="B3292" s="3">
        <v>7.2</v>
      </c>
    </row>
    <row r="3293" spans="1:2" x14ac:dyDescent="0.3">
      <c r="A3293" s="31">
        <v>85</v>
      </c>
      <c r="B3293" s="4">
        <v>6.7</v>
      </c>
    </row>
    <row r="3294" spans="1:2" x14ac:dyDescent="0.3">
      <c r="A3294" s="32">
        <v>110</v>
      </c>
      <c r="B3294" s="3">
        <v>6</v>
      </c>
    </row>
    <row r="3295" spans="1:2" x14ac:dyDescent="0.3">
      <c r="A3295" s="31">
        <v>113</v>
      </c>
      <c r="B3295" s="4">
        <v>8.9</v>
      </c>
    </row>
    <row r="3296" spans="1:2" x14ac:dyDescent="0.3">
      <c r="A3296" s="32">
        <v>98</v>
      </c>
      <c r="B3296" s="3">
        <v>7.7</v>
      </c>
    </row>
    <row r="3297" spans="1:2" x14ac:dyDescent="0.3">
      <c r="A3297" s="31">
        <v>86</v>
      </c>
      <c r="B3297" s="4">
        <v>7.9</v>
      </c>
    </row>
    <row r="3298" spans="1:2" x14ac:dyDescent="0.3">
      <c r="A3298" s="32">
        <v>161</v>
      </c>
      <c r="B3298" s="3">
        <v>5.6</v>
      </c>
    </row>
    <row r="3299" spans="1:2" x14ac:dyDescent="0.3">
      <c r="A3299" s="31">
        <v>100</v>
      </c>
      <c r="B3299" s="4">
        <v>8</v>
      </c>
    </row>
    <row r="3300" spans="1:2" x14ac:dyDescent="0.3">
      <c r="A3300" s="32">
        <v>91</v>
      </c>
      <c r="B3300" s="3">
        <v>6.2</v>
      </c>
    </row>
    <row r="3301" spans="1:2" x14ac:dyDescent="0.3">
      <c r="A3301" s="31">
        <v>100</v>
      </c>
      <c r="B3301" s="4">
        <v>7.9</v>
      </c>
    </row>
    <row r="3302" spans="1:2" x14ac:dyDescent="0.3">
      <c r="A3302" s="32">
        <v>84</v>
      </c>
      <c r="B3302" s="3">
        <v>8.1</v>
      </c>
    </row>
    <row r="3303" spans="1:2" x14ac:dyDescent="0.3">
      <c r="A3303" s="31">
        <v>99</v>
      </c>
      <c r="B3303" s="4">
        <v>7.6</v>
      </c>
    </row>
    <row r="3304" spans="1:2" x14ac:dyDescent="0.3">
      <c r="A3304" s="32">
        <v>109</v>
      </c>
      <c r="B3304" s="3">
        <v>3.5</v>
      </c>
    </row>
    <row r="3305" spans="1:2" x14ac:dyDescent="0.3">
      <c r="A3305" s="31">
        <v>95</v>
      </c>
      <c r="B3305" s="4">
        <v>7.6</v>
      </c>
    </row>
    <row r="3306" spans="1:2" x14ac:dyDescent="0.3">
      <c r="A3306" s="32">
        <v>97</v>
      </c>
      <c r="B3306" s="3">
        <v>6.5</v>
      </c>
    </row>
    <row r="3307" spans="1:2" x14ac:dyDescent="0.3">
      <c r="A3307" s="31">
        <v>90</v>
      </c>
      <c r="B3307" s="4">
        <v>5.6</v>
      </c>
    </row>
    <row r="3308" spans="1:2" x14ac:dyDescent="0.3">
      <c r="A3308" s="32">
        <v>96</v>
      </c>
      <c r="B3308" s="3">
        <v>7.7</v>
      </c>
    </row>
    <row r="3309" spans="1:2" x14ac:dyDescent="0.3">
      <c r="A3309" s="31">
        <v>82</v>
      </c>
      <c r="B3309" s="4">
        <v>5.2</v>
      </c>
    </row>
    <row r="3310" spans="1:2" x14ac:dyDescent="0.3">
      <c r="A3310" s="32">
        <v>109</v>
      </c>
      <c r="B3310" s="3">
        <v>6.9</v>
      </c>
    </row>
    <row r="3311" spans="1:2" x14ac:dyDescent="0.3">
      <c r="A3311" s="31">
        <v>98</v>
      </c>
      <c r="B3311" s="4">
        <v>6.1</v>
      </c>
    </row>
    <row r="3312" spans="1:2" x14ac:dyDescent="0.3">
      <c r="A3312" s="32">
        <v>95</v>
      </c>
      <c r="B3312" s="3">
        <v>5</v>
      </c>
    </row>
    <row r="3313" spans="1:2" x14ac:dyDescent="0.3">
      <c r="A3313" s="31">
        <v>104</v>
      </c>
      <c r="B3313" s="4">
        <v>7.8</v>
      </c>
    </row>
    <row r="3314" spans="1:2" x14ac:dyDescent="0.3">
      <c r="A3314" s="32">
        <v>87</v>
      </c>
      <c r="B3314" s="3">
        <v>7.4</v>
      </c>
    </row>
    <row r="3315" spans="1:2" x14ac:dyDescent="0.3">
      <c r="A3315" s="31">
        <v>108</v>
      </c>
      <c r="B3315" s="4">
        <v>6.8</v>
      </c>
    </row>
    <row r="3316" spans="1:2" x14ac:dyDescent="0.3">
      <c r="A3316" s="32">
        <v>134</v>
      </c>
      <c r="B3316" s="3">
        <v>6.4</v>
      </c>
    </row>
    <row r="3317" spans="1:2" x14ac:dyDescent="0.3">
      <c r="A3317" s="31">
        <v>89</v>
      </c>
      <c r="B3317" s="4">
        <v>5.7</v>
      </c>
    </row>
    <row r="3318" spans="1:2" x14ac:dyDescent="0.3">
      <c r="A3318" s="32">
        <v>102</v>
      </c>
      <c r="B3318" s="3">
        <v>7.5</v>
      </c>
    </row>
    <row r="3319" spans="1:2" x14ac:dyDescent="0.3">
      <c r="A3319" s="31">
        <v>120</v>
      </c>
      <c r="B3319" s="4">
        <v>6.7</v>
      </c>
    </row>
    <row r="3320" spans="1:2" x14ac:dyDescent="0.3">
      <c r="A3320" s="32">
        <v>110</v>
      </c>
      <c r="B3320" s="3">
        <v>5.6</v>
      </c>
    </row>
    <row r="3321" spans="1:2" x14ac:dyDescent="0.3">
      <c r="A3321" s="31">
        <v>86</v>
      </c>
      <c r="B3321" s="4">
        <v>7</v>
      </c>
    </row>
    <row r="3322" spans="1:2" x14ac:dyDescent="0.3">
      <c r="A3322" s="32">
        <v>101</v>
      </c>
      <c r="B3322" s="3">
        <v>7.6</v>
      </c>
    </row>
    <row r="3323" spans="1:2" x14ac:dyDescent="0.3">
      <c r="A3323" s="31">
        <v>87</v>
      </c>
      <c r="B3323" s="4">
        <v>6.5</v>
      </c>
    </row>
    <row r="3324" spans="1:2" x14ac:dyDescent="0.3">
      <c r="A3324" s="32">
        <v>93</v>
      </c>
      <c r="B3324" s="3">
        <v>7</v>
      </c>
    </row>
    <row r="3325" spans="1:2" x14ac:dyDescent="0.3">
      <c r="A3325" s="31">
        <v>98</v>
      </c>
      <c r="B3325" s="4">
        <v>6.3</v>
      </c>
    </row>
    <row r="3326" spans="1:2" x14ac:dyDescent="0.3">
      <c r="A3326" s="32">
        <v>100</v>
      </c>
      <c r="B3326" s="3">
        <v>6.4</v>
      </c>
    </row>
    <row r="3327" spans="1:2" x14ac:dyDescent="0.3">
      <c r="A3327" s="31">
        <v>88</v>
      </c>
      <c r="B3327" s="4">
        <v>7.1</v>
      </c>
    </row>
    <row r="3328" spans="1:2" x14ac:dyDescent="0.3">
      <c r="A3328" s="32">
        <v>97</v>
      </c>
      <c r="B3328" s="3">
        <v>7.1</v>
      </c>
    </row>
    <row r="3329" spans="1:2" x14ac:dyDescent="0.3">
      <c r="A3329" s="31">
        <v>122</v>
      </c>
      <c r="B3329" s="4">
        <v>6.5</v>
      </c>
    </row>
    <row r="3330" spans="1:2" x14ac:dyDescent="0.3">
      <c r="A3330" s="32">
        <v>96</v>
      </c>
      <c r="B3330" s="3">
        <v>6.9</v>
      </c>
    </row>
    <row r="3331" spans="1:2" x14ac:dyDescent="0.3">
      <c r="A3331" s="31">
        <v>113</v>
      </c>
      <c r="B3331" s="4">
        <v>5.4</v>
      </c>
    </row>
    <row r="3332" spans="1:2" x14ac:dyDescent="0.3">
      <c r="A3332" s="32">
        <v>105</v>
      </c>
      <c r="B3332" s="3">
        <v>4.9000000000000004</v>
      </c>
    </row>
    <row r="3333" spans="1:2" x14ac:dyDescent="0.3">
      <c r="A3333" s="31">
        <v>93</v>
      </c>
      <c r="B3333" s="4">
        <v>5.0999999999999996</v>
      </c>
    </row>
    <row r="3334" spans="1:2" x14ac:dyDescent="0.3">
      <c r="A3334" s="32">
        <v>89</v>
      </c>
      <c r="B3334" s="3">
        <v>5.3</v>
      </c>
    </row>
    <row r="3335" spans="1:2" x14ac:dyDescent="0.3">
      <c r="A3335" s="31">
        <v>116</v>
      </c>
      <c r="B3335" s="4">
        <v>7.5</v>
      </c>
    </row>
    <row r="3336" spans="1:2" x14ac:dyDescent="0.3">
      <c r="A3336" s="32">
        <v>88</v>
      </c>
      <c r="B3336" s="3">
        <v>7.3</v>
      </c>
    </row>
    <row r="3337" spans="1:2" x14ac:dyDescent="0.3">
      <c r="A3337" s="31">
        <v>102</v>
      </c>
      <c r="B3337" s="4">
        <v>7.3</v>
      </c>
    </row>
    <row r="3338" spans="1:2" x14ac:dyDescent="0.3">
      <c r="A3338" s="32">
        <v>106</v>
      </c>
      <c r="B3338" s="3">
        <v>7.1</v>
      </c>
    </row>
    <row r="3339" spans="1:2" x14ac:dyDescent="0.3">
      <c r="A3339" s="31">
        <v>95</v>
      </c>
      <c r="B3339" s="4">
        <v>6</v>
      </c>
    </row>
    <row r="3340" spans="1:2" x14ac:dyDescent="0.3">
      <c r="A3340" s="32">
        <v>113</v>
      </c>
      <c r="B3340" s="3">
        <v>6.6</v>
      </c>
    </row>
    <row r="3341" spans="1:2" x14ac:dyDescent="0.3">
      <c r="A3341" s="31">
        <v>93</v>
      </c>
      <c r="B3341" s="4">
        <v>7.2</v>
      </c>
    </row>
    <row r="3342" spans="1:2" x14ac:dyDescent="0.3">
      <c r="A3342" s="32">
        <v>97</v>
      </c>
      <c r="B3342" s="3">
        <v>7.2</v>
      </c>
    </row>
    <row r="3343" spans="1:2" x14ac:dyDescent="0.3">
      <c r="A3343" s="31">
        <v>140</v>
      </c>
      <c r="B3343" s="4">
        <v>6.9</v>
      </c>
    </row>
    <row r="3344" spans="1:2" x14ac:dyDescent="0.3">
      <c r="A3344" s="32">
        <v>86</v>
      </c>
      <c r="B3344" s="3">
        <v>6.8</v>
      </c>
    </row>
    <row r="3345" spans="1:2" x14ac:dyDescent="0.3">
      <c r="A3345" s="31">
        <v>66</v>
      </c>
      <c r="B3345" s="4">
        <v>4</v>
      </c>
    </row>
    <row r="3346" spans="1:2" x14ac:dyDescent="0.3">
      <c r="A3346" s="32">
        <v>86</v>
      </c>
      <c r="B3346" s="3">
        <v>7.7</v>
      </c>
    </row>
    <row r="3347" spans="1:2" x14ac:dyDescent="0.3">
      <c r="A3347" s="31">
        <v>87</v>
      </c>
      <c r="B3347" s="4">
        <v>7.4</v>
      </c>
    </row>
    <row r="3348" spans="1:2" x14ac:dyDescent="0.3">
      <c r="A3348" s="32">
        <v>149</v>
      </c>
      <c r="B3348" s="3">
        <v>6.5</v>
      </c>
    </row>
    <row r="3349" spans="1:2" x14ac:dyDescent="0.3">
      <c r="A3349" s="31">
        <v>98</v>
      </c>
      <c r="B3349" s="4">
        <v>6.4</v>
      </c>
    </row>
    <row r="3350" spans="1:2" x14ac:dyDescent="0.3">
      <c r="A3350" s="32">
        <v>75</v>
      </c>
      <c r="B3350" s="3">
        <v>7.2</v>
      </c>
    </row>
    <row r="3351" spans="1:2" x14ac:dyDescent="0.3">
      <c r="A3351" s="31">
        <v>104</v>
      </c>
      <c r="B3351" s="4">
        <v>5.6</v>
      </c>
    </row>
    <row r="3352" spans="1:2" x14ac:dyDescent="0.3">
      <c r="A3352" s="32">
        <v>102</v>
      </c>
      <c r="B3352" s="3">
        <v>6.3</v>
      </c>
    </row>
    <row r="3353" spans="1:2" x14ac:dyDescent="0.3">
      <c r="A3353" s="31">
        <v>105</v>
      </c>
      <c r="B3353" s="4">
        <v>6.8</v>
      </c>
    </row>
    <row r="3354" spans="1:2" x14ac:dyDescent="0.3">
      <c r="A3354" s="32">
        <v>107</v>
      </c>
      <c r="B3354" s="3">
        <v>5.5</v>
      </c>
    </row>
    <row r="3355" spans="1:2" x14ac:dyDescent="0.3">
      <c r="A3355" s="31">
        <v>89</v>
      </c>
      <c r="B3355" s="4">
        <v>6.9</v>
      </c>
    </row>
    <row r="3356" spans="1:2" x14ac:dyDescent="0.3">
      <c r="A3356" s="32">
        <v>106</v>
      </c>
      <c r="B3356" s="3">
        <v>6</v>
      </c>
    </row>
    <row r="3357" spans="1:2" x14ac:dyDescent="0.3">
      <c r="A3357" s="31">
        <v>34</v>
      </c>
      <c r="B3357" s="4">
        <v>6.4</v>
      </c>
    </row>
    <row r="3358" spans="1:2" x14ac:dyDescent="0.3">
      <c r="A3358" s="32">
        <v>101</v>
      </c>
      <c r="B3358" s="3">
        <v>6.6</v>
      </c>
    </row>
    <row r="3359" spans="1:2" x14ac:dyDescent="0.3">
      <c r="A3359" s="31">
        <v>112</v>
      </c>
      <c r="B3359" s="4">
        <v>5.3</v>
      </c>
    </row>
    <row r="3360" spans="1:2" x14ac:dyDescent="0.3">
      <c r="A3360" s="32">
        <v>100</v>
      </c>
      <c r="B3360" s="3">
        <v>8.1</v>
      </c>
    </row>
    <row r="3361" spans="1:2" x14ac:dyDescent="0.3">
      <c r="A3361" s="31">
        <v>100</v>
      </c>
      <c r="B3361" s="4">
        <v>5.9</v>
      </c>
    </row>
    <row r="3362" spans="1:2" x14ac:dyDescent="0.3">
      <c r="A3362" s="32">
        <v>80</v>
      </c>
      <c r="B3362" s="3">
        <v>7.7</v>
      </c>
    </row>
    <row r="3363" spans="1:2" x14ac:dyDescent="0.3">
      <c r="A3363" s="31">
        <v>106</v>
      </c>
      <c r="B3363" s="4">
        <v>4.5999999999999996</v>
      </c>
    </row>
    <row r="3364" spans="1:2" x14ac:dyDescent="0.3">
      <c r="A3364" s="32">
        <v>103</v>
      </c>
      <c r="B3364" s="3">
        <v>5.0999999999999996</v>
      </c>
    </row>
    <row r="3365" spans="1:2" x14ac:dyDescent="0.3">
      <c r="A3365" s="31">
        <v>90</v>
      </c>
      <c r="B3365" s="4">
        <v>6.9</v>
      </c>
    </row>
    <row r="3366" spans="1:2" x14ac:dyDescent="0.3">
      <c r="A3366" s="32">
        <v>96</v>
      </c>
      <c r="B3366" s="3">
        <v>8</v>
      </c>
    </row>
    <row r="3367" spans="1:2" x14ac:dyDescent="0.3">
      <c r="A3367" s="31">
        <v>120</v>
      </c>
      <c r="B3367" s="4">
        <v>6.8</v>
      </c>
    </row>
    <row r="3368" spans="1:2" x14ac:dyDescent="0.3">
      <c r="A3368" s="32">
        <v>101</v>
      </c>
      <c r="B3368" s="3">
        <v>5.4</v>
      </c>
    </row>
    <row r="3369" spans="1:2" x14ac:dyDescent="0.3">
      <c r="A3369" s="31">
        <v>101</v>
      </c>
      <c r="B3369" s="4">
        <v>6.5</v>
      </c>
    </row>
    <row r="3370" spans="1:2" x14ac:dyDescent="0.3">
      <c r="A3370" s="32">
        <v>105</v>
      </c>
      <c r="B3370" s="3">
        <v>4.2</v>
      </c>
    </row>
    <row r="3371" spans="1:2" x14ac:dyDescent="0.3">
      <c r="A3371" s="31">
        <v>120</v>
      </c>
      <c r="B3371" s="4">
        <v>7.4</v>
      </c>
    </row>
    <row r="3372" spans="1:2" x14ac:dyDescent="0.3">
      <c r="A3372" s="32">
        <v>91</v>
      </c>
      <c r="B3372" s="3">
        <v>6.9</v>
      </c>
    </row>
    <row r="3373" spans="1:2" x14ac:dyDescent="0.3">
      <c r="A3373" s="31">
        <v>92</v>
      </c>
      <c r="B3373" s="4">
        <v>6.7</v>
      </c>
    </row>
    <row r="3374" spans="1:2" x14ac:dyDescent="0.3">
      <c r="A3374" s="32">
        <v>117</v>
      </c>
      <c r="B3374" s="3">
        <v>7.3</v>
      </c>
    </row>
    <row r="3375" spans="1:2" x14ac:dyDescent="0.3">
      <c r="A3375" s="31">
        <v>120</v>
      </c>
      <c r="B3375" s="4">
        <v>7.6</v>
      </c>
    </row>
    <row r="3376" spans="1:2" x14ac:dyDescent="0.3">
      <c r="A3376" s="32">
        <v>172</v>
      </c>
      <c r="B3376" s="3">
        <v>5.4</v>
      </c>
    </row>
    <row r="3377" spans="1:2" x14ac:dyDescent="0.3">
      <c r="A3377" s="31">
        <v>89</v>
      </c>
      <c r="B3377" s="4">
        <v>7.3</v>
      </c>
    </row>
    <row r="3378" spans="1:2" x14ac:dyDescent="0.3">
      <c r="A3378" s="32">
        <v>125</v>
      </c>
      <c r="B3378" s="3">
        <v>6.4</v>
      </c>
    </row>
    <row r="3379" spans="1:2" x14ac:dyDescent="0.3">
      <c r="A3379" s="31">
        <v>115</v>
      </c>
      <c r="B3379" s="4">
        <v>6</v>
      </c>
    </row>
    <row r="3380" spans="1:2" x14ac:dyDescent="0.3">
      <c r="A3380" s="32">
        <v>96</v>
      </c>
      <c r="B3380" s="3">
        <v>7.2</v>
      </c>
    </row>
    <row r="3381" spans="1:2" x14ac:dyDescent="0.3">
      <c r="A3381" s="31">
        <v>100</v>
      </c>
      <c r="B3381" s="4">
        <v>6</v>
      </c>
    </row>
    <row r="3382" spans="1:2" x14ac:dyDescent="0.3">
      <c r="A3382" s="32">
        <v>87</v>
      </c>
      <c r="B3382" s="3">
        <v>3.1</v>
      </c>
    </row>
    <row r="3383" spans="1:2" x14ac:dyDescent="0.3">
      <c r="A3383" s="31">
        <v>102</v>
      </c>
      <c r="B3383" s="4">
        <v>6.9</v>
      </c>
    </row>
    <row r="3384" spans="1:2" x14ac:dyDescent="0.3">
      <c r="A3384" s="32">
        <v>118</v>
      </c>
      <c r="B3384" s="3">
        <v>6.2</v>
      </c>
    </row>
    <row r="3385" spans="1:2" x14ac:dyDescent="0.3">
      <c r="A3385" s="31">
        <v>86</v>
      </c>
      <c r="B3385" s="4">
        <v>5.5</v>
      </c>
    </row>
    <row r="3386" spans="1:2" x14ac:dyDescent="0.3">
      <c r="A3386" s="32">
        <v>137</v>
      </c>
      <c r="B3386" s="3">
        <v>6.9</v>
      </c>
    </row>
    <row r="3387" spans="1:2" x14ac:dyDescent="0.3">
      <c r="A3387" s="31">
        <v>129</v>
      </c>
      <c r="B3387" s="4">
        <v>6.3</v>
      </c>
    </row>
    <row r="3388" spans="1:2" x14ac:dyDescent="0.3">
      <c r="A3388" s="32">
        <v>80</v>
      </c>
      <c r="B3388" s="3">
        <v>4.8</v>
      </c>
    </row>
    <row r="3389" spans="1:2" x14ac:dyDescent="0.3">
      <c r="A3389" s="31">
        <v>89</v>
      </c>
      <c r="B3389" s="4">
        <v>7.9</v>
      </c>
    </row>
    <row r="3390" spans="1:2" x14ac:dyDescent="0.3">
      <c r="A3390" s="32">
        <v>80</v>
      </c>
      <c r="B3390" s="3">
        <v>6.7</v>
      </c>
    </row>
    <row r="3391" spans="1:2" x14ac:dyDescent="0.3">
      <c r="A3391" s="31">
        <v>115</v>
      </c>
      <c r="B3391" s="4">
        <v>5.6</v>
      </c>
    </row>
    <row r="3392" spans="1:2" x14ac:dyDescent="0.3">
      <c r="A3392" s="32">
        <v>100</v>
      </c>
      <c r="B3392" s="3">
        <v>5.4</v>
      </c>
    </row>
    <row r="3393" spans="1:2" x14ac:dyDescent="0.3">
      <c r="A3393" s="31">
        <v>100</v>
      </c>
      <c r="B3393" s="4">
        <v>8</v>
      </c>
    </row>
    <row r="3394" spans="1:2" x14ac:dyDescent="0.3">
      <c r="A3394" s="32">
        <v>91</v>
      </c>
      <c r="B3394" s="3">
        <v>5.7</v>
      </c>
    </row>
    <row r="3395" spans="1:2" x14ac:dyDescent="0.3">
      <c r="A3395" s="31">
        <v>96</v>
      </c>
      <c r="B3395" s="4">
        <v>7.6</v>
      </c>
    </row>
    <row r="3396" spans="1:2" x14ac:dyDescent="0.3">
      <c r="A3396" s="32">
        <v>116</v>
      </c>
      <c r="B3396" s="3">
        <v>7</v>
      </c>
    </row>
    <row r="3397" spans="1:2" x14ac:dyDescent="0.3">
      <c r="A3397" s="31">
        <v>97</v>
      </c>
      <c r="B3397" s="4">
        <v>7.2</v>
      </c>
    </row>
    <row r="3398" spans="1:2" x14ac:dyDescent="0.3">
      <c r="A3398" s="32">
        <v>101</v>
      </c>
      <c r="B3398" s="3">
        <v>6.2</v>
      </c>
    </row>
    <row r="3399" spans="1:2" x14ac:dyDescent="0.3">
      <c r="A3399" s="31">
        <v>98</v>
      </c>
      <c r="B3399" s="4">
        <v>3.5</v>
      </c>
    </row>
    <row r="3400" spans="1:2" x14ac:dyDescent="0.3">
      <c r="A3400" s="32">
        <v>101</v>
      </c>
      <c r="B3400" s="3">
        <v>7.5</v>
      </c>
    </row>
    <row r="3401" spans="1:2" x14ac:dyDescent="0.3">
      <c r="A3401" s="31">
        <v>90</v>
      </c>
      <c r="B3401" s="4">
        <v>5.0999999999999996</v>
      </c>
    </row>
    <row r="3402" spans="1:2" x14ac:dyDescent="0.3">
      <c r="A3402" s="32">
        <v>120</v>
      </c>
      <c r="B3402" s="3">
        <v>6.7</v>
      </c>
    </row>
    <row r="3403" spans="1:2" x14ac:dyDescent="0.3">
      <c r="A3403" s="31">
        <v>102</v>
      </c>
      <c r="B3403" s="4">
        <v>9.1999999999999993</v>
      </c>
    </row>
    <row r="3404" spans="1:2" x14ac:dyDescent="0.3">
      <c r="A3404" s="32">
        <v>102</v>
      </c>
      <c r="B3404" s="3">
        <v>6.1</v>
      </c>
    </row>
    <row r="3405" spans="1:2" x14ac:dyDescent="0.3">
      <c r="A3405" s="31">
        <v>100</v>
      </c>
      <c r="B3405" s="4">
        <v>7.7</v>
      </c>
    </row>
    <row r="3406" spans="1:2" x14ac:dyDescent="0.3">
      <c r="A3406" s="32">
        <v>89</v>
      </c>
      <c r="B3406" s="3">
        <v>7.6</v>
      </c>
    </row>
    <row r="3407" spans="1:2" x14ac:dyDescent="0.3">
      <c r="A3407" s="31">
        <v>86</v>
      </c>
      <c r="B3407" s="4">
        <v>6.1</v>
      </c>
    </row>
    <row r="3408" spans="1:2" x14ac:dyDescent="0.3">
      <c r="A3408" s="32">
        <v>96</v>
      </c>
      <c r="B3408" s="3">
        <v>4.9000000000000004</v>
      </c>
    </row>
    <row r="3409" spans="1:2" x14ac:dyDescent="0.3">
      <c r="A3409" s="31">
        <v>91</v>
      </c>
      <c r="B3409" s="4">
        <v>6.8</v>
      </c>
    </row>
    <row r="3410" spans="1:2" x14ac:dyDescent="0.3">
      <c r="A3410" s="32">
        <v>85</v>
      </c>
      <c r="B3410" s="3">
        <v>7</v>
      </c>
    </row>
    <row r="3411" spans="1:2" x14ac:dyDescent="0.3">
      <c r="A3411" s="31">
        <v>129</v>
      </c>
      <c r="B3411" s="4">
        <v>7.2</v>
      </c>
    </row>
    <row r="3412" spans="1:2" x14ac:dyDescent="0.3">
      <c r="A3412" s="32">
        <v>95</v>
      </c>
      <c r="B3412" s="3">
        <v>5.7</v>
      </c>
    </row>
    <row r="3413" spans="1:2" x14ac:dyDescent="0.3">
      <c r="A3413" s="31">
        <v>92</v>
      </c>
      <c r="B3413" s="4">
        <v>7.3</v>
      </c>
    </row>
    <row r="3414" spans="1:2" x14ac:dyDescent="0.3">
      <c r="A3414" s="32">
        <v>96</v>
      </c>
      <c r="B3414" s="3">
        <v>7.5</v>
      </c>
    </row>
    <row r="3415" spans="1:2" x14ac:dyDescent="0.3">
      <c r="A3415" s="31">
        <v>119</v>
      </c>
      <c r="B3415" s="4">
        <v>7.4</v>
      </c>
    </row>
    <row r="3416" spans="1:2" x14ac:dyDescent="0.3">
      <c r="A3416" s="32">
        <v>92</v>
      </c>
      <c r="B3416" s="3">
        <v>7.2</v>
      </c>
    </row>
    <row r="3417" spans="1:2" x14ac:dyDescent="0.3">
      <c r="A3417" s="31">
        <v>106</v>
      </c>
      <c r="B3417" s="4">
        <v>6.5</v>
      </c>
    </row>
    <row r="3418" spans="1:2" x14ac:dyDescent="0.3">
      <c r="A3418" s="32">
        <v>103</v>
      </c>
      <c r="B3418" s="3">
        <v>6.8</v>
      </c>
    </row>
    <row r="3419" spans="1:2" x14ac:dyDescent="0.3">
      <c r="A3419" s="31">
        <v>95</v>
      </c>
      <c r="B3419" s="4">
        <v>6.8</v>
      </c>
    </row>
    <row r="3420" spans="1:2" x14ac:dyDescent="0.3">
      <c r="A3420" s="32">
        <v>95</v>
      </c>
      <c r="B3420" s="3">
        <v>5.2</v>
      </c>
    </row>
    <row r="3421" spans="1:2" x14ac:dyDescent="0.3">
      <c r="A3421" s="31">
        <v>90</v>
      </c>
      <c r="B3421" s="4">
        <v>7.2</v>
      </c>
    </row>
    <row r="3422" spans="1:2" x14ac:dyDescent="0.3">
      <c r="A3422" s="32">
        <v>89</v>
      </c>
      <c r="B3422" s="3">
        <v>7.5</v>
      </c>
    </row>
    <row r="3423" spans="1:2" x14ac:dyDescent="0.3">
      <c r="A3423" s="31">
        <v>87</v>
      </c>
      <c r="B3423" s="4">
        <v>4</v>
      </c>
    </row>
    <row r="3424" spans="1:2" x14ac:dyDescent="0.3">
      <c r="A3424" s="32">
        <v>118</v>
      </c>
      <c r="B3424" s="3">
        <v>6.8</v>
      </c>
    </row>
    <row r="3425" spans="1:2" x14ac:dyDescent="0.3">
      <c r="A3425" s="31">
        <v>93</v>
      </c>
      <c r="B3425" s="4">
        <v>6.9</v>
      </c>
    </row>
    <row r="3426" spans="1:2" x14ac:dyDescent="0.3">
      <c r="A3426" s="32">
        <v>90</v>
      </c>
      <c r="B3426" s="3">
        <v>7.3</v>
      </c>
    </row>
    <row r="3427" spans="1:2" x14ac:dyDescent="0.3">
      <c r="A3427" s="31">
        <v>108</v>
      </c>
      <c r="B3427" s="4">
        <v>6.1</v>
      </c>
    </row>
    <row r="3428" spans="1:2" x14ac:dyDescent="0.3">
      <c r="A3428" s="32">
        <v>81</v>
      </c>
      <c r="B3428" s="3">
        <v>7.8</v>
      </c>
    </row>
    <row r="3429" spans="1:2" x14ac:dyDescent="0.3">
      <c r="A3429" s="31">
        <v>93</v>
      </c>
      <c r="B3429" s="4">
        <v>6</v>
      </c>
    </row>
    <row r="3430" spans="1:2" x14ac:dyDescent="0.3">
      <c r="A3430" s="32">
        <v>138</v>
      </c>
      <c r="B3430" s="3">
        <v>4.0999999999999996</v>
      </c>
    </row>
    <row r="3431" spans="1:2" x14ac:dyDescent="0.3">
      <c r="A3431" s="31">
        <v>105</v>
      </c>
      <c r="B3431" s="4">
        <v>7</v>
      </c>
    </row>
    <row r="3432" spans="1:2" x14ac:dyDescent="0.3">
      <c r="A3432" s="32">
        <v>98</v>
      </c>
      <c r="B3432" s="3">
        <v>7.1</v>
      </c>
    </row>
    <row r="3433" spans="1:2" x14ac:dyDescent="0.3">
      <c r="A3433" s="31">
        <v>86</v>
      </c>
      <c r="B3433" s="4">
        <v>6.2</v>
      </c>
    </row>
    <row r="3434" spans="1:2" x14ac:dyDescent="0.3">
      <c r="A3434" s="32">
        <v>104</v>
      </c>
      <c r="B3434" s="3">
        <v>6.9</v>
      </c>
    </row>
    <row r="3435" spans="1:2" x14ac:dyDescent="0.3">
      <c r="A3435" s="31">
        <v>100</v>
      </c>
      <c r="B3435" s="4">
        <v>7.6</v>
      </c>
    </row>
    <row r="3436" spans="1:2" x14ac:dyDescent="0.3">
      <c r="A3436" s="32">
        <v>84</v>
      </c>
      <c r="B3436" s="3">
        <v>7.6</v>
      </c>
    </row>
    <row r="3437" spans="1:2" x14ac:dyDescent="0.3">
      <c r="A3437" s="31">
        <v>95</v>
      </c>
      <c r="B3437" s="4">
        <v>6.4</v>
      </c>
    </row>
    <row r="3438" spans="1:2" x14ac:dyDescent="0.3">
      <c r="A3438" s="32">
        <v>90</v>
      </c>
      <c r="B3438" s="3">
        <v>6.2</v>
      </c>
    </row>
    <row r="3439" spans="1:2" x14ac:dyDescent="0.3">
      <c r="A3439" s="31">
        <v>123</v>
      </c>
      <c r="B3439" s="4">
        <v>7.5</v>
      </c>
    </row>
    <row r="3440" spans="1:2" x14ac:dyDescent="0.3">
      <c r="A3440" s="32">
        <v>111</v>
      </c>
      <c r="B3440" s="3">
        <v>2</v>
      </c>
    </row>
    <row r="3441" spans="1:2" x14ac:dyDescent="0.3">
      <c r="A3441" s="31">
        <v>108</v>
      </c>
      <c r="B3441" s="4">
        <v>6.2</v>
      </c>
    </row>
    <row r="3442" spans="1:2" x14ac:dyDescent="0.3">
      <c r="A3442" s="32">
        <v>91</v>
      </c>
      <c r="B3442" s="3">
        <v>6.5</v>
      </c>
    </row>
    <row r="3443" spans="1:2" x14ac:dyDescent="0.3">
      <c r="A3443" s="31">
        <v>97</v>
      </c>
      <c r="B3443" s="4">
        <v>7.9</v>
      </c>
    </row>
    <row r="3444" spans="1:2" x14ac:dyDescent="0.3">
      <c r="A3444" s="32">
        <v>103</v>
      </c>
      <c r="B3444" s="3">
        <v>6.8</v>
      </c>
    </row>
    <row r="3445" spans="1:2" x14ac:dyDescent="0.3">
      <c r="A3445" s="31">
        <v>110</v>
      </c>
      <c r="B3445" s="4">
        <v>6.3</v>
      </c>
    </row>
    <row r="3446" spans="1:2" x14ac:dyDescent="0.3">
      <c r="A3446" s="32">
        <v>103</v>
      </c>
      <c r="B3446" s="3">
        <v>6.3</v>
      </c>
    </row>
    <row r="3447" spans="1:2" x14ac:dyDescent="0.3">
      <c r="A3447" s="31">
        <v>114</v>
      </c>
      <c r="B3447" s="4">
        <v>6.6</v>
      </c>
    </row>
    <row r="3448" spans="1:2" x14ac:dyDescent="0.3">
      <c r="A3448" s="32">
        <v>112</v>
      </c>
      <c r="B3448" s="3">
        <v>6.4</v>
      </c>
    </row>
    <row r="3449" spans="1:2" x14ac:dyDescent="0.3">
      <c r="A3449" s="31">
        <v>104</v>
      </c>
      <c r="B3449" s="4">
        <v>7.5</v>
      </c>
    </row>
    <row r="3450" spans="1:2" x14ac:dyDescent="0.3">
      <c r="A3450" s="32">
        <v>99</v>
      </c>
      <c r="B3450" s="3">
        <v>5.8</v>
      </c>
    </row>
    <row r="3451" spans="1:2" x14ac:dyDescent="0.3">
      <c r="A3451" s="31">
        <v>98</v>
      </c>
      <c r="B3451" s="4">
        <v>6.5</v>
      </c>
    </row>
    <row r="3452" spans="1:2" x14ac:dyDescent="0.3">
      <c r="A3452" s="32">
        <v>100</v>
      </c>
      <c r="B3452" s="3">
        <v>4.8</v>
      </c>
    </row>
    <row r="3453" spans="1:2" x14ac:dyDescent="0.3">
      <c r="A3453" s="31">
        <v>80</v>
      </c>
      <c r="B3453" s="4">
        <v>7.2</v>
      </c>
    </row>
    <row r="3454" spans="1:2" x14ac:dyDescent="0.3">
      <c r="A3454" s="32">
        <v>87</v>
      </c>
      <c r="B3454" s="3">
        <v>6.3</v>
      </c>
    </row>
    <row r="3455" spans="1:2" x14ac:dyDescent="0.3">
      <c r="A3455" s="31">
        <v>91</v>
      </c>
      <c r="B3455" s="4">
        <v>7</v>
      </c>
    </row>
    <row r="3456" spans="1:2" x14ac:dyDescent="0.3">
      <c r="A3456" s="32">
        <v>84</v>
      </c>
      <c r="B3456" s="3">
        <v>6.3</v>
      </c>
    </row>
    <row r="3457" spans="1:2" x14ac:dyDescent="0.3">
      <c r="A3457" s="31">
        <v>90</v>
      </c>
      <c r="B3457" s="4">
        <v>5.3</v>
      </c>
    </row>
    <row r="3458" spans="1:2" x14ac:dyDescent="0.3">
      <c r="A3458" s="32">
        <v>98</v>
      </c>
      <c r="B3458" s="3">
        <v>2.2999999999999998</v>
      </c>
    </row>
    <row r="3459" spans="1:2" x14ac:dyDescent="0.3">
      <c r="A3459" s="31">
        <v>124</v>
      </c>
      <c r="B3459" s="4">
        <v>7.1</v>
      </c>
    </row>
    <row r="3460" spans="1:2" x14ac:dyDescent="0.3">
      <c r="A3460" s="32">
        <v>95</v>
      </c>
      <c r="B3460" s="3">
        <v>6.2</v>
      </c>
    </row>
    <row r="3461" spans="1:2" x14ac:dyDescent="0.3">
      <c r="A3461" s="31">
        <v>90</v>
      </c>
      <c r="B3461" s="4">
        <v>6.2</v>
      </c>
    </row>
    <row r="3462" spans="1:2" x14ac:dyDescent="0.3">
      <c r="A3462" s="32">
        <v>101</v>
      </c>
      <c r="B3462" s="3">
        <v>6.7</v>
      </c>
    </row>
    <row r="3463" spans="1:2" x14ac:dyDescent="0.3">
      <c r="A3463" s="31">
        <v>83</v>
      </c>
      <c r="B3463" s="4">
        <v>6.5</v>
      </c>
    </row>
    <row r="3464" spans="1:2" x14ac:dyDescent="0.3">
      <c r="A3464" s="32">
        <v>106</v>
      </c>
      <c r="B3464" s="3">
        <v>5.9</v>
      </c>
    </row>
    <row r="3465" spans="1:2" x14ac:dyDescent="0.3">
      <c r="A3465" s="31">
        <v>94</v>
      </c>
      <c r="B3465" s="4">
        <v>6.7</v>
      </c>
    </row>
    <row r="3466" spans="1:2" x14ac:dyDescent="0.3">
      <c r="A3466" s="32">
        <v>120</v>
      </c>
      <c r="B3466" s="3">
        <v>6</v>
      </c>
    </row>
    <row r="3467" spans="1:2" x14ac:dyDescent="0.3">
      <c r="A3467" s="31">
        <v>105</v>
      </c>
      <c r="B3467" s="4">
        <v>6.9</v>
      </c>
    </row>
    <row r="3468" spans="1:2" x14ac:dyDescent="0.3">
      <c r="A3468" s="32">
        <v>95</v>
      </c>
      <c r="B3468" s="3">
        <v>7.9</v>
      </c>
    </row>
    <row r="3469" spans="1:2" x14ac:dyDescent="0.3">
      <c r="A3469" s="31">
        <v>135</v>
      </c>
      <c r="B3469" s="4">
        <v>5.3</v>
      </c>
    </row>
    <row r="3470" spans="1:2" x14ac:dyDescent="0.3">
      <c r="A3470" s="32">
        <v>105</v>
      </c>
      <c r="B3470" s="3">
        <v>4.8</v>
      </c>
    </row>
    <row r="3471" spans="1:2" x14ac:dyDescent="0.3">
      <c r="A3471" s="31">
        <v>83</v>
      </c>
      <c r="B3471" s="4">
        <v>5.3</v>
      </c>
    </row>
    <row r="3472" spans="1:2" x14ac:dyDescent="0.3">
      <c r="A3472" s="32">
        <v>87</v>
      </c>
      <c r="B3472" s="3">
        <v>6</v>
      </c>
    </row>
    <row r="3473" spans="1:2" x14ac:dyDescent="0.3">
      <c r="A3473" s="31">
        <v>97</v>
      </c>
      <c r="B3473" s="4">
        <v>7.3</v>
      </c>
    </row>
    <row r="3474" spans="1:2" x14ac:dyDescent="0.3">
      <c r="A3474" s="32">
        <v>87</v>
      </c>
      <c r="B3474" s="3">
        <v>7.4</v>
      </c>
    </row>
    <row r="3475" spans="1:2" x14ac:dyDescent="0.3">
      <c r="A3475" s="31">
        <v>80</v>
      </c>
      <c r="B3475" s="4">
        <v>7.7</v>
      </c>
    </row>
    <row r="3476" spans="1:2" x14ac:dyDescent="0.3">
      <c r="A3476" s="32">
        <v>100</v>
      </c>
      <c r="B3476" s="3">
        <v>4.8</v>
      </c>
    </row>
    <row r="3477" spans="1:2" x14ac:dyDescent="0.3">
      <c r="A3477" s="31">
        <v>103</v>
      </c>
      <c r="B3477" s="4">
        <v>7.2</v>
      </c>
    </row>
    <row r="3478" spans="1:2" x14ac:dyDescent="0.3">
      <c r="A3478" s="32">
        <v>100</v>
      </c>
      <c r="B3478" s="3">
        <v>5.8</v>
      </c>
    </row>
    <row r="3479" spans="1:2" x14ac:dyDescent="0.3">
      <c r="A3479" s="31">
        <v>89</v>
      </c>
      <c r="B3479" s="4">
        <v>7.3</v>
      </c>
    </row>
    <row r="3480" spans="1:2" x14ac:dyDescent="0.3">
      <c r="A3480" s="32">
        <v>114</v>
      </c>
      <c r="B3480" s="3">
        <v>7</v>
      </c>
    </row>
    <row r="3481" spans="1:2" x14ac:dyDescent="0.3">
      <c r="A3481" s="31">
        <v>111</v>
      </c>
      <c r="B3481" s="4">
        <v>6.4</v>
      </c>
    </row>
    <row r="3482" spans="1:2" x14ac:dyDescent="0.3">
      <c r="A3482" s="32">
        <v>85</v>
      </c>
      <c r="B3482" s="3">
        <v>5.6</v>
      </c>
    </row>
    <row r="3483" spans="1:2" x14ac:dyDescent="0.3">
      <c r="A3483" s="31">
        <v>113</v>
      </c>
      <c r="B3483" s="4">
        <v>8.1999999999999993</v>
      </c>
    </row>
    <row r="3484" spans="1:2" x14ac:dyDescent="0.3">
      <c r="A3484" s="32">
        <v>99</v>
      </c>
      <c r="B3484" s="3">
        <v>6.5</v>
      </c>
    </row>
    <row r="3485" spans="1:2" x14ac:dyDescent="0.3">
      <c r="A3485" s="31">
        <v>142</v>
      </c>
      <c r="B3485" s="4">
        <v>6.4</v>
      </c>
    </row>
    <row r="3486" spans="1:2" x14ac:dyDescent="0.3">
      <c r="A3486" s="32">
        <v>112</v>
      </c>
      <c r="B3486" s="3">
        <v>8.1</v>
      </c>
    </row>
    <row r="3487" spans="1:2" x14ac:dyDescent="0.3">
      <c r="A3487" s="31">
        <v>108</v>
      </c>
      <c r="B3487" s="4">
        <v>5.4</v>
      </c>
    </row>
    <row r="3488" spans="1:2" x14ac:dyDescent="0.3">
      <c r="A3488" s="32">
        <v>88</v>
      </c>
      <c r="B3488" s="3">
        <v>6.3</v>
      </c>
    </row>
    <row r="3489" spans="1:2" x14ac:dyDescent="0.3">
      <c r="A3489" s="31">
        <v>97</v>
      </c>
      <c r="B3489" s="4">
        <v>7.8</v>
      </c>
    </row>
    <row r="3490" spans="1:2" x14ac:dyDescent="0.3">
      <c r="A3490" s="32">
        <v>85</v>
      </c>
      <c r="B3490" s="3">
        <v>6.8</v>
      </c>
    </row>
    <row r="3491" spans="1:2" x14ac:dyDescent="0.3">
      <c r="A3491" s="31">
        <v>110</v>
      </c>
      <c r="B3491" s="4">
        <v>7.2</v>
      </c>
    </row>
    <row r="3492" spans="1:2" x14ac:dyDescent="0.3">
      <c r="A3492" s="32">
        <v>91</v>
      </c>
      <c r="B3492" s="3">
        <v>7.1</v>
      </c>
    </row>
    <row r="3493" spans="1:2" x14ac:dyDescent="0.3">
      <c r="A3493" s="31">
        <v>94</v>
      </c>
      <c r="B3493" s="4">
        <v>6.2</v>
      </c>
    </row>
    <row r="3494" spans="1:2" x14ac:dyDescent="0.3">
      <c r="A3494" s="32">
        <v>90</v>
      </c>
      <c r="B3494" s="3">
        <v>7.3</v>
      </c>
    </row>
    <row r="3495" spans="1:2" x14ac:dyDescent="0.3">
      <c r="A3495" s="31">
        <v>92</v>
      </c>
      <c r="B3495" s="4">
        <v>5.9</v>
      </c>
    </row>
    <row r="3496" spans="1:2" x14ac:dyDescent="0.3">
      <c r="A3496" s="32">
        <v>73</v>
      </c>
      <c r="B3496" s="3">
        <v>7.2</v>
      </c>
    </row>
    <row r="3497" spans="1:2" x14ac:dyDescent="0.3">
      <c r="A3497" s="31">
        <v>110</v>
      </c>
      <c r="B3497" s="4">
        <v>3.6</v>
      </c>
    </row>
    <row r="3498" spans="1:2" x14ac:dyDescent="0.3">
      <c r="A3498" s="32">
        <v>102</v>
      </c>
      <c r="B3498" s="3">
        <v>7.7</v>
      </c>
    </row>
    <row r="3499" spans="1:2" x14ac:dyDescent="0.3">
      <c r="A3499" s="31">
        <v>145</v>
      </c>
      <c r="B3499" s="4">
        <v>7.3</v>
      </c>
    </row>
    <row r="3500" spans="1:2" x14ac:dyDescent="0.3">
      <c r="A3500" s="32">
        <v>83</v>
      </c>
      <c r="B3500" s="3">
        <v>7.4</v>
      </c>
    </row>
    <row r="3501" spans="1:2" x14ac:dyDescent="0.3">
      <c r="A3501" s="31">
        <v>91</v>
      </c>
      <c r="B3501" s="4">
        <v>6.6</v>
      </c>
    </row>
    <row r="3502" spans="1:2" x14ac:dyDescent="0.3">
      <c r="A3502" s="32">
        <v>110</v>
      </c>
      <c r="B3502" s="3">
        <v>6.9</v>
      </c>
    </row>
    <row r="3503" spans="1:2" x14ac:dyDescent="0.3">
      <c r="A3503" s="31">
        <v>86</v>
      </c>
      <c r="B3503" s="4">
        <v>6.8</v>
      </c>
    </row>
    <row r="3504" spans="1:2" x14ac:dyDescent="0.3">
      <c r="A3504" s="32">
        <v>86</v>
      </c>
      <c r="B3504" s="3">
        <v>7.3</v>
      </c>
    </row>
    <row r="3505" spans="1:2" x14ac:dyDescent="0.3">
      <c r="A3505" s="31">
        <v>120</v>
      </c>
      <c r="B3505" s="4">
        <v>7.2</v>
      </c>
    </row>
    <row r="3506" spans="1:2" x14ac:dyDescent="0.3">
      <c r="A3506" s="32">
        <v>90</v>
      </c>
      <c r="B3506" s="3">
        <v>6.5</v>
      </c>
    </row>
    <row r="3507" spans="1:2" x14ac:dyDescent="0.3">
      <c r="A3507" s="31">
        <v>99</v>
      </c>
      <c r="B3507" s="4">
        <v>7.7</v>
      </c>
    </row>
    <row r="3508" spans="1:2" x14ac:dyDescent="0.3">
      <c r="A3508" s="32">
        <v>112</v>
      </c>
      <c r="B3508" s="3">
        <v>8.1</v>
      </c>
    </row>
    <row r="3509" spans="1:2" x14ac:dyDescent="0.3">
      <c r="A3509" s="31">
        <v>103</v>
      </c>
      <c r="B3509" s="4">
        <v>7.7</v>
      </c>
    </row>
    <row r="3510" spans="1:2" x14ac:dyDescent="0.3">
      <c r="A3510" s="32">
        <v>83</v>
      </c>
      <c r="B3510" s="3">
        <v>7.6</v>
      </c>
    </row>
    <row r="3511" spans="1:2" x14ac:dyDescent="0.3">
      <c r="A3511" s="31">
        <v>109</v>
      </c>
      <c r="B3511" s="4">
        <v>7.3</v>
      </c>
    </row>
    <row r="3512" spans="1:2" x14ac:dyDescent="0.3">
      <c r="A3512" s="32">
        <v>95</v>
      </c>
      <c r="B3512" s="3">
        <v>7.2</v>
      </c>
    </row>
    <row r="3513" spans="1:2" x14ac:dyDescent="0.3">
      <c r="A3513" s="31">
        <v>104</v>
      </c>
      <c r="B3513" s="4">
        <v>7.2</v>
      </c>
    </row>
    <row r="3514" spans="1:2" x14ac:dyDescent="0.3">
      <c r="A3514" s="32">
        <v>97</v>
      </c>
      <c r="B3514" s="3">
        <v>8.1</v>
      </c>
    </row>
    <row r="3515" spans="1:2" x14ac:dyDescent="0.3">
      <c r="A3515" s="31">
        <v>91</v>
      </c>
      <c r="B3515" s="4">
        <v>7.5</v>
      </c>
    </row>
    <row r="3516" spans="1:2" x14ac:dyDescent="0.3">
      <c r="A3516" s="32">
        <v>84</v>
      </c>
      <c r="B3516" s="3">
        <v>8.1</v>
      </c>
    </row>
    <row r="3517" spans="1:2" x14ac:dyDescent="0.3">
      <c r="A3517" s="31">
        <v>86</v>
      </c>
      <c r="B3517" s="4">
        <v>7.8</v>
      </c>
    </row>
    <row r="3518" spans="1:2" x14ac:dyDescent="0.3">
      <c r="A3518" s="32">
        <v>92</v>
      </c>
      <c r="B3518" s="3">
        <v>7.8</v>
      </c>
    </row>
    <row r="3519" spans="1:2" x14ac:dyDescent="0.3">
      <c r="A3519" s="31">
        <v>94</v>
      </c>
      <c r="B3519" s="4">
        <v>5.8</v>
      </c>
    </row>
    <row r="3520" spans="1:2" x14ac:dyDescent="0.3">
      <c r="A3520" s="32">
        <v>100</v>
      </c>
      <c r="B3520" s="3">
        <v>7.6</v>
      </c>
    </row>
    <row r="3521" spans="1:2" x14ac:dyDescent="0.3">
      <c r="A3521" s="31">
        <v>119</v>
      </c>
      <c r="B3521" s="4">
        <v>7.4</v>
      </c>
    </row>
    <row r="3522" spans="1:2" x14ac:dyDescent="0.3">
      <c r="A3522" s="32">
        <v>167</v>
      </c>
      <c r="B3522" s="3">
        <v>6.3</v>
      </c>
    </row>
    <row r="3523" spans="1:2" x14ac:dyDescent="0.3">
      <c r="A3523" s="31">
        <v>92</v>
      </c>
      <c r="B3523" s="4">
        <v>6.9</v>
      </c>
    </row>
    <row r="3524" spans="1:2" x14ac:dyDescent="0.3">
      <c r="A3524" s="32">
        <v>108</v>
      </c>
      <c r="B3524" s="3">
        <v>8.6</v>
      </c>
    </row>
    <row r="3525" spans="1:2" x14ac:dyDescent="0.3">
      <c r="A3525" s="31">
        <v>97</v>
      </c>
      <c r="B3525" s="4">
        <v>5.0999999999999996</v>
      </c>
    </row>
    <row r="3526" spans="1:2" x14ac:dyDescent="0.3">
      <c r="A3526" s="32">
        <v>88</v>
      </c>
      <c r="B3526" s="3">
        <v>6.4</v>
      </c>
    </row>
    <row r="3527" spans="1:2" x14ac:dyDescent="0.3">
      <c r="A3527" s="31">
        <v>100</v>
      </c>
      <c r="B3527" s="4">
        <v>7.9</v>
      </c>
    </row>
    <row r="3528" spans="1:2" x14ac:dyDescent="0.3">
      <c r="A3528" s="32">
        <v>88</v>
      </c>
      <c r="B3528" s="3">
        <v>6.9</v>
      </c>
    </row>
    <row r="3529" spans="1:2" x14ac:dyDescent="0.3">
      <c r="A3529" s="31">
        <v>79</v>
      </c>
      <c r="B3529" s="4">
        <v>7.5</v>
      </c>
    </row>
    <row r="3530" spans="1:2" x14ac:dyDescent="0.3">
      <c r="A3530" s="32">
        <v>96</v>
      </c>
      <c r="B3530" s="3">
        <v>7.2</v>
      </c>
    </row>
    <row r="3531" spans="1:2" x14ac:dyDescent="0.3">
      <c r="A3531" s="31">
        <v>53</v>
      </c>
      <c r="B3531" s="4">
        <v>5.8</v>
      </c>
    </row>
    <row r="3532" spans="1:2" x14ac:dyDescent="0.3">
      <c r="A3532" s="32">
        <v>97</v>
      </c>
      <c r="B3532" s="3">
        <v>2.9</v>
      </c>
    </row>
    <row r="3533" spans="1:2" x14ac:dyDescent="0.3">
      <c r="A3533" s="31">
        <v>91</v>
      </c>
      <c r="B3533" s="4">
        <v>6.2</v>
      </c>
    </row>
    <row r="3534" spans="1:2" x14ac:dyDescent="0.3">
      <c r="A3534" s="32">
        <v>93</v>
      </c>
      <c r="B3534" s="3">
        <v>7.3</v>
      </c>
    </row>
    <row r="3535" spans="1:2" x14ac:dyDescent="0.3">
      <c r="A3535" s="31">
        <v>112</v>
      </c>
      <c r="B3535" s="4">
        <v>6.2</v>
      </c>
    </row>
    <row r="3536" spans="1:2" x14ac:dyDescent="0.3">
      <c r="A3536" s="32">
        <v>95</v>
      </c>
      <c r="B3536" s="3">
        <v>6.8</v>
      </c>
    </row>
    <row r="3537" spans="1:2" x14ac:dyDescent="0.3">
      <c r="A3537" s="31">
        <v>93</v>
      </c>
      <c r="B3537" s="4">
        <v>6.1</v>
      </c>
    </row>
    <row r="3538" spans="1:2" x14ac:dyDescent="0.3">
      <c r="A3538" s="32">
        <v>88</v>
      </c>
      <c r="B3538" s="3">
        <v>7.7</v>
      </c>
    </row>
    <row r="3539" spans="1:2" x14ac:dyDescent="0.3">
      <c r="A3539" s="31">
        <v>82</v>
      </c>
      <c r="B3539" s="4">
        <v>5.2</v>
      </c>
    </row>
    <row r="3540" spans="1:2" x14ac:dyDescent="0.3">
      <c r="A3540" s="32">
        <v>78</v>
      </c>
      <c r="B3540" s="3">
        <v>6.8</v>
      </c>
    </row>
    <row r="3541" spans="1:2" x14ac:dyDescent="0.3">
      <c r="A3541" s="31">
        <v>97</v>
      </c>
      <c r="B3541" s="4">
        <v>6.5</v>
      </c>
    </row>
    <row r="3542" spans="1:2" x14ac:dyDescent="0.3">
      <c r="A3542" s="32">
        <v>81</v>
      </c>
      <c r="B3542" s="3">
        <v>7</v>
      </c>
    </row>
    <row r="3543" spans="1:2" x14ac:dyDescent="0.3">
      <c r="A3543" s="31">
        <v>88</v>
      </c>
      <c r="B3543" s="4">
        <v>5.9</v>
      </c>
    </row>
    <row r="3544" spans="1:2" x14ac:dyDescent="0.3">
      <c r="A3544" s="32">
        <v>96</v>
      </c>
      <c r="B3544" s="3">
        <v>7.1</v>
      </c>
    </row>
    <row r="3545" spans="1:2" x14ac:dyDescent="0.3">
      <c r="A3545" s="31">
        <v>108</v>
      </c>
      <c r="B3545" s="4">
        <v>5.5</v>
      </c>
    </row>
    <row r="3546" spans="1:2" x14ac:dyDescent="0.3">
      <c r="A3546" s="32">
        <v>100</v>
      </c>
      <c r="B3546" s="3">
        <v>7.4</v>
      </c>
    </row>
    <row r="3547" spans="1:2" x14ac:dyDescent="0.3">
      <c r="A3547" s="31">
        <v>113</v>
      </c>
      <c r="B3547" s="4">
        <v>7.3</v>
      </c>
    </row>
    <row r="3548" spans="1:2" x14ac:dyDescent="0.3">
      <c r="A3548" s="32">
        <v>104</v>
      </c>
      <c r="B3548" s="3">
        <v>4.5999999999999996</v>
      </c>
    </row>
    <row r="3549" spans="1:2" x14ac:dyDescent="0.3">
      <c r="A3549" s="31">
        <v>91</v>
      </c>
      <c r="B3549" s="4">
        <v>7.2</v>
      </c>
    </row>
    <row r="3550" spans="1:2" x14ac:dyDescent="0.3">
      <c r="A3550" s="32">
        <v>85</v>
      </c>
      <c r="B3550" s="3">
        <v>7</v>
      </c>
    </row>
    <row r="3551" spans="1:2" x14ac:dyDescent="0.3">
      <c r="A3551" s="31">
        <v>101</v>
      </c>
      <c r="B3551" s="4">
        <v>5.0999999999999996</v>
      </c>
    </row>
    <row r="3552" spans="1:2" x14ac:dyDescent="0.3">
      <c r="A3552" s="32">
        <v>88</v>
      </c>
      <c r="B3552" s="3">
        <v>6.7</v>
      </c>
    </row>
    <row r="3553" spans="1:2" x14ac:dyDescent="0.3">
      <c r="A3553" s="31">
        <v>107</v>
      </c>
      <c r="B3553" s="4">
        <v>5.3</v>
      </c>
    </row>
    <row r="3554" spans="1:2" x14ac:dyDescent="0.3">
      <c r="A3554" s="32">
        <v>95</v>
      </c>
      <c r="B3554" s="3">
        <v>7.8</v>
      </c>
    </row>
    <row r="3555" spans="1:2" x14ac:dyDescent="0.3">
      <c r="A3555" s="31">
        <v>123</v>
      </c>
      <c r="B3555" s="4">
        <v>6.7</v>
      </c>
    </row>
    <row r="3556" spans="1:2" x14ac:dyDescent="0.3">
      <c r="A3556" s="32">
        <v>88</v>
      </c>
      <c r="B3556" s="3">
        <v>5.4</v>
      </c>
    </row>
    <row r="3557" spans="1:2" x14ac:dyDescent="0.3">
      <c r="A3557" s="31">
        <v>114</v>
      </c>
      <c r="B3557" s="4">
        <v>7.2</v>
      </c>
    </row>
    <row r="3558" spans="1:2" x14ac:dyDescent="0.3">
      <c r="A3558" s="32">
        <v>88</v>
      </c>
      <c r="B3558" s="3">
        <v>5.8</v>
      </c>
    </row>
    <row r="3559" spans="1:2" x14ac:dyDescent="0.3">
      <c r="A3559" s="31">
        <v>104</v>
      </c>
      <c r="B3559" s="4">
        <v>6.4</v>
      </c>
    </row>
    <row r="3560" spans="1:2" x14ac:dyDescent="0.3">
      <c r="A3560" s="32">
        <v>93</v>
      </c>
      <c r="B3560" s="3">
        <v>8</v>
      </c>
    </row>
    <row r="3561" spans="1:2" x14ac:dyDescent="0.3">
      <c r="A3561" s="31">
        <v>91</v>
      </c>
      <c r="B3561" s="4">
        <v>7</v>
      </c>
    </row>
    <row r="3562" spans="1:2" x14ac:dyDescent="0.3">
      <c r="A3562" s="32">
        <v>90</v>
      </c>
      <c r="B3562" s="3">
        <v>7</v>
      </c>
    </row>
    <row r="3563" spans="1:2" x14ac:dyDescent="0.3">
      <c r="A3563" s="31">
        <v>112</v>
      </c>
      <c r="B3563" s="4">
        <v>6.7</v>
      </c>
    </row>
    <row r="3564" spans="1:2" x14ac:dyDescent="0.3">
      <c r="A3564" s="32">
        <v>86</v>
      </c>
      <c r="B3564" s="3">
        <v>3.8</v>
      </c>
    </row>
    <row r="3565" spans="1:2" x14ac:dyDescent="0.3">
      <c r="A3565" s="31">
        <v>86</v>
      </c>
      <c r="B3565" s="4">
        <v>5.7</v>
      </c>
    </row>
    <row r="3566" spans="1:2" x14ac:dyDescent="0.3">
      <c r="A3566" s="32">
        <v>95</v>
      </c>
      <c r="B3566" s="3">
        <v>6.6</v>
      </c>
    </row>
    <row r="3567" spans="1:2" x14ac:dyDescent="0.3">
      <c r="A3567" s="31">
        <v>101</v>
      </c>
      <c r="B3567" s="4">
        <v>6.7</v>
      </c>
    </row>
    <row r="3568" spans="1:2" x14ac:dyDescent="0.3">
      <c r="A3568" s="32">
        <v>88</v>
      </c>
      <c r="B3568" s="3">
        <v>6.1</v>
      </c>
    </row>
    <row r="3569" spans="1:2" x14ac:dyDescent="0.3">
      <c r="A3569" s="31">
        <v>99</v>
      </c>
      <c r="B3569" s="4">
        <v>6.2</v>
      </c>
    </row>
    <row r="3570" spans="1:2" x14ac:dyDescent="0.3">
      <c r="A3570" s="32">
        <v>170</v>
      </c>
      <c r="B3570" s="3">
        <v>6.2</v>
      </c>
    </row>
    <row r="3571" spans="1:2" x14ac:dyDescent="0.3">
      <c r="A3571" s="31">
        <v>97</v>
      </c>
      <c r="B3571" s="4">
        <v>7.4</v>
      </c>
    </row>
    <row r="3572" spans="1:2" x14ac:dyDescent="0.3">
      <c r="A3572" s="32">
        <v>106</v>
      </c>
      <c r="B3572" s="3">
        <v>4.7</v>
      </c>
    </row>
    <row r="3573" spans="1:2" x14ac:dyDescent="0.3">
      <c r="A3573" s="31">
        <v>107</v>
      </c>
      <c r="B3573" s="4">
        <v>8.3000000000000007</v>
      </c>
    </row>
    <row r="3574" spans="1:2" x14ac:dyDescent="0.3">
      <c r="A3574" s="32">
        <v>84</v>
      </c>
      <c r="B3574" s="3">
        <v>7.2</v>
      </c>
    </row>
    <row r="3575" spans="1:2" x14ac:dyDescent="0.3">
      <c r="A3575" s="31">
        <v>81</v>
      </c>
      <c r="B3575" s="4">
        <v>5.8</v>
      </c>
    </row>
    <row r="3576" spans="1:2" x14ac:dyDescent="0.3">
      <c r="A3576" s="32">
        <v>81</v>
      </c>
      <c r="B3576" s="3">
        <v>5.9</v>
      </c>
    </row>
    <row r="3577" spans="1:2" x14ac:dyDescent="0.3">
      <c r="A3577" s="31">
        <v>215</v>
      </c>
      <c r="B3577" s="4">
        <v>6.3</v>
      </c>
    </row>
    <row r="3578" spans="1:2" x14ac:dyDescent="0.3">
      <c r="A3578" s="32">
        <v>106</v>
      </c>
      <c r="B3578" s="3">
        <v>7.2</v>
      </c>
    </row>
    <row r="3579" spans="1:2" x14ac:dyDescent="0.3">
      <c r="A3579" s="31">
        <v>103</v>
      </c>
      <c r="B3579" s="4">
        <v>5.4</v>
      </c>
    </row>
    <row r="3580" spans="1:2" x14ac:dyDescent="0.3">
      <c r="A3580" s="32">
        <v>87</v>
      </c>
      <c r="B3580" s="3">
        <v>7.3</v>
      </c>
    </row>
    <row r="3581" spans="1:2" x14ac:dyDescent="0.3">
      <c r="A3581" s="31">
        <v>80</v>
      </c>
      <c r="B3581" s="4">
        <v>7.3</v>
      </c>
    </row>
    <row r="3582" spans="1:2" x14ac:dyDescent="0.3">
      <c r="A3582" s="32">
        <v>122</v>
      </c>
      <c r="B3582" s="3">
        <v>5.8</v>
      </c>
    </row>
    <row r="3583" spans="1:2" x14ac:dyDescent="0.3">
      <c r="A3583" s="31">
        <v>86</v>
      </c>
      <c r="B3583" s="4">
        <v>6.1</v>
      </c>
    </row>
    <row r="3584" spans="1:2" x14ac:dyDescent="0.3">
      <c r="A3584" s="32">
        <v>79</v>
      </c>
      <c r="B3584" s="3">
        <v>7.1</v>
      </c>
    </row>
    <row r="3585" spans="1:2" x14ac:dyDescent="0.3">
      <c r="A3585" s="31">
        <v>97</v>
      </c>
      <c r="B3585" s="4">
        <v>6.5</v>
      </c>
    </row>
    <row r="3586" spans="1:2" x14ac:dyDescent="0.3">
      <c r="A3586" s="32">
        <v>89</v>
      </c>
      <c r="B3586" s="3">
        <v>7.9</v>
      </c>
    </row>
    <row r="3587" spans="1:2" x14ac:dyDescent="0.3">
      <c r="A3587" s="31">
        <v>120</v>
      </c>
      <c r="B3587" s="4">
        <v>5.4</v>
      </c>
    </row>
    <row r="3588" spans="1:2" x14ac:dyDescent="0.3">
      <c r="A3588" s="32">
        <v>108</v>
      </c>
      <c r="B3588" s="3">
        <v>7.1</v>
      </c>
    </row>
    <row r="3589" spans="1:2" x14ac:dyDescent="0.3">
      <c r="A3589" s="31">
        <v>102</v>
      </c>
      <c r="B3589" s="4">
        <v>6.4</v>
      </c>
    </row>
    <row r="3590" spans="1:2" x14ac:dyDescent="0.3">
      <c r="A3590" s="32">
        <v>93</v>
      </c>
      <c r="B3590" s="3">
        <v>6.7</v>
      </c>
    </row>
    <row r="3591" spans="1:2" x14ac:dyDescent="0.3">
      <c r="A3591" s="31">
        <v>86</v>
      </c>
      <c r="B3591" s="4">
        <v>6.9</v>
      </c>
    </row>
    <row r="3592" spans="1:2" x14ac:dyDescent="0.3">
      <c r="A3592" s="32">
        <v>101</v>
      </c>
      <c r="B3592" s="3">
        <v>2.1</v>
      </c>
    </row>
    <row r="3593" spans="1:2" x14ac:dyDescent="0.3">
      <c r="A3593" s="31">
        <v>111</v>
      </c>
      <c r="B3593" s="4">
        <v>4.3</v>
      </c>
    </row>
    <row r="3594" spans="1:2" x14ac:dyDescent="0.3">
      <c r="A3594" s="32">
        <v>90</v>
      </c>
      <c r="B3594" s="3">
        <v>6.6</v>
      </c>
    </row>
    <row r="3595" spans="1:2" x14ac:dyDescent="0.3">
      <c r="A3595" s="31">
        <v>86</v>
      </c>
      <c r="B3595" s="4">
        <v>3.4</v>
      </c>
    </row>
    <row r="3596" spans="1:2" x14ac:dyDescent="0.3">
      <c r="A3596" s="32">
        <v>98</v>
      </c>
      <c r="B3596" s="3">
        <v>8.3000000000000007</v>
      </c>
    </row>
    <row r="3597" spans="1:2" x14ac:dyDescent="0.3">
      <c r="A3597" s="31">
        <v>91</v>
      </c>
      <c r="B3597" s="4">
        <v>7.2</v>
      </c>
    </row>
    <row r="3598" spans="1:2" x14ac:dyDescent="0.3">
      <c r="A3598" s="32">
        <v>91</v>
      </c>
      <c r="B3598" s="3">
        <v>5.6</v>
      </c>
    </row>
    <row r="3599" spans="1:2" x14ac:dyDescent="0.3">
      <c r="A3599" s="31">
        <v>88</v>
      </c>
      <c r="B3599" s="4">
        <v>7.7</v>
      </c>
    </row>
    <row r="3600" spans="1:2" x14ac:dyDescent="0.3">
      <c r="A3600" s="32">
        <v>202</v>
      </c>
      <c r="B3600" s="3">
        <v>6.6</v>
      </c>
    </row>
    <row r="3601" spans="1:2" x14ac:dyDescent="0.3">
      <c r="A3601" s="31">
        <v>89</v>
      </c>
      <c r="B3601" s="4">
        <v>7.6</v>
      </c>
    </row>
    <row r="3602" spans="1:2" x14ac:dyDescent="0.3">
      <c r="A3602" s="32">
        <v>84</v>
      </c>
      <c r="B3602" s="3">
        <v>7.4</v>
      </c>
    </row>
    <row r="3603" spans="1:2" x14ac:dyDescent="0.3">
      <c r="A3603" s="31">
        <v>82</v>
      </c>
      <c r="B3603" s="4">
        <v>7.1</v>
      </c>
    </row>
    <row r="3604" spans="1:2" x14ac:dyDescent="0.3">
      <c r="A3604" s="32">
        <v>100</v>
      </c>
      <c r="B3604" s="3">
        <v>3.4</v>
      </c>
    </row>
    <row r="3605" spans="1:2" x14ac:dyDescent="0.3">
      <c r="A3605" s="31">
        <v>112</v>
      </c>
      <c r="B3605" s="4">
        <v>7.9</v>
      </c>
    </row>
    <row r="3606" spans="1:2" x14ac:dyDescent="0.3">
      <c r="A3606" s="32">
        <v>94</v>
      </c>
      <c r="B3606" s="3">
        <v>6.7</v>
      </c>
    </row>
    <row r="3607" spans="1:2" x14ac:dyDescent="0.3">
      <c r="A3607" s="31">
        <v>91</v>
      </c>
      <c r="B3607" s="4">
        <v>6.6</v>
      </c>
    </row>
    <row r="3608" spans="1:2" x14ac:dyDescent="0.3">
      <c r="A3608" s="32">
        <v>87</v>
      </c>
      <c r="B3608" s="3">
        <v>7.9</v>
      </c>
    </row>
    <row r="3609" spans="1:2" x14ac:dyDescent="0.3">
      <c r="A3609" s="31">
        <v>82</v>
      </c>
      <c r="B3609" s="4">
        <v>4.9000000000000004</v>
      </c>
    </row>
    <row r="3610" spans="1:2" x14ac:dyDescent="0.3">
      <c r="A3610" s="32">
        <v>91</v>
      </c>
      <c r="B3610" s="3">
        <v>7.2</v>
      </c>
    </row>
    <row r="3611" spans="1:2" x14ac:dyDescent="0.3">
      <c r="A3611" s="31">
        <v>107</v>
      </c>
      <c r="B3611" s="4">
        <v>7.4</v>
      </c>
    </row>
    <row r="3612" spans="1:2" x14ac:dyDescent="0.3">
      <c r="A3612" s="32">
        <v>84</v>
      </c>
      <c r="B3612" s="3">
        <v>6.1</v>
      </c>
    </row>
    <row r="3613" spans="1:2" x14ac:dyDescent="0.3">
      <c r="A3613" s="31">
        <v>103</v>
      </c>
      <c r="B3613" s="4">
        <v>8.4</v>
      </c>
    </row>
    <row r="3614" spans="1:2" x14ac:dyDescent="0.3">
      <c r="A3614" s="32">
        <v>89</v>
      </c>
      <c r="B3614" s="3">
        <v>6.2</v>
      </c>
    </row>
    <row r="3615" spans="1:2" x14ac:dyDescent="0.3">
      <c r="A3615" s="31">
        <v>98</v>
      </c>
      <c r="B3615" s="4">
        <v>5.3</v>
      </c>
    </row>
    <row r="3616" spans="1:2" x14ac:dyDescent="0.3">
      <c r="A3616" s="32">
        <v>133</v>
      </c>
      <c r="B3616" s="3">
        <v>5</v>
      </c>
    </row>
    <row r="3617" spans="1:2" x14ac:dyDescent="0.3">
      <c r="A3617" s="31">
        <v>92</v>
      </c>
      <c r="B3617" s="4">
        <v>7.7</v>
      </c>
    </row>
    <row r="3618" spans="1:2" x14ac:dyDescent="0.3">
      <c r="A3618" s="32">
        <v>90</v>
      </c>
      <c r="B3618" s="3">
        <v>7.6</v>
      </c>
    </row>
    <row r="3619" spans="1:2" x14ac:dyDescent="0.3">
      <c r="A3619" s="31">
        <v>84</v>
      </c>
      <c r="B3619" s="4">
        <v>6.3</v>
      </c>
    </row>
    <row r="3620" spans="1:2" x14ac:dyDescent="0.3">
      <c r="A3620" s="32">
        <v>91</v>
      </c>
      <c r="B3620" s="3">
        <v>7.6</v>
      </c>
    </row>
    <row r="3621" spans="1:2" x14ac:dyDescent="0.3">
      <c r="A3621" s="31">
        <v>90</v>
      </c>
      <c r="B3621" s="4">
        <v>5.6</v>
      </c>
    </row>
    <row r="3622" spans="1:2" x14ac:dyDescent="0.3">
      <c r="A3622" s="32">
        <v>96</v>
      </c>
      <c r="B3622" s="3">
        <v>7.3</v>
      </c>
    </row>
    <row r="3623" spans="1:2" x14ac:dyDescent="0.3">
      <c r="A3623" s="31">
        <v>88</v>
      </c>
      <c r="B3623" s="4">
        <v>6.2</v>
      </c>
    </row>
    <row r="3624" spans="1:2" x14ac:dyDescent="0.3">
      <c r="A3624" s="32">
        <v>92</v>
      </c>
      <c r="B3624" s="3">
        <v>6.6</v>
      </c>
    </row>
    <row r="3625" spans="1:2" x14ac:dyDescent="0.3">
      <c r="A3625" s="31">
        <v>82</v>
      </c>
      <c r="B3625" s="4">
        <v>6.6</v>
      </c>
    </row>
    <row r="3626" spans="1:2" x14ac:dyDescent="0.3">
      <c r="A3626" s="32">
        <v>101</v>
      </c>
      <c r="B3626" s="3">
        <v>7.3</v>
      </c>
    </row>
    <row r="3627" spans="1:2" x14ac:dyDescent="0.3">
      <c r="A3627" s="31">
        <v>86</v>
      </c>
      <c r="B3627" s="4">
        <v>6.6</v>
      </c>
    </row>
    <row r="3628" spans="1:2" x14ac:dyDescent="0.3">
      <c r="A3628" s="32">
        <v>100</v>
      </c>
      <c r="B3628" s="3">
        <v>6.9</v>
      </c>
    </row>
    <row r="3629" spans="1:2" x14ac:dyDescent="0.3">
      <c r="A3629" s="31">
        <v>89</v>
      </c>
      <c r="B3629" s="4">
        <v>5.8</v>
      </c>
    </row>
    <row r="3630" spans="1:2" x14ac:dyDescent="0.3">
      <c r="A3630" s="32">
        <v>84</v>
      </c>
      <c r="B3630" s="3">
        <v>4.4000000000000004</v>
      </c>
    </row>
    <row r="3631" spans="1:2" x14ac:dyDescent="0.3">
      <c r="A3631" s="31">
        <v>88</v>
      </c>
      <c r="B3631" s="4">
        <v>6.6</v>
      </c>
    </row>
    <row r="3632" spans="1:2" x14ac:dyDescent="0.3">
      <c r="A3632" s="32">
        <v>90</v>
      </c>
      <c r="B3632" s="3">
        <v>7.1</v>
      </c>
    </row>
    <row r="3633" spans="1:2" x14ac:dyDescent="0.3">
      <c r="A3633" s="31">
        <v>102</v>
      </c>
      <c r="B3633" s="4">
        <v>7.6</v>
      </c>
    </row>
    <row r="3634" spans="1:2" x14ac:dyDescent="0.3">
      <c r="A3634" s="32">
        <v>98</v>
      </c>
      <c r="B3634" s="3">
        <v>4.5999999999999996</v>
      </c>
    </row>
    <row r="3635" spans="1:2" x14ac:dyDescent="0.3">
      <c r="A3635" s="31">
        <v>91</v>
      </c>
      <c r="B3635" s="4">
        <v>6.8</v>
      </c>
    </row>
    <row r="3636" spans="1:2" x14ac:dyDescent="0.3">
      <c r="A3636" s="32">
        <v>80</v>
      </c>
      <c r="B3636" s="3">
        <v>7.1</v>
      </c>
    </row>
    <row r="3637" spans="1:2" x14ac:dyDescent="0.3">
      <c r="A3637" s="31">
        <v>76</v>
      </c>
      <c r="B3637" s="4">
        <v>4.9000000000000004</v>
      </c>
    </row>
    <row r="3638" spans="1:2" x14ac:dyDescent="0.3">
      <c r="A3638" s="32">
        <v>80</v>
      </c>
      <c r="B3638" s="3">
        <v>7.3</v>
      </c>
    </row>
    <row r="3639" spans="1:2" x14ac:dyDescent="0.3">
      <c r="A3639" s="31">
        <v>102</v>
      </c>
      <c r="B3639" s="4">
        <v>7.2</v>
      </c>
    </row>
    <row r="3640" spans="1:2" x14ac:dyDescent="0.3">
      <c r="A3640" s="32">
        <v>95</v>
      </c>
      <c r="B3640" s="3">
        <v>5</v>
      </c>
    </row>
    <row r="3641" spans="1:2" x14ac:dyDescent="0.3">
      <c r="A3641" s="31">
        <v>94</v>
      </c>
      <c r="B3641" s="4">
        <v>8.1999999999999993</v>
      </c>
    </row>
    <row r="3642" spans="1:2" x14ac:dyDescent="0.3">
      <c r="A3642" s="32">
        <v>109</v>
      </c>
      <c r="B3642" s="3">
        <v>8</v>
      </c>
    </row>
    <row r="3643" spans="1:2" x14ac:dyDescent="0.3">
      <c r="A3643" s="31">
        <v>95</v>
      </c>
      <c r="B3643" s="4">
        <v>5.2</v>
      </c>
    </row>
    <row r="3644" spans="1:2" x14ac:dyDescent="0.3">
      <c r="A3644" s="32">
        <v>90</v>
      </c>
      <c r="B3644" s="3">
        <v>8.5</v>
      </c>
    </row>
    <row r="3645" spans="1:2" x14ac:dyDescent="0.3">
      <c r="A3645" s="31">
        <v>113</v>
      </c>
      <c r="B3645" s="4">
        <v>6.5</v>
      </c>
    </row>
    <row r="3646" spans="1:2" x14ac:dyDescent="0.3">
      <c r="A3646" s="32">
        <v>91</v>
      </c>
      <c r="B3646" s="3">
        <v>7.4</v>
      </c>
    </row>
    <row r="3647" spans="1:2" x14ac:dyDescent="0.3">
      <c r="A3647" s="31">
        <v>98</v>
      </c>
      <c r="B3647" s="4">
        <v>7.7</v>
      </c>
    </row>
    <row r="3648" spans="1:2" x14ac:dyDescent="0.3">
      <c r="A3648" s="32">
        <v>94</v>
      </c>
      <c r="B3648" s="3">
        <v>7.4</v>
      </c>
    </row>
    <row r="3649" spans="1:2" x14ac:dyDescent="0.3">
      <c r="A3649" s="31">
        <v>96</v>
      </c>
      <c r="B3649" s="4">
        <v>5.0999999999999996</v>
      </c>
    </row>
    <row r="3650" spans="1:2" x14ac:dyDescent="0.3">
      <c r="A3650" s="32">
        <v>100</v>
      </c>
      <c r="B3650" s="3">
        <v>7.3</v>
      </c>
    </row>
    <row r="3651" spans="1:2" x14ac:dyDescent="0.3">
      <c r="A3651" s="31">
        <v>90</v>
      </c>
      <c r="B3651" s="4">
        <v>5</v>
      </c>
    </row>
    <row r="3652" spans="1:2" x14ac:dyDescent="0.3">
      <c r="A3652" s="32">
        <v>76</v>
      </c>
      <c r="B3652" s="3">
        <v>7.2</v>
      </c>
    </row>
    <row r="3653" spans="1:2" x14ac:dyDescent="0.3">
      <c r="A3653" s="31">
        <v>75</v>
      </c>
      <c r="B3653" s="4">
        <v>6.7</v>
      </c>
    </row>
    <row r="3654" spans="1:2" x14ac:dyDescent="0.3">
      <c r="A3654" s="32">
        <v>78</v>
      </c>
      <c r="B3654" s="3">
        <v>6.4</v>
      </c>
    </row>
    <row r="3655" spans="1:2" x14ac:dyDescent="0.3">
      <c r="A3655" s="31">
        <v>90</v>
      </c>
      <c r="B3655" s="4">
        <v>7.1</v>
      </c>
    </row>
    <row r="3656" spans="1:2" x14ac:dyDescent="0.3">
      <c r="A3656" s="32">
        <v>92</v>
      </c>
      <c r="B3656" s="3">
        <v>5.6</v>
      </c>
    </row>
    <row r="3657" spans="1:2" x14ac:dyDescent="0.3">
      <c r="A3657" s="31">
        <v>99</v>
      </c>
      <c r="B3657" s="4">
        <v>6.2</v>
      </c>
    </row>
    <row r="3658" spans="1:2" x14ac:dyDescent="0.3">
      <c r="A3658" s="32">
        <v>81</v>
      </c>
      <c r="B3658" s="3">
        <v>6.1</v>
      </c>
    </row>
    <row r="3659" spans="1:2" x14ac:dyDescent="0.3">
      <c r="A3659" s="31">
        <v>86</v>
      </c>
      <c r="B3659" s="4">
        <v>5.2</v>
      </c>
    </row>
    <row r="3660" spans="1:2" x14ac:dyDescent="0.3">
      <c r="A3660" s="32">
        <v>106</v>
      </c>
      <c r="B3660" s="3">
        <v>7.3</v>
      </c>
    </row>
    <row r="3661" spans="1:2" x14ac:dyDescent="0.3">
      <c r="A3661" s="31">
        <v>80</v>
      </c>
      <c r="B3661" s="4">
        <v>7.5</v>
      </c>
    </row>
    <row r="3662" spans="1:2" x14ac:dyDescent="0.3">
      <c r="A3662" s="32">
        <v>96</v>
      </c>
      <c r="B3662" s="3">
        <v>6.6</v>
      </c>
    </row>
    <row r="3663" spans="1:2" x14ac:dyDescent="0.3">
      <c r="A3663" s="31">
        <v>99</v>
      </c>
      <c r="B3663" s="4">
        <v>6.4</v>
      </c>
    </row>
    <row r="3664" spans="1:2" x14ac:dyDescent="0.3">
      <c r="A3664" s="32">
        <v>85</v>
      </c>
      <c r="B3664" s="3">
        <v>4.5</v>
      </c>
    </row>
    <row r="3665" spans="1:2" x14ac:dyDescent="0.3">
      <c r="A3665" s="31">
        <v>101</v>
      </c>
      <c r="B3665" s="4">
        <v>6.6</v>
      </c>
    </row>
    <row r="3666" spans="1:2" x14ac:dyDescent="0.3">
      <c r="A3666" s="32">
        <v>97</v>
      </c>
      <c r="B3666" s="3">
        <v>5.3</v>
      </c>
    </row>
    <row r="3667" spans="1:2" x14ac:dyDescent="0.3">
      <c r="A3667" s="31">
        <v>103</v>
      </c>
      <c r="B3667" s="4">
        <v>4.9000000000000004</v>
      </c>
    </row>
    <row r="3668" spans="1:2" x14ac:dyDescent="0.3">
      <c r="A3668" s="32">
        <v>86</v>
      </c>
      <c r="B3668" s="3">
        <v>7.7</v>
      </c>
    </row>
    <row r="3669" spans="1:2" x14ac:dyDescent="0.3">
      <c r="A3669" s="31">
        <v>106</v>
      </c>
      <c r="B3669" s="4">
        <v>8</v>
      </c>
    </row>
    <row r="3670" spans="1:2" x14ac:dyDescent="0.3">
      <c r="A3670" s="32">
        <v>89</v>
      </c>
      <c r="B3670" s="3">
        <v>3.8</v>
      </c>
    </row>
    <row r="3671" spans="1:2" x14ac:dyDescent="0.3">
      <c r="A3671" s="31">
        <v>97</v>
      </c>
      <c r="B3671" s="4">
        <v>7.6</v>
      </c>
    </row>
    <row r="3672" spans="1:2" x14ac:dyDescent="0.3">
      <c r="A3672" s="32">
        <v>88</v>
      </c>
      <c r="B3672" s="3">
        <v>5.9</v>
      </c>
    </row>
    <row r="3673" spans="1:2" x14ac:dyDescent="0.3">
      <c r="A3673" s="31">
        <v>92</v>
      </c>
      <c r="B3673" s="4">
        <v>6.2</v>
      </c>
    </row>
    <row r="3674" spans="1:2" x14ac:dyDescent="0.3">
      <c r="A3674" s="32">
        <v>97</v>
      </c>
      <c r="B3674" s="3">
        <v>7.2</v>
      </c>
    </row>
    <row r="3675" spans="1:2" x14ac:dyDescent="0.3">
      <c r="A3675" s="31">
        <v>78</v>
      </c>
      <c r="B3675" s="4">
        <v>6.3</v>
      </c>
    </row>
    <row r="3676" spans="1:2" x14ac:dyDescent="0.3">
      <c r="A3676" s="32">
        <v>85</v>
      </c>
      <c r="B3676" s="3">
        <v>5.2</v>
      </c>
    </row>
    <row r="3677" spans="1:2" x14ac:dyDescent="0.3">
      <c r="A3677" s="31">
        <v>88</v>
      </c>
      <c r="B3677" s="4">
        <v>6.9</v>
      </c>
    </row>
    <row r="3678" spans="1:2" x14ac:dyDescent="0.3">
      <c r="A3678" s="32">
        <v>93</v>
      </c>
      <c r="B3678" s="3">
        <v>6.8</v>
      </c>
    </row>
    <row r="3679" spans="1:2" x14ac:dyDescent="0.3">
      <c r="A3679" s="31">
        <v>72</v>
      </c>
      <c r="B3679" s="4">
        <v>6.2</v>
      </c>
    </row>
    <row r="3680" spans="1:2" x14ac:dyDescent="0.3">
      <c r="A3680" s="32">
        <v>80</v>
      </c>
      <c r="B3680" s="3">
        <v>6.2</v>
      </c>
    </row>
    <row r="3681" spans="1:2" x14ac:dyDescent="0.3">
      <c r="A3681" s="31">
        <v>91</v>
      </c>
      <c r="B3681" s="4">
        <v>3.5</v>
      </c>
    </row>
    <row r="3682" spans="1:2" x14ac:dyDescent="0.3">
      <c r="A3682" s="32">
        <v>90</v>
      </c>
      <c r="B3682" s="3">
        <v>6.1</v>
      </c>
    </row>
    <row r="3683" spans="1:2" x14ac:dyDescent="0.3">
      <c r="A3683" s="31">
        <v>111</v>
      </c>
      <c r="B3683" s="4">
        <v>6.6</v>
      </c>
    </row>
    <row r="3684" spans="1:2" x14ac:dyDescent="0.3">
      <c r="A3684" s="32">
        <v>81</v>
      </c>
      <c r="B3684" s="3">
        <v>4.5</v>
      </c>
    </row>
    <row r="3685" spans="1:2" x14ac:dyDescent="0.3">
      <c r="A3685" s="31">
        <v>81</v>
      </c>
      <c r="B3685" s="4">
        <v>5.9</v>
      </c>
    </row>
    <row r="3686" spans="1:2" x14ac:dyDescent="0.3">
      <c r="A3686" s="32">
        <v>90</v>
      </c>
      <c r="B3686" s="3">
        <v>6.9</v>
      </c>
    </row>
    <row r="3687" spans="1:2" x14ac:dyDescent="0.3">
      <c r="A3687" s="31">
        <v>88</v>
      </c>
      <c r="B3687" s="4">
        <v>7.7</v>
      </c>
    </row>
    <row r="3688" spans="1:2" x14ac:dyDescent="0.3">
      <c r="A3688" s="32">
        <v>84</v>
      </c>
      <c r="B3688" s="3">
        <v>6.6</v>
      </c>
    </row>
    <row r="3689" spans="1:2" x14ac:dyDescent="0.3">
      <c r="A3689" s="31">
        <v>87</v>
      </c>
      <c r="B3689" s="4">
        <v>5.3</v>
      </c>
    </row>
    <row r="3690" spans="1:2" x14ac:dyDescent="0.3">
      <c r="A3690" s="32">
        <v>100</v>
      </c>
      <c r="B3690" s="3">
        <v>6.3</v>
      </c>
    </row>
    <row r="3691" spans="1:2" x14ac:dyDescent="0.3">
      <c r="A3691" s="31">
        <v>82</v>
      </c>
      <c r="B3691" s="4">
        <v>7</v>
      </c>
    </row>
    <row r="3692" spans="1:2" x14ac:dyDescent="0.3">
      <c r="A3692" s="32">
        <v>82</v>
      </c>
      <c r="B3692" s="3">
        <v>7</v>
      </c>
    </row>
    <row r="3693" spans="1:2" x14ac:dyDescent="0.3">
      <c r="A3693" s="31">
        <v>98</v>
      </c>
      <c r="B3693" s="4">
        <v>6.6</v>
      </c>
    </row>
    <row r="3694" spans="1:2" x14ac:dyDescent="0.3">
      <c r="A3694" s="32">
        <v>98</v>
      </c>
      <c r="B3694" s="3">
        <v>8.6</v>
      </c>
    </row>
    <row r="3695" spans="1:2" x14ac:dyDescent="0.3">
      <c r="A3695" s="31">
        <v>90</v>
      </c>
      <c r="B3695" s="4">
        <v>6.4</v>
      </c>
    </row>
    <row r="3696" spans="1:2" x14ac:dyDescent="0.3">
      <c r="A3696" s="32">
        <v>90</v>
      </c>
      <c r="B3696" s="3">
        <v>7.9</v>
      </c>
    </row>
    <row r="3697" spans="1:2" x14ac:dyDescent="0.3">
      <c r="A3697" s="31">
        <v>78</v>
      </c>
      <c r="B3697" s="4">
        <v>5.4</v>
      </c>
    </row>
    <row r="3698" spans="1:2" x14ac:dyDescent="0.3">
      <c r="A3698" s="32">
        <v>102</v>
      </c>
      <c r="B3698" s="3">
        <v>6.9</v>
      </c>
    </row>
    <row r="3699" spans="1:2" x14ac:dyDescent="0.3">
      <c r="A3699" s="31">
        <v>65</v>
      </c>
      <c r="B3699" s="4">
        <v>7.7</v>
      </c>
    </row>
    <row r="3700" spans="1:2" x14ac:dyDescent="0.3">
      <c r="A3700" s="32">
        <v>97</v>
      </c>
      <c r="B3700" s="3">
        <v>7.2</v>
      </c>
    </row>
    <row r="3701" spans="1:2" x14ac:dyDescent="0.3">
      <c r="A3701" s="31">
        <v>100</v>
      </c>
      <c r="B3701" s="4">
        <v>6.8</v>
      </c>
    </row>
    <row r="3702" spans="1:2" x14ac:dyDescent="0.3">
      <c r="A3702" s="32">
        <v>85</v>
      </c>
      <c r="B3702" s="3">
        <v>6.2</v>
      </c>
    </row>
    <row r="3703" spans="1:2" x14ac:dyDescent="0.3">
      <c r="A3703" s="31">
        <v>88</v>
      </c>
      <c r="B3703" s="4">
        <v>7.4</v>
      </c>
    </row>
    <row r="3704" spans="1:2" x14ac:dyDescent="0.3">
      <c r="A3704" s="32">
        <v>108</v>
      </c>
      <c r="B3704" s="3">
        <v>4.5999999999999996</v>
      </c>
    </row>
    <row r="3705" spans="1:2" x14ac:dyDescent="0.3">
      <c r="A3705" s="31">
        <v>110</v>
      </c>
      <c r="B3705" s="4">
        <v>6.4</v>
      </c>
    </row>
    <row r="3706" spans="1:2" x14ac:dyDescent="0.3">
      <c r="A3706" s="32">
        <v>90</v>
      </c>
      <c r="B3706" s="3">
        <v>7</v>
      </c>
    </row>
    <row r="3707" spans="1:2" x14ac:dyDescent="0.3">
      <c r="A3707" s="31">
        <v>111</v>
      </c>
      <c r="B3707" s="4">
        <v>7.7</v>
      </c>
    </row>
    <row r="3708" spans="1:2" x14ac:dyDescent="0.3">
      <c r="A3708" s="32">
        <v>77</v>
      </c>
      <c r="B3708" s="3">
        <v>6.8</v>
      </c>
    </row>
    <row r="3709" spans="1:2" x14ac:dyDescent="0.3">
      <c r="A3709" s="31">
        <v>80</v>
      </c>
      <c r="B3709" s="4">
        <v>7</v>
      </c>
    </row>
    <row r="3710" spans="1:2" x14ac:dyDescent="0.3">
      <c r="A3710" s="32">
        <v>81</v>
      </c>
      <c r="B3710" s="3">
        <v>7</v>
      </c>
    </row>
    <row r="3711" spans="1:2" x14ac:dyDescent="0.3">
      <c r="A3711" s="31">
        <v>95</v>
      </c>
      <c r="B3711" s="4">
        <v>6.3</v>
      </c>
    </row>
    <row r="3712" spans="1:2" x14ac:dyDescent="0.3">
      <c r="A3712" s="32">
        <v>90</v>
      </c>
      <c r="B3712" s="3">
        <v>7.1</v>
      </c>
    </row>
    <row r="3713" spans="1:2" x14ac:dyDescent="0.3">
      <c r="A3713">
        <v>102</v>
      </c>
      <c r="B3713">
        <v>7.2</v>
      </c>
    </row>
    <row r="3714" spans="1:2" x14ac:dyDescent="0.3">
      <c r="A3714">
        <v>95</v>
      </c>
      <c r="B3714">
        <v>5</v>
      </c>
    </row>
    <row r="3715" spans="1:2" x14ac:dyDescent="0.3">
      <c r="A3715">
        <v>94</v>
      </c>
      <c r="B3715">
        <v>8.1999999999999993</v>
      </c>
    </row>
    <row r="3716" spans="1:2" x14ac:dyDescent="0.3">
      <c r="A3716">
        <v>109</v>
      </c>
      <c r="B3716">
        <v>8</v>
      </c>
    </row>
    <row r="3717" spans="1:2" x14ac:dyDescent="0.3">
      <c r="A3717">
        <v>95</v>
      </c>
      <c r="B3717">
        <v>5.2</v>
      </c>
    </row>
    <row r="3718" spans="1:2" x14ac:dyDescent="0.3">
      <c r="A3718">
        <v>90</v>
      </c>
      <c r="B3718">
        <v>8.5</v>
      </c>
    </row>
    <row r="3719" spans="1:2" x14ac:dyDescent="0.3">
      <c r="A3719">
        <v>113</v>
      </c>
      <c r="B3719">
        <v>6.5</v>
      </c>
    </row>
    <row r="3720" spans="1:2" x14ac:dyDescent="0.3">
      <c r="A3720">
        <v>91</v>
      </c>
      <c r="B3720">
        <v>7.4</v>
      </c>
    </row>
    <row r="3721" spans="1:2" x14ac:dyDescent="0.3">
      <c r="A3721">
        <v>98</v>
      </c>
      <c r="B3721">
        <v>7.7</v>
      </c>
    </row>
    <row r="3722" spans="1:2" x14ac:dyDescent="0.3">
      <c r="A3722">
        <v>94</v>
      </c>
      <c r="B3722">
        <v>7.4</v>
      </c>
    </row>
    <row r="3723" spans="1:2" x14ac:dyDescent="0.3">
      <c r="A3723">
        <v>96</v>
      </c>
      <c r="B3723">
        <v>5.0999999999999996</v>
      </c>
    </row>
    <row r="3724" spans="1:2" x14ac:dyDescent="0.3">
      <c r="A3724">
        <v>100</v>
      </c>
      <c r="B3724">
        <v>7.3</v>
      </c>
    </row>
    <row r="3725" spans="1:2" x14ac:dyDescent="0.3">
      <c r="A3725">
        <v>90</v>
      </c>
      <c r="B3725">
        <v>5</v>
      </c>
    </row>
    <row r="3726" spans="1:2" x14ac:dyDescent="0.3">
      <c r="A3726">
        <v>76</v>
      </c>
      <c r="B3726">
        <v>7.2</v>
      </c>
    </row>
    <row r="3727" spans="1:2" x14ac:dyDescent="0.3">
      <c r="A3727">
        <v>75</v>
      </c>
      <c r="B3727">
        <v>6.7</v>
      </c>
    </row>
    <row r="3728" spans="1:2" x14ac:dyDescent="0.3">
      <c r="A3728">
        <v>78</v>
      </c>
      <c r="B3728">
        <v>6.4</v>
      </c>
    </row>
    <row r="3729" spans="1:2" x14ac:dyDescent="0.3">
      <c r="A3729">
        <v>90</v>
      </c>
      <c r="B3729">
        <v>7.1</v>
      </c>
    </row>
    <row r="3730" spans="1:2" x14ac:dyDescent="0.3">
      <c r="A3730">
        <v>92</v>
      </c>
      <c r="B3730">
        <v>5.6</v>
      </c>
    </row>
    <row r="3731" spans="1:2" x14ac:dyDescent="0.3">
      <c r="A3731">
        <v>99</v>
      </c>
      <c r="B3731">
        <v>6.2</v>
      </c>
    </row>
    <row r="3732" spans="1:2" x14ac:dyDescent="0.3">
      <c r="A3732">
        <v>81</v>
      </c>
      <c r="B3732">
        <v>6.1</v>
      </c>
    </row>
    <row r="3733" spans="1:2" x14ac:dyDescent="0.3">
      <c r="A3733">
        <v>86</v>
      </c>
      <c r="B3733">
        <v>5.2</v>
      </c>
    </row>
    <row r="3734" spans="1:2" x14ac:dyDescent="0.3">
      <c r="A3734">
        <v>106</v>
      </c>
      <c r="B3734">
        <v>7.3</v>
      </c>
    </row>
    <row r="3735" spans="1:2" x14ac:dyDescent="0.3">
      <c r="A3735">
        <v>80</v>
      </c>
      <c r="B3735">
        <v>7.5</v>
      </c>
    </row>
    <row r="3736" spans="1:2" x14ac:dyDescent="0.3">
      <c r="A3736">
        <v>96</v>
      </c>
      <c r="B3736">
        <v>6.6</v>
      </c>
    </row>
    <row r="3737" spans="1:2" x14ac:dyDescent="0.3">
      <c r="A3737">
        <v>99</v>
      </c>
      <c r="B3737">
        <v>6.4</v>
      </c>
    </row>
    <row r="3738" spans="1:2" x14ac:dyDescent="0.3">
      <c r="A3738">
        <v>85</v>
      </c>
      <c r="B3738">
        <v>4.5</v>
      </c>
    </row>
    <row r="3739" spans="1:2" x14ac:dyDescent="0.3">
      <c r="A3739">
        <v>101</v>
      </c>
      <c r="B3739">
        <v>6.6</v>
      </c>
    </row>
    <row r="3740" spans="1:2" x14ac:dyDescent="0.3">
      <c r="A3740">
        <v>97</v>
      </c>
      <c r="B3740">
        <v>5.3</v>
      </c>
    </row>
    <row r="3741" spans="1:2" x14ac:dyDescent="0.3">
      <c r="A3741">
        <v>103</v>
      </c>
      <c r="B3741">
        <v>4.9000000000000004</v>
      </c>
    </row>
    <row r="3742" spans="1:2" x14ac:dyDescent="0.3">
      <c r="A3742">
        <v>86</v>
      </c>
      <c r="B3742">
        <v>7.7</v>
      </c>
    </row>
    <row r="3743" spans="1:2" x14ac:dyDescent="0.3">
      <c r="A3743">
        <v>106</v>
      </c>
      <c r="B3743">
        <v>8</v>
      </c>
    </row>
    <row r="3744" spans="1:2" x14ac:dyDescent="0.3">
      <c r="A3744">
        <v>89</v>
      </c>
      <c r="B3744">
        <v>3.8</v>
      </c>
    </row>
    <row r="3745" spans="1:2" x14ac:dyDescent="0.3">
      <c r="A3745">
        <v>97</v>
      </c>
      <c r="B3745">
        <v>7.6</v>
      </c>
    </row>
    <row r="3746" spans="1:2" x14ac:dyDescent="0.3">
      <c r="A3746">
        <v>88</v>
      </c>
      <c r="B3746">
        <v>5.9</v>
      </c>
    </row>
    <row r="3747" spans="1:2" x14ac:dyDescent="0.3">
      <c r="A3747">
        <v>92</v>
      </c>
      <c r="B3747">
        <v>6.2</v>
      </c>
    </row>
    <row r="3748" spans="1:2" x14ac:dyDescent="0.3">
      <c r="A3748">
        <v>97</v>
      </c>
      <c r="B3748">
        <v>7.2</v>
      </c>
    </row>
    <row r="3749" spans="1:2" x14ac:dyDescent="0.3">
      <c r="A3749">
        <v>78</v>
      </c>
      <c r="B3749">
        <v>6.3</v>
      </c>
    </row>
    <row r="3750" spans="1:2" x14ac:dyDescent="0.3">
      <c r="A3750">
        <v>85</v>
      </c>
      <c r="B3750">
        <v>5.2</v>
      </c>
    </row>
    <row r="3751" spans="1:2" x14ac:dyDescent="0.3">
      <c r="A3751">
        <v>88</v>
      </c>
      <c r="B3751">
        <v>6.9</v>
      </c>
    </row>
    <row r="3752" spans="1:2" x14ac:dyDescent="0.3">
      <c r="A3752">
        <v>93</v>
      </c>
      <c r="B3752">
        <v>6.8</v>
      </c>
    </row>
    <row r="3753" spans="1:2" x14ac:dyDescent="0.3">
      <c r="A3753">
        <v>72</v>
      </c>
      <c r="B3753">
        <v>6.2</v>
      </c>
    </row>
    <row r="3754" spans="1:2" x14ac:dyDescent="0.3">
      <c r="A3754">
        <v>80</v>
      </c>
      <c r="B3754">
        <v>6.2</v>
      </c>
    </row>
    <row r="3755" spans="1:2" x14ac:dyDescent="0.3">
      <c r="A3755">
        <v>91</v>
      </c>
      <c r="B3755">
        <v>3.5</v>
      </c>
    </row>
    <row r="3756" spans="1:2" x14ac:dyDescent="0.3">
      <c r="A3756">
        <v>90</v>
      </c>
      <c r="B3756">
        <v>6.1</v>
      </c>
    </row>
    <row r="3757" spans="1:2" x14ac:dyDescent="0.3">
      <c r="A3757">
        <v>111</v>
      </c>
      <c r="B3757">
        <v>6.6</v>
      </c>
    </row>
    <row r="3758" spans="1:2" x14ac:dyDescent="0.3">
      <c r="A3758">
        <v>81</v>
      </c>
      <c r="B3758">
        <v>4.5</v>
      </c>
    </row>
    <row r="3759" spans="1:2" x14ac:dyDescent="0.3">
      <c r="A3759">
        <v>81</v>
      </c>
      <c r="B3759">
        <v>5.9</v>
      </c>
    </row>
    <row r="3760" spans="1:2" x14ac:dyDescent="0.3">
      <c r="A3760">
        <v>90</v>
      </c>
      <c r="B3760">
        <v>6.9</v>
      </c>
    </row>
    <row r="3761" spans="1:2" x14ac:dyDescent="0.3">
      <c r="A3761">
        <v>88</v>
      </c>
      <c r="B3761">
        <v>7.7</v>
      </c>
    </row>
    <row r="3762" spans="1:2" x14ac:dyDescent="0.3">
      <c r="A3762">
        <v>84</v>
      </c>
      <c r="B3762">
        <v>6.6</v>
      </c>
    </row>
    <row r="3763" spans="1:2" x14ac:dyDescent="0.3">
      <c r="A3763">
        <v>87</v>
      </c>
      <c r="B3763">
        <v>5.3</v>
      </c>
    </row>
    <row r="3764" spans="1:2" x14ac:dyDescent="0.3">
      <c r="A3764">
        <v>100</v>
      </c>
      <c r="B3764">
        <v>6.3</v>
      </c>
    </row>
    <row r="3765" spans="1:2" x14ac:dyDescent="0.3">
      <c r="A3765">
        <v>82</v>
      </c>
      <c r="B3765">
        <v>7</v>
      </c>
    </row>
    <row r="3766" spans="1:2" x14ac:dyDescent="0.3">
      <c r="A3766">
        <v>82</v>
      </c>
      <c r="B3766">
        <v>7</v>
      </c>
    </row>
    <row r="3767" spans="1:2" x14ac:dyDescent="0.3">
      <c r="A3767">
        <v>98</v>
      </c>
      <c r="B3767">
        <v>6.6</v>
      </c>
    </row>
    <row r="3768" spans="1:2" x14ac:dyDescent="0.3">
      <c r="A3768">
        <v>98</v>
      </c>
      <c r="B3768">
        <v>8.6</v>
      </c>
    </row>
    <row r="3769" spans="1:2" x14ac:dyDescent="0.3">
      <c r="A3769">
        <v>90</v>
      </c>
      <c r="B3769">
        <v>6.4</v>
      </c>
    </row>
    <row r="3770" spans="1:2" x14ac:dyDescent="0.3">
      <c r="A3770">
        <v>90</v>
      </c>
      <c r="B3770">
        <v>7.9</v>
      </c>
    </row>
    <row r="3771" spans="1:2" x14ac:dyDescent="0.3">
      <c r="A3771">
        <v>78</v>
      </c>
      <c r="B3771">
        <v>5.4</v>
      </c>
    </row>
    <row r="3772" spans="1:2" x14ac:dyDescent="0.3">
      <c r="A3772">
        <v>102</v>
      </c>
      <c r="B3772">
        <v>6.9</v>
      </c>
    </row>
    <row r="3773" spans="1:2" x14ac:dyDescent="0.3">
      <c r="A3773">
        <v>65</v>
      </c>
      <c r="B3773">
        <v>7.7</v>
      </c>
    </row>
    <row r="3774" spans="1:2" x14ac:dyDescent="0.3">
      <c r="A3774">
        <v>97</v>
      </c>
      <c r="B3774">
        <v>7.2</v>
      </c>
    </row>
    <row r="3775" spans="1:2" x14ac:dyDescent="0.3">
      <c r="A3775">
        <v>100</v>
      </c>
      <c r="B3775">
        <v>6.8</v>
      </c>
    </row>
    <row r="3776" spans="1:2" x14ac:dyDescent="0.3">
      <c r="A3776">
        <v>85</v>
      </c>
      <c r="B3776">
        <v>6.2</v>
      </c>
    </row>
    <row r="3777" spans="1:2" x14ac:dyDescent="0.3">
      <c r="A3777">
        <v>88</v>
      </c>
      <c r="B3777">
        <v>7.4</v>
      </c>
    </row>
    <row r="3778" spans="1:2" x14ac:dyDescent="0.3">
      <c r="A3778">
        <v>108</v>
      </c>
      <c r="B3778">
        <v>4.5999999999999996</v>
      </c>
    </row>
    <row r="3779" spans="1:2" x14ac:dyDescent="0.3">
      <c r="A3779">
        <v>110</v>
      </c>
      <c r="B3779">
        <v>6.4</v>
      </c>
    </row>
    <row r="3780" spans="1:2" x14ac:dyDescent="0.3">
      <c r="A3780">
        <v>90</v>
      </c>
      <c r="B3780">
        <v>7</v>
      </c>
    </row>
    <row r="3781" spans="1:2" x14ac:dyDescent="0.3">
      <c r="A3781">
        <v>111</v>
      </c>
      <c r="B3781">
        <v>7.7</v>
      </c>
    </row>
    <row r="3782" spans="1:2" x14ac:dyDescent="0.3">
      <c r="A3782">
        <v>77</v>
      </c>
      <c r="B3782">
        <v>6.8</v>
      </c>
    </row>
    <row r="3783" spans="1:2" x14ac:dyDescent="0.3">
      <c r="A3783">
        <v>80</v>
      </c>
      <c r="B3783">
        <v>7</v>
      </c>
    </row>
    <row r="3784" spans="1:2" x14ac:dyDescent="0.3">
      <c r="A3784">
        <v>81</v>
      </c>
      <c r="B3784">
        <v>7</v>
      </c>
    </row>
    <row r="3785" spans="1:2" x14ac:dyDescent="0.3">
      <c r="A3785">
        <v>95</v>
      </c>
      <c r="B3785">
        <v>6.3</v>
      </c>
    </row>
    <row r="3786" spans="1:2" x14ac:dyDescent="0.3">
      <c r="A3786">
        <v>90</v>
      </c>
      <c r="B3786">
        <v>7.1</v>
      </c>
    </row>
    <row r="3787" spans="1:2" x14ac:dyDescent="0.3">
      <c r="B3787">
        <v>5.6</v>
      </c>
    </row>
    <row r="3788" spans="1:2" x14ac:dyDescent="0.3">
      <c r="B3788">
        <v>4.4000000000000004</v>
      </c>
    </row>
    <row r="3789" spans="1:2" x14ac:dyDescent="0.3">
      <c r="B3789">
        <v>7.1</v>
      </c>
    </row>
    <row r="3790" spans="1:2" x14ac:dyDescent="0.3">
      <c r="B3790">
        <v>6.1</v>
      </c>
    </row>
    <row r="3791" spans="1:2" x14ac:dyDescent="0.3">
      <c r="B3791">
        <v>7.4</v>
      </c>
    </row>
    <row r="3792" spans="1:2" x14ac:dyDescent="0.3">
      <c r="B3792">
        <v>7.5</v>
      </c>
    </row>
    <row r="3793" spans="2:2" x14ac:dyDescent="0.3">
      <c r="B3793">
        <v>7.2</v>
      </c>
    </row>
    <row r="3794" spans="2:2" x14ac:dyDescent="0.3">
      <c r="B3794">
        <v>7.6</v>
      </c>
    </row>
    <row r="3795" spans="2:2" x14ac:dyDescent="0.3">
      <c r="B3795">
        <v>7.3</v>
      </c>
    </row>
    <row r="3796" spans="2:2" x14ac:dyDescent="0.3">
      <c r="B3796">
        <v>6.2</v>
      </c>
    </row>
    <row r="3797" spans="2:2" x14ac:dyDescent="0.3">
      <c r="B3797">
        <v>6.2</v>
      </c>
    </row>
    <row r="3798" spans="2:2" x14ac:dyDescent="0.3">
      <c r="B3798">
        <v>4.5999999999999996</v>
      </c>
    </row>
    <row r="3799" spans="2:2" x14ac:dyDescent="0.3">
      <c r="B3799">
        <v>6.2</v>
      </c>
    </row>
    <row r="3800" spans="2:2" x14ac:dyDescent="0.3">
      <c r="B3800">
        <v>6.2</v>
      </c>
    </row>
    <row r="3801" spans="2:2" x14ac:dyDescent="0.3">
      <c r="B3801">
        <v>3.3</v>
      </c>
    </row>
    <row r="3802" spans="2:2" x14ac:dyDescent="0.3">
      <c r="B3802">
        <v>7.5</v>
      </c>
    </row>
    <row r="3803" spans="2:2" x14ac:dyDescent="0.3">
      <c r="B3803">
        <v>4.2</v>
      </c>
    </row>
    <row r="3804" spans="2:2" x14ac:dyDescent="0.3">
      <c r="B3804">
        <v>7.2</v>
      </c>
    </row>
    <row r="3805" spans="2:2" x14ac:dyDescent="0.3">
      <c r="B3805">
        <v>6.2</v>
      </c>
    </row>
    <row r="3806" spans="2:2" x14ac:dyDescent="0.3">
      <c r="B3806">
        <v>6.1</v>
      </c>
    </row>
    <row r="3807" spans="2:2" x14ac:dyDescent="0.3">
      <c r="B3807">
        <v>4.2</v>
      </c>
    </row>
    <row r="3808" spans="2:2" x14ac:dyDescent="0.3">
      <c r="B3808">
        <v>4.5</v>
      </c>
    </row>
    <row r="3809" spans="2:2" x14ac:dyDescent="0.3">
      <c r="B3809">
        <v>8.4</v>
      </c>
    </row>
    <row r="3810" spans="2:2" x14ac:dyDescent="0.3">
      <c r="B3810">
        <v>7.5</v>
      </c>
    </row>
    <row r="3811" spans="2:2" x14ac:dyDescent="0.3">
      <c r="B3811">
        <v>6.7</v>
      </c>
    </row>
    <row r="3812" spans="2:2" x14ac:dyDescent="0.3">
      <c r="B3812">
        <v>5.0999999999999996</v>
      </c>
    </row>
    <row r="3813" spans="2:2" x14ac:dyDescent="0.3">
      <c r="B3813">
        <v>5.5</v>
      </c>
    </row>
    <row r="3814" spans="2:2" x14ac:dyDescent="0.3">
      <c r="B3814">
        <v>4.4000000000000004</v>
      </c>
    </row>
    <row r="3815" spans="2:2" x14ac:dyDescent="0.3">
      <c r="B3815">
        <v>4.4000000000000004</v>
      </c>
    </row>
    <row r="3816" spans="2:2" x14ac:dyDescent="0.3">
      <c r="B3816">
        <v>6.8</v>
      </c>
    </row>
    <row r="3817" spans="2:2" x14ac:dyDescent="0.3">
      <c r="B3817">
        <v>6.7</v>
      </c>
    </row>
    <row r="3818" spans="2:2" x14ac:dyDescent="0.3">
      <c r="B3818">
        <v>8.6</v>
      </c>
    </row>
    <row r="3819" spans="2:2" x14ac:dyDescent="0.3">
      <c r="B3819">
        <v>4.8</v>
      </c>
    </row>
    <row r="3820" spans="2:2" x14ac:dyDescent="0.3">
      <c r="B3820">
        <v>3.4</v>
      </c>
    </row>
    <row r="3821" spans="2:2" x14ac:dyDescent="0.3">
      <c r="B3821">
        <v>7.4</v>
      </c>
    </row>
    <row r="3822" spans="2:2" x14ac:dyDescent="0.3">
      <c r="B3822">
        <v>7.3</v>
      </c>
    </row>
    <row r="3823" spans="2:2" x14ac:dyDescent="0.3">
      <c r="B3823">
        <v>8</v>
      </c>
    </row>
    <row r="3824" spans="2:2" x14ac:dyDescent="0.3">
      <c r="B3824">
        <v>6.5</v>
      </c>
    </row>
    <row r="3825" spans="2:2" x14ac:dyDescent="0.3">
      <c r="B3825">
        <v>5.9</v>
      </c>
    </row>
    <row r="3826" spans="2:2" x14ac:dyDescent="0.3">
      <c r="B3826">
        <v>6.8</v>
      </c>
    </row>
    <row r="3827" spans="2:2" x14ac:dyDescent="0.3">
      <c r="B3827">
        <v>7.4</v>
      </c>
    </row>
    <row r="3828" spans="2:2" x14ac:dyDescent="0.3">
      <c r="B3828">
        <v>6.7</v>
      </c>
    </row>
    <row r="3829" spans="2:2" x14ac:dyDescent="0.3">
      <c r="B3829">
        <v>6.8</v>
      </c>
    </row>
    <row r="3830" spans="2:2" x14ac:dyDescent="0.3">
      <c r="B3830">
        <v>5.4</v>
      </c>
    </row>
    <row r="3831" spans="2:2" x14ac:dyDescent="0.3">
      <c r="B3831">
        <v>5.5</v>
      </c>
    </row>
    <row r="3832" spans="2:2" x14ac:dyDescent="0.3">
      <c r="B3832">
        <v>7.4</v>
      </c>
    </row>
    <row r="3833" spans="2:2" x14ac:dyDescent="0.3">
      <c r="B3833">
        <v>5.7</v>
      </c>
    </row>
    <row r="3834" spans="2:2" x14ac:dyDescent="0.3">
      <c r="B3834">
        <v>5.4</v>
      </c>
    </row>
    <row r="3835" spans="2:2" x14ac:dyDescent="0.3">
      <c r="B3835">
        <v>3.2</v>
      </c>
    </row>
    <row r="3836" spans="2:2" x14ac:dyDescent="0.3">
      <c r="B3836">
        <v>7.1</v>
      </c>
    </row>
    <row r="3837" spans="2:2" x14ac:dyDescent="0.3">
      <c r="B3837">
        <v>7.8</v>
      </c>
    </row>
    <row r="3838" spans="2:2" x14ac:dyDescent="0.3">
      <c r="B3838">
        <v>5.3</v>
      </c>
    </row>
    <row r="3839" spans="2:2" x14ac:dyDescent="0.3">
      <c r="B3839">
        <v>7.2</v>
      </c>
    </row>
    <row r="3840" spans="2:2" x14ac:dyDescent="0.3">
      <c r="B3840">
        <v>6.2</v>
      </c>
    </row>
    <row r="3841" spans="2:2" x14ac:dyDescent="0.3">
      <c r="B3841">
        <v>5.9</v>
      </c>
    </row>
    <row r="3842" spans="2:2" x14ac:dyDescent="0.3">
      <c r="B3842">
        <v>7.3</v>
      </c>
    </row>
    <row r="3843" spans="2:2" x14ac:dyDescent="0.3">
      <c r="B3843">
        <v>6.7</v>
      </c>
    </row>
    <row r="3844" spans="2:2" x14ac:dyDescent="0.3">
      <c r="B3844">
        <v>5.7</v>
      </c>
    </row>
    <row r="3845" spans="2:2" x14ac:dyDescent="0.3">
      <c r="B3845">
        <v>7.1</v>
      </c>
    </row>
    <row r="3846" spans="2:2" x14ac:dyDescent="0.3">
      <c r="B3846">
        <v>7.2</v>
      </c>
    </row>
    <row r="3847" spans="2:2" x14ac:dyDescent="0.3">
      <c r="B3847">
        <v>7.4</v>
      </c>
    </row>
    <row r="3848" spans="2:2" x14ac:dyDescent="0.3">
      <c r="B3848">
        <v>7.7</v>
      </c>
    </row>
    <row r="3849" spans="2:2" x14ac:dyDescent="0.3">
      <c r="B3849">
        <v>7.7</v>
      </c>
    </row>
    <row r="3850" spans="2:2" x14ac:dyDescent="0.3">
      <c r="B3850">
        <v>7.4</v>
      </c>
    </row>
    <row r="3851" spans="2:2" x14ac:dyDescent="0.3">
      <c r="B3851">
        <v>8.4</v>
      </c>
    </row>
    <row r="3852" spans="2:2" x14ac:dyDescent="0.3">
      <c r="B3852">
        <v>7.1</v>
      </c>
    </row>
    <row r="3853" spans="2:2" x14ac:dyDescent="0.3">
      <c r="B3853">
        <v>7.2</v>
      </c>
    </row>
    <row r="3854" spans="2:2" x14ac:dyDescent="0.3">
      <c r="B3854">
        <v>7.5</v>
      </c>
    </row>
    <row r="3855" spans="2:2" x14ac:dyDescent="0.3">
      <c r="B3855">
        <v>5.4</v>
      </c>
    </row>
    <row r="3856" spans="2:2" x14ac:dyDescent="0.3">
      <c r="B3856">
        <v>8.1</v>
      </c>
    </row>
    <row r="3857" spans="2:2" x14ac:dyDescent="0.3">
      <c r="B3857">
        <v>6</v>
      </c>
    </row>
    <row r="3858" spans="2:2" x14ac:dyDescent="0.3">
      <c r="B3858">
        <v>7.8</v>
      </c>
    </row>
    <row r="3859" spans="2:2" x14ac:dyDescent="0.3">
      <c r="B3859">
        <v>6.8</v>
      </c>
    </row>
    <row r="3860" spans="2:2" x14ac:dyDescent="0.3">
      <c r="B3860">
        <v>6.5</v>
      </c>
    </row>
    <row r="3861" spans="2:2" x14ac:dyDescent="0.3">
      <c r="B3861">
        <v>7.7</v>
      </c>
    </row>
    <row r="3862" spans="2:2" x14ac:dyDescent="0.3">
      <c r="B3862">
        <v>6.4</v>
      </c>
    </row>
    <row r="3863" spans="2:2" x14ac:dyDescent="0.3">
      <c r="B3863">
        <v>6.5</v>
      </c>
    </row>
    <row r="3864" spans="2:2" x14ac:dyDescent="0.3">
      <c r="B3864">
        <v>7.3</v>
      </c>
    </row>
    <row r="3865" spans="2:2" x14ac:dyDescent="0.3">
      <c r="B3865">
        <v>6.6</v>
      </c>
    </row>
    <row r="3866" spans="2:2" x14ac:dyDescent="0.3">
      <c r="B3866">
        <v>7.9</v>
      </c>
    </row>
    <row r="3867" spans="2:2" x14ac:dyDescent="0.3">
      <c r="B3867">
        <v>5.9</v>
      </c>
    </row>
    <row r="3868" spans="2:2" x14ac:dyDescent="0.3">
      <c r="B3868">
        <v>4.7</v>
      </c>
    </row>
    <row r="3869" spans="2:2" x14ac:dyDescent="0.3">
      <c r="B3869">
        <v>8.6999999999999993</v>
      </c>
    </row>
    <row r="3870" spans="2:2" x14ac:dyDescent="0.3">
      <c r="B3870">
        <v>5.9</v>
      </c>
    </row>
    <row r="3871" spans="2:2" x14ac:dyDescent="0.3">
      <c r="B3871">
        <v>6.7</v>
      </c>
    </row>
    <row r="3872" spans="2:2" x14ac:dyDescent="0.3">
      <c r="B3872">
        <v>8.5</v>
      </c>
    </row>
    <row r="3873" spans="2:2" x14ac:dyDescent="0.3">
      <c r="B3873">
        <v>8.4</v>
      </c>
    </row>
    <row r="3874" spans="2:2" x14ac:dyDescent="0.3">
      <c r="B3874">
        <v>5.8</v>
      </c>
    </row>
    <row r="3875" spans="2:2" x14ac:dyDescent="0.3">
      <c r="B3875">
        <v>6.1</v>
      </c>
    </row>
    <row r="3876" spans="2:2" x14ac:dyDescent="0.3">
      <c r="B3876">
        <v>7.3</v>
      </c>
    </row>
    <row r="3877" spans="2:2" x14ac:dyDescent="0.3">
      <c r="B3877">
        <v>6.7</v>
      </c>
    </row>
    <row r="3878" spans="2:2" x14ac:dyDescent="0.3">
      <c r="B3878">
        <v>7.6</v>
      </c>
    </row>
    <row r="3879" spans="2:2" x14ac:dyDescent="0.3">
      <c r="B3879">
        <v>7.2</v>
      </c>
    </row>
    <row r="3880" spans="2:2" x14ac:dyDescent="0.3">
      <c r="B3880">
        <v>6.2</v>
      </c>
    </row>
    <row r="3881" spans="2:2" x14ac:dyDescent="0.3">
      <c r="B3881">
        <v>5.8</v>
      </c>
    </row>
    <row r="3882" spans="2:2" x14ac:dyDescent="0.3">
      <c r="B3882">
        <v>5.2</v>
      </c>
    </row>
    <row r="3883" spans="2:2" x14ac:dyDescent="0.3">
      <c r="B3883">
        <v>8.1</v>
      </c>
    </row>
    <row r="3884" spans="2:2" x14ac:dyDescent="0.3">
      <c r="B3884">
        <v>7.1</v>
      </c>
    </row>
    <row r="3885" spans="2:2" x14ac:dyDescent="0.3">
      <c r="B3885">
        <v>6.5</v>
      </c>
    </row>
    <row r="3886" spans="2:2" x14ac:dyDescent="0.3">
      <c r="B3886">
        <v>7.3</v>
      </c>
    </row>
    <row r="3887" spans="2:2" x14ac:dyDescent="0.3">
      <c r="B3887">
        <v>6.2</v>
      </c>
    </row>
    <row r="3888" spans="2:2" x14ac:dyDescent="0.3">
      <c r="B3888">
        <v>5</v>
      </c>
    </row>
    <row r="3889" spans="2:2" x14ac:dyDescent="0.3">
      <c r="B3889">
        <v>8</v>
      </c>
    </row>
    <row r="3890" spans="2:2" x14ac:dyDescent="0.3">
      <c r="B3890">
        <v>7.8</v>
      </c>
    </row>
    <row r="3891" spans="2:2" x14ac:dyDescent="0.3">
      <c r="B3891">
        <v>8.1</v>
      </c>
    </row>
    <row r="3892" spans="2:2" x14ac:dyDescent="0.3">
      <c r="B3892">
        <v>6.7</v>
      </c>
    </row>
    <row r="3893" spans="2:2" x14ac:dyDescent="0.3">
      <c r="B3893">
        <v>6.1</v>
      </c>
    </row>
    <row r="3894" spans="2:2" x14ac:dyDescent="0.3">
      <c r="B3894">
        <v>7.1</v>
      </c>
    </row>
    <row r="3895" spans="2:2" x14ac:dyDescent="0.3">
      <c r="B3895">
        <v>5.6</v>
      </c>
    </row>
    <row r="3896" spans="2:2" x14ac:dyDescent="0.3">
      <c r="B3896">
        <v>7.6</v>
      </c>
    </row>
    <row r="3897" spans="2:2" x14ac:dyDescent="0.3">
      <c r="B3897">
        <v>4.3</v>
      </c>
    </row>
    <row r="3898" spans="2:2" x14ac:dyDescent="0.3">
      <c r="B3898">
        <v>7.3</v>
      </c>
    </row>
    <row r="3899" spans="2:2" x14ac:dyDescent="0.3">
      <c r="B3899">
        <v>7.3</v>
      </c>
    </row>
    <row r="3900" spans="2:2" x14ac:dyDescent="0.3">
      <c r="B3900">
        <v>4.5999999999999996</v>
      </c>
    </row>
    <row r="3901" spans="2:2" x14ac:dyDescent="0.3">
      <c r="B3901">
        <v>6.8</v>
      </c>
    </row>
    <row r="3902" spans="2:2" x14ac:dyDescent="0.3">
      <c r="B3902">
        <v>7.5</v>
      </c>
    </row>
    <row r="3903" spans="2:2" x14ac:dyDescent="0.3">
      <c r="B3903">
        <v>7.1</v>
      </c>
    </row>
    <row r="3904" spans="2:2" x14ac:dyDescent="0.3">
      <c r="B3904">
        <v>7.3</v>
      </c>
    </row>
    <row r="3905" spans="2:2" x14ac:dyDescent="0.3">
      <c r="B3905">
        <v>8.3000000000000007</v>
      </c>
    </row>
    <row r="3906" spans="2:2" x14ac:dyDescent="0.3">
      <c r="B3906">
        <v>5.4</v>
      </c>
    </row>
    <row r="3907" spans="2:2" x14ac:dyDescent="0.3">
      <c r="B3907">
        <v>4</v>
      </c>
    </row>
    <row r="3908" spans="2:2" x14ac:dyDescent="0.3">
      <c r="B3908">
        <v>8</v>
      </c>
    </row>
    <row r="3909" spans="2:2" x14ac:dyDescent="0.3">
      <c r="B3909">
        <v>6.7</v>
      </c>
    </row>
    <row r="3910" spans="2:2" x14ac:dyDescent="0.3">
      <c r="B3910">
        <v>5.7</v>
      </c>
    </row>
    <row r="3911" spans="2:2" x14ac:dyDescent="0.3">
      <c r="B3911">
        <v>4.5999999999999996</v>
      </c>
    </row>
    <row r="3912" spans="2:2" x14ac:dyDescent="0.3">
      <c r="B3912">
        <v>4</v>
      </c>
    </row>
    <row r="3913" spans="2:2" x14ac:dyDescent="0.3">
      <c r="B3913">
        <v>7</v>
      </c>
    </row>
    <row r="3914" spans="2:2" x14ac:dyDescent="0.3">
      <c r="B3914">
        <v>7.4</v>
      </c>
    </row>
    <row r="3915" spans="2:2" x14ac:dyDescent="0.3">
      <c r="B3915">
        <v>5.9</v>
      </c>
    </row>
    <row r="3916" spans="2:2" x14ac:dyDescent="0.3">
      <c r="B3916">
        <v>4.5999999999999996</v>
      </c>
    </row>
    <row r="3917" spans="2:2" x14ac:dyDescent="0.3">
      <c r="B3917">
        <v>4.8</v>
      </c>
    </row>
    <row r="3918" spans="2:2" x14ac:dyDescent="0.3">
      <c r="B3918">
        <v>7.5</v>
      </c>
    </row>
    <row r="3919" spans="2:2" x14ac:dyDescent="0.3">
      <c r="B3919">
        <v>4.7</v>
      </c>
    </row>
    <row r="3920" spans="2:2" x14ac:dyDescent="0.3">
      <c r="B3920">
        <v>6.7</v>
      </c>
    </row>
    <row r="3921" spans="2:2" x14ac:dyDescent="0.3">
      <c r="B3921">
        <v>6.3</v>
      </c>
    </row>
    <row r="3922" spans="2:2" x14ac:dyDescent="0.3">
      <c r="B3922">
        <v>6</v>
      </c>
    </row>
    <row r="3923" spans="2:2" x14ac:dyDescent="0.3">
      <c r="B3923">
        <v>6.7</v>
      </c>
    </row>
    <row r="3924" spans="2:2" x14ac:dyDescent="0.3">
      <c r="B3924">
        <v>7.1</v>
      </c>
    </row>
    <row r="3925" spans="2:2" x14ac:dyDescent="0.3">
      <c r="B3925">
        <v>2.7</v>
      </c>
    </row>
    <row r="3926" spans="2:2" x14ac:dyDescent="0.3">
      <c r="B3926">
        <v>7.3</v>
      </c>
    </row>
    <row r="3927" spans="2:2" x14ac:dyDescent="0.3">
      <c r="B3927">
        <v>7.6</v>
      </c>
    </row>
    <row r="3928" spans="2:2" x14ac:dyDescent="0.3">
      <c r="B3928">
        <v>5.8</v>
      </c>
    </row>
    <row r="3929" spans="2:2" x14ac:dyDescent="0.3">
      <c r="B3929">
        <v>6.5</v>
      </c>
    </row>
    <row r="3930" spans="2:2" x14ac:dyDescent="0.3">
      <c r="B3930">
        <v>6.6</v>
      </c>
    </row>
    <row r="3931" spans="2:2" x14ac:dyDescent="0.3">
      <c r="B3931">
        <v>6.2</v>
      </c>
    </row>
    <row r="3932" spans="2:2" x14ac:dyDescent="0.3">
      <c r="B3932">
        <v>6.9</v>
      </c>
    </row>
    <row r="3933" spans="2:2" x14ac:dyDescent="0.3">
      <c r="B3933">
        <v>8.5</v>
      </c>
    </row>
    <row r="3934" spans="2:2" x14ac:dyDescent="0.3">
      <c r="B3934">
        <v>4.8</v>
      </c>
    </row>
    <row r="3935" spans="2:2" x14ac:dyDescent="0.3">
      <c r="B3935">
        <v>6.6</v>
      </c>
    </row>
    <row r="3936" spans="2:2" x14ac:dyDescent="0.3">
      <c r="B3936">
        <v>5.7</v>
      </c>
    </row>
    <row r="3937" spans="2:2" x14ac:dyDescent="0.3">
      <c r="B3937">
        <v>7</v>
      </c>
    </row>
    <row r="3938" spans="2:2" x14ac:dyDescent="0.3">
      <c r="B3938">
        <v>5.4</v>
      </c>
    </row>
    <row r="3939" spans="2:2" x14ac:dyDescent="0.3">
      <c r="B3939">
        <v>7.1</v>
      </c>
    </row>
    <row r="3940" spans="2:2" x14ac:dyDescent="0.3">
      <c r="B3940">
        <v>6.9</v>
      </c>
    </row>
    <row r="3941" spans="2:2" x14ac:dyDescent="0.3">
      <c r="B3941">
        <v>6.6</v>
      </c>
    </row>
    <row r="3942" spans="2:2" x14ac:dyDescent="0.3">
      <c r="B3942">
        <v>5.9</v>
      </c>
    </row>
    <row r="3943" spans="2:2" x14ac:dyDescent="0.3">
      <c r="B3943">
        <v>6.3</v>
      </c>
    </row>
    <row r="3944" spans="2:2" x14ac:dyDescent="0.3">
      <c r="B3944">
        <v>6.3</v>
      </c>
    </row>
    <row r="3945" spans="2:2" x14ac:dyDescent="0.3">
      <c r="B3945">
        <v>7.7</v>
      </c>
    </row>
    <row r="3946" spans="2:2" x14ac:dyDescent="0.3">
      <c r="B3946">
        <v>7</v>
      </c>
    </row>
    <row r="3947" spans="2:2" x14ac:dyDescent="0.3">
      <c r="B3947">
        <v>6.3</v>
      </c>
    </row>
    <row r="3948" spans="2:2" x14ac:dyDescent="0.3">
      <c r="B3948">
        <v>5.9</v>
      </c>
    </row>
    <row r="3949" spans="2:2" x14ac:dyDescent="0.3">
      <c r="B3949">
        <v>6.2</v>
      </c>
    </row>
    <row r="3950" spans="2:2" x14ac:dyDescent="0.3">
      <c r="B3950">
        <v>5</v>
      </c>
    </row>
    <row r="3951" spans="2:2" x14ac:dyDescent="0.3">
      <c r="B3951">
        <v>7.7</v>
      </c>
    </row>
    <row r="3952" spans="2:2" x14ac:dyDescent="0.3">
      <c r="B3952">
        <v>6.5</v>
      </c>
    </row>
    <row r="3953" spans="2:2" x14ac:dyDescent="0.3">
      <c r="B3953">
        <v>6.1</v>
      </c>
    </row>
    <row r="3954" spans="2:2" x14ac:dyDescent="0.3">
      <c r="B3954">
        <v>5.8</v>
      </c>
    </row>
    <row r="3955" spans="2:2" x14ac:dyDescent="0.3">
      <c r="B3955">
        <v>6.1</v>
      </c>
    </row>
    <row r="3956" spans="2:2" x14ac:dyDescent="0.3">
      <c r="B3956">
        <v>6</v>
      </c>
    </row>
    <row r="3957" spans="2:2" x14ac:dyDescent="0.3">
      <c r="B3957">
        <v>6.3</v>
      </c>
    </row>
    <row r="3958" spans="2:2" x14ac:dyDescent="0.3">
      <c r="B3958">
        <v>6.3</v>
      </c>
    </row>
    <row r="3959" spans="2:2" x14ac:dyDescent="0.3">
      <c r="B3959">
        <v>7.5</v>
      </c>
    </row>
    <row r="3960" spans="2:2" x14ac:dyDescent="0.3">
      <c r="B3960">
        <v>7.6</v>
      </c>
    </row>
    <row r="3961" spans="2:2" x14ac:dyDescent="0.3">
      <c r="B3961">
        <v>5.2</v>
      </c>
    </row>
    <row r="3962" spans="2:2" x14ac:dyDescent="0.3">
      <c r="B3962">
        <v>7.8</v>
      </c>
    </row>
    <row r="3963" spans="2:2" x14ac:dyDescent="0.3">
      <c r="B3963">
        <v>6.6</v>
      </c>
    </row>
    <row r="3964" spans="2:2" x14ac:dyDescent="0.3">
      <c r="B3964">
        <v>4.7</v>
      </c>
    </row>
    <row r="3965" spans="2:2" x14ac:dyDescent="0.3">
      <c r="B3965">
        <v>6.7</v>
      </c>
    </row>
    <row r="3966" spans="2:2" x14ac:dyDescent="0.3">
      <c r="B3966">
        <v>4.2</v>
      </c>
    </row>
    <row r="3967" spans="2:2" x14ac:dyDescent="0.3">
      <c r="B3967">
        <v>6.3</v>
      </c>
    </row>
    <row r="3968" spans="2:2" x14ac:dyDescent="0.3">
      <c r="B3968">
        <v>4.7</v>
      </c>
    </row>
    <row r="3969" spans="2:2" x14ac:dyDescent="0.3">
      <c r="B3969">
        <v>6</v>
      </c>
    </row>
    <row r="3970" spans="2:2" x14ac:dyDescent="0.3">
      <c r="B3970">
        <v>7.9</v>
      </c>
    </row>
    <row r="3971" spans="2:2" x14ac:dyDescent="0.3">
      <c r="B3971">
        <v>8.1</v>
      </c>
    </row>
    <row r="3972" spans="2:2" x14ac:dyDescent="0.3">
      <c r="B3972">
        <v>8.1999999999999993</v>
      </c>
    </row>
    <row r="3973" spans="2:2" x14ac:dyDescent="0.3">
      <c r="B3973">
        <v>6</v>
      </c>
    </row>
    <row r="3974" spans="2:2" x14ac:dyDescent="0.3">
      <c r="B3974">
        <v>6.8</v>
      </c>
    </row>
    <row r="3975" spans="2:2" x14ac:dyDescent="0.3">
      <c r="B3975">
        <v>7.3</v>
      </c>
    </row>
    <row r="3976" spans="2:2" x14ac:dyDescent="0.3">
      <c r="B3976">
        <v>7</v>
      </c>
    </row>
    <row r="3977" spans="2:2" x14ac:dyDescent="0.3">
      <c r="B3977">
        <v>7.3</v>
      </c>
    </row>
    <row r="3978" spans="2:2" x14ac:dyDescent="0.3">
      <c r="B3978">
        <v>7.5</v>
      </c>
    </row>
    <row r="3979" spans="2:2" x14ac:dyDescent="0.3">
      <c r="B3979">
        <v>6.8</v>
      </c>
    </row>
    <row r="3980" spans="2:2" x14ac:dyDescent="0.3">
      <c r="B3980">
        <v>7.1</v>
      </c>
    </row>
    <row r="3981" spans="2:2" x14ac:dyDescent="0.3">
      <c r="B3981">
        <v>6.9</v>
      </c>
    </row>
    <row r="3982" spans="2:2" x14ac:dyDescent="0.3">
      <c r="B3982">
        <v>6.9</v>
      </c>
    </row>
    <row r="3983" spans="2:2" x14ac:dyDescent="0.3">
      <c r="B3983">
        <v>6.9</v>
      </c>
    </row>
    <row r="3984" spans="2:2" x14ac:dyDescent="0.3">
      <c r="B3984">
        <v>8.4</v>
      </c>
    </row>
    <row r="3985" spans="2:2" x14ac:dyDescent="0.3">
      <c r="B3985">
        <v>7.9</v>
      </c>
    </row>
    <row r="3986" spans="2:2" x14ac:dyDescent="0.3">
      <c r="B3986">
        <v>7.2</v>
      </c>
    </row>
    <row r="3987" spans="2:2" x14ac:dyDescent="0.3">
      <c r="B3987">
        <v>7.8</v>
      </c>
    </row>
    <row r="3988" spans="2:2" x14ac:dyDescent="0.3">
      <c r="B3988">
        <v>3.5</v>
      </c>
    </row>
    <row r="3989" spans="2:2" x14ac:dyDescent="0.3">
      <c r="B3989">
        <v>7.3</v>
      </c>
    </row>
    <row r="3990" spans="2:2" x14ac:dyDescent="0.3">
      <c r="B3990">
        <v>7.5</v>
      </c>
    </row>
    <row r="3991" spans="2:2" x14ac:dyDescent="0.3">
      <c r="B3991">
        <v>7.8</v>
      </c>
    </row>
    <row r="3992" spans="2:2" x14ac:dyDescent="0.3">
      <c r="B3992">
        <v>6</v>
      </c>
    </row>
    <row r="3993" spans="2:2" x14ac:dyDescent="0.3">
      <c r="B3993">
        <v>7.3</v>
      </c>
    </row>
    <row r="3994" spans="2:2" x14ac:dyDescent="0.3">
      <c r="B3994">
        <v>8</v>
      </c>
    </row>
    <row r="3995" spans="2:2" x14ac:dyDescent="0.3">
      <c r="B3995">
        <v>7.6</v>
      </c>
    </row>
    <row r="3996" spans="2:2" x14ac:dyDescent="0.3">
      <c r="B3996">
        <v>7</v>
      </c>
    </row>
    <row r="3997" spans="2:2" x14ac:dyDescent="0.3">
      <c r="B3997">
        <v>7.5</v>
      </c>
    </row>
    <row r="3998" spans="2:2" x14ac:dyDescent="0.3">
      <c r="B3998">
        <v>6.8</v>
      </c>
    </row>
    <row r="3999" spans="2:2" x14ac:dyDescent="0.3">
      <c r="B3999">
        <v>3.9</v>
      </c>
    </row>
    <row r="4000" spans="2:2" x14ac:dyDescent="0.3">
      <c r="B4000">
        <v>6.1</v>
      </c>
    </row>
    <row r="4001" spans="2:2" x14ac:dyDescent="0.3">
      <c r="B4001">
        <v>7.5</v>
      </c>
    </row>
    <row r="4002" spans="2:2" x14ac:dyDescent="0.3">
      <c r="B4002">
        <v>8.1999999999999993</v>
      </c>
    </row>
    <row r="4003" spans="2:2" x14ac:dyDescent="0.3">
      <c r="B4003">
        <v>7.2</v>
      </c>
    </row>
    <row r="4004" spans="2:2" x14ac:dyDescent="0.3">
      <c r="B4004">
        <v>4.8</v>
      </c>
    </row>
    <row r="4005" spans="2:2" x14ac:dyDescent="0.3">
      <c r="B4005">
        <v>7.8</v>
      </c>
    </row>
    <row r="4006" spans="2:2" x14ac:dyDescent="0.3">
      <c r="B4006">
        <v>5.2</v>
      </c>
    </row>
    <row r="4007" spans="2:2" x14ac:dyDescent="0.3">
      <c r="B4007">
        <v>3.3</v>
      </c>
    </row>
    <row r="4008" spans="2:2" x14ac:dyDescent="0.3">
      <c r="B4008">
        <v>6.8</v>
      </c>
    </row>
    <row r="4009" spans="2:2" x14ac:dyDescent="0.3">
      <c r="B4009">
        <v>7</v>
      </c>
    </row>
    <row r="4010" spans="2:2" x14ac:dyDescent="0.3">
      <c r="B4010">
        <v>6.5</v>
      </c>
    </row>
    <row r="4011" spans="2:2" x14ac:dyDescent="0.3">
      <c r="B4011">
        <v>5.7</v>
      </c>
    </row>
    <row r="4012" spans="2:2" x14ac:dyDescent="0.3">
      <c r="B4012">
        <v>6.4</v>
      </c>
    </row>
    <row r="4013" spans="2:2" x14ac:dyDescent="0.3">
      <c r="B4013">
        <v>5.3</v>
      </c>
    </row>
    <row r="4014" spans="2:2" x14ac:dyDescent="0.3">
      <c r="B4014">
        <v>4.7</v>
      </c>
    </row>
    <row r="4015" spans="2:2" x14ac:dyDescent="0.3">
      <c r="B4015">
        <v>6.1</v>
      </c>
    </row>
    <row r="4016" spans="2:2" x14ac:dyDescent="0.3">
      <c r="B4016">
        <v>5.5</v>
      </c>
    </row>
    <row r="4017" spans="2:2" x14ac:dyDescent="0.3">
      <c r="B4017">
        <v>7.3</v>
      </c>
    </row>
    <row r="4018" spans="2:2" x14ac:dyDescent="0.3">
      <c r="B4018">
        <v>4.8</v>
      </c>
    </row>
    <row r="4019" spans="2:2" x14ac:dyDescent="0.3">
      <c r="B4019">
        <v>8.4</v>
      </c>
    </row>
    <row r="4020" spans="2:2" x14ac:dyDescent="0.3">
      <c r="B4020">
        <v>7</v>
      </c>
    </row>
    <row r="4021" spans="2:2" x14ac:dyDescent="0.3">
      <c r="B4021">
        <v>3.3</v>
      </c>
    </row>
    <row r="4022" spans="2:2" x14ac:dyDescent="0.3">
      <c r="B4022">
        <v>5.4</v>
      </c>
    </row>
    <row r="4023" spans="2:2" x14ac:dyDescent="0.3">
      <c r="B4023">
        <v>4.8</v>
      </c>
    </row>
    <row r="4024" spans="2:2" x14ac:dyDescent="0.3">
      <c r="B4024">
        <v>3.1</v>
      </c>
    </row>
    <row r="4025" spans="2:2" x14ac:dyDescent="0.3">
      <c r="B4025">
        <v>6.7</v>
      </c>
    </row>
    <row r="4026" spans="2:2" x14ac:dyDescent="0.3">
      <c r="B4026">
        <v>7.6</v>
      </c>
    </row>
    <row r="4027" spans="2:2" x14ac:dyDescent="0.3">
      <c r="B4027">
        <v>7.1</v>
      </c>
    </row>
    <row r="4028" spans="2:2" x14ac:dyDescent="0.3">
      <c r="B4028">
        <v>6.1</v>
      </c>
    </row>
    <row r="4029" spans="2:2" x14ac:dyDescent="0.3">
      <c r="B4029">
        <v>6.5</v>
      </c>
    </row>
    <row r="4030" spans="2:2" x14ac:dyDescent="0.3">
      <c r="B4030">
        <v>8.5</v>
      </c>
    </row>
    <row r="4031" spans="2:2" x14ac:dyDescent="0.3">
      <c r="B4031">
        <v>8.6999999999999993</v>
      </c>
    </row>
    <row r="4032" spans="2:2" x14ac:dyDescent="0.3">
      <c r="B4032">
        <v>7.1</v>
      </c>
    </row>
    <row r="4033" spans="2:2" x14ac:dyDescent="0.3">
      <c r="B4033">
        <v>6.6</v>
      </c>
    </row>
    <row r="4034" spans="2:2" x14ac:dyDescent="0.3">
      <c r="B4034">
        <v>6.7</v>
      </c>
    </row>
    <row r="4035" spans="2:2" x14ac:dyDescent="0.3">
      <c r="B4035">
        <v>8.3000000000000007</v>
      </c>
    </row>
    <row r="4036" spans="2:2" x14ac:dyDescent="0.3">
      <c r="B4036">
        <v>8.1</v>
      </c>
    </row>
    <row r="4037" spans="2:2" x14ac:dyDescent="0.3">
      <c r="B4037">
        <v>7.4</v>
      </c>
    </row>
    <row r="4038" spans="2:2" x14ac:dyDescent="0.3">
      <c r="B4038">
        <v>6.6</v>
      </c>
    </row>
    <row r="4039" spans="2:2" x14ac:dyDescent="0.3">
      <c r="B4039">
        <v>4.5</v>
      </c>
    </row>
    <row r="4040" spans="2:2" x14ac:dyDescent="0.3">
      <c r="B4040">
        <v>6.4</v>
      </c>
    </row>
    <row r="4041" spans="2:2" x14ac:dyDescent="0.3">
      <c r="B4041">
        <v>7.5</v>
      </c>
    </row>
    <row r="4042" spans="2:2" x14ac:dyDescent="0.3">
      <c r="B4042">
        <v>8</v>
      </c>
    </row>
    <row r="4043" spans="2:2" x14ac:dyDescent="0.3">
      <c r="B4043">
        <v>8.1</v>
      </c>
    </row>
    <row r="4044" spans="2:2" x14ac:dyDescent="0.3">
      <c r="B4044">
        <v>7.2</v>
      </c>
    </row>
    <row r="4045" spans="2:2" x14ac:dyDescent="0.3">
      <c r="B4045">
        <v>7.5</v>
      </c>
    </row>
    <row r="4046" spans="2:2" x14ac:dyDescent="0.3">
      <c r="B4046">
        <v>7.2</v>
      </c>
    </row>
    <row r="4047" spans="2:2" x14ac:dyDescent="0.3">
      <c r="B4047">
        <v>6.4</v>
      </c>
    </row>
    <row r="4048" spans="2:2" x14ac:dyDescent="0.3">
      <c r="B4048">
        <v>7.6</v>
      </c>
    </row>
    <row r="4049" spans="2:2" x14ac:dyDescent="0.3">
      <c r="B4049">
        <v>7.8</v>
      </c>
    </row>
    <row r="4050" spans="2:2" x14ac:dyDescent="0.3">
      <c r="B4050">
        <v>5.7</v>
      </c>
    </row>
    <row r="4051" spans="2:2" x14ac:dyDescent="0.3">
      <c r="B4051">
        <v>8.6</v>
      </c>
    </row>
    <row r="4052" spans="2:2" x14ac:dyDescent="0.3">
      <c r="B4052">
        <v>8.1999999999999993</v>
      </c>
    </row>
    <row r="4053" spans="2:2" x14ac:dyDescent="0.3">
      <c r="B4053">
        <v>6.6</v>
      </c>
    </row>
    <row r="4054" spans="2:2" x14ac:dyDescent="0.3">
      <c r="B4054">
        <v>5.7</v>
      </c>
    </row>
    <row r="4055" spans="2:2" x14ac:dyDescent="0.3">
      <c r="B4055">
        <v>7.4</v>
      </c>
    </row>
    <row r="4056" spans="2:2" x14ac:dyDescent="0.3">
      <c r="B4056">
        <v>8</v>
      </c>
    </row>
    <row r="4057" spans="2:2" x14ac:dyDescent="0.3">
      <c r="B4057">
        <v>7.3</v>
      </c>
    </row>
    <row r="4058" spans="2:2" x14ac:dyDescent="0.3">
      <c r="B4058">
        <v>5.4</v>
      </c>
    </row>
    <row r="4059" spans="2:2" x14ac:dyDescent="0.3">
      <c r="B4059">
        <v>7.4</v>
      </c>
    </row>
    <row r="4060" spans="2:2" x14ac:dyDescent="0.3">
      <c r="B4060">
        <v>5.7</v>
      </c>
    </row>
    <row r="4061" spans="2:2" x14ac:dyDescent="0.3">
      <c r="B4061">
        <v>6.8</v>
      </c>
    </row>
    <row r="4062" spans="2:2" x14ac:dyDescent="0.3">
      <c r="B4062">
        <v>5.4</v>
      </c>
    </row>
    <row r="4063" spans="2:2" x14ac:dyDescent="0.3">
      <c r="B4063">
        <v>8.1</v>
      </c>
    </row>
    <row r="4064" spans="2:2" x14ac:dyDescent="0.3">
      <c r="B4064">
        <v>6.1</v>
      </c>
    </row>
    <row r="4065" spans="2:2" x14ac:dyDescent="0.3">
      <c r="B4065">
        <v>5.0999999999999996</v>
      </c>
    </row>
    <row r="4066" spans="2:2" x14ac:dyDescent="0.3">
      <c r="B4066">
        <v>5.6</v>
      </c>
    </row>
    <row r="4067" spans="2:2" x14ac:dyDescent="0.3">
      <c r="B4067">
        <v>5.9</v>
      </c>
    </row>
    <row r="4068" spans="2:2" x14ac:dyDescent="0.3">
      <c r="B4068">
        <v>8.1999999999999993</v>
      </c>
    </row>
    <row r="4069" spans="2:2" x14ac:dyDescent="0.3">
      <c r="B4069">
        <v>5.3</v>
      </c>
    </row>
    <row r="4070" spans="2:2" x14ac:dyDescent="0.3">
      <c r="B4070">
        <v>6.8</v>
      </c>
    </row>
    <row r="4071" spans="2:2" x14ac:dyDescent="0.3">
      <c r="B4071">
        <v>8.3000000000000007</v>
      </c>
    </row>
    <row r="4072" spans="2:2" x14ac:dyDescent="0.3">
      <c r="B4072">
        <v>4.3</v>
      </c>
    </row>
    <row r="4073" spans="2:2" x14ac:dyDescent="0.3">
      <c r="B4073">
        <v>6.7</v>
      </c>
    </row>
    <row r="4074" spans="2:2" x14ac:dyDescent="0.3">
      <c r="B4074">
        <v>7.2</v>
      </c>
    </row>
    <row r="4075" spans="2:2" x14ac:dyDescent="0.3">
      <c r="B4075">
        <v>6.9</v>
      </c>
    </row>
    <row r="4076" spans="2:2" x14ac:dyDescent="0.3">
      <c r="B4076">
        <v>6.6</v>
      </c>
    </row>
    <row r="4077" spans="2:2" x14ac:dyDescent="0.3">
      <c r="B4077">
        <v>5.9</v>
      </c>
    </row>
    <row r="4078" spans="2:2" x14ac:dyDescent="0.3">
      <c r="B4078">
        <v>7.9</v>
      </c>
    </row>
    <row r="4079" spans="2:2" x14ac:dyDescent="0.3">
      <c r="B4079">
        <v>8.3000000000000007</v>
      </c>
    </row>
    <row r="4080" spans="2:2" x14ac:dyDescent="0.3">
      <c r="B4080">
        <v>5.2</v>
      </c>
    </row>
    <row r="4081" spans="2:2" x14ac:dyDescent="0.3">
      <c r="B4081">
        <v>7.8</v>
      </c>
    </row>
    <row r="4082" spans="2:2" x14ac:dyDescent="0.3">
      <c r="B4082">
        <v>7.8</v>
      </c>
    </row>
    <row r="4083" spans="2:2" x14ac:dyDescent="0.3">
      <c r="B4083">
        <v>3</v>
      </c>
    </row>
    <row r="4084" spans="2:2" x14ac:dyDescent="0.3">
      <c r="B4084">
        <v>7.9</v>
      </c>
    </row>
    <row r="4085" spans="2:2" x14ac:dyDescent="0.3">
      <c r="B4085">
        <v>3.2</v>
      </c>
    </row>
    <row r="4086" spans="2:2" x14ac:dyDescent="0.3">
      <c r="B4086">
        <v>6.5</v>
      </c>
    </row>
    <row r="4087" spans="2:2" x14ac:dyDescent="0.3">
      <c r="B4087">
        <v>6.9</v>
      </c>
    </row>
    <row r="4088" spans="2:2" x14ac:dyDescent="0.3">
      <c r="B4088">
        <v>7</v>
      </c>
    </row>
    <row r="4089" spans="2:2" x14ac:dyDescent="0.3">
      <c r="B4089">
        <v>7.4</v>
      </c>
    </row>
    <row r="4090" spans="2:2" x14ac:dyDescent="0.3">
      <c r="B4090">
        <v>7.8</v>
      </c>
    </row>
    <row r="4091" spans="2:2" x14ac:dyDescent="0.3">
      <c r="B4091">
        <v>6.9</v>
      </c>
    </row>
    <row r="4092" spans="2:2" x14ac:dyDescent="0.3">
      <c r="B4092">
        <v>4.4000000000000004</v>
      </c>
    </row>
    <row r="4093" spans="2:2" x14ac:dyDescent="0.3">
      <c r="B4093">
        <v>6</v>
      </c>
    </row>
    <row r="4094" spans="2:2" x14ac:dyDescent="0.3">
      <c r="B4094">
        <v>6.6</v>
      </c>
    </row>
    <row r="4095" spans="2:2" x14ac:dyDescent="0.3">
      <c r="B4095">
        <v>7.8</v>
      </c>
    </row>
    <row r="4096" spans="2:2" x14ac:dyDescent="0.3">
      <c r="B4096">
        <v>5.3</v>
      </c>
    </row>
    <row r="4097" spans="2:2" x14ac:dyDescent="0.3">
      <c r="B4097">
        <v>5.3</v>
      </c>
    </row>
    <row r="4098" spans="2:2" x14ac:dyDescent="0.3">
      <c r="B4098">
        <v>8</v>
      </c>
    </row>
    <row r="4099" spans="2:2" x14ac:dyDescent="0.3">
      <c r="B4099">
        <v>7.1</v>
      </c>
    </row>
    <row r="4100" spans="2:2" x14ac:dyDescent="0.3">
      <c r="B4100">
        <v>5.4</v>
      </c>
    </row>
    <row r="4101" spans="2:2" x14ac:dyDescent="0.3">
      <c r="B4101">
        <v>6.9</v>
      </c>
    </row>
    <row r="4102" spans="2:2" x14ac:dyDescent="0.3">
      <c r="B4102">
        <v>7.4</v>
      </c>
    </row>
    <row r="4103" spans="2:2" x14ac:dyDescent="0.3">
      <c r="B4103">
        <v>7.3</v>
      </c>
    </row>
    <row r="4104" spans="2:2" x14ac:dyDescent="0.3">
      <c r="B4104">
        <v>7.8</v>
      </c>
    </row>
    <row r="4105" spans="2:2" x14ac:dyDescent="0.3">
      <c r="B4105">
        <v>6.6</v>
      </c>
    </row>
    <row r="4106" spans="2:2" x14ac:dyDescent="0.3">
      <c r="B4106">
        <v>5.4</v>
      </c>
    </row>
    <row r="4107" spans="2:2" x14ac:dyDescent="0.3">
      <c r="B4107">
        <v>8.4</v>
      </c>
    </row>
    <row r="4108" spans="2:2" x14ac:dyDescent="0.3">
      <c r="B4108">
        <v>6.3</v>
      </c>
    </row>
    <row r="4109" spans="2:2" x14ac:dyDescent="0.3">
      <c r="B4109">
        <v>6.1</v>
      </c>
    </row>
    <row r="4110" spans="2:2" x14ac:dyDescent="0.3">
      <c r="B4110">
        <v>5</v>
      </c>
    </row>
    <row r="4111" spans="2:2" x14ac:dyDescent="0.3">
      <c r="B4111">
        <v>6.9</v>
      </c>
    </row>
    <row r="4112" spans="2:2" x14ac:dyDescent="0.3">
      <c r="B4112">
        <v>7.2</v>
      </c>
    </row>
    <row r="4113" spans="2:2" x14ac:dyDescent="0.3">
      <c r="B4113">
        <v>7.3</v>
      </c>
    </row>
    <row r="4114" spans="2:2" x14ac:dyDescent="0.3">
      <c r="B4114">
        <v>5.7</v>
      </c>
    </row>
    <row r="4115" spans="2:2" x14ac:dyDescent="0.3">
      <c r="B4115">
        <v>5</v>
      </c>
    </row>
    <row r="4116" spans="2:2" x14ac:dyDescent="0.3">
      <c r="B4116">
        <v>5.3</v>
      </c>
    </row>
    <row r="4117" spans="2:2" x14ac:dyDescent="0.3">
      <c r="B4117">
        <v>7.9</v>
      </c>
    </row>
    <row r="4118" spans="2:2" x14ac:dyDescent="0.3">
      <c r="B4118">
        <v>5</v>
      </c>
    </row>
    <row r="4119" spans="2:2" x14ac:dyDescent="0.3">
      <c r="B4119">
        <v>5.3</v>
      </c>
    </row>
    <row r="4120" spans="2:2" x14ac:dyDescent="0.3">
      <c r="B4120">
        <v>6</v>
      </c>
    </row>
    <row r="4121" spans="2:2" x14ac:dyDescent="0.3">
      <c r="B4121">
        <v>7.6</v>
      </c>
    </row>
    <row r="4122" spans="2:2" x14ac:dyDescent="0.3">
      <c r="B4122">
        <v>7.4</v>
      </c>
    </row>
    <row r="4123" spans="2:2" x14ac:dyDescent="0.3">
      <c r="B4123">
        <v>5.9</v>
      </c>
    </row>
    <row r="4124" spans="2:2" x14ac:dyDescent="0.3">
      <c r="B4124">
        <v>4.0999999999999996</v>
      </c>
    </row>
    <row r="4125" spans="2:2" x14ac:dyDescent="0.3">
      <c r="B4125">
        <v>6.7</v>
      </c>
    </row>
    <row r="4126" spans="2:2" x14ac:dyDescent="0.3">
      <c r="B4126">
        <v>5.8</v>
      </c>
    </row>
    <row r="4127" spans="2:2" x14ac:dyDescent="0.3">
      <c r="B4127">
        <v>6.2</v>
      </c>
    </row>
    <row r="4128" spans="2:2" x14ac:dyDescent="0.3">
      <c r="B4128">
        <v>5.3</v>
      </c>
    </row>
    <row r="4129" spans="2:2" x14ac:dyDescent="0.3">
      <c r="B4129">
        <v>3.3</v>
      </c>
    </row>
    <row r="4130" spans="2:2" x14ac:dyDescent="0.3">
      <c r="B4130">
        <v>6.5</v>
      </c>
    </row>
    <row r="4131" spans="2:2" x14ac:dyDescent="0.3">
      <c r="B4131">
        <v>6.2</v>
      </c>
    </row>
    <row r="4132" spans="2:2" x14ac:dyDescent="0.3">
      <c r="B4132">
        <v>5.9</v>
      </c>
    </row>
    <row r="4133" spans="2:2" x14ac:dyDescent="0.3">
      <c r="B4133">
        <v>5.5</v>
      </c>
    </row>
    <row r="4134" spans="2:2" x14ac:dyDescent="0.3">
      <c r="B4134">
        <v>5.5</v>
      </c>
    </row>
    <row r="4135" spans="2:2" x14ac:dyDescent="0.3">
      <c r="B4135">
        <v>2.6</v>
      </c>
    </row>
    <row r="4136" spans="2:2" x14ac:dyDescent="0.3">
      <c r="B4136">
        <v>5.8</v>
      </c>
    </row>
    <row r="4137" spans="2:2" x14ac:dyDescent="0.3">
      <c r="B4137">
        <v>7.4</v>
      </c>
    </row>
    <row r="4138" spans="2:2" x14ac:dyDescent="0.3">
      <c r="B4138">
        <v>5.0999999999999996</v>
      </c>
    </row>
    <row r="4139" spans="2:2" x14ac:dyDescent="0.3">
      <c r="B4139">
        <v>5.2</v>
      </c>
    </row>
    <row r="4140" spans="2:2" x14ac:dyDescent="0.3">
      <c r="B4140">
        <v>4.8</v>
      </c>
    </row>
    <row r="4141" spans="2:2" x14ac:dyDescent="0.3">
      <c r="B4141">
        <v>3.9</v>
      </c>
    </row>
    <row r="4142" spans="2:2" x14ac:dyDescent="0.3">
      <c r="B4142">
        <v>6.2</v>
      </c>
    </row>
    <row r="4143" spans="2:2" x14ac:dyDescent="0.3">
      <c r="B4143">
        <v>7</v>
      </c>
    </row>
    <row r="4144" spans="2:2" x14ac:dyDescent="0.3">
      <c r="B4144">
        <v>6.2</v>
      </c>
    </row>
    <row r="4145" spans="2:2" x14ac:dyDescent="0.3">
      <c r="B4145">
        <v>5.9</v>
      </c>
    </row>
    <row r="4146" spans="2:2" x14ac:dyDescent="0.3">
      <c r="B4146">
        <v>8</v>
      </c>
    </row>
    <row r="4147" spans="2:2" x14ac:dyDescent="0.3">
      <c r="B4147">
        <v>7.3</v>
      </c>
    </row>
    <row r="4148" spans="2:2" x14ac:dyDescent="0.3">
      <c r="B4148">
        <v>4.9000000000000004</v>
      </c>
    </row>
    <row r="4149" spans="2:2" x14ac:dyDescent="0.3">
      <c r="B4149">
        <v>6.5</v>
      </c>
    </row>
    <row r="4150" spans="2:2" x14ac:dyDescent="0.3">
      <c r="B4150">
        <v>4.3</v>
      </c>
    </row>
    <row r="4151" spans="2:2" x14ac:dyDescent="0.3">
      <c r="B4151">
        <v>6.4</v>
      </c>
    </row>
    <row r="4152" spans="2:2" x14ac:dyDescent="0.3">
      <c r="B4152">
        <v>7.6</v>
      </c>
    </row>
    <row r="4153" spans="2:2" x14ac:dyDescent="0.3">
      <c r="B4153">
        <v>6.8</v>
      </c>
    </row>
    <row r="4154" spans="2:2" x14ac:dyDescent="0.3">
      <c r="B4154">
        <v>6.1</v>
      </c>
    </row>
    <row r="4155" spans="2:2" x14ac:dyDescent="0.3">
      <c r="B4155">
        <v>4</v>
      </c>
    </row>
    <row r="4156" spans="2:2" x14ac:dyDescent="0.3">
      <c r="B4156">
        <v>7.4</v>
      </c>
    </row>
    <row r="4157" spans="2:2" x14ac:dyDescent="0.3">
      <c r="B4157">
        <v>8.3000000000000007</v>
      </c>
    </row>
    <row r="4158" spans="2:2" x14ac:dyDescent="0.3">
      <c r="B4158">
        <v>5.3</v>
      </c>
    </row>
    <row r="4159" spans="2:2" x14ac:dyDescent="0.3">
      <c r="B4159">
        <v>8.1</v>
      </c>
    </row>
    <row r="4160" spans="2:2" x14ac:dyDescent="0.3">
      <c r="B4160">
        <v>8</v>
      </c>
    </row>
    <row r="4161" spans="2:2" x14ac:dyDescent="0.3">
      <c r="B4161">
        <v>5.7</v>
      </c>
    </row>
    <row r="4162" spans="2:2" x14ac:dyDescent="0.3">
      <c r="B4162">
        <v>8.1999999999999993</v>
      </c>
    </row>
    <row r="4163" spans="2:2" x14ac:dyDescent="0.3">
      <c r="B4163">
        <v>7.1</v>
      </c>
    </row>
    <row r="4164" spans="2:2" x14ac:dyDescent="0.3">
      <c r="B4164">
        <v>7.4</v>
      </c>
    </row>
    <row r="4165" spans="2:2" x14ac:dyDescent="0.3">
      <c r="B4165">
        <v>6.6</v>
      </c>
    </row>
    <row r="4166" spans="2:2" x14ac:dyDescent="0.3">
      <c r="B4166">
        <v>5.7</v>
      </c>
    </row>
    <row r="4167" spans="2:2" x14ac:dyDescent="0.3">
      <c r="B4167">
        <v>6.9</v>
      </c>
    </row>
    <row r="4168" spans="2:2" x14ac:dyDescent="0.3">
      <c r="B4168">
        <v>7</v>
      </c>
    </row>
    <row r="4169" spans="2:2" x14ac:dyDescent="0.3">
      <c r="B4169">
        <v>7</v>
      </c>
    </row>
    <row r="4170" spans="2:2" x14ac:dyDescent="0.3">
      <c r="B4170">
        <v>7.8</v>
      </c>
    </row>
    <row r="4171" spans="2:2" x14ac:dyDescent="0.3">
      <c r="B4171">
        <v>5.9</v>
      </c>
    </row>
    <row r="4172" spans="2:2" x14ac:dyDescent="0.3">
      <c r="B4172">
        <v>7.4</v>
      </c>
    </row>
    <row r="4173" spans="2:2" x14ac:dyDescent="0.3">
      <c r="B4173">
        <v>7.8</v>
      </c>
    </row>
    <row r="4174" spans="2:2" x14ac:dyDescent="0.3">
      <c r="B4174">
        <v>6</v>
      </c>
    </row>
    <row r="4175" spans="2:2" x14ac:dyDescent="0.3">
      <c r="B4175">
        <v>5.3</v>
      </c>
    </row>
    <row r="4176" spans="2:2" x14ac:dyDescent="0.3">
      <c r="B4176">
        <v>7.9</v>
      </c>
    </row>
    <row r="4177" spans="2:2" x14ac:dyDescent="0.3">
      <c r="B4177">
        <v>7.2</v>
      </c>
    </row>
    <row r="4178" spans="2:2" x14ac:dyDescent="0.3">
      <c r="B4178">
        <v>7.4</v>
      </c>
    </row>
    <row r="4179" spans="2:2" x14ac:dyDescent="0.3">
      <c r="B4179">
        <v>5.3</v>
      </c>
    </row>
    <row r="4180" spans="2:2" x14ac:dyDescent="0.3">
      <c r="B4180">
        <v>8.3000000000000007</v>
      </c>
    </row>
    <row r="4181" spans="2:2" x14ac:dyDescent="0.3">
      <c r="B4181">
        <v>7.6</v>
      </c>
    </row>
    <row r="4182" spans="2:2" x14ac:dyDescent="0.3">
      <c r="B4182">
        <v>5.0999999999999996</v>
      </c>
    </row>
    <row r="4183" spans="2:2" x14ac:dyDescent="0.3">
      <c r="B4183">
        <v>5.0999999999999996</v>
      </c>
    </row>
    <row r="4184" spans="2:2" x14ac:dyDescent="0.3">
      <c r="B4184">
        <v>4.9000000000000004</v>
      </c>
    </row>
    <row r="4185" spans="2:2" x14ac:dyDescent="0.3">
      <c r="B4185">
        <v>6.9</v>
      </c>
    </row>
    <row r="4186" spans="2:2" x14ac:dyDescent="0.3">
      <c r="B4186">
        <v>4.5999999999999996</v>
      </c>
    </row>
    <row r="4187" spans="2:2" x14ac:dyDescent="0.3">
      <c r="B4187">
        <v>6.3</v>
      </c>
    </row>
    <row r="4188" spans="2:2" x14ac:dyDescent="0.3">
      <c r="B4188">
        <v>7.9</v>
      </c>
    </row>
    <row r="4189" spans="2:2" x14ac:dyDescent="0.3">
      <c r="B4189">
        <v>6.7</v>
      </c>
    </row>
    <row r="4190" spans="2:2" x14ac:dyDescent="0.3">
      <c r="B4190">
        <v>7.1</v>
      </c>
    </row>
    <row r="4191" spans="2:2" x14ac:dyDescent="0.3">
      <c r="B4191">
        <v>7.6</v>
      </c>
    </row>
    <row r="4192" spans="2:2" x14ac:dyDescent="0.3">
      <c r="B4192">
        <v>8.1</v>
      </c>
    </row>
    <row r="4193" spans="2:2" x14ac:dyDescent="0.3">
      <c r="B4193">
        <v>6.6</v>
      </c>
    </row>
    <row r="4194" spans="2:2" x14ac:dyDescent="0.3">
      <c r="B4194">
        <v>7</v>
      </c>
    </row>
    <row r="4195" spans="2:2" x14ac:dyDescent="0.3">
      <c r="B4195">
        <v>7.6</v>
      </c>
    </row>
    <row r="4196" spans="2:2" x14ac:dyDescent="0.3">
      <c r="B4196">
        <v>6.7</v>
      </c>
    </row>
    <row r="4197" spans="2:2" x14ac:dyDescent="0.3">
      <c r="B4197">
        <v>7.1</v>
      </c>
    </row>
    <row r="4198" spans="2:2" x14ac:dyDescent="0.3">
      <c r="B4198">
        <v>7.6</v>
      </c>
    </row>
    <row r="4199" spans="2:2" x14ac:dyDescent="0.3">
      <c r="B4199">
        <v>7.1</v>
      </c>
    </row>
    <row r="4200" spans="2:2" x14ac:dyDescent="0.3">
      <c r="B4200">
        <v>7.1</v>
      </c>
    </row>
    <row r="4201" spans="2:2" x14ac:dyDescent="0.3">
      <c r="B4201">
        <v>7.7</v>
      </c>
    </row>
    <row r="4202" spans="2:2" x14ac:dyDescent="0.3">
      <c r="B4202">
        <v>7.6</v>
      </c>
    </row>
    <row r="4203" spans="2:2" x14ac:dyDescent="0.3">
      <c r="B4203">
        <v>6.6</v>
      </c>
    </row>
    <row r="4204" spans="2:2" x14ac:dyDescent="0.3">
      <c r="B4204">
        <v>6.7</v>
      </c>
    </row>
    <row r="4205" spans="2:2" x14ac:dyDescent="0.3">
      <c r="B4205">
        <v>5.7</v>
      </c>
    </row>
    <row r="4206" spans="2:2" x14ac:dyDescent="0.3">
      <c r="B4206">
        <v>7.1</v>
      </c>
    </row>
    <row r="4207" spans="2:2" x14ac:dyDescent="0.3">
      <c r="B4207">
        <v>6.2</v>
      </c>
    </row>
    <row r="4208" spans="2:2" x14ac:dyDescent="0.3">
      <c r="B4208">
        <v>6.1</v>
      </c>
    </row>
    <row r="4209" spans="2:2" x14ac:dyDescent="0.3">
      <c r="B4209">
        <v>5.9</v>
      </c>
    </row>
    <row r="4210" spans="2:2" x14ac:dyDescent="0.3">
      <c r="B4210">
        <v>6.8</v>
      </c>
    </row>
    <row r="4211" spans="2:2" x14ac:dyDescent="0.3">
      <c r="B4211">
        <v>5.8</v>
      </c>
    </row>
    <row r="4212" spans="2:2" x14ac:dyDescent="0.3">
      <c r="B4212">
        <v>5</v>
      </c>
    </row>
    <row r="4213" spans="2:2" x14ac:dyDescent="0.3">
      <c r="B4213">
        <v>6.3</v>
      </c>
    </row>
    <row r="4214" spans="2:2" x14ac:dyDescent="0.3">
      <c r="B4214">
        <v>6.8</v>
      </c>
    </row>
    <row r="4215" spans="2:2" x14ac:dyDescent="0.3">
      <c r="B4215">
        <v>5.0999999999999996</v>
      </c>
    </row>
    <row r="4216" spans="2:2" x14ac:dyDescent="0.3">
      <c r="B4216">
        <v>6.6</v>
      </c>
    </row>
    <row r="4217" spans="2:2" x14ac:dyDescent="0.3">
      <c r="B4217">
        <v>5</v>
      </c>
    </row>
    <row r="4218" spans="2:2" x14ac:dyDescent="0.3">
      <c r="B4218">
        <v>7.7</v>
      </c>
    </row>
    <row r="4219" spans="2:2" x14ac:dyDescent="0.3">
      <c r="B4219">
        <v>3.1</v>
      </c>
    </row>
    <row r="4220" spans="2:2" x14ac:dyDescent="0.3">
      <c r="B4220">
        <v>6.5</v>
      </c>
    </row>
    <row r="4221" spans="2:2" x14ac:dyDescent="0.3">
      <c r="B4221">
        <v>3.9</v>
      </c>
    </row>
    <row r="4222" spans="2:2" x14ac:dyDescent="0.3">
      <c r="B4222">
        <v>6.8</v>
      </c>
    </row>
    <row r="4223" spans="2:2" x14ac:dyDescent="0.3">
      <c r="B4223">
        <v>7</v>
      </c>
    </row>
    <row r="4224" spans="2:2" x14ac:dyDescent="0.3">
      <c r="B4224">
        <v>5.9</v>
      </c>
    </row>
    <row r="4225" spans="2:2" x14ac:dyDescent="0.3">
      <c r="B4225">
        <v>5.8</v>
      </c>
    </row>
    <row r="4226" spans="2:2" x14ac:dyDescent="0.3">
      <c r="B4226">
        <v>7.3</v>
      </c>
    </row>
    <row r="4227" spans="2:2" x14ac:dyDescent="0.3">
      <c r="B4227">
        <v>7.8</v>
      </c>
    </row>
    <row r="4228" spans="2:2" x14ac:dyDescent="0.3">
      <c r="B4228">
        <v>7.8</v>
      </c>
    </row>
    <row r="4229" spans="2:2" x14ac:dyDescent="0.3">
      <c r="B4229">
        <v>6.9</v>
      </c>
    </row>
    <row r="4230" spans="2:2" x14ac:dyDescent="0.3">
      <c r="B4230">
        <v>5.7</v>
      </c>
    </row>
    <row r="4231" spans="2:2" x14ac:dyDescent="0.3">
      <c r="B4231">
        <v>4.7</v>
      </c>
    </row>
    <row r="4232" spans="2:2" x14ac:dyDescent="0.3">
      <c r="B4232">
        <v>5.9</v>
      </c>
    </row>
    <row r="4233" spans="2:2" x14ac:dyDescent="0.3">
      <c r="B4233">
        <v>5.9</v>
      </c>
    </row>
    <row r="4234" spans="2:2" x14ac:dyDescent="0.3">
      <c r="B4234">
        <v>4.3</v>
      </c>
    </row>
    <row r="4235" spans="2:2" x14ac:dyDescent="0.3">
      <c r="B4235">
        <v>7.5</v>
      </c>
    </row>
    <row r="4236" spans="2:2" x14ac:dyDescent="0.3">
      <c r="B4236">
        <v>4.8</v>
      </c>
    </row>
    <row r="4237" spans="2:2" x14ac:dyDescent="0.3">
      <c r="B4237">
        <v>5.8</v>
      </c>
    </row>
    <row r="4238" spans="2:2" x14ac:dyDescent="0.3">
      <c r="B4238">
        <v>5.3</v>
      </c>
    </row>
    <row r="4239" spans="2:2" x14ac:dyDescent="0.3">
      <c r="B4239">
        <v>6</v>
      </c>
    </row>
    <row r="4240" spans="2:2" x14ac:dyDescent="0.3">
      <c r="B4240">
        <v>8.1</v>
      </c>
    </row>
    <row r="4241" spans="2:2" x14ac:dyDescent="0.3">
      <c r="B4241">
        <v>7</v>
      </c>
    </row>
    <row r="4242" spans="2:2" x14ac:dyDescent="0.3">
      <c r="B4242">
        <v>7.6</v>
      </c>
    </row>
    <row r="4243" spans="2:2" x14ac:dyDescent="0.3">
      <c r="B4243">
        <v>7.2</v>
      </c>
    </row>
    <row r="4244" spans="2:2" x14ac:dyDescent="0.3">
      <c r="B4244">
        <v>7.5</v>
      </c>
    </row>
    <row r="4245" spans="2:2" x14ac:dyDescent="0.3">
      <c r="B4245">
        <v>6.3</v>
      </c>
    </row>
    <row r="4246" spans="2:2" x14ac:dyDescent="0.3">
      <c r="B4246">
        <v>6.7</v>
      </c>
    </row>
    <row r="4247" spans="2:2" x14ac:dyDescent="0.3">
      <c r="B4247">
        <v>4.8</v>
      </c>
    </row>
    <row r="4248" spans="2:2" x14ac:dyDescent="0.3">
      <c r="B4248">
        <v>5.5</v>
      </c>
    </row>
    <row r="4249" spans="2:2" x14ac:dyDescent="0.3">
      <c r="B4249">
        <v>7.5</v>
      </c>
    </row>
    <row r="4250" spans="2:2" x14ac:dyDescent="0.3">
      <c r="B4250">
        <v>5.0999999999999996</v>
      </c>
    </row>
    <row r="4251" spans="2:2" x14ac:dyDescent="0.3">
      <c r="B4251">
        <v>7.4</v>
      </c>
    </row>
    <row r="4252" spans="2:2" x14ac:dyDescent="0.3">
      <c r="B4252">
        <v>7.3</v>
      </c>
    </row>
    <row r="4253" spans="2:2" x14ac:dyDescent="0.3">
      <c r="B4253">
        <v>6.9</v>
      </c>
    </row>
    <row r="4254" spans="2:2" x14ac:dyDescent="0.3">
      <c r="B4254">
        <v>6.8</v>
      </c>
    </row>
    <row r="4255" spans="2:2" x14ac:dyDescent="0.3">
      <c r="B4255">
        <v>8.4</v>
      </c>
    </row>
    <row r="4256" spans="2:2" x14ac:dyDescent="0.3">
      <c r="B4256">
        <v>7.6</v>
      </c>
    </row>
    <row r="4257" spans="2:2" x14ac:dyDescent="0.3">
      <c r="B4257">
        <v>7.6</v>
      </c>
    </row>
    <row r="4258" spans="2:2" x14ac:dyDescent="0.3">
      <c r="B4258">
        <v>7.7</v>
      </c>
    </row>
    <row r="4259" spans="2:2" x14ac:dyDescent="0.3">
      <c r="B4259">
        <v>7.6</v>
      </c>
    </row>
    <row r="4260" spans="2:2" x14ac:dyDescent="0.3">
      <c r="B4260">
        <v>5.3</v>
      </c>
    </row>
    <row r="4261" spans="2:2" x14ac:dyDescent="0.3">
      <c r="B4261">
        <v>8.5</v>
      </c>
    </row>
    <row r="4262" spans="2:2" x14ac:dyDescent="0.3">
      <c r="B4262">
        <v>7</v>
      </c>
    </row>
    <row r="4263" spans="2:2" x14ac:dyDescent="0.3">
      <c r="B4263">
        <v>8</v>
      </c>
    </row>
    <row r="4264" spans="2:2" x14ac:dyDescent="0.3">
      <c r="B4264">
        <v>7.1</v>
      </c>
    </row>
    <row r="4265" spans="2:2" x14ac:dyDescent="0.3">
      <c r="B4265">
        <v>7.8</v>
      </c>
    </row>
    <row r="4266" spans="2:2" x14ac:dyDescent="0.3">
      <c r="B4266">
        <v>7.2</v>
      </c>
    </row>
    <row r="4267" spans="2:2" x14ac:dyDescent="0.3">
      <c r="B4267">
        <v>7.5</v>
      </c>
    </row>
    <row r="4268" spans="2:2" x14ac:dyDescent="0.3">
      <c r="B4268">
        <v>8</v>
      </c>
    </row>
    <row r="4269" spans="2:2" x14ac:dyDescent="0.3">
      <c r="B4269">
        <v>8.1</v>
      </c>
    </row>
    <row r="4270" spans="2:2" x14ac:dyDescent="0.3">
      <c r="B4270">
        <v>6.8</v>
      </c>
    </row>
    <row r="4271" spans="2:2" x14ac:dyDescent="0.3">
      <c r="B4271">
        <v>7.4</v>
      </c>
    </row>
    <row r="4272" spans="2:2" x14ac:dyDescent="0.3">
      <c r="B4272">
        <v>7.2</v>
      </c>
    </row>
    <row r="4273" spans="2:2" x14ac:dyDescent="0.3">
      <c r="B4273">
        <v>8.1</v>
      </c>
    </row>
    <row r="4274" spans="2:2" x14ac:dyDescent="0.3">
      <c r="B4274">
        <v>7</v>
      </c>
    </row>
    <row r="4275" spans="2:2" x14ac:dyDescent="0.3">
      <c r="B4275">
        <v>7.4</v>
      </c>
    </row>
    <row r="4276" spans="2:2" x14ac:dyDescent="0.3">
      <c r="B4276">
        <v>8.3000000000000007</v>
      </c>
    </row>
    <row r="4277" spans="2:2" x14ac:dyDescent="0.3">
      <c r="B4277">
        <v>6.1</v>
      </c>
    </row>
    <row r="4278" spans="2:2" x14ac:dyDescent="0.3">
      <c r="B4278">
        <v>7.5</v>
      </c>
    </row>
    <row r="4279" spans="2:2" x14ac:dyDescent="0.3">
      <c r="B4279">
        <v>7</v>
      </c>
    </row>
    <row r="4280" spans="2:2" x14ac:dyDescent="0.3">
      <c r="B4280">
        <v>5.3</v>
      </c>
    </row>
    <row r="4281" spans="2:2" x14ac:dyDescent="0.3">
      <c r="B4281">
        <v>4.7</v>
      </c>
    </row>
    <row r="4282" spans="2:2" x14ac:dyDescent="0.3">
      <c r="B4282">
        <v>5.7</v>
      </c>
    </row>
    <row r="4283" spans="2:2" x14ac:dyDescent="0.3">
      <c r="B4283">
        <v>8.1</v>
      </c>
    </row>
    <row r="4284" spans="2:2" x14ac:dyDescent="0.3">
      <c r="B4284">
        <v>7.8</v>
      </c>
    </row>
    <row r="4285" spans="2:2" x14ac:dyDescent="0.3">
      <c r="B4285">
        <v>6.5</v>
      </c>
    </row>
    <row r="4286" spans="2:2" x14ac:dyDescent="0.3">
      <c r="B4286">
        <v>8</v>
      </c>
    </row>
    <row r="4287" spans="2:2" x14ac:dyDescent="0.3">
      <c r="B4287">
        <v>3.3</v>
      </c>
    </row>
    <row r="4288" spans="2:2" x14ac:dyDescent="0.3">
      <c r="B4288">
        <v>8.3000000000000007</v>
      </c>
    </row>
    <row r="4289" spans="2:2" x14ac:dyDescent="0.3">
      <c r="B4289">
        <v>6.9</v>
      </c>
    </row>
    <row r="4290" spans="2:2" x14ac:dyDescent="0.3">
      <c r="B4290">
        <v>7.3</v>
      </c>
    </row>
    <row r="4291" spans="2:2" x14ac:dyDescent="0.3">
      <c r="B4291">
        <v>8.1</v>
      </c>
    </row>
    <row r="4292" spans="2:2" x14ac:dyDescent="0.3">
      <c r="B4292">
        <v>6.5</v>
      </c>
    </row>
    <row r="4293" spans="2:2" x14ac:dyDescent="0.3">
      <c r="B4293">
        <v>6.8</v>
      </c>
    </row>
    <row r="4294" spans="2:2" x14ac:dyDescent="0.3">
      <c r="B4294">
        <v>7.3</v>
      </c>
    </row>
    <row r="4295" spans="2:2" x14ac:dyDescent="0.3">
      <c r="B4295">
        <v>6.4</v>
      </c>
    </row>
    <row r="4296" spans="2:2" x14ac:dyDescent="0.3">
      <c r="B4296">
        <v>4.5999999999999996</v>
      </c>
    </row>
    <row r="4297" spans="2:2" x14ac:dyDescent="0.3">
      <c r="B4297">
        <v>6.5</v>
      </c>
    </row>
    <row r="4298" spans="2:2" x14ac:dyDescent="0.3">
      <c r="B4298">
        <v>7</v>
      </c>
    </row>
    <row r="4299" spans="2:2" x14ac:dyDescent="0.3">
      <c r="B4299">
        <v>5.4</v>
      </c>
    </row>
    <row r="4300" spans="2:2" x14ac:dyDescent="0.3">
      <c r="B4300">
        <v>6.7</v>
      </c>
    </row>
    <row r="4301" spans="2:2" x14ac:dyDescent="0.3">
      <c r="B4301">
        <v>2.8</v>
      </c>
    </row>
    <row r="4302" spans="2:2" x14ac:dyDescent="0.3">
      <c r="B4302">
        <v>7.4</v>
      </c>
    </row>
    <row r="4303" spans="2:2" x14ac:dyDescent="0.3">
      <c r="B4303">
        <v>5.8</v>
      </c>
    </row>
    <row r="4304" spans="2:2" x14ac:dyDescent="0.3">
      <c r="B4304">
        <v>7.1</v>
      </c>
    </row>
    <row r="4305" spans="2:2" x14ac:dyDescent="0.3">
      <c r="B4305">
        <v>4.5</v>
      </c>
    </row>
    <row r="4306" spans="2:2" x14ac:dyDescent="0.3">
      <c r="B4306">
        <v>7.9</v>
      </c>
    </row>
    <row r="4307" spans="2:2" x14ac:dyDescent="0.3">
      <c r="B4307">
        <v>5.3</v>
      </c>
    </row>
    <row r="4308" spans="2:2" x14ac:dyDescent="0.3">
      <c r="B4308">
        <v>5.4</v>
      </c>
    </row>
    <row r="4309" spans="2:2" x14ac:dyDescent="0.3">
      <c r="B4309">
        <v>4.8</v>
      </c>
    </row>
    <row r="4310" spans="2:2" x14ac:dyDescent="0.3">
      <c r="B4310">
        <v>5.9</v>
      </c>
    </row>
    <row r="4311" spans="2:2" x14ac:dyDescent="0.3">
      <c r="B4311">
        <v>6.2</v>
      </c>
    </row>
    <row r="4312" spans="2:2" x14ac:dyDescent="0.3">
      <c r="B4312">
        <v>5.9</v>
      </c>
    </row>
    <row r="4313" spans="2:2" x14ac:dyDescent="0.3">
      <c r="B4313">
        <v>6.6</v>
      </c>
    </row>
    <row r="4314" spans="2:2" x14ac:dyDescent="0.3">
      <c r="B4314">
        <v>6.6</v>
      </c>
    </row>
    <row r="4315" spans="2:2" x14ac:dyDescent="0.3">
      <c r="B4315">
        <v>5.0999999999999996</v>
      </c>
    </row>
    <row r="4316" spans="2:2" x14ac:dyDescent="0.3">
      <c r="B4316">
        <v>6</v>
      </c>
    </row>
    <row r="4317" spans="2:2" x14ac:dyDescent="0.3">
      <c r="B4317">
        <v>6.8</v>
      </c>
    </row>
    <row r="4318" spans="2:2" x14ac:dyDescent="0.3">
      <c r="B4318">
        <v>5.4</v>
      </c>
    </row>
    <row r="4319" spans="2:2" x14ac:dyDescent="0.3">
      <c r="B4319">
        <v>5.2</v>
      </c>
    </row>
    <row r="4320" spans="2:2" x14ac:dyDescent="0.3">
      <c r="B4320">
        <v>7.8</v>
      </c>
    </row>
    <row r="4321" spans="2:2" x14ac:dyDescent="0.3">
      <c r="B4321">
        <v>6.4</v>
      </c>
    </row>
    <row r="4322" spans="2:2" x14ac:dyDescent="0.3">
      <c r="B4322">
        <v>6.1</v>
      </c>
    </row>
    <row r="4323" spans="2:2" x14ac:dyDescent="0.3">
      <c r="B4323">
        <v>5.7</v>
      </c>
    </row>
    <row r="4324" spans="2:2" x14ac:dyDescent="0.3">
      <c r="B4324">
        <v>5.5</v>
      </c>
    </row>
    <row r="4325" spans="2:2" x14ac:dyDescent="0.3">
      <c r="B4325">
        <v>7.4</v>
      </c>
    </row>
    <row r="4326" spans="2:2" x14ac:dyDescent="0.3">
      <c r="B4326">
        <v>7.1</v>
      </c>
    </row>
    <row r="4327" spans="2:2" x14ac:dyDescent="0.3">
      <c r="B4327">
        <v>3.9</v>
      </c>
    </row>
    <row r="4328" spans="2:2" x14ac:dyDescent="0.3">
      <c r="B4328">
        <v>4.5999999999999996</v>
      </c>
    </row>
    <row r="4329" spans="2:2" x14ac:dyDescent="0.3">
      <c r="B4329">
        <v>7.3</v>
      </c>
    </row>
    <row r="4330" spans="2:2" x14ac:dyDescent="0.3">
      <c r="B4330">
        <v>7.7</v>
      </c>
    </row>
    <row r="4331" spans="2:2" x14ac:dyDescent="0.3">
      <c r="B4331">
        <v>4.9000000000000004</v>
      </c>
    </row>
    <row r="4332" spans="2:2" x14ac:dyDescent="0.3">
      <c r="B4332">
        <v>6.3</v>
      </c>
    </row>
    <row r="4333" spans="2:2" x14ac:dyDescent="0.3">
      <c r="B4333">
        <v>6.1</v>
      </c>
    </row>
    <row r="4334" spans="2:2" x14ac:dyDescent="0.3">
      <c r="B4334">
        <v>6.6</v>
      </c>
    </row>
    <row r="4335" spans="2:2" x14ac:dyDescent="0.3">
      <c r="B4335">
        <v>5.7</v>
      </c>
    </row>
    <row r="4336" spans="2:2" x14ac:dyDescent="0.3">
      <c r="B4336">
        <v>5.6</v>
      </c>
    </row>
    <row r="4337" spans="2:2" x14ac:dyDescent="0.3">
      <c r="B4337">
        <v>6</v>
      </c>
    </row>
    <row r="4338" spans="2:2" x14ac:dyDescent="0.3">
      <c r="B4338">
        <v>5.7</v>
      </c>
    </row>
    <row r="4339" spans="2:2" x14ac:dyDescent="0.3">
      <c r="B4339">
        <v>7</v>
      </c>
    </row>
    <row r="4340" spans="2:2" x14ac:dyDescent="0.3">
      <c r="B4340">
        <v>5.3</v>
      </c>
    </row>
    <row r="4341" spans="2:2" x14ac:dyDescent="0.3">
      <c r="B4341">
        <v>4.4000000000000004</v>
      </c>
    </row>
    <row r="4342" spans="2:2" x14ac:dyDescent="0.3">
      <c r="B4342">
        <v>3.4</v>
      </c>
    </row>
    <row r="4343" spans="2:2" x14ac:dyDescent="0.3">
      <c r="B4343">
        <v>4.5</v>
      </c>
    </row>
    <row r="4344" spans="2:2" x14ac:dyDescent="0.3">
      <c r="B4344">
        <v>3.4</v>
      </c>
    </row>
    <row r="4345" spans="2:2" x14ac:dyDescent="0.3">
      <c r="B4345">
        <v>7.1</v>
      </c>
    </row>
    <row r="4346" spans="2:2" x14ac:dyDescent="0.3">
      <c r="B4346">
        <v>6.4</v>
      </c>
    </row>
    <row r="4347" spans="2:2" x14ac:dyDescent="0.3">
      <c r="B4347">
        <v>5.2</v>
      </c>
    </row>
    <row r="4348" spans="2:2" x14ac:dyDescent="0.3">
      <c r="B4348">
        <v>7</v>
      </c>
    </row>
    <row r="4349" spans="2:2" x14ac:dyDescent="0.3">
      <c r="B4349">
        <v>7.3</v>
      </c>
    </row>
    <row r="4350" spans="2:2" x14ac:dyDescent="0.3">
      <c r="B4350">
        <v>8.1</v>
      </c>
    </row>
    <row r="4351" spans="2:2" x14ac:dyDescent="0.3">
      <c r="B4351">
        <v>5.8</v>
      </c>
    </row>
    <row r="4352" spans="2:2" x14ac:dyDescent="0.3">
      <c r="B4352">
        <v>5.9</v>
      </c>
    </row>
    <row r="4353" spans="2:2" x14ac:dyDescent="0.3">
      <c r="B4353">
        <v>6.4</v>
      </c>
    </row>
    <row r="4354" spans="2:2" x14ac:dyDescent="0.3">
      <c r="B4354">
        <v>7.5</v>
      </c>
    </row>
    <row r="4355" spans="2:2" x14ac:dyDescent="0.3">
      <c r="B4355">
        <v>7.8</v>
      </c>
    </row>
    <row r="4356" spans="2:2" x14ac:dyDescent="0.3">
      <c r="B4356">
        <v>6.3</v>
      </c>
    </row>
    <row r="4357" spans="2:2" x14ac:dyDescent="0.3">
      <c r="B4357">
        <v>7.2</v>
      </c>
    </row>
    <row r="4358" spans="2:2" x14ac:dyDescent="0.3">
      <c r="B4358">
        <v>5.6</v>
      </c>
    </row>
    <row r="4359" spans="2:2" x14ac:dyDescent="0.3">
      <c r="B4359">
        <v>7.2</v>
      </c>
    </row>
    <row r="4360" spans="2:2" x14ac:dyDescent="0.3">
      <c r="B4360">
        <v>8</v>
      </c>
    </row>
    <row r="4361" spans="2:2" x14ac:dyDescent="0.3">
      <c r="B4361">
        <v>8.5</v>
      </c>
    </row>
    <row r="4362" spans="2:2" x14ac:dyDescent="0.3">
      <c r="B4362">
        <v>6.8</v>
      </c>
    </row>
    <row r="4363" spans="2:2" x14ac:dyDescent="0.3">
      <c r="B4363">
        <v>7.3</v>
      </c>
    </row>
    <row r="4364" spans="2:2" x14ac:dyDescent="0.3">
      <c r="B4364">
        <v>5.5</v>
      </c>
    </row>
    <row r="4365" spans="2:2" x14ac:dyDescent="0.3">
      <c r="B4365">
        <v>7.3</v>
      </c>
    </row>
    <row r="4366" spans="2:2" x14ac:dyDescent="0.3">
      <c r="B4366">
        <v>6.3</v>
      </c>
    </row>
    <row r="4367" spans="2:2" x14ac:dyDescent="0.3">
      <c r="B4367">
        <v>5.0999999999999996</v>
      </c>
    </row>
    <row r="4368" spans="2:2" x14ac:dyDescent="0.3">
      <c r="B4368">
        <v>6.6</v>
      </c>
    </row>
    <row r="4369" spans="2:2" x14ac:dyDescent="0.3">
      <c r="B4369">
        <v>6.1</v>
      </c>
    </row>
    <row r="4370" spans="2:2" x14ac:dyDescent="0.3">
      <c r="B4370">
        <v>7.5</v>
      </c>
    </row>
    <row r="4371" spans="2:2" x14ac:dyDescent="0.3">
      <c r="B4371">
        <v>7</v>
      </c>
    </row>
    <row r="4372" spans="2:2" x14ac:dyDescent="0.3">
      <c r="B4372">
        <v>7.2</v>
      </c>
    </row>
    <row r="4373" spans="2:2" x14ac:dyDescent="0.3">
      <c r="B4373">
        <v>5.3</v>
      </c>
    </row>
    <row r="4374" spans="2:2" x14ac:dyDescent="0.3">
      <c r="B4374">
        <v>8.6999999999999993</v>
      </c>
    </row>
    <row r="4375" spans="2:2" x14ac:dyDescent="0.3">
      <c r="B4375">
        <v>3.4</v>
      </c>
    </row>
    <row r="4376" spans="2:2" x14ac:dyDescent="0.3">
      <c r="B4376">
        <v>5.4</v>
      </c>
    </row>
    <row r="4377" spans="2:2" x14ac:dyDescent="0.3">
      <c r="B4377">
        <v>7.8</v>
      </c>
    </row>
    <row r="4378" spans="2:2" x14ac:dyDescent="0.3">
      <c r="B4378">
        <v>6.7</v>
      </c>
    </row>
    <row r="4379" spans="2:2" x14ac:dyDescent="0.3">
      <c r="B4379">
        <v>4.7</v>
      </c>
    </row>
    <row r="4380" spans="2:2" x14ac:dyDescent="0.3">
      <c r="B4380">
        <v>6.3</v>
      </c>
    </row>
    <row r="4381" spans="2:2" x14ac:dyDescent="0.3">
      <c r="B4381">
        <v>7.4</v>
      </c>
    </row>
    <row r="4382" spans="2:2" x14ac:dyDescent="0.3">
      <c r="B4382">
        <v>6.1</v>
      </c>
    </row>
    <row r="4383" spans="2:2" x14ac:dyDescent="0.3">
      <c r="B4383">
        <v>7.5</v>
      </c>
    </row>
    <row r="4384" spans="2:2" x14ac:dyDescent="0.3">
      <c r="B4384">
        <v>6.3</v>
      </c>
    </row>
    <row r="4385" spans="2:2" x14ac:dyDescent="0.3">
      <c r="B4385">
        <v>6.3</v>
      </c>
    </row>
    <row r="4386" spans="2:2" x14ac:dyDescent="0.3">
      <c r="B4386">
        <v>6.8</v>
      </c>
    </row>
    <row r="4387" spans="2:2" x14ac:dyDescent="0.3">
      <c r="B4387">
        <v>7.8</v>
      </c>
    </row>
    <row r="4388" spans="2:2" x14ac:dyDescent="0.3">
      <c r="B4388">
        <v>6.9</v>
      </c>
    </row>
    <row r="4389" spans="2:2" x14ac:dyDescent="0.3">
      <c r="B4389">
        <v>8</v>
      </c>
    </row>
    <row r="4390" spans="2:2" x14ac:dyDescent="0.3">
      <c r="B4390">
        <v>7.8</v>
      </c>
    </row>
    <row r="4391" spans="2:2" x14ac:dyDescent="0.3">
      <c r="B4391">
        <v>7.4</v>
      </c>
    </row>
    <row r="4392" spans="2:2" x14ac:dyDescent="0.3">
      <c r="B4392">
        <v>6.1</v>
      </c>
    </row>
    <row r="4393" spans="2:2" x14ac:dyDescent="0.3">
      <c r="B4393">
        <v>4.3</v>
      </c>
    </row>
    <row r="4394" spans="2:2" x14ac:dyDescent="0.3">
      <c r="B4394">
        <v>3.5</v>
      </c>
    </row>
    <row r="4395" spans="2:2" x14ac:dyDescent="0.3">
      <c r="B4395">
        <v>7.2</v>
      </c>
    </row>
    <row r="4396" spans="2:2" x14ac:dyDescent="0.3">
      <c r="B4396">
        <v>4.7</v>
      </c>
    </row>
    <row r="4397" spans="2:2" x14ac:dyDescent="0.3">
      <c r="B4397">
        <v>7.3</v>
      </c>
    </row>
    <row r="4398" spans="2:2" x14ac:dyDescent="0.3">
      <c r="B4398">
        <v>7.9</v>
      </c>
    </row>
    <row r="4399" spans="2:2" x14ac:dyDescent="0.3">
      <c r="B4399">
        <v>5.0999999999999996</v>
      </c>
    </row>
    <row r="4400" spans="2:2" x14ac:dyDescent="0.3">
      <c r="B4400">
        <v>7.2</v>
      </c>
    </row>
    <row r="4401" spans="2:2" x14ac:dyDescent="0.3">
      <c r="B4401">
        <v>5.4</v>
      </c>
    </row>
    <row r="4402" spans="2:2" x14ac:dyDescent="0.3">
      <c r="B4402">
        <v>3.7</v>
      </c>
    </row>
    <row r="4403" spans="2:2" x14ac:dyDescent="0.3">
      <c r="B4403">
        <v>7.4</v>
      </c>
    </row>
    <row r="4404" spans="2:2" x14ac:dyDescent="0.3">
      <c r="B4404">
        <v>7.1</v>
      </c>
    </row>
    <row r="4405" spans="2:2" x14ac:dyDescent="0.3">
      <c r="B4405">
        <v>6.8</v>
      </c>
    </row>
    <row r="4406" spans="2:2" x14ac:dyDescent="0.3">
      <c r="B4406">
        <v>8.1999999999999993</v>
      </c>
    </row>
    <row r="4407" spans="2:2" x14ac:dyDescent="0.3">
      <c r="B4407">
        <v>7</v>
      </c>
    </row>
    <row r="4408" spans="2:2" x14ac:dyDescent="0.3">
      <c r="B4408">
        <v>7.4</v>
      </c>
    </row>
    <row r="4409" spans="2:2" x14ac:dyDescent="0.3">
      <c r="B4409">
        <v>6.7</v>
      </c>
    </row>
    <row r="4410" spans="2:2" x14ac:dyDescent="0.3">
      <c r="B4410">
        <v>5.7</v>
      </c>
    </row>
    <row r="4411" spans="2:2" x14ac:dyDescent="0.3">
      <c r="B4411">
        <v>9.1</v>
      </c>
    </row>
    <row r="4412" spans="2:2" x14ac:dyDescent="0.3">
      <c r="B4412">
        <v>7.6</v>
      </c>
    </row>
    <row r="4413" spans="2:2" x14ac:dyDescent="0.3">
      <c r="B4413">
        <v>7.2</v>
      </c>
    </row>
    <row r="4414" spans="2:2" x14ac:dyDescent="0.3">
      <c r="B4414">
        <v>7.5</v>
      </c>
    </row>
    <row r="4415" spans="2:2" x14ac:dyDescent="0.3">
      <c r="B4415">
        <v>6.8</v>
      </c>
    </row>
    <row r="4416" spans="2:2" x14ac:dyDescent="0.3">
      <c r="B4416">
        <v>6.9</v>
      </c>
    </row>
    <row r="4417" spans="2:2" x14ac:dyDescent="0.3">
      <c r="B4417">
        <v>7.9</v>
      </c>
    </row>
    <row r="4418" spans="2:2" x14ac:dyDescent="0.3">
      <c r="B4418">
        <v>7.6</v>
      </c>
    </row>
    <row r="4419" spans="2:2" x14ac:dyDescent="0.3">
      <c r="B4419">
        <v>6.7</v>
      </c>
    </row>
    <row r="4420" spans="2:2" x14ac:dyDescent="0.3">
      <c r="B4420">
        <v>5.8</v>
      </c>
    </row>
    <row r="4421" spans="2:2" x14ac:dyDescent="0.3">
      <c r="B4421">
        <v>6.5</v>
      </c>
    </row>
    <row r="4422" spans="2:2" x14ac:dyDescent="0.3">
      <c r="B4422">
        <v>7.2</v>
      </c>
    </row>
    <row r="4423" spans="2:2" x14ac:dyDescent="0.3">
      <c r="B4423">
        <v>6.9</v>
      </c>
    </row>
    <row r="4424" spans="2:2" x14ac:dyDescent="0.3">
      <c r="B4424">
        <v>5.5</v>
      </c>
    </row>
    <row r="4425" spans="2:2" x14ac:dyDescent="0.3">
      <c r="B4425">
        <v>6.5</v>
      </c>
    </row>
    <row r="4426" spans="2:2" x14ac:dyDescent="0.3">
      <c r="B4426">
        <v>6.2</v>
      </c>
    </row>
    <row r="4427" spans="2:2" x14ac:dyDescent="0.3">
      <c r="B4427">
        <v>6.7</v>
      </c>
    </row>
    <row r="4428" spans="2:2" x14ac:dyDescent="0.3">
      <c r="B4428">
        <v>5.7</v>
      </c>
    </row>
    <row r="4429" spans="2:2" x14ac:dyDescent="0.3">
      <c r="B4429">
        <v>8.6</v>
      </c>
    </row>
    <row r="4430" spans="2:2" x14ac:dyDescent="0.3">
      <c r="B4430">
        <v>6.5</v>
      </c>
    </row>
    <row r="4431" spans="2:2" x14ac:dyDescent="0.3">
      <c r="B4431">
        <v>6.3</v>
      </c>
    </row>
    <row r="4432" spans="2:2" x14ac:dyDescent="0.3">
      <c r="B4432">
        <v>4.3</v>
      </c>
    </row>
    <row r="4433" spans="2:2" x14ac:dyDescent="0.3">
      <c r="B4433">
        <v>6.1</v>
      </c>
    </row>
    <row r="4434" spans="2:2" x14ac:dyDescent="0.3">
      <c r="B4434">
        <v>6</v>
      </c>
    </row>
    <row r="4435" spans="2:2" x14ac:dyDescent="0.3">
      <c r="B4435">
        <v>5.8</v>
      </c>
    </row>
    <row r="4436" spans="2:2" x14ac:dyDescent="0.3">
      <c r="B4436">
        <v>6.7</v>
      </c>
    </row>
    <row r="4437" spans="2:2" x14ac:dyDescent="0.3">
      <c r="B4437">
        <v>6.7</v>
      </c>
    </row>
    <row r="4438" spans="2:2" x14ac:dyDescent="0.3">
      <c r="B4438">
        <v>7.6</v>
      </c>
    </row>
    <row r="4439" spans="2:2" x14ac:dyDescent="0.3">
      <c r="B4439">
        <v>5.0999999999999996</v>
      </c>
    </row>
    <row r="4440" spans="2:2" x14ac:dyDescent="0.3">
      <c r="B4440">
        <v>6.8</v>
      </c>
    </row>
    <row r="4441" spans="2:2" x14ac:dyDescent="0.3">
      <c r="B4441">
        <v>6.8</v>
      </c>
    </row>
    <row r="4442" spans="2:2" x14ac:dyDescent="0.3">
      <c r="B4442">
        <v>6.8</v>
      </c>
    </row>
    <row r="4443" spans="2:2" x14ac:dyDescent="0.3">
      <c r="B4443">
        <v>6.3</v>
      </c>
    </row>
    <row r="4444" spans="2:2" x14ac:dyDescent="0.3">
      <c r="B4444">
        <v>7.1</v>
      </c>
    </row>
    <row r="4445" spans="2:2" x14ac:dyDescent="0.3">
      <c r="B4445">
        <v>2.8</v>
      </c>
    </row>
    <row r="4446" spans="2:2" x14ac:dyDescent="0.3">
      <c r="B4446">
        <v>8.1999999999999993</v>
      </c>
    </row>
    <row r="4447" spans="2:2" x14ac:dyDescent="0.3">
      <c r="B4447">
        <v>3.1</v>
      </c>
    </row>
    <row r="4448" spans="2:2" x14ac:dyDescent="0.3">
      <c r="B4448">
        <v>7</v>
      </c>
    </row>
    <row r="4449" spans="2:2" x14ac:dyDescent="0.3">
      <c r="B4449">
        <v>3.3</v>
      </c>
    </row>
    <row r="4450" spans="2:2" x14ac:dyDescent="0.3">
      <c r="B4450">
        <v>3.6</v>
      </c>
    </row>
    <row r="4451" spans="2:2" x14ac:dyDescent="0.3">
      <c r="B4451">
        <v>7.7</v>
      </c>
    </row>
    <row r="4452" spans="2:2" x14ac:dyDescent="0.3">
      <c r="B4452">
        <v>6.7</v>
      </c>
    </row>
    <row r="4453" spans="2:2" x14ac:dyDescent="0.3">
      <c r="B4453">
        <v>5.5</v>
      </c>
    </row>
    <row r="4454" spans="2:2" x14ac:dyDescent="0.3">
      <c r="B4454">
        <v>6.6</v>
      </c>
    </row>
    <row r="4455" spans="2:2" x14ac:dyDescent="0.3">
      <c r="B4455">
        <v>4.8</v>
      </c>
    </row>
    <row r="4456" spans="2:2" x14ac:dyDescent="0.3">
      <c r="B4456">
        <v>5.5</v>
      </c>
    </row>
    <row r="4457" spans="2:2" x14ac:dyDescent="0.3">
      <c r="B4457">
        <v>6.3</v>
      </c>
    </row>
    <row r="4458" spans="2:2" x14ac:dyDescent="0.3">
      <c r="B4458">
        <v>6.9</v>
      </c>
    </row>
    <row r="4459" spans="2:2" x14ac:dyDescent="0.3">
      <c r="B4459">
        <v>6.5</v>
      </c>
    </row>
    <row r="4460" spans="2:2" x14ac:dyDescent="0.3">
      <c r="B4460">
        <v>8.1999999999999993</v>
      </c>
    </row>
    <row r="4461" spans="2:2" x14ac:dyDescent="0.3">
      <c r="B4461">
        <v>7.1</v>
      </c>
    </row>
    <row r="4462" spans="2:2" x14ac:dyDescent="0.3">
      <c r="B4462">
        <v>7.3</v>
      </c>
    </row>
    <row r="4463" spans="2:2" x14ac:dyDescent="0.3">
      <c r="B4463">
        <v>8.1</v>
      </c>
    </row>
    <row r="4464" spans="2:2" x14ac:dyDescent="0.3">
      <c r="B4464">
        <v>7.2</v>
      </c>
    </row>
    <row r="4465" spans="2:2" x14ac:dyDescent="0.3">
      <c r="B4465">
        <v>7.4</v>
      </c>
    </row>
    <row r="4466" spans="2:2" x14ac:dyDescent="0.3">
      <c r="B4466">
        <v>6.5</v>
      </c>
    </row>
    <row r="4467" spans="2:2" x14ac:dyDescent="0.3">
      <c r="B4467">
        <v>5.7</v>
      </c>
    </row>
    <row r="4468" spans="2:2" x14ac:dyDescent="0.3">
      <c r="B4468">
        <v>6.1</v>
      </c>
    </row>
    <row r="4469" spans="2:2" x14ac:dyDescent="0.3">
      <c r="B4469">
        <v>7.7</v>
      </c>
    </row>
    <row r="4470" spans="2:2" x14ac:dyDescent="0.3">
      <c r="B4470">
        <v>8.6999999999999993</v>
      </c>
    </row>
    <row r="4471" spans="2:2" x14ac:dyDescent="0.3">
      <c r="B4471">
        <v>4.3</v>
      </c>
    </row>
    <row r="4472" spans="2:2" x14ac:dyDescent="0.3">
      <c r="B4472">
        <v>6.2</v>
      </c>
    </row>
    <row r="4473" spans="2:2" x14ac:dyDescent="0.3">
      <c r="B4473">
        <v>3.3</v>
      </c>
    </row>
    <row r="4474" spans="2:2" x14ac:dyDescent="0.3">
      <c r="B4474">
        <v>2.7</v>
      </c>
    </row>
    <row r="4475" spans="2:2" x14ac:dyDescent="0.3">
      <c r="B4475">
        <v>5.2</v>
      </c>
    </row>
    <row r="4476" spans="2:2" x14ac:dyDescent="0.3">
      <c r="B4476">
        <v>8.1999999999999993</v>
      </c>
    </row>
    <row r="4477" spans="2:2" x14ac:dyDescent="0.3">
      <c r="B4477">
        <v>6.1</v>
      </c>
    </row>
    <row r="4478" spans="2:2" x14ac:dyDescent="0.3">
      <c r="B4478">
        <v>8</v>
      </c>
    </row>
    <row r="4479" spans="2:2" x14ac:dyDescent="0.3">
      <c r="B4479">
        <v>5.5</v>
      </c>
    </row>
    <row r="4480" spans="2:2" x14ac:dyDescent="0.3">
      <c r="B4480">
        <v>5.7</v>
      </c>
    </row>
    <row r="4481" spans="2:2" x14ac:dyDescent="0.3">
      <c r="B4481">
        <v>3.7</v>
      </c>
    </row>
    <row r="4482" spans="2:2" x14ac:dyDescent="0.3">
      <c r="B4482">
        <v>7.1</v>
      </c>
    </row>
    <row r="4483" spans="2:2" x14ac:dyDescent="0.3">
      <c r="B4483">
        <v>7.8</v>
      </c>
    </row>
    <row r="4484" spans="2:2" x14ac:dyDescent="0.3">
      <c r="B4484">
        <v>7.3</v>
      </c>
    </row>
    <row r="4485" spans="2:2" x14ac:dyDescent="0.3">
      <c r="B4485">
        <v>4.0999999999999996</v>
      </c>
    </row>
    <row r="4486" spans="2:2" x14ac:dyDescent="0.3">
      <c r="B4486">
        <v>7.2</v>
      </c>
    </row>
    <row r="4487" spans="2:2" x14ac:dyDescent="0.3">
      <c r="B4487">
        <v>7.7</v>
      </c>
    </row>
    <row r="4488" spans="2:2" x14ac:dyDescent="0.3">
      <c r="B4488">
        <v>7.1</v>
      </c>
    </row>
    <row r="4489" spans="2:2" x14ac:dyDescent="0.3">
      <c r="B4489">
        <v>7.6</v>
      </c>
    </row>
    <row r="4490" spans="2:2" x14ac:dyDescent="0.3">
      <c r="B4490">
        <v>7</v>
      </c>
    </row>
    <row r="4491" spans="2:2" x14ac:dyDescent="0.3">
      <c r="B4491">
        <v>5.5</v>
      </c>
    </row>
    <row r="4492" spans="2:2" x14ac:dyDescent="0.3">
      <c r="B4492">
        <v>7.4</v>
      </c>
    </row>
    <row r="4493" spans="2:2" x14ac:dyDescent="0.3">
      <c r="B4493">
        <v>7.7</v>
      </c>
    </row>
    <row r="4494" spans="2:2" x14ac:dyDescent="0.3">
      <c r="B4494">
        <v>7.2</v>
      </c>
    </row>
    <row r="4495" spans="2:2" x14ac:dyDescent="0.3">
      <c r="B4495">
        <v>7.8</v>
      </c>
    </row>
    <row r="4496" spans="2:2" x14ac:dyDescent="0.3">
      <c r="B4496">
        <v>6.6</v>
      </c>
    </row>
    <row r="4497" spans="2:2" x14ac:dyDescent="0.3">
      <c r="B4497">
        <v>6</v>
      </c>
    </row>
    <row r="4498" spans="2:2" x14ac:dyDescent="0.3">
      <c r="B4498">
        <v>8.4</v>
      </c>
    </row>
    <row r="4499" spans="2:2" x14ac:dyDescent="0.3">
      <c r="B4499">
        <v>6.5</v>
      </c>
    </row>
    <row r="4500" spans="2:2" x14ac:dyDescent="0.3">
      <c r="B4500">
        <v>8.9</v>
      </c>
    </row>
    <row r="4501" spans="2:2" x14ac:dyDescent="0.3">
      <c r="B4501">
        <v>7.9</v>
      </c>
    </row>
    <row r="4502" spans="2:2" x14ac:dyDescent="0.3">
      <c r="B4502">
        <v>6</v>
      </c>
    </row>
    <row r="4503" spans="2:2" x14ac:dyDescent="0.3">
      <c r="B4503">
        <v>6.1</v>
      </c>
    </row>
    <row r="4504" spans="2:2" x14ac:dyDescent="0.3">
      <c r="B4504">
        <v>7.4</v>
      </c>
    </row>
    <row r="4505" spans="2:2" x14ac:dyDescent="0.3">
      <c r="B4505">
        <v>6.2</v>
      </c>
    </row>
    <row r="4506" spans="2:2" x14ac:dyDescent="0.3">
      <c r="B4506">
        <v>5.6</v>
      </c>
    </row>
    <row r="4507" spans="2:2" x14ac:dyDescent="0.3">
      <c r="B4507">
        <v>7.2</v>
      </c>
    </row>
    <row r="4508" spans="2:2" x14ac:dyDescent="0.3">
      <c r="B4508">
        <v>6.1</v>
      </c>
    </row>
    <row r="4509" spans="2:2" x14ac:dyDescent="0.3">
      <c r="B4509">
        <v>3.8</v>
      </c>
    </row>
    <row r="4510" spans="2:2" x14ac:dyDescent="0.3">
      <c r="B4510">
        <v>7.1</v>
      </c>
    </row>
    <row r="4511" spans="2:2" x14ac:dyDescent="0.3">
      <c r="B4511">
        <v>4.5</v>
      </c>
    </row>
    <row r="4512" spans="2:2" x14ac:dyDescent="0.3">
      <c r="B4512">
        <v>3.8</v>
      </c>
    </row>
    <row r="4513" spans="2:2" x14ac:dyDescent="0.3">
      <c r="B4513">
        <v>6.2</v>
      </c>
    </row>
    <row r="4514" spans="2:2" x14ac:dyDescent="0.3">
      <c r="B4514">
        <v>6.6</v>
      </c>
    </row>
    <row r="4515" spans="2:2" x14ac:dyDescent="0.3">
      <c r="B4515">
        <v>4.5999999999999996</v>
      </c>
    </row>
    <row r="4516" spans="2:2" x14ac:dyDescent="0.3">
      <c r="B4516">
        <v>4.2</v>
      </c>
    </row>
    <row r="4517" spans="2:2" x14ac:dyDescent="0.3">
      <c r="B4517">
        <v>6.8</v>
      </c>
    </row>
    <row r="4518" spans="2:2" x14ac:dyDescent="0.3">
      <c r="B4518">
        <v>7.7</v>
      </c>
    </row>
    <row r="4519" spans="2:2" x14ac:dyDescent="0.3">
      <c r="B4519">
        <v>7.1</v>
      </c>
    </row>
    <row r="4520" spans="2:2" x14ac:dyDescent="0.3">
      <c r="B4520">
        <v>5.9</v>
      </c>
    </row>
    <row r="4521" spans="2:2" x14ac:dyDescent="0.3">
      <c r="B4521">
        <v>4.7</v>
      </c>
    </row>
    <row r="4522" spans="2:2" x14ac:dyDescent="0.3">
      <c r="B4522">
        <v>7</v>
      </c>
    </row>
    <row r="4523" spans="2:2" x14ac:dyDescent="0.3">
      <c r="B4523">
        <v>6.9</v>
      </c>
    </row>
    <row r="4524" spans="2:2" x14ac:dyDescent="0.3">
      <c r="B4524">
        <v>6.1</v>
      </c>
    </row>
    <row r="4525" spans="2:2" x14ac:dyDescent="0.3">
      <c r="B4525">
        <v>7.6</v>
      </c>
    </row>
    <row r="4526" spans="2:2" x14ac:dyDescent="0.3">
      <c r="B4526">
        <v>3</v>
      </c>
    </row>
    <row r="4527" spans="2:2" x14ac:dyDescent="0.3">
      <c r="B4527">
        <v>2.6</v>
      </c>
    </row>
    <row r="4528" spans="2:2" x14ac:dyDescent="0.3">
      <c r="B4528">
        <v>8.6</v>
      </c>
    </row>
    <row r="4529" spans="2:2" x14ac:dyDescent="0.3">
      <c r="B4529">
        <v>6.1</v>
      </c>
    </row>
    <row r="4530" spans="2:2" x14ac:dyDescent="0.3">
      <c r="B4530">
        <v>7.5</v>
      </c>
    </row>
    <row r="4531" spans="2:2" x14ac:dyDescent="0.3">
      <c r="B4531">
        <v>6.7</v>
      </c>
    </row>
    <row r="4532" spans="2:2" x14ac:dyDescent="0.3">
      <c r="B4532">
        <v>8.1</v>
      </c>
    </row>
    <row r="4533" spans="2:2" x14ac:dyDescent="0.3">
      <c r="B4533">
        <v>4.9000000000000004</v>
      </c>
    </row>
    <row r="4534" spans="2:2" x14ac:dyDescent="0.3">
      <c r="B4534">
        <v>6.8</v>
      </c>
    </row>
    <row r="4535" spans="2:2" x14ac:dyDescent="0.3">
      <c r="B4535">
        <v>6.8</v>
      </c>
    </row>
    <row r="4536" spans="2:2" x14ac:dyDescent="0.3">
      <c r="B4536">
        <v>5.7</v>
      </c>
    </row>
    <row r="4537" spans="2:2" x14ac:dyDescent="0.3">
      <c r="B4537">
        <v>8.3000000000000007</v>
      </c>
    </row>
    <row r="4538" spans="2:2" x14ac:dyDescent="0.3">
      <c r="B4538">
        <v>6.6</v>
      </c>
    </row>
    <row r="4539" spans="2:2" x14ac:dyDescent="0.3">
      <c r="B4539">
        <v>7.3</v>
      </c>
    </row>
    <row r="4540" spans="2:2" x14ac:dyDescent="0.3">
      <c r="B4540">
        <v>5</v>
      </c>
    </row>
    <row r="4541" spans="2:2" x14ac:dyDescent="0.3">
      <c r="B4541">
        <v>7</v>
      </c>
    </row>
    <row r="4542" spans="2:2" x14ac:dyDescent="0.3">
      <c r="B4542">
        <v>3.4</v>
      </c>
    </row>
    <row r="4543" spans="2:2" x14ac:dyDescent="0.3">
      <c r="B4543">
        <v>5.9</v>
      </c>
    </row>
    <row r="4544" spans="2:2" x14ac:dyDescent="0.3">
      <c r="B4544">
        <v>6</v>
      </c>
    </row>
    <row r="4545" spans="2:2" x14ac:dyDescent="0.3">
      <c r="B4545">
        <v>7.4</v>
      </c>
    </row>
    <row r="4546" spans="2:2" x14ac:dyDescent="0.3">
      <c r="B4546">
        <v>7.4</v>
      </c>
    </row>
    <row r="4547" spans="2:2" x14ac:dyDescent="0.3">
      <c r="B4547">
        <v>4.2</v>
      </c>
    </row>
    <row r="4548" spans="2:2" x14ac:dyDescent="0.3">
      <c r="B4548">
        <v>6.2</v>
      </c>
    </row>
    <row r="4549" spans="2:2" x14ac:dyDescent="0.3">
      <c r="B4549">
        <v>6.2</v>
      </c>
    </row>
    <row r="4550" spans="2:2" x14ac:dyDescent="0.3">
      <c r="B4550">
        <v>7.5</v>
      </c>
    </row>
    <row r="4551" spans="2:2" x14ac:dyDescent="0.3">
      <c r="B4551">
        <v>7.2</v>
      </c>
    </row>
    <row r="4552" spans="2:2" x14ac:dyDescent="0.3">
      <c r="B4552">
        <v>7.2</v>
      </c>
    </row>
    <row r="4553" spans="2:2" x14ac:dyDescent="0.3">
      <c r="B4553">
        <v>5.4</v>
      </c>
    </row>
    <row r="4554" spans="2:2" x14ac:dyDescent="0.3">
      <c r="B4554">
        <v>7</v>
      </c>
    </row>
    <row r="4555" spans="2:2" x14ac:dyDescent="0.3">
      <c r="B4555">
        <v>7.2</v>
      </c>
    </row>
    <row r="4556" spans="2:2" x14ac:dyDescent="0.3">
      <c r="B4556">
        <v>7.9</v>
      </c>
    </row>
    <row r="4557" spans="2:2" x14ac:dyDescent="0.3">
      <c r="B4557">
        <v>6.8</v>
      </c>
    </row>
    <row r="4558" spans="2:2" x14ac:dyDescent="0.3">
      <c r="B4558">
        <v>6.7</v>
      </c>
    </row>
    <row r="4559" spans="2:2" x14ac:dyDescent="0.3">
      <c r="B4559">
        <v>7.5</v>
      </c>
    </row>
    <row r="4560" spans="2:2" x14ac:dyDescent="0.3">
      <c r="B4560">
        <v>6.8</v>
      </c>
    </row>
    <row r="4561" spans="2:2" x14ac:dyDescent="0.3">
      <c r="B4561">
        <v>6.9</v>
      </c>
    </row>
    <row r="4562" spans="2:2" x14ac:dyDescent="0.3">
      <c r="B4562">
        <v>6.8</v>
      </c>
    </row>
    <row r="4563" spans="2:2" x14ac:dyDescent="0.3">
      <c r="B4563">
        <v>7.2</v>
      </c>
    </row>
    <row r="4564" spans="2:2" x14ac:dyDescent="0.3">
      <c r="B4564">
        <v>7.4</v>
      </c>
    </row>
    <row r="4565" spans="2:2" x14ac:dyDescent="0.3">
      <c r="B4565">
        <v>5.6</v>
      </c>
    </row>
    <row r="4566" spans="2:2" x14ac:dyDescent="0.3">
      <c r="B4566">
        <v>6.8</v>
      </c>
    </row>
    <row r="4567" spans="2:2" x14ac:dyDescent="0.3">
      <c r="B4567">
        <v>7.2</v>
      </c>
    </row>
    <row r="4568" spans="2:2" x14ac:dyDescent="0.3">
      <c r="B4568">
        <v>7.7</v>
      </c>
    </row>
    <row r="4569" spans="2:2" x14ac:dyDescent="0.3">
      <c r="B4569">
        <v>7</v>
      </c>
    </row>
    <row r="4570" spans="2:2" x14ac:dyDescent="0.3">
      <c r="B4570">
        <v>7.2</v>
      </c>
    </row>
    <row r="4571" spans="2:2" x14ac:dyDescent="0.3">
      <c r="B4571">
        <v>6.4</v>
      </c>
    </row>
    <row r="4572" spans="2:2" x14ac:dyDescent="0.3">
      <c r="B4572">
        <v>7.2</v>
      </c>
    </row>
    <row r="4573" spans="2:2" x14ac:dyDescent="0.3">
      <c r="B4573">
        <v>7.2</v>
      </c>
    </row>
    <row r="4574" spans="2:2" x14ac:dyDescent="0.3">
      <c r="B4574">
        <v>6.2</v>
      </c>
    </row>
    <row r="4575" spans="2:2" x14ac:dyDescent="0.3">
      <c r="B4575">
        <v>6.9</v>
      </c>
    </row>
    <row r="4576" spans="2:2" x14ac:dyDescent="0.3">
      <c r="B4576">
        <v>6.2</v>
      </c>
    </row>
    <row r="4577" spans="2:2" x14ac:dyDescent="0.3">
      <c r="B4577">
        <v>6.9</v>
      </c>
    </row>
    <row r="4578" spans="2:2" x14ac:dyDescent="0.3">
      <c r="B4578">
        <v>7</v>
      </c>
    </row>
    <row r="4579" spans="2:2" x14ac:dyDescent="0.3">
      <c r="B4579">
        <v>6.7</v>
      </c>
    </row>
    <row r="4580" spans="2:2" x14ac:dyDescent="0.3">
      <c r="B4580">
        <v>3.6</v>
      </c>
    </row>
    <row r="4581" spans="2:2" x14ac:dyDescent="0.3">
      <c r="B4581">
        <v>6.3</v>
      </c>
    </row>
    <row r="4582" spans="2:2" x14ac:dyDescent="0.3">
      <c r="B4582">
        <v>7.4</v>
      </c>
    </row>
    <row r="4583" spans="2:2" x14ac:dyDescent="0.3">
      <c r="B4583">
        <v>7.4</v>
      </c>
    </row>
    <row r="4584" spans="2:2" x14ac:dyDescent="0.3">
      <c r="B4584">
        <v>7.3</v>
      </c>
    </row>
    <row r="4585" spans="2:2" x14ac:dyDescent="0.3">
      <c r="B4585">
        <v>6.1</v>
      </c>
    </row>
    <row r="4586" spans="2:2" x14ac:dyDescent="0.3">
      <c r="B4586">
        <v>6.7</v>
      </c>
    </row>
    <row r="4587" spans="2:2" x14ac:dyDescent="0.3">
      <c r="B4587">
        <v>8.1999999999999993</v>
      </c>
    </row>
    <row r="4588" spans="2:2" x14ac:dyDescent="0.3">
      <c r="B4588">
        <v>7.7</v>
      </c>
    </row>
    <row r="4589" spans="2:2" x14ac:dyDescent="0.3">
      <c r="B4589">
        <v>7.3</v>
      </c>
    </row>
    <row r="4590" spans="2:2" x14ac:dyDescent="0.3">
      <c r="B4590">
        <v>7.4</v>
      </c>
    </row>
    <row r="4591" spans="2:2" x14ac:dyDescent="0.3">
      <c r="B4591">
        <v>5.7</v>
      </c>
    </row>
    <row r="4592" spans="2:2" x14ac:dyDescent="0.3">
      <c r="B4592">
        <v>7.6</v>
      </c>
    </row>
    <row r="4593" spans="2:2" x14ac:dyDescent="0.3">
      <c r="B4593">
        <v>6.8</v>
      </c>
    </row>
    <row r="4594" spans="2:2" x14ac:dyDescent="0.3">
      <c r="B4594">
        <v>5.6</v>
      </c>
    </row>
    <row r="4595" spans="2:2" x14ac:dyDescent="0.3">
      <c r="B4595">
        <v>4.8</v>
      </c>
    </row>
    <row r="4596" spans="2:2" x14ac:dyDescent="0.3">
      <c r="B4596">
        <v>6.4</v>
      </c>
    </row>
    <row r="4597" spans="2:2" x14ac:dyDescent="0.3">
      <c r="B4597">
        <v>6.8</v>
      </c>
    </row>
    <row r="4598" spans="2:2" x14ac:dyDescent="0.3">
      <c r="B4598">
        <v>6.1</v>
      </c>
    </row>
    <row r="4599" spans="2:2" x14ac:dyDescent="0.3">
      <c r="B4599">
        <v>5.2</v>
      </c>
    </row>
    <row r="4600" spans="2:2" x14ac:dyDescent="0.3">
      <c r="B4600">
        <v>6.9</v>
      </c>
    </row>
    <row r="4601" spans="2:2" x14ac:dyDescent="0.3">
      <c r="B4601">
        <v>6</v>
      </c>
    </row>
    <row r="4602" spans="2:2" x14ac:dyDescent="0.3">
      <c r="B4602">
        <v>6.3</v>
      </c>
    </row>
    <row r="4603" spans="2:2" x14ac:dyDescent="0.3">
      <c r="B4603">
        <v>6.1</v>
      </c>
    </row>
    <row r="4604" spans="2:2" x14ac:dyDescent="0.3">
      <c r="B4604">
        <v>5.5</v>
      </c>
    </row>
    <row r="4605" spans="2:2" x14ac:dyDescent="0.3">
      <c r="B4605">
        <v>6.9</v>
      </c>
    </row>
    <row r="4606" spans="2:2" x14ac:dyDescent="0.3">
      <c r="B4606">
        <v>5.6</v>
      </c>
    </row>
    <row r="4607" spans="2:2" x14ac:dyDescent="0.3">
      <c r="B4607">
        <v>1.9</v>
      </c>
    </row>
    <row r="4608" spans="2:2" x14ac:dyDescent="0.3">
      <c r="B4608">
        <v>4.0999999999999996</v>
      </c>
    </row>
    <row r="4609" spans="2:2" x14ac:dyDescent="0.3">
      <c r="B4609">
        <v>5.4</v>
      </c>
    </row>
    <row r="4610" spans="2:2" x14ac:dyDescent="0.3">
      <c r="B4610">
        <v>6.8</v>
      </c>
    </row>
    <row r="4611" spans="2:2" x14ac:dyDescent="0.3">
      <c r="B4611">
        <v>7</v>
      </c>
    </row>
    <row r="4612" spans="2:2" x14ac:dyDescent="0.3">
      <c r="B4612">
        <v>6.7</v>
      </c>
    </row>
    <row r="4613" spans="2:2" x14ac:dyDescent="0.3">
      <c r="B4613">
        <v>5.8</v>
      </c>
    </row>
    <row r="4614" spans="2:2" x14ac:dyDescent="0.3">
      <c r="B4614">
        <v>6.2</v>
      </c>
    </row>
    <row r="4615" spans="2:2" x14ac:dyDescent="0.3">
      <c r="B4615">
        <v>2.8</v>
      </c>
    </row>
    <row r="4616" spans="2:2" x14ac:dyDescent="0.3">
      <c r="B4616">
        <v>7.3</v>
      </c>
    </row>
    <row r="4617" spans="2:2" x14ac:dyDescent="0.3">
      <c r="B4617">
        <v>5.8</v>
      </c>
    </row>
    <row r="4618" spans="2:2" x14ac:dyDescent="0.3">
      <c r="B4618">
        <v>6.5</v>
      </c>
    </row>
    <row r="4619" spans="2:2" x14ac:dyDescent="0.3">
      <c r="B4619">
        <v>6.1</v>
      </c>
    </row>
    <row r="4620" spans="2:2" x14ac:dyDescent="0.3">
      <c r="B4620">
        <v>5.0999999999999996</v>
      </c>
    </row>
    <row r="4621" spans="2:2" x14ac:dyDescent="0.3">
      <c r="B4621">
        <v>2.2000000000000002</v>
      </c>
    </row>
    <row r="4622" spans="2:2" x14ac:dyDescent="0.3">
      <c r="B4622">
        <v>7.2</v>
      </c>
    </row>
    <row r="4623" spans="2:2" x14ac:dyDescent="0.3">
      <c r="B4623">
        <v>5.7</v>
      </c>
    </row>
    <row r="4624" spans="2:2" x14ac:dyDescent="0.3">
      <c r="B4624">
        <v>3.4</v>
      </c>
    </row>
    <row r="4625" spans="2:2" x14ac:dyDescent="0.3">
      <c r="B4625">
        <v>3.8</v>
      </c>
    </row>
    <row r="4626" spans="2:2" x14ac:dyDescent="0.3">
      <c r="B4626">
        <v>4.7</v>
      </c>
    </row>
    <row r="4627" spans="2:2" x14ac:dyDescent="0.3">
      <c r="B4627">
        <v>5.6</v>
      </c>
    </row>
    <row r="4628" spans="2:2" x14ac:dyDescent="0.3">
      <c r="B4628">
        <v>3.9</v>
      </c>
    </row>
    <row r="4629" spans="2:2" x14ac:dyDescent="0.3">
      <c r="B4629">
        <v>5.4</v>
      </c>
    </row>
    <row r="4630" spans="2:2" x14ac:dyDescent="0.3">
      <c r="B4630">
        <v>5.2</v>
      </c>
    </row>
    <row r="4631" spans="2:2" x14ac:dyDescent="0.3">
      <c r="B4631">
        <v>3.5</v>
      </c>
    </row>
    <row r="4632" spans="2:2" x14ac:dyDescent="0.3">
      <c r="B4632">
        <v>5.3</v>
      </c>
    </row>
    <row r="4633" spans="2:2" x14ac:dyDescent="0.3">
      <c r="B4633">
        <v>7</v>
      </c>
    </row>
    <row r="4634" spans="2:2" x14ac:dyDescent="0.3">
      <c r="B4634">
        <v>7.1</v>
      </c>
    </row>
    <row r="4635" spans="2:2" x14ac:dyDescent="0.3">
      <c r="B4635">
        <v>5.5</v>
      </c>
    </row>
    <row r="4636" spans="2:2" x14ac:dyDescent="0.3">
      <c r="B4636">
        <v>5.9</v>
      </c>
    </row>
    <row r="4637" spans="2:2" x14ac:dyDescent="0.3">
      <c r="B4637">
        <v>6</v>
      </c>
    </row>
    <row r="4638" spans="2:2" x14ac:dyDescent="0.3">
      <c r="B4638">
        <v>4.8</v>
      </c>
    </row>
    <row r="4639" spans="2:2" x14ac:dyDescent="0.3">
      <c r="B4639">
        <v>7.1</v>
      </c>
    </row>
    <row r="4640" spans="2:2" x14ac:dyDescent="0.3">
      <c r="B4640">
        <v>8.1999999999999993</v>
      </c>
    </row>
    <row r="4641" spans="2:2" x14ac:dyDescent="0.3">
      <c r="B4641">
        <v>5.7</v>
      </c>
    </row>
    <row r="4642" spans="2:2" x14ac:dyDescent="0.3">
      <c r="B4642">
        <v>7.9</v>
      </c>
    </row>
    <row r="4643" spans="2:2" x14ac:dyDescent="0.3">
      <c r="B4643">
        <v>7.3</v>
      </c>
    </row>
    <row r="4644" spans="2:2" x14ac:dyDescent="0.3">
      <c r="B4644">
        <v>7.1</v>
      </c>
    </row>
    <row r="4645" spans="2:2" x14ac:dyDescent="0.3">
      <c r="B4645">
        <v>6.4</v>
      </c>
    </row>
    <row r="4646" spans="2:2" x14ac:dyDescent="0.3">
      <c r="B4646">
        <v>5.9</v>
      </c>
    </row>
    <row r="4647" spans="2:2" x14ac:dyDescent="0.3">
      <c r="B4647">
        <v>7.5</v>
      </c>
    </row>
    <row r="4648" spans="2:2" x14ac:dyDescent="0.3">
      <c r="B4648">
        <v>6.4</v>
      </c>
    </row>
    <row r="4649" spans="2:2" x14ac:dyDescent="0.3">
      <c r="B4649">
        <v>7.4</v>
      </c>
    </row>
    <row r="4650" spans="2:2" x14ac:dyDescent="0.3">
      <c r="B4650">
        <v>7.3</v>
      </c>
    </row>
    <row r="4651" spans="2:2" x14ac:dyDescent="0.3">
      <c r="B4651">
        <v>6.5</v>
      </c>
    </row>
    <row r="4652" spans="2:2" x14ac:dyDescent="0.3">
      <c r="B4652">
        <v>7.2</v>
      </c>
    </row>
    <row r="4653" spans="2:2" x14ac:dyDescent="0.3">
      <c r="B4653">
        <v>6.7</v>
      </c>
    </row>
    <row r="4654" spans="2:2" x14ac:dyDescent="0.3">
      <c r="B4654">
        <v>7.1</v>
      </c>
    </row>
    <row r="4655" spans="2:2" x14ac:dyDescent="0.3">
      <c r="B4655">
        <v>6</v>
      </c>
    </row>
    <row r="4656" spans="2:2" x14ac:dyDescent="0.3">
      <c r="B4656">
        <v>6.7</v>
      </c>
    </row>
    <row r="4657" spans="2:2" x14ac:dyDescent="0.3">
      <c r="B4657">
        <v>5.6</v>
      </c>
    </row>
    <row r="4658" spans="2:2" x14ac:dyDescent="0.3">
      <c r="B4658">
        <v>7</v>
      </c>
    </row>
    <row r="4659" spans="2:2" x14ac:dyDescent="0.3">
      <c r="B4659">
        <v>4.9000000000000004</v>
      </c>
    </row>
    <row r="4660" spans="2:2" x14ac:dyDescent="0.3">
      <c r="B4660">
        <v>3.2</v>
      </c>
    </row>
    <row r="4661" spans="2:2" x14ac:dyDescent="0.3">
      <c r="B4661">
        <v>8.4</v>
      </c>
    </row>
    <row r="4662" spans="2:2" x14ac:dyDescent="0.3">
      <c r="B4662">
        <v>6.9</v>
      </c>
    </row>
    <row r="4663" spans="2:2" x14ac:dyDescent="0.3">
      <c r="B4663">
        <v>7.5</v>
      </c>
    </row>
    <row r="4664" spans="2:2" x14ac:dyDescent="0.3">
      <c r="B4664">
        <v>7.2</v>
      </c>
    </row>
    <row r="4665" spans="2:2" x14ac:dyDescent="0.3">
      <c r="B4665">
        <v>7.2</v>
      </c>
    </row>
    <row r="4666" spans="2:2" x14ac:dyDescent="0.3">
      <c r="B4666">
        <v>8</v>
      </c>
    </row>
    <row r="4667" spans="2:2" x14ac:dyDescent="0.3">
      <c r="B4667">
        <v>7.4</v>
      </c>
    </row>
    <row r="4668" spans="2:2" x14ac:dyDescent="0.3">
      <c r="B4668">
        <v>7.2</v>
      </c>
    </row>
    <row r="4669" spans="2:2" x14ac:dyDescent="0.3">
      <c r="B4669">
        <v>6.5</v>
      </c>
    </row>
    <row r="4670" spans="2:2" x14ac:dyDescent="0.3">
      <c r="B4670">
        <v>7.2</v>
      </c>
    </row>
    <row r="4671" spans="2:2" x14ac:dyDescent="0.3">
      <c r="B4671">
        <v>4.2</v>
      </c>
    </row>
    <row r="4672" spans="2:2" x14ac:dyDescent="0.3">
      <c r="B4672">
        <v>5.0999999999999996</v>
      </c>
    </row>
    <row r="4673" spans="2:2" x14ac:dyDescent="0.3">
      <c r="B4673">
        <v>6.4</v>
      </c>
    </row>
    <row r="4674" spans="2:2" x14ac:dyDescent="0.3">
      <c r="B4674">
        <v>6.8</v>
      </c>
    </row>
    <row r="4675" spans="2:2" x14ac:dyDescent="0.3">
      <c r="B4675">
        <v>6.2</v>
      </c>
    </row>
    <row r="4676" spans="2:2" x14ac:dyDescent="0.3">
      <c r="B4676">
        <v>7.5</v>
      </c>
    </row>
    <row r="4677" spans="2:2" x14ac:dyDescent="0.3">
      <c r="B4677">
        <v>7.7</v>
      </c>
    </row>
    <row r="4678" spans="2:2" x14ac:dyDescent="0.3">
      <c r="B4678">
        <v>6.9</v>
      </c>
    </row>
    <row r="4679" spans="2:2" x14ac:dyDescent="0.3">
      <c r="B4679">
        <v>7</v>
      </c>
    </row>
    <row r="4680" spans="2:2" x14ac:dyDescent="0.3">
      <c r="B4680">
        <v>7.5</v>
      </c>
    </row>
    <row r="4681" spans="2:2" x14ac:dyDescent="0.3">
      <c r="B4681">
        <v>6.3</v>
      </c>
    </row>
    <row r="4682" spans="2:2" x14ac:dyDescent="0.3">
      <c r="B4682">
        <v>5.5</v>
      </c>
    </row>
    <row r="4683" spans="2:2" x14ac:dyDescent="0.3">
      <c r="B4683">
        <v>4.8</v>
      </c>
    </row>
    <row r="4684" spans="2:2" x14ac:dyDescent="0.3">
      <c r="B4684">
        <v>8.1</v>
      </c>
    </row>
    <row r="4685" spans="2:2" x14ac:dyDescent="0.3">
      <c r="B4685">
        <v>6.6</v>
      </c>
    </row>
    <row r="4686" spans="2:2" x14ac:dyDescent="0.3">
      <c r="B4686">
        <v>5.2</v>
      </c>
    </row>
    <row r="4687" spans="2:2" x14ac:dyDescent="0.3">
      <c r="B4687">
        <v>5.6</v>
      </c>
    </row>
    <row r="4688" spans="2:2" x14ac:dyDescent="0.3">
      <c r="B4688">
        <v>3.1</v>
      </c>
    </row>
    <row r="4689" spans="2:2" x14ac:dyDescent="0.3">
      <c r="B4689">
        <v>8.1</v>
      </c>
    </row>
    <row r="4690" spans="2:2" x14ac:dyDescent="0.3">
      <c r="B4690">
        <v>8.3000000000000007</v>
      </c>
    </row>
    <row r="4691" spans="2:2" x14ac:dyDescent="0.3">
      <c r="B4691">
        <v>7.1</v>
      </c>
    </row>
    <row r="4692" spans="2:2" x14ac:dyDescent="0.3">
      <c r="B4692">
        <v>8.1</v>
      </c>
    </row>
    <row r="4693" spans="2:2" x14ac:dyDescent="0.3">
      <c r="B4693">
        <v>7.2</v>
      </c>
    </row>
    <row r="4694" spans="2:2" x14ac:dyDescent="0.3">
      <c r="B4694">
        <v>6.3</v>
      </c>
    </row>
    <row r="4695" spans="2:2" x14ac:dyDescent="0.3">
      <c r="B4695">
        <v>4</v>
      </c>
    </row>
    <row r="4696" spans="2:2" x14ac:dyDescent="0.3">
      <c r="B4696">
        <v>7.2</v>
      </c>
    </row>
    <row r="4697" spans="2:2" x14ac:dyDescent="0.3">
      <c r="B4697">
        <v>5.3</v>
      </c>
    </row>
    <row r="4698" spans="2:2" x14ac:dyDescent="0.3">
      <c r="B4698">
        <v>7.2</v>
      </c>
    </row>
    <row r="4699" spans="2:2" x14ac:dyDescent="0.3">
      <c r="B4699">
        <v>6.5</v>
      </c>
    </row>
    <row r="4700" spans="2:2" x14ac:dyDescent="0.3">
      <c r="B4700">
        <v>6.5</v>
      </c>
    </row>
    <row r="4701" spans="2:2" x14ac:dyDescent="0.3">
      <c r="B4701">
        <v>4.9000000000000004</v>
      </c>
    </row>
    <row r="4702" spans="2:2" x14ac:dyDescent="0.3">
      <c r="B4702">
        <v>5.2</v>
      </c>
    </row>
    <row r="4703" spans="2:2" x14ac:dyDescent="0.3">
      <c r="B4703">
        <v>7.4</v>
      </c>
    </row>
    <row r="4704" spans="2:2" x14ac:dyDescent="0.3">
      <c r="B4704">
        <v>7.4</v>
      </c>
    </row>
    <row r="4705" spans="2:2" x14ac:dyDescent="0.3">
      <c r="B4705">
        <v>5.4</v>
      </c>
    </row>
    <row r="4706" spans="2:2" x14ac:dyDescent="0.3">
      <c r="B4706">
        <v>3.9</v>
      </c>
    </row>
    <row r="4707" spans="2:2" x14ac:dyDescent="0.3">
      <c r="B4707">
        <v>5.3</v>
      </c>
    </row>
    <row r="4708" spans="2:2" x14ac:dyDescent="0.3">
      <c r="B4708">
        <v>7.8</v>
      </c>
    </row>
    <row r="4709" spans="2:2" x14ac:dyDescent="0.3">
      <c r="B4709">
        <v>6.4</v>
      </c>
    </row>
    <row r="4710" spans="2:2" x14ac:dyDescent="0.3">
      <c r="B4710">
        <v>8.1</v>
      </c>
    </row>
    <row r="4711" spans="2:2" x14ac:dyDescent="0.3">
      <c r="B4711">
        <v>6.5</v>
      </c>
    </row>
    <row r="4712" spans="2:2" x14ac:dyDescent="0.3">
      <c r="B4712">
        <v>5.6</v>
      </c>
    </row>
    <row r="4713" spans="2:2" x14ac:dyDescent="0.3">
      <c r="B4713">
        <v>5.6</v>
      </c>
    </row>
    <row r="4714" spans="2:2" x14ac:dyDescent="0.3">
      <c r="B4714">
        <v>6.6</v>
      </c>
    </row>
    <row r="4715" spans="2:2" x14ac:dyDescent="0.3">
      <c r="B4715">
        <v>6.3</v>
      </c>
    </row>
    <row r="4716" spans="2:2" x14ac:dyDescent="0.3">
      <c r="B4716">
        <v>7.7</v>
      </c>
    </row>
    <row r="4717" spans="2:2" x14ac:dyDescent="0.3">
      <c r="B4717">
        <v>7</v>
      </c>
    </row>
    <row r="4718" spans="2:2" x14ac:dyDescent="0.3">
      <c r="B4718">
        <v>8</v>
      </c>
    </row>
    <row r="4719" spans="2:2" x14ac:dyDescent="0.3">
      <c r="B4719">
        <v>7.2</v>
      </c>
    </row>
    <row r="4720" spans="2:2" x14ac:dyDescent="0.3">
      <c r="B4720">
        <v>4.5</v>
      </c>
    </row>
    <row r="4721" spans="2:2" x14ac:dyDescent="0.3">
      <c r="B4721">
        <v>7.7</v>
      </c>
    </row>
    <row r="4722" spans="2:2" x14ac:dyDescent="0.3">
      <c r="B4722">
        <v>7.2</v>
      </c>
    </row>
    <row r="4723" spans="2:2" x14ac:dyDescent="0.3">
      <c r="B4723">
        <v>6.1</v>
      </c>
    </row>
    <row r="4724" spans="2:2" x14ac:dyDescent="0.3">
      <c r="B4724">
        <v>6.4</v>
      </c>
    </row>
    <row r="4725" spans="2:2" x14ac:dyDescent="0.3">
      <c r="B4725">
        <v>6.5</v>
      </c>
    </row>
    <row r="4726" spans="2:2" x14ac:dyDescent="0.3">
      <c r="B4726">
        <v>7</v>
      </c>
    </row>
    <row r="4727" spans="2:2" x14ac:dyDescent="0.3">
      <c r="B4727">
        <v>6.1</v>
      </c>
    </row>
    <row r="4728" spans="2:2" x14ac:dyDescent="0.3">
      <c r="B4728">
        <v>5.7</v>
      </c>
    </row>
    <row r="4729" spans="2:2" x14ac:dyDescent="0.3">
      <c r="B4729">
        <v>5.4</v>
      </c>
    </row>
    <row r="4730" spans="2:2" x14ac:dyDescent="0.3">
      <c r="B4730">
        <v>5.9</v>
      </c>
    </row>
    <row r="4731" spans="2:2" x14ac:dyDescent="0.3">
      <c r="B4731">
        <v>7.5</v>
      </c>
    </row>
    <row r="4732" spans="2:2" x14ac:dyDescent="0.3">
      <c r="B4732">
        <v>7.7</v>
      </c>
    </row>
    <row r="4733" spans="2:2" x14ac:dyDescent="0.3">
      <c r="B4733">
        <v>7.1</v>
      </c>
    </row>
    <row r="4734" spans="2:2" x14ac:dyDescent="0.3">
      <c r="B4734">
        <v>7.4</v>
      </c>
    </row>
    <row r="4735" spans="2:2" x14ac:dyDescent="0.3">
      <c r="B4735">
        <v>7.6</v>
      </c>
    </row>
    <row r="4736" spans="2:2" x14ac:dyDescent="0.3">
      <c r="B4736">
        <v>6.4</v>
      </c>
    </row>
    <row r="4737" spans="2:2" x14ac:dyDescent="0.3">
      <c r="B4737">
        <v>7.4</v>
      </c>
    </row>
    <row r="4738" spans="2:2" x14ac:dyDescent="0.3">
      <c r="B4738">
        <v>6.8</v>
      </c>
    </row>
    <row r="4739" spans="2:2" x14ac:dyDescent="0.3">
      <c r="B4739">
        <v>6.5</v>
      </c>
    </row>
    <row r="4740" spans="2:2" x14ac:dyDescent="0.3">
      <c r="B4740">
        <v>6</v>
      </c>
    </row>
    <row r="4741" spans="2:2" x14ac:dyDescent="0.3">
      <c r="B4741">
        <v>7.3</v>
      </c>
    </row>
    <row r="4742" spans="2:2" x14ac:dyDescent="0.3">
      <c r="B4742">
        <v>7.3</v>
      </c>
    </row>
    <row r="4743" spans="2:2" x14ac:dyDescent="0.3">
      <c r="B4743">
        <v>6.5</v>
      </c>
    </row>
    <row r="4744" spans="2:2" x14ac:dyDescent="0.3">
      <c r="B4744">
        <v>6</v>
      </c>
    </row>
    <row r="4745" spans="2:2" x14ac:dyDescent="0.3">
      <c r="B4745">
        <v>5.3</v>
      </c>
    </row>
    <row r="4746" spans="2:2" x14ac:dyDescent="0.3">
      <c r="B4746">
        <v>6.6</v>
      </c>
    </row>
    <row r="4747" spans="2:2" x14ac:dyDescent="0.3">
      <c r="B4747">
        <v>6.1</v>
      </c>
    </row>
    <row r="4748" spans="2:2" x14ac:dyDescent="0.3">
      <c r="B4748">
        <v>7.1</v>
      </c>
    </row>
    <row r="4749" spans="2:2" x14ac:dyDescent="0.3">
      <c r="B4749">
        <v>8.6999999999999993</v>
      </c>
    </row>
    <row r="4750" spans="2:2" x14ac:dyDescent="0.3">
      <c r="B4750">
        <v>8.4</v>
      </c>
    </row>
    <row r="4751" spans="2:2" x14ac:dyDescent="0.3">
      <c r="B4751">
        <v>5.8</v>
      </c>
    </row>
    <row r="4752" spans="2:2" x14ac:dyDescent="0.3">
      <c r="B4752">
        <v>6.2</v>
      </c>
    </row>
    <row r="4753" spans="2:2" x14ac:dyDescent="0.3">
      <c r="B4753">
        <v>5.8</v>
      </c>
    </row>
    <row r="4754" spans="2:2" x14ac:dyDescent="0.3">
      <c r="B4754">
        <v>6.7</v>
      </c>
    </row>
    <row r="4755" spans="2:2" x14ac:dyDescent="0.3">
      <c r="B4755">
        <v>5.7</v>
      </c>
    </row>
    <row r="4756" spans="2:2" x14ac:dyDescent="0.3">
      <c r="B4756">
        <v>6.1</v>
      </c>
    </row>
    <row r="4757" spans="2:2" x14ac:dyDescent="0.3">
      <c r="B4757">
        <v>6.4</v>
      </c>
    </row>
    <row r="4758" spans="2:2" x14ac:dyDescent="0.3">
      <c r="B4758">
        <v>5</v>
      </c>
    </row>
    <row r="4759" spans="2:2" x14ac:dyDescent="0.3">
      <c r="B4759">
        <v>6.5</v>
      </c>
    </row>
    <row r="4760" spans="2:2" x14ac:dyDescent="0.3">
      <c r="B4760">
        <v>4.5999999999999996</v>
      </c>
    </row>
    <row r="4761" spans="2:2" x14ac:dyDescent="0.3">
      <c r="B4761">
        <v>7.7</v>
      </c>
    </row>
    <row r="4762" spans="2:2" x14ac:dyDescent="0.3">
      <c r="B4762">
        <v>7.3</v>
      </c>
    </row>
    <row r="4763" spans="2:2" x14ac:dyDescent="0.3">
      <c r="B4763">
        <v>6.6</v>
      </c>
    </row>
    <row r="4764" spans="2:2" x14ac:dyDescent="0.3">
      <c r="B4764">
        <v>6.4</v>
      </c>
    </row>
    <row r="4765" spans="2:2" x14ac:dyDescent="0.3">
      <c r="B4765">
        <v>5.8</v>
      </c>
    </row>
    <row r="4766" spans="2:2" x14ac:dyDescent="0.3">
      <c r="B4766">
        <v>7.2</v>
      </c>
    </row>
    <row r="4767" spans="2:2" x14ac:dyDescent="0.3">
      <c r="B4767">
        <v>7.2</v>
      </c>
    </row>
    <row r="4768" spans="2:2" x14ac:dyDescent="0.3">
      <c r="B4768">
        <v>3.5</v>
      </c>
    </row>
    <row r="4769" spans="2:2" x14ac:dyDescent="0.3">
      <c r="B4769">
        <v>7.5</v>
      </c>
    </row>
    <row r="4770" spans="2:2" x14ac:dyDescent="0.3">
      <c r="B4770">
        <v>2.2000000000000002</v>
      </c>
    </row>
    <row r="4771" spans="2:2" x14ac:dyDescent="0.3">
      <c r="B4771">
        <v>3.3</v>
      </c>
    </row>
    <row r="4772" spans="2:2" x14ac:dyDescent="0.3">
      <c r="B4772">
        <v>6.6</v>
      </c>
    </row>
    <row r="4773" spans="2:2" x14ac:dyDescent="0.3">
      <c r="B4773">
        <v>6.9</v>
      </c>
    </row>
    <row r="4774" spans="2:2" x14ac:dyDescent="0.3">
      <c r="B4774">
        <v>4</v>
      </c>
    </row>
    <row r="4775" spans="2:2" x14ac:dyDescent="0.3">
      <c r="B4775">
        <v>7.4</v>
      </c>
    </row>
    <row r="4776" spans="2:2" x14ac:dyDescent="0.3">
      <c r="B4776">
        <v>8.3000000000000007</v>
      </c>
    </row>
    <row r="4777" spans="2:2" x14ac:dyDescent="0.3">
      <c r="B4777">
        <v>5.7</v>
      </c>
    </row>
    <row r="4778" spans="2:2" x14ac:dyDescent="0.3">
      <c r="B4778">
        <v>6.8</v>
      </c>
    </row>
    <row r="4779" spans="2:2" x14ac:dyDescent="0.3">
      <c r="B4779">
        <v>5.2</v>
      </c>
    </row>
    <row r="4780" spans="2:2" x14ac:dyDescent="0.3">
      <c r="B4780">
        <v>6.4</v>
      </c>
    </row>
    <row r="4781" spans="2:2" x14ac:dyDescent="0.3">
      <c r="B4781">
        <v>6.2</v>
      </c>
    </row>
    <row r="4782" spans="2:2" x14ac:dyDescent="0.3">
      <c r="B4782">
        <v>5.9</v>
      </c>
    </row>
    <row r="4783" spans="2:2" x14ac:dyDescent="0.3">
      <c r="B4783">
        <v>7.7</v>
      </c>
    </row>
    <row r="4784" spans="2:2" x14ac:dyDescent="0.3">
      <c r="B4784">
        <v>4.3</v>
      </c>
    </row>
    <row r="4785" spans="2:2" x14ac:dyDescent="0.3">
      <c r="B4785">
        <v>7.1</v>
      </c>
    </row>
    <row r="4786" spans="2:2" x14ac:dyDescent="0.3">
      <c r="B4786">
        <v>6.2</v>
      </c>
    </row>
    <row r="4787" spans="2:2" x14ac:dyDescent="0.3">
      <c r="B4787">
        <v>6.8</v>
      </c>
    </row>
    <row r="4788" spans="2:2" x14ac:dyDescent="0.3">
      <c r="B4788">
        <v>7.7</v>
      </c>
    </row>
    <row r="4789" spans="2:2" x14ac:dyDescent="0.3">
      <c r="B4789">
        <v>8.1999999999999993</v>
      </c>
    </row>
    <row r="4790" spans="2:2" x14ac:dyDescent="0.3">
      <c r="B4790">
        <v>7.5</v>
      </c>
    </row>
    <row r="4791" spans="2:2" x14ac:dyDescent="0.3">
      <c r="B4791">
        <v>7.6</v>
      </c>
    </row>
    <row r="4792" spans="2:2" x14ac:dyDescent="0.3">
      <c r="B4792">
        <v>4.0999999999999996</v>
      </c>
    </row>
    <row r="4793" spans="2:2" x14ac:dyDescent="0.3">
      <c r="B4793">
        <v>6.9</v>
      </c>
    </row>
    <row r="4794" spans="2:2" x14ac:dyDescent="0.3">
      <c r="B4794">
        <v>7.1</v>
      </c>
    </row>
    <row r="4795" spans="2:2" x14ac:dyDescent="0.3">
      <c r="B4795">
        <v>6.3</v>
      </c>
    </row>
    <row r="4796" spans="2:2" x14ac:dyDescent="0.3">
      <c r="B4796">
        <v>7.7</v>
      </c>
    </row>
    <row r="4797" spans="2:2" x14ac:dyDescent="0.3">
      <c r="B4797">
        <v>8.3000000000000007</v>
      </c>
    </row>
    <row r="4798" spans="2:2" x14ac:dyDescent="0.3">
      <c r="B4798">
        <v>7.1</v>
      </c>
    </row>
    <row r="4799" spans="2:2" x14ac:dyDescent="0.3">
      <c r="B4799">
        <v>4.7</v>
      </c>
    </row>
    <row r="4800" spans="2:2" x14ac:dyDescent="0.3">
      <c r="B4800">
        <v>7.7</v>
      </c>
    </row>
    <row r="4801" spans="2:2" x14ac:dyDescent="0.3">
      <c r="B4801">
        <v>7.2</v>
      </c>
    </row>
    <row r="4802" spans="2:2" x14ac:dyDescent="0.3">
      <c r="B4802">
        <v>5.0999999999999996</v>
      </c>
    </row>
    <row r="4803" spans="2:2" x14ac:dyDescent="0.3">
      <c r="B4803">
        <v>5.4</v>
      </c>
    </row>
    <row r="4804" spans="2:2" x14ac:dyDescent="0.3">
      <c r="B4804">
        <v>6.9</v>
      </c>
    </row>
    <row r="4805" spans="2:2" x14ac:dyDescent="0.3">
      <c r="B4805">
        <v>8.1999999999999993</v>
      </c>
    </row>
    <row r="4806" spans="2:2" x14ac:dyDescent="0.3">
      <c r="B4806">
        <v>6.1</v>
      </c>
    </row>
    <row r="4807" spans="2:2" x14ac:dyDescent="0.3">
      <c r="B4807">
        <v>6.1</v>
      </c>
    </row>
    <row r="4808" spans="2:2" x14ac:dyDescent="0.3">
      <c r="B4808">
        <v>6.9</v>
      </c>
    </row>
    <row r="4809" spans="2:2" x14ac:dyDescent="0.3">
      <c r="B4809">
        <v>5.8</v>
      </c>
    </row>
    <row r="4810" spans="2:2" x14ac:dyDescent="0.3">
      <c r="B4810">
        <v>6</v>
      </c>
    </row>
    <row r="4811" spans="2:2" x14ac:dyDescent="0.3">
      <c r="B4811">
        <v>8.1999999999999993</v>
      </c>
    </row>
    <row r="4812" spans="2:2" x14ac:dyDescent="0.3">
      <c r="B4812">
        <v>8</v>
      </c>
    </row>
    <row r="4813" spans="2:2" x14ac:dyDescent="0.3">
      <c r="B4813">
        <v>7</v>
      </c>
    </row>
    <row r="4814" spans="2:2" x14ac:dyDescent="0.3">
      <c r="B4814">
        <v>6.3</v>
      </c>
    </row>
    <row r="4815" spans="2:2" x14ac:dyDescent="0.3">
      <c r="B4815">
        <v>7.6</v>
      </c>
    </row>
    <row r="4816" spans="2:2" x14ac:dyDescent="0.3">
      <c r="B4816">
        <v>6.1</v>
      </c>
    </row>
    <row r="4817" spans="2:2" x14ac:dyDescent="0.3">
      <c r="B4817">
        <v>7.2</v>
      </c>
    </row>
    <row r="4818" spans="2:2" x14ac:dyDescent="0.3">
      <c r="B4818">
        <v>7.8</v>
      </c>
    </row>
    <row r="4819" spans="2:2" x14ac:dyDescent="0.3">
      <c r="B4819">
        <v>4.7</v>
      </c>
    </row>
    <row r="4820" spans="2:2" x14ac:dyDescent="0.3">
      <c r="B4820">
        <v>7.5</v>
      </c>
    </row>
    <row r="4821" spans="2:2" x14ac:dyDescent="0.3">
      <c r="B4821">
        <v>6.7</v>
      </c>
    </row>
    <row r="4822" spans="2:2" x14ac:dyDescent="0.3">
      <c r="B4822">
        <v>3.4</v>
      </c>
    </row>
    <row r="4823" spans="2:2" x14ac:dyDescent="0.3">
      <c r="B4823">
        <v>7.9</v>
      </c>
    </row>
    <row r="4824" spans="2:2" x14ac:dyDescent="0.3">
      <c r="B4824">
        <v>8.9</v>
      </c>
    </row>
    <row r="4825" spans="2:2" x14ac:dyDescent="0.3">
      <c r="B4825">
        <v>6.9</v>
      </c>
    </row>
    <row r="4826" spans="2:2" x14ac:dyDescent="0.3">
      <c r="B4826">
        <v>8.1999999999999993</v>
      </c>
    </row>
    <row r="4827" spans="2:2" x14ac:dyDescent="0.3">
      <c r="B4827">
        <v>7.3</v>
      </c>
    </row>
    <row r="4828" spans="2:2" x14ac:dyDescent="0.3">
      <c r="B4828">
        <v>8</v>
      </c>
    </row>
    <row r="4829" spans="2:2" x14ac:dyDescent="0.3">
      <c r="B4829">
        <v>6.7</v>
      </c>
    </row>
    <row r="4830" spans="2:2" x14ac:dyDescent="0.3">
      <c r="B4830">
        <v>6.6</v>
      </c>
    </row>
    <row r="4831" spans="2:2" x14ac:dyDescent="0.3">
      <c r="B4831">
        <v>6.9</v>
      </c>
    </row>
    <row r="4832" spans="2:2" x14ac:dyDescent="0.3">
      <c r="B4832">
        <v>7.1</v>
      </c>
    </row>
    <row r="4833" spans="2:2" x14ac:dyDescent="0.3">
      <c r="B4833">
        <v>5.6</v>
      </c>
    </row>
    <row r="4834" spans="2:2" x14ac:dyDescent="0.3">
      <c r="B4834">
        <v>6.7</v>
      </c>
    </row>
    <row r="4835" spans="2:2" x14ac:dyDescent="0.3">
      <c r="B4835">
        <v>7.1</v>
      </c>
    </row>
    <row r="4836" spans="2:2" x14ac:dyDescent="0.3">
      <c r="B4836">
        <v>5.2</v>
      </c>
    </row>
    <row r="4837" spans="2:2" x14ac:dyDescent="0.3">
      <c r="B4837">
        <v>7.7</v>
      </c>
    </row>
    <row r="4838" spans="2:2" x14ac:dyDescent="0.3">
      <c r="B4838">
        <v>7.5</v>
      </c>
    </row>
    <row r="4839" spans="2:2" x14ac:dyDescent="0.3">
      <c r="B4839">
        <v>7.6</v>
      </c>
    </row>
    <row r="4840" spans="2:2" x14ac:dyDescent="0.3">
      <c r="B4840">
        <v>8.1</v>
      </c>
    </row>
    <row r="4841" spans="2:2" x14ac:dyDescent="0.3">
      <c r="B4841">
        <v>5.5</v>
      </c>
    </row>
    <row r="4842" spans="2:2" x14ac:dyDescent="0.3">
      <c r="B4842">
        <v>6.6</v>
      </c>
    </row>
    <row r="4843" spans="2:2" x14ac:dyDescent="0.3">
      <c r="B4843">
        <v>3.2</v>
      </c>
    </row>
    <row r="4844" spans="2:2" x14ac:dyDescent="0.3">
      <c r="B4844">
        <v>7.4</v>
      </c>
    </row>
    <row r="4845" spans="2:2" x14ac:dyDescent="0.3">
      <c r="B4845">
        <v>6.6</v>
      </c>
    </row>
    <row r="4846" spans="2:2" x14ac:dyDescent="0.3">
      <c r="B4846">
        <v>6.2</v>
      </c>
    </row>
    <row r="4847" spans="2:2" x14ac:dyDescent="0.3">
      <c r="B4847">
        <v>4.8</v>
      </c>
    </row>
    <row r="4848" spans="2:2" x14ac:dyDescent="0.3">
      <c r="B4848">
        <v>4.5</v>
      </c>
    </row>
    <row r="4849" spans="2:2" x14ac:dyDescent="0.3">
      <c r="B4849">
        <v>7.2</v>
      </c>
    </row>
    <row r="4850" spans="2:2" x14ac:dyDescent="0.3">
      <c r="B4850">
        <v>4.3</v>
      </c>
    </row>
    <row r="4851" spans="2:2" x14ac:dyDescent="0.3">
      <c r="B4851">
        <v>4.5</v>
      </c>
    </row>
    <row r="4852" spans="2:2" x14ac:dyDescent="0.3">
      <c r="B4852">
        <v>6.4</v>
      </c>
    </row>
    <row r="4853" spans="2:2" x14ac:dyDescent="0.3">
      <c r="B4853">
        <v>6.4</v>
      </c>
    </row>
    <row r="4854" spans="2:2" x14ac:dyDescent="0.3">
      <c r="B4854">
        <v>7.3</v>
      </c>
    </row>
    <row r="4855" spans="2:2" x14ac:dyDescent="0.3">
      <c r="B4855">
        <v>6.9</v>
      </c>
    </row>
    <row r="4856" spans="2:2" x14ac:dyDescent="0.3">
      <c r="B4856">
        <v>4.3</v>
      </c>
    </row>
    <row r="4857" spans="2:2" x14ac:dyDescent="0.3">
      <c r="B4857">
        <v>7.2</v>
      </c>
    </row>
    <row r="4858" spans="2:2" x14ac:dyDescent="0.3">
      <c r="B4858">
        <v>6.5</v>
      </c>
    </row>
    <row r="4859" spans="2:2" x14ac:dyDescent="0.3">
      <c r="B4859">
        <v>6.6</v>
      </c>
    </row>
    <row r="4860" spans="2:2" x14ac:dyDescent="0.3">
      <c r="B4860">
        <v>6.7</v>
      </c>
    </row>
    <row r="4861" spans="2:2" x14ac:dyDescent="0.3">
      <c r="B4861">
        <v>4.3</v>
      </c>
    </row>
    <row r="4862" spans="2:2" x14ac:dyDescent="0.3">
      <c r="B4862">
        <v>7.3</v>
      </c>
    </row>
    <row r="4863" spans="2:2" x14ac:dyDescent="0.3">
      <c r="B4863">
        <v>6.4</v>
      </c>
    </row>
    <row r="4864" spans="2:2" x14ac:dyDescent="0.3">
      <c r="B4864">
        <v>7</v>
      </c>
    </row>
    <row r="4865" spans="2:2" x14ac:dyDescent="0.3">
      <c r="B4865">
        <v>5.5</v>
      </c>
    </row>
    <row r="4866" spans="2:2" x14ac:dyDescent="0.3">
      <c r="B4866">
        <v>6.7</v>
      </c>
    </row>
    <row r="4867" spans="2:2" x14ac:dyDescent="0.3">
      <c r="B4867">
        <v>4.3</v>
      </c>
    </row>
    <row r="4868" spans="2:2" x14ac:dyDescent="0.3">
      <c r="B4868">
        <v>6.1</v>
      </c>
    </row>
    <row r="4869" spans="2:2" x14ac:dyDescent="0.3">
      <c r="B4869">
        <v>6.8</v>
      </c>
    </row>
    <row r="4870" spans="2:2" x14ac:dyDescent="0.3">
      <c r="B4870">
        <v>3.9</v>
      </c>
    </row>
    <row r="4871" spans="2:2" x14ac:dyDescent="0.3">
      <c r="B4871">
        <v>8.5</v>
      </c>
    </row>
    <row r="4872" spans="2:2" x14ac:dyDescent="0.3">
      <c r="B4872">
        <v>6.9</v>
      </c>
    </row>
    <row r="4873" spans="2:2" x14ac:dyDescent="0.3">
      <c r="B4873">
        <v>7.3</v>
      </c>
    </row>
    <row r="4874" spans="2:2" x14ac:dyDescent="0.3">
      <c r="B4874">
        <v>6.9</v>
      </c>
    </row>
    <row r="4875" spans="2:2" x14ac:dyDescent="0.3">
      <c r="B4875">
        <v>6.3</v>
      </c>
    </row>
    <row r="4876" spans="2:2" x14ac:dyDescent="0.3">
      <c r="B4876">
        <v>2.5</v>
      </c>
    </row>
    <row r="4877" spans="2:2" x14ac:dyDescent="0.3">
      <c r="B4877">
        <v>5.7</v>
      </c>
    </row>
    <row r="4878" spans="2:2" x14ac:dyDescent="0.3">
      <c r="B4878">
        <v>7</v>
      </c>
    </row>
    <row r="4879" spans="2:2" x14ac:dyDescent="0.3">
      <c r="B4879">
        <v>6.2</v>
      </c>
    </row>
    <row r="4880" spans="2:2" x14ac:dyDescent="0.3">
      <c r="B4880">
        <v>6.9</v>
      </c>
    </row>
    <row r="4881" spans="2:2" x14ac:dyDescent="0.3">
      <c r="B4881">
        <v>4.5</v>
      </c>
    </row>
    <row r="4882" spans="2:2" x14ac:dyDescent="0.3">
      <c r="B4882">
        <v>7.8</v>
      </c>
    </row>
    <row r="4883" spans="2:2" x14ac:dyDescent="0.3">
      <c r="B4883">
        <v>4.4000000000000004</v>
      </c>
    </row>
    <row r="4884" spans="2:2" x14ac:dyDescent="0.3">
      <c r="B4884">
        <v>7.4</v>
      </c>
    </row>
    <row r="4885" spans="2:2" x14ac:dyDescent="0.3">
      <c r="B4885">
        <v>6.6</v>
      </c>
    </row>
    <row r="4886" spans="2:2" x14ac:dyDescent="0.3">
      <c r="B4886">
        <v>8</v>
      </c>
    </row>
    <row r="4887" spans="2:2" x14ac:dyDescent="0.3">
      <c r="B4887">
        <v>8.3000000000000007</v>
      </c>
    </row>
    <row r="4888" spans="2:2" x14ac:dyDescent="0.3">
      <c r="B4888">
        <v>6.5</v>
      </c>
    </row>
    <row r="4889" spans="2:2" x14ac:dyDescent="0.3">
      <c r="B4889">
        <v>7.1</v>
      </c>
    </row>
    <row r="4890" spans="2:2" x14ac:dyDescent="0.3">
      <c r="B4890">
        <v>7.1</v>
      </c>
    </row>
    <row r="4891" spans="2:2" x14ac:dyDescent="0.3">
      <c r="B4891">
        <v>4</v>
      </c>
    </row>
    <row r="4892" spans="2:2" x14ac:dyDescent="0.3">
      <c r="B4892">
        <v>7.5</v>
      </c>
    </row>
    <row r="4893" spans="2:2" x14ac:dyDescent="0.3">
      <c r="B4893">
        <v>7</v>
      </c>
    </row>
    <row r="4894" spans="2:2" x14ac:dyDescent="0.3">
      <c r="B4894">
        <v>4</v>
      </c>
    </row>
    <row r="4895" spans="2:2" x14ac:dyDescent="0.3">
      <c r="B4895">
        <v>6.7</v>
      </c>
    </row>
    <row r="4896" spans="2:2" x14ac:dyDescent="0.3">
      <c r="B4896">
        <v>7.2</v>
      </c>
    </row>
    <row r="4897" spans="2:2" x14ac:dyDescent="0.3">
      <c r="B4897">
        <v>7</v>
      </c>
    </row>
    <row r="4898" spans="2:2" x14ac:dyDescent="0.3">
      <c r="B4898">
        <v>7.4</v>
      </c>
    </row>
    <row r="4899" spans="2:2" x14ac:dyDescent="0.3">
      <c r="B4899">
        <v>8</v>
      </c>
    </row>
    <row r="4900" spans="2:2" x14ac:dyDescent="0.3">
      <c r="B4900">
        <v>6.5</v>
      </c>
    </row>
    <row r="4901" spans="2:2" x14ac:dyDescent="0.3">
      <c r="B4901">
        <v>7.2</v>
      </c>
    </row>
    <row r="4902" spans="2:2" x14ac:dyDescent="0.3">
      <c r="B4902">
        <v>6.4</v>
      </c>
    </row>
    <row r="4903" spans="2:2" x14ac:dyDescent="0.3">
      <c r="B4903">
        <v>6.5</v>
      </c>
    </row>
    <row r="4904" spans="2:2" x14ac:dyDescent="0.3">
      <c r="B4904">
        <v>6.8</v>
      </c>
    </row>
    <row r="4905" spans="2:2" x14ac:dyDescent="0.3">
      <c r="B4905">
        <v>6.9</v>
      </c>
    </row>
    <row r="4906" spans="2:2" x14ac:dyDescent="0.3">
      <c r="B4906">
        <v>7.5</v>
      </c>
    </row>
    <row r="4907" spans="2:2" x14ac:dyDescent="0.3">
      <c r="B4907">
        <v>7.1</v>
      </c>
    </row>
    <row r="4908" spans="2:2" x14ac:dyDescent="0.3">
      <c r="B4908">
        <v>5.0999999999999996</v>
      </c>
    </row>
    <row r="4909" spans="2:2" x14ac:dyDescent="0.3">
      <c r="B4909">
        <v>6.2</v>
      </c>
    </row>
    <row r="4910" spans="2:2" x14ac:dyDescent="0.3">
      <c r="B4910">
        <v>3.9</v>
      </c>
    </row>
    <row r="4911" spans="2:2" x14ac:dyDescent="0.3">
      <c r="B4911">
        <v>6</v>
      </c>
    </row>
    <row r="4912" spans="2:2" x14ac:dyDescent="0.3">
      <c r="B4912">
        <v>6.8</v>
      </c>
    </row>
    <row r="4913" spans="2:2" x14ac:dyDescent="0.3">
      <c r="B4913">
        <v>7.4</v>
      </c>
    </row>
    <row r="4914" spans="2:2" x14ac:dyDescent="0.3">
      <c r="B4914">
        <v>8.1</v>
      </c>
    </row>
    <row r="4915" spans="2:2" x14ac:dyDescent="0.3">
      <c r="B4915">
        <v>6.5</v>
      </c>
    </row>
    <row r="4916" spans="2:2" x14ac:dyDescent="0.3">
      <c r="B4916">
        <v>8</v>
      </c>
    </row>
    <row r="4917" spans="2:2" x14ac:dyDescent="0.3">
      <c r="B4917">
        <v>7.7</v>
      </c>
    </row>
    <row r="4918" spans="2:2" x14ac:dyDescent="0.3">
      <c r="B4918">
        <v>7.2</v>
      </c>
    </row>
    <row r="4919" spans="2:2" x14ac:dyDescent="0.3">
      <c r="B4919">
        <v>5.4</v>
      </c>
    </row>
    <row r="4920" spans="2:2" x14ac:dyDescent="0.3">
      <c r="B4920">
        <v>6.7</v>
      </c>
    </row>
    <row r="4921" spans="2:2" x14ac:dyDescent="0.3">
      <c r="B4921">
        <v>6.3</v>
      </c>
    </row>
    <row r="4922" spans="2:2" x14ac:dyDescent="0.3">
      <c r="B4922">
        <v>8.1</v>
      </c>
    </row>
    <row r="4923" spans="2:2" x14ac:dyDescent="0.3">
      <c r="B4923">
        <v>8.5</v>
      </c>
    </row>
    <row r="4924" spans="2:2" x14ac:dyDescent="0.3">
      <c r="B4924">
        <v>7.7</v>
      </c>
    </row>
    <row r="4925" spans="2:2" x14ac:dyDescent="0.3">
      <c r="B4925">
        <v>6.5</v>
      </c>
    </row>
    <row r="4926" spans="2:2" x14ac:dyDescent="0.3">
      <c r="B4926">
        <v>8.6999999999999993</v>
      </c>
    </row>
    <row r="4927" spans="2:2" x14ac:dyDescent="0.3">
      <c r="B4927">
        <v>6.5</v>
      </c>
    </row>
    <row r="4928" spans="2:2" x14ac:dyDescent="0.3">
      <c r="B4928">
        <v>7</v>
      </c>
    </row>
    <row r="4929" spans="2:2" x14ac:dyDescent="0.3">
      <c r="B4929">
        <v>5.8</v>
      </c>
    </row>
    <row r="4930" spans="2:2" x14ac:dyDescent="0.3">
      <c r="B4930">
        <v>5.5</v>
      </c>
    </row>
    <row r="4931" spans="2:2" x14ac:dyDescent="0.3">
      <c r="B4931">
        <v>7</v>
      </c>
    </row>
    <row r="4932" spans="2:2" x14ac:dyDescent="0.3">
      <c r="B4932">
        <v>6.3</v>
      </c>
    </row>
    <row r="4933" spans="2:2" x14ac:dyDescent="0.3">
      <c r="B4933">
        <v>7.9</v>
      </c>
    </row>
    <row r="4934" spans="2:2" x14ac:dyDescent="0.3">
      <c r="B4934">
        <v>7.3</v>
      </c>
    </row>
    <row r="4935" spans="2:2" x14ac:dyDescent="0.3">
      <c r="B4935">
        <v>7.4</v>
      </c>
    </row>
    <row r="4936" spans="2:2" x14ac:dyDescent="0.3">
      <c r="B4936">
        <v>5.4</v>
      </c>
    </row>
    <row r="4937" spans="2:2" x14ac:dyDescent="0.3">
      <c r="B4937">
        <v>7.1</v>
      </c>
    </row>
    <row r="4938" spans="2:2" x14ac:dyDescent="0.3">
      <c r="B4938">
        <v>7.5</v>
      </c>
    </row>
    <row r="4939" spans="2:2" x14ac:dyDescent="0.3">
      <c r="B4939">
        <v>8.4</v>
      </c>
    </row>
    <row r="4940" spans="2:2" x14ac:dyDescent="0.3">
      <c r="B4940">
        <v>7</v>
      </c>
    </row>
    <row r="4941" spans="2:2" x14ac:dyDescent="0.3">
      <c r="B4941">
        <v>5.3</v>
      </c>
    </row>
    <row r="4942" spans="2:2" x14ac:dyDescent="0.3">
      <c r="B4942">
        <v>7.1</v>
      </c>
    </row>
    <row r="4943" spans="2:2" x14ac:dyDescent="0.3">
      <c r="B4943">
        <v>7.5</v>
      </c>
    </row>
    <row r="4944" spans="2:2" x14ac:dyDescent="0.3">
      <c r="B4944">
        <v>6.1</v>
      </c>
    </row>
    <row r="4945" spans="2:2" x14ac:dyDescent="0.3">
      <c r="B4945">
        <v>7.2</v>
      </c>
    </row>
    <row r="4946" spans="2:2" x14ac:dyDescent="0.3">
      <c r="B4946">
        <v>6.7</v>
      </c>
    </row>
    <row r="4947" spans="2:2" x14ac:dyDescent="0.3">
      <c r="B4947">
        <v>8.1999999999999993</v>
      </c>
    </row>
    <row r="4948" spans="2:2" x14ac:dyDescent="0.3">
      <c r="B4948">
        <v>6.6</v>
      </c>
    </row>
    <row r="4949" spans="2:2" x14ac:dyDescent="0.3">
      <c r="B4949">
        <v>6.7</v>
      </c>
    </row>
    <row r="4950" spans="2:2" x14ac:dyDescent="0.3">
      <c r="B4950">
        <v>5.0999999999999996</v>
      </c>
    </row>
    <row r="4951" spans="2:2" x14ac:dyDescent="0.3">
      <c r="B4951">
        <v>7</v>
      </c>
    </row>
    <row r="4952" spans="2:2" x14ac:dyDescent="0.3">
      <c r="B4952">
        <v>7</v>
      </c>
    </row>
    <row r="4953" spans="2:2" x14ac:dyDescent="0.3">
      <c r="B4953">
        <v>8</v>
      </c>
    </row>
    <row r="4954" spans="2:2" x14ac:dyDescent="0.3">
      <c r="B4954">
        <v>7.4</v>
      </c>
    </row>
    <row r="4955" spans="2:2" x14ac:dyDescent="0.3">
      <c r="B4955">
        <v>5.4</v>
      </c>
    </row>
    <row r="4956" spans="2:2" x14ac:dyDescent="0.3">
      <c r="B4956">
        <v>5.7</v>
      </c>
    </row>
    <row r="4957" spans="2:2" x14ac:dyDescent="0.3">
      <c r="B4957">
        <v>6.7</v>
      </c>
    </row>
    <row r="4958" spans="2:2" x14ac:dyDescent="0.3">
      <c r="B4958">
        <v>4.2</v>
      </c>
    </row>
    <row r="4959" spans="2:2" x14ac:dyDescent="0.3">
      <c r="B4959">
        <v>7.4</v>
      </c>
    </row>
    <row r="4960" spans="2:2" x14ac:dyDescent="0.3">
      <c r="B4960">
        <v>4.8</v>
      </c>
    </row>
    <row r="4961" spans="2:2" x14ac:dyDescent="0.3">
      <c r="B4961">
        <v>7</v>
      </c>
    </row>
    <row r="4962" spans="2:2" x14ac:dyDescent="0.3">
      <c r="B4962">
        <v>7.3</v>
      </c>
    </row>
    <row r="4963" spans="2:2" x14ac:dyDescent="0.3">
      <c r="B4963">
        <v>5.8</v>
      </c>
    </row>
    <row r="4964" spans="2:2" x14ac:dyDescent="0.3">
      <c r="B4964">
        <v>7</v>
      </c>
    </row>
    <row r="4965" spans="2:2" x14ac:dyDescent="0.3">
      <c r="B4965">
        <v>3.2</v>
      </c>
    </row>
    <row r="4966" spans="2:2" x14ac:dyDescent="0.3">
      <c r="B4966">
        <v>6.8</v>
      </c>
    </row>
    <row r="4967" spans="2:2" x14ac:dyDescent="0.3">
      <c r="B4967">
        <v>7.7</v>
      </c>
    </row>
    <row r="4968" spans="2:2" x14ac:dyDescent="0.3">
      <c r="B4968">
        <v>5.6</v>
      </c>
    </row>
    <row r="4969" spans="2:2" x14ac:dyDescent="0.3">
      <c r="B4969">
        <v>7.1</v>
      </c>
    </row>
    <row r="4970" spans="2:2" x14ac:dyDescent="0.3">
      <c r="B4970">
        <v>3.6</v>
      </c>
    </row>
    <row r="4971" spans="2:2" x14ac:dyDescent="0.3">
      <c r="B4971">
        <v>6.8</v>
      </c>
    </row>
    <row r="4972" spans="2:2" x14ac:dyDescent="0.3">
      <c r="B4972">
        <v>7.6</v>
      </c>
    </row>
    <row r="4973" spans="2:2" x14ac:dyDescent="0.3">
      <c r="B4973">
        <v>6.6</v>
      </c>
    </row>
    <row r="4974" spans="2:2" x14ac:dyDescent="0.3">
      <c r="B4974">
        <v>8.3000000000000007</v>
      </c>
    </row>
    <row r="4975" spans="2:2" x14ac:dyDescent="0.3">
      <c r="B4975">
        <v>7.5</v>
      </c>
    </row>
    <row r="4976" spans="2:2" x14ac:dyDescent="0.3">
      <c r="B4976">
        <v>5.4</v>
      </c>
    </row>
    <row r="4977" spans="2:2" x14ac:dyDescent="0.3">
      <c r="B4977">
        <v>5.3</v>
      </c>
    </row>
    <row r="4978" spans="2:2" x14ac:dyDescent="0.3">
      <c r="B4978">
        <v>4.5</v>
      </c>
    </row>
    <row r="4979" spans="2:2" x14ac:dyDescent="0.3">
      <c r="B4979">
        <v>7.3</v>
      </c>
    </row>
    <row r="4980" spans="2:2" x14ac:dyDescent="0.3">
      <c r="B4980">
        <v>5.6</v>
      </c>
    </row>
    <row r="4981" spans="2:2" x14ac:dyDescent="0.3">
      <c r="B4981">
        <v>5.6</v>
      </c>
    </row>
    <row r="4982" spans="2:2" x14ac:dyDescent="0.3">
      <c r="B4982">
        <v>4.0999999999999996</v>
      </c>
    </row>
    <row r="4983" spans="2:2" x14ac:dyDescent="0.3">
      <c r="B4983">
        <v>6.8</v>
      </c>
    </row>
    <row r="4984" spans="2:2" x14ac:dyDescent="0.3">
      <c r="B4984">
        <v>6.3</v>
      </c>
    </row>
    <row r="4985" spans="2:2" x14ac:dyDescent="0.3">
      <c r="B4985">
        <v>5.8</v>
      </c>
    </row>
    <row r="4986" spans="2:2" x14ac:dyDescent="0.3">
      <c r="B4986">
        <v>6.6</v>
      </c>
    </row>
    <row r="4987" spans="2:2" x14ac:dyDescent="0.3">
      <c r="B4987">
        <v>6.7</v>
      </c>
    </row>
    <row r="4988" spans="2:2" x14ac:dyDescent="0.3">
      <c r="B4988">
        <v>6.4</v>
      </c>
    </row>
    <row r="4989" spans="2:2" x14ac:dyDescent="0.3">
      <c r="B4989">
        <v>6.3</v>
      </c>
    </row>
    <row r="4990" spans="2:2" x14ac:dyDescent="0.3">
      <c r="B4990">
        <v>3.4</v>
      </c>
    </row>
    <row r="4991" spans="2:2" x14ac:dyDescent="0.3">
      <c r="B4991">
        <v>4.7</v>
      </c>
    </row>
    <row r="4992" spans="2:2" x14ac:dyDescent="0.3">
      <c r="B4992">
        <v>6</v>
      </c>
    </row>
    <row r="4993" spans="2:2" x14ac:dyDescent="0.3">
      <c r="B4993">
        <v>7.3</v>
      </c>
    </row>
    <row r="4994" spans="2:2" x14ac:dyDescent="0.3">
      <c r="B4994">
        <v>7.9</v>
      </c>
    </row>
    <row r="4995" spans="2:2" x14ac:dyDescent="0.3">
      <c r="B4995">
        <v>6.1</v>
      </c>
    </row>
    <row r="4996" spans="2:2" x14ac:dyDescent="0.3">
      <c r="B4996">
        <v>7.4</v>
      </c>
    </row>
    <row r="4997" spans="2:2" x14ac:dyDescent="0.3">
      <c r="B4997">
        <v>6.6</v>
      </c>
    </row>
    <row r="4998" spans="2:2" x14ac:dyDescent="0.3">
      <c r="B4998">
        <v>5.5</v>
      </c>
    </row>
    <row r="4999" spans="2:2" x14ac:dyDescent="0.3">
      <c r="B4999">
        <v>7.5</v>
      </c>
    </row>
    <row r="5000" spans="2:2" x14ac:dyDescent="0.3">
      <c r="B5000">
        <v>7.6</v>
      </c>
    </row>
    <row r="5001" spans="2:2" x14ac:dyDescent="0.3">
      <c r="B5001">
        <v>5</v>
      </c>
    </row>
    <row r="5002" spans="2:2" x14ac:dyDescent="0.3">
      <c r="B5002">
        <v>3.2</v>
      </c>
    </row>
    <row r="5003" spans="2:2" x14ac:dyDescent="0.3">
      <c r="B5003">
        <v>8.1999999999999993</v>
      </c>
    </row>
    <row r="5004" spans="2:2" x14ac:dyDescent="0.3">
      <c r="B5004">
        <v>3.7</v>
      </c>
    </row>
    <row r="5005" spans="2:2" x14ac:dyDescent="0.3">
      <c r="B5005">
        <v>6.3</v>
      </c>
    </row>
    <row r="5006" spans="2:2" x14ac:dyDescent="0.3">
      <c r="B5006">
        <v>4.0999999999999996</v>
      </c>
    </row>
    <row r="5007" spans="2:2" x14ac:dyDescent="0.3">
      <c r="B5007">
        <v>6.9</v>
      </c>
    </row>
    <row r="5008" spans="2:2" x14ac:dyDescent="0.3">
      <c r="B5008">
        <v>5.4</v>
      </c>
    </row>
    <row r="5009" spans="2:2" x14ac:dyDescent="0.3">
      <c r="B5009">
        <v>6.5</v>
      </c>
    </row>
    <row r="5010" spans="2:2" x14ac:dyDescent="0.3">
      <c r="B5010">
        <v>7.8</v>
      </c>
    </row>
    <row r="5011" spans="2:2" x14ac:dyDescent="0.3">
      <c r="B5011">
        <v>6.7</v>
      </c>
    </row>
    <row r="5012" spans="2:2" x14ac:dyDescent="0.3">
      <c r="B5012">
        <v>6.4</v>
      </c>
    </row>
    <row r="5013" spans="2:2" x14ac:dyDescent="0.3">
      <c r="B5013">
        <v>7.3</v>
      </c>
    </row>
    <row r="5014" spans="2:2" x14ac:dyDescent="0.3">
      <c r="B5014">
        <v>5.7</v>
      </c>
    </row>
    <row r="5015" spans="2:2" x14ac:dyDescent="0.3">
      <c r="B5015">
        <v>7</v>
      </c>
    </row>
    <row r="5016" spans="2:2" x14ac:dyDescent="0.3">
      <c r="B5016">
        <v>6.3</v>
      </c>
    </row>
    <row r="5017" spans="2:2" x14ac:dyDescent="0.3">
      <c r="B5017">
        <v>7.1</v>
      </c>
    </row>
    <row r="5018" spans="2:2" x14ac:dyDescent="0.3">
      <c r="B5018">
        <v>4.8</v>
      </c>
    </row>
    <row r="5019" spans="2:2" x14ac:dyDescent="0.3">
      <c r="B5019">
        <v>3.3</v>
      </c>
    </row>
    <row r="5020" spans="2:2" x14ac:dyDescent="0.3">
      <c r="B5020">
        <v>6.9</v>
      </c>
    </row>
    <row r="5021" spans="2:2" x14ac:dyDescent="0.3">
      <c r="B5021">
        <v>4.5999999999999996</v>
      </c>
    </row>
    <row r="5022" spans="2:2" x14ac:dyDescent="0.3">
      <c r="B5022">
        <v>3</v>
      </c>
    </row>
    <row r="5023" spans="2:2" x14ac:dyDescent="0.3">
      <c r="B5023">
        <v>6.6</v>
      </c>
    </row>
    <row r="5024" spans="2:2" x14ac:dyDescent="0.3">
      <c r="B5024">
        <v>7.4</v>
      </c>
    </row>
    <row r="5025" spans="2:2" x14ac:dyDescent="0.3">
      <c r="B5025">
        <v>6.2</v>
      </c>
    </row>
    <row r="5026" spans="2:2" x14ac:dyDescent="0.3">
      <c r="B5026">
        <v>4</v>
      </c>
    </row>
    <row r="5027" spans="2:2" x14ac:dyDescent="0.3">
      <c r="B5027">
        <v>6.1</v>
      </c>
    </row>
    <row r="5028" spans="2:2" x14ac:dyDescent="0.3">
      <c r="B5028">
        <v>6.9</v>
      </c>
    </row>
    <row r="5029" spans="2:2" x14ac:dyDescent="0.3">
      <c r="B5029">
        <v>7.5</v>
      </c>
    </row>
    <row r="5030" spans="2:2" x14ac:dyDescent="0.3">
      <c r="B5030">
        <v>6.7</v>
      </c>
    </row>
    <row r="5031" spans="2:2" x14ac:dyDescent="0.3">
      <c r="B5031">
        <v>7.4</v>
      </c>
    </row>
    <row r="5032" spans="2:2" x14ac:dyDescent="0.3">
      <c r="B5032">
        <v>6.1</v>
      </c>
    </row>
    <row r="5033" spans="2:2" x14ac:dyDescent="0.3">
      <c r="B5033">
        <v>5.4</v>
      </c>
    </row>
    <row r="5034" spans="2:2" x14ac:dyDescent="0.3">
      <c r="B5034">
        <v>6.4</v>
      </c>
    </row>
    <row r="5035" spans="2:2" x14ac:dyDescent="0.3">
      <c r="B5035">
        <v>7</v>
      </c>
    </row>
    <row r="5036" spans="2:2" x14ac:dyDescent="0.3">
      <c r="B5036">
        <v>6.3</v>
      </c>
    </row>
    <row r="5037" spans="2:2" x14ac:dyDescent="0.3">
      <c r="B5037">
        <v>6.9</v>
      </c>
    </row>
    <row r="5038" spans="2:2" x14ac:dyDescent="0.3">
      <c r="B5038">
        <v>7.8</v>
      </c>
    </row>
    <row r="5039" spans="2:2" x14ac:dyDescent="0.3">
      <c r="B5039">
        <v>6.4</v>
      </c>
    </row>
    <row r="5040" spans="2:2" x14ac:dyDescent="0.3">
      <c r="B5040">
        <v>7.7</v>
      </c>
    </row>
    <row r="5041" spans="2:2" x14ac:dyDescent="0.3">
      <c r="B5041">
        <v>7.5</v>
      </c>
    </row>
    <row r="5042" spans="2:2" x14ac:dyDescent="0.3">
      <c r="B5042">
        <v>6.3</v>
      </c>
    </row>
    <row r="5043" spans="2:2" x14ac:dyDescent="0.3">
      <c r="B5043">
        <v>6.3</v>
      </c>
    </row>
    <row r="5044" spans="2:2" x14ac:dyDescent="0.3">
      <c r="B5044">
        <v>6.6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A4D7-CA87-4077-8E1F-6688F7C33233}">
  <dimension ref="A1:J3786"/>
  <sheetViews>
    <sheetView zoomScale="98" zoomScaleNormal="98" workbookViewId="0">
      <selection activeCell="L11" sqref="L11"/>
    </sheetView>
  </sheetViews>
  <sheetFormatPr defaultRowHeight="14.4" x14ac:dyDescent="0.3"/>
  <cols>
    <col min="1" max="1" width="68.88671875" bestFit="1" customWidth="1"/>
    <col min="2" max="2" width="10.5546875" bestFit="1" customWidth="1"/>
    <col min="3" max="3" width="10.77734375" bestFit="1" customWidth="1"/>
    <col min="5" max="5" width="10.5546875" bestFit="1" customWidth="1"/>
    <col min="6" max="6" width="15.109375" bestFit="1" customWidth="1"/>
    <col min="8" max="8" width="10.5546875" customWidth="1"/>
    <col min="9" max="9" width="10.77734375" customWidth="1"/>
    <col min="11" max="11" width="10.5546875" bestFit="1" customWidth="1"/>
  </cols>
  <sheetData>
    <row r="1" spans="1:10" x14ac:dyDescent="0.3">
      <c r="A1" s="24" t="s">
        <v>9941</v>
      </c>
      <c r="B1" s="2" t="s">
        <v>1</v>
      </c>
      <c r="C1" s="2" t="s">
        <v>8287</v>
      </c>
    </row>
    <row r="2" spans="1:10" x14ac:dyDescent="0.3">
      <c r="A2" s="3" t="s">
        <v>5</v>
      </c>
      <c r="B2" s="3" t="s">
        <v>7</v>
      </c>
      <c r="C2" s="3">
        <v>7.9</v>
      </c>
      <c r="E2" s="19" t="s">
        <v>8288</v>
      </c>
      <c r="F2" s="19" t="s">
        <v>8289</v>
      </c>
      <c r="H2" s="29" t="s">
        <v>8278</v>
      </c>
      <c r="I2" s="29" t="s">
        <v>8291</v>
      </c>
      <c r="J2" s="28" t="s">
        <v>8290</v>
      </c>
    </row>
    <row r="3" spans="1:10" x14ac:dyDescent="0.3">
      <c r="A3" s="4" t="s">
        <v>10</v>
      </c>
      <c r="B3" s="4" t="s">
        <v>7</v>
      </c>
      <c r="C3" s="4">
        <v>7.1</v>
      </c>
      <c r="E3" s="20" t="s">
        <v>918</v>
      </c>
      <c r="F3" s="20">
        <f>COUNTIF(B:B,E3)</f>
        <v>2</v>
      </c>
      <c r="H3" s="27">
        <f>AVERAGEIF(B:B,E3,C:C)</f>
        <v>8</v>
      </c>
      <c r="I3" s="27">
        <f>MEDIAN(B:B,C:C,$E3)</f>
        <v>6.5</v>
      </c>
      <c r="J3" s="39">
        <f>_xlfn.STDEV.S(B:B,$E3,C:C)</f>
        <v>1.0669185374584536</v>
      </c>
    </row>
    <row r="4" spans="1:10" x14ac:dyDescent="0.3">
      <c r="A4" s="3" t="s">
        <v>13</v>
      </c>
      <c r="B4" s="3" t="s">
        <v>7</v>
      </c>
      <c r="C4" s="3">
        <v>6.8</v>
      </c>
      <c r="E4" s="20" t="s">
        <v>6443</v>
      </c>
      <c r="F4" s="20">
        <f t="shared" ref="F4:F39" si="0">COUNTIF(B:B,E4)</f>
        <v>1</v>
      </c>
      <c r="H4" s="27">
        <f t="shared" ref="H4:H39" si="1">AVERAGEIF(B:B,E4,C:C)</f>
        <v>6.4</v>
      </c>
    </row>
    <row r="5" spans="1:10" x14ac:dyDescent="0.3">
      <c r="A5" s="4" t="s">
        <v>17</v>
      </c>
      <c r="B5" s="4" t="s">
        <v>7</v>
      </c>
      <c r="C5" s="4">
        <v>8.5</v>
      </c>
      <c r="E5" s="20" t="s">
        <v>3954</v>
      </c>
      <c r="F5" s="20">
        <f t="shared" si="0"/>
        <v>1</v>
      </c>
      <c r="H5" s="27">
        <f t="shared" si="1"/>
        <v>7.2</v>
      </c>
    </row>
    <row r="6" spans="1:10" x14ac:dyDescent="0.3">
      <c r="A6" s="3" t="s">
        <v>21</v>
      </c>
      <c r="B6" s="3" t="s">
        <v>7</v>
      </c>
      <c r="C6" s="3">
        <v>7.1</v>
      </c>
      <c r="E6" s="20" t="s">
        <v>5752</v>
      </c>
      <c r="F6" s="20">
        <f t="shared" si="0"/>
        <v>1</v>
      </c>
      <c r="H6" s="27">
        <f t="shared" si="1"/>
        <v>7</v>
      </c>
    </row>
    <row r="7" spans="1:10" x14ac:dyDescent="0.3">
      <c r="A7" s="4" t="s">
        <v>24</v>
      </c>
      <c r="B7" s="4" t="s">
        <v>7</v>
      </c>
      <c r="C7" s="4">
        <v>6.6</v>
      </c>
      <c r="E7" s="20" t="s">
        <v>3064</v>
      </c>
      <c r="F7" s="20">
        <f t="shared" si="0"/>
        <v>8</v>
      </c>
      <c r="H7" s="30">
        <f t="shared" si="1"/>
        <v>6.1749999999999998</v>
      </c>
    </row>
    <row r="8" spans="1:10" x14ac:dyDescent="0.3">
      <c r="A8" s="3" t="s">
        <v>27</v>
      </c>
      <c r="B8" s="3" t="s">
        <v>7</v>
      </c>
      <c r="C8" s="3">
        <v>6.2</v>
      </c>
      <c r="E8" s="20" t="s">
        <v>7108</v>
      </c>
      <c r="F8" s="20">
        <f t="shared" si="0"/>
        <v>1</v>
      </c>
      <c r="H8" s="27">
        <f t="shared" si="1"/>
        <v>6.2</v>
      </c>
    </row>
    <row r="9" spans="1:10" x14ac:dyDescent="0.3">
      <c r="A9" s="4" t="s">
        <v>29</v>
      </c>
      <c r="B9" s="4" t="s">
        <v>7</v>
      </c>
      <c r="C9" s="4">
        <v>7.8</v>
      </c>
      <c r="E9" s="20" t="s">
        <v>6411</v>
      </c>
      <c r="F9" s="20">
        <f t="shared" si="0"/>
        <v>3</v>
      </c>
      <c r="H9" s="35">
        <f t="shared" si="1"/>
        <v>6.2666666666666666</v>
      </c>
    </row>
    <row r="10" spans="1:10" x14ac:dyDescent="0.3">
      <c r="A10" s="3" t="s">
        <v>32</v>
      </c>
      <c r="B10" s="3" t="s">
        <v>7</v>
      </c>
      <c r="C10" s="3">
        <v>7.5</v>
      </c>
      <c r="E10" s="20" t="s">
        <v>4683</v>
      </c>
      <c r="F10" s="20">
        <f t="shared" si="0"/>
        <v>1</v>
      </c>
      <c r="H10" s="27">
        <f t="shared" si="1"/>
        <v>5.6</v>
      </c>
    </row>
    <row r="11" spans="1:10" x14ac:dyDescent="0.3">
      <c r="A11" s="4" t="s">
        <v>34</v>
      </c>
      <c r="B11" s="4" t="s">
        <v>7</v>
      </c>
      <c r="C11" s="4">
        <v>7.5</v>
      </c>
      <c r="E11" s="20" t="s">
        <v>4415</v>
      </c>
      <c r="F11" s="20">
        <f t="shared" si="0"/>
        <v>3</v>
      </c>
      <c r="H11" s="35">
        <f t="shared" si="1"/>
        <v>6.833333333333333</v>
      </c>
    </row>
    <row r="12" spans="1:10" x14ac:dyDescent="0.3">
      <c r="A12" s="3" t="s">
        <v>37</v>
      </c>
      <c r="B12" s="3" t="s">
        <v>7</v>
      </c>
      <c r="C12" s="3">
        <v>6.9</v>
      </c>
      <c r="E12" s="20" t="s">
        <v>7664</v>
      </c>
      <c r="F12" s="20">
        <f t="shared" si="0"/>
        <v>1</v>
      </c>
      <c r="H12" s="27">
        <f t="shared" si="1"/>
        <v>6.1</v>
      </c>
    </row>
    <row r="13" spans="1:10" x14ac:dyDescent="0.3">
      <c r="A13" s="4" t="s">
        <v>39</v>
      </c>
      <c r="B13" s="4" t="s">
        <v>7</v>
      </c>
      <c r="C13" s="4">
        <v>6.1</v>
      </c>
      <c r="E13" s="21" t="s">
        <v>7</v>
      </c>
      <c r="F13" s="21">
        <f t="shared" si="0"/>
        <v>3605</v>
      </c>
      <c r="H13" s="35">
        <f t="shared" si="1"/>
        <v>6.4199167822468732</v>
      </c>
    </row>
    <row r="14" spans="1:10" x14ac:dyDescent="0.3">
      <c r="A14" s="3" t="s">
        <v>42</v>
      </c>
      <c r="B14" s="3" t="s">
        <v>7</v>
      </c>
      <c r="C14" s="3">
        <v>6.7</v>
      </c>
      <c r="E14" s="20" t="s">
        <v>1852</v>
      </c>
      <c r="F14" s="20">
        <f t="shared" si="0"/>
        <v>1</v>
      </c>
      <c r="H14" s="27">
        <f t="shared" si="1"/>
        <v>6.8</v>
      </c>
    </row>
    <row r="15" spans="1:10" x14ac:dyDescent="0.3">
      <c r="A15" s="4" t="s">
        <v>44</v>
      </c>
      <c r="B15" s="4" t="s">
        <v>7</v>
      </c>
      <c r="C15" s="4">
        <v>7.3</v>
      </c>
      <c r="E15" s="20" t="s">
        <v>582</v>
      </c>
      <c r="F15" s="20">
        <f t="shared" si="0"/>
        <v>36</v>
      </c>
      <c r="H15" s="35">
        <f t="shared" si="1"/>
        <v>6.3416666666666686</v>
      </c>
    </row>
    <row r="16" spans="1:10" x14ac:dyDescent="0.3">
      <c r="A16" s="3" t="s">
        <v>47</v>
      </c>
      <c r="B16" s="3" t="s">
        <v>7</v>
      </c>
      <c r="C16" s="3">
        <v>6.5</v>
      </c>
      <c r="E16" s="20" t="s">
        <v>3702</v>
      </c>
      <c r="F16" s="20">
        <f t="shared" si="0"/>
        <v>13</v>
      </c>
      <c r="H16" s="35">
        <f t="shared" si="1"/>
        <v>6.3769230769230765</v>
      </c>
    </row>
    <row r="17" spans="1:8" x14ac:dyDescent="0.3">
      <c r="A17" s="4" t="s">
        <v>49</v>
      </c>
      <c r="B17" s="4" t="s">
        <v>7</v>
      </c>
      <c r="C17" s="4">
        <v>7.2</v>
      </c>
      <c r="E17" s="20" t="s">
        <v>4894</v>
      </c>
      <c r="F17" s="20">
        <f t="shared" si="0"/>
        <v>3</v>
      </c>
      <c r="H17" s="35">
        <f t="shared" si="1"/>
        <v>5.2333333333333334</v>
      </c>
    </row>
    <row r="18" spans="1:8" x14ac:dyDescent="0.3">
      <c r="A18" s="3" t="s">
        <v>51</v>
      </c>
      <c r="B18" s="3" t="s">
        <v>7</v>
      </c>
      <c r="C18" s="3">
        <v>6.6</v>
      </c>
      <c r="E18" s="20" t="s">
        <v>2354</v>
      </c>
      <c r="F18" s="20">
        <f t="shared" si="0"/>
        <v>9</v>
      </c>
      <c r="H18" s="35">
        <f t="shared" si="1"/>
        <v>6.2222222222222214</v>
      </c>
    </row>
    <row r="19" spans="1:8" x14ac:dyDescent="0.3">
      <c r="A19" s="4" t="s">
        <v>54</v>
      </c>
      <c r="B19" s="4" t="s">
        <v>7</v>
      </c>
      <c r="C19" s="4">
        <v>8.1</v>
      </c>
      <c r="E19" s="20" t="s">
        <v>5956</v>
      </c>
      <c r="F19" s="20">
        <f t="shared" si="0"/>
        <v>1</v>
      </c>
      <c r="H19" s="27">
        <f t="shared" si="1"/>
        <v>5.0999999999999996</v>
      </c>
    </row>
    <row r="20" spans="1:8" x14ac:dyDescent="0.3">
      <c r="A20" s="3" t="s">
        <v>57</v>
      </c>
      <c r="B20" s="3" t="s">
        <v>7</v>
      </c>
      <c r="C20" s="3">
        <v>6.7</v>
      </c>
      <c r="E20" s="20" t="s">
        <v>3672</v>
      </c>
      <c r="F20" s="20">
        <f t="shared" si="0"/>
        <v>1</v>
      </c>
      <c r="H20" s="27">
        <f t="shared" si="1"/>
        <v>6.1</v>
      </c>
    </row>
    <row r="21" spans="1:8" x14ac:dyDescent="0.3">
      <c r="A21" s="4" t="s">
        <v>60</v>
      </c>
      <c r="B21" s="4" t="s">
        <v>7</v>
      </c>
      <c r="C21" s="4">
        <v>6.8</v>
      </c>
      <c r="E21" s="20" t="s">
        <v>7811</v>
      </c>
      <c r="F21" s="20">
        <f t="shared" si="0"/>
        <v>2</v>
      </c>
      <c r="H21" s="27">
        <f t="shared" si="1"/>
        <v>7.45</v>
      </c>
    </row>
    <row r="22" spans="1:8" x14ac:dyDescent="0.3">
      <c r="A22" s="3" t="s">
        <v>63</v>
      </c>
      <c r="B22" s="3" t="s">
        <v>7</v>
      </c>
      <c r="C22" s="3">
        <v>7.5</v>
      </c>
      <c r="E22" s="20" t="s">
        <v>4134</v>
      </c>
      <c r="F22" s="20">
        <f t="shared" si="0"/>
        <v>8</v>
      </c>
      <c r="H22" s="27">
        <f t="shared" si="1"/>
        <v>6.3</v>
      </c>
    </row>
    <row r="23" spans="1:8" x14ac:dyDescent="0.3">
      <c r="A23" s="4" t="s">
        <v>65</v>
      </c>
      <c r="B23" s="4" t="s">
        <v>7</v>
      </c>
      <c r="C23" s="4">
        <v>7</v>
      </c>
      <c r="E23" s="20" t="s">
        <v>247</v>
      </c>
      <c r="F23" s="20">
        <f t="shared" si="0"/>
        <v>13</v>
      </c>
      <c r="H23" s="27">
        <f t="shared" si="1"/>
        <v>6.5000000000000009</v>
      </c>
    </row>
    <row r="24" spans="1:8" x14ac:dyDescent="0.3">
      <c r="A24" s="3" t="s">
        <v>68</v>
      </c>
      <c r="B24" s="3" t="s">
        <v>7</v>
      </c>
      <c r="C24" s="3">
        <v>6.7</v>
      </c>
      <c r="E24" s="20" t="s">
        <v>2915</v>
      </c>
      <c r="F24" s="20">
        <f t="shared" si="0"/>
        <v>1</v>
      </c>
      <c r="H24" s="27">
        <f t="shared" si="1"/>
        <v>5.8</v>
      </c>
    </row>
    <row r="25" spans="1:8" x14ac:dyDescent="0.3">
      <c r="A25" s="4" t="s">
        <v>71</v>
      </c>
      <c r="B25" s="4" t="s">
        <v>7</v>
      </c>
      <c r="C25" s="4">
        <v>7.9</v>
      </c>
      <c r="E25" s="20" t="s">
        <v>5282</v>
      </c>
      <c r="F25" s="20">
        <f t="shared" si="0"/>
        <v>5</v>
      </c>
      <c r="H25" s="27">
        <f t="shared" si="1"/>
        <v>5.52</v>
      </c>
    </row>
    <row r="26" spans="1:8" x14ac:dyDescent="0.3">
      <c r="A26" s="3" t="s">
        <v>74</v>
      </c>
      <c r="B26" s="3" t="s">
        <v>7</v>
      </c>
      <c r="C26" s="3">
        <v>6.1</v>
      </c>
      <c r="E26" s="20" t="s">
        <v>792</v>
      </c>
      <c r="F26" s="20">
        <f t="shared" si="0"/>
        <v>14</v>
      </c>
      <c r="H26" s="35">
        <f t="shared" si="1"/>
        <v>6.5642857142857158</v>
      </c>
    </row>
    <row r="27" spans="1:8" x14ac:dyDescent="0.3">
      <c r="A27" s="4" t="s">
        <v>76</v>
      </c>
      <c r="B27" s="4" t="s">
        <v>7</v>
      </c>
      <c r="C27" s="4">
        <v>7.2</v>
      </c>
      <c r="E27" s="20" t="s">
        <v>2730</v>
      </c>
      <c r="F27" s="20">
        <f t="shared" si="0"/>
        <v>1</v>
      </c>
      <c r="H27" s="27">
        <f t="shared" si="1"/>
        <v>7</v>
      </c>
    </row>
    <row r="28" spans="1:8" x14ac:dyDescent="0.3">
      <c r="A28" s="3" t="s">
        <v>79</v>
      </c>
      <c r="B28" s="3" t="s">
        <v>7</v>
      </c>
      <c r="C28" s="3">
        <v>7.7</v>
      </c>
      <c r="E28" s="20" t="s">
        <v>5021</v>
      </c>
      <c r="F28" s="20">
        <f t="shared" si="0"/>
        <v>1</v>
      </c>
      <c r="H28" s="27">
        <f t="shared" si="1"/>
        <v>5.8</v>
      </c>
    </row>
    <row r="29" spans="1:8" x14ac:dyDescent="0.3">
      <c r="A29" s="4" t="s">
        <v>81</v>
      </c>
      <c r="B29" s="4" t="s">
        <v>7</v>
      </c>
      <c r="C29" s="4">
        <v>8.1999999999999993</v>
      </c>
      <c r="E29" s="20" t="s">
        <v>5763</v>
      </c>
      <c r="F29" s="20">
        <f t="shared" si="0"/>
        <v>1</v>
      </c>
      <c r="H29" s="27">
        <f t="shared" si="1"/>
        <v>8</v>
      </c>
    </row>
    <row r="30" spans="1:8" x14ac:dyDescent="0.3">
      <c r="A30" s="3" t="s">
        <v>83</v>
      </c>
      <c r="B30" s="3" t="s">
        <v>7</v>
      </c>
      <c r="C30" s="3">
        <v>5.9</v>
      </c>
      <c r="E30" s="20" t="s">
        <v>6938</v>
      </c>
      <c r="F30" s="20">
        <f t="shared" si="0"/>
        <v>4</v>
      </c>
      <c r="H30" s="35">
        <f t="shared" si="1"/>
        <v>7.0250000000000004</v>
      </c>
    </row>
    <row r="31" spans="1:8" x14ac:dyDescent="0.3">
      <c r="A31" s="4" t="s">
        <v>86</v>
      </c>
      <c r="B31" s="4" t="s">
        <v>7</v>
      </c>
      <c r="C31" s="4">
        <v>7</v>
      </c>
      <c r="E31" s="20" t="s">
        <v>7918</v>
      </c>
      <c r="F31" s="20">
        <f t="shared" si="0"/>
        <v>5</v>
      </c>
      <c r="H31" s="27">
        <f t="shared" si="1"/>
        <v>5.66</v>
      </c>
    </row>
    <row r="32" spans="1:8" x14ac:dyDescent="0.3">
      <c r="A32" s="3" t="s">
        <v>88</v>
      </c>
      <c r="B32" s="3" t="s">
        <v>7</v>
      </c>
      <c r="C32" s="3">
        <v>7.8</v>
      </c>
      <c r="E32" s="20" t="s">
        <v>5982</v>
      </c>
      <c r="F32" s="20">
        <f t="shared" si="0"/>
        <v>5</v>
      </c>
      <c r="H32" s="27">
        <f t="shared" si="1"/>
        <v>6.8</v>
      </c>
    </row>
    <row r="33" spans="1:8" x14ac:dyDescent="0.3">
      <c r="A33" s="4" t="s">
        <v>90</v>
      </c>
      <c r="B33" s="4" t="s">
        <v>7</v>
      </c>
      <c r="C33" s="4">
        <v>7.3</v>
      </c>
      <c r="E33" s="20" t="s">
        <v>7913</v>
      </c>
      <c r="F33" s="20">
        <f t="shared" si="0"/>
        <v>1</v>
      </c>
      <c r="H33" s="27">
        <f t="shared" si="1"/>
        <v>7.3</v>
      </c>
    </row>
    <row r="34" spans="1:8" x14ac:dyDescent="0.3">
      <c r="A34" s="3" t="s">
        <v>93</v>
      </c>
      <c r="B34" s="3" t="s">
        <v>7</v>
      </c>
      <c r="C34" s="3">
        <v>7.2</v>
      </c>
      <c r="E34" s="20" t="s">
        <v>2362</v>
      </c>
      <c r="F34" s="20">
        <f t="shared" si="0"/>
        <v>1</v>
      </c>
      <c r="H34" s="27">
        <f t="shared" si="1"/>
        <v>7.3</v>
      </c>
    </row>
    <row r="35" spans="1:8" x14ac:dyDescent="0.3">
      <c r="A35" s="4" t="s">
        <v>97</v>
      </c>
      <c r="B35" s="4" t="s">
        <v>7</v>
      </c>
      <c r="C35" s="4">
        <v>6.5</v>
      </c>
      <c r="E35" s="20" t="s">
        <v>1146</v>
      </c>
      <c r="F35" s="20">
        <f t="shared" si="0"/>
        <v>26</v>
      </c>
      <c r="H35" s="35">
        <f t="shared" si="1"/>
        <v>6.3384615384615381</v>
      </c>
    </row>
    <row r="36" spans="1:8" x14ac:dyDescent="0.3">
      <c r="A36" s="3" t="s">
        <v>99</v>
      </c>
      <c r="B36" s="3" t="s">
        <v>7</v>
      </c>
      <c r="C36" s="3">
        <v>6.8</v>
      </c>
      <c r="E36" s="20" t="s">
        <v>5198</v>
      </c>
      <c r="F36" s="20">
        <f t="shared" si="0"/>
        <v>1</v>
      </c>
      <c r="H36" s="27">
        <f t="shared" si="1"/>
        <v>5</v>
      </c>
    </row>
    <row r="37" spans="1:8" x14ac:dyDescent="0.3">
      <c r="A37" s="4" t="s">
        <v>101</v>
      </c>
      <c r="B37" s="4" t="s">
        <v>7</v>
      </c>
      <c r="C37" s="4">
        <v>7.3</v>
      </c>
      <c r="E37" s="20" t="s">
        <v>2924</v>
      </c>
      <c r="F37" s="20">
        <f t="shared" si="0"/>
        <v>1</v>
      </c>
      <c r="H37" s="27">
        <f t="shared" si="1"/>
        <v>5.8</v>
      </c>
    </row>
    <row r="38" spans="1:8" x14ac:dyDescent="0.3">
      <c r="A38" s="3" t="s">
        <v>103</v>
      </c>
      <c r="B38" s="3" t="s">
        <v>7</v>
      </c>
      <c r="C38" s="3">
        <v>6</v>
      </c>
      <c r="E38" s="20" t="s">
        <v>5514</v>
      </c>
      <c r="F38" s="20">
        <f t="shared" si="0"/>
        <v>3</v>
      </c>
      <c r="H38" s="35">
        <f t="shared" si="1"/>
        <v>6.0333333333333341</v>
      </c>
    </row>
    <row r="39" spans="1:8" x14ac:dyDescent="0.3">
      <c r="A39" s="4" t="s">
        <v>105</v>
      </c>
      <c r="B39" s="4" t="s">
        <v>7</v>
      </c>
      <c r="C39" s="4">
        <v>5.7</v>
      </c>
      <c r="E39" s="20" t="s">
        <v>7750</v>
      </c>
      <c r="F39" s="20">
        <f t="shared" si="0"/>
        <v>1</v>
      </c>
      <c r="H39" s="27">
        <f t="shared" si="1"/>
        <v>5.3</v>
      </c>
    </row>
    <row r="40" spans="1:8" x14ac:dyDescent="0.3">
      <c r="A40" s="3" t="s">
        <v>107</v>
      </c>
      <c r="B40" s="3" t="s">
        <v>7</v>
      </c>
      <c r="C40" s="3">
        <v>6.4</v>
      </c>
      <c r="E40" s="20" t="s">
        <v>7421</v>
      </c>
      <c r="F40" s="20">
        <f>COUNTIF(B:B,E40)</f>
        <v>0</v>
      </c>
      <c r="H40" s="27">
        <v>0</v>
      </c>
    </row>
    <row r="41" spans="1:8" x14ac:dyDescent="0.3">
      <c r="A41" s="4" t="s">
        <v>110</v>
      </c>
      <c r="B41" s="4" t="s">
        <v>7</v>
      </c>
      <c r="C41" s="4">
        <v>6.7</v>
      </c>
      <c r="E41" s="25" t="s">
        <v>8292</v>
      </c>
      <c r="F41" s="26">
        <f>SUM(F3:F40)</f>
        <v>3785</v>
      </c>
    </row>
    <row r="42" spans="1:8" x14ac:dyDescent="0.3">
      <c r="A42" s="3" t="s">
        <v>112</v>
      </c>
      <c r="B42" s="3" t="s">
        <v>7</v>
      </c>
      <c r="C42" s="3">
        <v>6.8</v>
      </c>
    </row>
    <row r="43" spans="1:8" x14ac:dyDescent="0.3">
      <c r="A43" s="4" t="s">
        <v>114</v>
      </c>
      <c r="B43" s="4" t="s">
        <v>7</v>
      </c>
      <c r="C43" s="4">
        <v>6.3</v>
      </c>
    </row>
    <row r="44" spans="1:8" x14ac:dyDescent="0.3">
      <c r="A44" s="3" t="s">
        <v>116</v>
      </c>
      <c r="B44" s="3" t="s">
        <v>7</v>
      </c>
      <c r="C44" s="3">
        <v>5.6</v>
      </c>
    </row>
    <row r="45" spans="1:8" x14ac:dyDescent="0.3">
      <c r="A45" s="4" t="s">
        <v>119</v>
      </c>
      <c r="B45" s="4" t="s">
        <v>7</v>
      </c>
      <c r="C45" s="4">
        <v>8.3000000000000007</v>
      </c>
    </row>
    <row r="46" spans="1:8" x14ac:dyDescent="0.3">
      <c r="A46" s="3" t="s">
        <v>122</v>
      </c>
      <c r="B46" s="3" t="s">
        <v>7</v>
      </c>
      <c r="C46" s="3">
        <v>6.6</v>
      </c>
    </row>
    <row r="47" spans="1:8" x14ac:dyDescent="0.3">
      <c r="A47" s="4" t="s">
        <v>124</v>
      </c>
      <c r="B47" s="4" t="s">
        <v>7</v>
      </c>
      <c r="C47" s="4">
        <v>7.2</v>
      </c>
    </row>
    <row r="48" spans="1:8" x14ac:dyDescent="0.3">
      <c r="A48" s="3" t="s">
        <v>126</v>
      </c>
      <c r="B48" s="3" t="s">
        <v>7</v>
      </c>
      <c r="C48" s="3">
        <v>7</v>
      </c>
    </row>
    <row r="49" spans="1:3" x14ac:dyDescent="0.3">
      <c r="A49" s="4" t="s">
        <v>128</v>
      </c>
      <c r="B49" s="4" t="s">
        <v>7</v>
      </c>
      <c r="C49" s="4">
        <v>8</v>
      </c>
    </row>
    <row r="50" spans="1:3" x14ac:dyDescent="0.3">
      <c r="A50" s="3" t="s">
        <v>130</v>
      </c>
      <c r="B50" s="3" t="s">
        <v>7</v>
      </c>
      <c r="C50" s="3">
        <v>7.8</v>
      </c>
    </row>
    <row r="51" spans="1:3" x14ac:dyDescent="0.3">
      <c r="A51" s="4" t="s">
        <v>133</v>
      </c>
      <c r="B51" s="4" t="s">
        <v>7</v>
      </c>
      <c r="C51" s="4">
        <v>6.3</v>
      </c>
    </row>
    <row r="52" spans="1:3" x14ac:dyDescent="0.3">
      <c r="A52" s="3" t="s">
        <v>135</v>
      </c>
      <c r="B52" s="3" t="s">
        <v>7</v>
      </c>
      <c r="C52" s="3">
        <v>7.3</v>
      </c>
    </row>
    <row r="53" spans="1:3" x14ac:dyDescent="0.3">
      <c r="A53" s="4" t="s">
        <v>137</v>
      </c>
      <c r="B53" s="4" t="s">
        <v>7</v>
      </c>
      <c r="C53" s="4">
        <v>6.6</v>
      </c>
    </row>
    <row r="54" spans="1:3" x14ac:dyDescent="0.3">
      <c r="A54" s="3" t="s">
        <v>139</v>
      </c>
      <c r="B54" s="3" t="s">
        <v>7</v>
      </c>
      <c r="C54" s="3">
        <v>7</v>
      </c>
    </row>
    <row r="55" spans="1:3" x14ac:dyDescent="0.3">
      <c r="A55" s="4" t="s">
        <v>141</v>
      </c>
      <c r="B55" s="4" t="s">
        <v>7</v>
      </c>
      <c r="C55" s="4">
        <v>6.3</v>
      </c>
    </row>
    <row r="56" spans="1:3" x14ac:dyDescent="0.3">
      <c r="A56" s="3" t="s">
        <v>143</v>
      </c>
      <c r="B56" s="3" t="s">
        <v>7</v>
      </c>
      <c r="C56" s="3">
        <v>6.2</v>
      </c>
    </row>
    <row r="57" spans="1:3" x14ac:dyDescent="0.3">
      <c r="A57" s="4" t="s">
        <v>146</v>
      </c>
      <c r="B57" s="4" t="s">
        <v>7</v>
      </c>
      <c r="C57" s="4">
        <v>6.8</v>
      </c>
    </row>
    <row r="58" spans="1:3" x14ac:dyDescent="0.3">
      <c r="A58" s="3" t="s">
        <v>149</v>
      </c>
      <c r="B58" s="3" t="s">
        <v>7</v>
      </c>
      <c r="C58" s="3">
        <v>7.2</v>
      </c>
    </row>
    <row r="59" spans="1:3" x14ac:dyDescent="0.3">
      <c r="A59" s="4" t="s">
        <v>151</v>
      </c>
      <c r="B59" s="4" t="s">
        <v>7</v>
      </c>
      <c r="C59" s="4">
        <v>7.5</v>
      </c>
    </row>
    <row r="60" spans="1:3" x14ac:dyDescent="0.3">
      <c r="A60" s="3" t="s">
        <v>154</v>
      </c>
      <c r="B60" s="3" t="s">
        <v>7</v>
      </c>
      <c r="C60" s="3">
        <v>8.4</v>
      </c>
    </row>
    <row r="61" spans="1:3" x14ac:dyDescent="0.3">
      <c r="A61" s="4" t="s">
        <v>156</v>
      </c>
      <c r="B61" s="4" t="s">
        <v>7</v>
      </c>
      <c r="C61" s="4">
        <v>6.2</v>
      </c>
    </row>
    <row r="62" spans="1:3" x14ac:dyDescent="0.3">
      <c r="A62" s="3" t="s">
        <v>158</v>
      </c>
      <c r="B62" s="3" t="s">
        <v>7</v>
      </c>
      <c r="C62" s="3">
        <v>5.8</v>
      </c>
    </row>
    <row r="63" spans="1:3" x14ac:dyDescent="0.3">
      <c r="A63" s="4" t="s">
        <v>160</v>
      </c>
      <c r="B63" s="4" t="s">
        <v>7</v>
      </c>
      <c r="C63" s="4">
        <v>6.8</v>
      </c>
    </row>
    <row r="64" spans="1:3" x14ac:dyDescent="0.3">
      <c r="A64" s="3" t="s">
        <v>162</v>
      </c>
      <c r="B64" s="3" t="s">
        <v>7</v>
      </c>
      <c r="C64" s="3">
        <v>5.4</v>
      </c>
    </row>
    <row r="65" spans="1:3" x14ac:dyDescent="0.3">
      <c r="A65" s="4" t="s">
        <v>165</v>
      </c>
      <c r="B65" s="4" t="s">
        <v>7</v>
      </c>
      <c r="C65" s="4">
        <v>6.6</v>
      </c>
    </row>
    <row r="66" spans="1:3" x14ac:dyDescent="0.3">
      <c r="A66" s="3" t="s">
        <v>168</v>
      </c>
      <c r="B66" s="3" t="s">
        <v>7</v>
      </c>
      <c r="C66" s="3">
        <v>6.9</v>
      </c>
    </row>
    <row r="67" spans="1:3" x14ac:dyDescent="0.3">
      <c r="A67" s="4" t="s">
        <v>171</v>
      </c>
      <c r="B67" s="4" t="s">
        <v>7</v>
      </c>
      <c r="C67" s="4">
        <v>7.3</v>
      </c>
    </row>
    <row r="68" spans="1:3" x14ac:dyDescent="0.3">
      <c r="A68" s="3" t="s">
        <v>173</v>
      </c>
      <c r="B68" s="3" t="s">
        <v>7</v>
      </c>
      <c r="C68" s="3">
        <v>9</v>
      </c>
    </row>
    <row r="69" spans="1:3" x14ac:dyDescent="0.3">
      <c r="A69" s="4" t="s">
        <v>176</v>
      </c>
      <c r="B69" s="4" t="s">
        <v>7</v>
      </c>
      <c r="C69" s="4">
        <v>8.3000000000000007</v>
      </c>
    </row>
    <row r="70" spans="1:3" x14ac:dyDescent="0.3">
      <c r="A70" s="3" t="s">
        <v>179</v>
      </c>
      <c r="B70" s="3" t="s">
        <v>7</v>
      </c>
      <c r="C70" s="3">
        <v>6.5</v>
      </c>
    </row>
    <row r="71" spans="1:3" x14ac:dyDescent="0.3">
      <c r="A71" s="4" t="s">
        <v>182</v>
      </c>
      <c r="B71" s="4" t="s">
        <v>7</v>
      </c>
      <c r="C71" s="4">
        <v>7.9</v>
      </c>
    </row>
    <row r="72" spans="1:3" x14ac:dyDescent="0.3">
      <c r="A72" s="3" t="s">
        <v>185</v>
      </c>
      <c r="B72" s="3" t="s">
        <v>7</v>
      </c>
      <c r="C72" s="3">
        <v>7.5</v>
      </c>
    </row>
    <row r="73" spans="1:3" x14ac:dyDescent="0.3">
      <c r="A73" s="4" t="s">
        <v>188</v>
      </c>
      <c r="B73" s="4" t="s">
        <v>7</v>
      </c>
      <c r="C73" s="4">
        <v>4.8</v>
      </c>
    </row>
    <row r="74" spans="1:3" x14ac:dyDescent="0.3">
      <c r="A74" s="3" t="s">
        <v>190</v>
      </c>
      <c r="B74" s="3" t="s">
        <v>7</v>
      </c>
      <c r="C74" s="3">
        <v>5.2</v>
      </c>
    </row>
    <row r="75" spans="1:3" x14ac:dyDescent="0.3">
      <c r="A75" s="4" t="s">
        <v>192</v>
      </c>
      <c r="B75" s="4" t="s">
        <v>7</v>
      </c>
      <c r="C75" s="4">
        <v>6.9</v>
      </c>
    </row>
    <row r="76" spans="1:3" x14ac:dyDescent="0.3">
      <c r="A76" s="3" t="s">
        <v>194</v>
      </c>
      <c r="B76" s="3" t="s">
        <v>7</v>
      </c>
      <c r="C76" s="3">
        <v>5.4</v>
      </c>
    </row>
    <row r="77" spans="1:3" x14ac:dyDescent="0.3">
      <c r="A77" s="4" t="s">
        <v>197</v>
      </c>
      <c r="B77" s="4" t="s">
        <v>7</v>
      </c>
      <c r="C77" s="4">
        <v>7.9</v>
      </c>
    </row>
    <row r="78" spans="1:3" x14ac:dyDescent="0.3">
      <c r="A78" s="3" t="s">
        <v>200</v>
      </c>
      <c r="B78" s="3" t="s">
        <v>7</v>
      </c>
      <c r="C78" s="3">
        <v>6.1</v>
      </c>
    </row>
    <row r="79" spans="1:3" x14ac:dyDescent="0.3">
      <c r="A79" s="4" t="s">
        <v>202</v>
      </c>
      <c r="B79" s="4" t="s">
        <v>7</v>
      </c>
      <c r="C79" s="4">
        <v>5.8</v>
      </c>
    </row>
    <row r="80" spans="1:3" x14ac:dyDescent="0.3">
      <c r="A80" s="3" t="s">
        <v>205</v>
      </c>
      <c r="B80" s="3" t="s">
        <v>7</v>
      </c>
      <c r="C80" s="3">
        <v>8.3000000000000007</v>
      </c>
    </row>
    <row r="81" spans="1:3" x14ac:dyDescent="0.3">
      <c r="A81" s="4" t="s">
        <v>208</v>
      </c>
      <c r="B81" s="4" t="s">
        <v>7</v>
      </c>
      <c r="C81" s="4">
        <v>7.8</v>
      </c>
    </row>
    <row r="82" spans="1:3" x14ac:dyDescent="0.3">
      <c r="A82" s="3" t="s">
        <v>211</v>
      </c>
      <c r="B82" s="3" t="s">
        <v>7</v>
      </c>
      <c r="C82" s="3">
        <v>7</v>
      </c>
    </row>
    <row r="83" spans="1:3" x14ac:dyDescent="0.3">
      <c r="A83" s="4" t="s">
        <v>215</v>
      </c>
      <c r="B83" s="4" t="s">
        <v>7</v>
      </c>
      <c r="C83" s="4">
        <v>6.1</v>
      </c>
    </row>
    <row r="84" spans="1:3" x14ac:dyDescent="0.3">
      <c r="A84" s="3" t="s">
        <v>217</v>
      </c>
      <c r="B84" s="3" t="s">
        <v>7</v>
      </c>
      <c r="C84" s="3">
        <v>7</v>
      </c>
    </row>
    <row r="85" spans="1:3" x14ac:dyDescent="0.3">
      <c r="A85" s="4" t="s">
        <v>219</v>
      </c>
      <c r="B85" s="4" t="s">
        <v>7</v>
      </c>
      <c r="C85" s="4">
        <v>7.6</v>
      </c>
    </row>
    <row r="86" spans="1:3" x14ac:dyDescent="0.3">
      <c r="A86" s="3" t="s">
        <v>222</v>
      </c>
      <c r="B86" s="3" t="s">
        <v>7</v>
      </c>
      <c r="C86" s="3">
        <v>4.5</v>
      </c>
    </row>
    <row r="87" spans="1:3" x14ac:dyDescent="0.3">
      <c r="A87" s="4" t="s">
        <v>225</v>
      </c>
      <c r="B87" s="4" t="s">
        <v>7</v>
      </c>
      <c r="C87" s="4">
        <v>6.3</v>
      </c>
    </row>
    <row r="88" spans="1:3" x14ac:dyDescent="0.3">
      <c r="A88" s="3" t="s">
        <v>228</v>
      </c>
      <c r="B88" s="3" t="s">
        <v>7</v>
      </c>
      <c r="C88" s="3">
        <v>7.8</v>
      </c>
    </row>
    <row r="89" spans="1:3" x14ac:dyDescent="0.3">
      <c r="A89" s="4" t="s">
        <v>231</v>
      </c>
      <c r="B89" s="4" t="s">
        <v>7</v>
      </c>
      <c r="C89" s="4">
        <v>6.4</v>
      </c>
    </row>
    <row r="90" spans="1:3" x14ac:dyDescent="0.3">
      <c r="A90" s="3" t="s">
        <v>233</v>
      </c>
      <c r="B90" s="3" t="s">
        <v>7</v>
      </c>
      <c r="C90" s="3">
        <v>6.5</v>
      </c>
    </row>
    <row r="91" spans="1:3" x14ac:dyDescent="0.3">
      <c r="A91" s="4" t="s">
        <v>235</v>
      </c>
      <c r="B91" s="4" t="s">
        <v>7</v>
      </c>
      <c r="C91" s="4">
        <v>7.9</v>
      </c>
    </row>
    <row r="92" spans="1:3" x14ac:dyDescent="0.3">
      <c r="A92" s="3" t="s">
        <v>238</v>
      </c>
      <c r="B92" s="3" t="s">
        <v>7</v>
      </c>
      <c r="C92" s="3">
        <v>7.8</v>
      </c>
    </row>
    <row r="93" spans="1:3" x14ac:dyDescent="0.3">
      <c r="A93" s="4" t="s">
        <v>240</v>
      </c>
      <c r="B93" s="4" t="s">
        <v>7</v>
      </c>
      <c r="C93" s="4">
        <v>6.6</v>
      </c>
    </row>
    <row r="94" spans="1:3" x14ac:dyDescent="0.3">
      <c r="A94" s="3" t="s">
        <v>243</v>
      </c>
      <c r="B94" s="3" t="s">
        <v>7</v>
      </c>
      <c r="C94" s="3">
        <v>5.5</v>
      </c>
    </row>
    <row r="95" spans="1:3" x14ac:dyDescent="0.3">
      <c r="A95" s="4" t="s">
        <v>245</v>
      </c>
      <c r="B95" s="4" t="s">
        <v>7</v>
      </c>
      <c r="C95" s="4">
        <v>8.1999999999999993</v>
      </c>
    </row>
    <row r="96" spans="1:3" x14ac:dyDescent="0.3">
      <c r="A96" s="3" t="s">
        <v>249</v>
      </c>
      <c r="B96" s="3" t="s">
        <v>7</v>
      </c>
      <c r="C96" s="3">
        <v>6.4</v>
      </c>
    </row>
    <row r="97" spans="1:3" x14ac:dyDescent="0.3">
      <c r="A97" s="4" t="s">
        <v>251</v>
      </c>
      <c r="B97" s="4" t="s">
        <v>7</v>
      </c>
      <c r="C97" s="4">
        <v>8.1</v>
      </c>
    </row>
    <row r="98" spans="1:3" x14ac:dyDescent="0.3">
      <c r="A98" s="3" t="s">
        <v>254</v>
      </c>
      <c r="B98" s="3" t="s">
        <v>7</v>
      </c>
      <c r="C98" s="3">
        <v>8.6</v>
      </c>
    </row>
    <row r="99" spans="1:3" x14ac:dyDescent="0.3">
      <c r="A99" s="4" t="s">
        <v>256</v>
      </c>
      <c r="B99" s="4" t="s">
        <v>7</v>
      </c>
      <c r="C99" s="4">
        <v>8.8000000000000007</v>
      </c>
    </row>
    <row r="100" spans="1:3" x14ac:dyDescent="0.3">
      <c r="A100" s="3" t="s">
        <v>259</v>
      </c>
      <c r="B100" s="3" t="s">
        <v>7</v>
      </c>
      <c r="C100" s="3">
        <v>8.1999999999999993</v>
      </c>
    </row>
    <row r="101" spans="1:3" x14ac:dyDescent="0.3">
      <c r="A101" s="4" t="s">
        <v>261</v>
      </c>
      <c r="B101" s="4" t="s">
        <v>7</v>
      </c>
      <c r="C101" s="4">
        <v>7.9</v>
      </c>
    </row>
    <row r="102" spans="1:3" x14ac:dyDescent="0.3">
      <c r="A102" s="3" t="s">
        <v>264</v>
      </c>
      <c r="B102" s="3" t="s">
        <v>7</v>
      </c>
      <c r="C102" s="3">
        <v>6.7</v>
      </c>
    </row>
    <row r="103" spans="1:3" x14ac:dyDescent="0.3">
      <c r="A103" s="4" t="s">
        <v>266</v>
      </c>
      <c r="B103" s="4" t="s">
        <v>7</v>
      </c>
      <c r="C103" s="4">
        <v>7.8</v>
      </c>
    </row>
    <row r="104" spans="1:3" x14ac:dyDescent="0.3">
      <c r="A104" s="3" t="s">
        <v>268</v>
      </c>
      <c r="B104" s="3" t="s">
        <v>7</v>
      </c>
      <c r="C104" s="3">
        <v>7.8</v>
      </c>
    </row>
    <row r="105" spans="1:3" x14ac:dyDescent="0.3">
      <c r="A105" s="4" t="s">
        <v>270</v>
      </c>
      <c r="B105" s="4" t="s">
        <v>7</v>
      </c>
      <c r="C105" s="4">
        <v>6.6</v>
      </c>
    </row>
    <row r="106" spans="1:3" x14ac:dyDescent="0.3">
      <c r="A106" s="3" t="s">
        <v>272</v>
      </c>
      <c r="B106" s="3" t="s">
        <v>7</v>
      </c>
      <c r="C106" s="3">
        <v>6.1</v>
      </c>
    </row>
    <row r="107" spans="1:3" x14ac:dyDescent="0.3">
      <c r="A107" s="4" t="s">
        <v>274</v>
      </c>
      <c r="B107" s="4" t="s">
        <v>7</v>
      </c>
      <c r="C107" s="4">
        <v>5.6</v>
      </c>
    </row>
    <row r="108" spans="1:3" x14ac:dyDescent="0.3">
      <c r="A108" s="3" t="s">
        <v>277</v>
      </c>
      <c r="B108" s="3" t="s">
        <v>7</v>
      </c>
      <c r="C108" s="3">
        <v>6.4</v>
      </c>
    </row>
    <row r="109" spans="1:3" x14ac:dyDescent="0.3">
      <c r="A109" s="4" t="s">
        <v>279</v>
      </c>
      <c r="B109" s="4" t="s">
        <v>7</v>
      </c>
      <c r="C109" s="4">
        <v>6.1</v>
      </c>
    </row>
    <row r="110" spans="1:3" x14ac:dyDescent="0.3">
      <c r="A110" s="3" t="s">
        <v>282</v>
      </c>
      <c r="B110" s="3" t="s">
        <v>7</v>
      </c>
      <c r="C110" s="3">
        <v>7.3</v>
      </c>
    </row>
    <row r="111" spans="1:3" x14ac:dyDescent="0.3">
      <c r="A111" s="4" t="s">
        <v>285</v>
      </c>
      <c r="B111" s="4" t="s">
        <v>7</v>
      </c>
      <c r="C111" s="4">
        <v>6.6</v>
      </c>
    </row>
    <row r="112" spans="1:3" x14ac:dyDescent="0.3">
      <c r="A112" s="3" t="s">
        <v>287</v>
      </c>
      <c r="B112" s="3" t="s">
        <v>7</v>
      </c>
      <c r="C112" s="3">
        <v>6.3</v>
      </c>
    </row>
    <row r="113" spans="1:3" x14ac:dyDescent="0.3">
      <c r="A113" s="4" t="s">
        <v>290</v>
      </c>
      <c r="B113" s="4" t="s">
        <v>7</v>
      </c>
      <c r="C113" s="4">
        <v>6.1</v>
      </c>
    </row>
    <row r="114" spans="1:3" x14ac:dyDescent="0.3">
      <c r="A114" s="3" t="s">
        <v>293</v>
      </c>
      <c r="B114" s="3" t="s">
        <v>7</v>
      </c>
      <c r="C114" s="3">
        <v>7.1</v>
      </c>
    </row>
    <row r="115" spans="1:3" x14ac:dyDescent="0.3">
      <c r="A115" s="4" t="s">
        <v>296</v>
      </c>
      <c r="B115" s="4" t="s">
        <v>7</v>
      </c>
      <c r="C115" s="4">
        <v>5.5</v>
      </c>
    </row>
    <row r="116" spans="1:3" x14ac:dyDescent="0.3">
      <c r="A116" s="3" t="s">
        <v>299</v>
      </c>
      <c r="B116" s="3" t="s">
        <v>7</v>
      </c>
      <c r="C116" s="3">
        <v>7.5</v>
      </c>
    </row>
    <row r="117" spans="1:3" x14ac:dyDescent="0.3">
      <c r="A117" s="4" t="s">
        <v>301</v>
      </c>
      <c r="B117" s="4" t="s">
        <v>7</v>
      </c>
      <c r="C117" s="4">
        <v>7.6</v>
      </c>
    </row>
    <row r="118" spans="1:3" x14ac:dyDescent="0.3">
      <c r="A118" s="3" t="s">
        <v>304</v>
      </c>
      <c r="B118" s="3" t="s">
        <v>7</v>
      </c>
      <c r="C118" s="3">
        <v>6.4</v>
      </c>
    </row>
    <row r="119" spans="1:3" x14ac:dyDescent="0.3">
      <c r="A119" s="4" t="s">
        <v>306</v>
      </c>
      <c r="B119" s="4" t="s">
        <v>7</v>
      </c>
      <c r="C119" s="4">
        <v>7.2</v>
      </c>
    </row>
    <row r="120" spans="1:3" x14ac:dyDescent="0.3">
      <c r="A120" s="3" t="s">
        <v>308</v>
      </c>
      <c r="B120" s="3" t="s">
        <v>7</v>
      </c>
      <c r="C120" s="3">
        <v>6.7</v>
      </c>
    </row>
    <row r="121" spans="1:3" x14ac:dyDescent="0.3">
      <c r="A121" s="4" t="s">
        <v>310</v>
      </c>
      <c r="B121" s="4" t="s">
        <v>7</v>
      </c>
      <c r="C121" s="4">
        <v>8</v>
      </c>
    </row>
    <row r="122" spans="1:3" x14ac:dyDescent="0.3">
      <c r="A122" s="3" t="s">
        <v>313</v>
      </c>
      <c r="B122" s="3" t="s">
        <v>7</v>
      </c>
      <c r="C122" s="3">
        <v>8.3000000000000007</v>
      </c>
    </row>
    <row r="123" spans="1:3" x14ac:dyDescent="0.3">
      <c r="A123" s="4" t="s">
        <v>315</v>
      </c>
      <c r="B123" s="4" t="s">
        <v>7</v>
      </c>
      <c r="C123" s="4">
        <v>6.7</v>
      </c>
    </row>
    <row r="124" spans="1:3" x14ac:dyDescent="0.3">
      <c r="A124" s="3" t="s">
        <v>317</v>
      </c>
      <c r="B124" s="3" t="s">
        <v>7</v>
      </c>
      <c r="C124" s="3">
        <v>5.9</v>
      </c>
    </row>
    <row r="125" spans="1:3" x14ac:dyDescent="0.3">
      <c r="A125" s="4" t="s">
        <v>319</v>
      </c>
      <c r="B125" s="4" t="s">
        <v>7</v>
      </c>
      <c r="C125" s="4">
        <v>6.7</v>
      </c>
    </row>
    <row r="126" spans="1:3" x14ac:dyDescent="0.3">
      <c r="A126" s="3" t="s">
        <v>322</v>
      </c>
      <c r="B126" s="3" t="s">
        <v>7</v>
      </c>
      <c r="C126" s="3">
        <v>6.7</v>
      </c>
    </row>
    <row r="127" spans="1:3" x14ac:dyDescent="0.3">
      <c r="A127" s="4" t="s">
        <v>324</v>
      </c>
      <c r="B127" s="4" t="s">
        <v>7</v>
      </c>
      <c r="C127" s="4">
        <v>7.6</v>
      </c>
    </row>
    <row r="128" spans="1:3" x14ac:dyDescent="0.3">
      <c r="A128" s="3" t="s">
        <v>327</v>
      </c>
      <c r="B128" s="3" t="s">
        <v>7</v>
      </c>
      <c r="C128" s="3">
        <v>7.2</v>
      </c>
    </row>
    <row r="129" spans="1:3" x14ac:dyDescent="0.3">
      <c r="A129" s="4" t="s">
        <v>330</v>
      </c>
      <c r="B129" s="4" t="s">
        <v>7</v>
      </c>
      <c r="C129" s="4">
        <v>7.1</v>
      </c>
    </row>
    <row r="130" spans="1:3" x14ac:dyDescent="0.3">
      <c r="A130" s="3" t="s">
        <v>332</v>
      </c>
      <c r="B130" s="3" t="s">
        <v>7</v>
      </c>
      <c r="C130" s="3">
        <v>8.1</v>
      </c>
    </row>
    <row r="131" spans="1:3" x14ac:dyDescent="0.3">
      <c r="A131" s="4" t="s">
        <v>335</v>
      </c>
      <c r="B131" s="4" t="s">
        <v>7</v>
      </c>
      <c r="C131" s="4">
        <v>6.7</v>
      </c>
    </row>
    <row r="132" spans="1:3" x14ac:dyDescent="0.3">
      <c r="A132" s="3" t="s">
        <v>337</v>
      </c>
      <c r="B132" s="3" t="s">
        <v>7</v>
      </c>
      <c r="C132" s="3">
        <v>7</v>
      </c>
    </row>
    <row r="133" spans="1:3" x14ac:dyDescent="0.3">
      <c r="A133" s="4" t="s">
        <v>341</v>
      </c>
      <c r="B133" s="4" t="s">
        <v>7</v>
      </c>
      <c r="C133" s="4">
        <v>6.9</v>
      </c>
    </row>
    <row r="134" spans="1:3" x14ac:dyDescent="0.3">
      <c r="A134" s="3" t="s">
        <v>343</v>
      </c>
      <c r="B134" s="3" t="s">
        <v>7</v>
      </c>
      <c r="C134" s="3">
        <v>5.0999999999999996</v>
      </c>
    </row>
    <row r="135" spans="1:3" x14ac:dyDescent="0.3">
      <c r="A135" s="4" t="s">
        <v>345</v>
      </c>
      <c r="B135" s="4" t="s">
        <v>7</v>
      </c>
      <c r="C135" s="4">
        <v>5.8</v>
      </c>
    </row>
    <row r="136" spans="1:3" x14ac:dyDescent="0.3">
      <c r="A136" s="3" t="s">
        <v>347</v>
      </c>
      <c r="B136" s="3" t="s">
        <v>7</v>
      </c>
      <c r="C136" s="3">
        <v>6.2</v>
      </c>
    </row>
    <row r="137" spans="1:3" x14ac:dyDescent="0.3">
      <c r="A137" s="4" t="s">
        <v>349</v>
      </c>
      <c r="B137" s="4" t="s">
        <v>7</v>
      </c>
      <c r="C137" s="4">
        <v>7.4</v>
      </c>
    </row>
    <row r="138" spans="1:3" x14ac:dyDescent="0.3">
      <c r="A138" s="3" t="s">
        <v>352</v>
      </c>
      <c r="B138" s="3" t="s">
        <v>7</v>
      </c>
      <c r="C138" s="3">
        <v>5.8</v>
      </c>
    </row>
    <row r="139" spans="1:3" x14ac:dyDescent="0.3">
      <c r="A139" s="4" t="s">
        <v>354</v>
      </c>
      <c r="B139" s="4" t="s">
        <v>7</v>
      </c>
      <c r="C139" s="4">
        <v>6.6</v>
      </c>
    </row>
    <row r="140" spans="1:3" x14ac:dyDescent="0.3">
      <c r="A140" s="3" t="s">
        <v>356</v>
      </c>
      <c r="B140" s="3" t="s">
        <v>7</v>
      </c>
      <c r="C140" s="3">
        <v>6.2</v>
      </c>
    </row>
    <row r="141" spans="1:3" x14ac:dyDescent="0.3">
      <c r="A141" s="4" t="s">
        <v>358</v>
      </c>
      <c r="B141" s="4" t="s">
        <v>7</v>
      </c>
      <c r="C141" s="4">
        <v>7.3</v>
      </c>
    </row>
    <row r="142" spans="1:3" x14ac:dyDescent="0.3">
      <c r="A142" s="3" t="s">
        <v>360</v>
      </c>
      <c r="B142" s="3" t="s">
        <v>7</v>
      </c>
      <c r="C142" s="3">
        <v>4.2</v>
      </c>
    </row>
    <row r="143" spans="1:3" x14ac:dyDescent="0.3">
      <c r="A143" s="4" t="s">
        <v>363</v>
      </c>
      <c r="B143" s="4" t="s">
        <v>7</v>
      </c>
      <c r="C143" s="4">
        <v>6.9</v>
      </c>
    </row>
    <row r="144" spans="1:3" x14ac:dyDescent="0.3">
      <c r="A144" s="3" t="s">
        <v>365</v>
      </c>
      <c r="B144" s="3" t="s">
        <v>7</v>
      </c>
      <c r="C144" s="3">
        <v>6.4</v>
      </c>
    </row>
    <row r="145" spans="1:3" x14ac:dyDescent="0.3">
      <c r="A145" s="4" t="s">
        <v>367</v>
      </c>
      <c r="B145" s="4" t="s">
        <v>7</v>
      </c>
      <c r="C145" s="4">
        <v>5.4</v>
      </c>
    </row>
    <row r="146" spans="1:3" x14ac:dyDescent="0.3">
      <c r="A146" s="3" t="s">
        <v>370</v>
      </c>
      <c r="B146" s="3" t="s">
        <v>7</v>
      </c>
      <c r="C146" s="3">
        <v>6.7</v>
      </c>
    </row>
    <row r="147" spans="1:3" x14ac:dyDescent="0.3">
      <c r="A147" s="4" t="s">
        <v>372</v>
      </c>
      <c r="B147" s="4" t="s">
        <v>7</v>
      </c>
      <c r="C147" s="4">
        <v>5.8</v>
      </c>
    </row>
    <row r="148" spans="1:3" x14ac:dyDescent="0.3">
      <c r="A148" s="3" t="s">
        <v>375</v>
      </c>
      <c r="B148" s="3" t="s">
        <v>7</v>
      </c>
      <c r="C148" s="3">
        <v>6.9</v>
      </c>
    </row>
    <row r="149" spans="1:3" x14ac:dyDescent="0.3">
      <c r="A149" s="4" t="s">
        <v>378</v>
      </c>
      <c r="B149" s="4" t="s">
        <v>7</v>
      </c>
      <c r="C149" s="4">
        <v>7.2</v>
      </c>
    </row>
    <row r="150" spans="1:3" x14ac:dyDescent="0.3">
      <c r="A150" s="3" t="s">
        <v>380</v>
      </c>
      <c r="B150" s="3" t="s">
        <v>7</v>
      </c>
      <c r="C150" s="3">
        <v>6.9</v>
      </c>
    </row>
    <row r="151" spans="1:3" x14ac:dyDescent="0.3">
      <c r="A151" s="4" t="s">
        <v>382</v>
      </c>
      <c r="B151" s="4" t="s">
        <v>7</v>
      </c>
      <c r="C151" s="4">
        <v>6.1</v>
      </c>
    </row>
    <row r="152" spans="1:3" x14ac:dyDescent="0.3">
      <c r="A152" s="3" t="s">
        <v>384</v>
      </c>
      <c r="B152" s="3" t="s">
        <v>7</v>
      </c>
      <c r="C152" s="3">
        <v>5.5</v>
      </c>
    </row>
    <row r="153" spans="1:3" x14ac:dyDescent="0.3">
      <c r="A153" s="4" t="s">
        <v>387</v>
      </c>
      <c r="B153" s="4" t="s">
        <v>7</v>
      </c>
      <c r="C153" s="4">
        <v>6.6</v>
      </c>
    </row>
    <row r="154" spans="1:3" x14ac:dyDescent="0.3">
      <c r="A154" s="3" t="s">
        <v>390</v>
      </c>
      <c r="B154" s="3" t="s">
        <v>7</v>
      </c>
      <c r="C154" s="3">
        <v>6.1</v>
      </c>
    </row>
    <row r="155" spans="1:3" x14ac:dyDescent="0.3">
      <c r="A155" s="4" t="s">
        <v>393</v>
      </c>
      <c r="B155" s="4" t="s">
        <v>7</v>
      </c>
      <c r="C155" s="4">
        <v>6.3</v>
      </c>
    </row>
    <row r="156" spans="1:3" x14ac:dyDescent="0.3">
      <c r="A156" s="3" t="s">
        <v>395</v>
      </c>
      <c r="B156" s="3" t="s">
        <v>7</v>
      </c>
      <c r="C156" s="3">
        <v>7.2</v>
      </c>
    </row>
    <row r="157" spans="1:3" x14ac:dyDescent="0.3">
      <c r="A157" s="4" t="s">
        <v>397</v>
      </c>
      <c r="B157" s="4" t="s">
        <v>7</v>
      </c>
      <c r="C157" s="4">
        <v>7.4</v>
      </c>
    </row>
    <row r="158" spans="1:3" x14ac:dyDescent="0.3">
      <c r="A158" s="3" t="s">
        <v>400</v>
      </c>
      <c r="B158" s="3" t="s">
        <v>7</v>
      </c>
      <c r="C158" s="3">
        <v>7.3</v>
      </c>
    </row>
    <row r="159" spans="1:3" x14ac:dyDescent="0.3">
      <c r="A159" s="4" t="s">
        <v>402</v>
      </c>
      <c r="B159" s="4" t="s">
        <v>7</v>
      </c>
      <c r="C159" s="4">
        <v>6.1</v>
      </c>
    </row>
    <row r="160" spans="1:3" x14ac:dyDescent="0.3">
      <c r="A160" s="3" t="s">
        <v>404</v>
      </c>
      <c r="B160" s="3" t="s">
        <v>7</v>
      </c>
      <c r="C160" s="3">
        <v>7.7</v>
      </c>
    </row>
    <row r="161" spans="1:3" x14ac:dyDescent="0.3">
      <c r="A161" s="4" t="s">
        <v>407</v>
      </c>
      <c r="B161" s="4" t="s">
        <v>7</v>
      </c>
      <c r="C161" s="4">
        <v>6.1</v>
      </c>
    </row>
    <row r="162" spans="1:3" x14ac:dyDescent="0.3">
      <c r="A162" s="3" t="s">
        <v>409</v>
      </c>
      <c r="B162" s="3" t="s">
        <v>7</v>
      </c>
      <c r="C162" s="3">
        <v>8</v>
      </c>
    </row>
    <row r="163" spans="1:3" x14ac:dyDescent="0.3">
      <c r="A163" s="4" t="s">
        <v>411</v>
      </c>
      <c r="B163" s="4" t="s">
        <v>7</v>
      </c>
      <c r="C163" s="4">
        <v>7.3</v>
      </c>
    </row>
    <row r="164" spans="1:3" x14ac:dyDescent="0.3">
      <c r="A164" s="3" t="s">
        <v>413</v>
      </c>
      <c r="B164" s="3" t="s">
        <v>7</v>
      </c>
      <c r="C164" s="3">
        <v>7.9</v>
      </c>
    </row>
    <row r="165" spans="1:3" x14ac:dyDescent="0.3">
      <c r="A165" s="4" t="s">
        <v>416</v>
      </c>
      <c r="B165" s="4" t="s">
        <v>7</v>
      </c>
      <c r="C165" s="4">
        <v>5.5</v>
      </c>
    </row>
    <row r="166" spans="1:3" x14ac:dyDescent="0.3">
      <c r="A166" s="3" t="s">
        <v>419</v>
      </c>
      <c r="B166" s="3" t="s">
        <v>7</v>
      </c>
      <c r="C166" s="3">
        <v>5</v>
      </c>
    </row>
    <row r="167" spans="1:3" x14ac:dyDescent="0.3">
      <c r="A167" s="4" t="s">
        <v>421</v>
      </c>
      <c r="B167" s="4" t="s">
        <v>7</v>
      </c>
      <c r="C167" s="4">
        <v>7.7</v>
      </c>
    </row>
    <row r="168" spans="1:3" x14ac:dyDescent="0.3">
      <c r="A168" s="3" t="s">
        <v>423</v>
      </c>
      <c r="B168" s="3" t="s">
        <v>7</v>
      </c>
      <c r="C168" s="3">
        <v>6.6</v>
      </c>
    </row>
    <row r="169" spans="1:3" x14ac:dyDescent="0.3">
      <c r="A169" s="4" t="s">
        <v>426</v>
      </c>
      <c r="B169" s="4" t="s">
        <v>7</v>
      </c>
      <c r="C169" s="4">
        <v>5.7</v>
      </c>
    </row>
    <row r="170" spans="1:3" x14ac:dyDescent="0.3">
      <c r="A170" s="3" t="s">
        <v>429</v>
      </c>
      <c r="B170" s="3" t="s">
        <v>7</v>
      </c>
      <c r="C170" s="3">
        <v>5.8</v>
      </c>
    </row>
    <row r="171" spans="1:3" x14ac:dyDescent="0.3">
      <c r="A171" s="4" t="s">
        <v>432</v>
      </c>
      <c r="B171" s="4" t="s">
        <v>7</v>
      </c>
      <c r="C171" s="4">
        <v>6</v>
      </c>
    </row>
    <row r="172" spans="1:3" x14ac:dyDescent="0.3">
      <c r="A172" s="3" t="s">
        <v>434</v>
      </c>
      <c r="B172" s="3" t="s">
        <v>7</v>
      </c>
      <c r="C172" s="3">
        <v>6.4</v>
      </c>
    </row>
    <row r="173" spans="1:3" x14ac:dyDescent="0.3">
      <c r="A173" s="4" t="s">
        <v>437</v>
      </c>
      <c r="B173" s="4" t="s">
        <v>7</v>
      </c>
      <c r="C173" s="4">
        <v>6.9</v>
      </c>
    </row>
    <row r="174" spans="1:3" x14ac:dyDescent="0.3">
      <c r="A174" s="3" t="s">
        <v>440</v>
      </c>
      <c r="B174" s="3" t="s">
        <v>7</v>
      </c>
      <c r="C174" s="3">
        <v>6.4</v>
      </c>
    </row>
    <row r="175" spans="1:3" x14ac:dyDescent="0.3">
      <c r="A175" s="4" t="s">
        <v>442</v>
      </c>
      <c r="B175" s="4" t="s">
        <v>7</v>
      </c>
      <c r="C175" s="4">
        <v>7.4</v>
      </c>
    </row>
    <row r="176" spans="1:3" x14ac:dyDescent="0.3">
      <c r="A176" s="3" t="s">
        <v>445</v>
      </c>
      <c r="B176" s="3" t="s">
        <v>7</v>
      </c>
      <c r="C176" s="3">
        <v>5.5</v>
      </c>
    </row>
    <row r="177" spans="1:3" x14ac:dyDescent="0.3">
      <c r="A177" s="4" t="s">
        <v>447</v>
      </c>
      <c r="B177" s="4" t="s">
        <v>7</v>
      </c>
      <c r="C177" s="4">
        <v>5.9</v>
      </c>
    </row>
    <row r="178" spans="1:3" x14ac:dyDescent="0.3">
      <c r="A178" s="3" t="s">
        <v>450</v>
      </c>
      <c r="B178" s="3" t="s">
        <v>7</v>
      </c>
      <c r="C178" s="3">
        <v>6.8</v>
      </c>
    </row>
    <row r="179" spans="1:3" x14ac:dyDescent="0.3">
      <c r="A179" s="4" t="s">
        <v>452</v>
      </c>
      <c r="B179" s="4" t="s">
        <v>7</v>
      </c>
      <c r="C179" s="4">
        <v>6.8</v>
      </c>
    </row>
    <row r="180" spans="1:3" x14ac:dyDescent="0.3">
      <c r="A180" s="3" t="s">
        <v>455</v>
      </c>
      <c r="B180" s="3" t="s">
        <v>7</v>
      </c>
      <c r="C180" s="3">
        <v>8.1</v>
      </c>
    </row>
    <row r="181" spans="1:3" x14ac:dyDescent="0.3">
      <c r="A181" s="4" t="s">
        <v>458</v>
      </c>
      <c r="B181" s="4" t="s">
        <v>7</v>
      </c>
      <c r="C181" s="4">
        <v>6.5</v>
      </c>
    </row>
    <row r="182" spans="1:3" x14ac:dyDescent="0.3">
      <c r="A182" s="3" t="s">
        <v>460</v>
      </c>
      <c r="B182" s="3" t="s">
        <v>7</v>
      </c>
      <c r="C182" s="3">
        <v>7.2</v>
      </c>
    </row>
    <row r="183" spans="1:3" x14ac:dyDescent="0.3">
      <c r="A183" s="4" t="s">
        <v>462</v>
      </c>
      <c r="B183" s="4" t="s">
        <v>7</v>
      </c>
      <c r="C183" s="4">
        <v>6.7</v>
      </c>
    </row>
    <row r="184" spans="1:3" x14ac:dyDescent="0.3">
      <c r="A184" s="3" t="s">
        <v>464</v>
      </c>
      <c r="B184" s="3" t="s">
        <v>7</v>
      </c>
      <c r="C184" s="3">
        <v>8.1</v>
      </c>
    </row>
    <row r="185" spans="1:3" x14ac:dyDescent="0.3">
      <c r="A185" s="4" t="s">
        <v>467</v>
      </c>
      <c r="B185" s="4" t="s">
        <v>7</v>
      </c>
      <c r="C185" s="4">
        <v>7.6</v>
      </c>
    </row>
    <row r="186" spans="1:3" x14ac:dyDescent="0.3">
      <c r="A186" s="3" t="s">
        <v>469</v>
      </c>
      <c r="B186" s="3" t="s">
        <v>7</v>
      </c>
      <c r="C186" s="3">
        <v>7.4</v>
      </c>
    </row>
    <row r="187" spans="1:3" x14ac:dyDescent="0.3">
      <c r="A187" s="4" t="s">
        <v>472</v>
      </c>
      <c r="B187" s="4" t="s">
        <v>7</v>
      </c>
      <c r="C187" s="4">
        <v>7.6</v>
      </c>
    </row>
    <row r="188" spans="1:3" x14ac:dyDescent="0.3">
      <c r="A188" s="3" t="s">
        <v>474</v>
      </c>
      <c r="B188" s="3" t="s">
        <v>7</v>
      </c>
      <c r="C188" s="3">
        <v>5.5</v>
      </c>
    </row>
    <row r="189" spans="1:3" x14ac:dyDescent="0.3">
      <c r="A189" s="4" t="s">
        <v>477</v>
      </c>
      <c r="B189" s="4" t="s">
        <v>7</v>
      </c>
      <c r="C189" s="4">
        <v>6.7</v>
      </c>
    </row>
    <row r="190" spans="1:3" x14ac:dyDescent="0.3">
      <c r="A190" s="3" t="s">
        <v>479</v>
      </c>
      <c r="B190" s="3" t="s">
        <v>7</v>
      </c>
      <c r="C190" s="3">
        <v>6.5</v>
      </c>
    </row>
    <row r="191" spans="1:3" x14ac:dyDescent="0.3">
      <c r="A191" s="4" t="s">
        <v>482</v>
      </c>
      <c r="B191" s="4" t="s">
        <v>7</v>
      </c>
      <c r="C191" s="4">
        <v>6.6</v>
      </c>
    </row>
    <row r="192" spans="1:3" x14ac:dyDescent="0.3">
      <c r="A192" s="3" t="s">
        <v>485</v>
      </c>
      <c r="B192" s="3" t="s">
        <v>7</v>
      </c>
      <c r="C192" s="3">
        <v>6.7</v>
      </c>
    </row>
    <row r="193" spans="1:3" x14ac:dyDescent="0.3">
      <c r="A193" s="4" t="s">
        <v>488</v>
      </c>
      <c r="B193" s="4" t="s">
        <v>7</v>
      </c>
      <c r="C193" s="4">
        <v>6.4</v>
      </c>
    </row>
    <row r="194" spans="1:3" x14ac:dyDescent="0.3">
      <c r="A194" s="3" t="s">
        <v>490</v>
      </c>
      <c r="B194" s="3" t="s">
        <v>7</v>
      </c>
      <c r="C194" s="3">
        <v>5.8</v>
      </c>
    </row>
    <row r="195" spans="1:3" x14ac:dyDescent="0.3">
      <c r="A195" s="4" t="s">
        <v>493</v>
      </c>
      <c r="B195" s="4" t="s">
        <v>7</v>
      </c>
      <c r="C195" s="4">
        <v>7.4</v>
      </c>
    </row>
    <row r="196" spans="1:3" x14ac:dyDescent="0.3">
      <c r="A196" s="3" t="s">
        <v>495</v>
      </c>
      <c r="B196" s="3" t="s">
        <v>7</v>
      </c>
      <c r="C196" s="3">
        <v>7.8</v>
      </c>
    </row>
    <row r="197" spans="1:3" x14ac:dyDescent="0.3">
      <c r="A197" s="4" t="s">
        <v>498</v>
      </c>
      <c r="B197" s="4" t="s">
        <v>7</v>
      </c>
      <c r="C197" s="4">
        <v>6.6</v>
      </c>
    </row>
    <row r="198" spans="1:3" x14ac:dyDescent="0.3">
      <c r="A198" s="3" t="s">
        <v>500</v>
      </c>
      <c r="B198" s="3" t="s">
        <v>7</v>
      </c>
      <c r="C198" s="3">
        <v>4.9000000000000004</v>
      </c>
    </row>
    <row r="199" spans="1:3" x14ac:dyDescent="0.3">
      <c r="A199" s="4" t="s">
        <v>503</v>
      </c>
      <c r="B199" s="4" t="s">
        <v>7</v>
      </c>
      <c r="C199" s="4">
        <v>6.5</v>
      </c>
    </row>
    <row r="200" spans="1:3" x14ac:dyDescent="0.3">
      <c r="A200" s="3" t="s">
        <v>505</v>
      </c>
      <c r="B200" s="3" t="s">
        <v>7</v>
      </c>
      <c r="C200" s="3">
        <v>7.5</v>
      </c>
    </row>
    <row r="201" spans="1:3" x14ac:dyDescent="0.3">
      <c r="A201" s="4" t="s">
        <v>507</v>
      </c>
      <c r="B201" s="4" t="s">
        <v>7</v>
      </c>
      <c r="C201" s="4">
        <v>6.2</v>
      </c>
    </row>
    <row r="202" spans="1:3" x14ac:dyDescent="0.3">
      <c r="A202" s="3" t="s">
        <v>510</v>
      </c>
      <c r="B202" s="3" t="s">
        <v>7</v>
      </c>
      <c r="C202" s="3">
        <v>7.3</v>
      </c>
    </row>
    <row r="203" spans="1:3" x14ac:dyDescent="0.3">
      <c r="A203" s="4" t="s">
        <v>512</v>
      </c>
      <c r="B203" s="4" t="s">
        <v>7</v>
      </c>
      <c r="C203" s="4">
        <v>7.5</v>
      </c>
    </row>
    <row r="204" spans="1:3" x14ac:dyDescent="0.3">
      <c r="A204" s="3" t="s">
        <v>514</v>
      </c>
      <c r="B204" s="3" t="s">
        <v>7</v>
      </c>
      <c r="C204" s="3">
        <v>5.6</v>
      </c>
    </row>
    <row r="205" spans="1:3" x14ac:dyDescent="0.3">
      <c r="A205" s="4" t="s">
        <v>517</v>
      </c>
      <c r="B205" s="4" t="s">
        <v>7</v>
      </c>
      <c r="C205" s="4">
        <v>8.1999999999999993</v>
      </c>
    </row>
    <row r="206" spans="1:3" x14ac:dyDescent="0.3">
      <c r="A206" s="3" t="s">
        <v>519</v>
      </c>
      <c r="B206" s="3" t="s">
        <v>7</v>
      </c>
      <c r="C206" s="3">
        <v>8.1</v>
      </c>
    </row>
    <row r="207" spans="1:3" x14ac:dyDescent="0.3">
      <c r="A207" s="4" t="s">
        <v>522</v>
      </c>
      <c r="B207" s="4" t="s">
        <v>7</v>
      </c>
      <c r="C207" s="4">
        <v>6.4</v>
      </c>
    </row>
    <row r="208" spans="1:3" x14ac:dyDescent="0.3">
      <c r="A208" s="3" t="s">
        <v>524</v>
      </c>
      <c r="B208" s="3" t="s">
        <v>7</v>
      </c>
      <c r="C208" s="3">
        <v>6.7</v>
      </c>
    </row>
    <row r="209" spans="1:3" x14ac:dyDescent="0.3">
      <c r="A209" s="4" t="s">
        <v>526</v>
      </c>
      <c r="B209" s="4" t="s">
        <v>7</v>
      </c>
      <c r="C209" s="4">
        <v>6.6</v>
      </c>
    </row>
    <row r="210" spans="1:3" x14ac:dyDescent="0.3">
      <c r="A210" s="3" t="s">
        <v>528</v>
      </c>
      <c r="B210" s="3" t="s">
        <v>7</v>
      </c>
      <c r="C210" s="3">
        <v>6.4</v>
      </c>
    </row>
    <row r="211" spans="1:3" x14ac:dyDescent="0.3">
      <c r="A211" s="4" t="s">
        <v>530</v>
      </c>
      <c r="B211" s="4" t="s">
        <v>7</v>
      </c>
      <c r="C211" s="4">
        <v>7.5</v>
      </c>
    </row>
    <row r="212" spans="1:3" x14ac:dyDescent="0.3">
      <c r="A212" s="3" t="s">
        <v>532</v>
      </c>
      <c r="B212" s="3" t="s">
        <v>7</v>
      </c>
      <c r="C212" s="3">
        <v>7.3</v>
      </c>
    </row>
    <row r="213" spans="1:3" x14ac:dyDescent="0.3">
      <c r="A213" s="4" t="s">
        <v>535</v>
      </c>
      <c r="B213" s="4" t="s">
        <v>7</v>
      </c>
      <c r="C213" s="4">
        <v>7.5</v>
      </c>
    </row>
    <row r="214" spans="1:3" x14ac:dyDescent="0.3">
      <c r="A214" s="3" t="s">
        <v>538</v>
      </c>
      <c r="B214" s="3" t="s">
        <v>7</v>
      </c>
      <c r="C214" s="3">
        <v>5.8</v>
      </c>
    </row>
    <row r="215" spans="1:3" x14ac:dyDescent="0.3">
      <c r="A215" s="4" t="s">
        <v>540</v>
      </c>
      <c r="B215" s="4" t="s">
        <v>7</v>
      </c>
      <c r="C215" s="4">
        <v>7.5</v>
      </c>
    </row>
    <row r="216" spans="1:3" x14ac:dyDescent="0.3">
      <c r="A216" s="3" t="s">
        <v>543</v>
      </c>
      <c r="B216" s="3" t="s">
        <v>7</v>
      </c>
      <c r="C216" s="3">
        <v>6.6</v>
      </c>
    </row>
    <row r="217" spans="1:3" x14ac:dyDescent="0.3">
      <c r="A217" s="4" t="s">
        <v>546</v>
      </c>
      <c r="B217" s="4" t="s">
        <v>7</v>
      </c>
      <c r="C217" s="4">
        <v>6.7</v>
      </c>
    </row>
    <row r="218" spans="1:3" x14ac:dyDescent="0.3">
      <c r="A218" s="3" t="s">
        <v>548</v>
      </c>
      <c r="B218" s="3" t="s">
        <v>7</v>
      </c>
      <c r="C218" s="3">
        <v>3.7</v>
      </c>
    </row>
    <row r="219" spans="1:3" x14ac:dyDescent="0.3">
      <c r="A219" s="4" t="s">
        <v>551</v>
      </c>
      <c r="B219" s="4" t="s">
        <v>7</v>
      </c>
      <c r="C219" s="4">
        <v>6</v>
      </c>
    </row>
    <row r="220" spans="1:3" x14ac:dyDescent="0.3">
      <c r="A220" s="3" t="s">
        <v>553</v>
      </c>
      <c r="B220" s="3" t="s">
        <v>7</v>
      </c>
      <c r="C220" s="3">
        <v>6.4</v>
      </c>
    </row>
    <row r="221" spans="1:3" x14ac:dyDescent="0.3">
      <c r="A221" s="4" t="s">
        <v>556</v>
      </c>
      <c r="B221" s="4" t="s">
        <v>7</v>
      </c>
      <c r="C221" s="4">
        <v>6.1</v>
      </c>
    </row>
    <row r="222" spans="1:3" x14ac:dyDescent="0.3">
      <c r="A222" s="3" t="s">
        <v>559</v>
      </c>
      <c r="B222" s="3" t="s">
        <v>7</v>
      </c>
      <c r="C222" s="3">
        <v>6.4</v>
      </c>
    </row>
    <row r="223" spans="1:3" x14ac:dyDescent="0.3">
      <c r="A223" s="4" t="s">
        <v>562</v>
      </c>
      <c r="B223" s="4" t="s">
        <v>7</v>
      </c>
      <c r="C223" s="4">
        <v>5.6</v>
      </c>
    </row>
    <row r="224" spans="1:3" x14ac:dyDescent="0.3">
      <c r="A224" s="3" t="s">
        <v>565</v>
      </c>
      <c r="B224" s="3" t="s">
        <v>7</v>
      </c>
      <c r="C224" s="3">
        <v>8</v>
      </c>
    </row>
    <row r="225" spans="1:3" x14ac:dyDescent="0.3">
      <c r="A225" s="4" t="s">
        <v>568</v>
      </c>
      <c r="B225" s="4" t="s">
        <v>7</v>
      </c>
      <c r="C225" s="4">
        <v>5.2</v>
      </c>
    </row>
    <row r="226" spans="1:3" x14ac:dyDescent="0.3">
      <c r="A226" s="3" t="s">
        <v>570</v>
      </c>
      <c r="B226" s="3" t="s">
        <v>7</v>
      </c>
      <c r="C226" s="3">
        <v>7.1</v>
      </c>
    </row>
    <row r="227" spans="1:3" x14ac:dyDescent="0.3">
      <c r="A227" s="4" t="s">
        <v>572</v>
      </c>
      <c r="B227" s="4" t="s">
        <v>7</v>
      </c>
      <c r="C227" s="4">
        <v>4.8</v>
      </c>
    </row>
    <row r="228" spans="1:3" x14ac:dyDescent="0.3">
      <c r="A228" s="3" t="s">
        <v>574</v>
      </c>
      <c r="B228" s="3" t="s">
        <v>7</v>
      </c>
      <c r="C228" s="3">
        <v>7</v>
      </c>
    </row>
    <row r="229" spans="1:3" x14ac:dyDescent="0.3">
      <c r="A229" s="4" t="s">
        <v>576</v>
      </c>
      <c r="B229" s="4" t="s">
        <v>7</v>
      </c>
      <c r="C229" s="4">
        <v>5.4</v>
      </c>
    </row>
    <row r="230" spans="1:3" x14ac:dyDescent="0.3">
      <c r="A230" s="3" t="s">
        <v>578</v>
      </c>
      <c r="B230" s="3" t="s">
        <v>7</v>
      </c>
      <c r="C230" s="3">
        <v>6.6</v>
      </c>
    </row>
    <row r="231" spans="1:3" x14ac:dyDescent="0.3">
      <c r="A231" s="4" t="s">
        <v>580</v>
      </c>
      <c r="B231" s="4" t="s">
        <v>7</v>
      </c>
      <c r="C231" s="4">
        <v>6.7</v>
      </c>
    </row>
    <row r="232" spans="1:3" x14ac:dyDescent="0.3">
      <c r="A232" s="3" t="s">
        <v>585</v>
      </c>
      <c r="B232" s="3" t="s">
        <v>7</v>
      </c>
      <c r="C232" s="3">
        <v>6.2</v>
      </c>
    </row>
    <row r="233" spans="1:3" x14ac:dyDescent="0.3">
      <c r="A233" s="4" t="s">
        <v>587</v>
      </c>
      <c r="B233" s="4" t="s">
        <v>7</v>
      </c>
      <c r="C233" s="4">
        <v>6.1</v>
      </c>
    </row>
    <row r="234" spans="1:3" x14ac:dyDescent="0.3">
      <c r="A234" s="3" t="s">
        <v>589</v>
      </c>
      <c r="B234" s="3" t="s">
        <v>7</v>
      </c>
      <c r="C234" s="3">
        <v>5.3</v>
      </c>
    </row>
    <row r="235" spans="1:3" x14ac:dyDescent="0.3">
      <c r="A235" s="4" t="s">
        <v>592</v>
      </c>
      <c r="B235" s="4" t="s">
        <v>7</v>
      </c>
      <c r="C235" s="4">
        <v>6.3</v>
      </c>
    </row>
    <row r="236" spans="1:3" x14ac:dyDescent="0.3">
      <c r="A236" s="3" t="s">
        <v>594</v>
      </c>
      <c r="B236" s="3" t="s">
        <v>7</v>
      </c>
      <c r="C236" s="3">
        <v>7</v>
      </c>
    </row>
    <row r="237" spans="1:3" x14ac:dyDescent="0.3">
      <c r="A237" s="4" t="s">
        <v>596</v>
      </c>
      <c r="B237" s="4" t="s">
        <v>7</v>
      </c>
      <c r="C237" s="4">
        <v>7.6</v>
      </c>
    </row>
    <row r="238" spans="1:3" x14ac:dyDescent="0.3">
      <c r="A238" s="3" t="s">
        <v>598</v>
      </c>
      <c r="B238" s="3" t="s">
        <v>7</v>
      </c>
      <c r="C238" s="3">
        <v>6.7</v>
      </c>
    </row>
    <row r="239" spans="1:3" x14ac:dyDescent="0.3">
      <c r="A239" s="4" t="s">
        <v>601</v>
      </c>
      <c r="B239" s="4" t="s">
        <v>7</v>
      </c>
      <c r="C239" s="4">
        <v>8.1</v>
      </c>
    </row>
    <row r="240" spans="1:3" x14ac:dyDescent="0.3">
      <c r="A240" s="3" t="s">
        <v>603</v>
      </c>
      <c r="B240" s="3" t="s">
        <v>7</v>
      </c>
      <c r="C240" s="3">
        <v>6.7</v>
      </c>
    </row>
    <row r="241" spans="1:3" x14ac:dyDescent="0.3">
      <c r="A241" s="4" t="s">
        <v>605</v>
      </c>
      <c r="B241" s="4" t="s">
        <v>7</v>
      </c>
      <c r="C241" s="4">
        <v>6.5</v>
      </c>
    </row>
    <row r="242" spans="1:3" x14ac:dyDescent="0.3">
      <c r="A242" s="3" t="s">
        <v>607</v>
      </c>
      <c r="B242" s="3" t="s">
        <v>7</v>
      </c>
      <c r="C242" s="3">
        <v>7.3</v>
      </c>
    </row>
    <row r="243" spans="1:3" x14ac:dyDescent="0.3">
      <c r="A243" s="4" t="s">
        <v>610</v>
      </c>
      <c r="B243" s="4" t="s">
        <v>7</v>
      </c>
      <c r="C243" s="4">
        <v>5.0999999999999996</v>
      </c>
    </row>
    <row r="244" spans="1:3" x14ac:dyDescent="0.3">
      <c r="A244" s="3" t="s">
        <v>613</v>
      </c>
      <c r="B244" s="3" t="s">
        <v>7</v>
      </c>
      <c r="C244" s="3">
        <v>6</v>
      </c>
    </row>
    <row r="245" spans="1:3" x14ac:dyDescent="0.3">
      <c r="A245" s="4" t="s">
        <v>615</v>
      </c>
      <c r="B245" s="4" t="s">
        <v>7</v>
      </c>
      <c r="C245" s="4">
        <v>6.1</v>
      </c>
    </row>
    <row r="246" spans="1:3" x14ac:dyDescent="0.3">
      <c r="A246" s="3" t="s">
        <v>618</v>
      </c>
      <c r="B246" s="3" t="s">
        <v>7</v>
      </c>
      <c r="C246" s="3">
        <v>5.9</v>
      </c>
    </row>
    <row r="247" spans="1:3" x14ac:dyDescent="0.3">
      <c r="A247" s="4" t="s">
        <v>620</v>
      </c>
      <c r="B247" s="4" t="s">
        <v>7</v>
      </c>
      <c r="C247" s="4">
        <v>7.8</v>
      </c>
    </row>
    <row r="248" spans="1:3" x14ac:dyDescent="0.3">
      <c r="A248" s="3" t="s">
        <v>623</v>
      </c>
      <c r="B248" s="3" t="s">
        <v>7</v>
      </c>
      <c r="C248" s="3">
        <v>5.8</v>
      </c>
    </row>
    <row r="249" spans="1:3" x14ac:dyDescent="0.3">
      <c r="A249" s="4" t="s">
        <v>626</v>
      </c>
      <c r="B249" s="4" t="s">
        <v>7</v>
      </c>
      <c r="C249" s="4">
        <v>6.3</v>
      </c>
    </row>
    <row r="250" spans="1:3" x14ac:dyDescent="0.3">
      <c r="A250" s="3" t="s">
        <v>628</v>
      </c>
      <c r="B250" s="3" t="s">
        <v>7</v>
      </c>
      <c r="C250" s="3">
        <v>4.3</v>
      </c>
    </row>
    <row r="251" spans="1:3" x14ac:dyDescent="0.3">
      <c r="A251" s="4" t="s">
        <v>631</v>
      </c>
      <c r="B251" s="4" t="s">
        <v>7</v>
      </c>
      <c r="C251" s="4">
        <v>6.4</v>
      </c>
    </row>
    <row r="252" spans="1:3" x14ac:dyDescent="0.3">
      <c r="A252" s="3" t="s">
        <v>634</v>
      </c>
      <c r="B252" s="3" t="s">
        <v>7</v>
      </c>
      <c r="C252" s="3">
        <v>6.1</v>
      </c>
    </row>
    <row r="253" spans="1:3" x14ac:dyDescent="0.3">
      <c r="A253" s="4" t="s">
        <v>637</v>
      </c>
      <c r="B253" s="4" t="s">
        <v>7</v>
      </c>
      <c r="C253" s="4">
        <v>6.5</v>
      </c>
    </row>
    <row r="254" spans="1:3" x14ac:dyDescent="0.3">
      <c r="A254" s="3" t="s">
        <v>639</v>
      </c>
      <c r="B254" s="3" t="s">
        <v>7</v>
      </c>
      <c r="C254" s="3">
        <v>7.1</v>
      </c>
    </row>
    <row r="255" spans="1:3" x14ac:dyDescent="0.3">
      <c r="A255" s="4" t="s">
        <v>642</v>
      </c>
      <c r="B255" s="4" t="s">
        <v>7</v>
      </c>
      <c r="C255" s="4">
        <v>6.4</v>
      </c>
    </row>
    <row r="256" spans="1:3" x14ac:dyDescent="0.3">
      <c r="A256" s="3" t="s">
        <v>644</v>
      </c>
      <c r="B256" s="3" t="s">
        <v>7</v>
      </c>
      <c r="C256" s="3">
        <v>6.5</v>
      </c>
    </row>
    <row r="257" spans="1:3" x14ac:dyDescent="0.3">
      <c r="A257" s="4" t="s">
        <v>646</v>
      </c>
      <c r="B257" s="4" t="s">
        <v>7</v>
      </c>
      <c r="C257" s="4">
        <v>6.3</v>
      </c>
    </row>
    <row r="258" spans="1:3" x14ac:dyDescent="0.3">
      <c r="A258" s="3" t="s">
        <v>648</v>
      </c>
      <c r="B258" s="3" t="s">
        <v>7</v>
      </c>
      <c r="C258" s="3">
        <v>7.5</v>
      </c>
    </row>
    <row r="259" spans="1:3" x14ac:dyDescent="0.3">
      <c r="A259" s="4" t="s">
        <v>651</v>
      </c>
      <c r="B259" s="4" t="s">
        <v>7</v>
      </c>
      <c r="C259" s="4">
        <v>4.9000000000000004</v>
      </c>
    </row>
    <row r="260" spans="1:3" x14ac:dyDescent="0.3">
      <c r="A260" s="3" t="s">
        <v>654</v>
      </c>
      <c r="B260" s="3" t="s">
        <v>7</v>
      </c>
      <c r="C260" s="3">
        <v>5.8</v>
      </c>
    </row>
    <row r="261" spans="1:3" x14ac:dyDescent="0.3">
      <c r="A261" s="4" t="s">
        <v>657</v>
      </c>
      <c r="B261" s="4" t="s">
        <v>7</v>
      </c>
      <c r="C261" s="4">
        <v>6.2</v>
      </c>
    </row>
    <row r="262" spans="1:3" x14ac:dyDescent="0.3">
      <c r="A262" s="3" t="s">
        <v>659</v>
      </c>
      <c r="B262" s="3" t="s">
        <v>7</v>
      </c>
      <c r="C262" s="3">
        <v>5.5</v>
      </c>
    </row>
    <row r="263" spans="1:3" x14ac:dyDescent="0.3">
      <c r="A263" s="4" t="s">
        <v>661</v>
      </c>
      <c r="B263" s="4" t="s">
        <v>7</v>
      </c>
      <c r="C263" s="4">
        <v>5.4</v>
      </c>
    </row>
    <row r="264" spans="1:3" x14ac:dyDescent="0.3">
      <c r="A264" s="3" t="s">
        <v>664</v>
      </c>
      <c r="B264" s="3" t="s">
        <v>7</v>
      </c>
      <c r="C264" s="3">
        <v>5.8</v>
      </c>
    </row>
    <row r="265" spans="1:3" x14ac:dyDescent="0.3">
      <c r="A265" s="4" t="s">
        <v>666</v>
      </c>
      <c r="B265" s="4" t="s">
        <v>7</v>
      </c>
      <c r="C265" s="4">
        <v>7.1</v>
      </c>
    </row>
    <row r="266" spans="1:3" x14ac:dyDescent="0.3">
      <c r="A266" s="3" t="s">
        <v>670</v>
      </c>
      <c r="B266" s="3" t="s">
        <v>7</v>
      </c>
      <c r="C266" s="3">
        <v>5.4</v>
      </c>
    </row>
    <row r="267" spans="1:3" x14ac:dyDescent="0.3">
      <c r="A267" s="4" t="s">
        <v>673</v>
      </c>
      <c r="B267" s="4" t="s">
        <v>7</v>
      </c>
      <c r="C267" s="4">
        <v>3.7</v>
      </c>
    </row>
    <row r="268" spans="1:3" x14ac:dyDescent="0.3">
      <c r="A268" s="3" t="s">
        <v>676</v>
      </c>
      <c r="B268" s="3" t="s">
        <v>7</v>
      </c>
      <c r="C268" s="3">
        <v>6.7</v>
      </c>
    </row>
    <row r="269" spans="1:3" x14ac:dyDescent="0.3">
      <c r="A269" s="4" t="s">
        <v>679</v>
      </c>
      <c r="B269" s="4" t="s">
        <v>7</v>
      </c>
      <c r="C269" s="4">
        <v>7.2</v>
      </c>
    </row>
    <row r="270" spans="1:3" x14ac:dyDescent="0.3">
      <c r="A270" s="3" t="s">
        <v>681</v>
      </c>
      <c r="B270" s="3" t="s">
        <v>7</v>
      </c>
      <c r="C270" s="3">
        <v>8.8000000000000007</v>
      </c>
    </row>
    <row r="271" spans="1:3" x14ac:dyDescent="0.3">
      <c r="A271" s="4" t="s">
        <v>683</v>
      </c>
      <c r="B271" s="4" t="s">
        <v>7</v>
      </c>
      <c r="C271" s="4">
        <v>5.8</v>
      </c>
    </row>
    <row r="272" spans="1:3" x14ac:dyDescent="0.3">
      <c r="A272" s="3" t="s">
        <v>685</v>
      </c>
      <c r="B272" s="3" t="s">
        <v>7</v>
      </c>
      <c r="C272" s="3">
        <v>6.8</v>
      </c>
    </row>
    <row r="273" spans="1:3" x14ac:dyDescent="0.3">
      <c r="A273" s="4" t="s">
        <v>687</v>
      </c>
      <c r="B273" s="4" t="s">
        <v>7</v>
      </c>
      <c r="C273" s="4">
        <v>3.8</v>
      </c>
    </row>
    <row r="274" spans="1:3" x14ac:dyDescent="0.3">
      <c r="A274" s="3" t="s">
        <v>689</v>
      </c>
      <c r="B274" s="3" t="s">
        <v>7</v>
      </c>
      <c r="C274" s="3">
        <v>7.1</v>
      </c>
    </row>
    <row r="275" spans="1:3" x14ac:dyDescent="0.3">
      <c r="A275" s="4" t="s">
        <v>692</v>
      </c>
      <c r="B275" s="4" t="s">
        <v>7</v>
      </c>
      <c r="C275" s="4">
        <v>7.2</v>
      </c>
    </row>
    <row r="276" spans="1:3" x14ac:dyDescent="0.3">
      <c r="A276" s="3" t="s">
        <v>695</v>
      </c>
      <c r="B276" s="3" t="s">
        <v>7</v>
      </c>
      <c r="C276" s="3">
        <v>5.9</v>
      </c>
    </row>
    <row r="277" spans="1:3" x14ac:dyDescent="0.3">
      <c r="A277" s="4" t="s">
        <v>698</v>
      </c>
      <c r="B277" s="4" t="s">
        <v>7</v>
      </c>
      <c r="C277" s="4">
        <v>7.1</v>
      </c>
    </row>
    <row r="278" spans="1:3" x14ac:dyDescent="0.3">
      <c r="A278" s="3" t="s">
        <v>700</v>
      </c>
      <c r="B278" s="3" t="s">
        <v>7</v>
      </c>
      <c r="C278" s="3">
        <v>8.1</v>
      </c>
    </row>
    <row r="279" spans="1:3" x14ac:dyDescent="0.3">
      <c r="A279" s="4" t="s">
        <v>702</v>
      </c>
      <c r="B279" s="4" t="s">
        <v>7</v>
      </c>
      <c r="C279" s="4">
        <v>7.2</v>
      </c>
    </row>
    <row r="280" spans="1:3" x14ac:dyDescent="0.3">
      <c r="A280" s="3" t="s">
        <v>705</v>
      </c>
      <c r="B280" s="3" t="s">
        <v>7</v>
      </c>
      <c r="C280" s="3">
        <v>6.9</v>
      </c>
    </row>
    <row r="281" spans="1:3" x14ac:dyDescent="0.3">
      <c r="A281" s="4" t="s">
        <v>708</v>
      </c>
      <c r="B281" s="4" t="s">
        <v>7</v>
      </c>
      <c r="C281" s="4">
        <v>4.4000000000000004</v>
      </c>
    </row>
    <row r="282" spans="1:3" x14ac:dyDescent="0.3">
      <c r="A282" s="3" t="s">
        <v>711</v>
      </c>
      <c r="B282" s="3" t="s">
        <v>7</v>
      </c>
      <c r="C282" s="3">
        <v>6.5</v>
      </c>
    </row>
    <row r="283" spans="1:3" x14ac:dyDescent="0.3">
      <c r="A283" s="4" t="s">
        <v>714</v>
      </c>
      <c r="B283" s="4" t="s">
        <v>7</v>
      </c>
      <c r="C283" s="4">
        <v>8.5</v>
      </c>
    </row>
    <row r="284" spans="1:3" x14ac:dyDescent="0.3">
      <c r="A284" s="3" t="s">
        <v>716</v>
      </c>
      <c r="B284" s="3" t="s">
        <v>7</v>
      </c>
      <c r="C284" s="3">
        <v>7.7</v>
      </c>
    </row>
    <row r="285" spans="1:3" x14ac:dyDescent="0.3">
      <c r="A285" s="4" t="s">
        <v>718</v>
      </c>
      <c r="B285" s="4" t="s">
        <v>7</v>
      </c>
      <c r="C285" s="4">
        <v>7.4</v>
      </c>
    </row>
    <row r="286" spans="1:3" x14ac:dyDescent="0.3">
      <c r="A286" s="3" t="s">
        <v>721</v>
      </c>
      <c r="B286" s="3" t="s">
        <v>7</v>
      </c>
      <c r="C286" s="3">
        <v>8</v>
      </c>
    </row>
    <row r="287" spans="1:3" x14ac:dyDescent="0.3">
      <c r="A287" s="4" t="s">
        <v>723</v>
      </c>
      <c r="B287" s="4" t="s">
        <v>7</v>
      </c>
      <c r="C287" s="4">
        <v>5.7</v>
      </c>
    </row>
    <row r="288" spans="1:3" x14ac:dyDescent="0.3">
      <c r="A288" s="3" t="s">
        <v>725</v>
      </c>
      <c r="B288" s="3" t="s">
        <v>7</v>
      </c>
      <c r="C288" s="3">
        <v>8.5</v>
      </c>
    </row>
    <row r="289" spans="1:3" x14ac:dyDescent="0.3">
      <c r="A289" s="4" t="s">
        <v>727</v>
      </c>
      <c r="B289" s="4" t="s">
        <v>7</v>
      </c>
      <c r="C289" s="4">
        <v>7</v>
      </c>
    </row>
    <row r="290" spans="1:3" x14ac:dyDescent="0.3">
      <c r="A290" s="3" t="s">
        <v>730</v>
      </c>
      <c r="B290" s="3" t="s">
        <v>7</v>
      </c>
      <c r="C290" s="3">
        <v>7.8</v>
      </c>
    </row>
    <row r="291" spans="1:3" x14ac:dyDescent="0.3">
      <c r="A291" s="4" t="s">
        <v>733</v>
      </c>
      <c r="B291" s="4" t="s">
        <v>7</v>
      </c>
      <c r="C291" s="4">
        <v>7.2</v>
      </c>
    </row>
    <row r="292" spans="1:3" x14ac:dyDescent="0.3">
      <c r="A292" s="3" t="s">
        <v>736</v>
      </c>
      <c r="B292" s="3" t="s">
        <v>7</v>
      </c>
      <c r="C292" s="3">
        <v>6.4</v>
      </c>
    </row>
    <row r="293" spans="1:3" x14ac:dyDescent="0.3">
      <c r="A293" s="4" t="s">
        <v>739</v>
      </c>
      <c r="B293" s="4" t="s">
        <v>7</v>
      </c>
      <c r="C293" s="4">
        <v>5.5</v>
      </c>
    </row>
    <row r="294" spans="1:3" x14ac:dyDescent="0.3">
      <c r="A294" s="3" t="s">
        <v>741</v>
      </c>
      <c r="B294" s="3" t="s">
        <v>7</v>
      </c>
      <c r="C294" s="3">
        <v>6.7</v>
      </c>
    </row>
    <row r="295" spans="1:3" x14ac:dyDescent="0.3">
      <c r="A295" s="4" t="s">
        <v>744</v>
      </c>
      <c r="B295" s="4" t="s">
        <v>7</v>
      </c>
      <c r="C295" s="4">
        <v>6.1</v>
      </c>
    </row>
    <row r="296" spans="1:3" x14ac:dyDescent="0.3">
      <c r="A296" s="3" t="s">
        <v>747</v>
      </c>
      <c r="B296" s="3" t="s">
        <v>7</v>
      </c>
      <c r="C296" s="3">
        <v>8.5</v>
      </c>
    </row>
    <row r="297" spans="1:3" x14ac:dyDescent="0.3">
      <c r="A297" s="4" t="s">
        <v>750</v>
      </c>
      <c r="B297" s="4" t="s">
        <v>7</v>
      </c>
      <c r="C297" s="4">
        <v>6.9</v>
      </c>
    </row>
    <row r="298" spans="1:3" x14ac:dyDescent="0.3">
      <c r="A298" s="3" t="s">
        <v>753</v>
      </c>
      <c r="B298" s="3" t="s">
        <v>7</v>
      </c>
      <c r="C298" s="3">
        <v>7.3</v>
      </c>
    </row>
    <row r="299" spans="1:3" x14ac:dyDescent="0.3">
      <c r="A299" s="4" t="s">
        <v>755</v>
      </c>
      <c r="B299" s="4" t="s">
        <v>7</v>
      </c>
      <c r="C299" s="4">
        <v>6.7</v>
      </c>
    </row>
    <row r="300" spans="1:3" x14ac:dyDescent="0.3">
      <c r="A300" s="3" t="s">
        <v>757</v>
      </c>
      <c r="B300" s="3" t="s">
        <v>7</v>
      </c>
      <c r="C300" s="3">
        <v>6.9</v>
      </c>
    </row>
    <row r="301" spans="1:3" x14ac:dyDescent="0.3">
      <c r="A301" s="4" t="s">
        <v>760</v>
      </c>
      <c r="B301" s="4" t="s">
        <v>7</v>
      </c>
      <c r="C301" s="4">
        <v>5.0999999999999996</v>
      </c>
    </row>
    <row r="302" spans="1:3" x14ac:dyDescent="0.3">
      <c r="A302" s="3" t="s">
        <v>762</v>
      </c>
      <c r="B302" s="3" t="s">
        <v>7</v>
      </c>
      <c r="C302" s="3">
        <v>6.8</v>
      </c>
    </row>
    <row r="303" spans="1:3" x14ac:dyDescent="0.3">
      <c r="A303" s="4" t="s">
        <v>765</v>
      </c>
      <c r="B303" s="4" t="s">
        <v>7</v>
      </c>
      <c r="C303" s="4">
        <v>5.8</v>
      </c>
    </row>
    <row r="304" spans="1:3" x14ac:dyDescent="0.3">
      <c r="A304" s="3" t="s">
        <v>767</v>
      </c>
      <c r="B304" s="3" t="s">
        <v>7</v>
      </c>
      <c r="C304" s="3">
        <v>6.7</v>
      </c>
    </row>
    <row r="305" spans="1:3" x14ac:dyDescent="0.3">
      <c r="A305" s="4" t="s">
        <v>770</v>
      </c>
      <c r="B305" s="4" t="s">
        <v>7</v>
      </c>
      <c r="C305" s="4">
        <v>6</v>
      </c>
    </row>
    <row r="306" spans="1:3" x14ac:dyDescent="0.3">
      <c r="A306" s="3" t="s">
        <v>773</v>
      </c>
      <c r="B306" s="3" t="s">
        <v>7</v>
      </c>
      <c r="C306" s="3">
        <v>5.7</v>
      </c>
    </row>
    <row r="307" spans="1:3" x14ac:dyDescent="0.3">
      <c r="A307" s="4" t="s">
        <v>776</v>
      </c>
      <c r="B307" s="4" t="s">
        <v>7</v>
      </c>
      <c r="C307" s="4">
        <v>8</v>
      </c>
    </row>
    <row r="308" spans="1:3" x14ac:dyDescent="0.3">
      <c r="A308" s="3" t="s">
        <v>778</v>
      </c>
      <c r="B308" s="3" t="s">
        <v>7</v>
      </c>
      <c r="C308" s="3">
        <v>8.1999999999999993</v>
      </c>
    </row>
    <row r="309" spans="1:3" x14ac:dyDescent="0.3">
      <c r="A309" s="4" t="s">
        <v>781</v>
      </c>
      <c r="B309" s="4" t="s">
        <v>7</v>
      </c>
      <c r="C309" s="4">
        <v>5.4</v>
      </c>
    </row>
    <row r="310" spans="1:3" x14ac:dyDescent="0.3">
      <c r="A310" s="3" t="s">
        <v>784</v>
      </c>
      <c r="B310" s="3" t="s">
        <v>7</v>
      </c>
      <c r="C310" s="3">
        <v>7.2</v>
      </c>
    </row>
    <row r="311" spans="1:3" x14ac:dyDescent="0.3">
      <c r="A311" s="4" t="s">
        <v>787</v>
      </c>
      <c r="B311" s="4" t="s">
        <v>7</v>
      </c>
      <c r="C311" s="4">
        <v>7.5</v>
      </c>
    </row>
    <row r="312" spans="1:3" x14ac:dyDescent="0.3">
      <c r="A312" s="3" t="s">
        <v>790</v>
      </c>
      <c r="B312" s="3" t="s">
        <v>792</v>
      </c>
      <c r="C312" s="3">
        <v>7</v>
      </c>
    </row>
    <row r="313" spans="1:3" x14ac:dyDescent="0.3">
      <c r="A313" s="4" t="s">
        <v>794</v>
      </c>
      <c r="B313" s="4" t="s">
        <v>7</v>
      </c>
      <c r="C313" s="4">
        <v>3.3</v>
      </c>
    </row>
    <row r="314" spans="1:3" x14ac:dyDescent="0.3">
      <c r="A314" s="3" t="s">
        <v>797</v>
      </c>
      <c r="B314" s="3" t="s">
        <v>7</v>
      </c>
      <c r="C314" s="3">
        <v>6</v>
      </c>
    </row>
    <row r="315" spans="1:3" x14ac:dyDescent="0.3">
      <c r="A315" s="4" t="s">
        <v>800</v>
      </c>
      <c r="B315" s="4" t="s">
        <v>7</v>
      </c>
      <c r="C315" s="4">
        <v>7.1</v>
      </c>
    </row>
    <row r="316" spans="1:3" x14ac:dyDescent="0.3">
      <c r="A316" s="3" t="s">
        <v>802</v>
      </c>
      <c r="B316" s="3" t="s">
        <v>7</v>
      </c>
      <c r="C316" s="3">
        <v>5.4</v>
      </c>
    </row>
    <row r="317" spans="1:3" x14ac:dyDescent="0.3">
      <c r="A317" s="4" t="s">
        <v>804</v>
      </c>
      <c r="B317" s="4" t="s">
        <v>7</v>
      </c>
      <c r="C317" s="4">
        <v>6.1</v>
      </c>
    </row>
    <row r="318" spans="1:3" x14ac:dyDescent="0.3">
      <c r="A318" s="3" t="s">
        <v>806</v>
      </c>
      <c r="B318" s="3" t="s">
        <v>7</v>
      </c>
      <c r="C318" s="3">
        <v>5.3</v>
      </c>
    </row>
    <row r="319" spans="1:3" x14ac:dyDescent="0.3">
      <c r="A319" s="4" t="s">
        <v>809</v>
      </c>
      <c r="B319" s="4" t="s">
        <v>7</v>
      </c>
      <c r="C319" s="4">
        <v>2.2000000000000002</v>
      </c>
    </row>
    <row r="320" spans="1:3" x14ac:dyDescent="0.3">
      <c r="A320" s="3" t="s">
        <v>811</v>
      </c>
      <c r="B320" s="3" t="s">
        <v>7</v>
      </c>
      <c r="C320" s="3">
        <v>7</v>
      </c>
    </row>
    <row r="321" spans="1:3" x14ac:dyDescent="0.3">
      <c r="A321" s="4" t="s">
        <v>814</v>
      </c>
      <c r="B321" s="4" t="s">
        <v>7</v>
      </c>
      <c r="C321" s="4">
        <v>3.8</v>
      </c>
    </row>
    <row r="322" spans="1:3" x14ac:dyDescent="0.3">
      <c r="A322" s="3" t="s">
        <v>817</v>
      </c>
      <c r="B322" s="3" t="s">
        <v>7</v>
      </c>
      <c r="C322" s="3">
        <v>6.9</v>
      </c>
    </row>
    <row r="323" spans="1:3" x14ac:dyDescent="0.3">
      <c r="A323" s="4" t="s">
        <v>819</v>
      </c>
      <c r="B323" s="4" t="s">
        <v>7</v>
      </c>
      <c r="C323" s="4">
        <v>7.2</v>
      </c>
    </row>
    <row r="324" spans="1:3" x14ac:dyDescent="0.3">
      <c r="A324" s="3" t="s">
        <v>821</v>
      </c>
      <c r="B324" s="3" t="s">
        <v>7</v>
      </c>
      <c r="C324" s="3">
        <v>7.3</v>
      </c>
    </row>
    <row r="325" spans="1:3" x14ac:dyDescent="0.3">
      <c r="A325" s="4" t="s">
        <v>823</v>
      </c>
      <c r="B325" s="4" t="s">
        <v>7</v>
      </c>
      <c r="C325" s="4">
        <v>6.3</v>
      </c>
    </row>
    <row r="326" spans="1:3" x14ac:dyDescent="0.3">
      <c r="A326" s="3" t="s">
        <v>825</v>
      </c>
      <c r="B326" s="3" t="s">
        <v>7</v>
      </c>
      <c r="C326" s="3">
        <v>7.5</v>
      </c>
    </row>
    <row r="327" spans="1:3" x14ac:dyDescent="0.3">
      <c r="A327" s="4" t="s">
        <v>827</v>
      </c>
      <c r="B327" s="4" t="s">
        <v>7</v>
      </c>
      <c r="C327" s="4">
        <v>7.6</v>
      </c>
    </row>
    <row r="328" spans="1:3" x14ac:dyDescent="0.3">
      <c r="A328" s="3" t="s">
        <v>830</v>
      </c>
      <c r="B328" s="3" t="s">
        <v>7</v>
      </c>
      <c r="C328" s="3">
        <v>6.8</v>
      </c>
    </row>
    <row r="329" spans="1:3" x14ac:dyDescent="0.3">
      <c r="A329" s="4" t="s">
        <v>832</v>
      </c>
      <c r="B329" s="4" t="s">
        <v>7</v>
      </c>
      <c r="C329" s="4">
        <v>5.2</v>
      </c>
    </row>
    <row r="330" spans="1:3" x14ac:dyDescent="0.3">
      <c r="A330" s="3" t="s">
        <v>834</v>
      </c>
      <c r="B330" s="3" t="s">
        <v>7</v>
      </c>
      <c r="C330" s="3">
        <v>7.7</v>
      </c>
    </row>
    <row r="331" spans="1:3" x14ac:dyDescent="0.3">
      <c r="A331" s="4" t="s">
        <v>836</v>
      </c>
      <c r="B331" s="4" t="s">
        <v>7</v>
      </c>
      <c r="C331" s="4">
        <v>6.2</v>
      </c>
    </row>
    <row r="332" spans="1:3" x14ac:dyDescent="0.3">
      <c r="A332" s="3" t="s">
        <v>838</v>
      </c>
      <c r="B332" s="3" t="s">
        <v>7</v>
      </c>
      <c r="C332" s="3">
        <v>7.7</v>
      </c>
    </row>
    <row r="333" spans="1:3" x14ac:dyDescent="0.3">
      <c r="A333" s="4" t="s">
        <v>841</v>
      </c>
      <c r="B333" s="4" t="s">
        <v>7</v>
      </c>
      <c r="C333" s="4">
        <v>4.3</v>
      </c>
    </row>
    <row r="334" spans="1:3" x14ac:dyDescent="0.3">
      <c r="A334" s="3" t="s">
        <v>844</v>
      </c>
      <c r="B334" s="3" t="s">
        <v>7</v>
      </c>
      <c r="C334" s="3">
        <v>6.9</v>
      </c>
    </row>
    <row r="335" spans="1:3" x14ac:dyDescent="0.3">
      <c r="A335" s="4" t="s">
        <v>846</v>
      </c>
      <c r="B335" s="4" t="s">
        <v>7</v>
      </c>
      <c r="C335" s="4">
        <v>6.6</v>
      </c>
    </row>
    <row r="336" spans="1:3" x14ac:dyDescent="0.3">
      <c r="A336" s="3" t="s">
        <v>848</v>
      </c>
      <c r="B336" s="3" t="s">
        <v>7</v>
      </c>
      <c r="C336" s="3">
        <v>7</v>
      </c>
    </row>
    <row r="337" spans="1:3" x14ac:dyDescent="0.3">
      <c r="A337" s="4" t="s">
        <v>851</v>
      </c>
      <c r="B337" s="4" t="s">
        <v>7</v>
      </c>
      <c r="C337" s="4">
        <v>6.7</v>
      </c>
    </row>
    <row r="338" spans="1:3" x14ac:dyDescent="0.3">
      <c r="A338" s="3" t="s">
        <v>853</v>
      </c>
      <c r="B338" s="3" t="s">
        <v>7</v>
      </c>
      <c r="C338" s="3">
        <v>8.1999999999999993</v>
      </c>
    </row>
    <row r="339" spans="1:3" x14ac:dyDescent="0.3">
      <c r="A339" s="4" t="s">
        <v>855</v>
      </c>
      <c r="B339" s="4" t="s">
        <v>7</v>
      </c>
      <c r="C339" s="4">
        <v>8.9</v>
      </c>
    </row>
    <row r="340" spans="1:3" x14ac:dyDescent="0.3">
      <c r="A340" s="3" t="s">
        <v>857</v>
      </c>
      <c r="B340" s="3" t="s">
        <v>7</v>
      </c>
      <c r="C340" s="3">
        <v>8.6999999999999993</v>
      </c>
    </row>
    <row r="341" spans="1:3" x14ac:dyDescent="0.3">
      <c r="A341" s="4" t="s">
        <v>860</v>
      </c>
      <c r="B341" s="4" t="s">
        <v>7</v>
      </c>
      <c r="C341" s="4">
        <v>5.5</v>
      </c>
    </row>
    <row r="342" spans="1:3" x14ac:dyDescent="0.3">
      <c r="A342" s="3" t="s">
        <v>863</v>
      </c>
      <c r="B342" s="3" t="s">
        <v>7</v>
      </c>
      <c r="C342" s="3">
        <v>5.7</v>
      </c>
    </row>
    <row r="343" spans="1:3" x14ac:dyDescent="0.3">
      <c r="A343" s="4" t="s">
        <v>865</v>
      </c>
      <c r="B343" s="4" t="s">
        <v>7</v>
      </c>
      <c r="C343" s="4">
        <v>6.3</v>
      </c>
    </row>
    <row r="344" spans="1:3" x14ac:dyDescent="0.3">
      <c r="A344" s="3" t="s">
        <v>868</v>
      </c>
      <c r="B344" s="3" t="s">
        <v>7</v>
      </c>
      <c r="C344" s="3">
        <v>5.9</v>
      </c>
    </row>
    <row r="345" spans="1:3" x14ac:dyDescent="0.3">
      <c r="A345" s="4" t="s">
        <v>871</v>
      </c>
      <c r="B345" s="4" t="s">
        <v>7</v>
      </c>
      <c r="C345" s="4">
        <v>7.6</v>
      </c>
    </row>
    <row r="346" spans="1:3" x14ac:dyDescent="0.3">
      <c r="A346" s="3" t="s">
        <v>874</v>
      </c>
      <c r="B346" s="3" t="s">
        <v>7</v>
      </c>
      <c r="C346" s="3">
        <v>6.6</v>
      </c>
    </row>
    <row r="347" spans="1:3" x14ac:dyDescent="0.3">
      <c r="A347" s="4" t="s">
        <v>877</v>
      </c>
      <c r="B347" s="4" t="s">
        <v>7</v>
      </c>
      <c r="C347" s="4">
        <v>5.3</v>
      </c>
    </row>
    <row r="348" spans="1:3" x14ac:dyDescent="0.3">
      <c r="A348" s="3" t="s">
        <v>880</v>
      </c>
      <c r="B348" s="3" t="s">
        <v>7</v>
      </c>
      <c r="C348" s="3">
        <v>6</v>
      </c>
    </row>
    <row r="349" spans="1:3" x14ac:dyDescent="0.3">
      <c r="A349" s="4" t="s">
        <v>883</v>
      </c>
      <c r="B349" s="4" t="s">
        <v>7</v>
      </c>
      <c r="C349" s="4">
        <v>8</v>
      </c>
    </row>
    <row r="350" spans="1:3" x14ac:dyDescent="0.3">
      <c r="A350" s="3" t="s">
        <v>885</v>
      </c>
      <c r="B350" s="3" t="s">
        <v>7</v>
      </c>
      <c r="C350" s="3">
        <v>5.6</v>
      </c>
    </row>
    <row r="351" spans="1:3" x14ac:dyDescent="0.3">
      <c r="A351" s="4" t="s">
        <v>887</v>
      </c>
      <c r="B351" s="4" t="s">
        <v>7</v>
      </c>
      <c r="C351" s="4">
        <v>5.9</v>
      </c>
    </row>
    <row r="352" spans="1:3" x14ac:dyDescent="0.3">
      <c r="A352" s="3" t="s">
        <v>891</v>
      </c>
      <c r="B352" s="3" t="s">
        <v>7</v>
      </c>
      <c r="C352" s="3">
        <v>7.3</v>
      </c>
    </row>
    <row r="353" spans="1:3" x14ac:dyDescent="0.3">
      <c r="A353" s="4" t="s">
        <v>894</v>
      </c>
      <c r="B353" s="4" t="s">
        <v>7</v>
      </c>
      <c r="C353" s="4">
        <v>7.9</v>
      </c>
    </row>
    <row r="354" spans="1:3" x14ac:dyDescent="0.3">
      <c r="A354" s="3" t="s">
        <v>897</v>
      </c>
      <c r="B354" s="3" t="s">
        <v>7</v>
      </c>
      <c r="C354" s="3">
        <v>6.8</v>
      </c>
    </row>
    <row r="355" spans="1:3" x14ac:dyDescent="0.3">
      <c r="A355" s="4" t="s">
        <v>899</v>
      </c>
      <c r="B355" s="4" t="s">
        <v>7</v>
      </c>
      <c r="C355" s="4">
        <v>6.6</v>
      </c>
    </row>
    <row r="356" spans="1:3" x14ac:dyDescent="0.3">
      <c r="A356" s="3" t="s">
        <v>902</v>
      </c>
      <c r="B356" s="3" t="s">
        <v>7</v>
      </c>
      <c r="C356" s="3">
        <v>6.6</v>
      </c>
    </row>
    <row r="357" spans="1:3" x14ac:dyDescent="0.3">
      <c r="A357" s="4" t="s">
        <v>904</v>
      </c>
      <c r="B357" s="4" t="s">
        <v>7</v>
      </c>
      <c r="C357" s="4">
        <v>7</v>
      </c>
    </row>
    <row r="358" spans="1:3" x14ac:dyDescent="0.3">
      <c r="A358" s="3" t="s">
        <v>907</v>
      </c>
      <c r="B358" s="3" t="s">
        <v>7</v>
      </c>
      <c r="C358" s="3">
        <v>7</v>
      </c>
    </row>
    <row r="359" spans="1:3" x14ac:dyDescent="0.3">
      <c r="A359" s="4" t="s">
        <v>910</v>
      </c>
      <c r="B359" s="4" t="s">
        <v>7</v>
      </c>
      <c r="C359" s="4">
        <v>7.3</v>
      </c>
    </row>
    <row r="360" spans="1:3" x14ac:dyDescent="0.3">
      <c r="A360" s="3" t="s">
        <v>913</v>
      </c>
      <c r="B360" s="3" t="s">
        <v>7</v>
      </c>
      <c r="C360" s="3">
        <v>5.5</v>
      </c>
    </row>
    <row r="361" spans="1:3" x14ac:dyDescent="0.3">
      <c r="A361" s="4" t="s">
        <v>916</v>
      </c>
      <c r="B361" s="4" t="s">
        <v>918</v>
      </c>
      <c r="C361" s="4">
        <v>8.5</v>
      </c>
    </row>
    <row r="362" spans="1:3" x14ac:dyDescent="0.3">
      <c r="A362" s="3" t="s">
        <v>919</v>
      </c>
      <c r="B362" s="3" t="s">
        <v>7</v>
      </c>
      <c r="C362" s="3">
        <v>7.5</v>
      </c>
    </row>
    <row r="363" spans="1:3" x14ac:dyDescent="0.3">
      <c r="A363" s="4" t="s">
        <v>921</v>
      </c>
      <c r="B363" s="4" t="s">
        <v>7</v>
      </c>
      <c r="C363" s="4">
        <v>7</v>
      </c>
    </row>
    <row r="364" spans="1:3" x14ac:dyDescent="0.3">
      <c r="A364" s="3" t="s">
        <v>924</v>
      </c>
      <c r="B364" s="3" t="s">
        <v>7</v>
      </c>
      <c r="C364" s="3">
        <v>7.8</v>
      </c>
    </row>
    <row r="365" spans="1:3" x14ac:dyDescent="0.3">
      <c r="A365" s="4" t="s">
        <v>926</v>
      </c>
      <c r="B365" s="4" t="s">
        <v>7</v>
      </c>
      <c r="C365" s="4">
        <v>7.6</v>
      </c>
    </row>
    <row r="366" spans="1:3" x14ac:dyDescent="0.3">
      <c r="A366" s="3" t="s">
        <v>928</v>
      </c>
      <c r="B366" s="3" t="s">
        <v>7</v>
      </c>
      <c r="C366" s="3">
        <v>7.6</v>
      </c>
    </row>
    <row r="367" spans="1:3" x14ac:dyDescent="0.3">
      <c r="A367" s="4" t="s">
        <v>930</v>
      </c>
      <c r="B367" s="4" t="s">
        <v>7</v>
      </c>
      <c r="C367" s="4">
        <v>6.1</v>
      </c>
    </row>
    <row r="368" spans="1:3" x14ac:dyDescent="0.3">
      <c r="A368" s="3" t="s">
        <v>932</v>
      </c>
      <c r="B368" s="3" t="s">
        <v>7</v>
      </c>
      <c r="C368" s="3">
        <v>6.8</v>
      </c>
    </row>
    <row r="369" spans="1:3" x14ac:dyDescent="0.3">
      <c r="A369" s="4" t="s">
        <v>935</v>
      </c>
      <c r="B369" s="4" t="s">
        <v>7</v>
      </c>
      <c r="C369" s="4">
        <v>5</v>
      </c>
    </row>
    <row r="370" spans="1:3" x14ac:dyDescent="0.3">
      <c r="A370" s="3" t="s">
        <v>937</v>
      </c>
      <c r="B370" s="3" t="s">
        <v>7</v>
      </c>
      <c r="C370" s="3">
        <v>7.1</v>
      </c>
    </row>
    <row r="371" spans="1:3" x14ac:dyDescent="0.3">
      <c r="A371" s="4" t="s">
        <v>939</v>
      </c>
      <c r="B371" s="4" t="s">
        <v>7</v>
      </c>
      <c r="C371" s="4">
        <v>5.5</v>
      </c>
    </row>
    <row r="372" spans="1:3" x14ac:dyDescent="0.3">
      <c r="A372" s="3" t="s">
        <v>941</v>
      </c>
      <c r="B372" s="3" t="s">
        <v>7</v>
      </c>
      <c r="C372" s="3">
        <v>5.6</v>
      </c>
    </row>
    <row r="373" spans="1:3" x14ac:dyDescent="0.3">
      <c r="A373" s="4" t="s">
        <v>943</v>
      </c>
      <c r="B373" s="4" t="s">
        <v>7</v>
      </c>
      <c r="C373" s="4">
        <v>7.1</v>
      </c>
    </row>
    <row r="374" spans="1:3" x14ac:dyDescent="0.3">
      <c r="A374" s="3" t="s">
        <v>945</v>
      </c>
      <c r="B374" s="3" t="s">
        <v>7</v>
      </c>
      <c r="C374" s="3">
        <v>4.9000000000000004</v>
      </c>
    </row>
    <row r="375" spans="1:3" x14ac:dyDescent="0.3">
      <c r="A375" s="4" t="s">
        <v>948</v>
      </c>
      <c r="B375" s="4" t="s">
        <v>7</v>
      </c>
      <c r="C375" s="4">
        <v>7.4</v>
      </c>
    </row>
    <row r="376" spans="1:3" x14ac:dyDescent="0.3">
      <c r="A376" s="3" t="s">
        <v>951</v>
      </c>
      <c r="B376" s="3" t="s">
        <v>7</v>
      </c>
      <c r="C376" s="3">
        <v>5.7</v>
      </c>
    </row>
    <row r="377" spans="1:3" x14ac:dyDescent="0.3">
      <c r="A377" s="4" t="s">
        <v>953</v>
      </c>
      <c r="B377" s="4" t="s">
        <v>7</v>
      </c>
      <c r="C377" s="4">
        <v>6.4</v>
      </c>
    </row>
    <row r="378" spans="1:3" x14ac:dyDescent="0.3">
      <c r="A378" s="3" t="s">
        <v>956</v>
      </c>
      <c r="B378" s="3" t="s">
        <v>7</v>
      </c>
      <c r="C378" s="3">
        <v>5.9</v>
      </c>
    </row>
    <row r="379" spans="1:3" x14ac:dyDescent="0.3">
      <c r="A379" s="4" t="s">
        <v>959</v>
      </c>
      <c r="B379" s="4" t="s">
        <v>7</v>
      </c>
      <c r="C379" s="4">
        <v>5.5</v>
      </c>
    </row>
    <row r="380" spans="1:3" x14ac:dyDescent="0.3">
      <c r="A380" s="3" t="s">
        <v>961</v>
      </c>
      <c r="B380" s="3" t="s">
        <v>7</v>
      </c>
      <c r="C380" s="3">
        <v>6.9</v>
      </c>
    </row>
    <row r="381" spans="1:3" x14ac:dyDescent="0.3">
      <c r="A381" s="4" t="s">
        <v>963</v>
      </c>
      <c r="B381" s="4" t="s">
        <v>7</v>
      </c>
      <c r="C381" s="4">
        <v>6.2</v>
      </c>
    </row>
    <row r="382" spans="1:3" x14ac:dyDescent="0.3">
      <c r="A382" s="3" t="s">
        <v>965</v>
      </c>
      <c r="B382" s="3" t="s">
        <v>7</v>
      </c>
      <c r="C382" s="3">
        <v>7</v>
      </c>
    </row>
    <row r="383" spans="1:3" x14ac:dyDescent="0.3">
      <c r="A383" s="4" t="s">
        <v>967</v>
      </c>
      <c r="B383" s="4" t="s">
        <v>7</v>
      </c>
      <c r="C383" s="4">
        <v>5.6</v>
      </c>
    </row>
    <row r="384" spans="1:3" x14ac:dyDescent="0.3">
      <c r="A384" s="3" t="s">
        <v>969</v>
      </c>
      <c r="B384" s="3" t="s">
        <v>7</v>
      </c>
      <c r="C384" s="3">
        <v>7</v>
      </c>
    </row>
    <row r="385" spans="1:3" x14ac:dyDescent="0.3">
      <c r="A385" s="4" t="s">
        <v>972</v>
      </c>
      <c r="B385" s="4" t="s">
        <v>7</v>
      </c>
      <c r="C385" s="4">
        <v>6.8</v>
      </c>
    </row>
    <row r="386" spans="1:3" x14ac:dyDescent="0.3">
      <c r="A386" s="3" t="s">
        <v>974</v>
      </c>
      <c r="B386" s="3" t="s">
        <v>7</v>
      </c>
      <c r="C386" s="3">
        <v>5.4</v>
      </c>
    </row>
    <row r="387" spans="1:3" x14ac:dyDescent="0.3">
      <c r="A387" s="4" t="s">
        <v>977</v>
      </c>
      <c r="B387" s="4" t="s">
        <v>7</v>
      </c>
      <c r="C387" s="4">
        <v>6.1</v>
      </c>
    </row>
    <row r="388" spans="1:3" x14ac:dyDescent="0.3">
      <c r="A388" s="3" t="s">
        <v>979</v>
      </c>
      <c r="B388" s="3" t="s">
        <v>7</v>
      </c>
      <c r="C388" s="3">
        <v>6.7</v>
      </c>
    </row>
    <row r="389" spans="1:3" x14ac:dyDescent="0.3">
      <c r="A389" s="4" t="s">
        <v>981</v>
      </c>
      <c r="B389" s="4" t="s">
        <v>7</v>
      </c>
      <c r="C389" s="4">
        <v>4.3</v>
      </c>
    </row>
    <row r="390" spans="1:3" x14ac:dyDescent="0.3">
      <c r="A390" s="3" t="s">
        <v>983</v>
      </c>
      <c r="B390" s="3" t="s">
        <v>7</v>
      </c>
      <c r="C390" s="3">
        <v>6.9</v>
      </c>
    </row>
    <row r="391" spans="1:3" x14ac:dyDescent="0.3">
      <c r="A391" s="4" t="s">
        <v>985</v>
      </c>
      <c r="B391" s="4" t="s">
        <v>7</v>
      </c>
      <c r="C391" s="4">
        <v>8</v>
      </c>
    </row>
    <row r="392" spans="1:3" x14ac:dyDescent="0.3">
      <c r="A392" s="3" t="s">
        <v>987</v>
      </c>
      <c r="B392" s="3" t="s">
        <v>7</v>
      </c>
      <c r="C392" s="3">
        <v>4.4000000000000004</v>
      </c>
    </row>
    <row r="393" spans="1:3" x14ac:dyDescent="0.3">
      <c r="A393" s="4" t="s">
        <v>989</v>
      </c>
      <c r="B393" s="4" t="s">
        <v>7</v>
      </c>
      <c r="C393" s="4">
        <v>7.3</v>
      </c>
    </row>
    <row r="394" spans="1:3" x14ac:dyDescent="0.3">
      <c r="A394" s="3" t="s">
        <v>991</v>
      </c>
      <c r="B394" s="3" t="s">
        <v>7</v>
      </c>
      <c r="C394" s="3">
        <v>6.3</v>
      </c>
    </row>
    <row r="395" spans="1:3" x14ac:dyDescent="0.3">
      <c r="A395" s="4" t="s">
        <v>993</v>
      </c>
      <c r="B395" s="4" t="s">
        <v>7</v>
      </c>
      <c r="C395" s="4">
        <v>6.7</v>
      </c>
    </row>
    <row r="396" spans="1:3" x14ac:dyDescent="0.3">
      <c r="A396" s="3" t="s">
        <v>995</v>
      </c>
      <c r="B396" s="3" t="s">
        <v>7</v>
      </c>
      <c r="C396" s="3">
        <v>7.7</v>
      </c>
    </row>
    <row r="397" spans="1:3" x14ac:dyDescent="0.3">
      <c r="A397" s="4" t="s">
        <v>998</v>
      </c>
      <c r="B397" s="4" t="s">
        <v>7</v>
      </c>
      <c r="C397" s="4">
        <v>6.5</v>
      </c>
    </row>
    <row r="398" spans="1:3" x14ac:dyDescent="0.3">
      <c r="A398" s="3" t="s">
        <v>1000</v>
      </c>
      <c r="B398" s="3" t="s">
        <v>7</v>
      </c>
      <c r="C398" s="3">
        <v>7.8</v>
      </c>
    </row>
    <row r="399" spans="1:3" x14ac:dyDescent="0.3">
      <c r="A399" s="4" t="s">
        <v>1002</v>
      </c>
      <c r="B399" s="4" t="s">
        <v>7</v>
      </c>
      <c r="C399" s="4">
        <v>6.4</v>
      </c>
    </row>
    <row r="400" spans="1:3" x14ac:dyDescent="0.3">
      <c r="A400" s="3" t="s">
        <v>1004</v>
      </c>
      <c r="B400" s="3" t="s">
        <v>7</v>
      </c>
      <c r="C400" s="3">
        <v>7.8</v>
      </c>
    </row>
    <row r="401" spans="1:3" x14ac:dyDescent="0.3">
      <c r="A401" s="4" t="s">
        <v>1006</v>
      </c>
      <c r="B401" s="4" t="s">
        <v>7</v>
      </c>
      <c r="C401" s="4">
        <v>5.8</v>
      </c>
    </row>
    <row r="402" spans="1:3" x14ac:dyDescent="0.3">
      <c r="A402" s="3" t="s">
        <v>1008</v>
      </c>
      <c r="B402" s="3" t="s">
        <v>7</v>
      </c>
      <c r="C402" s="3">
        <v>7.1</v>
      </c>
    </row>
    <row r="403" spans="1:3" x14ac:dyDescent="0.3">
      <c r="A403" s="4" t="s">
        <v>1012</v>
      </c>
      <c r="B403" s="4" t="s">
        <v>7</v>
      </c>
      <c r="C403" s="4">
        <v>7.1</v>
      </c>
    </row>
    <row r="404" spans="1:3" x14ac:dyDescent="0.3">
      <c r="A404" s="3" t="s">
        <v>1014</v>
      </c>
      <c r="B404" s="3" t="s">
        <v>7</v>
      </c>
      <c r="C404" s="3">
        <v>6.8</v>
      </c>
    </row>
    <row r="405" spans="1:3" x14ac:dyDescent="0.3">
      <c r="A405" s="4" t="s">
        <v>1017</v>
      </c>
      <c r="B405" s="4" t="s">
        <v>7</v>
      </c>
      <c r="C405" s="4">
        <v>4.8</v>
      </c>
    </row>
    <row r="406" spans="1:3" x14ac:dyDescent="0.3">
      <c r="A406" s="3" t="s">
        <v>1020</v>
      </c>
      <c r="B406" s="3" t="s">
        <v>7</v>
      </c>
      <c r="C406" s="3">
        <v>6.2</v>
      </c>
    </row>
    <row r="407" spans="1:3" x14ac:dyDescent="0.3">
      <c r="A407" s="4" t="s">
        <v>1022</v>
      </c>
      <c r="B407" s="4" t="s">
        <v>7</v>
      </c>
      <c r="C407" s="4">
        <v>6.9</v>
      </c>
    </row>
    <row r="408" spans="1:3" x14ac:dyDescent="0.3">
      <c r="A408" s="3" t="s">
        <v>1025</v>
      </c>
      <c r="B408" s="3" t="s">
        <v>7</v>
      </c>
      <c r="C408" s="3">
        <v>7.3</v>
      </c>
    </row>
    <row r="409" spans="1:3" x14ac:dyDescent="0.3">
      <c r="A409" s="4" t="s">
        <v>1028</v>
      </c>
      <c r="B409" s="4" t="s">
        <v>7</v>
      </c>
      <c r="C409" s="4">
        <v>6.6</v>
      </c>
    </row>
    <row r="410" spans="1:3" x14ac:dyDescent="0.3">
      <c r="A410" s="3" t="s">
        <v>1030</v>
      </c>
      <c r="B410" s="3" t="s">
        <v>7</v>
      </c>
      <c r="C410" s="3">
        <v>6.9</v>
      </c>
    </row>
    <row r="411" spans="1:3" x14ac:dyDescent="0.3">
      <c r="A411" s="4" t="s">
        <v>1033</v>
      </c>
      <c r="B411" s="4" t="s">
        <v>7</v>
      </c>
      <c r="C411" s="4">
        <v>6.2</v>
      </c>
    </row>
    <row r="412" spans="1:3" x14ac:dyDescent="0.3">
      <c r="A412" s="3" t="s">
        <v>1036</v>
      </c>
      <c r="B412" s="3" t="s">
        <v>7</v>
      </c>
      <c r="C412" s="3">
        <v>6.7</v>
      </c>
    </row>
    <row r="413" spans="1:3" x14ac:dyDescent="0.3">
      <c r="A413" s="4" t="s">
        <v>1038</v>
      </c>
      <c r="B413" s="4" t="s">
        <v>7</v>
      </c>
      <c r="C413" s="4">
        <v>7.6</v>
      </c>
    </row>
    <row r="414" spans="1:3" x14ac:dyDescent="0.3">
      <c r="A414" s="3" t="s">
        <v>1041</v>
      </c>
      <c r="B414" s="3" t="s">
        <v>7</v>
      </c>
      <c r="C414" s="3">
        <v>6.7</v>
      </c>
    </row>
    <row r="415" spans="1:3" x14ac:dyDescent="0.3">
      <c r="A415" s="4" t="s">
        <v>1043</v>
      </c>
      <c r="B415" s="4" t="s">
        <v>7</v>
      </c>
      <c r="C415" s="4">
        <v>6.2</v>
      </c>
    </row>
    <row r="416" spans="1:3" x14ac:dyDescent="0.3">
      <c r="A416" s="3" t="s">
        <v>1045</v>
      </c>
      <c r="B416" s="3" t="s">
        <v>7</v>
      </c>
      <c r="C416" s="3">
        <v>7.3</v>
      </c>
    </row>
    <row r="417" spans="1:3" x14ac:dyDescent="0.3">
      <c r="A417" s="4" t="s">
        <v>1047</v>
      </c>
      <c r="B417" s="4" t="s">
        <v>7</v>
      </c>
      <c r="C417" s="4">
        <v>6</v>
      </c>
    </row>
    <row r="418" spans="1:3" x14ac:dyDescent="0.3">
      <c r="A418" s="3" t="s">
        <v>1049</v>
      </c>
      <c r="B418" s="3" t="s">
        <v>7</v>
      </c>
      <c r="C418" s="3">
        <v>7.1</v>
      </c>
    </row>
    <row r="419" spans="1:3" x14ac:dyDescent="0.3">
      <c r="A419" s="4" t="s">
        <v>1051</v>
      </c>
      <c r="B419" s="4" t="s">
        <v>7</v>
      </c>
      <c r="C419" s="4">
        <v>7.1</v>
      </c>
    </row>
    <row r="420" spans="1:3" x14ac:dyDescent="0.3">
      <c r="A420" s="3" t="s">
        <v>1053</v>
      </c>
      <c r="B420" s="3" t="s">
        <v>7</v>
      </c>
      <c r="C420" s="3">
        <v>5.5</v>
      </c>
    </row>
    <row r="421" spans="1:3" x14ac:dyDescent="0.3">
      <c r="A421" s="4" t="s">
        <v>1056</v>
      </c>
      <c r="B421" s="4" t="s">
        <v>7</v>
      </c>
      <c r="C421" s="4">
        <v>7.8</v>
      </c>
    </row>
    <row r="422" spans="1:3" x14ac:dyDescent="0.3">
      <c r="A422" s="3" t="s">
        <v>1059</v>
      </c>
      <c r="B422" s="3" t="s">
        <v>7</v>
      </c>
      <c r="C422" s="3">
        <v>5.6</v>
      </c>
    </row>
    <row r="423" spans="1:3" x14ac:dyDescent="0.3">
      <c r="A423" s="4" t="s">
        <v>1061</v>
      </c>
      <c r="B423" s="4" t="s">
        <v>7</v>
      </c>
      <c r="C423" s="4">
        <v>7.5</v>
      </c>
    </row>
    <row r="424" spans="1:3" x14ac:dyDescent="0.3">
      <c r="A424" s="3" t="s">
        <v>1064</v>
      </c>
      <c r="B424" s="3" t="s">
        <v>7</v>
      </c>
      <c r="C424" s="3">
        <v>5.4</v>
      </c>
    </row>
    <row r="425" spans="1:3" x14ac:dyDescent="0.3">
      <c r="A425" s="4" t="s">
        <v>1066</v>
      </c>
      <c r="B425" s="4" t="s">
        <v>7</v>
      </c>
      <c r="C425" s="4">
        <v>4.3</v>
      </c>
    </row>
    <row r="426" spans="1:3" x14ac:dyDescent="0.3">
      <c r="A426" s="3" t="s">
        <v>1068</v>
      </c>
      <c r="B426" s="3" t="s">
        <v>7</v>
      </c>
      <c r="C426" s="3">
        <v>4.9000000000000004</v>
      </c>
    </row>
    <row r="427" spans="1:3" x14ac:dyDescent="0.3">
      <c r="A427" s="4" t="s">
        <v>1070</v>
      </c>
      <c r="B427" s="4" t="s">
        <v>7</v>
      </c>
      <c r="C427" s="4">
        <v>7.1</v>
      </c>
    </row>
    <row r="428" spans="1:3" x14ac:dyDescent="0.3">
      <c r="A428" s="3" t="s">
        <v>1072</v>
      </c>
      <c r="B428" s="3" t="s">
        <v>7</v>
      </c>
      <c r="C428" s="3">
        <v>6.4</v>
      </c>
    </row>
    <row r="429" spans="1:3" x14ac:dyDescent="0.3">
      <c r="A429" s="4" t="s">
        <v>1074</v>
      </c>
      <c r="B429" s="4" t="s">
        <v>7</v>
      </c>
      <c r="C429" s="4">
        <v>6.9</v>
      </c>
    </row>
    <row r="430" spans="1:3" x14ac:dyDescent="0.3">
      <c r="A430" s="3" t="s">
        <v>1076</v>
      </c>
      <c r="B430" s="3" t="s">
        <v>7</v>
      </c>
      <c r="C430" s="3">
        <v>4.3</v>
      </c>
    </row>
    <row r="431" spans="1:3" x14ac:dyDescent="0.3">
      <c r="A431" s="4" t="s">
        <v>1078</v>
      </c>
      <c r="B431" s="4" t="s">
        <v>7</v>
      </c>
      <c r="C431" s="4">
        <v>6.1</v>
      </c>
    </row>
    <row r="432" spans="1:3" x14ac:dyDescent="0.3">
      <c r="A432" s="3" t="s">
        <v>1080</v>
      </c>
      <c r="B432" s="3" t="s">
        <v>7</v>
      </c>
      <c r="C432" s="3">
        <v>7</v>
      </c>
    </row>
    <row r="433" spans="1:3" x14ac:dyDescent="0.3">
      <c r="A433" s="4" t="s">
        <v>1083</v>
      </c>
      <c r="B433" s="4" t="s">
        <v>7</v>
      </c>
      <c r="C433" s="4">
        <v>7.7</v>
      </c>
    </row>
    <row r="434" spans="1:3" x14ac:dyDescent="0.3">
      <c r="A434" s="3" t="s">
        <v>1085</v>
      </c>
      <c r="B434" s="3" t="s">
        <v>7</v>
      </c>
      <c r="C434" s="3">
        <v>5.9</v>
      </c>
    </row>
    <row r="435" spans="1:3" x14ac:dyDescent="0.3">
      <c r="A435" s="4" t="s">
        <v>1087</v>
      </c>
      <c r="B435" s="4" t="s">
        <v>7</v>
      </c>
      <c r="C435" s="4">
        <v>6.7</v>
      </c>
    </row>
    <row r="436" spans="1:3" x14ac:dyDescent="0.3">
      <c r="A436" s="3" t="s">
        <v>1089</v>
      </c>
      <c r="B436" s="3" t="s">
        <v>7</v>
      </c>
      <c r="C436" s="3">
        <v>6.5</v>
      </c>
    </row>
    <row r="437" spans="1:3" x14ac:dyDescent="0.3">
      <c r="A437" s="4" t="s">
        <v>1091</v>
      </c>
      <c r="B437" s="4" t="s">
        <v>7</v>
      </c>
      <c r="C437" s="4">
        <v>7.1</v>
      </c>
    </row>
    <row r="438" spans="1:3" x14ac:dyDescent="0.3">
      <c r="A438" s="3" t="s">
        <v>1094</v>
      </c>
      <c r="B438" s="3" t="s">
        <v>7</v>
      </c>
      <c r="C438" s="3">
        <v>7.3</v>
      </c>
    </row>
    <row r="439" spans="1:3" x14ac:dyDescent="0.3">
      <c r="A439" s="4" t="s">
        <v>1096</v>
      </c>
      <c r="B439" s="4" t="s">
        <v>7</v>
      </c>
      <c r="C439" s="4">
        <v>6.5</v>
      </c>
    </row>
    <row r="440" spans="1:3" x14ac:dyDescent="0.3">
      <c r="A440" s="3" t="s">
        <v>1099</v>
      </c>
      <c r="B440" s="3" t="s">
        <v>7</v>
      </c>
      <c r="C440" s="3">
        <v>7</v>
      </c>
    </row>
    <row r="441" spans="1:3" x14ac:dyDescent="0.3">
      <c r="A441" s="4" t="s">
        <v>1102</v>
      </c>
      <c r="B441" s="4" t="s">
        <v>7</v>
      </c>
      <c r="C441" s="4">
        <v>6.8</v>
      </c>
    </row>
    <row r="442" spans="1:3" x14ac:dyDescent="0.3">
      <c r="A442" s="3" t="s">
        <v>1105</v>
      </c>
      <c r="B442" s="3" t="s">
        <v>7</v>
      </c>
      <c r="C442" s="3">
        <v>7.2</v>
      </c>
    </row>
    <row r="443" spans="1:3" x14ac:dyDescent="0.3">
      <c r="A443" s="4" t="s">
        <v>1108</v>
      </c>
      <c r="B443" s="4" t="s">
        <v>7</v>
      </c>
      <c r="C443" s="4">
        <v>6.4</v>
      </c>
    </row>
    <row r="444" spans="1:3" x14ac:dyDescent="0.3">
      <c r="A444" s="3" t="s">
        <v>1111</v>
      </c>
      <c r="B444" s="3" t="s">
        <v>7</v>
      </c>
      <c r="C444" s="3">
        <v>6.1</v>
      </c>
    </row>
    <row r="445" spans="1:3" x14ac:dyDescent="0.3">
      <c r="A445" s="4" t="s">
        <v>1114</v>
      </c>
      <c r="B445" s="4" t="s">
        <v>7</v>
      </c>
      <c r="C445" s="4">
        <v>6.7</v>
      </c>
    </row>
    <row r="446" spans="1:3" x14ac:dyDescent="0.3">
      <c r="A446" s="3" t="s">
        <v>1116</v>
      </c>
      <c r="B446" s="3" t="s">
        <v>7</v>
      </c>
      <c r="C446" s="3">
        <v>6.4</v>
      </c>
    </row>
    <row r="447" spans="1:3" x14ac:dyDescent="0.3">
      <c r="A447" s="4" t="s">
        <v>1119</v>
      </c>
      <c r="B447" s="4" t="s">
        <v>7</v>
      </c>
      <c r="C447" s="4">
        <v>4.4000000000000004</v>
      </c>
    </row>
    <row r="448" spans="1:3" x14ac:dyDescent="0.3">
      <c r="A448" s="3" t="s">
        <v>1121</v>
      </c>
      <c r="B448" s="3" t="s">
        <v>7</v>
      </c>
      <c r="C448" s="3">
        <v>5.4</v>
      </c>
    </row>
    <row r="449" spans="1:3" x14ac:dyDescent="0.3">
      <c r="A449" s="4" t="s">
        <v>1124</v>
      </c>
      <c r="B449" s="4" t="s">
        <v>7</v>
      </c>
      <c r="C449" s="4">
        <v>6.5</v>
      </c>
    </row>
    <row r="450" spans="1:3" x14ac:dyDescent="0.3">
      <c r="A450" s="3" t="s">
        <v>1127</v>
      </c>
      <c r="B450" s="3" t="s">
        <v>7</v>
      </c>
      <c r="C450" s="3">
        <v>6.7</v>
      </c>
    </row>
    <row r="451" spans="1:3" x14ac:dyDescent="0.3">
      <c r="A451" s="4" t="s">
        <v>1130</v>
      </c>
      <c r="B451" s="4" t="s">
        <v>7</v>
      </c>
      <c r="C451" s="4">
        <v>8.1</v>
      </c>
    </row>
    <row r="452" spans="1:3" x14ac:dyDescent="0.3">
      <c r="A452" s="3" t="s">
        <v>1132</v>
      </c>
      <c r="B452" s="3" t="s">
        <v>7</v>
      </c>
      <c r="C452" s="3">
        <v>5.6</v>
      </c>
    </row>
    <row r="453" spans="1:3" x14ac:dyDescent="0.3">
      <c r="A453" s="4" t="s">
        <v>1134</v>
      </c>
      <c r="B453" s="4" t="s">
        <v>7</v>
      </c>
      <c r="C453" s="4">
        <v>6.3</v>
      </c>
    </row>
    <row r="454" spans="1:3" x14ac:dyDescent="0.3">
      <c r="A454" s="3" t="s">
        <v>1137</v>
      </c>
      <c r="B454" s="3" t="s">
        <v>7</v>
      </c>
      <c r="C454" s="3">
        <v>7.3</v>
      </c>
    </row>
    <row r="455" spans="1:3" x14ac:dyDescent="0.3">
      <c r="A455" s="4" t="s">
        <v>1139</v>
      </c>
      <c r="B455" s="4" t="s">
        <v>7</v>
      </c>
      <c r="C455" s="4">
        <v>6.1</v>
      </c>
    </row>
    <row r="456" spans="1:3" x14ac:dyDescent="0.3">
      <c r="A456" s="3" t="s">
        <v>1142</v>
      </c>
      <c r="B456" s="3" t="s">
        <v>7</v>
      </c>
      <c r="C456" s="3">
        <v>7.7</v>
      </c>
    </row>
    <row r="457" spans="1:3" x14ac:dyDescent="0.3">
      <c r="A457" s="4" t="s">
        <v>1144</v>
      </c>
      <c r="B457" s="4" t="s">
        <v>7</v>
      </c>
      <c r="C457" s="4">
        <v>6.4</v>
      </c>
    </row>
    <row r="458" spans="1:3" x14ac:dyDescent="0.3">
      <c r="A458" s="3" t="s">
        <v>1147</v>
      </c>
      <c r="B458" s="3" t="s">
        <v>7</v>
      </c>
      <c r="C458" s="3">
        <v>6.8</v>
      </c>
    </row>
    <row r="459" spans="1:3" x14ac:dyDescent="0.3">
      <c r="A459" s="4" t="s">
        <v>1150</v>
      </c>
      <c r="B459" s="4" t="s">
        <v>7</v>
      </c>
      <c r="C459" s="4">
        <v>6.6</v>
      </c>
    </row>
    <row r="460" spans="1:3" x14ac:dyDescent="0.3">
      <c r="A460" s="3" t="s">
        <v>1153</v>
      </c>
      <c r="B460" s="3" t="s">
        <v>7</v>
      </c>
      <c r="C460" s="3">
        <v>7.2</v>
      </c>
    </row>
    <row r="461" spans="1:3" x14ac:dyDescent="0.3">
      <c r="A461" s="4" t="s">
        <v>1155</v>
      </c>
      <c r="B461" s="4" t="s">
        <v>7</v>
      </c>
      <c r="C461" s="4">
        <v>6.9</v>
      </c>
    </row>
    <row r="462" spans="1:3" x14ac:dyDescent="0.3">
      <c r="A462" s="3" t="s">
        <v>1158</v>
      </c>
      <c r="B462" s="3" t="s">
        <v>7</v>
      </c>
      <c r="C462" s="3">
        <v>5.2</v>
      </c>
    </row>
    <row r="463" spans="1:3" x14ac:dyDescent="0.3">
      <c r="A463" s="4" t="s">
        <v>1161</v>
      </c>
      <c r="B463" s="4" t="s">
        <v>7</v>
      </c>
      <c r="C463" s="4">
        <v>4.9000000000000004</v>
      </c>
    </row>
    <row r="464" spans="1:3" x14ac:dyDescent="0.3">
      <c r="A464" s="3" t="s">
        <v>1163</v>
      </c>
      <c r="B464" s="3" t="s">
        <v>7</v>
      </c>
      <c r="C464" s="3">
        <v>6.3</v>
      </c>
    </row>
    <row r="465" spans="1:3" x14ac:dyDescent="0.3">
      <c r="A465" s="4" t="s">
        <v>1166</v>
      </c>
      <c r="B465" s="4" t="s">
        <v>7</v>
      </c>
      <c r="C465" s="4">
        <v>5.6</v>
      </c>
    </row>
    <row r="466" spans="1:3" x14ac:dyDescent="0.3">
      <c r="A466" s="3" t="s">
        <v>1168</v>
      </c>
      <c r="B466" s="3" t="s">
        <v>7</v>
      </c>
      <c r="C466" s="3">
        <v>5.5</v>
      </c>
    </row>
    <row r="467" spans="1:3" x14ac:dyDescent="0.3">
      <c r="A467" s="4" t="s">
        <v>1170</v>
      </c>
      <c r="B467" s="4" t="s">
        <v>7</v>
      </c>
      <c r="C467" s="4">
        <v>6.7</v>
      </c>
    </row>
    <row r="468" spans="1:3" x14ac:dyDescent="0.3">
      <c r="A468" s="3" t="s">
        <v>1173</v>
      </c>
      <c r="B468" s="3" t="s">
        <v>7</v>
      </c>
      <c r="C468" s="3">
        <v>7.6</v>
      </c>
    </row>
    <row r="469" spans="1:3" x14ac:dyDescent="0.3">
      <c r="A469" s="4" t="s">
        <v>1175</v>
      </c>
      <c r="B469" s="4" t="s">
        <v>7</v>
      </c>
      <c r="C469" s="4">
        <v>5.7</v>
      </c>
    </row>
    <row r="470" spans="1:3" x14ac:dyDescent="0.3">
      <c r="A470" s="3" t="s">
        <v>1177</v>
      </c>
      <c r="B470" s="3" t="s">
        <v>7</v>
      </c>
      <c r="C470" s="3">
        <v>4.5999999999999996</v>
      </c>
    </row>
    <row r="471" spans="1:3" x14ac:dyDescent="0.3">
      <c r="A471" s="4" t="s">
        <v>1179</v>
      </c>
      <c r="B471" s="4" t="s">
        <v>7</v>
      </c>
      <c r="C471" s="4">
        <v>7</v>
      </c>
    </row>
    <row r="472" spans="1:3" x14ac:dyDescent="0.3">
      <c r="A472" s="3" t="s">
        <v>1181</v>
      </c>
      <c r="B472" s="3" t="s">
        <v>7</v>
      </c>
      <c r="C472" s="3">
        <v>5.2</v>
      </c>
    </row>
    <row r="473" spans="1:3" x14ac:dyDescent="0.3">
      <c r="A473" s="4" t="s">
        <v>1183</v>
      </c>
      <c r="B473" s="4" t="s">
        <v>7</v>
      </c>
      <c r="C473" s="4">
        <v>5.0999999999999996</v>
      </c>
    </row>
    <row r="474" spans="1:3" x14ac:dyDescent="0.3">
      <c r="A474" s="3" t="s">
        <v>1185</v>
      </c>
      <c r="B474" s="3" t="s">
        <v>7</v>
      </c>
      <c r="C474" s="3">
        <v>6.6</v>
      </c>
    </row>
    <row r="475" spans="1:3" x14ac:dyDescent="0.3">
      <c r="A475" s="4" t="s">
        <v>1188</v>
      </c>
      <c r="B475" s="4" t="s">
        <v>582</v>
      </c>
      <c r="C475" s="4">
        <v>7</v>
      </c>
    </row>
    <row r="476" spans="1:3" x14ac:dyDescent="0.3">
      <c r="A476" s="3" t="s">
        <v>1190</v>
      </c>
      <c r="B476" s="3" t="s">
        <v>7</v>
      </c>
      <c r="C476" s="3">
        <v>6.7</v>
      </c>
    </row>
    <row r="477" spans="1:3" x14ac:dyDescent="0.3">
      <c r="A477" s="4" t="s">
        <v>1194</v>
      </c>
      <c r="B477" s="4" t="s">
        <v>7</v>
      </c>
      <c r="C477" s="4">
        <v>7.3</v>
      </c>
    </row>
    <row r="478" spans="1:3" x14ac:dyDescent="0.3">
      <c r="A478" s="3" t="s">
        <v>1197</v>
      </c>
      <c r="B478" s="3" t="s">
        <v>7</v>
      </c>
      <c r="C478" s="3">
        <v>5.9</v>
      </c>
    </row>
    <row r="479" spans="1:3" x14ac:dyDescent="0.3">
      <c r="A479" s="4" t="s">
        <v>1199</v>
      </c>
      <c r="B479" s="4" t="s">
        <v>7</v>
      </c>
      <c r="C479" s="4">
        <v>5.6</v>
      </c>
    </row>
    <row r="480" spans="1:3" x14ac:dyDescent="0.3">
      <c r="A480" s="3" t="s">
        <v>1202</v>
      </c>
      <c r="B480" s="3" t="s">
        <v>7</v>
      </c>
      <c r="C480" s="3">
        <v>6.5</v>
      </c>
    </row>
    <row r="481" spans="1:3" x14ac:dyDescent="0.3">
      <c r="A481" s="4" t="s">
        <v>1204</v>
      </c>
      <c r="B481" s="4" t="s">
        <v>7</v>
      </c>
      <c r="C481" s="4">
        <v>5.9</v>
      </c>
    </row>
    <row r="482" spans="1:3" x14ac:dyDescent="0.3">
      <c r="A482" s="3" t="s">
        <v>1206</v>
      </c>
      <c r="B482" s="3" t="s">
        <v>7</v>
      </c>
      <c r="C482" s="3">
        <v>7</v>
      </c>
    </row>
    <row r="483" spans="1:3" x14ac:dyDescent="0.3">
      <c r="A483" s="4" t="s">
        <v>1208</v>
      </c>
      <c r="B483" s="4" t="s">
        <v>7</v>
      </c>
      <c r="C483" s="4">
        <v>5.3</v>
      </c>
    </row>
    <row r="484" spans="1:3" x14ac:dyDescent="0.3">
      <c r="A484" s="3" t="s">
        <v>1210</v>
      </c>
      <c r="B484" s="3" t="s">
        <v>7</v>
      </c>
      <c r="C484" s="3">
        <v>5.9</v>
      </c>
    </row>
    <row r="485" spans="1:3" x14ac:dyDescent="0.3">
      <c r="A485" s="4" t="s">
        <v>1213</v>
      </c>
      <c r="B485" s="4" t="s">
        <v>7</v>
      </c>
      <c r="C485" s="4">
        <v>6.3</v>
      </c>
    </row>
    <row r="486" spans="1:3" x14ac:dyDescent="0.3">
      <c r="A486" s="3" t="s">
        <v>1216</v>
      </c>
      <c r="B486" s="3" t="s">
        <v>7</v>
      </c>
      <c r="C486" s="3">
        <v>6.4</v>
      </c>
    </row>
    <row r="487" spans="1:3" x14ac:dyDescent="0.3">
      <c r="A487" s="4" t="s">
        <v>1218</v>
      </c>
      <c r="B487" s="4" t="s">
        <v>7</v>
      </c>
      <c r="C487" s="4">
        <v>6.9</v>
      </c>
    </row>
    <row r="488" spans="1:3" x14ac:dyDescent="0.3">
      <c r="A488" s="3" t="s">
        <v>1221</v>
      </c>
      <c r="B488" s="3" t="s">
        <v>7</v>
      </c>
      <c r="C488" s="3">
        <v>6.3</v>
      </c>
    </row>
    <row r="489" spans="1:3" x14ac:dyDescent="0.3">
      <c r="A489" s="4" t="s">
        <v>1223</v>
      </c>
      <c r="B489" s="4" t="s">
        <v>7</v>
      </c>
      <c r="C489" s="4">
        <v>7.3</v>
      </c>
    </row>
    <row r="490" spans="1:3" x14ac:dyDescent="0.3">
      <c r="A490" s="3" t="s">
        <v>1225</v>
      </c>
      <c r="B490" s="3" t="s">
        <v>7</v>
      </c>
      <c r="C490" s="3">
        <v>5.8</v>
      </c>
    </row>
    <row r="491" spans="1:3" x14ac:dyDescent="0.3">
      <c r="A491" s="4" t="s">
        <v>1227</v>
      </c>
      <c r="B491" s="4" t="s">
        <v>7</v>
      </c>
      <c r="C491" s="4">
        <v>5.2</v>
      </c>
    </row>
    <row r="492" spans="1:3" x14ac:dyDescent="0.3">
      <c r="A492" s="3" t="s">
        <v>1229</v>
      </c>
      <c r="B492" s="3" t="s">
        <v>7</v>
      </c>
      <c r="C492" s="3">
        <v>2.4</v>
      </c>
    </row>
    <row r="493" spans="1:3" x14ac:dyDescent="0.3">
      <c r="A493" s="4" t="s">
        <v>1231</v>
      </c>
      <c r="B493" s="4" t="s">
        <v>7</v>
      </c>
      <c r="C493" s="4">
        <v>5.7</v>
      </c>
    </row>
    <row r="494" spans="1:3" x14ac:dyDescent="0.3">
      <c r="A494" s="3" t="s">
        <v>1233</v>
      </c>
      <c r="B494" s="3" t="s">
        <v>7</v>
      </c>
      <c r="C494" s="3">
        <v>5.8</v>
      </c>
    </row>
    <row r="495" spans="1:3" x14ac:dyDescent="0.3">
      <c r="A495" s="4" t="s">
        <v>1235</v>
      </c>
      <c r="B495" s="4" t="s">
        <v>7</v>
      </c>
      <c r="C495" s="4">
        <v>5.6</v>
      </c>
    </row>
    <row r="496" spans="1:3" x14ac:dyDescent="0.3">
      <c r="A496" s="3" t="s">
        <v>1238</v>
      </c>
      <c r="B496" s="3" t="s">
        <v>7</v>
      </c>
      <c r="C496" s="3">
        <v>6</v>
      </c>
    </row>
    <row r="497" spans="1:3" x14ac:dyDescent="0.3">
      <c r="A497" s="4" t="s">
        <v>1240</v>
      </c>
      <c r="B497" s="4" t="s">
        <v>7</v>
      </c>
      <c r="C497" s="4">
        <v>5.8</v>
      </c>
    </row>
    <row r="498" spans="1:3" x14ac:dyDescent="0.3">
      <c r="A498" s="3" t="s">
        <v>1242</v>
      </c>
      <c r="B498" s="3" t="s">
        <v>7</v>
      </c>
      <c r="C498" s="3">
        <v>6</v>
      </c>
    </row>
    <row r="499" spans="1:3" x14ac:dyDescent="0.3">
      <c r="A499" s="4" t="s">
        <v>1244</v>
      </c>
      <c r="B499" s="4" t="s">
        <v>7</v>
      </c>
      <c r="C499" s="4">
        <v>5.7</v>
      </c>
    </row>
    <row r="500" spans="1:3" x14ac:dyDescent="0.3">
      <c r="A500" s="3" t="s">
        <v>1247</v>
      </c>
      <c r="B500" s="3" t="s">
        <v>7</v>
      </c>
      <c r="C500" s="3">
        <v>6</v>
      </c>
    </row>
    <row r="501" spans="1:3" x14ac:dyDescent="0.3">
      <c r="A501" s="4" t="s">
        <v>1250</v>
      </c>
      <c r="B501" s="4" t="s">
        <v>7</v>
      </c>
      <c r="C501" s="4">
        <v>7.8</v>
      </c>
    </row>
    <row r="502" spans="1:3" x14ac:dyDescent="0.3">
      <c r="A502" s="3" t="s">
        <v>1253</v>
      </c>
      <c r="B502" s="3" t="s">
        <v>7</v>
      </c>
      <c r="C502" s="3">
        <v>4.2</v>
      </c>
    </row>
    <row r="503" spans="1:3" x14ac:dyDescent="0.3">
      <c r="A503" s="4" t="s">
        <v>1255</v>
      </c>
      <c r="B503" s="4" t="s">
        <v>7</v>
      </c>
      <c r="C503" s="4">
        <v>5.6</v>
      </c>
    </row>
    <row r="504" spans="1:3" x14ac:dyDescent="0.3">
      <c r="A504" s="3" t="s">
        <v>1257</v>
      </c>
      <c r="B504" s="3" t="s">
        <v>7</v>
      </c>
      <c r="C504" s="3">
        <v>4.4000000000000004</v>
      </c>
    </row>
    <row r="505" spans="1:3" x14ac:dyDescent="0.3">
      <c r="A505" s="4" t="s">
        <v>1259</v>
      </c>
      <c r="B505" s="4" t="s">
        <v>7</v>
      </c>
      <c r="C505" s="4">
        <v>8.1999999999999993</v>
      </c>
    </row>
    <row r="506" spans="1:3" x14ac:dyDescent="0.3">
      <c r="A506" s="3" t="s">
        <v>1262</v>
      </c>
      <c r="B506" s="3" t="s">
        <v>7</v>
      </c>
      <c r="C506" s="3">
        <v>8.5</v>
      </c>
    </row>
    <row r="507" spans="1:3" x14ac:dyDescent="0.3">
      <c r="A507" s="4" t="s">
        <v>1264</v>
      </c>
      <c r="B507" s="4" t="s">
        <v>7</v>
      </c>
      <c r="C507" s="4">
        <v>5.8</v>
      </c>
    </row>
    <row r="508" spans="1:3" x14ac:dyDescent="0.3">
      <c r="A508" s="3" t="s">
        <v>1267</v>
      </c>
      <c r="B508" s="3" t="s">
        <v>7</v>
      </c>
      <c r="C508" s="3">
        <v>6.5</v>
      </c>
    </row>
    <row r="509" spans="1:3" x14ac:dyDescent="0.3">
      <c r="A509" s="4" t="s">
        <v>1269</v>
      </c>
      <c r="B509" s="4" t="s">
        <v>7</v>
      </c>
      <c r="C509" s="4">
        <v>7.2</v>
      </c>
    </row>
    <row r="510" spans="1:3" x14ac:dyDescent="0.3">
      <c r="A510" s="3" t="s">
        <v>1272</v>
      </c>
      <c r="B510" s="3" t="s">
        <v>7</v>
      </c>
      <c r="C510" s="3">
        <v>6.7</v>
      </c>
    </row>
    <row r="511" spans="1:3" x14ac:dyDescent="0.3">
      <c r="A511" s="4" t="s">
        <v>1276</v>
      </c>
      <c r="B511" s="4" t="s">
        <v>7</v>
      </c>
      <c r="C511" s="4">
        <v>3.4</v>
      </c>
    </row>
    <row r="512" spans="1:3" x14ac:dyDescent="0.3">
      <c r="A512" s="3" t="s">
        <v>1278</v>
      </c>
      <c r="B512" s="3" t="s">
        <v>7</v>
      </c>
      <c r="C512" s="3">
        <v>5.9</v>
      </c>
    </row>
    <row r="513" spans="1:3" x14ac:dyDescent="0.3">
      <c r="A513" s="4" t="s">
        <v>1280</v>
      </c>
      <c r="B513" s="4" t="s">
        <v>7</v>
      </c>
      <c r="C513" s="4">
        <v>7.8</v>
      </c>
    </row>
    <row r="514" spans="1:3" x14ac:dyDescent="0.3">
      <c r="A514" s="3" t="s">
        <v>1283</v>
      </c>
      <c r="B514" s="3" t="s">
        <v>7</v>
      </c>
      <c r="C514" s="3">
        <v>5.9</v>
      </c>
    </row>
    <row r="515" spans="1:3" x14ac:dyDescent="0.3">
      <c r="A515" s="4" t="s">
        <v>1285</v>
      </c>
      <c r="B515" s="4" t="s">
        <v>7</v>
      </c>
      <c r="C515" s="4">
        <v>4.0999999999999996</v>
      </c>
    </row>
    <row r="516" spans="1:3" x14ac:dyDescent="0.3">
      <c r="A516" s="3" t="s">
        <v>1287</v>
      </c>
      <c r="B516" s="3" t="s">
        <v>7</v>
      </c>
      <c r="C516" s="3">
        <v>6.8</v>
      </c>
    </row>
    <row r="517" spans="1:3" x14ac:dyDescent="0.3">
      <c r="A517" s="4" t="s">
        <v>1290</v>
      </c>
      <c r="B517" s="4" t="s">
        <v>7</v>
      </c>
      <c r="C517" s="4">
        <v>5.8</v>
      </c>
    </row>
    <row r="518" spans="1:3" x14ac:dyDescent="0.3">
      <c r="A518" s="3" t="s">
        <v>1293</v>
      </c>
      <c r="B518" s="3" t="s">
        <v>7</v>
      </c>
      <c r="C518" s="3">
        <v>7.5</v>
      </c>
    </row>
    <row r="519" spans="1:3" x14ac:dyDescent="0.3">
      <c r="A519" s="4" t="s">
        <v>1296</v>
      </c>
      <c r="B519" s="4" t="s">
        <v>7</v>
      </c>
      <c r="C519" s="4">
        <v>6.9</v>
      </c>
    </row>
    <row r="520" spans="1:3" x14ac:dyDescent="0.3">
      <c r="A520" s="3" t="s">
        <v>1299</v>
      </c>
      <c r="B520" s="3" t="s">
        <v>7</v>
      </c>
      <c r="C520" s="3">
        <v>6.5</v>
      </c>
    </row>
    <row r="521" spans="1:3" x14ac:dyDescent="0.3">
      <c r="A521" s="4" t="s">
        <v>1302</v>
      </c>
      <c r="B521" s="4" t="s">
        <v>7</v>
      </c>
      <c r="C521" s="4">
        <v>6.9</v>
      </c>
    </row>
    <row r="522" spans="1:3" x14ac:dyDescent="0.3">
      <c r="A522" s="3" t="s">
        <v>1304</v>
      </c>
      <c r="B522" s="3" t="s">
        <v>7</v>
      </c>
      <c r="C522" s="3">
        <v>7.9</v>
      </c>
    </row>
    <row r="523" spans="1:3" x14ac:dyDescent="0.3">
      <c r="A523" s="4" t="s">
        <v>1307</v>
      </c>
      <c r="B523" s="4" t="s">
        <v>7</v>
      </c>
      <c r="C523" s="4">
        <v>7.4</v>
      </c>
    </row>
    <row r="524" spans="1:3" x14ac:dyDescent="0.3">
      <c r="A524" s="3" t="s">
        <v>1309</v>
      </c>
      <c r="B524" s="3" t="s">
        <v>7</v>
      </c>
      <c r="C524" s="3">
        <v>6.7</v>
      </c>
    </row>
    <row r="525" spans="1:3" x14ac:dyDescent="0.3">
      <c r="A525" s="4" t="s">
        <v>1312</v>
      </c>
      <c r="B525" s="4" t="s">
        <v>7</v>
      </c>
      <c r="C525" s="4">
        <v>7.4</v>
      </c>
    </row>
    <row r="526" spans="1:3" x14ac:dyDescent="0.3">
      <c r="A526" s="3" t="s">
        <v>1316</v>
      </c>
      <c r="B526" s="3" t="s">
        <v>7</v>
      </c>
      <c r="C526" s="3">
        <v>6.9</v>
      </c>
    </row>
    <row r="527" spans="1:3" x14ac:dyDescent="0.3">
      <c r="A527" s="4" t="s">
        <v>1318</v>
      </c>
      <c r="B527" s="4" t="s">
        <v>7</v>
      </c>
      <c r="C527" s="4">
        <v>6.8</v>
      </c>
    </row>
    <row r="528" spans="1:3" x14ac:dyDescent="0.3">
      <c r="A528" s="3" t="s">
        <v>1320</v>
      </c>
      <c r="B528" s="3" t="s">
        <v>7</v>
      </c>
      <c r="C528" s="3">
        <v>6.7</v>
      </c>
    </row>
    <row r="529" spans="1:3" x14ac:dyDescent="0.3">
      <c r="A529" s="4" t="s">
        <v>1322</v>
      </c>
      <c r="B529" s="4" t="s">
        <v>7</v>
      </c>
      <c r="C529" s="4">
        <v>5.0999999999999996</v>
      </c>
    </row>
    <row r="530" spans="1:3" x14ac:dyDescent="0.3">
      <c r="A530" s="3" t="s">
        <v>1324</v>
      </c>
      <c r="B530" s="3" t="s">
        <v>7</v>
      </c>
      <c r="C530" s="3">
        <v>4.0999999999999996</v>
      </c>
    </row>
    <row r="531" spans="1:3" x14ac:dyDescent="0.3">
      <c r="A531" s="4" t="s">
        <v>1326</v>
      </c>
      <c r="B531" s="4" t="s">
        <v>7</v>
      </c>
      <c r="C531" s="4">
        <v>7.3</v>
      </c>
    </row>
    <row r="532" spans="1:3" x14ac:dyDescent="0.3">
      <c r="A532" s="3" t="s">
        <v>1328</v>
      </c>
      <c r="B532" s="3" t="s">
        <v>7</v>
      </c>
      <c r="C532" s="3">
        <v>6</v>
      </c>
    </row>
    <row r="533" spans="1:3" x14ac:dyDescent="0.3">
      <c r="A533" s="4" t="s">
        <v>1331</v>
      </c>
      <c r="B533" s="4" t="s">
        <v>7</v>
      </c>
      <c r="C533" s="4">
        <v>7.3</v>
      </c>
    </row>
    <row r="534" spans="1:3" x14ac:dyDescent="0.3">
      <c r="A534" s="3" t="s">
        <v>1333</v>
      </c>
      <c r="B534" s="3" t="s">
        <v>7</v>
      </c>
      <c r="C534" s="3">
        <v>5.4</v>
      </c>
    </row>
    <row r="535" spans="1:3" x14ac:dyDescent="0.3">
      <c r="A535" s="4" t="s">
        <v>1335</v>
      </c>
      <c r="B535" s="4" t="s">
        <v>7</v>
      </c>
      <c r="C535" s="4">
        <v>5.9</v>
      </c>
    </row>
    <row r="536" spans="1:3" x14ac:dyDescent="0.3">
      <c r="A536" s="3" t="s">
        <v>1338</v>
      </c>
      <c r="B536" s="3" t="s">
        <v>7</v>
      </c>
      <c r="C536" s="3">
        <v>7.1</v>
      </c>
    </row>
    <row r="537" spans="1:3" x14ac:dyDescent="0.3">
      <c r="A537" s="4" t="s">
        <v>1340</v>
      </c>
      <c r="B537" s="4" t="s">
        <v>7</v>
      </c>
      <c r="C537" s="4">
        <v>6</v>
      </c>
    </row>
    <row r="538" spans="1:3" x14ac:dyDescent="0.3">
      <c r="A538" s="3" t="s">
        <v>1343</v>
      </c>
      <c r="B538" s="3" t="s">
        <v>7</v>
      </c>
      <c r="C538" s="3">
        <v>6.5</v>
      </c>
    </row>
    <row r="539" spans="1:3" x14ac:dyDescent="0.3">
      <c r="A539" s="4" t="s">
        <v>1346</v>
      </c>
      <c r="B539" s="4" t="s">
        <v>7</v>
      </c>
      <c r="C539" s="4">
        <v>5.7</v>
      </c>
    </row>
    <row r="540" spans="1:3" x14ac:dyDescent="0.3">
      <c r="A540" s="3" t="s">
        <v>1348</v>
      </c>
      <c r="B540" s="3" t="s">
        <v>7</v>
      </c>
      <c r="C540" s="3">
        <v>7.6</v>
      </c>
    </row>
    <row r="541" spans="1:3" x14ac:dyDescent="0.3">
      <c r="A541" s="4" t="s">
        <v>1351</v>
      </c>
      <c r="B541" s="4" t="s">
        <v>7</v>
      </c>
      <c r="C541" s="4">
        <v>6.6</v>
      </c>
    </row>
    <row r="542" spans="1:3" x14ac:dyDescent="0.3">
      <c r="A542" s="3" t="s">
        <v>1354</v>
      </c>
      <c r="B542" s="3" t="s">
        <v>7</v>
      </c>
      <c r="C542" s="3">
        <v>5.4</v>
      </c>
    </row>
    <row r="543" spans="1:3" x14ac:dyDescent="0.3">
      <c r="A543" s="4" t="s">
        <v>1357</v>
      </c>
      <c r="B543" s="4" t="s">
        <v>7</v>
      </c>
      <c r="C543" s="4">
        <v>7.3</v>
      </c>
    </row>
    <row r="544" spans="1:3" x14ac:dyDescent="0.3">
      <c r="A544" s="3" t="s">
        <v>1359</v>
      </c>
      <c r="B544" s="3" t="s">
        <v>7</v>
      </c>
      <c r="C544" s="3">
        <v>6.5</v>
      </c>
    </row>
    <row r="545" spans="1:3" x14ac:dyDescent="0.3">
      <c r="A545" s="4" t="s">
        <v>1361</v>
      </c>
      <c r="B545" s="4" t="s">
        <v>7</v>
      </c>
      <c r="C545" s="4">
        <v>6.6</v>
      </c>
    </row>
    <row r="546" spans="1:3" x14ac:dyDescent="0.3">
      <c r="A546" s="3" t="s">
        <v>1364</v>
      </c>
      <c r="B546" s="3" t="s">
        <v>7</v>
      </c>
      <c r="C546" s="3">
        <v>6.6</v>
      </c>
    </row>
    <row r="547" spans="1:3" x14ac:dyDescent="0.3">
      <c r="A547" s="4" t="s">
        <v>1366</v>
      </c>
      <c r="B547" s="4" t="s">
        <v>7</v>
      </c>
      <c r="C547" s="4">
        <v>5.9</v>
      </c>
    </row>
    <row r="548" spans="1:3" x14ac:dyDescent="0.3">
      <c r="A548" s="3" t="s">
        <v>1368</v>
      </c>
      <c r="B548" s="3" t="s">
        <v>7</v>
      </c>
      <c r="C548" s="3">
        <v>6.7</v>
      </c>
    </row>
    <row r="549" spans="1:3" x14ac:dyDescent="0.3">
      <c r="A549" s="4" t="s">
        <v>1370</v>
      </c>
      <c r="B549" s="4" t="s">
        <v>7</v>
      </c>
      <c r="C549" s="4">
        <v>6.1</v>
      </c>
    </row>
    <row r="550" spans="1:3" x14ac:dyDescent="0.3">
      <c r="A550" s="3" t="s">
        <v>1372</v>
      </c>
      <c r="B550" s="3" t="s">
        <v>7</v>
      </c>
      <c r="C550" s="3">
        <v>6.6</v>
      </c>
    </row>
    <row r="551" spans="1:3" x14ac:dyDescent="0.3">
      <c r="A551" s="4" t="s">
        <v>1374</v>
      </c>
      <c r="B551" s="4" t="s">
        <v>7</v>
      </c>
      <c r="C551" s="4">
        <v>6.6</v>
      </c>
    </row>
    <row r="552" spans="1:3" x14ac:dyDescent="0.3">
      <c r="A552" s="3" t="s">
        <v>1377</v>
      </c>
      <c r="B552" s="3" t="s">
        <v>7</v>
      </c>
      <c r="C552" s="3">
        <v>5.3</v>
      </c>
    </row>
    <row r="553" spans="1:3" x14ac:dyDescent="0.3">
      <c r="A553" s="4" t="s">
        <v>1379</v>
      </c>
      <c r="B553" s="4" t="s">
        <v>7</v>
      </c>
      <c r="C553" s="4">
        <v>6</v>
      </c>
    </row>
    <row r="554" spans="1:3" x14ac:dyDescent="0.3">
      <c r="A554" s="3" t="s">
        <v>1381</v>
      </c>
      <c r="B554" s="3" t="s">
        <v>7</v>
      </c>
      <c r="C554" s="3">
        <v>6</v>
      </c>
    </row>
    <row r="555" spans="1:3" x14ac:dyDescent="0.3">
      <c r="A555" s="4" t="s">
        <v>1384</v>
      </c>
      <c r="B555" s="4" t="s">
        <v>7</v>
      </c>
      <c r="C555" s="4">
        <v>4.7</v>
      </c>
    </row>
    <row r="556" spans="1:3" x14ac:dyDescent="0.3">
      <c r="A556" s="3" t="s">
        <v>1387</v>
      </c>
      <c r="B556" s="3" t="s">
        <v>7</v>
      </c>
      <c r="C556" s="3">
        <v>6.1</v>
      </c>
    </row>
    <row r="557" spans="1:3" x14ac:dyDescent="0.3">
      <c r="A557" s="4" t="s">
        <v>1390</v>
      </c>
      <c r="B557" s="4" t="s">
        <v>7</v>
      </c>
      <c r="C557" s="4">
        <v>7.2</v>
      </c>
    </row>
    <row r="558" spans="1:3" x14ac:dyDescent="0.3">
      <c r="A558" s="3" t="s">
        <v>1392</v>
      </c>
      <c r="B558" s="3" t="s">
        <v>7</v>
      </c>
      <c r="C558" s="3">
        <v>6.4</v>
      </c>
    </row>
    <row r="559" spans="1:3" x14ac:dyDescent="0.3">
      <c r="A559" s="4" t="s">
        <v>1395</v>
      </c>
      <c r="B559" s="4" t="s">
        <v>7</v>
      </c>
      <c r="C559" s="4">
        <v>6.1</v>
      </c>
    </row>
    <row r="560" spans="1:3" x14ac:dyDescent="0.3">
      <c r="A560" s="3" t="s">
        <v>1397</v>
      </c>
      <c r="B560" s="3" t="s">
        <v>7</v>
      </c>
      <c r="C560" s="3">
        <v>5.9</v>
      </c>
    </row>
    <row r="561" spans="1:3" x14ac:dyDescent="0.3">
      <c r="A561" s="4" t="s">
        <v>1399</v>
      </c>
      <c r="B561" s="4" t="s">
        <v>7</v>
      </c>
      <c r="C561" s="4">
        <v>6</v>
      </c>
    </row>
    <row r="562" spans="1:3" x14ac:dyDescent="0.3">
      <c r="A562" s="3" t="s">
        <v>1401</v>
      </c>
      <c r="B562" s="3" t="s">
        <v>7</v>
      </c>
      <c r="C562" s="3">
        <v>6.3</v>
      </c>
    </row>
    <row r="563" spans="1:3" x14ac:dyDescent="0.3">
      <c r="A563" s="4" t="s">
        <v>1403</v>
      </c>
      <c r="B563" s="4" t="s">
        <v>7</v>
      </c>
      <c r="C563" s="4">
        <v>5.6</v>
      </c>
    </row>
    <row r="564" spans="1:3" x14ac:dyDescent="0.3">
      <c r="A564" s="3" t="s">
        <v>1405</v>
      </c>
      <c r="B564" s="3" t="s">
        <v>7</v>
      </c>
      <c r="C564" s="3">
        <v>6.4</v>
      </c>
    </row>
    <row r="565" spans="1:3" x14ac:dyDescent="0.3">
      <c r="A565" s="4" t="s">
        <v>1408</v>
      </c>
      <c r="B565" s="4" t="s">
        <v>7</v>
      </c>
      <c r="C565" s="4">
        <v>7.1</v>
      </c>
    </row>
    <row r="566" spans="1:3" x14ac:dyDescent="0.3">
      <c r="A566" s="3" t="s">
        <v>1411</v>
      </c>
      <c r="B566" s="3" t="s">
        <v>7</v>
      </c>
      <c r="C566" s="3">
        <v>6.6</v>
      </c>
    </row>
    <row r="567" spans="1:3" x14ac:dyDescent="0.3">
      <c r="A567" s="4" t="s">
        <v>1413</v>
      </c>
      <c r="B567" s="4" t="s">
        <v>7</v>
      </c>
      <c r="C567" s="4">
        <v>4.5999999999999996</v>
      </c>
    </row>
    <row r="568" spans="1:3" x14ac:dyDescent="0.3">
      <c r="A568" s="3" t="s">
        <v>1415</v>
      </c>
      <c r="B568" s="3" t="s">
        <v>7</v>
      </c>
      <c r="C568" s="3">
        <v>8.4</v>
      </c>
    </row>
    <row r="569" spans="1:3" x14ac:dyDescent="0.3">
      <c r="A569" s="4" t="s">
        <v>1418</v>
      </c>
      <c r="B569" s="4" t="s">
        <v>7</v>
      </c>
      <c r="C569" s="4">
        <v>7.1</v>
      </c>
    </row>
    <row r="570" spans="1:3" x14ac:dyDescent="0.3">
      <c r="A570" s="3" t="s">
        <v>1421</v>
      </c>
      <c r="B570" s="3" t="s">
        <v>7</v>
      </c>
      <c r="C570" s="3">
        <v>7.4</v>
      </c>
    </row>
    <row r="571" spans="1:3" x14ac:dyDescent="0.3">
      <c r="A571" s="4" t="s">
        <v>1423</v>
      </c>
      <c r="B571" s="4" t="s">
        <v>7</v>
      </c>
      <c r="C571" s="4">
        <v>6.9</v>
      </c>
    </row>
    <row r="572" spans="1:3" x14ac:dyDescent="0.3">
      <c r="A572" s="3" t="s">
        <v>1426</v>
      </c>
      <c r="B572" s="3" t="s">
        <v>7</v>
      </c>
      <c r="C572" s="3">
        <v>4.5</v>
      </c>
    </row>
    <row r="573" spans="1:3" x14ac:dyDescent="0.3">
      <c r="A573" s="4" t="s">
        <v>1429</v>
      </c>
      <c r="B573" s="4" t="s">
        <v>7</v>
      </c>
      <c r="C573" s="4">
        <v>7.1</v>
      </c>
    </row>
    <row r="574" spans="1:3" x14ac:dyDescent="0.3">
      <c r="A574" s="3" t="s">
        <v>1431</v>
      </c>
      <c r="B574" s="3" t="s">
        <v>7</v>
      </c>
      <c r="C574" s="3">
        <v>6.5</v>
      </c>
    </row>
    <row r="575" spans="1:3" x14ac:dyDescent="0.3">
      <c r="A575" s="4" t="s">
        <v>1433</v>
      </c>
      <c r="B575" s="4" t="s">
        <v>7</v>
      </c>
      <c r="C575" s="4">
        <v>5.3</v>
      </c>
    </row>
    <row r="576" spans="1:3" x14ac:dyDescent="0.3">
      <c r="A576" s="3" t="s">
        <v>1436</v>
      </c>
      <c r="B576" s="3" t="s">
        <v>7</v>
      </c>
      <c r="C576" s="3">
        <v>6.7</v>
      </c>
    </row>
    <row r="577" spans="1:3" x14ac:dyDescent="0.3">
      <c r="A577" s="4" t="s">
        <v>1438</v>
      </c>
      <c r="B577" s="4" t="s">
        <v>7</v>
      </c>
      <c r="C577" s="4">
        <v>7.2</v>
      </c>
    </row>
    <row r="578" spans="1:3" x14ac:dyDescent="0.3">
      <c r="A578" s="3" t="s">
        <v>1441</v>
      </c>
      <c r="B578" s="3" t="s">
        <v>7</v>
      </c>
      <c r="C578" s="3">
        <v>7.2</v>
      </c>
    </row>
    <row r="579" spans="1:3" x14ac:dyDescent="0.3">
      <c r="A579" s="4" t="s">
        <v>1444</v>
      </c>
      <c r="B579" s="4" t="s">
        <v>7</v>
      </c>
      <c r="C579" s="4">
        <v>5.5</v>
      </c>
    </row>
    <row r="580" spans="1:3" x14ac:dyDescent="0.3">
      <c r="A580" s="3" t="s">
        <v>1446</v>
      </c>
      <c r="B580" s="3" t="s">
        <v>7</v>
      </c>
      <c r="C580" s="3">
        <v>5.8</v>
      </c>
    </row>
    <row r="581" spans="1:3" x14ac:dyDescent="0.3">
      <c r="A581" s="4" t="s">
        <v>1448</v>
      </c>
      <c r="B581" s="4" t="s">
        <v>7</v>
      </c>
      <c r="C581" s="4">
        <v>6</v>
      </c>
    </row>
    <row r="582" spans="1:3" x14ac:dyDescent="0.3">
      <c r="A582" s="3" t="s">
        <v>1451</v>
      </c>
      <c r="B582" s="3" t="s">
        <v>7</v>
      </c>
      <c r="C582" s="3">
        <v>6.6</v>
      </c>
    </row>
    <row r="583" spans="1:3" x14ac:dyDescent="0.3">
      <c r="A583" s="4" t="s">
        <v>1453</v>
      </c>
      <c r="B583" s="4" t="s">
        <v>7</v>
      </c>
      <c r="C583" s="4">
        <v>8.3000000000000007</v>
      </c>
    </row>
    <row r="584" spans="1:3" x14ac:dyDescent="0.3">
      <c r="A584" s="3" t="s">
        <v>1455</v>
      </c>
      <c r="B584" s="3" t="s">
        <v>7</v>
      </c>
      <c r="C584" s="3">
        <v>6.7</v>
      </c>
    </row>
    <row r="585" spans="1:3" x14ac:dyDescent="0.3">
      <c r="A585" s="4" t="s">
        <v>1458</v>
      </c>
      <c r="B585" s="4" t="s">
        <v>7</v>
      </c>
      <c r="C585" s="4">
        <v>6</v>
      </c>
    </row>
    <row r="586" spans="1:3" x14ac:dyDescent="0.3">
      <c r="A586" s="3" t="s">
        <v>1461</v>
      </c>
      <c r="B586" s="3" t="s">
        <v>7</v>
      </c>
      <c r="C586" s="3">
        <v>7.1</v>
      </c>
    </row>
    <row r="587" spans="1:3" x14ac:dyDescent="0.3">
      <c r="A587" s="4" t="s">
        <v>1463</v>
      </c>
      <c r="B587" s="4" t="s">
        <v>7</v>
      </c>
      <c r="C587" s="4">
        <v>6</v>
      </c>
    </row>
    <row r="588" spans="1:3" x14ac:dyDescent="0.3">
      <c r="A588" s="3" t="s">
        <v>1465</v>
      </c>
      <c r="B588" s="3" t="s">
        <v>7</v>
      </c>
      <c r="C588" s="3">
        <v>6.9</v>
      </c>
    </row>
    <row r="589" spans="1:3" x14ac:dyDescent="0.3">
      <c r="A589" s="4" t="s">
        <v>1468</v>
      </c>
      <c r="B589" s="4" t="s">
        <v>7</v>
      </c>
      <c r="C589" s="4">
        <v>5.6</v>
      </c>
    </row>
    <row r="590" spans="1:3" x14ac:dyDescent="0.3">
      <c r="A590" s="3" t="s">
        <v>1470</v>
      </c>
      <c r="B590" s="3" t="s">
        <v>7</v>
      </c>
      <c r="C590" s="3">
        <v>5.6</v>
      </c>
    </row>
    <row r="591" spans="1:3" x14ac:dyDescent="0.3">
      <c r="A591" s="4" t="s">
        <v>1472</v>
      </c>
      <c r="B591" s="4" t="s">
        <v>7</v>
      </c>
      <c r="C591" s="4">
        <v>4.5</v>
      </c>
    </row>
    <row r="592" spans="1:3" x14ac:dyDescent="0.3">
      <c r="A592" s="3" t="s">
        <v>1474</v>
      </c>
      <c r="B592" s="3" t="s">
        <v>7</v>
      </c>
      <c r="C592" s="3">
        <v>7.1</v>
      </c>
    </row>
    <row r="593" spans="1:3" x14ac:dyDescent="0.3">
      <c r="A593" s="4" t="s">
        <v>1476</v>
      </c>
      <c r="B593" s="4" t="s">
        <v>7</v>
      </c>
      <c r="C593" s="4">
        <v>6.5</v>
      </c>
    </row>
    <row r="594" spans="1:3" x14ac:dyDescent="0.3">
      <c r="A594" s="3" t="s">
        <v>1478</v>
      </c>
      <c r="B594" s="3" t="s">
        <v>7</v>
      </c>
      <c r="C594" s="3">
        <v>6.4</v>
      </c>
    </row>
    <row r="595" spans="1:3" x14ac:dyDescent="0.3">
      <c r="A595" s="4" t="s">
        <v>1481</v>
      </c>
      <c r="B595" s="4" t="s">
        <v>7</v>
      </c>
      <c r="C595" s="4">
        <v>5.8</v>
      </c>
    </row>
    <row r="596" spans="1:3" x14ac:dyDescent="0.3">
      <c r="A596" s="3" t="s">
        <v>1483</v>
      </c>
      <c r="B596" s="3" t="s">
        <v>7</v>
      </c>
      <c r="C596" s="3">
        <v>8</v>
      </c>
    </row>
    <row r="597" spans="1:3" x14ac:dyDescent="0.3">
      <c r="A597" s="4" t="s">
        <v>1486</v>
      </c>
      <c r="B597" s="4" t="s">
        <v>7</v>
      </c>
      <c r="C597" s="4">
        <v>6.2</v>
      </c>
    </row>
    <row r="598" spans="1:3" x14ac:dyDescent="0.3">
      <c r="A598" s="3" t="s">
        <v>1489</v>
      </c>
      <c r="B598" s="3" t="s">
        <v>7</v>
      </c>
      <c r="C598" s="3">
        <v>7.2</v>
      </c>
    </row>
    <row r="599" spans="1:3" x14ac:dyDescent="0.3">
      <c r="A599" s="4" t="s">
        <v>1491</v>
      </c>
      <c r="B599" s="4" t="s">
        <v>7</v>
      </c>
      <c r="C599" s="4">
        <v>6.1</v>
      </c>
    </row>
    <row r="600" spans="1:3" x14ac:dyDescent="0.3">
      <c r="A600" s="3" t="s">
        <v>1494</v>
      </c>
      <c r="B600" s="3" t="s">
        <v>7</v>
      </c>
      <c r="C600" s="3">
        <v>7.6</v>
      </c>
    </row>
    <row r="601" spans="1:3" x14ac:dyDescent="0.3">
      <c r="A601" s="4" t="s">
        <v>1496</v>
      </c>
      <c r="B601" s="4" t="s">
        <v>7</v>
      </c>
      <c r="C601" s="4">
        <v>6.3</v>
      </c>
    </row>
    <row r="602" spans="1:3" x14ac:dyDescent="0.3">
      <c r="A602" s="3" t="s">
        <v>1498</v>
      </c>
      <c r="B602" s="3" t="s">
        <v>7</v>
      </c>
      <c r="C602" s="3">
        <v>6.3</v>
      </c>
    </row>
    <row r="603" spans="1:3" x14ac:dyDescent="0.3">
      <c r="A603" s="4" t="s">
        <v>1500</v>
      </c>
      <c r="B603" s="4" t="s">
        <v>7</v>
      </c>
      <c r="C603" s="4">
        <v>6.3</v>
      </c>
    </row>
    <row r="604" spans="1:3" x14ac:dyDescent="0.3">
      <c r="A604" s="3" t="s">
        <v>1502</v>
      </c>
      <c r="B604" s="3" t="s">
        <v>7</v>
      </c>
      <c r="C604" s="3">
        <v>7.7</v>
      </c>
    </row>
    <row r="605" spans="1:3" x14ac:dyDescent="0.3">
      <c r="A605" s="4" t="s">
        <v>1505</v>
      </c>
      <c r="B605" s="4" t="s">
        <v>7</v>
      </c>
      <c r="C605" s="4">
        <v>7</v>
      </c>
    </row>
    <row r="606" spans="1:3" x14ac:dyDescent="0.3">
      <c r="A606" s="3" t="s">
        <v>1507</v>
      </c>
      <c r="B606" s="3" t="s">
        <v>7</v>
      </c>
      <c r="C606" s="3">
        <v>5.3</v>
      </c>
    </row>
    <row r="607" spans="1:3" x14ac:dyDescent="0.3">
      <c r="A607" s="4" t="s">
        <v>1509</v>
      </c>
      <c r="B607" s="4" t="s">
        <v>7</v>
      </c>
      <c r="C607" s="4">
        <v>5.6</v>
      </c>
    </row>
    <row r="608" spans="1:3" x14ac:dyDescent="0.3">
      <c r="A608" s="3" t="s">
        <v>1512</v>
      </c>
      <c r="B608" s="3" t="s">
        <v>7</v>
      </c>
      <c r="C608" s="3">
        <v>5.2</v>
      </c>
    </row>
    <row r="609" spans="1:3" x14ac:dyDescent="0.3">
      <c r="A609" s="4" t="s">
        <v>1514</v>
      </c>
      <c r="B609" s="4" t="s">
        <v>7</v>
      </c>
      <c r="C609" s="4">
        <v>5.4</v>
      </c>
    </row>
    <row r="610" spans="1:3" x14ac:dyDescent="0.3">
      <c r="A610" s="3" t="s">
        <v>1516</v>
      </c>
      <c r="B610" s="3" t="s">
        <v>7</v>
      </c>
      <c r="C610" s="3">
        <v>6.4</v>
      </c>
    </row>
    <row r="611" spans="1:3" x14ac:dyDescent="0.3">
      <c r="A611" s="4" t="s">
        <v>1518</v>
      </c>
      <c r="B611" s="4" t="s">
        <v>7</v>
      </c>
      <c r="C611" s="4">
        <v>5.9</v>
      </c>
    </row>
    <row r="612" spans="1:3" x14ac:dyDescent="0.3">
      <c r="A612" s="3" t="s">
        <v>1520</v>
      </c>
      <c r="B612" s="3" t="s">
        <v>7</v>
      </c>
      <c r="C612" s="3">
        <v>6.3</v>
      </c>
    </row>
    <row r="613" spans="1:3" x14ac:dyDescent="0.3">
      <c r="A613" s="4" t="s">
        <v>1522</v>
      </c>
      <c r="B613" s="4" t="s">
        <v>7</v>
      </c>
      <c r="C613" s="4">
        <v>6.5</v>
      </c>
    </row>
    <row r="614" spans="1:3" x14ac:dyDescent="0.3">
      <c r="A614" s="3" t="s">
        <v>1524</v>
      </c>
      <c r="B614" s="3" t="s">
        <v>7</v>
      </c>
      <c r="C614" s="3">
        <v>3</v>
      </c>
    </row>
    <row r="615" spans="1:3" x14ac:dyDescent="0.3">
      <c r="A615" s="4" t="s">
        <v>1526</v>
      </c>
      <c r="B615" s="4" t="s">
        <v>7</v>
      </c>
      <c r="C615" s="4">
        <v>3.6</v>
      </c>
    </row>
    <row r="616" spans="1:3" x14ac:dyDescent="0.3">
      <c r="A616" s="3" t="s">
        <v>1528</v>
      </c>
      <c r="B616" s="3" t="s">
        <v>7</v>
      </c>
      <c r="C616" s="3">
        <v>5.8</v>
      </c>
    </row>
    <row r="617" spans="1:3" x14ac:dyDescent="0.3">
      <c r="A617" s="4" t="s">
        <v>1530</v>
      </c>
      <c r="B617" s="4" t="s">
        <v>7</v>
      </c>
      <c r="C617" s="4">
        <v>6.2</v>
      </c>
    </row>
    <row r="618" spans="1:3" x14ac:dyDescent="0.3">
      <c r="A618" s="3" t="s">
        <v>1533</v>
      </c>
      <c r="B618" s="3" t="s">
        <v>7</v>
      </c>
      <c r="C618" s="3">
        <v>5.6</v>
      </c>
    </row>
    <row r="619" spans="1:3" x14ac:dyDescent="0.3">
      <c r="A619" s="4" t="s">
        <v>1535</v>
      </c>
      <c r="B619" s="4" t="s">
        <v>7</v>
      </c>
      <c r="C619" s="4">
        <v>5.4</v>
      </c>
    </row>
    <row r="620" spans="1:3" x14ac:dyDescent="0.3">
      <c r="A620" s="3" t="s">
        <v>1538</v>
      </c>
      <c r="B620" s="3" t="s">
        <v>7</v>
      </c>
      <c r="C620" s="3">
        <v>6.1</v>
      </c>
    </row>
    <row r="621" spans="1:3" x14ac:dyDescent="0.3">
      <c r="A621" s="4" t="s">
        <v>1540</v>
      </c>
      <c r="B621" s="4" t="s">
        <v>7</v>
      </c>
      <c r="C621" s="4">
        <v>4.2</v>
      </c>
    </row>
    <row r="622" spans="1:3" x14ac:dyDescent="0.3">
      <c r="A622" s="3" t="s">
        <v>1542</v>
      </c>
      <c r="B622" s="3" t="s">
        <v>7</v>
      </c>
      <c r="C622" s="3">
        <v>6.7</v>
      </c>
    </row>
    <row r="623" spans="1:3" x14ac:dyDescent="0.3">
      <c r="A623" s="4" t="s">
        <v>1544</v>
      </c>
      <c r="B623" s="4" t="s">
        <v>7</v>
      </c>
      <c r="C623" s="4">
        <v>4.2</v>
      </c>
    </row>
    <row r="624" spans="1:3" x14ac:dyDescent="0.3">
      <c r="A624" s="3" t="s">
        <v>1546</v>
      </c>
      <c r="B624" s="3" t="s">
        <v>7</v>
      </c>
      <c r="C624" s="3">
        <v>6.4</v>
      </c>
    </row>
    <row r="625" spans="1:3" x14ac:dyDescent="0.3">
      <c r="A625" s="4" t="s">
        <v>1548</v>
      </c>
      <c r="B625" s="4" t="s">
        <v>7</v>
      </c>
      <c r="C625" s="4">
        <v>4.9000000000000004</v>
      </c>
    </row>
    <row r="626" spans="1:3" x14ac:dyDescent="0.3">
      <c r="A626" s="3" t="s">
        <v>1550</v>
      </c>
      <c r="B626" s="3" t="s">
        <v>7</v>
      </c>
      <c r="C626" s="3">
        <v>6.8</v>
      </c>
    </row>
    <row r="627" spans="1:3" x14ac:dyDescent="0.3">
      <c r="A627" s="4" t="s">
        <v>1552</v>
      </c>
      <c r="B627" s="4" t="s">
        <v>7</v>
      </c>
      <c r="C627" s="4">
        <v>7.7</v>
      </c>
    </row>
    <row r="628" spans="1:3" x14ac:dyDescent="0.3">
      <c r="A628" s="3" t="s">
        <v>1554</v>
      </c>
      <c r="B628" s="3" t="s">
        <v>7</v>
      </c>
      <c r="C628" s="3">
        <v>5.6</v>
      </c>
    </row>
    <row r="629" spans="1:3" x14ac:dyDescent="0.3">
      <c r="A629" s="4" t="s">
        <v>1557</v>
      </c>
      <c r="B629" s="4" t="s">
        <v>7</v>
      </c>
      <c r="C629" s="4">
        <v>6.4</v>
      </c>
    </row>
    <row r="630" spans="1:3" x14ac:dyDescent="0.3">
      <c r="A630" s="3" t="s">
        <v>1559</v>
      </c>
      <c r="B630" s="3" t="s">
        <v>7</v>
      </c>
      <c r="C630" s="3">
        <v>7.2</v>
      </c>
    </row>
    <row r="631" spans="1:3" x14ac:dyDescent="0.3">
      <c r="A631" s="4" t="s">
        <v>1561</v>
      </c>
      <c r="B631" s="4" t="s">
        <v>7</v>
      </c>
      <c r="C631" s="4">
        <v>6</v>
      </c>
    </row>
    <row r="632" spans="1:3" x14ac:dyDescent="0.3">
      <c r="A632" s="3" t="s">
        <v>1564</v>
      </c>
      <c r="B632" s="3" t="s">
        <v>7</v>
      </c>
      <c r="C632" s="3">
        <v>5.9</v>
      </c>
    </row>
    <row r="633" spans="1:3" x14ac:dyDescent="0.3">
      <c r="A633" s="4" t="s">
        <v>1566</v>
      </c>
      <c r="B633" s="4" t="s">
        <v>7</v>
      </c>
      <c r="C633" s="4">
        <v>7.9</v>
      </c>
    </row>
    <row r="634" spans="1:3" x14ac:dyDescent="0.3">
      <c r="A634" s="3" t="s">
        <v>1568</v>
      </c>
      <c r="B634" s="3" t="s">
        <v>7</v>
      </c>
      <c r="C634" s="3">
        <v>6.8</v>
      </c>
    </row>
    <row r="635" spans="1:3" x14ac:dyDescent="0.3">
      <c r="A635" s="4" t="s">
        <v>1570</v>
      </c>
      <c r="B635" s="4" t="s">
        <v>7</v>
      </c>
      <c r="C635" s="4">
        <v>7.1</v>
      </c>
    </row>
    <row r="636" spans="1:3" x14ac:dyDescent="0.3">
      <c r="A636" s="3" t="s">
        <v>1572</v>
      </c>
      <c r="B636" s="3" t="s">
        <v>7</v>
      </c>
      <c r="C636" s="3">
        <v>5.9</v>
      </c>
    </row>
    <row r="637" spans="1:3" x14ac:dyDescent="0.3">
      <c r="A637" s="4" t="s">
        <v>1574</v>
      </c>
      <c r="B637" s="4" t="s">
        <v>7</v>
      </c>
      <c r="C637" s="4">
        <v>5.9</v>
      </c>
    </row>
    <row r="638" spans="1:3" x14ac:dyDescent="0.3">
      <c r="A638" s="3" t="s">
        <v>1576</v>
      </c>
      <c r="B638" s="3" t="s">
        <v>7</v>
      </c>
      <c r="C638" s="3">
        <v>6.2</v>
      </c>
    </row>
    <row r="639" spans="1:3" x14ac:dyDescent="0.3">
      <c r="A639" s="4" t="s">
        <v>1579</v>
      </c>
      <c r="B639" s="4" t="s">
        <v>7</v>
      </c>
      <c r="C639" s="4">
        <v>7</v>
      </c>
    </row>
    <row r="640" spans="1:3" x14ac:dyDescent="0.3">
      <c r="A640" s="3" t="s">
        <v>1581</v>
      </c>
      <c r="B640" s="3" t="s">
        <v>7</v>
      </c>
      <c r="C640" s="3">
        <v>5.4</v>
      </c>
    </row>
    <row r="641" spans="1:3" x14ac:dyDescent="0.3">
      <c r="A641" s="4" t="s">
        <v>1583</v>
      </c>
      <c r="B641" s="4" t="s">
        <v>7</v>
      </c>
      <c r="C641" s="4">
        <v>8.6</v>
      </c>
    </row>
    <row r="642" spans="1:3" x14ac:dyDescent="0.3">
      <c r="A642" s="3" t="s">
        <v>1586</v>
      </c>
      <c r="B642" s="3" t="s">
        <v>7</v>
      </c>
      <c r="C642" s="3">
        <v>6.5</v>
      </c>
    </row>
    <row r="643" spans="1:3" x14ac:dyDescent="0.3">
      <c r="A643" s="4" t="s">
        <v>1588</v>
      </c>
      <c r="B643" s="4" t="s">
        <v>7</v>
      </c>
      <c r="C643" s="4">
        <v>6.4</v>
      </c>
    </row>
    <row r="644" spans="1:3" x14ac:dyDescent="0.3">
      <c r="A644" s="3" t="s">
        <v>1590</v>
      </c>
      <c r="B644" s="3" t="s">
        <v>7</v>
      </c>
      <c r="C644" s="3">
        <v>7.6</v>
      </c>
    </row>
    <row r="645" spans="1:3" x14ac:dyDescent="0.3">
      <c r="A645" s="4" t="s">
        <v>1592</v>
      </c>
      <c r="B645" s="4" t="s">
        <v>7</v>
      </c>
      <c r="C645" s="4">
        <v>5.5</v>
      </c>
    </row>
    <row r="646" spans="1:3" x14ac:dyDescent="0.3">
      <c r="A646" s="3" t="s">
        <v>1595</v>
      </c>
      <c r="B646" s="3" t="s">
        <v>7</v>
      </c>
      <c r="C646" s="3">
        <v>7.4</v>
      </c>
    </row>
    <row r="647" spans="1:3" x14ac:dyDescent="0.3">
      <c r="A647" s="4" t="s">
        <v>1598</v>
      </c>
      <c r="B647" s="4" t="s">
        <v>7</v>
      </c>
      <c r="C647" s="4">
        <v>8.6999999999999993</v>
      </c>
    </row>
    <row r="648" spans="1:3" x14ac:dyDescent="0.3">
      <c r="A648" s="3" t="s">
        <v>1601</v>
      </c>
      <c r="B648" s="3" t="s">
        <v>7</v>
      </c>
      <c r="C648" s="3">
        <v>7.6</v>
      </c>
    </row>
    <row r="649" spans="1:3" x14ac:dyDescent="0.3">
      <c r="A649" s="4" t="s">
        <v>1603</v>
      </c>
      <c r="B649" s="4" t="s">
        <v>7</v>
      </c>
      <c r="C649" s="4">
        <v>7.5</v>
      </c>
    </row>
    <row r="650" spans="1:3" x14ac:dyDescent="0.3">
      <c r="A650" s="3" t="s">
        <v>1605</v>
      </c>
      <c r="B650" s="3" t="s">
        <v>7</v>
      </c>
      <c r="C650" s="3">
        <v>5.5</v>
      </c>
    </row>
    <row r="651" spans="1:3" x14ac:dyDescent="0.3">
      <c r="A651" s="4" t="s">
        <v>1608</v>
      </c>
      <c r="B651" s="4" t="s">
        <v>7</v>
      </c>
      <c r="C651" s="4">
        <v>7.6</v>
      </c>
    </row>
    <row r="652" spans="1:3" x14ac:dyDescent="0.3">
      <c r="A652" s="3" t="s">
        <v>1611</v>
      </c>
      <c r="B652" s="3" t="s">
        <v>7</v>
      </c>
      <c r="C652" s="3">
        <v>6.5</v>
      </c>
    </row>
    <row r="653" spans="1:3" x14ac:dyDescent="0.3">
      <c r="A653" s="4" t="s">
        <v>1613</v>
      </c>
      <c r="B653" s="4" t="s">
        <v>7</v>
      </c>
      <c r="C653" s="4">
        <v>6.9</v>
      </c>
    </row>
    <row r="654" spans="1:3" x14ac:dyDescent="0.3">
      <c r="A654" s="3" t="s">
        <v>1615</v>
      </c>
      <c r="B654" s="3" t="s">
        <v>792</v>
      </c>
      <c r="C654" s="3">
        <v>6.7</v>
      </c>
    </row>
    <row r="655" spans="1:3" x14ac:dyDescent="0.3">
      <c r="A655" s="4" t="s">
        <v>1617</v>
      </c>
      <c r="B655" s="4" t="s">
        <v>7</v>
      </c>
      <c r="C655" s="4">
        <v>6.6</v>
      </c>
    </row>
    <row r="656" spans="1:3" x14ac:dyDescent="0.3">
      <c r="A656" s="3" t="s">
        <v>1620</v>
      </c>
      <c r="B656" s="3" t="s">
        <v>7</v>
      </c>
      <c r="C656" s="3">
        <v>7.2</v>
      </c>
    </row>
    <row r="657" spans="1:3" x14ac:dyDescent="0.3">
      <c r="A657" s="4" t="s">
        <v>1622</v>
      </c>
      <c r="B657" s="4" t="s">
        <v>7</v>
      </c>
      <c r="C657" s="4">
        <v>6.4</v>
      </c>
    </row>
    <row r="658" spans="1:3" x14ac:dyDescent="0.3">
      <c r="A658" s="3" t="s">
        <v>1625</v>
      </c>
      <c r="B658" s="3" t="s">
        <v>7</v>
      </c>
      <c r="C658" s="3">
        <v>6.4</v>
      </c>
    </row>
    <row r="659" spans="1:3" x14ac:dyDescent="0.3">
      <c r="A659" s="4" t="s">
        <v>1627</v>
      </c>
      <c r="B659" s="4" t="s">
        <v>7</v>
      </c>
      <c r="C659" s="4">
        <v>6</v>
      </c>
    </row>
    <row r="660" spans="1:3" x14ac:dyDescent="0.3">
      <c r="A660" s="3" t="s">
        <v>1630</v>
      </c>
      <c r="B660" s="3" t="s">
        <v>7</v>
      </c>
      <c r="C660" s="3">
        <v>6.1</v>
      </c>
    </row>
    <row r="661" spans="1:3" x14ac:dyDescent="0.3">
      <c r="A661" s="4" t="s">
        <v>1633</v>
      </c>
      <c r="B661" s="4" t="s">
        <v>7</v>
      </c>
      <c r="C661" s="4">
        <v>6</v>
      </c>
    </row>
    <row r="662" spans="1:3" x14ac:dyDescent="0.3">
      <c r="A662" s="3" t="s">
        <v>1635</v>
      </c>
      <c r="B662" s="3" t="s">
        <v>7</v>
      </c>
      <c r="C662" s="3">
        <v>6.4</v>
      </c>
    </row>
    <row r="663" spans="1:3" x14ac:dyDescent="0.3">
      <c r="A663" s="4" t="s">
        <v>1637</v>
      </c>
      <c r="B663" s="4" t="s">
        <v>7</v>
      </c>
      <c r="C663" s="4">
        <v>6.4</v>
      </c>
    </row>
    <row r="664" spans="1:3" x14ac:dyDescent="0.3">
      <c r="A664" s="3" t="s">
        <v>1639</v>
      </c>
      <c r="B664" s="3" t="s">
        <v>7</v>
      </c>
      <c r="C664" s="3">
        <v>7.3</v>
      </c>
    </row>
    <row r="665" spans="1:3" x14ac:dyDescent="0.3">
      <c r="A665" s="4" t="s">
        <v>1642</v>
      </c>
      <c r="B665" s="4" t="s">
        <v>7</v>
      </c>
      <c r="C665" s="4">
        <v>5.2</v>
      </c>
    </row>
    <row r="666" spans="1:3" x14ac:dyDescent="0.3">
      <c r="A666" s="3" t="s">
        <v>1645</v>
      </c>
      <c r="B666" s="3" t="s">
        <v>7</v>
      </c>
      <c r="C666" s="3">
        <v>6.6</v>
      </c>
    </row>
    <row r="667" spans="1:3" x14ac:dyDescent="0.3">
      <c r="A667" s="4" t="s">
        <v>1647</v>
      </c>
      <c r="B667" s="4" t="s">
        <v>7</v>
      </c>
      <c r="C667" s="4">
        <v>6.3</v>
      </c>
    </row>
    <row r="668" spans="1:3" x14ac:dyDescent="0.3">
      <c r="A668" s="3" t="s">
        <v>1649</v>
      </c>
      <c r="B668" s="3" t="s">
        <v>7</v>
      </c>
      <c r="C668" s="3">
        <v>5.9</v>
      </c>
    </row>
    <row r="669" spans="1:3" x14ac:dyDescent="0.3">
      <c r="A669" s="4" t="s">
        <v>1651</v>
      </c>
      <c r="B669" s="4" t="s">
        <v>7</v>
      </c>
      <c r="C669" s="4">
        <v>6.4</v>
      </c>
    </row>
    <row r="670" spans="1:3" x14ac:dyDescent="0.3">
      <c r="A670" s="3" t="s">
        <v>1653</v>
      </c>
      <c r="B670" s="3" t="s">
        <v>7</v>
      </c>
      <c r="C670" s="3">
        <v>6.7</v>
      </c>
    </row>
    <row r="671" spans="1:3" x14ac:dyDescent="0.3">
      <c r="A671" s="4" t="s">
        <v>1655</v>
      </c>
      <c r="B671" s="4" t="s">
        <v>7</v>
      </c>
      <c r="C671" s="4">
        <v>5.4</v>
      </c>
    </row>
    <row r="672" spans="1:3" x14ac:dyDescent="0.3">
      <c r="A672" s="3" t="s">
        <v>1657</v>
      </c>
      <c r="B672" s="3" t="s">
        <v>7</v>
      </c>
      <c r="C672" s="3">
        <v>6.4</v>
      </c>
    </row>
    <row r="673" spans="1:3" x14ac:dyDescent="0.3">
      <c r="A673" s="4" t="s">
        <v>1660</v>
      </c>
      <c r="B673" s="4" t="s">
        <v>7</v>
      </c>
      <c r="C673" s="4">
        <v>6.7</v>
      </c>
    </row>
    <row r="674" spans="1:3" x14ac:dyDescent="0.3">
      <c r="A674" s="3" t="s">
        <v>1662</v>
      </c>
      <c r="B674" s="3" t="s">
        <v>7</v>
      </c>
      <c r="C674" s="3">
        <v>6.2</v>
      </c>
    </row>
    <row r="675" spans="1:3" x14ac:dyDescent="0.3">
      <c r="A675" s="4" t="s">
        <v>1664</v>
      </c>
      <c r="B675" s="4" t="s">
        <v>7</v>
      </c>
      <c r="C675" s="4">
        <v>6.1</v>
      </c>
    </row>
    <row r="676" spans="1:3" x14ac:dyDescent="0.3">
      <c r="A676" s="3" t="s">
        <v>1666</v>
      </c>
      <c r="B676" s="3" t="s">
        <v>7</v>
      </c>
      <c r="C676" s="3">
        <v>8.8000000000000007</v>
      </c>
    </row>
    <row r="677" spans="1:3" x14ac:dyDescent="0.3">
      <c r="A677" s="4" t="s">
        <v>1668</v>
      </c>
      <c r="B677" s="4" t="s">
        <v>7</v>
      </c>
      <c r="C677" s="4">
        <v>7.1</v>
      </c>
    </row>
    <row r="678" spans="1:3" x14ac:dyDescent="0.3">
      <c r="A678" s="3" t="s">
        <v>1670</v>
      </c>
      <c r="B678" s="3" t="s">
        <v>7</v>
      </c>
      <c r="C678" s="3">
        <v>5.7</v>
      </c>
    </row>
    <row r="679" spans="1:3" x14ac:dyDescent="0.3">
      <c r="A679" s="4" t="s">
        <v>1672</v>
      </c>
      <c r="B679" s="4" t="s">
        <v>7</v>
      </c>
      <c r="C679" s="4">
        <v>5</v>
      </c>
    </row>
    <row r="680" spans="1:3" x14ac:dyDescent="0.3">
      <c r="A680" s="3" t="s">
        <v>1674</v>
      </c>
      <c r="B680" s="3" t="s">
        <v>7</v>
      </c>
      <c r="C680" s="3">
        <v>5.0999999999999996</v>
      </c>
    </row>
    <row r="681" spans="1:3" x14ac:dyDescent="0.3">
      <c r="A681" s="4" t="s">
        <v>1676</v>
      </c>
      <c r="B681" s="4" t="s">
        <v>7</v>
      </c>
      <c r="C681" s="4">
        <v>6.9</v>
      </c>
    </row>
    <row r="682" spans="1:3" x14ac:dyDescent="0.3">
      <c r="A682" s="3" t="s">
        <v>1678</v>
      </c>
      <c r="B682" s="3" t="s">
        <v>7</v>
      </c>
      <c r="C682" s="3">
        <v>4.8</v>
      </c>
    </row>
    <row r="683" spans="1:3" x14ac:dyDescent="0.3">
      <c r="A683" s="4" t="s">
        <v>1680</v>
      </c>
      <c r="B683" s="4" t="s">
        <v>7</v>
      </c>
      <c r="C683" s="4">
        <v>6.5</v>
      </c>
    </row>
    <row r="684" spans="1:3" x14ac:dyDescent="0.3">
      <c r="A684" s="3" t="s">
        <v>1682</v>
      </c>
      <c r="B684" s="3" t="s">
        <v>7</v>
      </c>
      <c r="C684" s="3">
        <v>5.0999999999999996</v>
      </c>
    </row>
    <row r="685" spans="1:3" x14ac:dyDescent="0.3">
      <c r="A685" s="4" t="s">
        <v>1684</v>
      </c>
      <c r="B685" s="4" t="s">
        <v>7</v>
      </c>
      <c r="C685" s="4">
        <v>7.1</v>
      </c>
    </row>
    <row r="686" spans="1:3" x14ac:dyDescent="0.3">
      <c r="A686" s="3" t="s">
        <v>1686</v>
      </c>
      <c r="B686" s="3" t="s">
        <v>7</v>
      </c>
      <c r="C686" s="3">
        <v>7.5</v>
      </c>
    </row>
    <row r="687" spans="1:3" x14ac:dyDescent="0.3">
      <c r="A687" s="4" t="s">
        <v>1689</v>
      </c>
      <c r="B687" s="4" t="s">
        <v>7</v>
      </c>
      <c r="C687" s="4">
        <v>6.2</v>
      </c>
    </row>
    <row r="688" spans="1:3" x14ac:dyDescent="0.3">
      <c r="A688" s="3" t="s">
        <v>1691</v>
      </c>
      <c r="B688" s="3" t="s">
        <v>7</v>
      </c>
      <c r="C688" s="3">
        <v>6.3</v>
      </c>
    </row>
    <row r="689" spans="1:3" x14ac:dyDescent="0.3">
      <c r="A689" s="4" t="s">
        <v>1693</v>
      </c>
      <c r="B689" s="4" t="s">
        <v>7</v>
      </c>
      <c r="C689" s="4">
        <v>8.1</v>
      </c>
    </row>
    <row r="690" spans="1:3" x14ac:dyDescent="0.3">
      <c r="A690" s="3" t="s">
        <v>1695</v>
      </c>
      <c r="B690" s="3" t="s">
        <v>7</v>
      </c>
      <c r="C690" s="3">
        <v>6.6</v>
      </c>
    </row>
    <row r="691" spans="1:3" x14ac:dyDescent="0.3">
      <c r="A691" s="4" t="s">
        <v>1697</v>
      </c>
      <c r="B691" s="4" t="s">
        <v>7</v>
      </c>
      <c r="C691" s="4">
        <v>6.9</v>
      </c>
    </row>
    <row r="692" spans="1:3" x14ac:dyDescent="0.3">
      <c r="A692" s="3" t="s">
        <v>1699</v>
      </c>
      <c r="B692" s="3" t="s">
        <v>7</v>
      </c>
      <c r="C692" s="3">
        <v>6.1</v>
      </c>
    </row>
    <row r="693" spans="1:3" x14ac:dyDescent="0.3">
      <c r="A693" s="4" t="s">
        <v>1702</v>
      </c>
      <c r="B693" s="4" t="s">
        <v>7</v>
      </c>
      <c r="C693" s="4">
        <v>4.3</v>
      </c>
    </row>
    <row r="694" spans="1:3" x14ac:dyDescent="0.3">
      <c r="A694" s="3" t="s">
        <v>1705</v>
      </c>
      <c r="B694" s="3" t="s">
        <v>7</v>
      </c>
      <c r="C694" s="3">
        <v>6.6</v>
      </c>
    </row>
    <row r="695" spans="1:3" x14ac:dyDescent="0.3">
      <c r="A695" s="4" t="s">
        <v>1707</v>
      </c>
      <c r="B695" s="4" t="s">
        <v>7</v>
      </c>
      <c r="C695" s="4">
        <v>6.8</v>
      </c>
    </row>
    <row r="696" spans="1:3" x14ac:dyDescent="0.3">
      <c r="A696" s="3" t="s">
        <v>1710</v>
      </c>
      <c r="B696" s="3" t="s">
        <v>7</v>
      </c>
      <c r="C696" s="3">
        <v>3.8</v>
      </c>
    </row>
    <row r="697" spans="1:3" x14ac:dyDescent="0.3">
      <c r="A697" s="4" t="s">
        <v>1712</v>
      </c>
      <c r="B697" s="4" t="s">
        <v>7</v>
      </c>
      <c r="C697" s="4">
        <v>5.9</v>
      </c>
    </row>
    <row r="698" spans="1:3" x14ac:dyDescent="0.3">
      <c r="A698" s="3" t="s">
        <v>1714</v>
      </c>
      <c r="B698" s="3" t="s">
        <v>7</v>
      </c>
      <c r="C698" s="3">
        <v>7.9</v>
      </c>
    </row>
    <row r="699" spans="1:3" x14ac:dyDescent="0.3">
      <c r="A699" s="4" t="s">
        <v>1716</v>
      </c>
      <c r="B699" s="4" t="s">
        <v>7</v>
      </c>
      <c r="C699" s="4">
        <v>6.3</v>
      </c>
    </row>
    <row r="700" spans="1:3" x14ac:dyDescent="0.3">
      <c r="A700" s="3" t="s">
        <v>1718</v>
      </c>
      <c r="B700" s="3" t="s">
        <v>7</v>
      </c>
      <c r="C700" s="3">
        <v>5.5</v>
      </c>
    </row>
    <row r="701" spans="1:3" x14ac:dyDescent="0.3">
      <c r="A701" s="4" t="s">
        <v>1720</v>
      </c>
      <c r="B701" s="4" t="s">
        <v>7</v>
      </c>
      <c r="C701" s="4">
        <v>7.7</v>
      </c>
    </row>
    <row r="702" spans="1:3" x14ac:dyDescent="0.3">
      <c r="A702" s="3" t="s">
        <v>1723</v>
      </c>
      <c r="B702" s="3" t="s">
        <v>7</v>
      </c>
      <c r="C702" s="3">
        <v>6.3</v>
      </c>
    </row>
    <row r="703" spans="1:3" x14ac:dyDescent="0.3">
      <c r="A703" s="4" t="s">
        <v>1725</v>
      </c>
      <c r="B703" s="4" t="s">
        <v>7</v>
      </c>
      <c r="C703" s="4">
        <v>7.1</v>
      </c>
    </row>
    <row r="704" spans="1:3" x14ac:dyDescent="0.3">
      <c r="A704" s="3" t="s">
        <v>1727</v>
      </c>
      <c r="B704" s="3" t="s">
        <v>7</v>
      </c>
      <c r="C704" s="3">
        <v>8.5</v>
      </c>
    </row>
    <row r="705" spans="1:3" x14ac:dyDescent="0.3">
      <c r="A705" s="4" t="s">
        <v>1729</v>
      </c>
      <c r="B705" s="4" t="s">
        <v>7</v>
      </c>
      <c r="C705" s="4">
        <v>5.9</v>
      </c>
    </row>
    <row r="706" spans="1:3" x14ac:dyDescent="0.3">
      <c r="A706" s="3" t="s">
        <v>1731</v>
      </c>
      <c r="B706" s="3" t="s">
        <v>7</v>
      </c>
      <c r="C706" s="3">
        <v>5.8</v>
      </c>
    </row>
    <row r="707" spans="1:3" x14ac:dyDescent="0.3">
      <c r="A707" s="4" t="s">
        <v>1733</v>
      </c>
      <c r="B707" s="4" t="s">
        <v>7</v>
      </c>
      <c r="C707" s="4">
        <v>8.1</v>
      </c>
    </row>
    <row r="708" spans="1:3" x14ac:dyDescent="0.3">
      <c r="A708" s="3" t="s">
        <v>1735</v>
      </c>
      <c r="B708" s="3" t="s">
        <v>7</v>
      </c>
      <c r="C708" s="3">
        <v>7.9</v>
      </c>
    </row>
    <row r="709" spans="1:3" x14ac:dyDescent="0.3">
      <c r="A709" s="4" t="s">
        <v>1737</v>
      </c>
      <c r="B709" s="4" t="s">
        <v>7</v>
      </c>
      <c r="C709" s="4">
        <v>7.2</v>
      </c>
    </row>
    <row r="710" spans="1:3" x14ac:dyDescent="0.3">
      <c r="A710" s="3" t="s">
        <v>1739</v>
      </c>
      <c r="B710" s="3" t="s">
        <v>7</v>
      </c>
      <c r="C710" s="3">
        <v>6.3</v>
      </c>
    </row>
    <row r="711" spans="1:3" x14ac:dyDescent="0.3">
      <c r="A711" s="4" t="s">
        <v>1741</v>
      </c>
      <c r="B711" s="4" t="s">
        <v>7</v>
      </c>
      <c r="C711" s="4">
        <v>8.1</v>
      </c>
    </row>
    <row r="712" spans="1:3" x14ac:dyDescent="0.3">
      <c r="A712" s="3" t="s">
        <v>1744</v>
      </c>
      <c r="B712" s="3" t="s">
        <v>7</v>
      </c>
      <c r="C712" s="3">
        <v>7</v>
      </c>
    </row>
    <row r="713" spans="1:3" x14ac:dyDescent="0.3">
      <c r="A713" s="4" t="s">
        <v>1746</v>
      </c>
      <c r="B713" s="4" t="s">
        <v>7</v>
      </c>
      <c r="C713" s="4">
        <v>5.5</v>
      </c>
    </row>
    <row r="714" spans="1:3" x14ac:dyDescent="0.3">
      <c r="A714" s="3" t="s">
        <v>1749</v>
      </c>
      <c r="B714" s="3" t="s">
        <v>7</v>
      </c>
      <c r="C714" s="3">
        <v>6.7</v>
      </c>
    </row>
    <row r="715" spans="1:3" x14ac:dyDescent="0.3">
      <c r="A715" s="4" t="s">
        <v>1751</v>
      </c>
      <c r="B715" s="4" t="s">
        <v>7</v>
      </c>
      <c r="C715" s="4">
        <v>5.2</v>
      </c>
    </row>
    <row r="716" spans="1:3" x14ac:dyDescent="0.3">
      <c r="A716" s="3" t="s">
        <v>1753</v>
      </c>
      <c r="B716" s="3" t="s">
        <v>7</v>
      </c>
      <c r="C716" s="3">
        <v>7</v>
      </c>
    </row>
    <row r="717" spans="1:3" x14ac:dyDescent="0.3">
      <c r="A717" s="4" t="s">
        <v>1755</v>
      </c>
      <c r="B717" s="4" t="s">
        <v>7</v>
      </c>
      <c r="C717" s="4">
        <v>6.1</v>
      </c>
    </row>
    <row r="718" spans="1:3" x14ac:dyDescent="0.3">
      <c r="A718" s="3" t="s">
        <v>1757</v>
      </c>
      <c r="B718" s="3" t="s">
        <v>7</v>
      </c>
      <c r="C718" s="3">
        <v>6.6</v>
      </c>
    </row>
    <row r="719" spans="1:3" x14ac:dyDescent="0.3">
      <c r="A719" s="4" t="s">
        <v>1759</v>
      </c>
      <c r="B719" s="4" t="s">
        <v>7</v>
      </c>
      <c r="C719" s="4">
        <v>5.5</v>
      </c>
    </row>
    <row r="720" spans="1:3" x14ac:dyDescent="0.3">
      <c r="A720" s="3" t="s">
        <v>1761</v>
      </c>
      <c r="B720" s="3" t="s">
        <v>7</v>
      </c>
      <c r="C720" s="3">
        <v>5.9</v>
      </c>
    </row>
    <row r="721" spans="1:3" x14ac:dyDescent="0.3">
      <c r="A721" s="4" t="s">
        <v>1763</v>
      </c>
      <c r="B721" s="4" t="s">
        <v>7</v>
      </c>
      <c r="C721" s="4">
        <v>5.4</v>
      </c>
    </row>
    <row r="722" spans="1:3" x14ac:dyDescent="0.3">
      <c r="A722" s="3" t="s">
        <v>1766</v>
      </c>
      <c r="B722" s="3" t="s">
        <v>7</v>
      </c>
      <c r="C722" s="3">
        <v>6.4</v>
      </c>
    </row>
    <row r="723" spans="1:3" x14ac:dyDescent="0.3">
      <c r="A723" s="4" t="s">
        <v>1769</v>
      </c>
      <c r="B723" s="4" t="s">
        <v>7</v>
      </c>
      <c r="C723" s="4">
        <v>5.7</v>
      </c>
    </row>
    <row r="724" spans="1:3" x14ac:dyDescent="0.3">
      <c r="A724" s="3" t="s">
        <v>1772</v>
      </c>
      <c r="B724" s="3" t="s">
        <v>7</v>
      </c>
      <c r="C724" s="3">
        <v>6.7</v>
      </c>
    </row>
    <row r="725" spans="1:3" x14ac:dyDescent="0.3">
      <c r="A725" s="4" t="s">
        <v>1774</v>
      </c>
      <c r="B725" s="4" t="s">
        <v>7</v>
      </c>
      <c r="C725" s="4">
        <v>7.1</v>
      </c>
    </row>
    <row r="726" spans="1:3" x14ac:dyDescent="0.3">
      <c r="A726" s="3" t="s">
        <v>1776</v>
      </c>
      <c r="B726" s="3" t="s">
        <v>7</v>
      </c>
      <c r="C726" s="3">
        <v>6.8</v>
      </c>
    </row>
    <row r="727" spans="1:3" x14ac:dyDescent="0.3">
      <c r="A727" s="4" t="s">
        <v>1778</v>
      </c>
      <c r="B727" s="4" t="s">
        <v>7</v>
      </c>
      <c r="C727" s="4">
        <v>6.5</v>
      </c>
    </row>
    <row r="728" spans="1:3" x14ac:dyDescent="0.3">
      <c r="A728" s="3" t="s">
        <v>1780</v>
      </c>
      <c r="B728" s="3" t="s">
        <v>7</v>
      </c>
      <c r="C728" s="3">
        <v>7.6</v>
      </c>
    </row>
    <row r="729" spans="1:3" x14ac:dyDescent="0.3">
      <c r="A729" s="4" t="s">
        <v>1783</v>
      </c>
      <c r="B729" s="4" t="s">
        <v>7</v>
      </c>
      <c r="C729" s="4">
        <v>5.5</v>
      </c>
    </row>
    <row r="730" spans="1:3" x14ac:dyDescent="0.3">
      <c r="A730" s="3" t="s">
        <v>1785</v>
      </c>
      <c r="B730" s="3" t="s">
        <v>7</v>
      </c>
      <c r="C730" s="3">
        <v>6.5</v>
      </c>
    </row>
    <row r="731" spans="1:3" x14ac:dyDescent="0.3">
      <c r="A731" s="4" t="s">
        <v>1788</v>
      </c>
      <c r="B731" s="4" t="s">
        <v>7</v>
      </c>
      <c r="C731" s="4">
        <v>7</v>
      </c>
    </row>
    <row r="732" spans="1:3" x14ac:dyDescent="0.3">
      <c r="A732" s="3" t="s">
        <v>1790</v>
      </c>
      <c r="B732" s="3" t="s">
        <v>7</v>
      </c>
      <c r="C732" s="3">
        <v>5.8</v>
      </c>
    </row>
    <row r="733" spans="1:3" x14ac:dyDescent="0.3">
      <c r="A733" s="4" t="s">
        <v>1792</v>
      </c>
      <c r="B733" s="4" t="s">
        <v>7</v>
      </c>
      <c r="C733" s="4">
        <v>7.3</v>
      </c>
    </row>
    <row r="734" spans="1:3" x14ac:dyDescent="0.3">
      <c r="A734" s="3" t="s">
        <v>1794</v>
      </c>
      <c r="B734" s="3" t="s">
        <v>7</v>
      </c>
      <c r="C734" s="3">
        <v>6.6</v>
      </c>
    </row>
    <row r="735" spans="1:3" x14ac:dyDescent="0.3">
      <c r="A735" s="4" t="s">
        <v>1797</v>
      </c>
      <c r="B735" s="4" t="s">
        <v>7</v>
      </c>
      <c r="C735" s="4">
        <v>4.4000000000000004</v>
      </c>
    </row>
    <row r="736" spans="1:3" x14ac:dyDescent="0.3">
      <c r="A736" s="3" t="s">
        <v>1800</v>
      </c>
      <c r="B736" s="3" t="s">
        <v>7</v>
      </c>
      <c r="C736" s="3">
        <v>7.7</v>
      </c>
    </row>
    <row r="737" spans="1:3" x14ac:dyDescent="0.3">
      <c r="A737" s="4" t="s">
        <v>1803</v>
      </c>
      <c r="B737" s="4" t="s">
        <v>7</v>
      </c>
      <c r="C737" s="4">
        <v>5</v>
      </c>
    </row>
    <row r="738" spans="1:3" x14ac:dyDescent="0.3">
      <c r="A738" s="3" t="s">
        <v>1805</v>
      </c>
      <c r="B738" s="3" t="s">
        <v>7</v>
      </c>
      <c r="C738" s="3">
        <v>7.7</v>
      </c>
    </row>
    <row r="739" spans="1:3" x14ac:dyDescent="0.3">
      <c r="A739" s="4" t="s">
        <v>1808</v>
      </c>
      <c r="B739" s="4" t="s">
        <v>7</v>
      </c>
      <c r="C739" s="4">
        <v>4.4000000000000004</v>
      </c>
    </row>
    <row r="740" spans="1:3" x14ac:dyDescent="0.3">
      <c r="A740" s="3" t="s">
        <v>1811</v>
      </c>
      <c r="B740" s="3" t="s">
        <v>7</v>
      </c>
      <c r="C740" s="3">
        <v>6.1</v>
      </c>
    </row>
    <row r="741" spans="1:3" x14ac:dyDescent="0.3">
      <c r="A741" s="4" t="s">
        <v>1814</v>
      </c>
      <c r="B741" s="4" t="s">
        <v>7</v>
      </c>
      <c r="C741" s="4">
        <v>5.4</v>
      </c>
    </row>
    <row r="742" spans="1:3" x14ac:dyDescent="0.3">
      <c r="A742" s="3" t="s">
        <v>1817</v>
      </c>
      <c r="B742" s="3" t="s">
        <v>7</v>
      </c>
      <c r="C742" s="3">
        <v>6.8</v>
      </c>
    </row>
    <row r="743" spans="1:3" x14ac:dyDescent="0.3">
      <c r="A743" s="4" t="s">
        <v>1819</v>
      </c>
      <c r="B743" s="4" t="s">
        <v>7</v>
      </c>
      <c r="C743" s="4">
        <v>6.5</v>
      </c>
    </row>
    <row r="744" spans="1:3" x14ac:dyDescent="0.3">
      <c r="A744" s="3" t="s">
        <v>1822</v>
      </c>
      <c r="B744" s="3" t="s">
        <v>7</v>
      </c>
      <c r="C744" s="3">
        <v>7</v>
      </c>
    </row>
    <row r="745" spans="1:3" x14ac:dyDescent="0.3">
      <c r="A745" s="4" t="s">
        <v>1824</v>
      </c>
      <c r="B745" s="4" t="s">
        <v>7</v>
      </c>
      <c r="C745" s="4">
        <v>6.3</v>
      </c>
    </row>
    <row r="746" spans="1:3" x14ac:dyDescent="0.3">
      <c r="A746" s="3" t="s">
        <v>1826</v>
      </c>
      <c r="B746" s="3" t="s">
        <v>7</v>
      </c>
      <c r="C746" s="3">
        <v>6.3</v>
      </c>
    </row>
    <row r="747" spans="1:3" x14ac:dyDescent="0.3">
      <c r="A747" s="4" t="s">
        <v>1829</v>
      </c>
      <c r="B747" s="4" t="s">
        <v>7</v>
      </c>
      <c r="C747" s="4">
        <v>6.1</v>
      </c>
    </row>
    <row r="748" spans="1:3" x14ac:dyDescent="0.3">
      <c r="A748" s="3" t="s">
        <v>1832</v>
      </c>
      <c r="B748" s="3" t="s">
        <v>7</v>
      </c>
      <c r="C748" s="3">
        <v>6.1</v>
      </c>
    </row>
    <row r="749" spans="1:3" x14ac:dyDescent="0.3">
      <c r="A749" s="4" t="s">
        <v>1835</v>
      </c>
      <c r="B749" s="4" t="s">
        <v>7</v>
      </c>
      <c r="C749" s="4">
        <v>5.3</v>
      </c>
    </row>
    <row r="750" spans="1:3" x14ac:dyDescent="0.3">
      <c r="A750" s="3" t="s">
        <v>1837</v>
      </c>
      <c r="B750" s="3" t="s">
        <v>7</v>
      </c>
      <c r="C750" s="3">
        <v>5.4</v>
      </c>
    </row>
    <row r="751" spans="1:3" x14ac:dyDescent="0.3">
      <c r="A751" s="4" t="s">
        <v>1839</v>
      </c>
      <c r="B751" s="4" t="s">
        <v>7</v>
      </c>
      <c r="C751" s="4">
        <v>6.2</v>
      </c>
    </row>
    <row r="752" spans="1:3" x14ac:dyDescent="0.3">
      <c r="A752" s="3" t="s">
        <v>1841</v>
      </c>
      <c r="B752" s="3" t="s">
        <v>7</v>
      </c>
      <c r="C752" s="3">
        <v>6.6</v>
      </c>
    </row>
    <row r="753" spans="1:3" x14ac:dyDescent="0.3">
      <c r="A753" s="4" t="s">
        <v>1844</v>
      </c>
      <c r="B753" s="4" t="s">
        <v>7</v>
      </c>
      <c r="C753" s="4">
        <v>5.9</v>
      </c>
    </row>
    <row r="754" spans="1:3" x14ac:dyDescent="0.3">
      <c r="A754" s="3" t="s">
        <v>1846</v>
      </c>
      <c r="B754" s="3" t="s">
        <v>7</v>
      </c>
      <c r="C754" s="3">
        <v>6.3</v>
      </c>
    </row>
    <row r="755" spans="1:3" x14ac:dyDescent="0.3">
      <c r="A755" s="4" t="s">
        <v>1848</v>
      </c>
      <c r="B755" s="4" t="s">
        <v>7</v>
      </c>
      <c r="C755" s="4">
        <v>7.2</v>
      </c>
    </row>
    <row r="756" spans="1:3" x14ac:dyDescent="0.3">
      <c r="A756" s="3" t="s">
        <v>1850</v>
      </c>
      <c r="B756" s="3" t="s">
        <v>1852</v>
      </c>
      <c r="C756" s="3">
        <v>6.8</v>
      </c>
    </row>
    <row r="757" spans="1:3" x14ac:dyDescent="0.3">
      <c r="A757" s="4" t="s">
        <v>1854</v>
      </c>
      <c r="B757" s="4" t="s">
        <v>7</v>
      </c>
      <c r="C757" s="4">
        <v>6.1</v>
      </c>
    </row>
    <row r="758" spans="1:3" x14ac:dyDescent="0.3">
      <c r="A758" s="3" t="s">
        <v>1856</v>
      </c>
      <c r="B758" s="3" t="s">
        <v>7</v>
      </c>
      <c r="C758" s="3">
        <v>7.8</v>
      </c>
    </row>
    <row r="759" spans="1:3" x14ac:dyDescent="0.3">
      <c r="A759" s="4" t="s">
        <v>1859</v>
      </c>
      <c r="B759" s="4" t="s">
        <v>7</v>
      </c>
      <c r="C759" s="4">
        <v>5</v>
      </c>
    </row>
    <row r="760" spans="1:3" x14ac:dyDescent="0.3">
      <c r="A760" s="3" t="s">
        <v>1862</v>
      </c>
      <c r="B760" s="3" t="s">
        <v>7</v>
      </c>
      <c r="C760" s="3">
        <v>6.2</v>
      </c>
    </row>
    <row r="761" spans="1:3" x14ac:dyDescent="0.3">
      <c r="A761" s="4" t="s">
        <v>1864</v>
      </c>
      <c r="B761" s="4" t="s">
        <v>7</v>
      </c>
      <c r="C761" s="4">
        <v>6.7</v>
      </c>
    </row>
    <row r="762" spans="1:3" x14ac:dyDescent="0.3">
      <c r="A762" s="3" t="s">
        <v>1867</v>
      </c>
      <c r="B762" s="3" t="s">
        <v>7</v>
      </c>
      <c r="C762" s="3">
        <v>4.9000000000000004</v>
      </c>
    </row>
    <row r="763" spans="1:3" x14ac:dyDescent="0.3">
      <c r="A763" s="4" t="s">
        <v>1870</v>
      </c>
      <c r="B763" s="4" t="s">
        <v>7</v>
      </c>
      <c r="C763" s="4">
        <v>7.4</v>
      </c>
    </row>
    <row r="764" spans="1:3" x14ac:dyDescent="0.3">
      <c r="A764" s="3" t="s">
        <v>1873</v>
      </c>
      <c r="B764" s="3" t="s">
        <v>7</v>
      </c>
      <c r="C764" s="3">
        <v>7.1</v>
      </c>
    </row>
    <row r="765" spans="1:3" x14ac:dyDescent="0.3">
      <c r="A765" s="4" t="s">
        <v>1876</v>
      </c>
      <c r="B765" s="4" t="s">
        <v>7</v>
      </c>
      <c r="C765" s="4">
        <v>6.2</v>
      </c>
    </row>
    <row r="766" spans="1:3" x14ac:dyDescent="0.3">
      <c r="A766" s="3" t="s">
        <v>1878</v>
      </c>
      <c r="B766" s="3" t="s">
        <v>7</v>
      </c>
      <c r="C766" s="3">
        <v>4.9000000000000004</v>
      </c>
    </row>
    <row r="767" spans="1:3" x14ac:dyDescent="0.3">
      <c r="A767" s="4" t="s">
        <v>1880</v>
      </c>
      <c r="B767" s="4" t="s">
        <v>7</v>
      </c>
      <c r="C767" s="4">
        <v>6.1</v>
      </c>
    </row>
    <row r="768" spans="1:3" x14ac:dyDescent="0.3">
      <c r="A768" s="3" t="s">
        <v>1882</v>
      </c>
      <c r="B768" s="3" t="s">
        <v>7</v>
      </c>
      <c r="C768" s="3">
        <v>6.1</v>
      </c>
    </row>
    <row r="769" spans="1:3" x14ac:dyDescent="0.3">
      <c r="A769" s="4" t="s">
        <v>1884</v>
      </c>
      <c r="B769" s="4" t="s">
        <v>7</v>
      </c>
      <c r="C769" s="4">
        <v>6.4</v>
      </c>
    </row>
    <row r="770" spans="1:3" x14ac:dyDescent="0.3">
      <c r="A770" s="3" t="s">
        <v>1886</v>
      </c>
      <c r="B770" s="3" t="s">
        <v>7</v>
      </c>
      <c r="C770" s="3">
        <v>6.3</v>
      </c>
    </row>
    <row r="771" spans="1:3" x14ac:dyDescent="0.3">
      <c r="A771" s="4" t="s">
        <v>1888</v>
      </c>
      <c r="B771" s="4" t="s">
        <v>7</v>
      </c>
      <c r="C771" s="4">
        <v>6.8</v>
      </c>
    </row>
    <row r="772" spans="1:3" x14ac:dyDescent="0.3">
      <c r="A772" s="3" t="s">
        <v>1891</v>
      </c>
      <c r="B772" s="3" t="s">
        <v>7</v>
      </c>
      <c r="C772" s="3">
        <v>6.6</v>
      </c>
    </row>
    <row r="773" spans="1:3" x14ac:dyDescent="0.3">
      <c r="A773" s="4" t="s">
        <v>1893</v>
      </c>
      <c r="B773" s="4" t="s">
        <v>7</v>
      </c>
      <c r="C773" s="4">
        <v>5.7</v>
      </c>
    </row>
    <row r="774" spans="1:3" x14ac:dyDescent="0.3">
      <c r="A774" s="3" t="s">
        <v>1896</v>
      </c>
      <c r="B774" s="3" t="s">
        <v>7</v>
      </c>
      <c r="C774" s="3">
        <v>5.9</v>
      </c>
    </row>
    <row r="775" spans="1:3" x14ac:dyDescent="0.3">
      <c r="A775" s="4" t="s">
        <v>1899</v>
      </c>
      <c r="B775" s="4" t="s">
        <v>7</v>
      </c>
      <c r="C775" s="4">
        <v>6</v>
      </c>
    </row>
    <row r="776" spans="1:3" x14ac:dyDescent="0.3">
      <c r="A776" s="3" t="s">
        <v>1902</v>
      </c>
      <c r="B776" s="3" t="s">
        <v>7</v>
      </c>
      <c r="C776" s="3">
        <v>6.1</v>
      </c>
    </row>
    <row r="777" spans="1:3" x14ac:dyDescent="0.3">
      <c r="A777" s="4" t="s">
        <v>1904</v>
      </c>
      <c r="B777" s="4" t="s">
        <v>7</v>
      </c>
      <c r="C777" s="4">
        <v>6.7</v>
      </c>
    </row>
    <row r="778" spans="1:3" x14ac:dyDescent="0.3">
      <c r="A778" s="3" t="s">
        <v>1906</v>
      </c>
      <c r="B778" s="3" t="s">
        <v>7</v>
      </c>
      <c r="C778" s="3">
        <v>6.7</v>
      </c>
    </row>
    <row r="779" spans="1:3" x14ac:dyDescent="0.3">
      <c r="A779" s="4" t="s">
        <v>1908</v>
      </c>
      <c r="B779" s="4" t="s">
        <v>7</v>
      </c>
      <c r="C779" s="4">
        <v>7.9</v>
      </c>
    </row>
    <row r="780" spans="1:3" x14ac:dyDescent="0.3">
      <c r="A780" s="3" t="s">
        <v>1911</v>
      </c>
      <c r="B780" s="3" t="s">
        <v>7</v>
      </c>
      <c r="C780" s="3">
        <v>5</v>
      </c>
    </row>
    <row r="781" spans="1:3" x14ac:dyDescent="0.3">
      <c r="A781" s="4" t="s">
        <v>1914</v>
      </c>
      <c r="B781" s="4" t="s">
        <v>7</v>
      </c>
      <c r="C781" s="4">
        <v>4.3</v>
      </c>
    </row>
    <row r="782" spans="1:3" x14ac:dyDescent="0.3">
      <c r="A782" s="3" t="s">
        <v>1916</v>
      </c>
      <c r="B782" s="3" t="s">
        <v>7</v>
      </c>
      <c r="C782" s="3">
        <v>5.7</v>
      </c>
    </row>
    <row r="783" spans="1:3" x14ac:dyDescent="0.3">
      <c r="A783" s="4" t="s">
        <v>1918</v>
      </c>
      <c r="B783" s="4" t="s">
        <v>7</v>
      </c>
      <c r="C783" s="4">
        <v>6.7</v>
      </c>
    </row>
    <row r="784" spans="1:3" x14ac:dyDescent="0.3">
      <c r="A784" s="3" t="s">
        <v>1921</v>
      </c>
      <c r="B784" s="3" t="s">
        <v>7</v>
      </c>
      <c r="C784" s="3">
        <v>6.7</v>
      </c>
    </row>
    <row r="785" spans="1:3" x14ac:dyDescent="0.3">
      <c r="A785" s="4" t="s">
        <v>1923</v>
      </c>
      <c r="B785" s="4" t="s">
        <v>7</v>
      </c>
      <c r="C785" s="4">
        <v>8.1</v>
      </c>
    </row>
    <row r="786" spans="1:3" x14ac:dyDescent="0.3">
      <c r="A786" s="3" t="s">
        <v>1925</v>
      </c>
      <c r="B786" s="3" t="s">
        <v>7</v>
      </c>
      <c r="C786" s="3">
        <v>6.1</v>
      </c>
    </row>
    <row r="787" spans="1:3" x14ac:dyDescent="0.3">
      <c r="A787" s="4" t="s">
        <v>1927</v>
      </c>
      <c r="B787" s="4" t="s">
        <v>7</v>
      </c>
      <c r="C787" s="4">
        <v>5.6</v>
      </c>
    </row>
    <row r="788" spans="1:3" x14ac:dyDescent="0.3">
      <c r="A788" s="3" t="s">
        <v>1929</v>
      </c>
      <c r="B788" s="3" t="s">
        <v>7</v>
      </c>
      <c r="C788" s="3">
        <v>6.6</v>
      </c>
    </row>
    <row r="789" spans="1:3" x14ac:dyDescent="0.3">
      <c r="A789" s="4" t="s">
        <v>1931</v>
      </c>
      <c r="B789" s="4" t="s">
        <v>7</v>
      </c>
      <c r="C789" s="4">
        <v>6.9</v>
      </c>
    </row>
    <row r="790" spans="1:3" x14ac:dyDescent="0.3">
      <c r="A790" s="3" t="s">
        <v>1933</v>
      </c>
      <c r="B790" s="3" t="s">
        <v>7</v>
      </c>
      <c r="C790" s="3">
        <v>4.8</v>
      </c>
    </row>
    <row r="791" spans="1:3" x14ac:dyDescent="0.3">
      <c r="A791" s="4" t="s">
        <v>1935</v>
      </c>
      <c r="B791" s="4" t="s">
        <v>7</v>
      </c>
      <c r="C791" s="4">
        <v>6.2</v>
      </c>
    </row>
    <row r="792" spans="1:3" x14ac:dyDescent="0.3">
      <c r="A792" s="3" t="s">
        <v>1937</v>
      </c>
      <c r="B792" s="3" t="s">
        <v>7</v>
      </c>
      <c r="C792" s="3">
        <v>6</v>
      </c>
    </row>
    <row r="793" spans="1:3" x14ac:dyDescent="0.3">
      <c r="A793" s="4" t="s">
        <v>1939</v>
      </c>
      <c r="B793" s="4" t="s">
        <v>7</v>
      </c>
      <c r="C793" s="4">
        <v>4.9000000000000004</v>
      </c>
    </row>
    <row r="794" spans="1:3" x14ac:dyDescent="0.3">
      <c r="A794" s="3" t="s">
        <v>1941</v>
      </c>
      <c r="B794" s="3" t="s">
        <v>7</v>
      </c>
      <c r="C794" s="3">
        <v>5.6</v>
      </c>
    </row>
    <row r="795" spans="1:3" x14ac:dyDescent="0.3">
      <c r="A795" s="4" t="s">
        <v>1943</v>
      </c>
      <c r="B795" s="4" t="s">
        <v>7</v>
      </c>
      <c r="C795" s="4">
        <v>6.1</v>
      </c>
    </row>
    <row r="796" spans="1:3" x14ac:dyDescent="0.3">
      <c r="A796" s="3" t="s">
        <v>1945</v>
      </c>
      <c r="B796" s="3" t="s">
        <v>7</v>
      </c>
      <c r="C796" s="3">
        <v>6.1</v>
      </c>
    </row>
    <row r="797" spans="1:3" x14ac:dyDescent="0.3">
      <c r="A797" s="4" t="s">
        <v>1947</v>
      </c>
      <c r="B797" s="4" t="s">
        <v>7</v>
      </c>
      <c r="C797" s="4">
        <v>4.8</v>
      </c>
    </row>
    <row r="798" spans="1:3" x14ac:dyDescent="0.3">
      <c r="A798" s="3" t="s">
        <v>1949</v>
      </c>
      <c r="B798" s="3" t="s">
        <v>7</v>
      </c>
      <c r="C798" s="3">
        <v>5.5</v>
      </c>
    </row>
    <row r="799" spans="1:3" x14ac:dyDescent="0.3">
      <c r="A799" s="4" t="s">
        <v>1951</v>
      </c>
      <c r="B799" s="4" t="s">
        <v>7</v>
      </c>
      <c r="C799" s="4">
        <v>3.8</v>
      </c>
    </row>
    <row r="800" spans="1:3" x14ac:dyDescent="0.3">
      <c r="A800" s="3" t="s">
        <v>1953</v>
      </c>
      <c r="B800" s="3" t="s">
        <v>7</v>
      </c>
      <c r="C800" s="3">
        <v>6.5</v>
      </c>
    </row>
    <row r="801" spans="1:3" x14ac:dyDescent="0.3">
      <c r="A801" s="4" t="s">
        <v>1956</v>
      </c>
      <c r="B801" s="4" t="s">
        <v>7</v>
      </c>
      <c r="C801" s="4">
        <v>6</v>
      </c>
    </row>
    <row r="802" spans="1:3" x14ac:dyDescent="0.3">
      <c r="A802" s="3" t="s">
        <v>1958</v>
      </c>
      <c r="B802" s="3" t="s">
        <v>7</v>
      </c>
      <c r="C802" s="3">
        <v>6.7</v>
      </c>
    </row>
    <row r="803" spans="1:3" x14ac:dyDescent="0.3">
      <c r="A803" s="4" t="s">
        <v>1960</v>
      </c>
      <c r="B803" s="4" t="s">
        <v>7</v>
      </c>
      <c r="C803" s="4">
        <v>8.1</v>
      </c>
    </row>
    <row r="804" spans="1:3" x14ac:dyDescent="0.3">
      <c r="A804" s="3" t="s">
        <v>1962</v>
      </c>
      <c r="B804" s="3" t="s">
        <v>7</v>
      </c>
      <c r="C804" s="3">
        <v>4.9000000000000004</v>
      </c>
    </row>
    <row r="805" spans="1:3" x14ac:dyDescent="0.3">
      <c r="A805" s="4" t="s">
        <v>1964</v>
      </c>
      <c r="B805" s="4" t="s">
        <v>7</v>
      </c>
      <c r="C805" s="4">
        <v>7.3</v>
      </c>
    </row>
    <row r="806" spans="1:3" x14ac:dyDescent="0.3">
      <c r="A806" s="3" t="s">
        <v>1966</v>
      </c>
      <c r="B806" s="3" t="s">
        <v>7</v>
      </c>
      <c r="C806" s="3">
        <v>6.4</v>
      </c>
    </row>
    <row r="807" spans="1:3" x14ac:dyDescent="0.3">
      <c r="A807" s="4" t="s">
        <v>1968</v>
      </c>
      <c r="B807" s="4" t="s">
        <v>7</v>
      </c>
      <c r="C807" s="4">
        <v>6.7</v>
      </c>
    </row>
    <row r="808" spans="1:3" x14ac:dyDescent="0.3">
      <c r="A808" s="3" t="s">
        <v>1971</v>
      </c>
      <c r="B808" s="3" t="s">
        <v>7</v>
      </c>
      <c r="C808" s="3">
        <v>3.6</v>
      </c>
    </row>
    <row r="809" spans="1:3" x14ac:dyDescent="0.3">
      <c r="A809" s="4" t="s">
        <v>1973</v>
      </c>
      <c r="B809" s="4" t="s">
        <v>7</v>
      </c>
      <c r="C809" s="4">
        <v>5.7</v>
      </c>
    </row>
    <row r="810" spans="1:3" x14ac:dyDescent="0.3">
      <c r="A810" s="3" t="s">
        <v>1975</v>
      </c>
      <c r="B810" s="3" t="s">
        <v>7</v>
      </c>
      <c r="C810" s="3">
        <v>6</v>
      </c>
    </row>
    <row r="811" spans="1:3" x14ac:dyDescent="0.3">
      <c r="A811" s="4" t="s">
        <v>1977</v>
      </c>
      <c r="B811" s="4" t="s">
        <v>7</v>
      </c>
      <c r="C811" s="4">
        <v>4.9000000000000004</v>
      </c>
    </row>
    <row r="812" spans="1:3" x14ac:dyDescent="0.3">
      <c r="A812" s="3" t="s">
        <v>1979</v>
      </c>
      <c r="B812" s="3" t="s">
        <v>7</v>
      </c>
      <c r="C812" s="3">
        <v>4.7</v>
      </c>
    </row>
    <row r="813" spans="1:3" x14ac:dyDescent="0.3">
      <c r="A813" s="4" t="s">
        <v>1981</v>
      </c>
      <c r="B813" s="4" t="s">
        <v>7</v>
      </c>
      <c r="C813" s="4">
        <v>6.3</v>
      </c>
    </row>
    <row r="814" spans="1:3" x14ac:dyDescent="0.3">
      <c r="A814" s="3" t="s">
        <v>1983</v>
      </c>
      <c r="B814" s="3" t="s">
        <v>7</v>
      </c>
      <c r="C814" s="3">
        <v>5.9</v>
      </c>
    </row>
    <row r="815" spans="1:3" x14ac:dyDescent="0.3">
      <c r="A815" s="4" t="s">
        <v>1985</v>
      </c>
      <c r="B815" s="4" t="s">
        <v>7</v>
      </c>
      <c r="C815" s="4">
        <v>5.9</v>
      </c>
    </row>
    <row r="816" spans="1:3" x14ac:dyDescent="0.3">
      <c r="A816" s="3" t="s">
        <v>1987</v>
      </c>
      <c r="B816" s="3" t="s">
        <v>7</v>
      </c>
      <c r="C816" s="3">
        <v>7.5</v>
      </c>
    </row>
    <row r="817" spans="1:3" x14ac:dyDescent="0.3">
      <c r="A817" s="4" t="s">
        <v>1990</v>
      </c>
      <c r="B817" s="4" t="s">
        <v>7</v>
      </c>
      <c r="C817" s="4">
        <v>5.6</v>
      </c>
    </row>
    <row r="818" spans="1:3" x14ac:dyDescent="0.3">
      <c r="A818" s="3" t="s">
        <v>1993</v>
      </c>
      <c r="B818" s="3" t="s">
        <v>7</v>
      </c>
      <c r="C818" s="3">
        <v>6.4</v>
      </c>
    </row>
    <row r="819" spans="1:3" x14ac:dyDescent="0.3">
      <c r="A819" s="4" t="s">
        <v>1995</v>
      </c>
      <c r="B819" s="4" t="s">
        <v>7</v>
      </c>
      <c r="C819" s="4">
        <v>6.3</v>
      </c>
    </row>
    <row r="820" spans="1:3" x14ac:dyDescent="0.3">
      <c r="A820" s="3" t="s">
        <v>1997</v>
      </c>
      <c r="B820" s="3" t="s">
        <v>7</v>
      </c>
      <c r="C820" s="3">
        <v>4.3</v>
      </c>
    </row>
    <row r="821" spans="1:3" x14ac:dyDescent="0.3">
      <c r="A821" s="4" t="s">
        <v>1999</v>
      </c>
      <c r="B821" s="4" t="s">
        <v>7</v>
      </c>
      <c r="C821" s="4">
        <v>5.9</v>
      </c>
    </row>
    <row r="822" spans="1:3" x14ac:dyDescent="0.3">
      <c r="A822" s="3" t="s">
        <v>2002</v>
      </c>
      <c r="B822" s="3" t="s">
        <v>7</v>
      </c>
      <c r="C822" s="3">
        <v>5.5</v>
      </c>
    </row>
    <row r="823" spans="1:3" x14ac:dyDescent="0.3">
      <c r="A823" s="4" t="s">
        <v>2005</v>
      </c>
      <c r="B823" s="4" t="s">
        <v>7</v>
      </c>
      <c r="C823" s="4">
        <v>6.2</v>
      </c>
    </row>
    <row r="824" spans="1:3" x14ac:dyDescent="0.3">
      <c r="A824" s="3" t="s">
        <v>2007</v>
      </c>
      <c r="B824" s="3" t="s">
        <v>7</v>
      </c>
      <c r="C824" s="3">
        <v>8.8000000000000007</v>
      </c>
    </row>
    <row r="825" spans="1:3" x14ac:dyDescent="0.3">
      <c r="A825" s="4" t="s">
        <v>2010</v>
      </c>
      <c r="B825" s="4" t="s">
        <v>7</v>
      </c>
      <c r="C825" s="4">
        <v>5.2</v>
      </c>
    </row>
    <row r="826" spans="1:3" x14ac:dyDescent="0.3">
      <c r="A826" s="3" t="s">
        <v>2013</v>
      </c>
      <c r="B826" s="3" t="s">
        <v>582</v>
      </c>
      <c r="C826" s="3">
        <v>7</v>
      </c>
    </row>
    <row r="827" spans="1:3" x14ac:dyDescent="0.3">
      <c r="A827" s="4" t="s">
        <v>2017</v>
      </c>
      <c r="B827" s="4" t="s">
        <v>7</v>
      </c>
      <c r="C827" s="4">
        <v>6.6</v>
      </c>
    </row>
    <row r="828" spans="1:3" x14ac:dyDescent="0.3">
      <c r="A828" s="3" t="s">
        <v>2019</v>
      </c>
      <c r="B828" s="3" t="s">
        <v>7</v>
      </c>
      <c r="C828" s="3">
        <v>7.3</v>
      </c>
    </row>
    <row r="829" spans="1:3" x14ac:dyDescent="0.3">
      <c r="A829" s="4" t="s">
        <v>2021</v>
      </c>
      <c r="B829" s="4" t="s">
        <v>7</v>
      </c>
      <c r="C829" s="4">
        <v>5.6</v>
      </c>
    </row>
    <row r="830" spans="1:3" x14ac:dyDescent="0.3">
      <c r="A830" s="3" t="s">
        <v>2023</v>
      </c>
      <c r="B830" s="3" t="s">
        <v>7</v>
      </c>
      <c r="C830" s="3">
        <v>6.6</v>
      </c>
    </row>
    <row r="831" spans="1:3" x14ac:dyDescent="0.3">
      <c r="A831" s="4" t="s">
        <v>2025</v>
      </c>
      <c r="B831" s="4" t="s">
        <v>7</v>
      </c>
      <c r="C831" s="4">
        <v>5.4</v>
      </c>
    </row>
    <row r="832" spans="1:3" x14ac:dyDescent="0.3">
      <c r="A832" s="3" t="s">
        <v>2027</v>
      </c>
      <c r="B832" s="3" t="s">
        <v>7</v>
      </c>
      <c r="C832" s="3">
        <v>6.3</v>
      </c>
    </row>
    <row r="833" spans="1:3" x14ac:dyDescent="0.3">
      <c r="A833" s="4" t="s">
        <v>2029</v>
      </c>
      <c r="B833" s="4" t="s">
        <v>7</v>
      </c>
      <c r="C833" s="4">
        <v>7.9</v>
      </c>
    </row>
    <row r="834" spans="1:3" x14ac:dyDescent="0.3">
      <c r="A834" s="3" t="s">
        <v>2031</v>
      </c>
      <c r="B834" s="3" t="s">
        <v>7</v>
      </c>
      <c r="C834" s="3">
        <v>6.3</v>
      </c>
    </row>
    <row r="835" spans="1:3" x14ac:dyDescent="0.3">
      <c r="A835" s="4" t="s">
        <v>2033</v>
      </c>
      <c r="B835" s="4" t="s">
        <v>7</v>
      </c>
      <c r="C835" s="4">
        <v>6</v>
      </c>
    </row>
    <row r="836" spans="1:3" x14ac:dyDescent="0.3">
      <c r="A836" s="3" t="s">
        <v>2035</v>
      </c>
      <c r="B836" s="3" t="s">
        <v>7</v>
      </c>
      <c r="C836" s="3">
        <v>7.2</v>
      </c>
    </row>
    <row r="837" spans="1:3" x14ac:dyDescent="0.3">
      <c r="A837" s="4" t="s">
        <v>2038</v>
      </c>
      <c r="B837" s="4" t="s">
        <v>7</v>
      </c>
      <c r="C837" s="4">
        <v>5.0999999999999996</v>
      </c>
    </row>
    <row r="838" spans="1:3" x14ac:dyDescent="0.3">
      <c r="A838" s="3" t="s">
        <v>2040</v>
      </c>
      <c r="B838" s="3" t="s">
        <v>7</v>
      </c>
      <c r="C838" s="3">
        <v>7.3</v>
      </c>
    </row>
    <row r="839" spans="1:3" x14ac:dyDescent="0.3">
      <c r="A839" s="4" t="s">
        <v>2042</v>
      </c>
      <c r="B839" s="4" t="s">
        <v>7</v>
      </c>
      <c r="C839" s="4">
        <v>8</v>
      </c>
    </row>
    <row r="840" spans="1:3" x14ac:dyDescent="0.3">
      <c r="A840" s="3" t="s">
        <v>2044</v>
      </c>
      <c r="B840" s="3" t="s">
        <v>7</v>
      </c>
      <c r="C840" s="3">
        <v>6.2</v>
      </c>
    </row>
    <row r="841" spans="1:3" x14ac:dyDescent="0.3">
      <c r="A841" s="4" t="s">
        <v>2046</v>
      </c>
      <c r="B841" s="4" t="s">
        <v>7</v>
      </c>
      <c r="C841" s="4">
        <v>6</v>
      </c>
    </row>
    <row r="842" spans="1:3" x14ac:dyDescent="0.3">
      <c r="A842" s="3" t="s">
        <v>2048</v>
      </c>
      <c r="B842" s="3" t="s">
        <v>7</v>
      </c>
      <c r="C842" s="3">
        <v>6.7</v>
      </c>
    </row>
    <row r="843" spans="1:3" x14ac:dyDescent="0.3">
      <c r="A843" s="4" t="s">
        <v>2051</v>
      </c>
      <c r="B843" s="4" t="s">
        <v>7</v>
      </c>
      <c r="C843" s="4">
        <v>8.1</v>
      </c>
    </row>
    <row r="844" spans="1:3" x14ac:dyDescent="0.3">
      <c r="A844" s="3" t="s">
        <v>2054</v>
      </c>
      <c r="B844" s="3" t="s">
        <v>7</v>
      </c>
      <c r="C844" s="3">
        <v>6.4</v>
      </c>
    </row>
    <row r="845" spans="1:3" x14ac:dyDescent="0.3">
      <c r="A845" s="4" t="s">
        <v>2057</v>
      </c>
      <c r="B845" s="4" t="s">
        <v>7</v>
      </c>
      <c r="C845" s="4">
        <v>8</v>
      </c>
    </row>
    <row r="846" spans="1:3" x14ac:dyDescent="0.3">
      <c r="A846" s="3" t="s">
        <v>2059</v>
      </c>
      <c r="B846" s="3" t="s">
        <v>7</v>
      </c>
      <c r="C846" s="3">
        <v>6.3</v>
      </c>
    </row>
    <row r="847" spans="1:3" x14ac:dyDescent="0.3">
      <c r="A847" s="4" t="s">
        <v>2061</v>
      </c>
      <c r="B847" s="4" t="s">
        <v>7</v>
      </c>
      <c r="C847" s="4">
        <v>6.4</v>
      </c>
    </row>
    <row r="848" spans="1:3" x14ac:dyDescent="0.3">
      <c r="A848" s="3" t="s">
        <v>2064</v>
      </c>
      <c r="B848" s="3" t="s">
        <v>7</v>
      </c>
      <c r="C848" s="3">
        <v>6.6</v>
      </c>
    </row>
    <row r="849" spans="1:3" x14ac:dyDescent="0.3">
      <c r="A849" s="4" t="s">
        <v>2066</v>
      </c>
      <c r="B849" s="4" t="s">
        <v>7</v>
      </c>
      <c r="C849" s="4">
        <v>6.4</v>
      </c>
    </row>
    <row r="850" spans="1:3" x14ac:dyDescent="0.3">
      <c r="A850" s="3" t="s">
        <v>2068</v>
      </c>
      <c r="B850" s="3" t="s">
        <v>7</v>
      </c>
      <c r="C850" s="3">
        <v>6</v>
      </c>
    </row>
    <row r="851" spans="1:3" x14ac:dyDescent="0.3">
      <c r="A851" s="4" t="s">
        <v>2070</v>
      </c>
      <c r="B851" s="4" t="s">
        <v>7</v>
      </c>
      <c r="C851" s="4">
        <v>6.6</v>
      </c>
    </row>
    <row r="852" spans="1:3" x14ac:dyDescent="0.3">
      <c r="A852" s="3" t="s">
        <v>2072</v>
      </c>
      <c r="B852" s="3" t="s">
        <v>7</v>
      </c>
      <c r="C852" s="3">
        <v>5.9</v>
      </c>
    </row>
    <row r="853" spans="1:3" x14ac:dyDescent="0.3">
      <c r="A853" s="4" t="s">
        <v>2074</v>
      </c>
      <c r="B853" s="4" t="s">
        <v>7</v>
      </c>
      <c r="C853" s="4">
        <v>6.4</v>
      </c>
    </row>
    <row r="854" spans="1:3" x14ac:dyDescent="0.3">
      <c r="A854" s="3" t="s">
        <v>2076</v>
      </c>
      <c r="B854" s="3" t="s">
        <v>7</v>
      </c>
      <c r="C854" s="3">
        <v>6.3</v>
      </c>
    </row>
    <row r="855" spans="1:3" x14ac:dyDescent="0.3">
      <c r="A855" s="4" t="s">
        <v>2078</v>
      </c>
      <c r="B855" s="4" t="s">
        <v>7</v>
      </c>
      <c r="C855" s="4">
        <v>7.3</v>
      </c>
    </row>
    <row r="856" spans="1:3" x14ac:dyDescent="0.3">
      <c r="A856" s="3" t="s">
        <v>2080</v>
      </c>
      <c r="B856" s="3" t="s">
        <v>7</v>
      </c>
      <c r="C856" s="3">
        <v>6.8</v>
      </c>
    </row>
    <row r="857" spans="1:3" x14ac:dyDescent="0.3">
      <c r="A857" s="4" t="s">
        <v>2082</v>
      </c>
      <c r="B857" s="4" t="s">
        <v>7</v>
      </c>
      <c r="C857" s="4">
        <v>7.2</v>
      </c>
    </row>
    <row r="858" spans="1:3" x14ac:dyDescent="0.3">
      <c r="A858" s="3" t="s">
        <v>2084</v>
      </c>
      <c r="B858" s="3" t="s">
        <v>7</v>
      </c>
      <c r="C858" s="3">
        <v>5.7</v>
      </c>
    </row>
    <row r="859" spans="1:3" x14ac:dyDescent="0.3">
      <c r="A859" s="4" t="s">
        <v>2086</v>
      </c>
      <c r="B859" s="4" t="s">
        <v>7</v>
      </c>
      <c r="C859" s="4">
        <v>6</v>
      </c>
    </row>
    <row r="860" spans="1:3" x14ac:dyDescent="0.3">
      <c r="A860" s="3" t="s">
        <v>2088</v>
      </c>
      <c r="B860" s="3" t="s">
        <v>7</v>
      </c>
      <c r="C860" s="3">
        <v>6.5</v>
      </c>
    </row>
    <row r="861" spans="1:3" x14ac:dyDescent="0.3">
      <c r="A861" s="4" t="s">
        <v>2091</v>
      </c>
      <c r="B861" s="4" t="s">
        <v>7</v>
      </c>
      <c r="C861" s="4">
        <v>5.8</v>
      </c>
    </row>
    <row r="862" spans="1:3" x14ac:dyDescent="0.3">
      <c r="A862" s="3" t="s">
        <v>2093</v>
      </c>
      <c r="B862" s="3" t="s">
        <v>7</v>
      </c>
      <c r="C862" s="3">
        <v>5.8</v>
      </c>
    </row>
    <row r="863" spans="1:3" x14ac:dyDescent="0.3">
      <c r="A863" s="4" t="s">
        <v>2095</v>
      </c>
      <c r="B863" s="4" t="s">
        <v>7</v>
      </c>
      <c r="C863" s="4">
        <v>6.7</v>
      </c>
    </row>
    <row r="864" spans="1:3" x14ac:dyDescent="0.3">
      <c r="A864" s="3" t="s">
        <v>2097</v>
      </c>
      <c r="B864" s="3" t="s">
        <v>7</v>
      </c>
      <c r="C864" s="3">
        <v>7.8</v>
      </c>
    </row>
    <row r="865" spans="1:3" x14ac:dyDescent="0.3">
      <c r="A865" s="4" t="s">
        <v>2099</v>
      </c>
      <c r="B865" s="4" t="s">
        <v>7</v>
      </c>
      <c r="C865" s="4">
        <v>5.6</v>
      </c>
    </row>
    <row r="866" spans="1:3" x14ac:dyDescent="0.3">
      <c r="A866" s="3" t="s">
        <v>2102</v>
      </c>
      <c r="B866" s="3" t="s">
        <v>7</v>
      </c>
      <c r="C866" s="3">
        <v>5.8</v>
      </c>
    </row>
    <row r="867" spans="1:3" x14ac:dyDescent="0.3">
      <c r="A867" s="4" t="s">
        <v>2104</v>
      </c>
      <c r="B867" s="4" t="s">
        <v>7</v>
      </c>
      <c r="C867" s="4">
        <v>7.4</v>
      </c>
    </row>
    <row r="868" spans="1:3" x14ac:dyDescent="0.3">
      <c r="A868" s="3" t="s">
        <v>2106</v>
      </c>
      <c r="B868" s="3" t="s">
        <v>7</v>
      </c>
      <c r="C868" s="3">
        <v>6.9</v>
      </c>
    </row>
    <row r="869" spans="1:3" x14ac:dyDescent="0.3">
      <c r="A869" s="4" t="s">
        <v>2109</v>
      </c>
      <c r="B869" s="4" t="s">
        <v>7</v>
      </c>
      <c r="C869" s="4">
        <v>5.5</v>
      </c>
    </row>
    <row r="870" spans="1:3" x14ac:dyDescent="0.3">
      <c r="A870" s="3" t="s">
        <v>2111</v>
      </c>
      <c r="B870" s="3" t="s">
        <v>7</v>
      </c>
      <c r="C870" s="3">
        <v>6.3</v>
      </c>
    </row>
    <row r="871" spans="1:3" x14ac:dyDescent="0.3">
      <c r="A871" s="4" t="s">
        <v>2113</v>
      </c>
      <c r="B871" s="4" t="s">
        <v>7</v>
      </c>
      <c r="C871" s="4">
        <v>4.7</v>
      </c>
    </row>
    <row r="872" spans="1:3" x14ac:dyDescent="0.3">
      <c r="A872" s="3" t="s">
        <v>2115</v>
      </c>
      <c r="B872" s="3" t="s">
        <v>7</v>
      </c>
      <c r="C872" s="3">
        <v>5.6</v>
      </c>
    </row>
    <row r="873" spans="1:3" x14ac:dyDescent="0.3">
      <c r="A873" s="4" t="s">
        <v>2118</v>
      </c>
      <c r="B873" s="4" t="s">
        <v>7</v>
      </c>
      <c r="C873" s="4">
        <v>6.4</v>
      </c>
    </row>
    <row r="874" spans="1:3" x14ac:dyDescent="0.3">
      <c r="A874" s="3" t="s">
        <v>2120</v>
      </c>
      <c r="B874" s="3" t="s">
        <v>7</v>
      </c>
      <c r="C874" s="3">
        <v>4.2</v>
      </c>
    </row>
    <row r="875" spans="1:3" x14ac:dyDescent="0.3">
      <c r="A875" s="4" t="s">
        <v>2122</v>
      </c>
      <c r="B875" s="4" t="s">
        <v>7</v>
      </c>
      <c r="C875" s="4">
        <v>6.4</v>
      </c>
    </row>
    <row r="876" spans="1:3" x14ac:dyDescent="0.3">
      <c r="A876" s="3" t="s">
        <v>2124</v>
      </c>
      <c r="B876" s="3" t="s">
        <v>7</v>
      </c>
      <c r="C876" s="3">
        <v>7.7</v>
      </c>
    </row>
    <row r="877" spans="1:3" x14ac:dyDescent="0.3">
      <c r="A877" s="4" t="s">
        <v>2126</v>
      </c>
      <c r="B877" s="4" t="s">
        <v>7</v>
      </c>
      <c r="C877" s="4">
        <v>7.7</v>
      </c>
    </row>
    <row r="878" spans="1:3" x14ac:dyDescent="0.3">
      <c r="A878" s="3" t="s">
        <v>2129</v>
      </c>
      <c r="B878" s="3" t="s">
        <v>7</v>
      </c>
      <c r="C878" s="3">
        <v>5.3</v>
      </c>
    </row>
    <row r="879" spans="1:3" x14ac:dyDescent="0.3">
      <c r="A879" s="4" t="s">
        <v>2131</v>
      </c>
      <c r="B879" s="4" t="s">
        <v>7</v>
      </c>
      <c r="C879" s="4">
        <v>6.7</v>
      </c>
    </row>
    <row r="880" spans="1:3" x14ac:dyDescent="0.3">
      <c r="A880" s="3" t="s">
        <v>2133</v>
      </c>
      <c r="B880" s="3" t="s">
        <v>7</v>
      </c>
      <c r="C880" s="3">
        <v>7.7</v>
      </c>
    </row>
    <row r="881" spans="1:3" x14ac:dyDescent="0.3">
      <c r="A881" s="4" t="s">
        <v>2135</v>
      </c>
      <c r="B881" s="4" t="s">
        <v>7</v>
      </c>
      <c r="C881" s="4">
        <v>5.7</v>
      </c>
    </row>
    <row r="882" spans="1:3" x14ac:dyDescent="0.3">
      <c r="A882" s="3" t="s">
        <v>2137</v>
      </c>
      <c r="B882" s="3" t="s">
        <v>7</v>
      </c>
      <c r="C882" s="3">
        <v>7.6</v>
      </c>
    </row>
    <row r="883" spans="1:3" x14ac:dyDescent="0.3">
      <c r="A883" s="4" t="s">
        <v>2139</v>
      </c>
      <c r="B883" s="4" t="s">
        <v>7</v>
      </c>
      <c r="C883" s="4">
        <v>6.4</v>
      </c>
    </row>
    <row r="884" spans="1:3" x14ac:dyDescent="0.3">
      <c r="A884" s="3" t="s">
        <v>2142</v>
      </c>
      <c r="B884" s="3" t="s">
        <v>7</v>
      </c>
      <c r="C884" s="3">
        <v>5.6</v>
      </c>
    </row>
    <row r="885" spans="1:3" x14ac:dyDescent="0.3">
      <c r="A885" s="4" t="s">
        <v>2144</v>
      </c>
      <c r="B885" s="4" t="s">
        <v>7</v>
      </c>
      <c r="C885" s="4">
        <v>6.8</v>
      </c>
    </row>
    <row r="886" spans="1:3" x14ac:dyDescent="0.3">
      <c r="A886" s="3" t="s">
        <v>2146</v>
      </c>
      <c r="B886" s="3" t="s">
        <v>7</v>
      </c>
      <c r="C886" s="3">
        <v>2.4</v>
      </c>
    </row>
    <row r="887" spans="1:3" x14ac:dyDescent="0.3">
      <c r="A887" s="4" t="s">
        <v>2148</v>
      </c>
      <c r="B887" s="4" t="s">
        <v>7</v>
      </c>
      <c r="C887" s="4">
        <v>6.2</v>
      </c>
    </row>
    <row r="888" spans="1:3" x14ac:dyDescent="0.3">
      <c r="A888" s="3" t="s">
        <v>2150</v>
      </c>
      <c r="B888" s="3" t="s">
        <v>7</v>
      </c>
      <c r="C888" s="3">
        <v>5.9</v>
      </c>
    </row>
    <row r="889" spans="1:3" x14ac:dyDescent="0.3">
      <c r="A889" s="4" t="s">
        <v>2152</v>
      </c>
      <c r="B889" s="4" t="s">
        <v>7</v>
      </c>
      <c r="C889" s="4">
        <v>7.1</v>
      </c>
    </row>
    <row r="890" spans="1:3" x14ac:dyDescent="0.3">
      <c r="A890" s="3" t="s">
        <v>2155</v>
      </c>
      <c r="B890" s="3" t="s">
        <v>7</v>
      </c>
      <c r="C890" s="3">
        <v>7.6</v>
      </c>
    </row>
    <row r="891" spans="1:3" x14ac:dyDescent="0.3">
      <c r="A891" s="4" t="s">
        <v>2157</v>
      </c>
      <c r="B891" s="4" t="s">
        <v>7</v>
      </c>
      <c r="C891" s="4">
        <v>5.5</v>
      </c>
    </row>
    <row r="892" spans="1:3" x14ac:dyDescent="0.3">
      <c r="A892" s="3" t="s">
        <v>2159</v>
      </c>
      <c r="B892" s="3" t="s">
        <v>7</v>
      </c>
      <c r="C892" s="3">
        <v>7</v>
      </c>
    </row>
    <row r="893" spans="1:3" x14ac:dyDescent="0.3">
      <c r="A893" s="4" t="s">
        <v>2161</v>
      </c>
      <c r="B893" s="4" t="s">
        <v>7</v>
      </c>
      <c r="C893" s="4">
        <v>7.1</v>
      </c>
    </row>
    <row r="894" spans="1:3" x14ac:dyDescent="0.3">
      <c r="A894" s="3" t="s">
        <v>2164</v>
      </c>
      <c r="B894" s="3" t="s">
        <v>7</v>
      </c>
      <c r="C894" s="3">
        <v>7.4</v>
      </c>
    </row>
    <row r="895" spans="1:3" x14ac:dyDescent="0.3">
      <c r="A895" s="4" t="s">
        <v>2166</v>
      </c>
      <c r="B895" s="4" t="s">
        <v>7</v>
      </c>
      <c r="C895" s="4">
        <v>7.6</v>
      </c>
    </row>
    <row r="896" spans="1:3" x14ac:dyDescent="0.3">
      <c r="A896" s="3" t="s">
        <v>2168</v>
      </c>
      <c r="B896" s="3" t="s">
        <v>7</v>
      </c>
      <c r="C896" s="3">
        <v>5.9</v>
      </c>
    </row>
    <row r="897" spans="1:3" x14ac:dyDescent="0.3">
      <c r="A897" s="4" t="s">
        <v>2170</v>
      </c>
      <c r="B897" s="4" t="s">
        <v>7</v>
      </c>
      <c r="C897" s="4">
        <v>5.9</v>
      </c>
    </row>
    <row r="898" spans="1:3" x14ac:dyDescent="0.3">
      <c r="A898" s="3" t="s">
        <v>2172</v>
      </c>
      <c r="B898" s="3" t="s">
        <v>7</v>
      </c>
      <c r="C898" s="3">
        <v>8</v>
      </c>
    </row>
    <row r="899" spans="1:3" x14ac:dyDescent="0.3">
      <c r="A899" s="4" t="s">
        <v>2174</v>
      </c>
      <c r="B899" s="4" t="s">
        <v>7</v>
      </c>
      <c r="C899" s="4">
        <v>7.4</v>
      </c>
    </row>
    <row r="900" spans="1:3" x14ac:dyDescent="0.3">
      <c r="A900" s="3" t="s">
        <v>2176</v>
      </c>
      <c r="B900" s="3" t="s">
        <v>7</v>
      </c>
      <c r="C900" s="3">
        <v>5.8</v>
      </c>
    </row>
    <row r="901" spans="1:3" x14ac:dyDescent="0.3">
      <c r="A901" s="4" t="s">
        <v>2178</v>
      </c>
      <c r="B901" s="4" t="s">
        <v>7</v>
      </c>
      <c r="C901" s="4">
        <v>6.3</v>
      </c>
    </row>
    <row r="902" spans="1:3" x14ac:dyDescent="0.3">
      <c r="A902" s="3" t="s">
        <v>2180</v>
      </c>
      <c r="B902" s="3" t="s">
        <v>7</v>
      </c>
      <c r="C902" s="3">
        <v>5.7</v>
      </c>
    </row>
    <row r="903" spans="1:3" x14ac:dyDescent="0.3">
      <c r="A903" s="4" t="s">
        <v>2182</v>
      </c>
      <c r="B903" s="4" t="s">
        <v>7</v>
      </c>
      <c r="C903" s="4">
        <v>5.0999999999999996</v>
      </c>
    </row>
    <row r="904" spans="1:3" x14ac:dyDescent="0.3">
      <c r="A904" s="3" t="s">
        <v>2184</v>
      </c>
      <c r="B904" s="3" t="s">
        <v>7</v>
      </c>
      <c r="C904" s="3">
        <v>7.6</v>
      </c>
    </row>
    <row r="905" spans="1:3" x14ac:dyDescent="0.3">
      <c r="A905" s="4" t="s">
        <v>2186</v>
      </c>
      <c r="B905" s="4" t="s">
        <v>7</v>
      </c>
      <c r="C905" s="4">
        <v>6.4</v>
      </c>
    </row>
    <row r="906" spans="1:3" x14ac:dyDescent="0.3">
      <c r="A906" s="3" t="s">
        <v>2189</v>
      </c>
      <c r="B906" s="3" t="s">
        <v>7</v>
      </c>
      <c r="C906" s="3">
        <v>7.4</v>
      </c>
    </row>
    <row r="907" spans="1:3" x14ac:dyDescent="0.3">
      <c r="A907" s="4" t="s">
        <v>2191</v>
      </c>
      <c r="B907" s="4" t="s">
        <v>7</v>
      </c>
      <c r="C907" s="4">
        <v>8.1999999999999993</v>
      </c>
    </row>
    <row r="908" spans="1:3" x14ac:dyDescent="0.3">
      <c r="A908" s="3" t="s">
        <v>2193</v>
      </c>
      <c r="B908" s="3" t="s">
        <v>7</v>
      </c>
      <c r="C908" s="3">
        <v>6.5</v>
      </c>
    </row>
    <row r="909" spans="1:3" x14ac:dyDescent="0.3">
      <c r="A909" s="4" t="s">
        <v>2195</v>
      </c>
      <c r="B909" s="4" t="s">
        <v>7</v>
      </c>
      <c r="C909" s="4">
        <v>5.5</v>
      </c>
    </row>
    <row r="910" spans="1:3" x14ac:dyDescent="0.3">
      <c r="A910" s="3" t="s">
        <v>2197</v>
      </c>
      <c r="B910" s="3" t="s">
        <v>7</v>
      </c>
      <c r="C910" s="3">
        <v>6.5</v>
      </c>
    </row>
    <row r="911" spans="1:3" x14ac:dyDescent="0.3">
      <c r="A911" s="4" t="s">
        <v>2199</v>
      </c>
      <c r="B911" s="4" t="s">
        <v>7</v>
      </c>
      <c r="C911" s="4">
        <v>5.6</v>
      </c>
    </row>
    <row r="912" spans="1:3" x14ac:dyDescent="0.3">
      <c r="A912" s="3" t="s">
        <v>2201</v>
      </c>
      <c r="B912" s="3" t="s">
        <v>7</v>
      </c>
      <c r="C912" s="3">
        <v>4.9000000000000004</v>
      </c>
    </row>
    <row r="913" spans="1:3" x14ac:dyDescent="0.3">
      <c r="A913" s="4" t="s">
        <v>2203</v>
      </c>
      <c r="B913" s="4" t="s">
        <v>7</v>
      </c>
      <c r="C913" s="4">
        <v>4.5999999999999996</v>
      </c>
    </row>
    <row r="914" spans="1:3" x14ac:dyDescent="0.3">
      <c r="A914" s="3" t="s">
        <v>2205</v>
      </c>
      <c r="B914" s="3" t="s">
        <v>7</v>
      </c>
      <c r="C914" s="3">
        <v>7.9</v>
      </c>
    </row>
    <row r="915" spans="1:3" x14ac:dyDescent="0.3">
      <c r="A915" s="4" t="s">
        <v>2207</v>
      </c>
      <c r="B915" s="4" t="s">
        <v>7</v>
      </c>
      <c r="C915" s="4">
        <v>7.1</v>
      </c>
    </row>
    <row r="916" spans="1:3" x14ac:dyDescent="0.3">
      <c r="A916" s="3" t="s">
        <v>2209</v>
      </c>
      <c r="B916" s="3" t="s">
        <v>7</v>
      </c>
      <c r="C916" s="3">
        <v>6.9</v>
      </c>
    </row>
    <row r="917" spans="1:3" x14ac:dyDescent="0.3">
      <c r="A917" s="4" t="s">
        <v>2212</v>
      </c>
      <c r="B917" s="4" t="s">
        <v>7</v>
      </c>
      <c r="C917" s="4">
        <v>7.3</v>
      </c>
    </row>
    <row r="918" spans="1:3" x14ac:dyDescent="0.3">
      <c r="A918" s="3" t="s">
        <v>2214</v>
      </c>
      <c r="B918" s="3" t="s">
        <v>7</v>
      </c>
      <c r="C918" s="3">
        <v>7</v>
      </c>
    </row>
    <row r="919" spans="1:3" x14ac:dyDescent="0.3">
      <c r="A919" s="4" t="s">
        <v>2216</v>
      </c>
      <c r="B919" s="4" t="s">
        <v>7</v>
      </c>
      <c r="C919" s="4">
        <v>7.7</v>
      </c>
    </row>
    <row r="920" spans="1:3" x14ac:dyDescent="0.3">
      <c r="A920" s="3" t="s">
        <v>2218</v>
      </c>
      <c r="B920" s="3" t="s">
        <v>7</v>
      </c>
      <c r="C920" s="3">
        <v>6.7</v>
      </c>
    </row>
    <row r="921" spans="1:3" x14ac:dyDescent="0.3">
      <c r="A921" s="4" t="s">
        <v>2220</v>
      </c>
      <c r="B921" s="4" t="s">
        <v>7</v>
      </c>
      <c r="C921" s="4">
        <v>6.3</v>
      </c>
    </row>
    <row r="922" spans="1:3" x14ac:dyDescent="0.3">
      <c r="A922" s="3" t="s">
        <v>2222</v>
      </c>
      <c r="B922" s="3" t="s">
        <v>7</v>
      </c>
      <c r="C922" s="3">
        <v>5.8</v>
      </c>
    </row>
    <row r="923" spans="1:3" x14ac:dyDescent="0.3">
      <c r="A923" s="4" t="s">
        <v>2224</v>
      </c>
      <c r="B923" s="4" t="s">
        <v>7</v>
      </c>
      <c r="C923" s="4">
        <v>7.1</v>
      </c>
    </row>
    <row r="924" spans="1:3" x14ac:dyDescent="0.3">
      <c r="A924" s="3" t="s">
        <v>2227</v>
      </c>
      <c r="B924" s="3" t="s">
        <v>7</v>
      </c>
      <c r="C924" s="3">
        <v>7.3</v>
      </c>
    </row>
    <row r="925" spans="1:3" x14ac:dyDescent="0.3">
      <c r="A925" s="4" t="s">
        <v>2229</v>
      </c>
      <c r="B925" s="4" t="s">
        <v>7</v>
      </c>
      <c r="C925" s="4">
        <v>6.4</v>
      </c>
    </row>
    <row r="926" spans="1:3" x14ac:dyDescent="0.3">
      <c r="A926" s="3" t="s">
        <v>2232</v>
      </c>
      <c r="B926" s="3" t="s">
        <v>7</v>
      </c>
      <c r="C926" s="3">
        <v>7.1</v>
      </c>
    </row>
    <row r="927" spans="1:3" x14ac:dyDescent="0.3">
      <c r="A927" s="4" t="s">
        <v>2234</v>
      </c>
      <c r="B927" s="4" t="s">
        <v>7</v>
      </c>
      <c r="C927" s="4">
        <v>7.6</v>
      </c>
    </row>
    <row r="928" spans="1:3" x14ac:dyDescent="0.3">
      <c r="A928" s="3" t="s">
        <v>2236</v>
      </c>
      <c r="B928" s="3" t="s">
        <v>7</v>
      </c>
      <c r="C928" s="3">
        <v>6.8</v>
      </c>
    </row>
    <row r="929" spans="1:3" x14ac:dyDescent="0.3">
      <c r="A929" s="4" t="s">
        <v>2238</v>
      </c>
      <c r="B929" s="4" t="s">
        <v>7</v>
      </c>
      <c r="C929" s="4">
        <v>6.6</v>
      </c>
    </row>
    <row r="930" spans="1:3" x14ac:dyDescent="0.3">
      <c r="A930" s="3" t="s">
        <v>2240</v>
      </c>
      <c r="B930" s="3" t="s">
        <v>7</v>
      </c>
      <c r="C930" s="3">
        <v>6.7</v>
      </c>
    </row>
    <row r="931" spans="1:3" x14ac:dyDescent="0.3">
      <c r="A931" s="4" t="s">
        <v>2242</v>
      </c>
      <c r="B931" s="4" t="s">
        <v>7</v>
      </c>
      <c r="C931" s="4">
        <v>6.1</v>
      </c>
    </row>
    <row r="932" spans="1:3" x14ac:dyDescent="0.3">
      <c r="A932" s="3" t="s">
        <v>2244</v>
      </c>
      <c r="B932" s="3" t="s">
        <v>7</v>
      </c>
      <c r="C932" s="3">
        <v>6</v>
      </c>
    </row>
    <row r="933" spans="1:3" x14ac:dyDescent="0.3">
      <c r="A933" s="4" t="s">
        <v>2246</v>
      </c>
      <c r="B933" s="4" t="s">
        <v>7</v>
      </c>
      <c r="C933" s="4">
        <v>7.6</v>
      </c>
    </row>
    <row r="934" spans="1:3" x14ac:dyDescent="0.3">
      <c r="A934" s="3" t="s">
        <v>2248</v>
      </c>
      <c r="B934" s="3" t="s">
        <v>7</v>
      </c>
      <c r="C934" s="3">
        <v>7.1</v>
      </c>
    </row>
    <row r="935" spans="1:3" x14ac:dyDescent="0.3">
      <c r="A935" s="4" t="s">
        <v>2250</v>
      </c>
      <c r="B935" s="4" t="s">
        <v>7</v>
      </c>
      <c r="C935" s="4">
        <v>5</v>
      </c>
    </row>
    <row r="936" spans="1:3" x14ac:dyDescent="0.3">
      <c r="A936" s="3" t="s">
        <v>2252</v>
      </c>
      <c r="B936" s="3" t="s">
        <v>7</v>
      </c>
      <c r="C936" s="3">
        <v>7.1</v>
      </c>
    </row>
    <row r="937" spans="1:3" x14ac:dyDescent="0.3">
      <c r="A937" s="4" t="s">
        <v>2255</v>
      </c>
      <c r="B937" s="4" t="s">
        <v>7</v>
      </c>
      <c r="C937" s="4">
        <v>6.2</v>
      </c>
    </row>
    <row r="938" spans="1:3" x14ac:dyDescent="0.3">
      <c r="A938" s="3" t="s">
        <v>2258</v>
      </c>
      <c r="B938" s="3" t="s">
        <v>7</v>
      </c>
      <c r="C938" s="3">
        <v>5.6</v>
      </c>
    </row>
    <row r="939" spans="1:3" x14ac:dyDescent="0.3">
      <c r="A939" s="4" t="s">
        <v>2260</v>
      </c>
      <c r="B939" s="4" t="s">
        <v>7</v>
      </c>
      <c r="C939" s="4">
        <v>5.4</v>
      </c>
    </row>
    <row r="940" spans="1:3" x14ac:dyDescent="0.3">
      <c r="A940" s="3" t="s">
        <v>2262</v>
      </c>
      <c r="B940" s="3" t="s">
        <v>7</v>
      </c>
      <c r="C940" s="3">
        <v>7.4</v>
      </c>
    </row>
    <row r="941" spans="1:3" x14ac:dyDescent="0.3">
      <c r="A941" s="4" t="s">
        <v>2264</v>
      </c>
      <c r="B941" s="4" t="s">
        <v>7</v>
      </c>
      <c r="C941" s="4">
        <v>5</v>
      </c>
    </row>
    <row r="942" spans="1:3" x14ac:dyDescent="0.3">
      <c r="A942" s="3" t="s">
        <v>2266</v>
      </c>
      <c r="B942" s="3" t="s">
        <v>7</v>
      </c>
      <c r="C942" s="3">
        <v>5.2</v>
      </c>
    </row>
    <row r="943" spans="1:3" x14ac:dyDescent="0.3">
      <c r="A943" s="4" t="s">
        <v>2268</v>
      </c>
      <c r="B943" s="4" t="s">
        <v>7</v>
      </c>
      <c r="C943" s="4">
        <v>7.6</v>
      </c>
    </row>
    <row r="944" spans="1:3" x14ac:dyDescent="0.3">
      <c r="A944" s="3" t="s">
        <v>2270</v>
      </c>
      <c r="B944" s="3" t="s">
        <v>7</v>
      </c>
      <c r="C944" s="3">
        <v>6.6</v>
      </c>
    </row>
    <row r="945" spans="1:3" x14ac:dyDescent="0.3">
      <c r="A945" s="4" t="s">
        <v>2273</v>
      </c>
      <c r="B945" s="4" t="s">
        <v>7</v>
      </c>
      <c r="C945" s="4">
        <v>7</v>
      </c>
    </row>
    <row r="946" spans="1:3" x14ac:dyDescent="0.3">
      <c r="A946" s="3" t="s">
        <v>2275</v>
      </c>
      <c r="B946" s="3" t="s">
        <v>7</v>
      </c>
      <c r="C946" s="3">
        <v>5.7</v>
      </c>
    </row>
    <row r="947" spans="1:3" x14ac:dyDescent="0.3">
      <c r="A947" s="4" t="s">
        <v>2277</v>
      </c>
      <c r="B947" s="4" t="s">
        <v>7</v>
      </c>
      <c r="C947" s="4">
        <v>8.1999999999999993</v>
      </c>
    </row>
    <row r="948" spans="1:3" x14ac:dyDescent="0.3">
      <c r="A948" s="3" t="s">
        <v>2280</v>
      </c>
      <c r="B948" s="3" t="s">
        <v>7</v>
      </c>
      <c r="C948" s="3">
        <v>6.2</v>
      </c>
    </row>
    <row r="949" spans="1:3" x14ac:dyDescent="0.3">
      <c r="A949" s="4" t="s">
        <v>2282</v>
      </c>
      <c r="B949" s="4" t="s">
        <v>7</v>
      </c>
      <c r="C949" s="4">
        <v>6.6</v>
      </c>
    </row>
    <row r="950" spans="1:3" x14ac:dyDescent="0.3">
      <c r="A950" s="3" t="s">
        <v>2285</v>
      </c>
      <c r="B950" s="3" t="s">
        <v>7</v>
      </c>
      <c r="C950" s="3">
        <v>4.7</v>
      </c>
    </row>
    <row r="951" spans="1:3" x14ac:dyDescent="0.3">
      <c r="A951" s="4" t="s">
        <v>2287</v>
      </c>
      <c r="B951" s="4" t="s">
        <v>7</v>
      </c>
      <c r="C951" s="4">
        <v>6.3</v>
      </c>
    </row>
    <row r="952" spans="1:3" x14ac:dyDescent="0.3">
      <c r="A952" s="3" t="s">
        <v>2289</v>
      </c>
      <c r="B952" s="3" t="s">
        <v>7</v>
      </c>
      <c r="C952" s="3">
        <v>6.1</v>
      </c>
    </row>
    <row r="953" spans="1:3" x14ac:dyDescent="0.3">
      <c r="A953" s="4" t="s">
        <v>2291</v>
      </c>
      <c r="B953" s="4" t="s">
        <v>7</v>
      </c>
      <c r="C953" s="4">
        <v>6.7</v>
      </c>
    </row>
    <row r="954" spans="1:3" x14ac:dyDescent="0.3">
      <c r="A954" s="3" t="s">
        <v>2293</v>
      </c>
      <c r="B954" s="3" t="s">
        <v>7</v>
      </c>
      <c r="C954" s="3">
        <v>6.1</v>
      </c>
    </row>
    <row r="955" spans="1:3" x14ac:dyDescent="0.3">
      <c r="A955" s="4" t="s">
        <v>2295</v>
      </c>
      <c r="B955" s="4" t="s">
        <v>7</v>
      </c>
      <c r="C955" s="4">
        <v>7</v>
      </c>
    </row>
    <row r="956" spans="1:3" x14ac:dyDescent="0.3">
      <c r="A956" s="3" t="s">
        <v>2297</v>
      </c>
      <c r="B956" s="3" t="s">
        <v>7</v>
      </c>
      <c r="C956" s="3">
        <v>7.4</v>
      </c>
    </row>
    <row r="957" spans="1:3" x14ac:dyDescent="0.3">
      <c r="A957" s="4" t="s">
        <v>2300</v>
      </c>
      <c r="B957" s="4" t="s">
        <v>7</v>
      </c>
      <c r="C957" s="4">
        <v>7.3</v>
      </c>
    </row>
    <row r="958" spans="1:3" x14ac:dyDescent="0.3">
      <c r="A958" s="3" t="s">
        <v>2302</v>
      </c>
      <c r="B958" s="3" t="s">
        <v>7</v>
      </c>
      <c r="C958" s="3">
        <v>5.8</v>
      </c>
    </row>
    <row r="959" spans="1:3" x14ac:dyDescent="0.3">
      <c r="A959" s="4" t="s">
        <v>2304</v>
      </c>
      <c r="B959" s="4" t="s">
        <v>7</v>
      </c>
      <c r="C959" s="4">
        <v>6.7</v>
      </c>
    </row>
    <row r="960" spans="1:3" x14ac:dyDescent="0.3">
      <c r="A960" s="3" t="s">
        <v>2306</v>
      </c>
      <c r="B960" s="3" t="s">
        <v>7</v>
      </c>
      <c r="C960" s="3">
        <v>5.8</v>
      </c>
    </row>
    <row r="961" spans="1:3" x14ac:dyDescent="0.3">
      <c r="A961" s="4" t="s">
        <v>2310</v>
      </c>
      <c r="B961" s="4" t="s">
        <v>7</v>
      </c>
      <c r="C961" s="4">
        <v>7.8</v>
      </c>
    </row>
    <row r="962" spans="1:3" x14ac:dyDescent="0.3">
      <c r="A962" s="3" t="s">
        <v>2313</v>
      </c>
      <c r="B962" s="3" t="s">
        <v>7</v>
      </c>
      <c r="C962" s="3">
        <v>6.6</v>
      </c>
    </row>
    <row r="963" spans="1:3" x14ac:dyDescent="0.3">
      <c r="A963" s="4" t="s">
        <v>2315</v>
      </c>
      <c r="B963" s="4" t="s">
        <v>7</v>
      </c>
      <c r="C963" s="4">
        <v>6.5</v>
      </c>
    </row>
    <row r="964" spans="1:3" x14ac:dyDescent="0.3">
      <c r="A964" s="3" t="s">
        <v>2318</v>
      </c>
      <c r="B964" s="3" t="s">
        <v>7</v>
      </c>
      <c r="C964" s="3">
        <v>6.7</v>
      </c>
    </row>
    <row r="965" spans="1:3" x14ac:dyDescent="0.3">
      <c r="A965" s="4" t="s">
        <v>2320</v>
      </c>
      <c r="B965" s="4" t="s">
        <v>7</v>
      </c>
      <c r="C965" s="4">
        <v>7.3</v>
      </c>
    </row>
    <row r="966" spans="1:3" x14ac:dyDescent="0.3">
      <c r="A966" s="3" t="s">
        <v>2322</v>
      </c>
      <c r="B966" s="3" t="s">
        <v>7</v>
      </c>
      <c r="C966" s="3">
        <v>5.8</v>
      </c>
    </row>
    <row r="967" spans="1:3" x14ac:dyDescent="0.3">
      <c r="A967" s="4" t="s">
        <v>2326</v>
      </c>
      <c r="B967" s="4" t="s">
        <v>7</v>
      </c>
      <c r="C967" s="4">
        <v>5.5</v>
      </c>
    </row>
    <row r="968" spans="1:3" x14ac:dyDescent="0.3">
      <c r="A968" s="3" t="s">
        <v>2328</v>
      </c>
      <c r="B968" s="3" t="s">
        <v>7</v>
      </c>
      <c r="C968" s="3">
        <v>6.3</v>
      </c>
    </row>
    <row r="969" spans="1:3" x14ac:dyDescent="0.3">
      <c r="A969" s="4" t="s">
        <v>2331</v>
      </c>
      <c r="B969" s="4" t="s">
        <v>7</v>
      </c>
      <c r="C969" s="4">
        <v>7.4</v>
      </c>
    </row>
    <row r="970" spans="1:3" x14ac:dyDescent="0.3">
      <c r="A970" s="3" t="s">
        <v>2334</v>
      </c>
      <c r="B970" s="3" t="s">
        <v>7</v>
      </c>
      <c r="C970" s="3">
        <v>5.9</v>
      </c>
    </row>
    <row r="971" spans="1:3" x14ac:dyDescent="0.3">
      <c r="A971" s="4" t="s">
        <v>2336</v>
      </c>
      <c r="B971" s="4" t="s">
        <v>7</v>
      </c>
      <c r="C971" s="4">
        <v>6.2</v>
      </c>
    </row>
    <row r="972" spans="1:3" x14ac:dyDescent="0.3">
      <c r="A972" s="3" t="s">
        <v>2338</v>
      </c>
      <c r="B972" s="3" t="s">
        <v>7</v>
      </c>
      <c r="C972" s="3">
        <v>5.9</v>
      </c>
    </row>
    <row r="973" spans="1:3" x14ac:dyDescent="0.3">
      <c r="A973" s="4" t="s">
        <v>2341</v>
      </c>
      <c r="B973" s="4" t="s">
        <v>7</v>
      </c>
      <c r="C973" s="4">
        <v>6.5</v>
      </c>
    </row>
    <row r="974" spans="1:3" x14ac:dyDescent="0.3">
      <c r="A974" s="3" t="s">
        <v>2344</v>
      </c>
      <c r="B974" s="3" t="s">
        <v>7</v>
      </c>
      <c r="C974" s="3">
        <v>4.4000000000000004</v>
      </c>
    </row>
    <row r="975" spans="1:3" x14ac:dyDescent="0.3">
      <c r="A975" s="4" t="s">
        <v>2346</v>
      </c>
      <c r="B975" s="4" t="s">
        <v>7</v>
      </c>
      <c r="C975" s="4">
        <v>3.5</v>
      </c>
    </row>
    <row r="976" spans="1:3" x14ac:dyDescent="0.3">
      <c r="A976" s="3" t="s">
        <v>2348</v>
      </c>
      <c r="B976" s="3" t="s">
        <v>7</v>
      </c>
      <c r="C976" s="3">
        <v>6.6</v>
      </c>
    </row>
    <row r="977" spans="1:3" x14ac:dyDescent="0.3">
      <c r="A977" s="4" t="s">
        <v>2351</v>
      </c>
      <c r="B977" s="4" t="s">
        <v>7</v>
      </c>
      <c r="C977" s="4">
        <v>6</v>
      </c>
    </row>
    <row r="978" spans="1:3" x14ac:dyDescent="0.3">
      <c r="A978" s="3" t="s">
        <v>2357</v>
      </c>
      <c r="B978" s="3" t="s">
        <v>7</v>
      </c>
      <c r="C978" s="3">
        <v>6.4</v>
      </c>
    </row>
    <row r="979" spans="1:3" x14ac:dyDescent="0.3">
      <c r="A979" s="4" t="s">
        <v>2360</v>
      </c>
      <c r="B979" s="4" t="s">
        <v>7</v>
      </c>
      <c r="C979" s="4">
        <v>6.5</v>
      </c>
    </row>
    <row r="980" spans="1:3" x14ac:dyDescent="0.3">
      <c r="A980" s="3" t="s">
        <v>2363</v>
      </c>
      <c r="B980" s="3" t="s">
        <v>7</v>
      </c>
      <c r="C980" s="3">
        <v>4.3</v>
      </c>
    </row>
    <row r="981" spans="1:3" x14ac:dyDescent="0.3">
      <c r="A981" s="4" t="s">
        <v>2365</v>
      </c>
      <c r="B981" s="4" t="s">
        <v>7</v>
      </c>
      <c r="C981" s="4">
        <v>4.2</v>
      </c>
    </row>
    <row r="982" spans="1:3" x14ac:dyDescent="0.3">
      <c r="A982" s="3" t="s">
        <v>2367</v>
      </c>
      <c r="B982" s="3" t="s">
        <v>7</v>
      </c>
      <c r="C982" s="3">
        <v>6.5</v>
      </c>
    </row>
    <row r="983" spans="1:3" x14ac:dyDescent="0.3">
      <c r="A983" s="4" t="s">
        <v>2369</v>
      </c>
      <c r="B983" s="4" t="s">
        <v>7</v>
      </c>
      <c r="C983" s="4">
        <v>6.1</v>
      </c>
    </row>
    <row r="984" spans="1:3" x14ac:dyDescent="0.3">
      <c r="A984" s="3" t="s">
        <v>2371</v>
      </c>
      <c r="B984" s="3" t="s">
        <v>7</v>
      </c>
      <c r="C984" s="3">
        <v>6.3</v>
      </c>
    </row>
    <row r="985" spans="1:3" x14ac:dyDescent="0.3">
      <c r="A985" s="4" t="s">
        <v>2374</v>
      </c>
      <c r="B985" s="4" t="s">
        <v>7</v>
      </c>
      <c r="C985" s="4">
        <v>6.2</v>
      </c>
    </row>
    <row r="986" spans="1:3" x14ac:dyDescent="0.3">
      <c r="A986" s="3" t="s">
        <v>2377</v>
      </c>
      <c r="B986" s="3" t="s">
        <v>7</v>
      </c>
      <c r="C986" s="3">
        <v>5.9</v>
      </c>
    </row>
    <row r="987" spans="1:3" x14ac:dyDescent="0.3">
      <c r="A987" s="4" t="s">
        <v>2380</v>
      </c>
      <c r="B987" s="4" t="s">
        <v>7</v>
      </c>
      <c r="C987" s="4">
        <v>5.9</v>
      </c>
    </row>
    <row r="988" spans="1:3" x14ac:dyDescent="0.3">
      <c r="A988" s="3" t="s">
        <v>2382</v>
      </c>
      <c r="B988" s="3" t="s">
        <v>7</v>
      </c>
      <c r="C988" s="3">
        <v>6.5</v>
      </c>
    </row>
    <row r="989" spans="1:3" x14ac:dyDescent="0.3">
      <c r="A989" s="4" t="s">
        <v>2385</v>
      </c>
      <c r="B989" s="4" t="s">
        <v>7</v>
      </c>
      <c r="C989" s="4">
        <v>6.4</v>
      </c>
    </row>
    <row r="990" spans="1:3" x14ac:dyDescent="0.3">
      <c r="A990" s="3" t="s">
        <v>2388</v>
      </c>
      <c r="B990" s="3" t="s">
        <v>7</v>
      </c>
      <c r="C990" s="3">
        <v>6.5</v>
      </c>
    </row>
    <row r="991" spans="1:3" x14ac:dyDescent="0.3">
      <c r="A991" s="4" t="s">
        <v>2390</v>
      </c>
      <c r="B991" s="4" t="s">
        <v>7</v>
      </c>
      <c r="C991" s="4">
        <v>5.7</v>
      </c>
    </row>
    <row r="992" spans="1:3" x14ac:dyDescent="0.3">
      <c r="A992" s="3" t="s">
        <v>2393</v>
      </c>
      <c r="B992" s="3" t="s">
        <v>7</v>
      </c>
      <c r="C992" s="3">
        <v>8</v>
      </c>
    </row>
    <row r="993" spans="1:3" x14ac:dyDescent="0.3">
      <c r="A993" s="4" t="s">
        <v>2396</v>
      </c>
      <c r="B993" s="4" t="s">
        <v>7</v>
      </c>
      <c r="C993" s="4">
        <v>7.3</v>
      </c>
    </row>
    <row r="994" spans="1:3" x14ac:dyDescent="0.3">
      <c r="A994" s="3" t="s">
        <v>2398</v>
      </c>
      <c r="B994" s="3" t="s">
        <v>7</v>
      </c>
      <c r="C994" s="3">
        <v>6.7</v>
      </c>
    </row>
    <row r="995" spans="1:3" x14ac:dyDescent="0.3">
      <c r="A995" s="4" t="s">
        <v>2400</v>
      </c>
      <c r="B995" s="4" t="s">
        <v>7</v>
      </c>
      <c r="C995" s="4">
        <v>7.5</v>
      </c>
    </row>
    <row r="996" spans="1:3" x14ac:dyDescent="0.3">
      <c r="A996" s="3" t="s">
        <v>2402</v>
      </c>
      <c r="B996" s="3" t="s">
        <v>7</v>
      </c>
      <c r="C996" s="3">
        <v>5.4</v>
      </c>
    </row>
    <row r="997" spans="1:3" x14ac:dyDescent="0.3">
      <c r="A997" s="4" t="s">
        <v>2404</v>
      </c>
      <c r="B997" s="4" t="s">
        <v>7</v>
      </c>
      <c r="C997" s="4">
        <v>6.6</v>
      </c>
    </row>
    <row r="998" spans="1:3" x14ac:dyDescent="0.3">
      <c r="A998" s="3" t="s">
        <v>2406</v>
      </c>
      <c r="B998" s="3" t="s">
        <v>7</v>
      </c>
      <c r="C998" s="3">
        <v>7.7</v>
      </c>
    </row>
    <row r="999" spans="1:3" x14ac:dyDescent="0.3">
      <c r="A999" s="4" t="s">
        <v>2408</v>
      </c>
      <c r="B999" s="4" t="s">
        <v>7</v>
      </c>
      <c r="C999" s="4">
        <v>5.8</v>
      </c>
    </row>
    <row r="1000" spans="1:3" x14ac:dyDescent="0.3">
      <c r="A1000" s="3" t="s">
        <v>2410</v>
      </c>
      <c r="B1000" s="3" t="s">
        <v>7</v>
      </c>
      <c r="C1000" s="3">
        <v>6.4</v>
      </c>
    </row>
    <row r="1001" spans="1:3" x14ac:dyDescent="0.3">
      <c r="A1001" s="4" t="s">
        <v>2412</v>
      </c>
      <c r="B1001" s="4" t="s">
        <v>7</v>
      </c>
      <c r="C1001" s="4">
        <v>5.6</v>
      </c>
    </row>
    <row r="1002" spans="1:3" x14ac:dyDescent="0.3">
      <c r="A1002" s="3" t="s">
        <v>2414</v>
      </c>
      <c r="B1002" s="3" t="s">
        <v>7</v>
      </c>
      <c r="C1002" s="3">
        <v>6</v>
      </c>
    </row>
    <row r="1003" spans="1:3" x14ac:dyDescent="0.3">
      <c r="A1003" s="4" t="s">
        <v>2416</v>
      </c>
      <c r="B1003" s="4" t="s">
        <v>7</v>
      </c>
      <c r="C1003" s="4">
        <v>6.2</v>
      </c>
    </row>
    <row r="1004" spans="1:3" x14ac:dyDescent="0.3">
      <c r="A1004" s="3" t="s">
        <v>2419</v>
      </c>
      <c r="B1004" s="3" t="s">
        <v>7</v>
      </c>
      <c r="C1004" s="3">
        <v>5.9</v>
      </c>
    </row>
    <row r="1005" spans="1:3" x14ac:dyDescent="0.3">
      <c r="A1005" s="4" t="s">
        <v>2422</v>
      </c>
      <c r="B1005" s="4" t="s">
        <v>7</v>
      </c>
      <c r="C1005" s="4">
        <v>5.0999999999999996</v>
      </c>
    </row>
    <row r="1006" spans="1:3" x14ac:dyDescent="0.3">
      <c r="A1006" s="3" t="s">
        <v>2424</v>
      </c>
      <c r="B1006" s="3" t="s">
        <v>7</v>
      </c>
      <c r="C1006" s="3">
        <v>6.8</v>
      </c>
    </row>
    <row r="1007" spans="1:3" x14ac:dyDescent="0.3">
      <c r="A1007" s="4" t="s">
        <v>2427</v>
      </c>
      <c r="B1007" s="4" t="s">
        <v>7</v>
      </c>
      <c r="C1007" s="4">
        <v>6</v>
      </c>
    </row>
    <row r="1008" spans="1:3" x14ac:dyDescent="0.3">
      <c r="A1008" s="3" t="s">
        <v>2430</v>
      </c>
      <c r="B1008" s="3" t="s">
        <v>7</v>
      </c>
      <c r="C1008" s="3">
        <v>5.0999999999999996</v>
      </c>
    </row>
    <row r="1009" spans="1:3" x14ac:dyDescent="0.3">
      <c r="A1009" s="4" t="s">
        <v>2432</v>
      </c>
      <c r="B1009" s="4" t="s">
        <v>7</v>
      </c>
      <c r="C1009" s="4">
        <v>5.8</v>
      </c>
    </row>
    <row r="1010" spans="1:3" x14ac:dyDescent="0.3">
      <c r="A1010" s="3" t="s">
        <v>2434</v>
      </c>
      <c r="B1010" s="3" t="s">
        <v>7</v>
      </c>
      <c r="C1010" s="3">
        <v>6.2</v>
      </c>
    </row>
    <row r="1011" spans="1:3" x14ac:dyDescent="0.3">
      <c r="A1011" s="4" t="s">
        <v>2436</v>
      </c>
      <c r="B1011" s="4" t="s">
        <v>7</v>
      </c>
      <c r="C1011" s="4">
        <v>6.4</v>
      </c>
    </row>
    <row r="1012" spans="1:3" x14ac:dyDescent="0.3">
      <c r="A1012" s="3" t="s">
        <v>2439</v>
      </c>
      <c r="B1012" s="3" t="s">
        <v>7</v>
      </c>
      <c r="C1012" s="3">
        <v>4.8</v>
      </c>
    </row>
    <row r="1013" spans="1:3" x14ac:dyDescent="0.3">
      <c r="A1013" s="4" t="s">
        <v>2442</v>
      </c>
      <c r="B1013" s="4" t="s">
        <v>7</v>
      </c>
      <c r="C1013" s="4">
        <v>4.9000000000000004</v>
      </c>
    </row>
    <row r="1014" spans="1:3" x14ac:dyDescent="0.3">
      <c r="A1014" s="3" t="s">
        <v>2445</v>
      </c>
      <c r="B1014" s="3" t="s">
        <v>7</v>
      </c>
      <c r="C1014" s="3">
        <v>5.6</v>
      </c>
    </row>
    <row r="1015" spans="1:3" x14ac:dyDescent="0.3">
      <c r="A1015" s="4" t="s">
        <v>2447</v>
      </c>
      <c r="B1015" s="4" t="s">
        <v>7</v>
      </c>
      <c r="C1015" s="4">
        <v>5.5</v>
      </c>
    </row>
    <row r="1016" spans="1:3" x14ac:dyDescent="0.3">
      <c r="A1016" s="3" t="s">
        <v>2449</v>
      </c>
      <c r="B1016" s="3" t="s">
        <v>7</v>
      </c>
      <c r="C1016" s="3">
        <v>3.7</v>
      </c>
    </row>
    <row r="1017" spans="1:3" x14ac:dyDescent="0.3">
      <c r="A1017" s="4" t="s">
        <v>2451</v>
      </c>
      <c r="B1017" s="4" t="s">
        <v>7</v>
      </c>
      <c r="C1017" s="4">
        <v>5.9</v>
      </c>
    </row>
    <row r="1018" spans="1:3" x14ac:dyDescent="0.3">
      <c r="A1018" s="3" t="s">
        <v>2453</v>
      </c>
      <c r="B1018" s="3" t="s">
        <v>7</v>
      </c>
      <c r="C1018" s="3">
        <v>6.3</v>
      </c>
    </row>
    <row r="1019" spans="1:3" x14ac:dyDescent="0.3">
      <c r="A1019" s="4" t="s">
        <v>2455</v>
      </c>
      <c r="B1019" s="4" t="s">
        <v>7</v>
      </c>
      <c r="C1019" s="4">
        <v>7.4</v>
      </c>
    </row>
    <row r="1020" spans="1:3" x14ac:dyDescent="0.3">
      <c r="A1020" s="3" t="s">
        <v>2458</v>
      </c>
      <c r="B1020" s="3" t="s">
        <v>7</v>
      </c>
      <c r="C1020" s="3">
        <v>7.6</v>
      </c>
    </row>
    <row r="1021" spans="1:3" x14ac:dyDescent="0.3">
      <c r="A1021" s="4" t="s">
        <v>2460</v>
      </c>
      <c r="B1021" s="4" t="s">
        <v>7</v>
      </c>
      <c r="C1021" s="4">
        <v>8.3000000000000007</v>
      </c>
    </row>
    <row r="1022" spans="1:3" x14ac:dyDescent="0.3">
      <c r="A1022" s="3" t="s">
        <v>2462</v>
      </c>
      <c r="B1022" s="3" t="s">
        <v>7</v>
      </c>
      <c r="C1022" s="3">
        <v>6.6</v>
      </c>
    </row>
    <row r="1023" spans="1:3" x14ac:dyDescent="0.3">
      <c r="A1023" s="4" t="s">
        <v>2464</v>
      </c>
      <c r="B1023" s="4" t="s">
        <v>7</v>
      </c>
      <c r="C1023" s="4">
        <v>6.9</v>
      </c>
    </row>
    <row r="1024" spans="1:3" x14ac:dyDescent="0.3">
      <c r="A1024" s="3" t="s">
        <v>2466</v>
      </c>
      <c r="B1024" s="3" t="s">
        <v>7</v>
      </c>
      <c r="C1024" s="3">
        <v>6.7</v>
      </c>
    </row>
    <row r="1025" spans="1:3" x14ac:dyDescent="0.3">
      <c r="A1025" s="4" t="s">
        <v>2468</v>
      </c>
      <c r="B1025" s="4" t="s">
        <v>7</v>
      </c>
      <c r="C1025" s="4">
        <v>6.8</v>
      </c>
    </row>
    <row r="1026" spans="1:3" x14ac:dyDescent="0.3">
      <c r="A1026" s="3" t="s">
        <v>2471</v>
      </c>
      <c r="B1026" s="3" t="s">
        <v>7</v>
      </c>
      <c r="C1026" s="3">
        <v>4.5999999999999996</v>
      </c>
    </row>
    <row r="1027" spans="1:3" x14ac:dyDescent="0.3">
      <c r="A1027" s="4" t="s">
        <v>2473</v>
      </c>
      <c r="B1027" s="4" t="s">
        <v>7</v>
      </c>
      <c r="C1027" s="4">
        <v>7.1</v>
      </c>
    </row>
    <row r="1028" spans="1:3" x14ac:dyDescent="0.3">
      <c r="A1028" s="3" t="s">
        <v>2475</v>
      </c>
      <c r="B1028" s="3" t="s">
        <v>7</v>
      </c>
      <c r="C1028" s="3">
        <v>6.4</v>
      </c>
    </row>
    <row r="1029" spans="1:3" x14ac:dyDescent="0.3">
      <c r="A1029" s="4" t="s">
        <v>2477</v>
      </c>
      <c r="B1029" s="4" t="s">
        <v>7</v>
      </c>
      <c r="C1029" s="4">
        <v>6.4</v>
      </c>
    </row>
    <row r="1030" spans="1:3" x14ac:dyDescent="0.3">
      <c r="A1030" s="3" t="s">
        <v>2479</v>
      </c>
      <c r="B1030" s="3" t="s">
        <v>7</v>
      </c>
      <c r="C1030" s="3">
        <v>7.4</v>
      </c>
    </row>
    <row r="1031" spans="1:3" x14ac:dyDescent="0.3">
      <c r="A1031" s="4" t="s">
        <v>2481</v>
      </c>
      <c r="B1031" s="4" t="s">
        <v>7</v>
      </c>
      <c r="C1031" s="4">
        <v>6.4</v>
      </c>
    </row>
    <row r="1032" spans="1:3" x14ac:dyDescent="0.3">
      <c r="A1032" s="3" t="s">
        <v>2484</v>
      </c>
      <c r="B1032" s="3" t="s">
        <v>7</v>
      </c>
      <c r="C1032" s="3">
        <v>6</v>
      </c>
    </row>
    <row r="1033" spans="1:3" x14ac:dyDescent="0.3">
      <c r="A1033" s="4" t="s">
        <v>2486</v>
      </c>
      <c r="B1033" s="4" t="s">
        <v>7</v>
      </c>
      <c r="C1033" s="4">
        <v>6.5</v>
      </c>
    </row>
    <row r="1034" spans="1:3" x14ac:dyDescent="0.3">
      <c r="A1034" s="3" t="s">
        <v>2489</v>
      </c>
      <c r="B1034" s="3" t="s">
        <v>7</v>
      </c>
      <c r="C1034" s="3">
        <v>7.8</v>
      </c>
    </row>
    <row r="1035" spans="1:3" x14ac:dyDescent="0.3">
      <c r="A1035" s="4" t="s">
        <v>2491</v>
      </c>
      <c r="B1035" s="4" t="s">
        <v>7</v>
      </c>
      <c r="C1035" s="4">
        <v>6</v>
      </c>
    </row>
    <row r="1036" spans="1:3" x14ac:dyDescent="0.3">
      <c r="A1036" s="3" t="s">
        <v>2493</v>
      </c>
      <c r="B1036" s="3" t="s">
        <v>7</v>
      </c>
      <c r="C1036" s="3">
        <v>7</v>
      </c>
    </row>
    <row r="1037" spans="1:3" x14ac:dyDescent="0.3">
      <c r="A1037" s="4" t="s">
        <v>2496</v>
      </c>
      <c r="B1037" s="4" t="s">
        <v>7</v>
      </c>
      <c r="C1037" s="4">
        <v>6</v>
      </c>
    </row>
    <row r="1038" spans="1:3" x14ac:dyDescent="0.3">
      <c r="A1038" s="3" t="s">
        <v>2498</v>
      </c>
      <c r="B1038" s="3" t="s">
        <v>7</v>
      </c>
      <c r="C1038" s="3">
        <v>7.8</v>
      </c>
    </row>
    <row r="1039" spans="1:3" x14ac:dyDescent="0.3">
      <c r="A1039" s="4" t="s">
        <v>2500</v>
      </c>
      <c r="B1039" s="4" t="s">
        <v>7</v>
      </c>
      <c r="C1039" s="4">
        <v>6.1</v>
      </c>
    </row>
    <row r="1040" spans="1:3" x14ac:dyDescent="0.3">
      <c r="A1040" s="3" t="s">
        <v>2503</v>
      </c>
      <c r="B1040" s="3" t="s">
        <v>7</v>
      </c>
      <c r="C1040" s="3">
        <v>6.8</v>
      </c>
    </row>
    <row r="1041" spans="1:3" x14ac:dyDescent="0.3">
      <c r="A1041" s="4" t="s">
        <v>2505</v>
      </c>
      <c r="B1041" s="4" t="s">
        <v>792</v>
      </c>
      <c r="C1041" s="4">
        <v>6.4</v>
      </c>
    </row>
    <row r="1042" spans="1:3" x14ac:dyDescent="0.3">
      <c r="A1042" s="3" t="s">
        <v>2507</v>
      </c>
      <c r="B1042" s="3" t="s">
        <v>7</v>
      </c>
      <c r="C1042" s="3">
        <v>7.7</v>
      </c>
    </row>
    <row r="1043" spans="1:3" x14ac:dyDescent="0.3">
      <c r="A1043" s="4" t="s">
        <v>2510</v>
      </c>
      <c r="B1043" s="4" t="s">
        <v>7</v>
      </c>
      <c r="C1043" s="4">
        <v>8.1</v>
      </c>
    </row>
    <row r="1044" spans="1:3" x14ac:dyDescent="0.3">
      <c r="A1044" s="3" t="s">
        <v>2512</v>
      </c>
      <c r="B1044" s="3" t="s">
        <v>7</v>
      </c>
      <c r="C1044" s="3">
        <v>4.5</v>
      </c>
    </row>
    <row r="1045" spans="1:3" x14ac:dyDescent="0.3">
      <c r="A1045" s="4" t="s">
        <v>2515</v>
      </c>
      <c r="B1045" s="4" t="s">
        <v>7</v>
      </c>
      <c r="C1045" s="4">
        <v>5.8</v>
      </c>
    </row>
    <row r="1046" spans="1:3" x14ac:dyDescent="0.3">
      <c r="A1046" s="3" t="s">
        <v>2517</v>
      </c>
      <c r="B1046" s="3" t="s">
        <v>7</v>
      </c>
      <c r="C1046" s="3">
        <v>6.3</v>
      </c>
    </row>
    <row r="1047" spans="1:3" x14ac:dyDescent="0.3">
      <c r="A1047" s="4" t="s">
        <v>2520</v>
      </c>
      <c r="B1047" s="4" t="s">
        <v>7</v>
      </c>
      <c r="C1047" s="4">
        <v>5.7</v>
      </c>
    </row>
    <row r="1048" spans="1:3" x14ac:dyDescent="0.3">
      <c r="A1048" s="3" t="s">
        <v>2523</v>
      </c>
      <c r="B1048" s="3" t="s">
        <v>7</v>
      </c>
      <c r="C1048" s="3">
        <v>7.2</v>
      </c>
    </row>
    <row r="1049" spans="1:3" x14ac:dyDescent="0.3">
      <c r="A1049" s="4" t="s">
        <v>2525</v>
      </c>
      <c r="B1049" s="4" t="s">
        <v>7</v>
      </c>
      <c r="C1049" s="4">
        <v>7.6</v>
      </c>
    </row>
    <row r="1050" spans="1:3" x14ac:dyDescent="0.3">
      <c r="A1050" s="3" t="s">
        <v>2527</v>
      </c>
      <c r="B1050" s="3" t="s">
        <v>7</v>
      </c>
      <c r="C1050" s="3">
        <v>4.7</v>
      </c>
    </row>
    <row r="1051" spans="1:3" x14ac:dyDescent="0.3">
      <c r="A1051" s="4" t="s">
        <v>2529</v>
      </c>
      <c r="B1051" s="4" t="s">
        <v>7</v>
      </c>
      <c r="C1051" s="4">
        <v>6.6</v>
      </c>
    </row>
    <row r="1052" spans="1:3" x14ac:dyDescent="0.3">
      <c r="A1052" s="3" t="s">
        <v>2531</v>
      </c>
      <c r="B1052" s="3" t="s">
        <v>7</v>
      </c>
      <c r="C1052" s="3">
        <v>6.8</v>
      </c>
    </row>
    <row r="1053" spans="1:3" x14ac:dyDescent="0.3">
      <c r="A1053" s="4" t="s">
        <v>2534</v>
      </c>
      <c r="B1053" s="4" t="s">
        <v>7</v>
      </c>
      <c r="C1053" s="4">
        <v>7.3</v>
      </c>
    </row>
    <row r="1054" spans="1:3" x14ac:dyDescent="0.3">
      <c r="A1054" s="3" t="s">
        <v>2537</v>
      </c>
      <c r="B1054" s="3" t="s">
        <v>7</v>
      </c>
      <c r="C1054" s="3">
        <v>2.7</v>
      </c>
    </row>
    <row r="1055" spans="1:3" x14ac:dyDescent="0.3">
      <c r="A1055" s="4" t="s">
        <v>2539</v>
      </c>
      <c r="B1055" s="4" t="s">
        <v>7</v>
      </c>
      <c r="C1055" s="4">
        <v>4.8</v>
      </c>
    </row>
    <row r="1056" spans="1:3" x14ac:dyDescent="0.3">
      <c r="A1056" s="3" t="s">
        <v>2541</v>
      </c>
      <c r="B1056" s="3" t="s">
        <v>7</v>
      </c>
      <c r="C1056" s="3">
        <v>6.3</v>
      </c>
    </row>
    <row r="1057" spans="1:3" x14ac:dyDescent="0.3">
      <c r="A1057" s="4" t="s">
        <v>2543</v>
      </c>
      <c r="B1057" s="4" t="s">
        <v>7</v>
      </c>
      <c r="C1057" s="4">
        <v>5.5</v>
      </c>
    </row>
    <row r="1058" spans="1:3" x14ac:dyDescent="0.3">
      <c r="A1058" s="3" t="s">
        <v>2545</v>
      </c>
      <c r="B1058" s="3" t="s">
        <v>7</v>
      </c>
      <c r="C1058" s="3">
        <v>6.2</v>
      </c>
    </row>
    <row r="1059" spans="1:3" x14ac:dyDescent="0.3">
      <c r="A1059" s="4" t="s">
        <v>2547</v>
      </c>
      <c r="B1059" s="4" t="s">
        <v>7</v>
      </c>
      <c r="C1059" s="4">
        <v>5.8</v>
      </c>
    </row>
    <row r="1060" spans="1:3" x14ac:dyDescent="0.3">
      <c r="A1060" s="3" t="s">
        <v>2549</v>
      </c>
      <c r="B1060" s="3" t="s">
        <v>7</v>
      </c>
      <c r="C1060" s="3">
        <v>5.7</v>
      </c>
    </row>
    <row r="1061" spans="1:3" x14ac:dyDescent="0.3">
      <c r="A1061" s="4" t="s">
        <v>2551</v>
      </c>
      <c r="B1061" s="4" t="s">
        <v>7</v>
      </c>
      <c r="C1061" s="4">
        <v>6.5</v>
      </c>
    </row>
    <row r="1062" spans="1:3" x14ac:dyDescent="0.3">
      <c r="A1062" s="3" t="s">
        <v>2553</v>
      </c>
      <c r="B1062" s="3" t="s">
        <v>7</v>
      </c>
      <c r="C1062" s="3">
        <v>6.7</v>
      </c>
    </row>
    <row r="1063" spans="1:3" x14ac:dyDescent="0.3">
      <c r="A1063" s="4" t="s">
        <v>2555</v>
      </c>
      <c r="B1063" s="4" t="s">
        <v>7</v>
      </c>
      <c r="C1063" s="4">
        <v>7.4</v>
      </c>
    </row>
    <row r="1064" spans="1:3" x14ac:dyDescent="0.3">
      <c r="A1064" s="3" t="s">
        <v>2557</v>
      </c>
      <c r="B1064" s="3" t="s">
        <v>7</v>
      </c>
      <c r="C1064" s="3">
        <v>6.9</v>
      </c>
    </row>
    <row r="1065" spans="1:3" x14ac:dyDescent="0.3">
      <c r="A1065" s="4" t="s">
        <v>2559</v>
      </c>
      <c r="B1065" s="4" t="s">
        <v>7</v>
      </c>
      <c r="C1065" s="4">
        <v>5.5</v>
      </c>
    </row>
    <row r="1066" spans="1:3" x14ac:dyDescent="0.3">
      <c r="A1066" s="3" t="s">
        <v>2561</v>
      </c>
      <c r="B1066" s="3" t="s">
        <v>7</v>
      </c>
      <c r="C1066" s="3">
        <v>8.1</v>
      </c>
    </row>
    <row r="1067" spans="1:3" x14ac:dyDescent="0.3">
      <c r="A1067" s="4" t="s">
        <v>2563</v>
      </c>
      <c r="B1067" s="4" t="s">
        <v>7</v>
      </c>
      <c r="C1067" s="4">
        <v>7.7</v>
      </c>
    </row>
    <row r="1068" spans="1:3" x14ac:dyDescent="0.3">
      <c r="A1068" s="3" t="s">
        <v>2565</v>
      </c>
      <c r="B1068" s="3" t="s">
        <v>7</v>
      </c>
      <c r="C1068" s="3">
        <v>7.3</v>
      </c>
    </row>
    <row r="1069" spans="1:3" x14ac:dyDescent="0.3">
      <c r="A1069" s="4" t="s">
        <v>2567</v>
      </c>
      <c r="B1069" s="4" t="s">
        <v>7</v>
      </c>
      <c r="C1069" s="4">
        <v>5.2</v>
      </c>
    </row>
    <row r="1070" spans="1:3" x14ac:dyDescent="0.3">
      <c r="A1070" s="3" t="s">
        <v>2570</v>
      </c>
      <c r="B1070" s="3" t="s">
        <v>7</v>
      </c>
      <c r="C1070" s="3">
        <v>7.1</v>
      </c>
    </row>
    <row r="1071" spans="1:3" x14ac:dyDescent="0.3">
      <c r="A1071" s="4" t="s">
        <v>2572</v>
      </c>
      <c r="B1071" s="4" t="s">
        <v>7</v>
      </c>
      <c r="C1071" s="4">
        <v>7.1</v>
      </c>
    </row>
    <row r="1072" spans="1:3" x14ac:dyDescent="0.3">
      <c r="A1072" s="3" t="s">
        <v>2574</v>
      </c>
      <c r="B1072" s="3" t="s">
        <v>7</v>
      </c>
      <c r="C1072" s="3">
        <v>7.2</v>
      </c>
    </row>
    <row r="1073" spans="1:3" x14ac:dyDescent="0.3">
      <c r="A1073" s="4" t="s">
        <v>2576</v>
      </c>
      <c r="B1073" s="4" t="s">
        <v>7</v>
      </c>
      <c r="C1073" s="4">
        <v>6.5</v>
      </c>
    </row>
    <row r="1074" spans="1:3" x14ac:dyDescent="0.3">
      <c r="A1074" s="3" t="s">
        <v>2579</v>
      </c>
      <c r="B1074" s="3" t="s">
        <v>7</v>
      </c>
      <c r="C1074" s="3">
        <v>4.5999999999999996</v>
      </c>
    </row>
    <row r="1075" spans="1:3" x14ac:dyDescent="0.3">
      <c r="A1075" s="4" t="s">
        <v>2581</v>
      </c>
      <c r="B1075" s="4" t="s">
        <v>7</v>
      </c>
      <c r="C1075" s="4">
        <v>5.6</v>
      </c>
    </row>
    <row r="1076" spans="1:3" x14ac:dyDescent="0.3">
      <c r="A1076" s="3" t="s">
        <v>2583</v>
      </c>
      <c r="B1076" s="3" t="s">
        <v>7</v>
      </c>
      <c r="C1076" s="3">
        <v>7.7</v>
      </c>
    </row>
    <row r="1077" spans="1:3" x14ac:dyDescent="0.3">
      <c r="A1077" s="4" t="s">
        <v>2585</v>
      </c>
      <c r="B1077" s="4" t="s">
        <v>7</v>
      </c>
      <c r="C1077" s="4">
        <v>7.2</v>
      </c>
    </row>
    <row r="1078" spans="1:3" x14ac:dyDescent="0.3">
      <c r="A1078" s="3" t="s">
        <v>2587</v>
      </c>
      <c r="B1078" s="3" t="s">
        <v>7</v>
      </c>
      <c r="C1078" s="3">
        <v>6.8</v>
      </c>
    </row>
    <row r="1079" spans="1:3" x14ac:dyDescent="0.3">
      <c r="A1079" s="4" t="s">
        <v>2589</v>
      </c>
      <c r="B1079" s="4" t="s">
        <v>7</v>
      </c>
      <c r="C1079" s="4">
        <v>5.4</v>
      </c>
    </row>
    <row r="1080" spans="1:3" x14ac:dyDescent="0.3">
      <c r="A1080" s="3" t="s">
        <v>2591</v>
      </c>
      <c r="B1080" s="3" t="s">
        <v>7</v>
      </c>
      <c r="C1080" s="3">
        <v>6.3</v>
      </c>
    </row>
    <row r="1081" spans="1:3" x14ac:dyDescent="0.3">
      <c r="A1081" s="4" t="s">
        <v>2593</v>
      </c>
      <c r="B1081" s="4" t="s">
        <v>792</v>
      </c>
      <c r="C1081" s="4">
        <v>7.2</v>
      </c>
    </row>
    <row r="1082" spans="1:3" x14ac:dyDescent="0.3">
      <c r="A1082" s="3" t="s">
        <v>2595</v>
      </c>
      <c r="B1082" s="3" t="s">
        <v>7</v>
      </c>
      <c r="C1082" s="3">
        <v>5.6</v>
      </c>
    </row>
    <row r="1083" spans="1:3" x14ac:dyDescent="0.3">
      <c r="A1083" s="4" t="s">
        <v>2597</v>
      </c>
      <c r="B1083" s="4" t="s">
        <v>7</v>
      </c>
      <c r="C1083" s="4">
        <v>6.8</v>
      </c>
    </row>
    <row r="1084" spans="1:3" x14ac:dyDescent="0.3">
      <c r="A1084" s="3" t="s">
        <v>2600</v>
      </c>
      <c r="B1084" s="3" t="s">
        <v>7</v>
      </c>
      <c r="C1084" s="3">
        <v>4.3</v>
      </c>
    </row>
    <row r="1085" spans="1:3" x14ac:dyDescent="0.3">
      <c r="A1085" s="4" t="s">
        <v>2603</v>
      </c>
      <c r="B1085" s="4" t="s">
        <v>582</v>
      </c>
      <c r="C1085" s="4">
        <v>6.3</v>
      </c>
    </row>
    <row r="1086" spans="1:3" x14ac:dyDescent="0.3">
      <c r="A1086" s="3" t="s">
        <v>2606</v>
      </c>
      <c r="B1086" s="3" t="s">
        <v>7</v>
      </c>
      <c r="C1086" s="3">
        <v>6.5</v>
      </c>
    </row>
    <row r="1087" spans="1:3" x14ac:dyDescent="0.3">
      <c r="A1087" s="4" t="s">
        <v>2608</v>
      </c>
      <c r="B1087" s="4" t="s">
        <v>7</v>
      </c>
      <c r="C1087" s="4">
        <v>6.4</v>
      </c>
    </row>
    <row r="1088" spans="1:3" x14ac:dyDescent="0.3">
      <c r="A1088" s="3" t="s">
        <v>2610</v>
      </c>
      <c r="B1088" s="3" t="s">
        <v>7</v>
      </c>
      <c r="C1088" s="3">
        <v>6.3</v>
      </c>
    </row>
    <row r="1089" spans="1:3" x14ac:dyDescent="0.3">
      <c r="A1089" s="4" t="s">
        <v>2612</v>
      </c>
      <c r="B1089" s="4" t="s">
        <v>7</v>
      </c>
      <c r="C1089" s="4">
        <v>5.9</v>
      </c>
    </row>
    <row r="1090" spans="1:3" x14ac:dyDescent="0.3">
      <c r="A1090" s="3" t="s">
        <v>2614</v>
      </c>
      <c r="B1090" s="3" t="s">
        <v>7</v>
      </c>
      <c r="C1090" s="3">
        <v>6.5</v>
      </c>
    </row>
    <row r="1091" spans="1:3" x14ac:dyDescent="0.3">
      <c r="A1091" s="4" t="s">
        <v>2616</v>
      </c>
      <c r="B1091" s="4" t="s">
        <v>7</v>
      </c>
      <c r="C1091" s="4">
        <v>6.5</v>
      </c>
    </row>
    <row r="1092" spans="1:3" x14ac:dyDescent="0.3">
      <c r="A1092" s="3" t="s">
        <v>2619</v>
      </c>
      <c r="B1092" s="3" t="s">
        <v>7</v>
      </c>
      <c r="C1092" s="3">
        <v>6.1</v>
      </c>
    </row>
    <row r="1093" spans="1:3" x14ac:dyDescent="0.3">
      <c r="A1093" s="4" t="s">
        <v>2621</v>
      </c>
      <c r="B1093" s="4" t="s">
        <v>7</v>
      </c>
      <c r="C1093" s="4">
        <v>5.9</v>
      </c>
    </row>
    <row r="1094" spans="1:3" x14ac:dyDescent="0.3">
      <c r="A1094" s="3" t="s">
        <v>2623</v>
      </c>
      <c r="B1094" s="3" t="s">
        <v>7</v>
      </c>
      <c r="C1094" s="3">
        <v>6.6</v>
      </c>
    </row>
    <row r="1095" spans="1:3" x14ac:dyDescent="0.3">
      <c r="A1095" s="4" t="s">
        <v>2625</v>
      </c>
      <c r="B1095" s="4" t="s">
        <v>7</v>
      </c>
      <c r="C1095" s="4">
        <v>7.4</v>
      </c>
    </row>
    <row r="1096" spans="1:3" x14ac:dyDescent="0.3">
      <c r="A1096" s="3" t="s">
        <v>2627</v>
      </c>
      <c r="B1096" s="3" t="s">
        <v>7</v>
      </c>
      <c r="C1096" s="3">
        <v>7.3</v>
      </c>
    </row>
    <row r="1097" spans="1:3" x14ac:dyDescent="0.3">
      <c r="A1097" s="4" t="s">
        <v>2629</v>
      </c>
      <c r="B1097" s="4" t="s">
        <v>7</v>
      </c>
      <c r="C1097" s="4">
        <v>6.6</v>
      </c>
    </row>
    <row r="1098" spans="1:3" x14ac:dyDescent="0.3">
      <c r="A1098" s="3" t="s">
        <v>2631</v>
      </c>
      <c r="B1098" s="3" t="s">
        <v>7</v>
      </c>
      <c r="C1098" s="3">
        <v>5.6</v>
      </c>
    </row>
    <row r="1099" spans="1:3" x14ac:dyDescent="0.3">
      <c r="A1099" s="4" t="s">
        <v>2633</v>
      </c>
      <c r="B1099" s="4" t="s">
        <v>7</v>
      </c>
      <c r="C1099" s="4">
        <v>5.3</v>
      </c>
    </row>
    <row r="1100" spans="1:3" x14ac:dyDescent="0.3">
      <c r="A1100" s="3" t="s">
        <v>2635</v>
      </c>
      <c r="B1100" s="3" t="s">
        <v>7</v>
      </c>
      <c r="C1100" s="3">
        <v>6</v>
      </c>
    </row>
    <row r="1101" spans="1:3" x14ac:dyDescent="0.3">
      <c r="A1101" s="4" t="s">
        <v>2637</v>
      </c>
      <c r="B1101" s="4" t="s">
        <v>7</v>
      </c>
      <c r="C1101" s="4">
        <v>5.4</v>
      </c>
    </row>
    <row r="1102" spans="1:3" x14ac:dyDescent="0.3">
      <c r="A1102" s="3" t="s">
        <v>2640</v>
      </c>
      <c r="B1102" s="3" t="s">
        <v>7</v>
      </c>
      <c r="C1102" s="3">
        <v>6.8</v>
      </c>
    </row>
    <row r="1103" spans="1:3" x14ac:dyDescent="0.3">
      <c r="A1103" s="4" t="s">
        <v>2643</v>
      </c>
      <c r="B1103" s="4" t="s">
        <v>7</v>
      </c>
      <c r="C1103" s="4">
        <v>6.4</v>
      </c>
    </row>
    <row r="1104" spans="1:3" x14ac:dyDescent="0.3">
      <c r="A1104" s="3" t="s">
        <v>2645</v>
      </c>
      <c r="B1104" s="3" t="s">
        <v>7</v>
      </c>
      <c r="C1104" s="3">
        <v>7.1</v>
      </c>
    </row>
    <row r="1105" spans="1:3" x14ac:dyDescent="0.3">
      <c r="A1105" s="4" t="s">
        <v>2647</v>
      </c>
      <c r="B1105" s="4" t="s">
        <v>7</v>
      </c>
      <c r="C1105" s="4">
        <v>4.9000000000000004</v>
      </c>
    </row>
    <row r="1106" spans="1:3" x14ac:dyDescent="0.3">
      <c r="A1106" s="3" t="s">
        <v>2649</v>
      </c>
      <c r="B1106" s="3" t="s">
        <v>7</v>
      </c>
      <c r="C1106" s="3">
        <v>5.8</v>
      </c>
    </row>
    <row r="1107" spans="1:3" x14ac:dyDescent="0.3">
      <c r="A1107" s="4" t="s">
        <v>2651</v>
      </c>
      <c r="B1107" s="4" t="s">
        <v>7</v>
      </c>
      <c r="C1107" s="4">
        <v>7.1</v>
      </c>
    </row>
    <row r="1108" spans="1:3" x14ac:dyDescent="0.3">
      <c r="A1108" s="3" t="s">
        <v>2653</v>
      </c>
      <c r="B1108" s="3" t="s">
        <v>7</v>
      </c>
      <c r="C1108" s="3">
        <v>7.2</v>
      </c>
    </row>
    <row r="1109" spans="1:3" x14ac:dyDescent="0.3">
      <c r="A1109" s="4" t="s">
        <v>2656</v>
      </c>
      <c r="B1109" s="4" t="s">
        <v>7</v>
      </c>
      <c r="C1109" s="4">
        <v>6</v>
      </c>
    </row>
    <row r="1110" spans="1:3" x14ac:dyDescent="0.3">
      <c r="A1110" s="3" t="s">
        <v>2658</v>
      </c>
      <c r="B1110" s="3" t="s">
        <v>7</v>
      </c>
      <c r="C1110" s="3">
        <v>6</v>
      </c>
    </row>
    <row r="1111" spans="1:3" x14ac:dyDescent="0.3">
      <c r="A1111" s="4" t="s">
        <v>2661</v>
      </c>
      <c r="B1111" s="4" t="s">
        <v>7</v>
      </c>
      <c r="C1111" s="4">
        <v>7</v>
      </c>
    </row>
    <row r="1112" spans="1:3" x14ac:dyDescent="0.3">
      <c r="A1112" s="3" t="s">
        <v>2664</v>
      </c>
      <c r="B1112" s="3" t="s">
        <v>7</v>
      </c>
      <c r="C1112" s="3">
        <v>5.4</v>
      </c>
    </row>
    <row r="1113" spans="1:3" x14ac:dyDescent="0.3">
      <c r="A1113" s="4" t="s">
        <v>2666</v>
      </c>
      <c r="B1113" s="4" t="s">
        <v>7</v>
      </c>
      <c r="C1113" s="4">
        <v>6.5</v>
      </c>
    </row>
    <row r="1114" spans="1:3" x14ac:dyDescent="0.3">
      <c r="A1114" s="3" t="s">
        <v>2668</v>
      </c>
      <c r="B1114" s="3" t="s">
        <v>7</v>
      </c>
      <c r="C1114" s="3">
        <v>6.4</v>
      </c>
    </row>
    <row r="1115" spans="1:3" x14ac:dyDescent="0.3">
      <c r="A1115" s="4" t="s">
        <v>2670</v>
      </c>
      <c r="B1115" s="4" t="s">
        <v>7</v>
      </c>
      <c r="C1115" s="4">
        <v>4.9000000000000004</v>
      </c>
    </row>
    <row r="1116" spans="1:3" x14ac:dyDescent="0.3">
      <c r="A1116" s="3" t="s">
        <v>2672</v>
      </c>
      <c r="B1116" s="3" t="s">
        <v>7</v>
      </c>
      <c r="C1116" s="3">
        <v>6.3</v>
      </c>
    </row>
    <row r="1117" spans="1:3" x14ac:dyDescent="0.3">
      <c r="A1117" s="4" t="s">
        <v>2674</v>
      </c>
      <c r="B1117" s="4" t="s">
        <v>7</v>
      </c>
      <c r="C1117" s="4">
        <v>1.7</v>
      </c>
    </row>
    <row r="1118" spans="1:3" x14ac:dyDescent="0.3">
      <c r="A1118" s="3" t="s">
        <v>2677</v>
      </c>
      <c r="B1118" s="3" t="s">
        <v>7</v>
      </c>
      <c r="C1118" s="3">
        <v>7.7</v>
      </c>
    </row>
    <row r="1119" spans="1:3" x14ac:dyDescent="0.3">
      <c r="A1119" s="4" t="s">
        <v>2679</v>
      </c>
      <c r="B1119" s="4" t="s">
        <v>7</v>
      </c>
      <c r="C1119" s="4">
        <v>7.8</v>
      </c>
    </row>
    <row r="1120" spans="1:3" x14ac:dyDescent="0.3">
      <c r="A1120" s="3" t="s">
        <v>2681</v>
      </c>
      <c r="B1120" s="3" t="s">
        <v>7</v>
      </c>
      <c r="C1120" s="3">
        <v>5.5</v>
      </c>
    </row>
    <row r="1121" spans="1:3" x14ac:dyDescent="0.3">
      <c r="A1121" s="4" t="s">
        <v>2683</v>
      </c>
      <c r="B1121" s="4" t="s">
        <v>7</v>
      </c>
      <c r="C1121" s="4">
        <v>7.5</v>
      </c>
    </row>
    <row r="1122" spans="1:3" x14ac:dyDescent="0.3">
      <c r="A1122" s="3" t="s">
        <v>2685</v>
      </c>
      <c r="B1122" s="3" t="s">
        <v>7</v>
      </c>
      <c r="C1122" s="3">
        <v>6.4</v>
      </c>
    </row>
    <row r="1123" spans="1:3" x14ac:dyDescent="0.3">
      <c r="A1123" s="4" t="s">
        <v>2687</v>
      </c>
      <c r="B1123" s="4" t="s">
        <v>7</v>
      </c>
      <c r="C1123" s="4">
        <v>5.6</v>
      </c>
    </row>
    <row r="1124" spans="1:3" x14ac:dyDescent="0.3">
      <c r="A1124" s="3" t="s">
        <v>2689</v>
      </c>
      <c r="B1124" s="3" t="s">
        <v>7</v>
      </c>
      <c r="C1124" s="3">
        <v>7.5</v>
      </c>
    </row>
    <row r="1125" spans="1:3" x14ac:dyDescent="0.3">
      <c r="A1125" s="4" t="s">
        <v>2691</v>
      </c>
      <c r="B1125" s="4" t="s">
        <v>7</v>
      </c>
      <c r="C1125" s="4">
        <v>6.8</v>
      </c>
    </row>
    <row r="1126" spans="1:3" x14ac:dyDescent="0.3">
      <c r="A1126" s="3" t="s">
        <v>2694</v>
      </c>
      <c r="B1126" s="3" t="s">
        <v>7</v>
      </c>
      <c r="C1126" s="3">
        <v>6.8</v>
      </c>
    </row>
    <row r="1127" spans="1:3" x14ac:dyDescent="0.3">
      <c r="A1127" s="4" t="s">
        <v>2697</v>
      </c>
      <c r="B1127" s="4" t="s">
        <v>7</v>
      </c>
      <c r="C1127" s="4">
        <v>6</v>
      </c>
    </row>
    <row r="1128" spans="1:3" x14ac:dyDescent="0.3">
      <c r="A1128" s="3" t="s">
        <v>2699</v>
      </c>
      <c r="B1128" s="3" t="s">
        <v>7</v>
      </c>
      <c r="C1128" s="3">
        <v>7.3</v>
      </c>
    </row>
    <row r="1129" spans="1:3" x14ac:dyDescent="0.3">
      <c r="A1129" s="4" t="s">
        <v>2702</v>
      </c>
      <c r="B1129" s="4" t="s">
        <v>7</v>
      </c>
      <c r="C1129" s="4">
        <v>6</v>
      </c>
    </row>
    <row r="1130" spans="1:3" x14ac:dyDescent="0.3">
      <c r="A1130" s="3" t="s">
        <v>2704</v>
      </c>
      <c r="B1130" s="3" t="s">
        <v>7</v>
      </c>
      <c r="C1130" s="3">
        <v>7</v>
      </c>
    </row>
    <row r="1131" spans="1:3" x14ac:dyDescent="0.3">
      <c r="A1131" s="4" t="s">
        <v>2706</v>
      </c>
      <c r="B1131" s="4" t="s">
        <v>7</v>
      </c>
      <c r="C1131" s="4">
        <v>5.0999999999999996</v>
      </c>
    </row>
    <row r="1132" spans="1:3" x14ac:dyDescent="0.3">
      <c r="A1132" s="3" t="s">
        <v>2709</v>
      </c>
      <c r="B1132" s="3" t="s">
        <v>7</v>
      </c>
      <c r="C1132" s="3">
        <v>6.8</v>
      </c>
    </row>
    <row r="1133" spans="1:3" x14ac:dyDescent="0.3">
      <c r="A1133" s="4" t="s">
        <v>2711</v>
      </c>
      <c r="B1133" s="4" t="s">
        <v>7</v>
      </c>
      <c r="C1133" s="4">
        <v>6.5</v>
      </c>
    </row>
    <row r="1134" spans="1:3" x14ac:dyDescent="0.3">
      <c r="A1134" s="3" t="s">
        <v>2713</v>
      </c>
      <c r="B1134" s="3" t="s">
        <v>7</v>
      </c>
      <c r="C1134" s="3">
        <v>6.6</v>
      </c>
    </row>
    <row r="1135" spans="1:3" x14ac:dyDescent="0.3">
      <c r="A1135" s="4" t="s">
        <v>2716</v>
      </c>
      <c r="B1135" s="4" t="s">
        <v>7</v>
      </c>
      <c r="C1135" s="4">
        <v>7.2</v>
      </c>
    </row>
    <row r="1136" spans="1:3" x14ac:dyDescent="0.3">
      <c r="A1136" s="3" t="s">
        <v>2718</v>
      </c>
      <c r="B1136" s="3" t="s">
        <v>7</v>
      </c>
      <c r="C1136" s="3">
        <v>7</v>
      </c>
    </row>
    <row r="1137" spans="1:3" x14ac:dyDescent="0.3">
      <c r="A1137" s="4" t="s">
        <v>2720</v>
      </c>
      <c r="B1137" s="4" t="s">
        <v>7</v>
      </c>
      <c r="C1137" s="4">
        <v>7</v>
      </c>
    </row>
    <row r="1138" spans="1:3" x14ac:dyDescent="0.3">
      <c r="A1138" s="3" t="s">
        <v>2722</v>
      </c>
      <c r="B1138" s="3" t="s">
        <v>7</v>
      </c>
      <c r="C1138" s="3">
        <v>5.9</v>
      </c>
    </row>
    <row r="1139" spans="1:3" x14ac:dyDescent="0.3">
      <c r="A1139" s="4" t="s">
        <v>2724</v>
      </c>
      <c r="B1139" s="4" t="s">
        <v>7</v>
      </c>
      <c r="C1139" s="4">
        <v>5.4</v>
      </c>
    </row>
    <row r="1140" spans="1:3" x14ac:dyDescent="0.3">
      <c r="A1140" s="3" t="s">
        <v>2726</v>
      </c>
      <c r="B1140" s="3" t="s">
        <v>7</v>
      </c>
      <c r="C1140" s="3">
        <v>6.6</v>
      </c>
    </row>
    <row r="1141" spans="1:3" x14ac:dyDescent="0.3">
      <c r="A1141" s="4" t="s">
        <v>2728</v>
      </c>
      <c r="B1141" s="4" t="s">
        <v>2730</v>
      </c>
      <c r="C1141" s="4">
        <v>7</v>
      </c>
    </row>
    <row r="1142" spans="1:3" x14ac:dyDescent="0.3">
      <c r="A1142" s="3" t="s">
        <v>2731</v>
      </c>
      <c r="B1142" s="3" t="s">
        <v>7</v>
      </c>
      <c r="C1142" s="3">
        <v>6.5</v>
      </c>
    </row>
    <row r="1143" spans="1:3" x14ac:dyDescent="0.3">
      <c r="A1143" s="4" t="s">
        <v>2733</v>
      </c>
      <c r="B1143" s="4" t="s">
        <v>7</v>
      </c>
      <c r="C1143" s="4">
        <v>6.3</v>
      </c>
    </row>
    <row r="1144" spans="1:3" x14ac:dyDescent="0.3">
      <c r="A1144" s="3" t="s">
        <v>2735</v>
      </c>
      <c r="B1144" s="3" t="s">
        <v>7</v>
      </c>
      <c r="C1144" s="3">
        <v>6.5</v>
      </c>
    </row>
    <row r="1145" spans="1:3" x14ac:dyDescent="0.3">
      <c r="A1145" s="4" t="s">
        <v>2737</v>
      </c>
      <c r="B1145" s="4" t="s">
        <v>7</v>
      </c>
      <c r="C1145" s="4">
        <v>6.5</v>
      </c>
    </row>
    <row r="1146" spans="1:3" x14ac:dyDescent="0.3">
      <c r="A1146" s="3" t="s">
        <v>2739</v>
      </c>
      <c r="B1146" s="3" t="s">
        <v>7</v>
      </c>
      <c r="C1146" s="3">
        <v>5.8</v>
      </c>
    </row>
    <row r="1147" spans="1:3" x14ac:dyDescent="0.3">
      <c r="A1147" s="4" t="s">
        <v>2741</v>
      </c>
      <c r="B1147" s="4" t="s">
        <v>7</v>
      </c>
      <c r="C1147" s="4">
        <v>6.6</v>
      </c>
    </row>
    <row r="1148" spans="1:3" x14ac:dyDescent="0.3">
      <c r="A1148" s="3" t="s">
        <v>2743</v>
      </c>
      <c r="B1148" s="3" t="s">
        <v>7</v>
      </c>
      <c r="C1148" s="3">
        <v>5.4</v>
      </c>
    </row>
    <row r="1149" spans="1:3" x14ac:dyDescent="0.3">
      <c r="A1149" s="4" t="s">
        <v>2745</v>
      </c>
      <c r="B1149" s="4" t="s">
        <v>7</v>
      </c>
      <c r="C1149" s="4">
        <v>6.1</v>
      </c>
    </row>
    <row r="1150" spans="1:3" x14ac:dyDescent="0.3">
      <c r="A1150" s="3" t="s">
        <v>2748</v>
      </c>
      <c r="B1150" s="3" t="s">
        <v>7</v>
      </c>
      <c r="C1150" s="3">
        <v>4</v>
      </c>
    </row>
    <row r="1151" spans="1:3" x14ac:dyDescent="0.3">
      <c r="A1151" s="4" t="s">
        <v>2750</v>
      </c>
      <c r="B1151" s="4" t="s">
        <v>7</v>
      </c>
      <c r="C1151" s="4">
        <v>7.6</v>
      </c>
    </row>
    <row r="1152" spans="1:3" x14ac:dyDescent="0.3">
      <c r="A1152" s="3" t="s">
        <v>2752</v>
      </c>
      <c r="B1152" s="3" t="s">
        <v>7</v>
      </c>
      <c r="C1152" s="3">
        <v>7.9</v>
      </c>
    </row>
    <row r="1153" spans="1:3" x14ac:dyDescent="0.3">
      <c r="A1153" s="4" t="s">
        <v>2755</v>
      </c>
      <c r="B1153" s="4" t="s">
        <v>7</v>
      </c>
      <c r="C1153" s="4">
        <v>5.3</v>
      </c>
    </row>
    <row r="1154" spans="1:3" x14ac:dyDescent="0.3">
      <c r="A1154" s="3" t="s">
        <v>2757</v>
      </c>
      <c r="B1154" s="3" t="s">
        <v>7</v>
      </c>
      <c r="C1154" s="3">
        <v>6.6</v>
      </c>
    </row>
    <row r="1155" spans="1:3" x14ac:dyDescent="0.3">
      <c r="A1155" s="4" t="s">
        <v>2759</v>
      </c>
      <c r="B1155" s="4" t="s">
        <v>7</v>
      </c>
      <c r="C1155" s="4">
        <v>6.3</v>
      </c>
    </row>
    <row r="1156" spans="1:3" x14ac:dyDescent="0.3">
      <c r="A1156" s="3" t="s">
        <v>2761</v>
      </c>
      <c r="B1156" s="3" t="s">
        <v>7</v>
      </c>
      <c r="C1156" s="3">
        <v>7.2</v>
      </c>
    </row>
    <row r="1157" spans="1:3" x14ac:dyDescent="0.3">
      <c r="A1157" s="4" t="s">
        <v>2764</v>
      </c>
      <c r="B1157" s="4" t="s">
        <v>7</v>
      </c>
      <c r="C1157" s="4">
        <v>7</v>
      </c>
    </row>
    <row r="1158" spans="1:3" x14ac:dyDescent="0.3">
      <c r="A1158" s="3" t="s">
        <v>2766</v>
      </c>
      <c r="B1158" s="3" t="s">
        <v>7</v>
      </c>
      <c r="C1158" s="3">
        <v>4.9000000000000004</v>
      </c>
    </row>
    <row r="1159" spans="1:3" x14ac:dyDescent="0.3">
      <c r="A1159" s="4" t="s">
        <v>2768</v>
      </c>
      <c r="B1159" s="4" t="s">
        <v>7</v>
      </c>
      <c r="C1159" s="4">
        <v>6.9</v>
      </c>
    </row>
    <row r="1160" spans="1:3" x14ac:dyDescent="0.3">
      <c r="A1160" s="3" t="s">
        <v>2770</v>
      </c>
      <c r="B1160" s="3" t="s">
        <v>7</v>
      </c>
      <c r="C1160" s="3">
        <v>5.2</v>
      </c>
    </row>
    <row r="1161" spans="1:3" x14ac:dyDescent="0.3">
      <c r="A1161" s="4" t="s">
        <v>2772</v>
      </c>
      <c r="B1161" s="4" t="s">
        <v>7</v>
      </c>
      <c r="C1161" s="4">
        <v>8.1</v>
      </c>
    </row>
    <row r="1162" spans="1:3" x14ac:dyDescent="0.3">
      <c r="A1162" s="3" t="s">
        <v>2774</v>
      </c>
      <c r="B1162" s="3" t="s">
        <v>7</v>
      </c>
      <c r="C1162" s="3">
        <v>6.6</v>
      </c>
    </row>
    <row r="1163" spans="1:3" x14ac:dyDescent="0.3">
      <c r="A1163" s="4" t="s">
        <v>2776</v>
      </c>
      <c r="B1163" s="4" t="s">
        <v>7</v>
      </c>
      <c r="C1163" s="4">
        <v>6.2</v>
      </c>
    </row>
    <row r="1164" spans="1:3" x14ac:dyDescent="0.3">
      <c r="A1164" s="3" t="s">
        <v>2778</v>
      </c>
      <c r="B1164" s="3" t="s">
        <v>7</v>
      </c>
      <c r="C1164" s="3">
        <v>7.2</v>
      </c>
    </row>
    <row r="1165" spans="1:3" x14ac:dyDescent="0.3">
      <c r="A1165" s="4" t="s">
        <v>2780</v>
      </c>
      <c r="B1165" s="4" t="s">
        <v>7</v>
      </c>
      <c r="C1165" s="4">
        <v>7.3</v>
      </c>
    </row>
    <row r="1166" spans="1:3" x14ac:dyDescent="0.3">
      <c r="A1166" s="3" t="s">
        <v>2782</v>
      </c>
      <c r="B1166" s="3" t="s">
        <v>7</v>
      </c>
      <c r="C1166" s="3">
        <v>6.7</v>
      </c>
    </row>
    <row r="1167" spans="1:3" x14ac:dyDescent="0.3">
      <c r="A1167" s="4" t="s">
        <v>2784</v>
      </c>
      <c r="B1167" s="4" t="s">
        <v>7</v>
      </c>
      <c r="C1167" s="4">
        <v>6.4</v>
      </c>
    </row>
    <row r="1168" spans="1:3" x14ac:dyDescent="0.3">
      <c r="A1168" s="3" t="s">
        <v>2786</v>
      </c>
      <c r="B1168" s="3" t="s">
        <v>7</v>
      </c>
      <c r="C1168" s="3">
        <v>7.8</v>
      </c>
    </row>
    <row r="1169" spans="1:3" x14ac:dyDescent="0.3">
      <c r="A1169" s="4" t="s">
        <v>2788</v>
      </c>
      <c r="B1169" s="4" t="s">
        <v>7</v>
      </c>
      <c r="C1169" s="4">
        <v>6.4</v>
      </c>
    </row>
    <row r="1170" spans="1:3" x14ac:dyDescent="0.3">
      <c r="A1170" s="3" t="s">
        <v>2791</v>
      </c>
      <c r="B1170" s="3" t="s">
        <v>7</v>
      </c>
      <c r="C1170" s="3">
        <v>4.0999999999999996</v>
      </c>
    </row>
    <row r="1171" spans="1:3" x14ac:dyDescent="0.3">
      <c r="A1171" s="4" t="s">
        <v>2794</v>
      </c>
      <c r="B1171" s="4" t="s">
        <v>7</v>
      </c>
      <c r="C1171" s="4">
        <v>4.0999999999999996</v>
      </c>
    </row>
    <row r="1172" spans="1:3" x14ac:dyDescent="0.3">
      <c r="A1172" s="3" t="s">
        <v>2796</v>
      </c>
      <c r="B1172" s="3" t="s">
        <v>7</v>
      </c>
      <c r="C1172" s="3">
        <v>7.4</v>
      </c>
    </row>
    <row r="1173" spans="1:3" x14ac:dyDescent="0.3">
      <c r="A1173" s="4" t="s">
        <v>2799</v>
      </c>
      <c r="B1173" s="4" t="s">
        <v>7</v>
      </c>
      <c r="C1173" s="4">
        <v>5.8</v>
      </c>
    </row>
    <row r="1174" spans="1:3" x14ac:dyDescent="0.3">
      <c r="A1174" s="3" t="s">
        <v>2801</v>
      </c>
      <c r="B1174" s="3" t="s">
        <v>7</v>
      </c>
      <c r="C1174" s="3">
        <v>7.6</v>
      </c>
    </row>
    <row r="1175" spans="1:3" x14ac:dyDescent="0.3">
      <c r="A1175" s="4" t="s">
        <v>2803</v>
      </c>
      <c r="B1175" s="4" t="s">
        <v>7</v>
      </c>
      <c r="C1175" s="4">
        <v>7.2</v>
      </c>
    </row>
    <row r="1176" spans="1:3" x14ac:dyDescent="0.3">
      <c r="A1176" s="3" t="s">
        <v>2806</v>
      </c>
      <c r="B1176" s="3" t="s">
        <v>7</v>
      </c>
      <c r="C1176" s="3">
        <v>7.8</v>
      </c>
    </row>
    <row r="1177" spans="1:3" x14ac:dyDescent="0.3">
      <c r="A1177" s="4" t="s">
        <v>2808</v>
      </c>
      <c r="B1177" s="4" t="s">
        <v>7</v>
      </c>
      <c r="C1177" s="4">
        <v>7.7</v>
      </c>
    </row>
    <row r="1178" spans="1:3" x14ac:dyDescent="0.3">
      <c r="A1178" s="3" t="s">
        <v>2810</v>
      </c>
      <c r="B1178" s="3" t="s">
        <v>7</v>
      </c>
      <c r="C1178" s="3">
        <v>6.4</v>
      </c>
    </row>
    <row r="1179" spans="1:3" x14ac:dyDescent="0.3">
      <c r="A1179" s="4" t="s">
        <v>2812</v>
      </c>
      <c r="B1179" s="4" t="s">
        <v>7</v>
      </c>
      <c r="C1179" s="4">
        <v>5.0999999999999996</v>
      </c>
    </row>
    <row r="1180" spans="1:3" x14ac:dyDescent="0.3">
      <c r="A1180" s="3" t="s">
        <v>2814</v>
      </c>
      <c r="B1180" s="3" t="s">
        <v>7</v>
      </c>
      <c r="C1180" s="3">
        <v>5.5</v>
      </c>
    </row>
    <row r="1181" spans="1:3" x14ac:dyDescent="0.3">
      <c r="A1181" s="4" t="s">
        <v>2816</v>
      </c>
      <c r="B1181" s="4" t="s">
        <v>7</v>
      </c>
      <c r="C1181" s="4">
        <v>7.4</v>
      </c>
    </row>
    <row r="1182" spans="1:3" x14ac:dyDescent="0.3">
      <c r="A1182" s="3" t="s">
        <v>2818</v>
      </c>
      <c r="B1182" s="3" t="s">
        <v>7</v>
      </c>
      <c r="C1182" s="3">
        <v>6</v>
      </c>
    </row>
    <row r="1183" spans="1:3" x14ac:dyDescent="0.3">
      <c r="A1183" s="4" t="s">
        <v>2820</v>
      </c>
      <c r="B1183" s="4" t="s">
        <v>7</v>
      </c>
      <c r="C1183" s="4">
        <v>7.5</v>
      </c>
    </row>
    <row r="1184" spans="1:3" x14ac:dyDescent="0.3">
      <c r="A1184" s="3" t="s">
        <v>2822</v>
      </c>
      <c r="B1184" s="3" t="s">
        <v>7</v>
      </c>
      <c r="C1184" s="3">
        <v>7</v>
      </c>
    </row>
    <row r="1185" spans="1:3" x14ac:dyDescent="0.3">
      <c r="A1185" s="4" t="s">
        <v>2824</v>
      </c>
      <c r="B1185" s="4" t="s">
        <v>7</v>
      </c>
      <c r="C1185" s="4">
        <v>7.5</v>
      </c>
    </row>
    <row r="1186" spans="1:3" x14ac:dyDescent="0.3">
      <c r="A1186" s="3" t="s">
        <v>2827</v>
      </c>
      <c r="B1186" s="3" t="s">
        <v>7</v>
      </c>
      <c r="C1186" s="3">
        <v>7.3</v>
      </c>
    </row>
    <row r="1187" spans="1:3" x14ac:dyDescent="0.3">
      <c r="A1187" s="4" t="s">
        <v>2829</v>
      </c>
      <c r="B1187" s="4" t="s">
        <v>7</v>
      </c>
      <c r="C1187" s="4">
        <v>5.7</v>
      </c>
    </row>
    <row r="1188" spans="1:3" x14ac:dyDescent="0.3">
      <c r="A1188" s="3" t="s">
        <v>2831</v>
      </c>
      <c r="B1188" s="3" t="s">
        <v>7</v>
      </c>
      <c r="C1188" s="3">
        <v>7.3</v>
      </c>
    </row>
    <row r="1189" spans="1:3" x14ac:dyDescent="0.3">
      <c r="A1189" s="4" t="s">
        <v>2833</v>
      </c>
      <c r="B1189" s="4" t="s">
        <v>7</v>
      </c>
      <c r="C1189" s="4">
        <v>7.2</v>
      </c>
    </row>
    <row r="1190" spans="1:3" x14ac:dyDescent="0.3">
      <c r="A1190" s="3" t="s">
        <v>2835</v>
      </c>
      <c r="B1190" s="3" t="s">
        <v>7</v>
      </c>
      <c r="C1190" s="3">
        <v>5.9</v>
      </c>
    </row>
    <row r="1191" spans="1:3" x14ac:dyDescent="0.3">
      <c r="A1191" s="4" t="s">
        <v>2837</v>
      </c>
      <c r="B1191" s="4" t="s">
        <v>7</v>
      </c>
      <c r="C1191" s="4">
        <v>7.8</v>
      </c>
    </row>
    <row r="1192" spans="1:3" x14ac:dyDescent="0.3">
      <c r="A1192" s="3" t="s">
        <v>2839</v>
      </c>
      <c r="B1192" s="3" t="s">
        <v>7</v>
      </c>
      <c r="C1192" s="3">
        <v>7.7</v>
      </c>
    </row>
    <row r="1193" spans="1:3" x14ac:dyDescent="0.3">
      <c r="A1193" s="4" t="s">
        <v>2841</v>
      </c>
      <c r="B1193" s="4" t="s">
        <v>7</v>
      </c>
      <c r="C1193" s="4">
        <v>8.1</v>
      </c>
    </row>
    <row r="1194" spans="1:3" x14ac:dyDescent="0.3">
      <c r="A1194" s="3" t="s">
        <v>2843</v>
      </c>
      <c r="B1194" s="3" t="s">
        <v>7</v>
      </c>
      <c r="C1194" s="3">
        <v>6.6</v>
      </c>
    </row>
    <row r="1195" spans="1:3" x14ac:dyDescent="0.3">
      <c r="A1195" s="4" t="s">
        <v>2845</v>
      </c>
      <c r="B1195" s="4" t="s">
        <v>7</v>
      </c>
      <c r="C1195" s="4">
        <v>7.1</v>
      </c>
    </row>
    <row r="1196" spans="1:3" x14ac:dyDescent="0.3">
      <c r="A1196" s="3" t="s">
        <v>2848</v>
      </c>
      <c r="B1196" s="3" t="s">
        <v>7</v>
      </c>
      <c r="C1196" s="3">
        <v>5.9</v>
      </c>
    </row>
    <row r="1197" spans="1:3" x14ac:dyDescent="0.3">
      <c r="A1197" s="4" t="s">
        <v>2851</v>
      </c>
      <c r="B1197" s="4" t="s">
        <v>7</v>
      </c>
      <c r="C1197" s="4">
        <v>8</v>
      </c>
    </row>
    <row r="1198" spans="1:3" x14ac:dyDescent="0.3">
      <c r="A1198" s="3" t="s">
        <v>2853</v>
      </c>
      <c r="B1198" s="3" t="s">
        <v>7</v>
      </c>
      <c r="C1198" s="3">
        <v>4.5999999999999996</v>
      </c>
    </row>
    <row r="1199" spans="1:3" x14ac:dyDescent="0.3">
      <c r="A1199" s="4" t="s">
        <v>2856</v>
      </c>
      <c r="B1199" s="4" t="s">
        <v>7</v>
      </c>
      <c r="C1199" s="4">
        <v>6.1</v>
      </c>
    </row>
    <row r="1200" spans="1:3" x14ac:dyDescent="0.3">
      <c r="A1200" s="3" t="s">
        <v>2858</v>
      </c>
      <c r="B1200" s="3" t="s">
        <v>582</v>
      </c>
      <c r="C1200" s="3">
        <v>7.2</v>
      </c>
    </row>
    <row r="1201" spans="1:3" x14ac:dyDescent="0.3">
      <c r="A1201" s="4" t="s">
        <v>2861</v>
      </c>
      <c r="B1201" s="4" t="s">
        <v>7</v>
      </c>
      <c r="C1201" s="4">
        <v>6.4</v>
      </c>
    </row>
    <row r="1202" spans="1:3" x14ac:dyDescent="0.3">
      <c r="A1202" s="3" t="s">
        <v>2863</v>
      </c>
      <c r="B1202" s="3" t="s">
        <v>7</v>
      </c>
      <c r="C1202" s="3">
        <v>6</v>
      </c>
    </row>
    <row r="1203" spans="1:3" x14ac:dyDescent="0.3">
      <c r="A1203" s="4" t="s">
        <v>2865</v>
      </c>
      <c r="B1203" s="4" t="s">
        <v>7</v>
      </c>
      <c r="C1203" s="4">
        <v>5.2</v>
      </c>
    </row>
    <row r="1204" spans="1:3" x14ac:dyDescent="0.3">
      <c r="A1204" s="3" t="s">
        <v>2867</v>
      </c>
      <c r="B1204" s="3" t="s">
        <v>7</v>
      </c>
      <c r="C1204" s="3">
        <v>7.6</v>
      </c>
    </row>
    <row r="1205" spans="1:3" x14ac:dyDescent="0.3">
      <c r="A1205" s="4" t="s">
        <v>2870</v>
      </c>
      <c r="B1205" s="4" t="s">
        <v>7</v>
      </c>
      <c r="C1205" s="4">
        <v>6.4</v>
      </c>
    </row>
    <row r="1206" spans="1:3" x14ac:dyDescent="0.3">
      <c r="A1206" s="3" t="s">
        <v>2872</v>
      </c>
      <c r="B1206" s="3" t="s">
        <v>7</v>
      </c>
      <c r="C1206" s="3">
        <v>6.4</v>
      </c>
    </row>
    <row r="1207" spans="1:3" x14ac:dyDescent="0.3">
      <c r="A1207" s="4" t="s">
        <v>2874</v>
      </c>
      <c r="B1207" s="4" t="s">
        <v>7</v>
      </c>
      <c r="C1207" s="4">
        <v>6.1</v>
      </c>
    </row>
    <row r="1208" spans="1:3" x14ac:dyDescent="0.3">
      <c r="A1208" s="3" t="s">
        <v>2876</v>
      </c>
      <c r="B1208" s="3" t="s">
        <v>7</v>
      </c>
      <c r="C1208" s="3">
        <v>6.1</v>
      </c>
    </row>
    <row r="1209" spans="1:3" x14ac:dyDescent="0.3">
      <c r="A1209" s="4" t="s">
        <v>2878</v>
      </c>
      <c r="B1209" s="4" t="s">
        <v>7</v>
      </c>
      <c r="C1209" s="4">
        <v>5.2</v>
      </c>
    </row>
    <row r="1210" spans="1:3" x14ac:dyDescent="0.3">
      <c r="A1210" s="3" t="s">
        <v>2881</v>
      </c>
      <c r="B1210" s="3" t="s">
        <v>7</v>
      </c>
      <c r="C1210" s="3">
        <v>7.7</v>
      </c>
    </row>
    <row r="1211" spans="1:3" x14ac:dyDescent="0.3">
      <c r="A1211" s="4" t="s">
        <v>2883</v>
      </c>
      <c r="B1211" s="4" t="s">
        <v>7</v>
      </c>
      <c r="C1211" s="4">
        <v>7.3</v>
      </c>
    </row>
    <row r="1212" spans="1:3" x14ac:dyDescent="0.3">
      <c r="A1212" s="3" t="s">
        <v>2885</v>
      </c>
      <c r="B1212" s="3" t="s">
        <v>7</v>
      </c>
      <c r="C1212" s="3">
        <v>6.9</v>
      </c>
    </row>
    <row r="1213" spans="1:3" x14ac:dyDescent="0.3">
      <c r="A1213" s="4" t="s">
        <v>2888</v>
      </c>
      <c r="B1213" s="4" t="s">
        <v>7</v>
      </c>
      <c r="C1213" s="4">
        <v>8.5</v>
      </c>
    </row>
    <row r="1214" spans="1:3" x14ac:dyDescent="0.3">
      <c r="A1214" s="3" t="s">
        <v>2890</v>
      </c>
      <c r="B1214" s="3" t="s">
        <v>7</v>
      </c>
      <c r="C1214" s="3">
        <v>6.3</v>
      </c>
    </row>
    <row r="1215" spans="1:3" x14ac:dyDescent="0.3">
      <c r="A1215" s="4" t="s">
        <v>2892</v>
      </c>
      <c r="B1215" s="4" t="s">
        <v>7</v>
      </c>
      <c r="C1215" s="4">
        <v>5.9</v>
      </c>
    </row>
    <row r="1216" spans="1:3" x14ac:dyDescent="0.3">
      <c r="A1216" s="3" t="s">
        <v>2895</v>
      </c>
      <c r="B1216" s="3" t="s">
        <v>7</v>
      </c>
      <c r="C1216" s="3">
        <v>7.8</v>
      </c>
    </row>
    <row r="1217" spans="1:3" x14ac:dyDescent="0.3">
      <c r="A1217" s="4" t="s">
        <v>2897</v>
      </c>
      <c r="B1217" s="4" t="s">
        <v>7</v>
      </c>
      <c r="C1217" s="4">
        <v>6.7</v>
      </c>
    </row>
    <row r="1218" spans="1:3" x14ac:dyDescent="0.3">
      <c r="A1218" s="3" t="s">
        <v>2900</v>
      </c>
      <c r="B1218" s="3" t="s">
        <v>7</v>
      </c>
      <c r="C1218" s="3">
        <v>6.4</v>
      </c>
    </row>
    <row r="1219" spans="1:3" x14ac:dyDescent="0.3">
      <c r="A1219" s="4" t="s">
        <v>2902</v>
      </c>
      <c r="B1219" s="4" t="s">
        <v>7</v>
      </c>
      <c r="C1219" s="4">
        <v>5.9</v>
      </c>
    </row>
    <row r="1220" spans="1:3" x14ac:dyDescent="0.3">
      <c r="A1220" s="3" t="s">
        <v>2904</v>
      </c>
      <c r="B1220" s="3" t="s">
        <v>7</v>
      </c>
      <c r="C1220" s="3">
        <v>6.6</v>
      </c>
    </row>
    <row r="1221" spans="1:3" x14ac:dyDescent="0.3">
      <c r="A1221" s="4" t="s">
        <v>2907</v>
      </c>
      <c r="B1221" s="4" t="s">
        <v>7</v>
      </c>
      <c r="C1221" s="4">
        <v>6.8</v>
      </c>
    </row>
    <row r="1222" spans="1:3" x14ac:dyDescent="0.3">
      <c r="A1222" s="3" t="s">
        <v>2909</v>
      </c>
      <c r="B1222" s="3" t="s">
        <v>7</v>
      </c>
      <c r="C1222" s="3">
        <v>6.5</v>
      </c>
    </row>
    <row r="1223" spans="1:3" x14ac:dyDescent="0.3">
      <c r="A1223" s="4" t="s">
        <v>2911</v>
      </c>
      <c r="B1223" s="4" t="s">
        <v>792</v>
      </c>
      <c r="C1223" s="4">
        <v>6.6</v>
      </c>
    </row>
    <row r="1224" spans="1:3" x14ac:dyDescent="0.3">
      <c r="A1224" s="3" t="s">
        <v>2913</v>
      </c>
      <c r="B1224" s="3" t="s">
        <v>2915</v>
      </c>
      <c r="C1224" s="3">
        <v>5.8</v>
      </c>
    </row>
    <row r="1225" spans="1:3" x14ac:dyDescent="0.3">
      <c r="A1225" s="4" t="s">
        <v>2916</v>
      </c>
      <c r="B1225" s="4" t="s">
        <v>7</v>
      </c>
      <c r="C1225" s="4">
        <v>6.9</v>
      </c>
    </row>
    <row r="1226" spans="1:3" x14ac:dyDescent="0.3">
      <c r="A1226" s="3" t="s">
        <v>2919</v>
      </c>
      <c r="B1226" s="3" t="s">
        <v>7</v>
      </c>
      <c r="C1226" s="3">
        <v>7.1</v>
      </c>
    </row>
    <row r="1227" spans="1:3" x14ac:dyDescent="0.3">
      <c r="A1227" s="4" t="s">
        <v>2922</v>
      </c>
      <c r="B1227" s="4" t="s">
        <v>2924</v>
      </c>
      <c r="C1227" s="4">
        <v>5.8</v>
      </c>
    </row>
    <row r="1228" spans="1:3" x14ac:dyDescent="0.3">
      <c r="A1228" s="3" t="s">
        <v>2926</v>
      </c>
      <c r="B1228" s="3" t="s">
        <v>7</v>
      </c>
      <c r="C1228" s="3">
        <v>7.2</v>
      </c>
    </row>
    <row r="1229" spans="1:3" x14ac:dyDescent="0.3">
      <c r="A1229" s="4" t="s">
        <v>2929</v>
      </c>
      <c r="B1229" s="4" t="s">
        <v>7</v>
      </c>
      <c r="C1229" s="4">
        <v>6</v>
      </c>
    </row>
    <row r="1230" spans="1:3" x14ac:dyDescent="0.3">
      <c r="A1230" s="3" t="s">
        <v>2931</v>
      </c>
      <c r="B1230" s="3" t="s">
        <v>7</v>
      </c>
      <c r="C1230" s="3">
        <v>4.7</v>
      </c>
    </row>
    <row r="1231" spans="1:3" x14ac:dyDescent="0.3">
      <c r="A1231" s="4" t="s">
        <v>2934</v>
      </c>
      <c r="B1231" s="4" t="s">
        <v>7</v>
      </c>
      <c r="C1231" s="4">
        <v>5.2</v>
      </c>
    </row>
    <row r="1232" spans="1:3" x14ac:dyDescent="0.3">
      <c r="A1232" s="3" t="s">
        <v>2936</v>
      </c>
      <c r="B1232" s="3" t="s">
        <v>7</v>
      </c>
      <c r="C1232" s="3">
        <v>5.5</v>
      </c>
    </row>
    <row r="1233" spans="1:3" x14ac:dyDescent="0.3">
      <c r="A1233" s="4" t="s">
        <v>2938</v>
      </c>
      <c r="B1233" s="4" t="s">
        <v>7</v>
      </c>
      <c r="C1233" s="4">
        <v>6.5</v>
      </c>
    </row>
    <row r="1234" spans="1:3" x14ac:dyDescent="0.3">
      <c r="A1234" s="3" t="s">
        <v>2940</v>
      </c>
      <c r="B1234" s="3" t="s">
        <v>792</v>
      </c>
      <c r="C1234" s="3">
        <v>7</v>
      </c>
    </row>
    <row r="1235" spans="1:3" x14ac:dyDescent="0.3">
      <c r="A1235" s="4" t="s">
        <v>2942</v>
      </c>
      <c r="B1235" s="4" t="s">
        <v>7</v>
      </c>
      <c r="C1235" s="4">
        <v>5.8</v>
      </c>
    </row>
    <row r="1236" spans="1:3" x14ac:dyDescent="0.3">
      <c r="A1236" s="3" t="s">
        <v>2944</v>
      </c>
      <c r="B1236" s="3" t="s">
        <v>7</v>
      </c>
      <c r="C1236" s="3">
        <v>6.2</v>
      </c>
    </row>
    <row r="1237" spans="1:3" x14ac:dyDescent="0.3">
      <c r="A1237" s="4" t="s">
        <v>2946</v>
      </c>
      <c r="B1237" s="4" t="s">
        <v>7</v>
      </c>
      <c r="C1237" s="4">
        <v>6.5</v>
      </c>
    </row>
    <row r="1238" spans="1:3" x14ac:dyDescent="0.3">
      <c r="A1238" s="3" t="s">
        <v>2948</v>
      </c>
      <c r="B1238" s="3" t="s">
        <v>7</v>
      </c>
      <c r="C1238" s="3">
        <v>7.2</v>
      </c>
    </row>
    <row r="1239" spans="1:3" x14ac:dyDescent="0.3">
      <c r="A1239" s="4" t="s">
        <v>2950</v>
      </c>
      <c r="B1239" s="4" t="s">
        <v>7</v>
      </c>
      <c r="C1239" s="4">
        <v>5.0999999999999996</v>
      </c>
    </row>
    <row r="1240" spans="1:3" x14ac:dyDescent="0.3">
      <c r="A1240" s="3" t="s">
        <v>2953</v>
      </c>
      <c r="B1240" s="3" t="s">
        <v>792</v>
      </c>
      <c r="C1240" s="3">
        <v>4.7</v>
      </c>
    </row>
    <row r="1241" spans="1:3" x14ac:dyDescent="0.3">
      <c r="A1241" s="4" t="s">
        <v>2955</v>
      </c>
      <c r="B1241" s="4" t="s">
        <v>7</v>
      </c>
      <c r="C1241" s="4">
        <v>5.9</v>
      </c>
    </row>
    <row r="1242" spans="1:3" x14ac:dyDescent="0.3">
      <c r="A1242" s="3" t="s">
        <v>2957</v>
      </c>
      <c r="B1242" s="3" t="s">
        <v>7</v>
      </c>
      <c r="C1242" s="3">
        <v>5.8</v>
      </c>
    </row>
    <row r="1243" spans="1:3" x14ac:dyDescent="0.3">
      <c r="A1243" s="4" t="s">
        <v>2959</v>
      </c>
      <c r="B1243" s="4" t="s">
        <v>7</v>
      </c>
      <c r="C1243" s="4">
        <v>7.2</v>
      </c>
    </row>
    <row r="1244" spans="1:3" x14ac:dyDescent="0.3">
      <c r="A1244" s="3" t="s">
        <v>2961</v>
      </c>
      <c r="B1244" s="3" t="s">
        <v>7</v>
      </c>
      <c r="C1244" s="3">
        <v>6.2</v>
      </c>
    </row>
    <row r="1245" spans="1:3" x14ac:dyDescent="0.3">
      <c r="A1245" s="4" t="s">
        <v>2963</v>
      </c>
      <c r="B1245" s="4" t="s">
        <v>7</v>
      </c>
      <c r="C1245" s="4">
        <v>5.7</v>
      </c>
    </row>
    <row r="1246" spans="1:3" x14ac:dyDescent="0.3">
      <c r="A1246" s="3" t="s">
        <v>2965</v>
      </c>
      <c r="B1246" s="3" t="s">
        <v>7</v>
      </c>
      <c r="C1246" s="3">
        <v>6.1</v>
      </c>
    </row>
    <row r="1247" spans="1:3" x14ac:dyDescent="0.3">
      <c r="A1247" s="4" t="s">
        <v>2967</v>
      </c>
      <c r="B1247" s="4" t="s">
        <v>7</v>
      </c>
      <c r="C1247" s="4">
        <v>6</v>
      </c>
    </row>
    <row r="1248" spans="1:3" x14ac:dyDescent="0.3">
      <c r="A1248" s="3" t="s">
        <v>2969</v>
      </c>
      <c r="B1248" s="3" t="s">
        <v>7</v>
      </c>
      <c r="C1248" s="3">
        <v>6.9</v>
      </c>
    </row>
    <row r="1249" spans="1:3" x14ac:dyDescent="0.3">
      <c r="A1249" s="4" t="s">
        <v>2971</v>
      </c>
      <c r="B1249" s="4" t="s">
        <v>7</v>
      </c>
      <c r="C1249" s="4">
        <v>6.5</v>
      </c>
    </row>
    <row r="1250" spans="1:3" x14ac:dyDescent="0.3">
      <c r="A1250" s="3" t="s">
        <v>2973</v>
      </c>
      <c r="B1250" s="3" t="s">
        <v>7</v>
      </c>
      <c r="C1250" s="3">
        <v>5</v>
      </c>
    </row>
    <row r="1251" spans="1:3" x14ac:dyDescent="0.3">
      <c r="A1251" s="4" t="s">
        <v>2976</v>
      </c>
      <c r="B1251" s="4" t="s">
        <v>7</v>
      </c>
      <c r="C1251" s="4">
        <v>5.7</v>
      </c>
    </row>
    <row r="1252" spans="1:3" x14ac:dyDescent="0.3">
      <c r="A1252" s="3" t="s">
        <v>2979</v>
      </c>
      <c r="B1252" s="3" t="s">
        <v>7</v>
      </c>
      <c r="C1252" s="3">
        <v>7</v>
      </c>
    </row>
    <row r="1253" spans="1:3" x14ac:dyDescent="0.3">
      <c r="A1253" s="4" t="s">
        <v>2981</v>
      </c>
      <c r="B1253" s="4" t="s">
        <v>7</v>
      </c>
      <c r="C1253" s="4">
        <v>5.0999999999999996</v>
      </c>
    </row>
    <row r="1254" spans="1:3" x14ac:dyDescent="0.3">
      <c r="A1254" s="3" t="s">
        <v>2983</v>
      </c>
      <c r="B1254" s="3" t="s">
        <v>7</v>
      </c>
      <c r="C1254" s="3">
        <v>5.3</v>
      </c>
    </row>
    <row r="1255" spans="1:3" x14ac:dyDescent="0.3">
      <c r="A1255" s="4" t="s">
        <v>2986</v>
      </c>
      <c r="B1255" s="4" t="s">
        <v>7</v>
      </c>
      <c r="C1255" s="4">
        <v>4.4000000000000004</v>
      </c>
    </row>
    <row r="1256" spans="1:3" x14ac:dyDescent="0.3">
      <c r="A1256" s="3" t="s">
        <v>2989</v>
      </c>
      <c r="B1256" s="3" t="s">
        <v>7</v>
      </c>
      <c r="C1256" s="3">
        <v>4.7</v>
      </c>
    </row>
    <row r="1257" spans="1:3" x14ac:dyDescent="0.3">
      <c r="A1257" s="4" t="s">
        <v>2991</v>
      </c>
      <c r="B1257" s="4" t="s">
        <v>7</v>
      </c>
      <c r="C1257" s="4">
        <v>6.7</v>
      </c>
    </row>
    <row r="1258" spans="1:3" x14ac:dyDescent="0.3">
      <c r="A1258" s="3" t="s">
        <v>2994</v>
      </c>
      <c r="B1258" s="3" t="s">
        <v>7</v>
      </c>
      <c r="C1258" s="3">
        <v>6.7</v>
      </c>
    </row>
    <row r="1259" spans="1:3" x14ac:dyDescent="0.3">
      <c r="A1259" s="4" t="s">
        <v>2996</v>
      </c>
      <c r="B1259" s="4" t="s">
        <v>7</v>
      </c>
      <c r="C1259" s="4">
        <v>5.7</v>
      </c>
    </row>
    <row r="1260" spans="1:3" x14ac:dyDescent="0.3">
      <c r="A1260" s="3" t="s">
        <v>2998</v>
      </c>
      <c r="B1260" s="3" t="s">
        <v>7</v>
      </c>
      <c r="C1260" s="3">
        <v>7.4</v>
      </c>
    </row>
    <row r="1261" spans="1:3" x14ac:dyDescent="0.3">
      <c r="A1261" s="4" t="s">
        <v>3000</v>
      </c>
      <c r="B1261" s="4" t="s">
        <v>7</v>
      </c>
      <c r="C1261" s="4">
        <v>6.1</v>
      </c>
    </row>
    <row r="1262" spans="1:3" x14ac:dyDescent="0.3">
      <c r="A1262" s="3" t="s">
        <v>3002</v>
      </c>
      <c r="B1262" s="3" t="s">
        <v>7</v>
      </c>
      <c r="C1262" s="3">
        <v>6.4</v>
      </c>
    </row>
    <row r="1263" spans="1:3" x14ac:dyDescent="0.3">
      <c r="A1263" s="4" t="s">
        <v>3004</v>
      </c>
      <c r="B1263" s="4" t="s">
        <v>7</v>
      </c>
      <c r="C1263" s="4">
        <v>6.2</v>
      </c>
    </row>
    <row r="1264" spans="1:3" x14ac:dyDescent="0.3">
      <c r="A1264" s="3" t="s">
        <v>3006</v>
      </c>
      <c r="B1264" s="3" t="s">
        <v>7</v>
      </c>
      <c r="C1264" s="3">
        <v>6.2</v>
      </c>
    </row>
    <row r="1265" spans="1:3" x14ac:dyDescent="0.3">
      <c r="A1265" s="4" t="s">
        <v>3009</v>
      </c>
      <c r="B1265" s="4" t="s">
        <v>7</v>
      </c>
      <c r="C1265" s="4">
        <v>5.9</v>
      </c>
    </row>
    <row r="1266" spans="1:3" x14ac:dyDescent="0.3">
      <c r="A1266" s="3" t="s">
        <v>3011</v>
      </c>
      <c r="B1266" s="3" t="s">
        <v>7</v>
      </c>
      <c r="C1266" s="3">
        <v>4</v>
      </c>
    </row>
    <row r="1267" spans="1:3" x14ac:dyDescent="0.3">
      <c r="A1267" s="4" t="s">
        <v>3013</v>
      </c>
      <c r="B1267" s="4" t="s">
        <v>7</v>
      </c>
      <c r="C1267" s="4">
        <v>6.2</v>
      </c>
    </row>
    <row r="1268" spans="1:3" x14ac:dyDescent="0.3">
      <c r="A1268" s="3" t="s">
        <v>3015</v>
      </c>
      <c r="B1268" s="3" t="s">
        <v>7</v>
      </c>
      <c r="C1268" s="3">
        <v>4.5999999999999996</v>
      </c>
    </row>
    <row r="1269" spans="1:3" x14ac:dyDescent="0.3">
      <c r="A1269" s="4" t="s">
        <v>3018</v>
      </c>
      <c r="B1269" s="4" t="s">
        <v>7</v>
      </c>
      <c r="C1269" s="4">
        <v>6.4</v>
      </c>
    </row>
    <row r="1270" spans="1:3" x14ac:dyDescent="0.3">
      <c r="A1270" s="3" t="s">
        <v>3020</v>
      </c>
      <c r="B1270" s="3" t="s">
        <v>7</v>
      </c>
      <c r="C1270" s="3">
        <v>5.9</v>
      </c>
    </row>
    <row r="1271" spans="1:3" x14ac:dyDescent="0.3">
      <c r="A1271" s="4" t="s">
        <v>3022</v>
      </c>
      <c r="B1271" s="4" t="s">
        <v>7</v>
      </c>
      <c r="C1271" s="4">
        <v>5.0999999999999996</v>
      </c>
    </row>
    <row r="1272" spans="1:3" x14ac:dyDescent="0.3">
      <c r="A1272" s="3" t="s">
        <v>3024</v>
      </c>
      <c r="B1272" s="3" t="s">
        <v>7</v>
      </c>
      <c r="C1272" s="3">
        <v>7.6</v>
      </c>
    </row>
    <row r="1273" spans="1:3" x14ac:dyDescent="0.3">
      <c r="A1273" s="4" t="s">
        <v>3026</v>
      </c>
      <c r="B1273" s="4" t="s">
        <v>7</v>
      </c>
      <c r="C1273" s="4">
        <v>4.2</v>
      </c>
    </row>
    <row r="1274" spans="1:3" x14ac:dyDescent="0.3">
      <c r="A1274" s="3" t="s">
        <v>3029</v>
      </c>
      <c r="B1274" s="3" t="s">
        <v>7</v>
      </c>
      <c r="C1274" s="3">
        <v>7.8</v>
      </c>
    </row>
    <row r="1275" spans="1:3" x14ac:dyDescent="0.3">
      <c r="A1275" s="4" t="s">
        <v>3031</v>
      </c>
      <c r="B1275" s="4" t="s">
        <v>7</v>
      </c>
      <c r="C1275" s="4">
        <v>5.8</v>
      </c>
    </row>
    <row r="1276" spans="1:3" x14ac:dyDescent="0.3">
      <c r="A1276" s="3" t="s">
        <v>3033</v>
      </c>
      <c r="B1276" s="3" t="s">
        <v>7</v>
      </c>
      <c r="C1276" s="3">
        <v>5.9</v>
      </c>
    </row>
    <row r="1277" spans="1:3" x14ac:dyDescent="0.3">
      <c r="A1277" s="4" t="s">
        <v>3035</v>
      </c>
      <c r="B1277" s="4" t="s">
        <v>7</v>
      </c>
      <c r="C1277" s="4">
        <v>8.4</v>
      </c>
    </row>
    <row r="1278" spans="1:3" x14ac:dyDescent="0.3">
      <c r="A1278" s="3" t="s">
        <v>3038</v>
      </c>
      <c r="B1278" s="3" t="s">
        <v>7</v>
      </c>
      <c r="C1278" s="3">
        <v>4.8</v>
      </c>
    </row>
    <row r="1279" spans="1:3" x14ac:dyDescent="0.3">
      <c r="A1279" s="4" t="s">
        <v>3040</v>
      </c>
      <c r="B1279" s="4" t="s">
        <v>7</v>
      </c>
      <c r="C1279" s="4">
        <v>6.2</v>
      </c>
    </row>
    <row r="1280" spans="1:3" x14ac:dyDescent="0.3">
      <c r="A1280" s="3" t="s">
        <v>3042</v>
      </c>
      <c r="B1280" s="3" t="s">
        <v>7</v>
      </c>
      <c r="C1280" s="3">
        <v>6.5</v>
      </c>
    </row>
    <row r="1281" spans="1:3" x14ac:dyDescent="0.3">
      <c r="A1281" s="4" t="s">
        <v>3044</v>
      </c>
      <c r="B1281" s="4" t="s">
        <v>7</v>
      </c>
      <c r="C1281" s="4">
        <v>6.3</v>
      </c>
    </row>
    <row r="1282" spans="1:3" x14ac:dyDescent="0.3">
      <c r="A1282" s="3" t="s">
        <v>3046</v>
      </c>
      <c r="B1282" s="3" t="s">
        <v>7</v>
      </c>
      <c r="C1282" s="3">
        <v>3.3</v>
      </c>
    </row>
    <row r="1283" spans="1:3" x14ac:dyDescent="0.3">
      <c r="A1283" s="4" t="s">
        <v>3048</v>
      </c>
      <c r="B1283" s="4" t="s">
        <v>7</v>
      </c>
      <c r="C1283" s="4">
        <v>5.9</v>
      </c>
    </row>
    <row r="1284" spans="1:3" x14ac:dyDescent="0.3">
      <c r="A1284" s="3" t="s">
        <v>3050</v>
      </c>
      <c r="B1284" s="3" t="s">
        <v>7</v>
      </c>
      <c r="C1284" s="3">
        <v>6</v>
      </c>
    </row>
    <row r="1285" spans="1:3" x14ac:dyDescent="0.3">
      <c r="A1285" s="4" t="s">
        <v>3053</v>
      </c>
      <c r="B1285" s="4" t="s">
        <v>7</v>
      </c>
      <c r="C1285" s="4">
        <v>5.8</v>
      </c>
    </row>
    <row r="1286" spans="1:3" x14ac:dyDescent="0.3">
      <c r="A1286" s="3" t="s">
        <v>3055</v>
      </c>
      <c r="B1286" s="3" t="s">
        <v>7</v>
      </c>
      <c r="C1286" s="3">
        <v>6.5</v>
      </c>
    </row>
    <row r="1287" spans="1:3" x14ac:dyDescent="0.3">
      <c r="A1287" s="4" t="s">
        <v>3057</v>
      </c>
      <c r="B1287" s="4" t="s">
        <v>7</v>
      </c>
      <c r="C1287" s="4">
        <v>4.7</v>
      </c>
    </row>
    <row r="1288" spans="1:3" x14ac:dyDescent="0.3">
      <c r="A1288" s="3" t="s">
        <v>3059</v>
      </c>
      <c r="B1288" s="3" t="s">
        <v>7</v>
      </c>
      <c r="C1288" s="3">
        <v>4.0999999999999996</v>
      </c>
    </row>
    <row r="1289" spans="1:3" x14ac:dyDescent="0.3">
      <c r="A1289" s="4" t="s">
        <v>3062</v>
      </c>
      <c r="B1289" s="4" t="s">
        <v>3064</v>
      </c>
      <c r="C1289" s="4">
        <v>6.8</v>
      </c>
    </row>
    <row r="1290" spans="1:3" x14ac:dyDescent="0.3">
      <c r="A1290" s="3" t="s">
        <v>3065</v>
      </c>
      <c r="B1290" s="3" t="s">
        <v>7</v>
      </c>
      <c r="C1290" s="3">
        <v>6.2</v>
      </c>
    </row>
    <row r="1291" spans="1:3" x14ac:dyDescent="0.3">
      <c r="A1291" s="4" t="s">
        <v>3067</v>
      </c>
      <c r="B1291" s="4" t="s">
        <v>7</v>
      </c>
      <c r="C1291" s="4">
        <v>4.5</v>
      </c>
    </row>
    <row r="1292" spans="1:3" x14ac:dyDescent="0.3">
      <c r="A1292" s="3" t="s">
        <v>3070</v>
      </c>
      <c r="B1292" s="3" t="s">
        <v>7</v>
      </c>
      <c r="C1292" s="3">
        <v>5.8</v>
      </c>
    </row>
    <row r="1293" spans="1:3" x14ac:dyDescent="0.3">
      <c r="A1293" s="4" t="s">
        <v>3072</v>
      </c>
      <c r="B1293" s="4" t="s">
        <v>7</v>
      </c>
      <c r="C1293" s="4">
        <v>7.3</v>
      </c>
    </row>
    <row r="1294" spans="1:3" x14ac:dyDescent="0.3">
      <c r="A1294" s="3" t="s">
        <v>3074</v>
      </c>
      <c r="B1294" s="3" t="s">
        <v>7</v>
      </c>
      <c r="C1294" s="3">
        <v>5.9</v>
      </c>
    </row>
    <row r="1295" spans="1:3" x14ac:dyDescent="0.3">
      <c r="A1295" s="4" t="s">
        <v>3076</v>
      </c>
      <c r="B1295" s="4" t="s">
        <v>7</v>
      </c>
      <c r="C1295" s="4">
        <v>4.4000000000000004</v>
      </c>
    </row>
    <row r="1296" spans="1:3" x14ac:dyDescent="0.3">
      <c r="A1296" s="3" t="s">
        <v>3078</v>
      </c>
      <c r="B1296" s="3" t="s">
        <v>7</v>
      </c>
      <c r="C1296" s="3">
        <v>5.8</v>
      </c>
    </row>
    <row r="1297" spans="1:3" x14ac:dyDescent="0.3">
      <c r="A1297" s="4" t="s">
        <v>3080</v>
      </c>
      <c r="B1297" s="4" t="s">
        <v>7</v>
      </c>
      <c r="C1297" s="4">
        <v>5.0999999999999996</v>
      </c>
    </row>
    <row r="1298" spans="1:3" x14ac:dyDescent="0.3">
      <c r="A1298" s="3" t="s">
        <v>3082</v>
      </c>
      <c r="B1298" s="3" t="s">
        <v>7</v>
      </c>
      <c r="C1298" s="3">
        <v>6.9</v>
      </c>
    </row>
    <row r="1299" spans="1:3" x14ac:dyDescent="0.3">
      <c r="A1299" s="4" t="s">
        <v>3084</v>
      </c>
      <c r="B1299" s="4" t="s">
        <v>7</v>
      </c>
      <c r="C1299" s="4">
        <v>6.2</v>
      </c>
    </row>
    <row r="1300" spans="1:3" x14ac:dyDescent="0.3">
      <c r="A1300" s="3" t="s">
        <v>3086</v>
      </c>
      <c r="B1300" s="3" t="s">
        <v>7</v>
      </c>
      <c r="C1300" s="3">
        <v>6.9</v>
      </c>
    </row>
    <row r="1301" spans="1:3" x14ac:dyDescent="0.3">
      <c r="A1301" s="4" t="s">
        <v>3088</v>
      </c>
      <c r="B1301" s="4" t="s">
        <v>7</v>
      </c>
      <c r="C1301" s="4">
        <v>7.3</v>
      </c>
    </row>
    <row r="1302" spans="1:3" x14ac:dyDescent="0.3">
      <c r="A1302" s="3" t="s">
        <v>3090</v>
      </c>
      <c r="B1302" s="3" t="s">
        <v>7</v>
      </c>
      <c r="C1302" s="3">
        <v>7.1</v>
      </c>
    </row>
    <row r="1303" spans="1:3" x14ac:dyDescent="0.3">
      <c r="A1303" s="4" t="s">
        <v>3092</v>
      </c>
      <c r="B1303" s="4" t="s">
        <v>7</v>
      </c>
      <c r="C1303" s="4">
        <v>6</v>
      </c>
    </row>
    <row r="1304" spans="1:3" x14ac:dyDescent="0.3">
      <c r="A1304" s="3" t="s">
        <v>3094</v>
      </c>
      <c r="B1304" s="3" t="s">
        <v>7</v>
      </c>
      <c r="C1304" s="3">
        <v>7</v>
      </c>
    </row>
    <row r="1305" spans="1:3" x14ac:dyDescent="0.3">
      <c r="A1305" s="4" t="s">
        <v>3096</v>
      </c>
      <c r="B1305" s="4" t="s">
        <v>7</v>
      </c>
      <c r="C1305" s="4">
        <v>6.8</v>
      </c>
    </row>
    <row r="1306" spans="1:3" x14ac:dyDescent="0.3">
      <c r="A1306" s="3" t="s">
        <v>3098</v>
      </c>
      <c r="B1306" s="3" t="s">
        <v>7</v>
      </c>
      <c r="C1306" s="3">
        <v>5.7</v>
      </c>
    </row>
    <row r="1307" spans="1:3" x14ac:dyDescent="0.3">
      <c r="A1307" s="4" t="s">
        <v>3101</v>
      </c>
      <c r="B1307" s="4" t="s">
        <v>7</v>
      </c>
      <c r="C1307" s="4">
        <v>7.6</v>
      </c>
    </row>
    <row r="1308" spans="1:3" x14ac:dyDescent="0.3">
      <c r="A1308" s="3" t="s">
        <v>3103</v>
      </c>
      <c r="B1308" s="3" t="s">
        <v>7</v>
      </c>
      <c r="C1308" s="3">
        <v>8.4</v>
      </c>
    </row>
    <row r="1309" spans="1:3" x14ac:dyDescent="0.3">
      <c r="A1309" s="4" t="s">
        <v>3105</v>
      </c>
      <c r="B1309" s="4" t="s">
        <v>7</v>
      </c>
      <c r="C1309" s="4">
        <v>7.1</v>
      </c>
    </row>
    <row r="1310" spans="1:3" x14ac:dyDescent="0.3">
      <c r="A1310" s="3" t="s">
        <v>3107</v>
      </c>
      <c r="B1310" s="3" t="s">
        <v>7</v>
      </c>
      <c r="C1310" s="3">
        <v>5.6</v>
      </c>
    </row>
    <row r="1311" spans="1:3" x14ac:dyDescent="0.3">
      <c r="A1311" s="4" t="s">
        <v>3109</v>
      </c>
      <c r="B1311" s="4" t="s">
        <v>7</v>
      </c>
      <c r="C1311" s="4">
        <v>6.7</v>
      </c>
    </row>
    <row r="1312" spans="1:3" x14ac:dyDescent="0.3">
      <c r="A1312" s="3" t="s">
        <v>3111</v>
      </c>
      <c r="B1312" s="3" t="s">
        <v>7</v>
      </c>
      <c r="C1312" s="3">
        <v>7</v>
      </c>
    </row>
    <row r="1313" spans="1:3" x14ac:dyDescent="0.3">
      <c r="A1313" s="4" t="s">
        <v>3114</v>
      </c>
      <c r="B1313" s="4" t="s">
        <v>7</v>
      </c>
      <c r="C1313" s="4">
        <v>8</v>
      </c>
    </row>
    <row r="1314" spans="1:3" x14ac:dyDescent="0.3">
      <c r="A1314" s="3" t="s">
        <v>3116</v>
      </c>
      <c r="B1314" s="3" t="s">
        <v>7</v>
      </c>
      <c r="C1314" s="3">
        <v>5.3</v>
      </c>
    </row>
    <row r="1315" spans="1:3" x14ac:dyDescent="0.3">
      <c r="A1315" s="4" t="s">
        <v>3118</v>
      </c>
      <c r="B1315" s="4" t="s">
        <v>7</v>
      </c>
      <c r="C1315" s="4">
        <v>4.9000000000000004</v>
      </c>
    </row>
    <row r="1316" spans="1:3" x14ac:dyDescent="0.3">
      <c r="A1316" s="3" t="s">
        <v>3120</v>
      </c>
      <c r="B1316" s="3" t="s">
        <v>7</v>
      </c>
      <c r="C1316" s="3">
        <v>6.4</v>
      </c>
    </row>
    <row r="1317" spans="1:3" x14ac:dyDescent="0.3">
      <c r="A1317" s="4" t="s">
        <v>3122</v>
      </c>
      <c r="B1317" s="4" t="s">
        <v>7</v>
      </c>
      <c r="C1317" s="4">
        <v>7.4</v>
      </c>
    </row>
    <row r="1318" spans="1:3" x14ac:dyDescent="0.3">
      <c r="A1318" s="3" t="s">
        <v>3125</v>
      </c>
      <c r="B1318" s="3" t="s">
        <v>7</v>
      </c>
      <c r="C1318" s="3">
        <v>6.1</v>
      </c>
    </row>
    <row r="1319" spans="1:3" x14ac:dyDescent="0.3">
      <c r="A1319" s="4" t="s">
        <v>3127</v>
      </c>
      <c r="B1319" s="4" t="s">
        <v>7</v>
      </c>
      <c r="C1319" s="4">
        <v>6.5</v>
      </c>
    </row>
    <row r="1320" spans="1:3" x14ac:dyDescent="0.3">
      <c r="A1320" s="3" t="s">
        <v>3129</v>
      </c>
      <c r="B1320" s="3" t="s">
        <v>7</v>
      </c>
      <c r="C1320" s="3">
        <v>5.7</v>
      </c>
    </row>
    <row r="1321" spans="1:3" x14ac:dyDescent="0.3">
      <c r="A1321" s="4" t="s">
        <v>3131</v>
      </c>
      <c r="B1321" s="4" t="s">
        <v>7</v>
      </c>
      <c r="C1321" s="4">
        <v>5.0999999999999996</v>
      </c>
    </row>
    <row r="1322" spans="1:3" x14ac:dyDescent="0.3">
      <c r="A1322" s="3" t="s">
        <v>3133</v>
      </c>
      <c r="B1322" s="3" t="s">
        <v>7</v>
      </c>
      <c r="C1322" s="3">
        <v>6.6</v>
      </c>
    </row>
    <row r="1323" spans="1:3" x14ac:dyDescent="0.3">
      <c r="A1323" s="4" t="s">
        <v>3135</v>
      </c>
      <c r="B1323" s="4" t="s">
        <v>7</v>
      </c>
      <c r="C1323" s="4">
        <v>6.5</v>
      </c>
    </row>
    <row r="1324" spans="1:3" x14ac:dyDescent="0.3">
      <c r="A1324" s="3" t="s">
        <v>3137</v>
      </c>
      <c r="B1324" s="3" t="s">
        <v>7</v>
      </c>
      <c r="C1324" s="3">
        <v>6.9</v>
      </c>
    </row>
    <row r="1325" spans="1:3" x14ac:dyDescent="0.3">
      <c r="A1325" s="4" t="s">
        <v>3139</v>
      </c>
      <c r="B1325" s="4" t="s">
        <v>7</v>
      </c>
      <c r="C1325" s="4">
        <v>6.4</v>
      </c>
    </row>
    <row r="1326" spans="1:3" x14ac:dyDescent="0.3">
      <c r="A1326" s="3" t="s">
        <v>3141</v>
      </c>
      <c r="B1326" s="3" t="s">
        <v>7</v>
      </c>
      <c r="C1326" s="3">
        <v>7.6</v>
      </c>
    </row>
    <row r="1327" spans="1:3" x14ac:dyDescent="0.3">
      <c r="A1327" s="4" t="s">
        <v>3144</v>
      </c>
      <c r="B1327" s="4" t="s">
        <v>7</v>
      </c>
      <c r="C1327" s="4">
        <v>5.6</v>
      </c>
    </row>
    <row r="1328" spans="1:3" x14ac:dyDescent="0.3">
      <c r="A1328" s="3" t="s">
        <v>3146</v>
      </c>
      <c r="B1328" s="3" t="s">
        <v>7</v>
      </c>
      <c r="C1328" s="3">
        <v>6.2</v>
      </c>
    </row>
    <row r="1329" spans="1:3" x14ac:dyDescent="0.3">
      <c r="A1329" s="4" t="s">
        <v>3148</v>
      </c>
      <c r="B1329" s="4" t="s">
        <v>7</v>
      </c>
      <c r="C1329" s="4">
        <v>4.4000000000000004</v>
      </c>
    </row>
    <row r="1330" spans="1:3" x14ac:dyDescent="0.3">
      <c r="A1330" s="3" t="s">
        <v>3150</v>
      </c>
      <c r="B1330" s="3" t="s">
        <v>7</v>
      </c>
      <c r="C1330" s="3">
        <v>5.6</v>
      </c>
    </row>
    <row r="1331" spans="1:3" x14ac:dyDescent="0.3">
      <c r="A1331" s="4" t="s">
        <v>3152</v>
      </c>
      <c r="B1331" s="4" t="s">
        <v>7</v>
      </c>
      <c r="C1331" s="4">
        <v>5.5</v>
      </c>
    </row>
    <row r="1332" spans="1:3" x14ac:dyDescent="0.3">
      <c r="A1332" s="3" t="s">
        <v>3154</v>
      </c>
      <c r="B1332" s="3" t="s">
        <v>7</v>
      </c>
      <c r="C1332" s="3">
        <v>6.7</v>
      </c>
    </row>
    <row r="1333" spans="1:3" x14ac:dyDescent="0.3">
      <c r="A1333" s="4" t="s">
        <v>3156</v>
      </c>
      <c r="B1333" s="4" t="s">
        <v>7</v>
      </c>
      <c r="C1333" s="4">
        <v>6.1</v>
      </c>
    </row>
    <row r="1334" spans="1:3" x14ac:dyDescent="0.3">
      <c r="A1334" s="3" t="s">
        <v>3159</v>
      </c>
      <c r="B1334" s="3" t="s">
        <v>7</v>
      </c>
      <c r="C1334" s="3">
        <v>6.2</v>
      </c>
    </row>
    <row r="1335" spans="1:3" x14ac:dyDescent="0.3">
      <c r="A1335" s="4" t="s">
        <v>3161</v>
      </c>
      <c r="B1335" s="4" t="s">
        <v>7</v>
      </c>
      <c r="C1335" s="4">
        <v>7.3</v>
      </c>
    </row>
    <row r="1336" spans="1:3" x14ac:dyDescent="0.3">
      <c r="A1336" s="3" t="s">
        <v>3163</v>
      </c>
      <c r="B1336" s="3" t="s">
        <v>7</v>
      </c>
      <c r="C1336" s="3">
        <v>6.6</v>
      </c>
    </row>
    <row r="1337" spans="1:3" x14ac:dyDescent="0.3">
      <c r="A1337" s="4" t="s">
        <v>3165</v>
      </c>
      <c r="B1337" s="4" t="s">
        <v>7</v>
      </c>
      <c r="C1337" s="4">
        <v>8.1999999999999993</v>
      </c>
    </row>
    <row r="1338" spans="1:3" x14ac:dyDescent="0.3">
      <c r="A1338" s="3" t="s">
        <v>3167</v>
      </c>
      <c r="B1338" s="3" t="s">
        <v>7</v>
      </c>
      <c r="C1338" s="3">
        <v>6.4</v>
      </c>
    </row>
    <row r="1339" spans="1:3" x14ac:dyDescent="0.3">
      <c r="A1339" s="4" t="s">
        <v>3169</v>
      </c>
      <c r="B1339" s="4" t="s">
        <v>7</v>
      </c>
      <c r="C1339" s="4">
        <v>6.4</v>
      </c>
    </row>
    <row r="1340" spans="1:3" x14ac:dyDescent="0.3">
      <c r="A1340" s="3" t="s">
        <v>3171</v>
      </c>
      <c r="B1340" s="3" t="s">
        <v>7</v>
      </c>
      <c r="C1340" s="3">
        <v>5.2</v>
      </c>
    </row>
    <row r="1341" spans="1:3" x14ac:dyDescent="0.3">
      <c r="A1341" s="4" t="s">
        <v>3173</v>
      </c>
      <c r="B1341" s="4" t="s">
        <v>7</v>
      </c>
      <c r="C1341" s="4">
        <v>6.5</v>
      </c>
    </row>
    <row r="1342" spans="1:3" x14ac:dyDescent="0.3">
      <c r="A1342" s="3" t="s">
        <v>3175</v>
      </c>
      <c r="B1342" s="3" t="s">
        <v>7</v>
      </c>
      <c r="C1342" s="3">
        <v>7.1</v>
      </c>
    </row>
    <row r="1343" spans="1:3" x14ac:dyDescent="0.3">
      <c r="A1343" s="4" t="s">
        <v>3177</v>
      </c>
      <c r="B1343" s="4" t="s">
        <v>7</v>
      </c>
      <c r="C1343" s="4">
        <v>4.8</v>
      </c>
    </row>
    <row r="1344" spans="1:3" x14ac:dyDescent="0.3">
      <c r="A1344" s="3" t="s">
        <v>3180</v>
      </c>
      <c r="B1344" s="3" t="s">
        <v>7</v>
      </c>
      <c r="C1344" s="3">
        <v>7.3</v>
      </c>
    </row>
    <row r="1345" spans="1:3" x14ac:dyDescent="0.3">
      <c r="A1345" s="4" t="s">
        <v>3182</v>
      </c>
      <c r="B1345" s="4" t="s">
        <v>7</v>
      </c>
      <c r="C1345" s="4">
        <v>5.2</v>
      </c>
    </row>
    <row r="1346" spans="1:3" x14ac:dyDescent="0.3">
      <c r="A1346" s="3" t="s">
        <v>3184</v>
      </c>
      <c r="B1346" s="3" t="s">
        <v>7</v>
      </c>
      <c r="C1346" s="3">
        <v>7.7</v>
      </c>
    </row>
    <row r="1347" spans="1:3" x14ac:dyDescent="0.3">
      <c r="A1347" s="4" t="s">
        <v>3186</v>
      </c>
      <c r="B1347" s="4" t="s">
        <v>7</v>
      </c>
      <c r="C1347" s="4">
        <v>7.6</v>
      </c>
    </row>
    <row r="1348" spans="1:3" x14ac:dyDescent="0.3">
      <c r="A1348" s="3" t="s">
        <v>3188</v>
      </c>
      <c r="B1348" s="3" t="s">
        <v>7</v>
      </c>
      <c r="C1348" s="3">
        <v>5.7</v>
      </c>
    </row>
    <row r="1349" spans="1:3" x14ac:dyDescent="0.3">
      <c r="A1349" s="4" t="s">
        <v>3190</v>
      </c>
      <c r="B1349" s="4" t="s">
        <v>7</v>
      </c>
      <c r="C1349" s="4">
        <v>7</v>
      </c>
    </row>
    <row r="1350" spans="1:3" x14ac:dyDescent="0.3">
      <c r="A1350" s="3" t="s">
        <v>3192</v>
      </c>
      <c r="B1350" s="3" t="s">
        <v>7</v>
      </c>
      <c r="C1350" s="3">
        <v>6</v>
      </c>
    </row>
    <row r="1351" spans="1:3" x14ac:dyDescent="0.3">
      <c r="A1351" s="4" t="s">
        <v>3194</v>
      </c>
      <c r="B1351" s="4" t="s">
        <v>7</v>
      </c>
      <c r="C1351" s="4">
        <v>8.1</v>
      </c>
    </row>
    <row r="1352" spans="1:3" x14ac:dyDescent="0.3">
      <c r="A1352" s="3" t="s">
        <v>3196</v>
      </c>
      <c r="B1352" s="3" t="s">
        <v>7</v>
      </c>
      <c r="C1352" s="3">
        <v>8</v>
      </c>
    </row>
    <row r="1353" spans="1:3" x14ac:dyDescent="0.3">
      <c r="A1353" s="4" t="s">
        <v>3198</v>
      </c>
      <c r="B1353" s="4" t="s">
        <v>7</v>
      </c>
      <c r="C1353" s="4">
        <v>5.6</v>
      </c>
    </row>
    <row r="1354" spans="1:3" x14ac:dyDescent="0.3">
      <c r="A1354" s="3" t="s">
        <v>3201</v>
      </c>
      <c r="B1354" s="3" t="s">
        <v>7</v>
      </c>
      <c r="C1354" s="3">
        <v>6.1</v>
      </c>
    </row>
    <row r="1355" spans="1:3" x14ac:dyDescent="0.3">
      <c r="A1355" s="4" t="s">
        <v>3203</v>
      </c>
      <c r="B1355" s="4" t="s">
        <v>7</v>
      </c>
      <c r="C1355" s="4">
        <v>6.9</v>
      </c>
    </row>
    <row r="1356" spans="1:3" x14ac:dyDescent="0.3">
      <c r="A1356" s="3" t="s">
        <v>3206</v>
      </c>
      <c r="B1356" s="3" t="s">
        <v>7</v>
      </c>
      <c r="C1356" s="3">
        <v>5.2</v>
      </c>
    </row>
    <row r="1357" spans="1:3" x14ac:dyDescent="0.3">
      <c r="A1357" s="4" t="s">
        <v>3208</v>
      </c>
      <c r="B1357" s="4" t="s">
        <v>7</v>
      </c>
      <c r="C1357" s="4">
        <v>7</v>
      </c>
    </row>
    <row r="1358" spans="1:3" x14ac:dyDescent="0.3">
      <c r="A1358" s="3" t="s">
        <v>3211</v>
      </c>
      <c r="B1358" s="3" t="s">
        <v>7</v>
      </c>
      <c r="C1358" s="3">
        <v>6.3</v>
      </c>
    </row>
    <row r="1359" spans="1:3" x14ac:dyDescent="0.3">
      <c r="A1359" s="4" t="s">
        <v>3213</v>
      </c>
      <c r="B1359" s="4" t="s">
        <v>7</v>
      </c>
      <c r="C1359" s="4">
        <v>7</v>
      </c>
    </row>
    <row r="1360" spans="1:3" x14ac:dyDescent="0.3">
      <c r="A1360" s="3" t="s">
        <v>3215</v>
      </c>
      <c r="B1360" s="3" t="s">
        <v>7</v>
      </c>
      <c r="C1360" s="3">
        <v>5.3</v>
      </c>
    </row>
    <row r="1361" spans="1:3" x14ac:dyDescent="0.3">
      <c r="A1361" s="4" t="s">
        <v>3217</v>
      </c>
      <c r="B1361" s="4" t="s">
        <v>7</v>
      </c>
      <c r="C1361" s="4">
        <v>6.9</v>
      </c>
    </row>
    <row r="1362" spans="1:3" x14ac:dyDescent="0.3">
      <c r="A1362" s="3" t="s">
        <v>3219</v>
      </c>
      <c r="B1362" s="3" t="s">
        <v>7</v>
      </c>
      <c r="C1362" s="3">
        <v>6.2</v>
      </c>
    </row>
    <row r="1363" spans="1:3" x14ac:dyDescent="0.3">
      <c r="A1363" s="4" t="s">
        <v>3221</v>
      </c>
      <c r="B1363" s="4" t="s">
        <v>7</v>
      </c>
      <c r="C1363" s="4">
        <v>6.4</v>
      </c>
    </row>
    <row r="1364" spans="1:3" x14ac:dyDescent="0.3">
      <c r="A1364" s="3" t="s">
        <v>3223</v>
      </c>
      <c r="B1364" s="3" t="s">
        <v>7</v>
      </c>
      <c r="C1364" s="3">
        <v>6.4</v>
      </c>
    </row>
    <row r="1365" spans="1:3" x14ac:dyDescent="0.3">
      <c r="A1365" s="4" t="s">
        <v>3226</v>
      </c>
      <c r="B1365" s="4" t="s">
        <v>7</v>
      </c>
      <c r="C1365" s="4">
        <v>5.7</v>
      </c>
    </row>
    <row r="1366" spans="1:3" x14ac:dyDescent="0.3">
      <c r="A1366" s="3" t="s">
        <v>3228</v>
      </c>
      <c r="B1366" s="3" t="s">
        <v>7</v>
      </c>
      <c r="C1366" s="3">
        <v>6.1</v>
      </c>
    </row>
    <row r="1367" spans="1:3" x14ac:dyDescent="0.3">
      <c r="A1367" s="4" t="s">
        <v>3230</v>
      </c>
      <c r="B1367" s="4" t="s">
        <v>7</v>
      </c>
      <c r="C1367" s="4">
        <v>5.4</v>
      </c>
    </row>
    <row r="1368" spans="1:3" x14ac:dyDescent="0.3">
      <c r="A1368" s="3" t="s">
        <v>3232</v>
      </c>
      <c r="B1368" s="3" t="s">
        <v>7</v>
      </c>
      <c r="C1368" s="3">
        <v>6.7</v>
      </c>
    </row>
    <row r="1369" spans="1:3" x14ac:dyDescent="0.3">
      <c r="A1369" s="4" t="s">
        <v>3235</v>
      </c>
      <c r="B1369" s="4" t="s">
        <v>7</v>
      </c>
      <c r="C1369" s="4">
        <v>6.8</v>
      </c>
    </row>
    <row r="1370" spans="1:3" x14ac:dyDescent="0.3">
      <c r="A1370" s="3" t="s">
        <v>3237</v>
      </c>
      <c r="B1370" s="3" t="s">
        <v>7</v>
      </c>
      <c r="C1370" s="3">
        <v>6</v>
      </c>
    </row>
    <row r="1371" spans="1:3" x14ac:dyDescent="0.3">
      <c r="A1371" s="4" t="s">
        <v>3239</v>
      </c>
      <c r="B1371" s="4" t="s">
        <v>7</v>
      </c>
      <c r="C1371" s="4">
        <v>7.8</v>
      </c>
    </row>
    <row r="1372" spans="1:3" x14ac:dyDescent="0.3">
      <c r="A1372" s="3" t="s">
        <v>3241</v>
      </c>
      <c r="B1372" s="3" t="s">
        <v>7</v>
      </c>
      <c r="C1372" s="3">
        <v>5.3</v>
      </c>
    </row>
    <row r="1373" spans="1:3" x14ac:dyDescent="0.3">
      <c r="A1373" s="4" t="s">
        <v>3243</v>
      </c>
      <c r="B1373" s="4" t="s">
        <v>7</v>
      </c>
      <c r="C1373" s="4">
        <v>4.5</v>
      </c>
    </row>
    <row r="1374" spans="1:3" x14ac:dyDescent="0.3">
      <c r="A1374" s="3" t="s">
        <v>3246</v>
      </c>
      <c r="B1374" s="3" t="s">
        <v>7</v>
      </c>
      <c r="C1374" s="3">
        <v>5.4</v>
      </c>
    </row>
    <row r="1375" spans="1:3" x14ac:dyDescent="0.3">
      <c r="A1375" s="4" t="s">
        <v>3248</v>
      </c>
      <c r="B1375" s="4" t="s">
        <v>7</v>
      </c>
      <c r="C1375" s="4">
        <v>7.8</v>
      </c>
    </row>
    <row r="1376" spans="1:3" x14ac:dyDescent="0.3">
      <c r="A1376" s="3" t="s">
        <v>3250</v>
      </c>
      <c r="B1376" s="3" t="s">
        <v>7</v>
      </c>
      <c r="C1376" s="3">
        <v>7.2</v>
      </c>
    </row>
    <row r="1377" spans="1:3" x14ac:dyDescent="0.3">
      <c r="A1377" s="4" t="s">
        <v>3253</v>
      </c>
      <c r="B1377" s="4" t="s">
        <v>7</v>
      </c>
      <c r="C1377" s="4">
        <v>6.6</v>
      </c>
    </row>
    <row r="1378" spans="1:3" x14ac:dyDescent="0.3">
      <c r="A1378" s="3" t="s">
        <v>3256</v>
      </c>
      <c r="B1378" s="3" t="s">
        <v>7</v>
      </c>
      <c r="C1378" s="3">
        <v>7.6</v>
      </c>
    </row>
    <row r="1379" spans="1:3" x14ac:dyDescent="0.3">
      <c r="A1379" s="4" t="s">
        <v>3258</v>
      </c>
      <c r="B1379" s="4" t="s">
        <v>7</v>
      </c>
      <c r="C1379" s="4">
        <v>5.9</v>
      </c>
    </row>
    <row r="1380" spans="1:3" x14ac:dyDescent="0.3">
      <c r="A1380" s="3" t="s">
        <v>3260</v>
      </c>
      <c r="B1380" s="3" t="s">
        <v>7</v>
      </c>
      <c r="C1380" s="3">
        <v>6.7</v>
      </c>
    </row>
    <row r="1381" spans="1:3" x14ac:dyDescent="0.3">
      <c r="A1381" s="4" t="s">
        <v>3262</v>
      </c>
      <c r="B1381" s="4" t="s">
        <v>7</v>
      </c>
      <c r="C1381" s="4">
        <v>7.7</v>
      </c>
    </row>
    <row r="1382" spans="1:3" x14ac:dyDescent="0.3">
      <c r="A1382" s="3" t="s">
        <v>3264</v>
      </c>
      <c r="B1382" s="3" t="s">
        <v>7</v>
      </c>
      <c r="C1382" s="3">
        <v>5.4</v>
      </c>
    </row>
    <row r="1383" spans="1:3" x14ac:dyDescent="0.3">
      <c r="A1383" s="4" t="s">
        <v>3267</v>
      </c>
      <c r="B1383" s="4" t="s">
        <v>7</v>
      </c>
      <c r="C1383" s="4">
        <v>6.9</v>
      </c>
    </row>
    <row r="1384" spans="1:3" x14ac:dyDescent="0.3">
      <c r="A1384" s="3" t="s">
        <v>3270</v>
      </c>
      <c r="B1384" s="3" t="s">
        <v>7</v>
      </c>
      <c r="C1384" s="3">
        <v>7.7</v>
      </c>
    </row>
    <row r="1385" spans="1:3" x14ac:dyDescent="0.3">
      <c r="A1385" s="4" t="s">
        <v>3272</v>
      </c>
      <c r="B1385" s="4" t="s">
        <v>7</v>
      </c>
      <c r="C1385" s="4">
        <v>6.8</v>
      </c>
    </row>
    <row r="1386" spans="1:3" x14ac:dyDescent="0.3">
      <c r="A1386" s="3" t="s">
        <v>3274</v>
      </c>
      <c r="B1386" s="3" t="s">
        <v>7</v>
      </c>
      <c r="C1386" s="3">
        <v>6.4</v>
      </c>
    </row>
    <row r="1387" spans="1:3" x14ac:dyDescent="0.3">
      <c r="A1387" s="4" t="s">
        <v>3276</v>
      </c>
      <c r="B1387" s="4" t="s">
        <v>7</v>
      </c>
      <c r="C1387" s="4">
        <v>5.7</v>
      </c>
    </row>
    <row r="1388" spans="1:3" x14ac:dyDescent="0.3">
      <c r="A1388" s="3" t="s">
        <v>3278</v>
      </c>
      <c r="B1388" s="3" t="s">
        <v>7</v>
      </c>
      <c r="C1388" s="3">
        <v>7.3</v>
      </c>
    </row>
    <row r="1389" spans="1:3" x14ac:dyDescent="0.3">
      <c r="A1389" s="4" t="s">
        <v>3281</v>
      </c>
      <c r="B1389" s="4" t="s">
        <v>7</v>
      </c>
      <c r="C1389" s="4">
        <v>6.8</v>
      </c>
    </row>
    <row r="1390" spans="1:3" x14ac:dyDescent="0.3">
      <c r="A1390" s="3" t="s">
        <v>3283</v>
      </c>
      <c r="B1390" s="3" t="s">
        <v>7</v>
      </c>
      <c r="C1390" s="3">
        <v>6.3</v>
      </c>
    </row>
    <row r="1391" spans="1:3" x14ac:dyDescent="0.3">
      <c r="A1391" s="4" t="s">
        <v>3285</v>
      </c>
      <c r="B1391" s="4" t="s">
        <v>247</v>
      </c>
      <c r="C1391" s="4">
        <v>5.9</v>
      </c>
    </row>
    <row r="1392" spans="1:3" x14ac:dyDescent="0.3">
      <c r="A1392" s="3" t="s">
        <v>3287</v>
      </c>
      <c r="B1392" s="3" t="s">
        <v>7</v>
      </c>
      <c r="C1392" s="3">
        <v>7.4</v>
      </c>
    </row>
    <row r="1393" spans="1:3" x14ac:dyDescent="0.3">
      <c r="A1393" s="4" t="s">
        <v>3289</v>
      </c>
      <c r="B1393" s="4" t="s">
        <v>7</v>
      </c>
      <c r="C1393" s="4">
        <v>8.3000000000000007</v>
      </c>
    </row>
    <row r="1394" spans="1:3" x14ac:dyDescent="0.3">
      <c r="A1394" s="3" t="s">
        <v>3291</v>
      </c>
      <c r="B1394" s="3" t="s">
        <v>7</v>
      </c>
      <c r="C1394" s="3">
        <v>6.2</v>
      </c>
    </row>
    <row r="1395" spans="1:3" x14ac:dyDescent="0.3">
      <c r="A1395" s="4" t="s">
        <v>3293</v>
      </c>
      <c r="B1395" s="4" t="s">
        <v>7</v>
      </c>
      <c r="C1395" s="4">
        <v>6.3</v>
      </c>
    </row>
    <row r="1396" spans="1:3" x14ac:dyDescent="0.3">
      <c r="A1396" s="3" t="s">
        <v>3295</v>
      </c>
      <c r="B1396" s="3" t="s">
        <v>7</v>
      </c>
      <c r="C1396" s="3">
        <v>5.8</v>
      </c>
    </row>
    <row r="1397" spans="1:3" x14ac:dyDescent="0.3">
      <c r="A1397" s="4" t="s">
        <v>3297</v>
      </c>
      <c r="B1397" s="4" t="s">
        <v>7</v>
      </c>
      <c r="C1397" s="4">
        <v>7.5</v>
      </c>
    </row>
    <row r="1398" spans="1:3" x14ac:dyDescent="0.3">
      <c r="A1398" s="3" t="s">
        <v>3299</v>
      </c>
      <c r="B1398" s="3" t="s">
        <v>7</v>
      </c>
      <c r="C1398" s="3">
        <v>6.3</v>
      </c>
    </row>
    <row r="1399" spans="1:3" x14ac:dyDescent="0.3">
      <c r="A1399" s="4" t="s">
        <v>3301</v>
      </c>
      <c r="B1399" s="4" t="s">
        <v>7</v>
      </c>
      <c r="C1399" s="4">
        <v>6.4</v>
      </c>
    </row>
    <row r="1400" spans="1:3" x14ac:dyDescent="0.3">
      <c r="A1400" s="3" t="s">
        <v>3303</v>
      </c>
      <c r="B1400" s="3" t="s">
        <v>7</v>
      </c>
      <c r="C1400" s="3">
        <v>7.2</v>
      </c>
    </row>
    <row r="1401" spans="1:3" x14ac:dyDescent="0.3">
      <c r="A1401" s="4" t="s">
        <v>3305</v>
      </c>
      <c r="B1401" s="4" t="s">
        <v>7</v>
      </c>
      <c r="C1401" s="4">
        <v>6.3</v>
      </c>
    </row>
    <row r="1402" spans="1:3" x14ac:dyDescent="0.3">
      <c r="A1402" s="3" t="s">
        <v>3308</v>
      </c>
      <c r="B1402" s="3" t="s">
        <v>7</v>
      </c>
      <c r="C1402" s="3">
        <v>6.9</v>
      </c>
    </row>
    <row r="1403" spans="1:3" x14ac:dyDescent="0.3">
      <c r="A1403" s="4" t="s">
        <v>3311</v>
      </c>
      <c r="B1403" s="4" t="s">
        <v>7</v>
      </c>
      <c r="C1403" s="4">
        <v>6.6</v>
      </c>
    </row>
    <row r="1404" spans="1:3" x14ac:dyDescent="0.3">
      <c r="A1404" s="3" t="s">
        <v>3313</v>
      </c>
      <c r="B1404" s="3" t="s">
        <v>7</v>
      </c>
      <c r="C1404" s="3">
        <v>6</v>
      </c>
    </row>
    <row r="1405" spans="1:3" x14ac:dyDescent="0.3">
      <c r="A1405" s="4" t="s">
        <v>3315</v>
      </c>
      <c r="B1405" s="4" t="s">
        <v>7</v>
      </c>
      <c r="C1405" s="4">
        <v>7.5</v>
      </c>
    </row>
    <row r="1406" spans="1:3" x14ac:dyDescent="0.3">
      <c r="A1406" s="3" t="s">
        <v>3317</v>
      </c>
      <c r="B1406" s="3" t="s">
        <v>7</v>
      </c>
      <c r="C1406" s="3">
        <v>7.7</v>
      </c>
    </row>
    <row r="1407" spans="1:3" x14ac:dyDescent="0.3">
      <c r="A1407" s="4" t="s">
        <v>3319</v>
      </c>
      <c r="B1407" s="4" t="s">
        <v>7</v>
      </c>
      <c r="C1407" s="4">
        <v>6.2</v>
      </c>
    </row>
    <row r="1408" spans="1:3" x14ac:dyDescent="0.3">
      <c r="A1408" s="3" t="s">
        <v>3321</v>
      </c>
      <c r="B1408" s="3" t="s">
        <v>7</v>
      </c>
      <c r="C1408" s="3">
        <v>5.4</v>
      </c>
    </row>
    <row r="1409" spans="1:3" x14ac:dyDescent="0.3">
      <c r="A1409" s="4" t="s">
        <v>3323</v>
      </c>
      <c r="B1409" s="4" t="s">
        <v>7</v>
      </c>
      <c r="C1409" s="4">
        <v>6.6</v>
      </c>
    </row>
    <row r="1410" spans="1:3" x14ac:dyDescent="0.3">
      <c r="A1410" s="3" t="s">
        <v>3325</v>
      </c>
      <c r="B1410" s="3" t="s">
        <v>7</v>
      </c>
      <c r="C1410" s="3">
        <v>5.3</v>
      </c>
    </row>
    <row r="1411" spans="1:3" x14ac:dyDescent="0.3">
      <c r="A1411" s="4" t="s">
        <v>3327</v>
      </c>
      <c r="B1411" s="4" t="s">
        <v>7</v>
      </c>
      <c r="C1411" s="4">
        <v>5.6</v>
      </c>
    </row>
    <row r="1412" spans="1:3" x14ac:dyDescent="0.3">
      <c r="A1412" s="3" t="s">
        <v>3329</v>
      </c>
      <c r="B1412" s="3" t="s">
        <v>7</v>
      </c>
      <c r="C1412" s="3">
        <v>5.9</v>
      </c>
    </row>
    <row r="1413" spans="1:3" x14ac:dyDescent="0.3">
      <c r="A1413" s="4" t="s">
        <v>3331</v>
      </c>
      <c r="B1413" s="4" t="s">
        <v>7</v>
      </c>
      <c r="C1413" s="4">
        <v>7.8</v>
      </c>
    </row>
    <row r="1414" spans="1:3" x14ac:dyDescent="0.3">
      <c r="A1414" s="3" t="s">
        <v>3334</v>
      </c>
      <c r="B1414" s="3" t="s">
        <v>7</v>
      </c>
      <c r="C1414" s="3">
        <v>6.7</v>
      </c>
    </row>
    <row r="1415" spans="1:3" x14ac:dyDescent="0.3">
      <c r="A1415" s="4" t="s">
        <v>3337</v>
      </c>
      <c r="B1415" s="4" t="s">
        <v>7</v>
      </c>
      <c r="C1415" s="4">
        <v>7.4</v>
      </c>
    </row>
    <row r="1416" spans="1:3" x14ac:dyDescent="0.3">
      <c r="A1416" s="3" t="s">
        <v>3340</v>
      </c>
      <c r="B1416" s="3" t="s">
        <v>7</v>
      </c>
      <c r="C1416" s="3">
        <v>6.2</v>
      </c>
    </row>
    <row r="1417" spans="1:3" x14ac:dyDescent="0.3">
      <c r="A1417" s="4" t="s">
        <v>3342</v>
      </c>
      <c r="B1417" s="4" t="s">
        <v>7</v>
      </c>
      <c r="C1417" s="4">
        <v>5.4</v>
      </c>
    </row>
    <row r="1418" spans="1:3" x14ac:dyDescent="0.3">
      <c r="A1418" s="3" t="s">
        <v>3344</v>
      </c>
      <c r="B1418" s="3" t="s">
        <v>7</v>
      </c>
      <c r="C1418" s="3">
        <v>6.7</v>
      </c>
    </row>
    <row r="1419" spans="1:3" x14ac:dyDescent="0.3">
      <c r="A1419" s="4" t="s">
        <v>3346</v>
      </c>
      <c r="B1419" s="4" t="s">
        <v>7</v>
      </c>
      <c r="C1419" s="4">
        <v>5.3</v>
      </c>
    </row>
    <row r="1420" spans="1:3" x14ac:dyDescent="0.3">
      <c r="A1420" s="3" t="s">
        <v>3348</v>
      </c>
      <c r="B1420" s="3" t="s">
        <v>7</v>
      </c>
      <c r="C1420" s="3">
        <v>5.9</v>
      </c>
    </row>
    <row r="1421" spans="1:3" x14ac:dyDescent="0.3">
      <c r="A1421" s="4" t="s">
        <v>3350</v>
      </c>
      <c r="B1421" s="4" t="s">
        <v>7</v>
      </c>
      <c r="C1421" s="4">
        <v>4.8</v>
      </c>
    </row>
    <row r="1422" spans="1:3" x14ac:dyDescent="0.3">
      <c r="A1422" s="3" t="s">
        <v>3352</v>
      </c>
      <c r="B1422" s="3" t="s">
        <v>7</v>
      </c>
      <c r="C1422" s="3">
        <v>7.3</v>
      </c>
    </row>
    <row r="1423" spans="1:3" x14ac:dyDescent="0.3">
      <c r="A1423" s="4" t="s">
        <v>3354</v>
      </c>
      <c r="B1423" s="4" t="s">
        <v>7</v>
      </c>
      <c r="C1423" s="4">
        <v>3.8</v>
      </c>
    </row>
    <row r="1424" spans="1:3" x14ac:dyDescent="0.3">
      <c r="A1424" s="3" t="s">
        <v>3356</v>
      </c>
      <c r="B1424" s="3" t="s">
        <v>7</v>
      </c>
      <c r="C1424" s="3">
        <v>8.5</v>
      </c>
    </row>
    <row r="1425" spans="1:3" x14ac:dyDescent="0.3">
      <c r="A1425" s="4" t="s">
        <v>3358</v>
      </c>
      <c r="B1425" s="4" t="s">
        <v>7</v>
      </c>
      <c r="C1425" s="4">
        <v>6.8</v>
      </c>
    </row>
    <row r="1426" spans="1:3" x14ac:dyDescent="0.3">
      <c r="A1426" s="3" t="s">
        <v>3361</v>
      </c>
      <c r="B1426" s="3" t="s">
        <v>7</v>
      </c>
      <c r="C1426" s="3">
        <v>6.8</v>
      </c>
    </row>
    <row r="1427" spans="1:3" x14ac:dyDescent="0.3">
      <c r="A1427" s="4" t="s">
        <v>3365</v>
      </c>
      <c r="B1427" s="4" t="s">
        <v>7</v>
      </c>
      <c r="C1427" s="4">
        <v>5.3</v>
      </c>
    </row>
    <row r="1428" spans="1:3" x14ac:dyDescent="0.3">
      <c r="A1428" s="3" t="s">
        <v>3367</v>
      </c>
      <c r="B1428" s="3" t="s">
        <v>7</v>
      </c>
      <c r="C1428" s="3">
        <v>7.3</v>
      </c>
    </row>
    <row r="1429" spans="1:3" x14ac:dyDescent="0.3">
      <c r="A1429" s="4" t="s">
        <v>3369</v>
      </c>
      <c r="B1429" s="4" t="s">
        <v>7</v>
      </c>
      <c r="C1429" s="4">
        <v>6.6</v>
      </c>
    </row>
    <row r="1430" spans="1:3" x14ac:dyDescent="0.3">
      <c r="A1430" s="3" t="s">
        <v>3372</v>
      </c>
      <c r="B1430" s="3" t="s">
        <v>7</v>
      </c>
      <c r="C1430" s="3">
        <v>6.2</v>
      </c>
    </row>
    <row r="1431" spans="1:3" x14ac:dyDescent="0.3">
      <c r="A1431" s="4" t="s">
        <v>3374</v>
      </c>
      <c r="B1431" s="4" t="s">
        <v>7</v>
      </c>
      <c r="C1431" s="4">
        <v>5.2</v>
      </c>
    </row>
    <row r="1432" spans="1:3" x14ac:dyDescent="0.3">
      <c r="A1432" s="3" t="s">
        <v>3377</v>
      </c>
      <c r="B1432" s="3" t="s">
        <v>7</v>
      </c>
      <c r="C1432" s="3">
        <v>6.2</v>
      </c>
    </row>
    <row r="1433" spans="1:3" x14ac:dyDescent="0.3">
      <c r="A1433" s="4" t="s">
        <v>3379</v>
      </c>
      <c r="B1433" s="4" t="s">
        <v>7</v>
      </c>
      <c r="C1433" s="4">
        <v>6.2</v>
      </c>
    </row>
    <row r="1434" spans="1:3" x14ac:dyDescent="0.3">
      <c r="A1434" s="3" t="s">
        <v>3382</v>
      </c>
      <c r="B1434" s="3" t="s">
        <v>7</v>
      </c>
      <c r="C1434" s="3">
        <v>6.6</v>
      </c>
    </row>
    <row r="1435" spans="1:3" x14ac:dyDescent="0.3">
      <c r="A1435" s="4" t="s">
        <v>3384</v>
      </c>
      <c r="B1435" s="4" t="s">
        <v>7</v>
      </c>
      <c r="C1435" s="4">
        <v>6.4</v>
      </c>
    </row>
    <row r="1436" spans="1:3" x14ac:dyDescent="0.3">
      <c r="A1436" s="3" t="s">
        <v>3386</v>
      </c>
      <c r="B1436" s="3" t="s">
        <v>7</v>
      </c>
      <c r="C1436" s="3">
        <v>6.2</v>
      </c>
    </row>
    <row r="1437" spans="1:3" x14ac:dyDescent="0.3">
      <c r="A1437" s="4" t="s">
        <v>3389</v>
      </c>
      <c r="B1437" s="4" t="s">
        <v>7</v>
      </c>
      <c r="C1437" s="4">
        <v>5.0999999999999996</v>
      </c>
    </row>
    <row r="1438" spans="1:3" x14ac:dyDescent="0.3">
      <c r="A1438" s="3" t="s">
        <v>3391</v>
      </c>
      <c r="B1438" s="3" t="s">
        <v>7</v>
      </c>
      <c r="C1438" s="3">
        <v>6.6</v>
      </c>
    </row>
    <row r="1439" spans="1:3" x14ac:dyDescent="0.3">
      <c r="A1439" s="4" t="s">
        <v>3393</v>
      </c>
      <c r="B1439" s="4" t="s">
        <v>7</v>
      </c>
      <c r="C1439" s="4">
        <v>6.1</v>
      </c>
    </row>
    <row r="1440" spans="1:3" x14ac:dyDescent="0.3">
      <c r="A1440" s="3" t="s">
        <v>3395</v>
      </c>
      <c r="B1440" s="3" t="s">
        <v>7</v>
      </c>
      <c r="C1440" s="3">
        <v>6.1</v>
      </c>
    </row>
    <row r="1441" spans="1:3" x14ac:dyDescent="0.3">
      <c r="A1441" s="4" t="s">
        <v>3397</v>
      </c>
      <c r="B1441" s="4" t="s">
        <v>7</v>
      </c>
      <c r="C1441" s="4">
        <v>6.6</v>
      </c>
    </row>
    <row r="1442" spans="1:3" x14ac:dyDescent="0.3">
      <c r="A1442" s="3" t="s">
        <v>3399</v>
      </c>
      <c r="B1442" s="3" t="s">
        <v>7</v>
      </c>
      <c r="C1442" s="3">
        <v>5.9</v>
      </c>
    </row>
    <row r="1443" spans="1:3" x14ac:dyDescent="0.3">
      <c r="A1443" s="4" t="s">
        <v>3402</v>
      </c>
      <c r="B1443" s="4" t="s">
        <v>7</v>
      </c>
      <c r="C1443" s="4">
        <v>6.3</v>
      </c>
    </row>
    <row r="1444" spans="1:3" x14ac:dyDescent="0.3">
      <c r="A1444" s="3" t="s">
        <v>3404</v>
      </c>
      <c r="B1444" s="3" t="s">
        <v>7</v>
      </c>
      <c r="C1444" s="3">
        <v>7.1</v>
      </c>
    </row>
    <row r="1445" spans="1:3" x14ac:dyDescent="0.3">
      <c r="A1445" s="4" t="s">
        <v>3406</v>
      </c>
      <c r="B1445" s="4" t="s">
        <v>7</v>
      </c>
      <c r="C1445" s="4">
        <v>5</v>
      </c>
    </row>
    <row r="1446" spans="1:3" x14ac:dyDescent="0.3">
      <c r="A1446" s="3" t="s">
        <v>3408</v>
      </c>
      <c r="B1446" s="3" t="s">
        <v>7</v>
      </c>
      <c r="C1446" s="3">
        <v>5.6</v>
      </c>
    </row>
    <row r="1447" spans="1:3" x14ac:dyDescent="0.3">
      <c r="A1447" s="4" t="s">
        <v>3411</v>
      </c>
      <c r="B1447" s="4" t="s">
        <v>7</v>
      </c>
      <c r="C1447" s="4">
        <v>7.4</v>
      </c>
    </row>
    <row r="1448" spans="1:3" x14ac:dyDescent="0.3">
      <c r="A1448" s="3" t="s">
        <v>3414</v>
      </c>
      <c r="B1448" s="3" t="s">
        <v>7</v>
      </c>
      <c r="C1448" s="3">
        <v>4.5</v>
      </c>
    </row>
    <row r="1449" spans="1:3" x14ac:dyDescent="0.3">
      <c r="A1449" s="4" t="s">
        <v>3417</v>
      </c>
      <c r="B1449" s="4" t="s">
        <v>7</v>
      </c>
      <c r="C1449" s="4">
        <v>6.2</v>
      </c>
    </row>
    <row r="1450" spans="1:3" x14ac:dyDescent="0.3">
      <c r="A1450" s="3" t="s">
        <v>3420</v>
      </c>
      <c r="B1450" s="3" t="s">
        <v>7</v>
      </c>
      <c r="C1450" s="3">
        <v>5</v>
      </c>
    </row>
    <row r="1451" spans="1:3" x14ac:dyDescent="0.3">
      <c r="A1451" s="4" t="s">
        <v>3422</v>
      </c>
      <c r="B1451" s="4" t="s">
        <v>7</v>
      </c>
      <c r="C1451" s="4">
        <v>6.5</v>
      </c>
    </row>
    <row r="1452" spans="1:3" x14ac:dyDescent="0.3">
      <c r="A1452" s="3" t="s">
        <v>3424</v>
      </c>
      <c r="B1452" s="3" t="s">
        <v>7</v>
      </c>
      <c r="C1452" s="3">
        <v>5.0999999999999996</v>
      </c>
    </row>
    <row r="1453" spans="1:3" x14ac:dyDescent="0.3">
      <c r="A1453" s="4" t="s">
        <v>3427</v>
      </c>
      <c r="B1453" s="4" t="s">
        <v>7</v>
      </c>
      <c r="C1453" s="4">
        <v>6.5</v>
      </c>
    </row>
    <row r="1454" spans="1:3" x14ac:dyDescent="0.3">
      <c r="A1454" s="3" t="s">
        <v>3429</v>
      </c>
      <c r="B1454" s="3" t="s">
        <v>7</v>
      </c>
      <c r="C1454" s="3">
        <v>6.2</v>
      </c>
    </row>
    <row r="1455" spans="1:3" x14ac:dyDescent="0.3">
      <c r="A1455" s="4" t="s">
        <v>3431</v>
      </c>
      <c r="B1455" s="4" t="s">
        <v>7</v>
      </c>
      <c r="C1455" s="4">
        <v>6.3</v>
      </c>
    </row>
    <row r="1456" spans="1:3" x14ac:dyDescent="0.3">
      <c r="A1456" s="3" t="s">
        <v>3433</v>
      </c>
      <c r="B1456" s="3" t="s">
        <v>7</v>
      </c>
      <c r="C1456" s="3">
        <v>3.8</v>
      </c>
    </row>
    <row r="1457" spans="1:3" x14ac:dyDescent="0.3">
      <c r="A1457" s="4" t="s">
        <v>3435</v>
      </c>
      <c r="B1457" s="4" t="s">
        <v>7</v>
      </c>
      <c r="C1457" s="4">
        <v>5.2</v>
      </c>
    </row>
    <row r="1458" spans="1:3" x14ac:dyDescent="0.3">
      <c r="A1458" s="3" t="s">
        <v>3437</v>
      </c>
      <c r="B1458" s="3" t="s">
        <v>7</v>
      </c>
      <c r="C1458" s="3">
        <v>6</v>
      </c>
    </row>
    <row r="1459" spans="1:3" x14ac:dyDescent="0.3">
      <c r="A1459" s="4" t="s">
        <v>3439</v>
      </c>
      <c r="B1459" s="4" t="s">
        <v>7</v>
      </c>
      <c r="C1459" s="4">
        <v>6.2</v>
      </c>
    </row>
    <row r="1460" spans="1:3" x14ac:dyDescent="0.3">
      <c r="A1460" s="3" t="s">
        <v>3441</v>
      </c>
      <c r="B1460" s="3" t="s">
        <v>7</v>
      </c>
      <c r="C1460" s="3">
        <v>5.7</v>
      </c>
    </row>
    <row r="1461" spans="1:3" x14ac:dyDescent="0.3">
      <c r="A1461" s="4" t="s">
        <v>3443</v>
      </c>
      <c r="B1461" s="4" t="s">
        <v>7</v>
      </c>
      <c r="C1461" s="4">
        <v>6.7</v>
      </c>
    </row>
    <row r="1462" spans="1:3" x14ac:dyDescent="0.3">
      <c r="A1462" s="3" t="s">
        <v>3445</v>
      </c>
      <c r="B1462" s="3" t="s">
        <v>7</v>
      </c>
      <c r="C1462" s="3">
        <v>6.8</v>
      </c>
    </row>
    <row r="1463" spans="1:3" x14ac:dyDescent="0.3">
      <c r="A1463" s="4" t="s">
        <v>3447</v>
      </c>
      <c r="B1463" s="4" t="s">
        <v>7</v>
      </c>
      <c r="C1463" s="4">
        <v>6</v>
      </c>
    </row>
    <row r="1464" spans="1:3" x14ac:dyDescent="0.3">
      <c r="A1464" s="3" t="s">
        <v>3449</v>
      </c>
      <c r="B1464" s="3" t="s">
        <v>7</v>
      </c>
      <c r="C1464" s="3">
        <v>7.3</v>
      </c>
    </row>
    <row r="1465" spans="1:3" x14ac:dyDescent="0.3">
      <c r="A1465" s="4" t="s">
        <v>3451</v>
      </c>
      <c r="B1465" s="4" t="s">
        <v>7</v>
      </c>
      <c r="C1465" s="4">
        <v>5.5</v>
      </c>
    </row>
    <row r="1466" spans="1:3" x14ac:dyDescent="0.3">
      <c r="A1466" s="3" t="s">
        <v>3453</v>
      </c>
      <c r="B1466" s="3" t="s">
        <v>7</v>
      </c>
      <c r="C1466" s="3">
        <v>6.7</v>
      </c>
    </row>
    <row r="1467" spans="1:3" x14ac:dyDescent="0.3">
      <c r="A1467" s="4" t="s">
        <v>3455</v>
      </c>
      <c r="B1467" s="4" t="s">
        <v>7</v>
      </c>
      <c r="C1467" s="4">
        <v>4.8</v>
      </c>
    </row>
    <row r="1468" spans="1:3" x14ac:dyDescent="0.3">
      <c r="A1468" s="3" t="s">
        <v>3457</v>
      </c>
      <c r="B1468" s="3" t="s">
        <v>7</v>
      </c>
      <c r="C1468" s="3">
        <v>5.7</v>
      </c>
    </row>
    <row r="1469" spans="1:3" x14ac:dyDescent="0.3">
      <c r="A1469" s="4" t="s">
        <v>3459</v>
      </c>
      <c r="B1469" s="4" t="s">
        <v>7</v>
      </c>
      <c r="C1469" s="4">
        <v>5.0999999999999996</v>
      </c>
    </row>
    <row r="1470" spans="1:3" x14ac:dyDescent="0.3">
      <c r="A1470" s="3" t="s">
        <v>3462</v>
      </c>
      <c r="B1470" s="3" t="s">
        <v>7</v>
      </c>
      <c r="C1470" s="3">
        <v>6</v>
      </c>
    </row>
    <row r="1471" spans="1:3" x14ac:dyDescent="0.3">
      <c r="A1471" s="4" t="s">
        <v>3464</v>
      </c>
      <c r="B1471" s="4" t="s">
        <v>7</v>
      </c>
      <c r="C1471" s="4">
        <v>4.2</v>
      </c>
    </row>
    <row r="1472" spans="1:3" x14ac:dyDescent="0.3">
      <c r="A1472" s="3" t="s">
        <v>3466</v>
      </c>
      <c r="B1472" s="3" t="s">
        <v>7</v>
      </c>
      <c r="C1472" s="3">
        <v>7.4</v>
      </c>
    </row>
    <row r="1473" spans="1:3" x14ac:dyDescent="0.3">
      <c r="A1473" s="4" t="s">
        <v>3468</v>
      </c>
      <c r="B1473" s="4" t="s">
        <v>7</v>
      </c>
      <c r="C1473" s="4">
        <v>4.5999999999999996</v>
      </c>
    </row>
    <row r="1474" spans="1:3" x14ac:dyDescent="0.3">
      <c r="A1474" s="3" t="s">
        <v>3470</v>
      </c>
      <c r="B1474" s="3" t="s">
        <v>7</v>
      </c>
      <c r="C1474" s="3">
        <v>6.9</v>
      </c>
    </row>
    <row r="1475" spans="1:3" x14ac:dyDescent="0.3">
      <c r="A1475" s="4" t="s">
        <v>3473</v>
      </c>
      <c r="B1475" s="4" t="s">
        <v>7</v>
      </c>
      <c r="C1475" s="4">
        <v>6.9</v>
      </c>
    </row>
    <row r="1476" spans="1:3" x14ac:dyDescent="0.3">
      <c r="A1476" s="3" t="s">
        <v>3475</v>
      </c>
      <c r="B1476" s="3" t="s">
        <v>7</v>
      </c>
      <c r="C1476" s="3">
        <v>8</v>
      </c>
    </row>
    <row r="1477" spans="1:3" x14ac:dyDescent="0.3">
      <c r="A1477" s="4" t="s">
        <v>3477</v>
      </c>
      <c r="B1477" s="4" t="s">
        <v>7</v>
      </c>
      <c r="C1477" s="4">
        <v>6.4</v>
      </c>
    </row>
    <row r="1478" spans="1:3" x14ac:dyDescent="0.3">
      <c r="A1478" s="3" t="s">
        <v>3479</v>
      </c>
      <c r="B1478" s="3" t="s">
        <v>7</v>
      </c>
      <c r="C1478" s="3">
        <v>6.3</v>
      </c>
    </row>
    <row r="1479" spans="1:3" x14ac:dyDescent="0.3">
      <c r="A1479" s="4" t="s">
        <v>3481</v>
      </c>
      <c r="B1479" s="4" t="s">
        <v>7</v>
      </c>
      <c r="C1479" s="4">
        <v>8.4</v>
      </c>
    </row>
    <row r="1480" spans="1:3" x14ac:dyDescent="0.3">
      <c r="A1480" s="3" t="s">
        <v>3483</v>
      </c>
      <c r="B1480" s="3" t="s">
        <v>7</v>
      </c>
      <c r="C1480" s="3">
        <v>7.1</v>
      </c>
    </row>
    <row r="1481" spans="1:3" x14ac:dyDescent="0.3">
      <c r="A1481" s="4" t="s">
        <v>3486</v>
      </c>
      <c r="B1481" s="4" t="s">
        <v>7</v>
      </c>
      <c r="C1481" s="4">
        <v>6.8</v>
      </c>
    </row>
    <row r="1482" spans="1:3" x14ac:dyDescent="0.3">
      <c r="A1482" s="3" t="s">
        <v>3488</v>
      </c>
      <c r="B1482" s="3" t="s">
        <v>7</v>
      </c>
      <c r="C1482" s="3">
        <v>7.5</v>
      </c>
    </row>
    <row r="1483" spans="1:3" x14ac:dyDescent="0.3">
      <c r="A1483" s="4" t="s">
        <v>3490</v>
      </c>
      <c r="B1483" s="4" t="s">
        <v>7</v>
      </c>
      <c r="C1483" s="4">
        <v>4.5</v>
      </c>
    </row>
    <row r="1484" spans="1:3" x14ac:dyDescent="0.3">
      <c r="A1484" s="3" t="s">
        <v>3492</v>
      </c>
      <c r="B1484" s="3" t="s">
        <v>7</v>
      </c>
      <c r="C1484" s="3">
        <v>5.7</v>
      </c>
    </row>
    <row r="1485" spans="1:3" x14ac:dyDescent="0.3">
      <c r="A1485" s="4" t="s">
        <v>3494</v>
      </c>
      <c r="B1485" s="4" t="s">
        <v>7</v>
      </c>
      <c r="C1485" s="4">
        <v>7.2</v>
      </c>
    </row>
    <row r="1486" spans="1:3" x14ac:dyDescent="0.3">
      <c r="A1486" s="3" t="s">
        <v>3496</v>
      </c>
      <c r="B1486" s="3" t="s">
        <v>7</v>
      </c>
      <c r="C1486" s="3">
        <v>6.8</v>
      </c>
    </row>
    <row r="1487" spans="1:3" x14ac:dyDescent="0.3">
      <c r="A1487" s="4" t="s">
        <v>3498</v>
      </c>
      <c r="B1487" s="4" t="s">
        <v>7</v>
      </c>
      <c r="C1487" s="4">
        <v>5.4</v>
      </c>
    </row>
    <row r="1488" spans="1:3" x14ac:dyDescent="0.3">
      <c r="A1488" s="3" t="s">
        <v>3500</v>
      </c>
      <c r="B1488" s="3" t="s">
        <v>7</v>
      </c>
      <c r="C1488" s="3">
        <v>7.2</v>
      </c>
    </row>
    <row r="1489" spans="1:3" x14ac:dyDescent="0.3">
      <c r="A1489" s="4" t="s">
        <v>3502</v>
      </c>
      <c r="B1489" s="4" t="s">
        <v>7</v>
      </c>
      <c r="C1489" s="4">
        <v>7.3</v>
      </c>
    </row>
    <row r="1490" spans="1:3" x14ac:dyDescent="0.3">
      <c r="A1490" s="3" t="s">
        <v>3504</v>
      </c>
      <c r="B1490" s="3" t="s">
        <v>7</v>
      </c>
      <c r="C1490" s="3">
        <v>5.2</v>
      </c>
    </row>
    <row r="1491" spans="1:3" x14ac:dyDescent="0.3">
      <c r="A1491" s="4" t="s">
        <v>3506</v>
      </c>
      <c r="B1491" s="4" t="s">
        <v>7</v>
      </c>
      <c r="C1491" s="4">
        <v>5.5</v>
      </c>
    </row>
    <row r="1492" spans="1:3" x14ac:dyDescent="0.3">
      <c r="A1492" s="3" t="s">
        <v>3508</v>
      </c>
      <c r="B1492" s="3" t="s">
        <v>7</v>
      </c>
      <c r="C1492" s="3">
        <v>7.7</v>
      </c>
    </row>
    <row r="1493" spans="1:3" x14ac:dyDescent="0.3">
      <c r="A1493" s="4" t="s">
        <v>3510</v>
      </c>
      <c r="B1493" s="4" t="s">
        <v>7</v>
      </c>
      <c r="C1493" s="4">
        <v>7.1</v>
      </c>
    </row>
    <row r="1494" spans="1:3" x14ac:dyDescent="0.3">
      <c r="A1494" s="3" t="s">
        <v>3512</v>
      </c>
      <c r="B1494" s="3" t="s">
        <v>7</v>
      </c>
      <c r="C1494" s="3">
        <v>5.3</v>
      </c>
    </row>
    <row r="1495" spans="1:3" x14ac:dyDescent="0.3">
      <c r="A1495" s="4" t="s">
        <v>3514</v>
      </c>
      <c r="B1495" s="4" t="s">
        <v>7</v>
      </c>
      <c r="C1495" s="4">
        <v>5.6</v>
      </c>
    </row>
    <row r="1496" spans="1:3" x14ac:dyDescent="0.3">
      <c r="A1496" s="3" t="s">
        <v>3516</v>
      </c>
      <c r="B1496" s="3" t="s">
        <v>7</v>
      </c>
      <c r="C1496" s="3">
        <v>5.7</v>
      </c>
    </row>
    <row r="1497" spans="1:3" x14ac:dyDescent="0.3">
      <c r="A1497" s="4" t="s">
        <v>3518</v>
      </c>
      <c r="B1497" s="4" t="s">
        <v>7</v>
      </c>
      <c r="C1497" s="4">
        <v>7.1</v>
      </c>
    </row>
    <row r="1498" spans="1:3" x14ac:dyDescent="0.3">
      <c r="A1498" s="3" t="s">
        <v>3521</v>
      </c>
      <c r="B1498" s="3" t="s">
        <v>7</v>
      </c>
      <c r="C1498" s="3">
        <v>7.5</v>
      </c>
    </row>
    <row r="1499" spans="1:3" x14ac:dyDescent="0.3">
      <c r="A1499" s="4" t="s">
        <v>3523</v>
      </c>
      <c r="B1499" s="4" t="s">
        <v>7</v>
      </c>
      <c r="C1499" s="4">
        <v>7.6</v>
      </c>
    </row>
    <row r="1500" spans="1:3" x14ac:dyDescent="0.3">
      <c r="A1500" s="3" t="s">
        <v>3525</v>
      </c>
      <c r="B1500" s="3" t="s">
        <v>7</v>
      </c>
      <c r="C1500" s="3">
        <v>5.5</v>
      </c>
    </row>
    <row r="1501" spans="1:3" x14ac:dyDescent="0.3">
      <c r="A1501" s="4" t="s">
        <v>3528</v>
      </c>
      <c r="B1501" s="4" t="s">
        <v>7</v>
      </c>
      <c r="C1501" s="4">
        <v>5.0999999999999996</v>
      </c>
    </row>
    <row r="1502" spans="1:3" x14ac:dyDescent="0.3">
      <c r="A1502" s="3" t="s">
        <v>3530</v>
      </c>
      <c r="B1502" s="3" t="s">
        <v>7</v>
      </c>
      <c r="C1502" s="3">
        <v>6.3</v>
      </c>
    </row>
    <row r="1503" spans="1:3" x14ac:dyDescent="0.3">
      <c r="A1503" s="4" t="s">
        <v>3532</v>
      </c>
      <c r="B1503" s="4" t="s">
        <v>7</v>
      </c>
      <c r="C1503" s="4">
        <v>4.9000000000000004</v>
      </c>
    </row>
    <row r="1504" spans="1:3" x14ac:dyDescent="0.3">
      <c r="A1504" s="3" t="s">
        <v>3534</v>
      </c>
      <c r="B1504" s="3" t="s">
        <v>7</v>
      </c>
      <c r="C1504" s="3">
        <v>6.5</v>
      </c>
    </row>
    <row r="1505" spans="1:3" x14ac:dyDescent="0.3">
      <c r="A1505" s="4" t="s">
        <v>3536</v>
      </c>
      <c r="B1505" s="4" t="s">
        <v>7</v>
      </c>
      <c r="C1505" s="4">
        <v>5.6</v>
      </c>
    </row>
    <row r="1506" spans="1:3" x14ac:dyDescent="0.3">
      <c r="A1506" s="3" t="s">
        <v>3539</v>
      </c>
      <c r="B1506" s="3" t="s">
        <v>7</v>
      </c>
      <c r="C1506" s="3">
        <v>5.3</v>
      </c>
    </row>
    <row r="1507" spans="1:3" x14ac:dyDescent="0.3">
      <c r="A1507" s="4" t="s">
        <v>3541</v>
      </c>
      <c r="B1507" s="4" t="s">
        <v>7</v>
      </c>
      <c r="C1507" s="4">
        <v>6.5</v>
      </c>
    </row>
    <row r="1508" spans="1:3" x14ac:dyDescent="0.3">
      <c r="A1508" s="3" t="s">
        <v>3543</v>
      </c>
      <c r="B1508" s="3" t="s">
        <v>7</v>
      </c>
      <c r="C1508" s="3">
        <v>6.8</v>
      </c>
    </row>
    <row r="1509" spans="1:3" x14ac:dyDescent="0.3">
      <c r="A1509" s="4" t="s">
        <v>3545</v>
      </c>
      <c r="B1509" s="4" t="s">
        <v>7</v>
      </c>
      <c r="C1509" s="4">
        <v>6.5</v>
      </c>
    </row>
    <row r="1510" spans="1:3" x14ac:dyDescent="0.3">
      <c r="A1510" s="3" t="s">
        <v>3547</v>
      </c>
      <c r="B1510" s="3" t="s">
        <v>7</v>
      </c>
      <c r="C1510" s="3">
        <v>6</v>
      </c>
    </row>
    <row r="1511" spans="1:3" x14ac:dyDescent="0.3">
      <c r="A1511" s="4" t="s">
        <v>3549</v>
      </c>
      <c r="B1511" s="4" t="s">
        <v>7</v>
      </c>
      <c r="C1511" s="4">
        <v>8.4</v>
      </c>
    </row>
    <row r="1512" spans="1:3" x14ac:dyDescent="0.3">
      <c r="A1512" s="3" t="s">
        <v>3551</v>
      </c>
      <c r="B1512" s="3" t="s">
        <v>7</v>
      </c>
      <c r="C1512" s="3">
        <v>6</v>
      </c>
    </row>
    <row r="1513" spans="1:3" x14ac:dyDescent="0.3">
      <c r="A1513" s="4" t="s">
        <v>3553</v>
      </c>
      <c r="B1513" s="4" t="s">
        <v>7</v>
      </c>
      <c r="C1513" s="4">
        <v>7.6</v>
      </c>
    </row>
    <row r="1514" spans="1:3" x14ac:dyDescent="0.3">
      <c r="A1514" s="3" t="s">
        <v>3555</v>
      </c>
      <c r="B1514" s="3" t="s">
        <v>7</v>
      </c>
      <c r="C1514" s="3">
        <v>5.6</v>
      </c>
    </row>
    <row r="1515" spans="1:3" x14ac:dyDescent="0.3">
      <c r="A1515" s="4" t="s">
        <v>3557</v>
      </c>
      <c r="B1515" s="4" t="s">
        <v>7</v>
      </c>
      <c r="C1515" s="4">
        <v>6.9</v>
      </c>
    </row>
    <row r="1516" spans="1:3" x14ac:dyDescent="0.3">
      <c r="A1516" s="3" t="s">
        <v>3559</v>
      </c>
      <c r="B1516" s="3" t="s">
        <v>7</v>
      </c>
      <c r="C1516" s="3">
        <v>6.4</v>
      </c>
    </row>
    <row r="1517" spans="1:3" x14ac:dyDescent="0.3">
      <c r="A1517" s="4" t="s">
        <v>3561</v>
      </c>
      <c r="B1517" s="4" t="s">
        <v>7</v>
      </c>
      <c r="C1517" s="4">
        <v>5.0999999999999996</v>
      </c>
    </row>
    <row r="1518" spans="1:3" x14ac:dyDescent="0.3">
      <c r="A1518" s="3" t="s">
        <v>3563</v>
      </c>
      <c r="B1518" s="3" t="s">
        <v>7</v>
      </c>
      <c r="C1518" s="3">
        <v>7</v>
      </c>
    </row>
    <row r="1519" spans="1:3" x14ac:dyDescent="0.3">
      <c r="A1519" s="4" t="s">
        <v>3565</v>
      </c>
      <c r="B1519" s="4" t="s">
        <v>7</v>
      </c>
      <c r="C1519" s="4">
        <v>5.7</v>
      </c>
    </row>
    <row r="1520" spans="1:3" x14ac:dyDescent="0.3">
      <c r="A1520" s="3" t="s">
        <v>3568</v>
      </c>
      <c r="B1520" s="3" t="s">
        <v>7</v>
      </c>
      <c r="C1520" s="3">
        <v>6.8</v>
      </c>
    </row>
    <row r="1521" spans="1:3" x14ac:dyDescent="0.3">
      <c r="A1521" s="4" t="s">
        <v>3570</v>
      </c>
      <c r="B1521" s="4" t="s">
        <v>7</v>
      </c>
      <c r="C1521" s="4">
        <v>6.7</v>
      </c>
    </row>
    <row r="1522" spans="1:3" x14ac:dyDescent="0.3">
      <c r="A1522" s="3" t="s">
        <v>3572</v>
      </c>
      <c r="B1522" s="3" t="s">
        <v>7</v>
      </c>
      <c r="C1522" s="3">
        <v>6.2</v>
      </c>
    </row>
    <row r="1523" spans="1:3" x14ac:dyDescent="0.3">
      <c r="A1523" s="4" t="s">
        <v>3574</v>
      </c>
      <c r="B1523" s="4" t="s">
        <v>7</v>
      </c>
      <c r="C1523" s="4">
        <v>7.2</v>
      </c>
    </row>
    <row r="1524" spans="1:3" x14ac:dyDescent="0.3">
      <c r="A1524" s="3" t="s">
        <v>3576</v>
      </c>
      <c r="B1524" s="3" t="s">
        <v>7</v>
      </c>
      <c r="C1524" s="3">
        <v>6.2</v>
      </c>
    </row>
    <row r="1525" spans="1:3" x14ac:dyDescent="0.3">
      <c r="A1525" s="4" t="s">
        <v>3578</v>
      </c>
      <c r="B1525" s="4" t="s">
        <v>7</v>
      </c>
      <c r="C1525" s="4">
        <v>5.6</v>
      </c>
    </row>
    <row r="1526" spans="1:3" x14ac:dyDescent="0.3">
      <c r="A1526" s="3" t="s">
        <v>3581</v>
      </c>
      <c r="B1526" s="3" t="s">
        <v>7</v>
      </c>
      <c r="C1526" s="3">
        <v>4.4000000000000004</v>
      </c>
    </row>
    <row r="1527" spans="1:3" x14ac:dyDescent="0.3">
      <c r="A1527" s="4" t="s">
        <v>3583</v>
      </c>
      <c r="B1527" s="4" t="s">
        <v>7</v>
      </c>
      <c r="C1527" s="4">
        <v>7.5</v>
      </c>
    </row>
    <row r="1528" spans="1:3" x14ac:dyDescent="0.3">
      <c r="A1528" s="3" t="s">
        <v>3586</v>
      </c>
      <c r="B1528" s="3" t="s">
        <v>7</v>
      </c>
      <c r="C1528" s="3">
        <v>7.1</v>
      </c>
    </row>
    <row r="1529" spans="1:3" x14ac:dyDescent="0.3">
      <c r="A1529" s="4" t="s">
        <v>3588</v>
      </c>
      <c r="B1529" s="4" t="s">
        <v>7</v>
      </c>
      <c r="C1529" s="4">
        <v>6.4</v>
      </c>
    </row>
    <row r="1530" spans="1:3" x14ac:dyDescent="0.3">
      <c r="A1530" s="3" t="s">
        <v>3590</v>
      </c>
      <c r="B1530" s="3" t="s">
        <v>7</v>
      </c>
      <c r="C1530" s="3">
        <v>7.1</v>
      </c>
    </row>
    <row r="1531" spans="1:3" x14ac:dyDescent="0.3">
      <c r="A1531" s="4" t="s">
        <v>3592</v>
      </c>
      <c r="B1531" s="4" t="s">
        <v>7</v>
      </c>
      <c r="C1531" s="4">
        <v>5.9</v>
      </c>
    </row>
    <row r="1532" spans="1:3" x14ac:dyDescent="0.3">
      <c r="A1532" s="3" t="s">
        <v>3594</v>
      </c>
      <c r="B1532" s="3" t="s">
        <v>7</v>
      </c>
      <c r="C1532" s="3">
        <v>6.9</v>
      </c>
    </row>
    <row r="1533" spans="1:3" x14ac:dyDescent="0.3">
      <c r="A1533" s="4" t="s">
        <v>3596</v>
      </c>
      <c r="B1533" s="4" t="s">
        <v>7</v>
      </c>
      <c r="C1533" s="4">
        <v>7.5</v>
      </c>
    </row>
    <row r="1534" spans="1:3" x14ac:dyDescent="0.3">
      <c r="A1534" s="3" t="s">
        <v>3598</v>
      </c>
      <c r="B1534" s="3" t="s">
        <v>7</v>
      </c>
      <c r="C1534" s="3">
        <v>6.3</v>
      </c>
    </row>
    <row r="1535" spans="1:3" x14ac:dyDescent="0.3">
      <c r="A1535" s="4" t="s">
        <v>3600</v>
      </c>
      <c r="B1535" s="4" t="s">
        <v>7</v>
      </c>
      <c r="C1535" s="4">
        <v>6.4</v>
      </c>
    </row>
    <row r="1536" spans="1:3" x14ac:dyDescent="0.3">
      <c r="A1536" s="3" t="s">
        <v>3602</v>
      </c>
      <c r="B1536" s="3" t="s">
        <v>7</v>
      </c>
      <c r="C1536" s="3">
        <v>5.9</v>
      </c>
    </row>
    <row r="1537" spans="1:3" x14ac:dyDescent="0.3">
      <c r="A1537" s="4" t="s">
        <v>3604</v>
      </c>
      <c r="B1537" s="4" t="s">
        <v>7</v>
      </c>
      <c r="C1537" s="4">
        <v>6.8</v>
      </c>
    </row>
    <row r="1538" spans="1:3" x14ac:dyDescent="0.3">
      <c r="A1538" s="3" t="s">
        <v>3606</v>
      </c>
      <c r="B1538" s="3" t="s">
        <v>7</v>
      </c>
      <c r="C1538" s="3">
        <v>6.3</v>
      </c>
    </row>
    <row r="1539" spans="1:3" x14ac:dyDescent="0.3">
      <c r="A1539" s="4" t="s">
        <v>3608</v>
      </c>
      <c r="B1539" s="4" t="s">
        <v>7</v>
      </c>
      <c r="C1539" s="4">
        <v>3.6</v>
      </c>
    </row>
    <row r="1540" spans="1:3" x14ac:dyDescent="0.3">
      <c r="A1540" s="3" t="s">
        <v>3610</v>
      </c>
      <c r="B1540" s="3" t="s">
        <v>7</v>
      </c>
      <c r="C1540" s="3">
        <v>5.3</v>
      </c>
    </row>
    <row r="1541" spans="1:3" x14ac:dyDescent="0.3">
      <c r="A1541" s="4" t="s">
        <v>3612</v>
      </c>
      <c r="B1541" s="4" t="s">
        <v>7</v>
      </c>
      <c r="C1541" s="4">
        <v>5.9</v>
      </c>
    </row>
    <row r="1542" spans="1:3" x14ac:dyDescent="0.3">
      <c r="A1542" s="3" t="s">
        <v>3614</v>
      </c>
      <c r="B1542" s="3" t="s">
        <v>7</v>
      </c>
      <c r="C1542" s="3">
        <v>6.9</v>
      </c>
    </row>
    <row r="1543" spans="1:3" x14ac:dyDescent="0.3">
      <c r="A1543" s="4" t="s">
        <v>3616</v>
      </c>
      <c r="B1543" s="4" t="s">
        <v>7</v>
      </c>
      <c r="C1543" s="4">
        <v>6.9</v>
      </c>
    </row>
    <row r="1544" spans="1:3" x14ac:dyDescent="0.3">
      <c r="A1544" s="3" t="s">
        <v>3618</v>
      </c>
      <c r="B1544" s="3" t="s">
        <v>7</v>
      </c>
      <c r="C1544" s="3">
        <v>6.1</v>
      </c>
    </row>
    <row r="1545" spans="1:3" x14ac:dyDescent="0.3">
      <c r="A1545" s="4" t="s">
        <v>3620</v>
      </c>
      <c r="B1545" s="4" t="s">
        <v>7</v>
      </c>
      <c r="C1545" s="4">
        <v>5.7</v>
      </c>
    </row>
    <row r="1546" spans="1:3" x14ac:dyDescent="0.3">
      <c r="A1546" s="3" t="s">
        <v>3623</v>
      </c>
      <c r="B1546" s="3" t="s">
        <v>7</v>
      </c>
      <c r="C1546" s="3">
        <v>8.5</v>
      </c>
    </row>
    <row r="1547" spans="1:3" x14ac:dyDescent="0.3">
      <c r="A1547" s="4" t="s">
        <v>3626</v>
      </c>
      <c r="B1547" s="4" t="s">
        <v>7</v>
      </c>
      <c r="C1547" s="4">
        <v>6.3</v>
      </c>
    </row>
    <row r="1548" spans="1:3" x14ac:dyDescent="0.3">
      <c r="A1548" s="3" t="s">
        <v>3628</v>
      </c>
      <c r="B1548" s="3" t="s">
        <v>7</v>
      </c>
      <c r="C1548" s="3">
        <v>7.3</v>
      </c>
    </row>
    <row r="1549" spans="1:3" x14ac:dyDescent="0.3">
      <c r="A1549" s="4" t="s">
        <v>3630</v>
      </c>
      <c r="B1549" s="4" t="s">
        <v>7</v>
      </c>
      <c r="C1549" s="4">
        <v>6.3</v>
      </c>
    </row>
    <row r="1550" spans="1:3" x14ac:dyDescent="0.3">
      <c r="A1550" s="3" t="s">
        <v>3632</v>
      </c>
      <c r="B1550" s="3" t="s">
        <v>7</v>
      </c>
      <c r="C1550" s="3">
        <v>7.2</v>
      </c>
    </row>
    <row r="1551" spans="1:3" x14ac:dyDescent="0.3">
      <c r="A1551" s="4" t="s">
        <v>3634</v>
      </c>
      <c r="B1551" s="4" t="s">
        <v>7</v>
      </c>
      <c r="C1551" s="4">
        <v>7.3</v>
      </c>
    </row>
    <row r="1552" spans="1:3" x14ac:dyDescent="0.3">
      <c r="A1552" s="3" t="s">
        <v>3636</v>
      </c>
      <c r="B1552" s="3" t="s">
        <v>7</v>
      </c>
      <c r="C1552" s="3">
        <v>6.3</v>
      </c>
    </row>
    <row r="1553" spans="1:3" x14ac:dyDescent="0.3">
      <c r="A1553" s="4" t="s">
        <v>3638</v>
      </c>
      <c r="B1553" s="4" t="s">
        <v>7</v>
      </c>
      <c r="C1553" s="4">
        <v>8.1</v>
      </c>
    </row>
    <row r="1554" spans="1:3" x14ac:dyDescent="0.3">
      <c r="A1554" s="3" t="s">
        <v>3640</v>
      </c>
      <c r="B1554" s="3" t="s">
        <v>7</v>
      </c>
      <c r="C1554" s="3">
        <v>6.9</v>
      </c>
    </row>
    <row r="1555" spans="1:3" x14ac:dyDescent="0.3">
      <c r="A1555" s="4" t="s">
        <v>3643</v>
      </c>
      <c r="B1555" s="4" t="s">
        <v>7</v>
      </c>
      <c r="C1555" s="4">
        <v>6.3</v>
      </c>
    </row>
    <row r="1556" spans="1:3" x14ac:dyDescent="0.3">
      <c r="A1556" s="3" t="s">
        <v>3645</v>
      </c>
      <c r="B1556" s="3" t="s">
        <v>7</v>
      </c>
      <c r="C1556" s="3">
        <v>7.3</v>
      </c>
    </row>
    <row r="1557" spans="1:3" x14ac:dyDescent="0.3">
      <c r="A1557" s="4" t="s">
        <v>3647</v>
      </c>
      <c r="B1557" s="4" t="s">
        <v>7</v>
      </c>
      <c r="C1557" s="4">
        <v>5.5</v>
      </c>
    </row>
    <row r="1558" spans="1:3" x14ac:dyDescent="0.3">
      <c r="A1558" s="3" t="s">
        <v>3649</v>
      </c>
      <c r="B1558" s="3" t="s">
        <v>7</v>
      </c>
      <c r="C1558" s="3">
        <v>6.1</v>
      </c>
    </row>
    <row r="1559" spans="1:3" x14ac:dyDescent="0.3">
      <c r="A1559" s="4" t="s">
        <v>3651</v>
      </c>
      <c r="B1559" s="4" t="s">
        <v>7</v>
      </c>
      <c r="C1559" s="4">
        <v>6.9</v>
      </c>
    </row>
    <row r="1560" spans="1:3" x14ac:dyDescent="0.3">
      <c r="A1560" s="3" t="s">
        <v>3653</v>
      </c>
      <c r="B1560" s="3" t="s">
        <v>7</v>
      </c>
      <c r="C1560" s="3">
        <v>7.2</v>
      </c>
    </row>
    <row r="1561" spans="1:3" x14ac:dyDescent="0.3">
      <c r="A1561" s="4" t="s">
        <v>3655</v>
      </c>
      <c r="B1561" s="4" t="s">
        <v>7</v>
      </c>
      <c r="C1561" s="4">
        <v>6.4</v>
      </c>
    </row>
    <row r="1562" spans="1:3" x14ac:dyDescent="0.3">
      <c r="A1562" s="3" t="s">
        <v>3657</v>
      </c>
      <c r="B1562" s="3" t="s">
        <v>7</v>
      </c>
      <c r="C1562" s="3">
        <v>6.4</v>
      </c>
    </row>
    <row r="1563" spans="1:3" x14ac:dyDescent="0.3">
      <c r="A1563" s="4" t="s">
        <v>3659</v>
      </c>
      <c r="B1563" s="4" t="s">
        <v>7</v>
      </c>
      <c r="C1563" s="4">
        <v>8.3000000000000007</v>
      </c>
    </row>
    <row r="1564" spans="1:3" x14ac:dyDescent="0.3">
      <c r="A1564" s="3" t="s">
        <v>3661</v>
      </c>
      <c r="B1564" s="3" t="s">
        <v>7</v>
      </c>
      <c r="C1564" s="3">
        <v>7.2</v>
      </c>
    </row>
    <row r="1565" spans="1:3" x14ac:dyDescent="0.3">
      <c r="A1565" s="4" t="s">
        <v>3663</v>
      </c>
      <c r="B1565" s="4" t="s">
        <v>7</v>
      </c>
      <c r="C1565" s="4">
        <v>6.8</v>
      </c>
    </row>
    <row r="1566" spans="1:3" x14ac:dyDescent="0.3">
      <c r="A1566" s="3" t="s">
        <v>3665</v>
      </c>
      <c r="B1566" s="3" t="s">
        <v>7</v>
      </c>
      <c r="C1566" s="3">
        <v>6.5</v>
      </c>
    </row>
    <row r="1567" spans="1:3" x14ac:dyDescent="0.3">
      <c r="A1567" s="4" t="s">
        <v>3667</v>
      </c>
      <c r="B1567" s="4" t="s">
        <v>7</v>
      </c>
      <c r="C1567" s="4">
        <v>7.8</v>
      </c>
    </row>
    <row r="1568" spans="1:3" x14ac:dyDescent="0.3">
      <c r="A1568" s="3" t="s">
        <v>3670</v>
      </c>
      <c r="B1568" s="3" t="s">
        <v>7</v>
      </c>
      <c r="C1568" s="3">
        <v>7.6</v>
      </c>
    </row>
    <row r="1569" spans="1:3" x14ac:dyDescent="0.3">
      <c r="A1569" s="4" t="s">
        <v>3674</v>
      </c>
      <c r="B1569" s="4" t="s">
        <v>7</v>
      </c>
      <c r="C1569" s="4">
        <v>7.2</v>
      </c>
    </row>
    <row r="1570" spans="1:3" x14ac:dyDescent="0.3">
      <c r="A1570" s="3" t="s">
        <v>3676</v>
      </c>
      <c r="B1570" s="3" t="s">
        <v>7</v>
      </c>
      <c r="C1570" s="3">
        <v>6.7</v>
      </c>
    </row>
    <row r="1571" spans="1:3" x14ac:dyDescent="0.3">
      <c r="A1571" s="4" t="s">
        <v>3678</v>
      </c>
      <c r="B1571" s="4" t="s">
        <v>7</v>
      </c>
      <c r="C1571" s="4">
        <v>6.8</v>
      </c>
    </row>
    <row r="1572" spans="1:3" x14ac:dyDescent="0.3">
      <c r="A1572" s="3" t="s">
        <v>3680</v>
      </c>
      <c r="B1572" s="3" t="s">
        <v>7</v>
      </c>
      <c r="C1572" s="3">
        <v>6.3</v>
      </c>
    </row>
    <row r="1573" spans="1:3" x14ac:dyDescent="0.3">
      <c r="A1573" s="4" t="s">
        <v>3682</v>
      </c>
      <c r="B1573" s="4" t="s">
        <v>7</v>
      </c>
      <c r="C1573" s="4">
        <v>6.2</v>
      </c>
    </row>
    <row r="1574" spans="1:3" x14ac:dyDescent="0.3">
      <c r="A1574" s="3" t="s">
        <v>3684</v>
      </c>
      <c r="B1574" s="3" t="s">
        <v>7</v>
      </c>
      <c r="C1574" s="3">
        <v>6.2</v>
      </c>
    </row>
    <row r="1575" spans="1:3" x14ac:dyDescent="0.3">
      <c r="A1575" s="4" t="s">
        <v>3686</v>
      </c>
      <c r="B1575" s="4" t="s">
        <v>7</v>
      </c>
      <c r="C1575" s="4">
        <v>8.6</v>
      </c>
    </row>
    <row r="1576" spans="1:3" x14ac:dyDescent="0.3">
      <c r="A1576" s="3" t="s">
        <v>3688</v>
      </c>
      <c r="B1576" s="3" t="s">
        <v>7</v>
      </c>
      <c r="C1576" s="3">
        <v>8</v>
      </c>
    </row>
    <row r="1577" spans="1:3" x14ac:dyDescent="0.3">
      <c r="A1577" s="4" t="s">
        <v>3690</v>
      </c>
      <c r="B1577" s="4" t="s">
        <v>792</v>
      </c>
      <c r="C1577" s="4">
        <v>7</v>
      </c>
    </row>
    <row r="1578" spans="1:3" x14ac:dyDescent="0.3">
      <c r="A1578" s="3" t="s">
        <v>3692</v>
      </c>
      <c r="B1578" s="3" t="s">
        <v>7</v>
      </c>
      <c r="C1578" s="3">
        <v>8</v>
      </c>
    </row>
    <row r="1579" spans="1:3" x14ac:dyDescent="0.3">
      <c r="A1579" s="4" t="s">
        <v>3695</v>
      </c>
      <c r="B1579" s="4" t="s">
        <v>7</v>
      </c>
      <c r="C1579" s="4">
        <v>8.1</v>
      </c>
    </row>
    <row r="1580" spans="1:3" x14ac:dyDescent="0.3">
      <c r="A1580" s="3" t="s">
        <v>3697</v>
      </c>
      <c r="B1580" s="3" t="s">
        <v>792</v>
      </c>
      <c r="C1580" s="3">
        <v>6.7</v>
      </c>
    </row>
    <row r="1581" spans="1:3" x14ac:dyDescent="0.3">
      <c r="A1581" s="4" t="s">
        <v>3700</v>
      </c>
      <c r="B1581" s="4" t="s">
        <v>7</v>
      </c>
      <c r="C1581" s="4">
        <v>7.9</v>
      </c>
    </row>
    <row r="1582" spans="1:3" x14ac:dyDescent="0.3">
      <c r="A1582" s="3" t="s">
        <v>3704</v>
      </c>
      <c r="B1582" s="3" t="s">
        <v>7</v>
      </c>
      <c r="C1582" s="3">
        <v>6.1</v>
      </c>
    </row>
    <row r="1583" spans="1:3" x14ac:dyDescent="0.3">
      <c r="A1583" s="4" t="s">
        <v>3707</v>
      </c>
      <c r="B1583" s="4" t="s">
        <v>7</v>
      </c>
      <c r="C1583" s="4">
        <v>4.2</v>
      </c>
    </row>
    <row r="1584" spans="1:3" x14ac:dyDescent="0.3">
      <c r="A1584" s="3" t="s">
        <v>3709</v>
      </c>
      <c r="B1584" s="3" t="s">
        <v>7</v>
      </c>
      <c r="C1584" s="3">
        <v>6.1</v>
      </c>
    </row>
    <row r="1585" spans="1:3" x14ac:dyDescent="0.3">
      <c r="A1585" s="4" t="s">
        <v>3711</v>
      </c>
      <c r="B1585" s="4" t="s">
        <v>7</v>
      </c>
      <c r="C1585" s="4">
        <v>6.6</v>
      </c>
    </row>
    <row r="1586" spans="1:3" x14ac:dyDescent="0.3">
      <c r="A1586" s="3" t="s">
        <v>3713</v>
      </c>
      <c r="B1586" s="3" t="s">
        <v>7</v>
      </c>
      <c r="C1586" s="3">
        <v>7.5</v>
      </c>
    </row>
    <row r="1587" spans="1:3" x14ac:dyDescent="0.3">
      <c r="A1587" s="4" t="s">
        <v>3715</v>
      </c>
      <c r="B1587" s="4" t="s">
        <v>7</v>
      </c>
      <c r="C1587" s="4">
        <v>7.4</v>
      </c>
    </row>
    <row r="1588" spans="1:3" x14ac:dyDescent="0.3">
      <c r="A1588" s="3" t="s">
        <v>3717</v>
      </c>
      <c r="B1588" s="3" t="s">
        <v>7</v>
      </c>
      <c r="C1588" s="3">
        <v>7.2</v>
      </c>
    </row>
    <row r="1589" spans="1:3" x14ac:dyDescent="0.3">
      <c r="A1589" s="4" t="s">
        <v>3719</v>
      </c>
      <c r="B1589" s="4" t="s">
        <v>7</v>
      </c>
      <c r="C1589" s="4">
        <v>6.9</v>
      </c>
    </row>
    <row r="1590" spans="1:3" x14ac:dyDescent="0.3">
      <c r="A1590" s="3" t="s">
        <v>3721</v>
      </c>
      <c r="B1590" s="3" t="s">
        <v>7</v>
      </c>
      <c r="C1590" s="3">
        <v>7.4</v>
      </c>
    </row>
    <row r="1591" spans="1:3" x14ac:dyDescent="0.3">
      <c r="A1591" s="4" t="s">
        <v>3723</v>
      </c>
      <c r="B1591" s="4" t="s">
        <v>7</v>
      </c>
      <c r="C1591" s="4">
        <v>5.4</v>
      </c>
    </row>
    <row r="1592" spans="1:3" x14ac:dyDescent="0.3">
      <c r="A1592" s="3" t="s">
        <v>3726</v>
      </c>
      <c r="B1592" s="3" t="s">
        <v>7</v>
      </c>
      <c r="C1592" s="3">
        <v>6.8</v>
      </c>
    </row>
    <row r="1593" spans="1:3" x14ac:dyDescent="0.3">
      <c r="A1593" s="4" t="s">
        <v>3728</v>
      </c>
      <c r="B1593" s="4" t="s">
        <v>7</v>
      </c>
      <c r="C1593" s="4">
        <v>6.3</v>
      </c>
    </row>
    <row r="1594" spans="1:3" x14ac:dyDescent="0.3">
      <c r="A1594" s="3" t="s">
        <v>3731</v>
      </c>
      <c r="B1594" s="3" t="s">
        <v>7</v>
      </c>
      <c r="C1594" s="3">
        <v>7.2</v>
      </c>
    </row>
    <row r="1595" spans="1:3" x14ac:dyDescent="0.3">
      <c r="A1595" s="4" t="s">
        <v>3734</v>
      </c>
      <c r="B1595" s="4" t="s">
        <v>7</v>
      </c>
      <c r="C1595" s="4">
        <v>6.9</v>
      </c>
    </row>
    <row r="1596" spans="1:3" x14ac:dyDescent="0.3">
      <c r="A1596" s="3" t="s">
        <v>3736</v>
      </c>
      <c r="B1596" s="3" t="s">
        <v>7</v>
      </c>
      <c r="C1596" s="3">
        <v>6</v>
      </c>
    </row>
    <row r="1597" spans="1:3" x14ac:dyDescent="0.3">
      <c r="A1597" s="4" t="s">
        <v>3738</v>
      </c>
      <c r="B1597" s="4" t="s">
        <v>7</v>
      </c>
      <c r="C1597" s="4">
        <v>5.9</v>
      </c>
    </row>
    <row r="1598" spans="1:3" x14ac:dyDescent="0.3">
      <c r="A1598" s="3" t="s">
        <v>3740</v>
      </c>
      <c r="B1598" s="3" t="s">
        <v>7</v>
      </c>
      <c r="C1598" s="3">
        <v>5.4</v>
      </c>
    </row>
    <row r="1599" spans="1:3" x14ac:dyDescent="0.3">
      <c r="A1599" s="4" t="s">
        <v>3742</v>
      </c>
      <c r="B1599" s="4" t="s">
        <v>7</v>
      </c>
      <c r="C1599" s="4">
        <v>5.9</v>
      </c>
    </row>
    <row r="1600" spans="1:3" x14ac:dyDescent="0.3">
      <c r="A1600" s="3" t="s">
        <v>3744</v>
      </c>
      <c r="B1600" s="3" t="s">
        <v>7</v>
      </c>
      <c r="C1600" s="3">
        <v>6.1</v>
      </c>
    </row>
    <row r="1601" spans="1:3" x14ac:dyDescent="0.3">
      <c r="A1601" s="4" t="s">
        <v>3746</v>
      </c>
      <c r="B1601" s="4" t="s">
        <v>7</v>
      </c>
      <c r="C1601" s="4">
        <v>7.7</v>
      </c>
    </row>
    <row r="1602" spans="1:3" x14ac:dyDescent="0.3">
      <c r="A1602" s="3" t="s">
        <v>3748</v>
      </c>
      <c r="B1602" s="3" t="s">
        <v>7</v>
      </c>
      <c r="C1602" s="3">
        <v>5.8</v>
      </c>
    </row>
    <row r="1603" spans="1:3" x14ac:dyDescent="0.3">
      <c r="A1603" s="4" t="s">
        <v>3750</v>
      </c>
      <c r="B1603" s="4" t="s">
        <v>7</v>
      </c>
      <c r="C1603" s="4">
        <v>7.6</v>
      </c>
    </row>
    <row r="1604" spans="1:3" x14ac:dyDescent="0.3">
      <c r="A1604" s="3" t="s">
        <v>3752</v>
      </c>
      <c r="B1604" s="3" t="s">
        <v>7</v>
      </c>
      <c r="C1604" s="3">
        <v>6.1</v>
      </c>
    </row>
    <row r="1605" spans="1:3" x14ac:dyDescent="0.3">
      <c r="A1605" s="4" t="s">
        <v>3754</v>
      </c>
      <c r="B1605" s="4" t="s">
        <v>7</v>
      </c>
      <c r="C1605" s="4">
        <v>5.4</v>
      </c>
    </row>
    <row r="1606" spans="1:3" x14ac:dyDescent="0.3">
      <c r="A1606" s="3" t="s">
        <v>3756</v>
      </c>
      <c r="B1606" s="3" t="s">
        <v>7</v>
      </c>
      <c r="C1606" s="3">
        <v>5.0999999999999996</v>
      </c>
    </row>
    <row r="1607" spans="1:3" x14ac:dyDescent="0.3">
      <c r="A1607" s="4" t="s">
        <v>3758</v>
      </c>
      <c r="B1607" s="4" t="s">
        <v>7</v>
      </c>
      <c r="C1607" s="4">
        <v>6.4</v>
      </c>
    </row>
    <row r="1608" spans="1:3" x14ac:dyDescent="0.3">
      <c r="A1608" s="3" t="s">
        <v>3760</v>
      </c>
      <c r="B1608" s="3" t="s">
        <v>7</v>
      </c>
      <c r="C1608" s="3">
        <v>6.3</v>
      </c>
    </row>
    <row r="1609" spans="1:3" x14ac:dyDescent="0.3">
      <c r="A1609" s="4" t="s">
        <v>3762</v>
      </c>
      <c r="B1609" s="4" t="s">
        <v>7</v>
      </c>
      <c r="C1609" s="4">
        <v>7.5</v>
      </c>
    </row>
    <row r="1610" spans="1:3" x14ac:dyDescent="0.3">
      <c r="A1610" s="3" t="s">
        <v>3764</v>
      </c>
      <c r="B1610" s="3" t="s">
        <v>7</v>
      </c>
      <c r="C1610" s="3">
        <v>7.1</v>
      </c>
    </row>
    <row r="1611" spans="1:3" x14ac:dyDescent="0.3">
      <c r="A1611" s="4" t="s">
        <v>3766</v>
      </c>
      <c r="B1611" s="4" t="s">
        <v>7</v>
      </c>
      <c r="C1611" s="4">
        <v>5.2</v>
      </c>
    </row>
    <row r="1612" spans="1:3" x14ac:dyDescent="0.3">
      <c r="A1612" s="3" t="s">
        <v>3769</v>
      </c>
      <c r="B1612" s="3" t="s">
        <v>7</v>
      </c>
      <c r="C1612" s="3">
        <v>7.8</v>
      </c>
    </row>
    <row r="1613" spans="1:3" x14ac:dyDescent="0.3">
      <c r="A1613" s="4" t="s">
        <v>3771</v>
      </c>
      <c r="B1613" s="4" t="s">
        <v>7</v>
      </c>
      <c r="C1613" s="4">
        <v>6.5</v>
      </c>
    </row>
    <row r="1614" spans="1:3" x14ac:dyDescent="0.3">
      <c r="A1614" s="3" t="s">
        <v>3773</v>
      </c>
      <c r="B1614" s="3" t="s">
        <v>7</v>
      </c>
      <c r="C1614" s="3">
        <v>6.6</v>
      </c>
    </row>
    <row r="1615" spans="1:3" x14ac:dyDescent="0.3">
      <c r="A1615" s="4" t="s">
        <v>3775</v>
      </c>
      <c r="B1615" s="4" t="s">
        <v>7</v>
      </c>
      <c r="C1615" s="4">
        <v>5.0999999999999996</v>
      </c>
    </row>
    <row r="1616" spans="1:3" x14ac:dyDescent="0.3">
      <c r="A1616" s="3" t="s">
        <v>3777</v>
      </c>
      <c r="B1616" s="3" t="s">
        <v>7</v>
      </c>
      <c r="C1616" s="3">
        <v>7.4</v>
      </c>
    </row>
    <row r="1617" spans="1:3" x14ac:dyDescent="0.3">
      <c r="A1617" s="4" t="s">
        <v>3780</v>
      </c>
      <c r="B1617" s="4" t="s">
        <v>7</v>
      </c>
      <c r="C1617" s="4">
        <v>7.2</v>
      </c>
    </row>
    <row r="1618" spans="1:3" x14ac:dyDescent="0.3">
      <c r="A1618" s="3" t="s">
        <v>3782</v>
      </c>
      <c r="B1618" s="3" t="s">
        <v>7</v>
      </c>
      <c r="C1618" s="3">
        <v>7.6</v>
      </c>
    </row>
    <row r="1619" spans="1:3" x14ac:dyDescent="0.3">
      <c r="A1619" s="4" t="s">
        <v>3784</v>
      </c>
      <c r="B1619" s="4" t="s">
        <v>7</v>
      </c>
      <c r="C1619" s="4">
        <v>7.5</v>
      </c>
    </row>
    <row r="1620" spans="1:3" x14ac:dyDescent="0.3">
      <c r="A1620" s="3" t="s">
        <v>3786</v>
      </c>
      <c r="B1620" s="3" t="s">
        <v>7</v>
      </c>
      <c r="C1620" s="3">
        <v>6.6</v>
      </c>
    </row>
    <row r="1621" spans="1:3" x14ac:dyDescent="0.3">
      <c r="A1621" s="4" t="s">
        <v>3789</v>
      </c>
      <c r="B1621" s="4" t="s">
        <v>7</v>
      </c>
      <c r="C1621" s="4">
        <v>7.2</v>
      </c>
    </row>
    <row r="1622" spans="1:3" x14ac:dyDescent="0.3">
      <c r="A1622" s="3" t="s">
        <v>3791</v>
      </c>
      <c r="B1622" s="3" t="s">
        <v>7</v>
      </c>
      <c r="C1622" s="3">
        <v>7.6</v>
      </c>
    </row>
    <row r="1623" spans="1:3" x14ac:dyDescent="0.3">
      <c r="A1623" s="4" t="s">
        <v>3793</v>
      </c>
      <c r="B1623" s="4" t="s">
        <v>7</v>
      </c>
      <c r="C1623" s="4">
        <v>6.2</v>
      </c>
    </row>
    <row r="1624" spans="1:3" x14ac:dyDescent="0.3">
      <c r="A1624" s="3" t="s">
        <v>3795</v>
      </c>
      <c r="B1624" s="3" t="s">
        <v>7</v>
      </c>
      <c r="C1624" s="3">
        <v>5.6</v>
      </c>
    </row>
    <row r="1625" spans="1:3" x14ac:dyDescent="0.3">
      <c r="A1625" s="4" t="s">
        <v>3797</v>
      </c>
      <c r="B1625" s="4" t="s">
        <v>7</v>
      </c>
      <c r="C1625" s="4">
        <v>7.6</v>
      </c>
    </row>
    <row r="1626" spans="1:3" x14ac:dyDescent="0.3">
      <c r="A1626" s="3" t="s">
        <v>3799</v>
      </c>
      <c r="B1626" s="3" t="s">
        <v>7</v>
      </c>
      <c r="C1626" s="3">
        <v>6.6</v>
      </c>
    </row>
    <row r="1627" spans="1:3" x14ac:dyDescent="0.3">
      <c r="A1627" s="4" t="s">
        <v>3801</v>
      </c>
      <c r="B1627" s="4" t="s">
        <v>7</v>
      </c>
      <c r="C1627" s="4">
        <v>7</v>
      </c>
    </row>
    <row r="1628" spans="1:3" x14ac:dyDescent="0.3">
      <c r="A1628" s="3" t="s">
        <v>3804</v>
      </c>
      <c r="B1628" s="3" t="s">
        <v>7</v>
      </c>
      <c r="C1628" s="3">
        <v>2.7</v>
      </c>
    </row>
    <row r="1629" spans="1:3" x14ac:dyDescent="0.3">
      <c r="A1629" s="4" t="s">
        <v>3806</v>
      </c>
      <c r="B1629" s="4" t="s">
        <v>7</v>
      </c>
      <c r="C1629" s="4">
        <v>7.6</v>
      </c>
    </row>
    <row r="1630" spans="1:3" x14ac:dyDescent="0.3">
      <c r="A1630" s="3" t="s">
        <v>3808</v>
      </c>
      <c r="B1630" s="3" t="s">
        <v>7</v>
      </c>
      <c r="C1630" s="3">
        <v>6.6</v>
      </c>
    </row>
    <row r="1631" spans="1:3" x14ac:dyDescent="0.3">
      <c r="A1631" s="4" t="s">
        <v>3810</v>
      </c>
      <c r="B1631" s="4" t="s">
        <v>7</v>
      </c>
      <c r="C1631" s="4">
        <v>6.9</v>
      </c>
    </row>
    <row r="1632" spans="1:3" x14ac:dyDescent="0.3">
      <c r="A1632" s="3" t="s">
        <v>3813</v>
      </c>
      <c r="B1632" s="3" t="s">
        <v>7</v>
      </c>
      <c r="C1632" s="3">
        <v>6.8</v>
      </c>
    </row>
    <row r="1633" spans="1:3" x14ac:dyDescent="0.3">
      <c r="A1633" s="4" t="s">
        <v>3815</v>
      </c>
      <c r="B1633" s="4" t="s">
        <v>7</v>
      </c>
      <c r="C1633" s="4">
        <v>3.7</v>
      </c>
    </row>
    <row r="1634" spans="1:3" x14ac:dyDescent="0.3">
      <c r="A1634" s="3" t="s">
        <v>3817</v>
      </c>
      <c r="B1634" s="3" t="s">
        <v>7</v>
      </c>
      <c r="C1634" s="3">
        <v>6.1</v>
      </c>
    </row>
    <row r="1635" spans="1:3" x14ac:dyDescent="0.3">
      <c r="A1635" s="4" t="s">
        <v>3819</v>
      </c>
      <c r="B1635" s="4" t="s">
        <v>7</v>
      </c>
      <c r="C1635" s="4">
        <v>5.9</v>
      </c>
    </row>
    <row r="1636" spans="1:3" x14ac:dyDescent="0.3">
      <c r="A1636" s="3" t="s">
        <v>3821</v>
      </c>
      <c r="B1636" s="3" t="s">
        <v>7</v>
      </c>
      <c r="C1636" s="3">
        <v>6.7</v>
      </c>
    </row>
    <row r="1637" spans="1:3" x14ac:dyDescent="0.3">
      <c r="A1637" s="4" t="s">
        <v>3823</v>
      </c>
      <c r="B1637" s="4" t="s">
        <v>7</v>
      </c>
      <c r="C1637" s="4">
        <v>6.9</v>
      </c>
    </row>
    <row r="1638" spans="1:3" x14ac:dyDescent="0.3">
      <c r="A1638" s="3" t="s">
        <v>3825</v>
      </c>
      <c r="B1638" s="3" t="s">
        <v>7</v>
      </c>
      <c r="C1638" s="3">
        <v>5.5</v>
      </c>
    </row>
    <row r="1639" spans="1:3" x14ac:dyDescent="0.3">
      <c r="A1639" s="4" t="s">
        <v>3827</v>
      </c>
      <c r="B1639" s="4" t="s">
        <v>7</v>
      </c>
      <c r="C1639" s="4">
        <v>7.1</v>
      </c>
    </row>
    <row r="1640" spans="1:3" x14ac:dyDescent="0.3">
      <c r="A1640" s="3" t="s">
        <v>3829</v>
      </c>
      <c r="B1640" s="3" t="s">
        <v>7</v>
      </c>
      <c r="C1640" s="3">
        <v>7.1</v>
      </c>
    </row>
    <row r="1641" spans="1:3" x14ac:dyDescent="0.3">
      <c r="A1641" s="4" t="s">
        <v>3831</v>
      </c>
      <c r="B1641" s="4" t="s">
        <v>7</v>
      </c>
      <c r="C1641" s="4">
        <v>5.9</v>
      </c>
    </row>
    <row r="1642" spans="1:3" x14ac:dyDescent="0.3">
      <c r="A1642" s="3" t="s">
        <v>3833</v>
      </c>
      <c r="B1642" s="3" t="s">
        <v>7</v>
      </c>
      <c r="C1642" s="3">
        <v>7.3</v>
      </c>
    </row>
    <row r="1643" spans="1:3" x14ac:dyDescent="0.3">
      <c r="A1643" s="4" t="s">
        <v>3835</v>
      </c>
      <c r="B1643" s="4" t="s">
        <v>7</v>
      </c>
      <c r="C1643" s="4">
        <v>3.4</v>
      </c>
    </row>
    <row r="1644" spans="1:3" x14ac:dyDescent="0.3">
      <c r="A1644" s="3" t="s">
        <v>3837</v>
      </c>
      <c r="B1644" s="3" t="s">
        <v>7</v>
      </c>
      <c r="C1644" s="3">
        <v>6.8</v>
      </c>
    </row>
    <row r="1645" spans="1:3" x14ac:dyDescent="0.3">
      <c r="A1645" s="4" t="s">
        <v>3840</v>
      </c>
      <c r="B1645" s="4" t="s">
        <v>7</v>
      </c>
      <c r="C1645" s="4">
        <v>6.9</v>
      </c>
    </row>
    <row r="1646" spans="1:3" x14ac:dyDescent="0.3">
      <c r="A1646" s="3" t="s">
        <v>3843</v>
      </c>
      <c r="B1646" s="3" t="s">
        <v>7</v>
      </c>
      <c r="C1646" s="3">
        <v>7</v>
      </c>
    </row>
    <row r="1647" spans="1:3" x14ac:dyDescent="0.3">
      <c r="A1647" s="4" t="s">
        <v>3845</v>
      </c>
      <c r="B1647" s="4" t="s">
        <v>7</v>
      </c>
      <c r="C1647" s="4">
        <v>5.5</v>
      </c>
    </row>
    <row r="1648" spans="1:3" x14ac:dyDescent="0.3">
      <c r="A1648" s="3" t="s">
        <v>3847</v>
      </c>
      <c r="B1648" s="3" t="s">
        <v>7</v>
      </c>
      <c r="C1648" s="3">
        <v>5.0999999999999996</v>
      </c>
    </row>
    <row r="1649" spans="1:3" x14ac:dyDescent="0.3">
      <c r="A1649" s="4" t="s">
        <v>3849</v>
      </c>
      <c r="B1649" s="4" t="s">
        <v>7</v>
      </c>
      <c r="C1649" s="4">
        <v>6.2</v>
      </c>
    </row>
    <row r="1650" spans="1:3" x14ac:dyDescent="0.3">
      <c r="A1650" s="3" t="s">
        <v>3851</v>
      </c>
      <c r="B1650" s="3" t="s">
        <v>7</v>
      </c>
      <c r="C1650" s="3">
        <v>5.9</v>
      </c>
    </row>
    <row r="1651" spans="1:3" x14ac:dyDescent="0.3">
      <c r="A1651" s="4" t="s">
        <v>3853</v>
      </c>
      <c r="B1651" s="4" t="s">
        <v>7</v>
      </c>
      <c r="C1651" s="4">
        <v>5.2</v>
      </c>
    </row>
    <row r="1652" spans="1:3" x14ac:dyDescent="0.3">
      <c r="A1652" s="3" t="s">
        <v>3857</v>
      </c>
      <c r="B1652" s="3" t="s">
        <v>7</v>
      </c>
      <c r="C1652" s="3">
        <v>6.2</v>
      </c>
    </row>
    <row r="1653" spans="1:3" x14ac:dyDescent="0.3">
      <c r="A1653" s="4" t="s">
        <v>3859</v>
      </c>
      <c r="B1653" s="4" t="s">
        <v>7</v>
      </c>
      <c r="C1653" s="4">
        <v>5.5</v>
      </c>
    </row>
    <row r="1654" spans="1:3" x14ac:dyDescent="0.3">
      <c r="A1654" s="3" t="s">
        <v>3862</v>
      </c>
      <c r="B1654" s="3" t="s">
        <v>7</v>
      </c>
      <c r="C1654" s="3">
        <v>7.4</v>
      </c>
    </row>
    <row r="1655" spans="1:3" x14ac:dyDescent="0.3">
      <c r="A1655" s="4" t="s">
        <v>3864</v>
      </c>
      <c r="B1655" s="4" t="s">
        <v>7</v>
      </c>
      <c r="C1655" s="4">
        <v>4.4000000000000004</v>
      </c>
    </row>
    <row r="1656" spans="1:3" x14ac:dyDescent="0.3">
      <c r="A1656" s="3" t="s">
        <v>3866</v>
      </c>
      <c r="B1656" s="3" t="s">
        <v>7</v>
      </c>
      <c r="C1656" s="3">
        <v>6.3</v>
      </c>
    </row>
    <row r="1657" spans="1:3" x14ac:dyDescent="0.3">
      <c r="A1657" s="4" t="s">
        <v>3868</v>
      </c>
      <c r="B1657" s="4" t="s">
        <v>7</v>
      </c>
      <c r="C1657" s="4">
        <v>6.1</v>
      </c>
    </row>
    <row r="1658" spans="1:3" x14ac:dyDescent="0.3">
      <c r="A1658" s="3" t="s">
        <v>3870</v>
      </c>
      <c r="B1658" s="3" t="s">
        <v>7</v>
      </c>
      <c r="C1658" s="3">
        <v>5.3</v>
      </c>
    </row>
    <row r="1659" spans="1:3" x14ac:dyDescent="0.3">
      <c r="A1659" s="4" t="s">
        <v>3872</v>
      </c>
      <c r="B1659" s="4" t="s">
        <v>7</v>
      </c>
      <c r="C1659" s="4">
        <v>5.4</v>
      </c>
    </row>
    <row r="1660" spans="1:3" x14ac:dyDescent="0.3">
      <c r="A1660" s="3" t="s">
        <v>3874</v>
      </c>
      <c r="B1660" s="3" t="s">
        <v>7</v>
      </c>
      <c r="C1660" s="3">
        <v>6.7</v>
      </c>
    </row>
    <row r="1661" spans="1:3" x14ac:dyDescent="0.3">
      <c r="A1661" s="4" t="s">
        <v>3877</v>
      </c>
      <c r="B1661" s="4" t="s">
        <v>7</v>
      </c>
      <c r="C1661" s="4">
        <v>5.9</v>
      </c>
    </row>
    <row r="1662" spans="1:3" x14ac:dyDescent="0.3">
      <c r="A1662" s="3" t="s">
        <v>3879</v>
      </c>
      <c r="B1662" s="3" t="s">
        <v>7</v>
      </c>
      <c r="C1662" s="3">
        <v>7.3</v>
      </c>
    </row>
    <row r="1663" spans="1:3" x14ac:dyDescent="0.3">
      <c r="A1663" s="4" t="s">
        <v>3881</v>
      </c>
      <c r="B1663" s="4" t="s">
        <v>7</v>
      </c>
      <c r="C1663" s="4">
        <v>5.5</v>
      </c>
    </row>
    <row r="1664" spans="1:3" x14ac:dyDescent="0.3">
      <c r="A1664" s="3" t="s">
        <v>3883</v>
      </c>
      <c r="B1664" s="3" t="s">
        <v>7</v>
      </c>
      <c r="C1664" s="3">
        <v>5.8</v>
      </c>
    </row>
    <row r="1665" spans="1:3" x14ac:dyDescent="0.3">
      <c r="A1665" s="4" t="s">
        <v>3885</v>
      </c>
      <c r="B1665" s="4" t="s">
        <v>7</v>
      </c>
      <c r="C1665" s="4">
        <v>4.5999999999999996</v>
      </c>
    </row>
    <row r="1666" spans="1:3" x14ac:dyDescent="0.3">
      <c r="A1666" s="3" t="s">
        <v>3888</v>
      </c>
      <c r="B1666" s="3" t="s">
        <v>7</v>
      </c>
      <c r="C1666" s="3">
        <v>6.7</v>
      </c>
    </row>
    <row r="1667" spans="1:3" x14ac:dyDescent="0.3">
      <c r="A1667" s="4" t="s">
        <v>3890</v>
      </c>
      <c r="B1667" s="4" t="s">
        <v>7</v>
      </c>
      <c r="C1667" s="4">
        <v>5.0999999999999996</v>
      </c>
    </row>
    <row r="1668" spans="1:3" x14ac:dyDescent="0.3">
      <c r="A1668" s="3" t="s">
        <v>3892</v>
      </c>
      <c r="B1668" s="3" t="s">
        <v>7</v>
      </c>
      <c r="C1668" s="3">
        <v>5.6</v>
      </c>
    </row>
    <row r="1669" spans="1:3" x14ac:dyDescent="0.3">
      <c r="A1669" s="4" t="s">
        <v>3894</v>
      </c>
      <c r="B1669" s="4" t="s">
        <v>7</v>
      </c>
      <c r="C1669" s="4">
        <v>7</v>
      </c>
    </row>
    <row r="1670" spans="1:3" x14ac:dyDescent="0.3">
      <c r="A1670" s="3" t="s">
        <v>3896</v>
      </c>
      <c r="B1670" s="3" t="s">
        <v>7</v>
      </c>
      <c r="C1670" s="3">
        <v>6.4</v>
      </c>
    </row>
    <row r="1671" spans="1:3" x14ac:dyDescent="0.3">
      <c r="A1671" s="4" t="s">
        <v>3898</v>
      </c>
      <c r="B1671" s="4" t="s">
        <v>7</v>
      </c>
      <c r="C1671" s="4">
        <v>6.7</v>
      </c>
    </row>
    <row r="1672" spans="1:3" x14ac:dyDescent="0.3">
      <c r="A1672" s="3" t="s">
        <v>3900</v>
      </c>
      <c r="B1672" s="3" t="s">
        <v>7</v>
      </c>
      <c r="C1672" s="3">
        <v>4.0999999999999996</v>
      </c>
    </row>
    <row r="1673" spans="1:3" x14ac:dyDescent="0.3">
      <c r="A1673" s="4" t="s">
        <v>3902</v>
      </c>
      <c r="B1673" s="4" t="s">
        <v>7</v>
      </c>
      <c r="C1673" s="4">
        <v>5.5</v>
      </c>
    </row>
    <row r="1674" spans="1:3" x14ac:dyDescent="0.3">
      <c r="A1674" s="3" t="s">
        <v>3904</v>
      </c>
      <c r="B1674" s="3" t="s">
        <v>7</v>
      </c>
      <c r="C1674" s="3">
        <v>2.7</v>
      </c>
    </row>
    <row r="1675" spans="1:3" x14ac:dyDescent="0.3">
      <c r="A1675" s="4" t="s">
        <v>3906</v>
      </c>
      <c r="B1675" s="4" t="s">
        <v>7</v>
      </c>
      <c r="C1675" s="4">
        <v>6.4</v>
      </c>
    </row>
    <row r="1676" spans="1:3" x14ac:dyDescent="0.3">
      <c r="A1676" s="3" t="s">
        <v>3908</v>
      </c>
      <c r="B1676" s="3" t="s">
        <v>7</v>
      </c>
      <c r="C1676" s="3">
        <v>4.8</v>
      </c>
    </row>
    <row r="1677" spans="1:3" x14ac:dyDescent="0.3">
      <c r="A1677" s="4" t="s">
        <v>3910</v>
      </c>
      <c r="B1677" s="4" t="s">
        <v>7</v>
      </c>
      <c r="C1677" s="4">
        <v>6.1</v>
      </c>
    </row>
    <row r="1678" spans="1:3" x14ac:dyDescent="0.3">
      <c r="A1678" s="3" t="s">
        <v>3913</v>
      </c>
      <c r="B1678" s="3" t="s">
        <v>7</v>
      </c>
      <c r="C1678" s="3">
        <v>4.8</v>
      </c>
    </row>
    <row r="1679" spans="1:3" x14ac:dyDescent="0.3">
      <c r="A1679" s="4" t="s">
        <v>3915</v>
      </c>
      <c r="B1679" s="4" t="s">
        <v>7</v>
      </c>
      <c r="C1679" s="4">
        <v>7</v>
      </c>
    </row>
    <row r="1680" spans="1:3" x14ac:dyDescent="0.3">
      <c r="A1680" s="3" t="s">
        <v>3917</v>
      </c>
      <c r="B1680" s="3" t="s">
        <v>7</v>
      </c>
      <c r="C1680" s="3">
        <v>6.8</v>
      </c>
    </row>
    <row r="1681" spans="1:3" x14ac:dyDescent="0.3">
      <c r="A1681" s="4" t="s">
        <v>3919</v>
      </c>
      <c r="B1681" s="4" t="s">
        <v>7</v>
      </c>
      <c r="C1681" s="4">
        <v>7.3</v>
      </c>
    </row>
    <row r="1682" spans="1:3" x14ac:dyDescent="0.3">
      <c r="A1682" s="3" t="s">
        <v>3922</v>
      </c>
      <c r="B1682" s="3" t="s">
        <v>7</v>
      </c>
      <c r="C1682" s="3">
        <v>5.6</v>
      </c>
    </row>
    <row r="1683" spans="1:3" x14ac:dyDescent="0.3">
      <c r="A1683" s="4" t="s">
        <v>3924</v>
      </c>
      <c r="B1683" s="4" t="s">
        <v>7</v>
      </c>
      <c r="C1683" s="4">
        <v>6.1</v>
      </c>
    </row>
    <row r="1684" spans="1:3" x14ac:dyDescent="0.3">
      <c r="A1684" s="3" t="s">
        <v>3927</v>
      </c>
      <c r="B1684" s="3" t="s">
        <v>7</v>
      </c>
      <c r="C1684" s="3">
        <v>7.9</v>
      </c>
    </row>
    <row r="1685" spans="1:3" x14ac:dyDescent="0.3">
      <c r="A1685" s="4" t="s">
        <v>3929</v>
      </c>
      <c r="B1685" s="4" t="s">
        <v>7</v>
      </c>
      <c r="C1685" s="4">
        <v>8.4</v>
      </c>
    </row>
    <row r="1686" spans="1:3" x14ac:dyDescent="0.3">
      <c r="A1686" s="3" t="s">
        <v>3931</v>
      </c>
      <c r="B1686" s="3" t="s">
        <v>7</v>
      </c>
      <c r="C1686" s="3">
        <v>6.5</v>
      </c>
    </row>
    <row r="1687" spans="1:3" x14ac:dyDescent="0.3">
      <c r="A1687" s="4" t="s">
        <v>3933</v>
      </c>
      <c r="B1687" s="4" t="s">
        <v>7</v>
      </c>
      <c r="C1687" s="4">
        <v>7.1</v>
      </c>
    </row>
    <row r="1688" spans="1:3" x14ac:dyDescent="0.3">
      <c r="A1688" s="3" t="s">
        <v>3935</v>
      </c>
      <c r="B1688" s="3" t="s">
        <v>7</v>
      </c>
      <c r="C1688" s="3">
        <v>6.6</v>
      </c>
    </row>
    <row r="1689" spans="1:3" x14ac:dyDescent="0.3">
      <c r="A1689" s="4" t="s">
        <v>3938</v>
      </c>
      <c r="B1689" s="4" t="s">
        <v>7</v>
      </c>
      <c r="C1689" s="4">
        <v>4</v>
      </c>
    </row>
    <row r="1690" spans="1:3" x14ac:dyDescent="0.3">
      <c r="A1690" s="3" t="s">
        <v>3940</v>
      </c>
      <c r="B1690" s="3" t="s">
        <v>7</v>
      </c>
      <c r="C1690" s="3">
        <v>7</v>
      </c>
    </row>
    <row r="1691" spans="1:3" x14ac:dyDescent="0.3">
      <c r="A1691" s="4" t="s">
        <v>3943</v>
      </c>
      <c r="B1691" s="4" t="s">
        <v>7</v>
      </c>
      <c r="C1691" s="4">
        <v>5.6</v>
      </c>
    </row>
    <row r="1692" spans="1:3" x14ac:dyDescent="0.3">
      <c r="A1692" s="3" t="s">
        <v>3946</v>
      </c>
      <c r="B1692" s="3" t="s">
        <v>7</v>
      </c>
      <c r="C1692" s="3">
        <v>4.8</v>
      </c>
    </row>
    <row r="1693" spans="1:3" x14ac:dyDescent="0.3">
      <c r="A1693" s="4" t="s">
        <v>3948</v>
      </c>
      <c r="B1693" s="4" t="s">
        <v>7</v>
      </c>
      <c r="C1693" s="4">
        <v>7.5</v>
      </c>
    </row>
    <row r="1694" spans="1:3" x14ac:dyDescent="0.3">
      <c r="A1694" s="3" t="s">
        <v>3950</v>
      </c>
      <c r="B1694" s="3" t="s">
        <v>7</v>
      </c>
      <c r="C1694" s="3">
        <v>6</v>
      </c>
    </row>
    <row r="1695" spans="1:3" x14ac:dyDescent="0.3">
      <c r="A1695" s="4" t="s">
        <v>3952</v>
      </c>
      <c r="B1695" s="4" t="s">
        <v>3954</v>
      </c>
      <c r="C1695" s="4">
        <v>7.2</v>
      </c>
    </row>
    <row r="1696" spans="1:3" x14ac:dyDescent="0.3">
      <c r="A1696" s="3" t="s">
        <v>3955</v>
      </c>
      <c r="B1696" s="3" t="s">
        <v>7</v>
      </c>
      <c r="C1696" s="3">
        <v>5.6</v>
      </c>
    </row>
    <row r="1697" spans="1:3" x14ac:dyDescent="0.3">
      <c r="A1697" s="4" t="s">
        <v>3957</v>
      </c>
      <c r="B1697" s="4" t="s">
        <v>7</v>
      </c>
      <c r="C1697" s="4">
        <v>6.8</v>
      </c>
    </row>
    <row r="1698" spans="1:3" x14ac:dyDescent="0.3">
      <c r="A1698" s="3" t="s">
        <v>3959</v>
      </c>
      <c r="B1698" s="3" t="s">
        <v>7</v>
      </c>
      <c r="C1698" s="3">
        <v>4.9000000000000004</v>
      </c>
    </row>
    <row r="1699" spans="1:3" x14ac:dyDescent="0.3">
      <c r="A1699" s="4" t="s">
        <v>3961</v>
      </c>
      <c r="B1699" s="4" t="s">
        <v>7</v>
      </c>
      <c r="C1699" s="4">
        <v>7.1</v>
      </c>
    </row>
    <row r="1700" spans="1:3" x14ac:dyDescent="0.3">
      <c r="A1700" s="3" t="s">
        <v>3963</v>
      </c>
      <c r="B1700" s="3" t="s">
        <v>7</v>
      </c>
      <c r="C1700" s="3">
        <v>2</v>
      </c>
    </row>
    <row r="1701" spans="1:3" x14ac:dyDescent="0.3">
      <c r="A1701" s="4" t="s">
        <v>3965</v>
      </c>
      <c r="B1701" s="4" t="s">
        <v>7</v>
      </c>
      <c r="C1701" s="4">
        <v>5.7</v>
      </c>
    </row>
    <row r="1702" spans="1:3" x14ac:dyDescent="0.3">
      <c r="A1702" s="3" t="s">
        <v>3968</v>
      </c>
      <c r="B1702" s="3" t="s">
        <v>7</v>
      </c>
      <c r="C1702" s="3">
        <v>4.0999999999999996</v>
      </c>
    </row>
    <row r="1703" spans="1:3" x14ac:dyDescent="0.3">
      <c r="A1703" s="4" t="s">
        <v>3970</v>
      </c>
      <c r="B1703" s="4" t="s">
        <v>7</v>
      </c>
      <c r="C1703" s="4">
        <v>6.7</v>
      </c>
    </row>
    <row r="1704" spans="1:3" x14ac:dyDescent="0.3">
      <c r="A1704" s="3" t="s">
        <v>3972</v>
      </c>
      <c r="B1704" s="3" t="s">
        <v>7</v>
      </c>
      <c r="C1704" s="3">
        <v>7.5</v>
      </c>
    </row>
    <row r="1705" spans="1:3" x14ac:dyDescent="0.3">
      <c r="A1705" s="4" t="s">
        <v>3974</v>
      </c>
      <c r="B1705" s="4" t="s">
        <v>7</v>
      </c>
      <c r="C1705" s="4">
        <v>6.5</v>
      </c>
    </row>
    <row r="1706" spans="1:3" x14ac:dyDescent="0.3">
      <c r="A1706" s="3" t="s">
        <v>3977</v>
      </c>
      <c r="B1706" s="3" t="s">
        <v>7</v>
      </c>
      <c r="C1706" s="3">
        <v>7.9</v>
      </c>
    </row>
    <row r="1707" spans="1:3" x14ac:dyDescent="0.3">
      <c r="A1707" s="4" t="s">
        <v>3980</v>
      </c>
      <c r="B1707" s="4" t="s">
        <v>7</v>
      </c>
      <c r="C1707" s="4">
        <v>6.4</v>
      </c>
    </row>
    <row r="1708" spans="1:3" x14ac:dyDescent="0.3">
      <c r="A1708" s="3" t="s">
        <v>3982</v>
      </c>
      <c r="B1708" s="3" t="s">
        <v>7</v>
      </c>
      <c r="C1708" s="3">
        <v>5.8</v>
      </c>
    </row>
    <row r="1709" spans="1:3" x14ac:dyDescent="0.3">
      <c r="A1709" s="4" t="s">
        <v>3984</v>
      </c>
      <c r="B1709" s="4" t="s">
        <v>7</v>
      </c>
      <c r="C1709" s="4">
        <v>7.7</v>
      </c>
    </row>
    <row r="1710" spans="1:3" x14ac:dyDescent="0.3">
      <c r="A1710" s="3" t="s">
        <v>3986</v>
      </c>
      <c r="B1710" s="3" t="s">
        <v>7</v>
      </c>
      <c r="C1710" s="3">
        <v>7.1</v>
      </c>
    </row>
    <row r="1711" spans="1:3" x14ac:dyDescent="0.3">
      <c r="A1711" s="4" t="s">
        <v>3988</v>
      </c>
      <c r="B1711" s="4" t="s">
        <v>7</v>
      </c>
      <c r="C1711" s="4">
        <v>5.3</v>
      </c>
    </row>
    <row r="1712" spans="1:3" x14ac:dyDescent="0.3">
      <c r="A1712" s="3" t="s">
        <v>3990</v>
      </c>
      <c r="B1712" s="3" t="s">
        <v>7</v>
      </c>
      <c r="C1712" s="3">
        <v>5.3</v>
      </c>
    </row>
    <row r="1713" spans="1:3" x14ac:dyDescent="0.3">
      <c r="A1713" s="4" t="s">
        <v>3992</v>
      </c>
      <c r="B1713" s="4" t="s">
        <v>7</v>
      </c>
      <c r="C1713" s="4">
        <v>7.5</v>
      </c>
    </row>
    <row r="1714" spans="1:3" x14ac:dyDescent="0.3">
      <c r="A1714" s="3" t="s">
        <v>3994</v>
      </c>
      <c r="B1714" s="3" t="s">
        <v>7</v>
      </c>
      <c r="C1714" s="3">
        <v>6.9</v>
      </c>
    </row>
    <row r="1715" spans="1:3" x14ac:dyDescent="0.3">
      <c r="A1715" s="4" t="s">
        <v>3996</v>
      </c>
      <c r="B1715" s="4" t="s">
        <v>7</v>
      </c>
      <c r="C1715" s="4">
        <v>4.9000000000000004</v>
      </c>
    </row>
    <row r="1716" spans="1:3" x14ac:dyDescent="0.3">
      <c r="A1716" s="3" t="s">
        <v>3998</v>
      </c>
      <c r="B1716" s="3" t="s">
        <v>7</v>
      </c>
      <c r="C1716" s="3">
        <v>7.1</v>
      </c>
    </row>
    <row r="1717" spans="1:3" x14ac:dyDescent="0.3">
      <c r="A1717" s="4" t="s">
        <v>4000</v>
      </c>
      <c r="B1717" s="4" t="s">
        <v>7</v>
      </c>
      <c r="C1717" s="4">
        <v>8</v>
      </c>
    </row>
    <row r="1718" spans="1:3" x14ac:dyDescent="0.3">
      <c r="A1718" s="3" t="s">
        <v>4003</v>
      </c>
      <c r="B1718" s="3" t="s">
        <v>7</v>
      </c>
      <c r="C1718" s="3">
        <v>7.9</v>
      </c>
    </row>
    <row r="1719" spans="1:3" x14ac:dyDescent="0.3">
      <c r="A1719" s="4" t="s">
        <v>4005</v>
      </c>
      <c r="B1719" s="4" t="s">
        <v>7</v>
      </c>
      <c r="C1719" s="4">
        <v>7.6</v>
      </c>
    </row>
    <row r="1720" spans="1:3" x14ac:dyDescent="0.3">
      <c r="A1720" s="3" t="s">
        <v>4007</v>
      </c>
      <c r="B1720" s="3" t="s">
        <v>7</v>
      </c>
      <c r="C1720" s="3">
        <v>5.9</v>
      </c>
    </row>
    <row r="1721" spans="1:3" x14ac:dyDescent="0.3">
      <c r="A1721" s="4" t="s">
        <v>4009</v>
      </c>
      <c r="B1721" s="4" t="s">
        <v>7</v>
      </c>
      <c r="C1721" s="4">
        <v>6.3</v>
      </c>
    </row>
    <row r="1722" spans="1:3" x14ac:dyDescent="0.3">
      <c r="A1722" s="3" t="s">
        <v>4011</v>
      </c>
      <c r="B1722" s="3" t="s">
        <v>7</v>
      </c>
      <c r="C1722" s="3">
        <v>7.1</v>
      </c>
    </row>
    <row r="1723" spans="1:3" x14ac:dyDescent="0.3">
      <c r="A1723" s="4" t="s">
        <v>4014</v>
      </c>
      <c r="B1723" s="4" t="s">
        <v>7</v>
      </c>
      <c r="C1723" s="4">
        <v>6.4</v>
      </c>
    </row>
    <row r="1724" spans="1:3" x14ac:dyDescent="0.3">
      <c r="A1724" s="3" t="s">
        <v>4016</v>
      </c>
      <c r="B1724" s="3" t="s">
        <v>7</v>
      </c>
      <c r="C1724" s="3">
        <v>8.1999999999999993</v>
      </c>
    </row>
    <row r="1725" spans="1:3" x14ac:dyDescent="0.3">
      <c r="A1725" s="4" t="s">
        <v>4018</v>
      </c>
      <c r="B1725" s="4" t="s">
        <v>7</v>
      </c>
      <c r="C1725" s="4">
        <v>6.9</v>
      </c>
    </row>
    <row r="1726" spans="1:3" x14ac:dyDescent="0.3">
      <c r="A1726" s="3" t="s">
        <v>4020</v>
      </c>
      <c r="B1726" s="3" t="s">
        <v>7</v>
      </c>
      <c r="C1726" s="3">
        <v>7.8</v>
      </c>
    </row>
    <row r="1727" spans="1:3" x14ac:dyDescent="0.3">
      <c r="A1727" s="4" t="s">
        <v>4022</v>
      </c>
      <c r="B1727" s="4" t="s">
        <v>7</v>
      </c>
      <c r="C1727" s="4">
        <v>6.7</v>
      </c>
    </row>
    <row r="1728" spans="1:3" x14ac:dyDescent="0.3">
      <c r="A1728" s="3" t="s">
        <v>4024</v>
      </c>
      <c r="B1728" s="3" t="s">
        <v>7</v>
      </c>
      <c r="C1728" s="3">
        <v>7.5</v>
      </c>
    </row>
    <row r="1729" spans="1:3" x14ac:dyDescent="0.3">
      <c r="A1729" s="4" t="s">
        <v>4027</v>
      </c>
      <c r="B1729" s="4" t="s">
        <v>7</v>
      </c>
      <c r="C1729" s="4">
        <v>7.4</v>
      </c>
    </row>
    <row r="1730" spans="1:3" x14ac:dyDescent="0.3">
      <c r="A1730" s="3" t="s">
        <v>4029</v>
      </c>
      <c r="B1730" s="3" t="s">
        <v>7</v>
      </c>
      <c r="C1730" s="3">
        <v>5.2</v>
      </c>
    </row>
    <row r="1731" spans="1:3" x14ac:dyDescent="0.3">
      <c r="A1731" s="4" t="s">
        <v>4031</v>
      </c>
      <c r="B1731" s="4" t="s">
        <v>7</v>
      </c>
      <c r="C1731" s="4">
        <v>6.5</v>
      </c>
    </row>
    <row r="1732" spans="1:3" x14ac:dyDescent="0.3">
      <c r="A1732" s="3" t="s">
        <v>4033</v>
      </c>
      <c r="B1732" s="3" t="s">
        <v>7</v>
      </c>
      <c r="C1732" s="3">
        <v>7.6</v>
      </c>
    </row>
    <row r="1733" spans="1:3" x14ac:dyDescent="0.3">
      <c r="A1733" s="4" t="s">
        <v>4035</v>
      </c>
      <c r="B1733" s="4" t="s">
        <v>7</v>
      </c>
      <c r="C1733" s="4">
        <v>7.3</v>
      </c>
    </row>
    <row r="1734" spans="1:3" x14ac:dyDescent="0.3">
      <c r="A1734" s="3" t="s">
        <v>4037</v>
      </c>
      <c r="B1734" s="3" t="s">
        <v>7</v>
      </c>
      <c r="C1734" s="3">
        <v>6.6</v>
      </c>
    </row>
    <row r="1735" spans="1:3" x14ac:dyDescent="0.3">
      <c r="A1735" s="4" t="s">
        <v>4039</v>
      </c>
      <c r="B1735" s="4" t="s">
        <v>7</v>
      </c>
      <c r="C1735" s="4">
        <v>6.8</v>
      </c>
    </row>
    <row r="1736" spans="1:3" x14ac:dyDescent="0.3">
      <c r="A1736" s="3" t="s">
        <v>4041</v>
      </c>
      <c r="B1736" s="3" t="s">
        <v>7</v>
      </c>
      <c r="C1736" s="3">
        <v>6.9</v>
      </c>
    </row>
    <row r="1737" spans="1:3" x14ac:dyDescent="0.3">
      <c r="A1737" s="4" t="s">
        <v>4043</v>
      </c>
      <c r="B1737" s="4" t="s">
        <v>7</v>
      </c>
      <c r="C1737" s="4">
        <v>5.8</v>
      </c>
    </row>
    <row r="1738" spans="1:3" x14ac:dyDescent="0.3">
      <c r="A1738" s="3" t="s">
        <v>4045</v>
      </c>
      <c r="B1738" s="3" t="s">
        <v>7</v>
      </c>
      <c r="C1738" s="3">
        <v>6.6</v>
      </c>
    </row>
    <row r="1739" spans="1:3" x14ac:dyDescent="0.3">
      <c r="A1739" s="4" t="s">
        <v>4047</v>
      </c>
      <c r="B1739" s="4" t="s">
        <v>7</v>
      </c>
      <c r="C1739" s="4">
        <v>6.7</v>
      </c>
    </row>
    <row r="1740" spans="1:3" x14ac:dyDescent="0.3">
      <c r="A1740" s="3" t="s">
        <v>4049</v>
      </c>
      <c r="B1740" s="3" t="s">
        <v>7</v>
      </c>
      <c r="C1740" s="3">
        <v>6.7</v>
      </c>
    </row>
    <row r="1741" spans="1:3" x14ac:dyDescent="0.3">
      <c r="A1741" s="4" t="s">
        <v>4051</v>
      </c>
      <c r="B1741" s="4" t="s">
        <v>7</v>
      </c>
      <c r="C1741" s="4">
        <v>6.3</v>
      </c>
    </row>
    <row r="1742" spans="1:3" x14ac:dyDescent="0.3">
      <c r="A1742" s="3" t="s">
        <v>4053</v>
      </c>
      <c r="B1742" s="3" t="s">
        <v>7</v>
      </c>
      <c r="C1742" s="3">
        <v>7.7</v>
      </c>
    </row>
    <row r="1743" spans="1:3" x14ac:dyDescent="0.3">
      <c r="A1743" s="4" t="s">
        <v>4055</v>
      </c>
      <c r="B1743" s="4" t="s">
        <v>7</v>
      </c>
      <c r="C1743" s="4">
        <v>6.1</v>
      </c>
    </row>
    <row r="1744" spans="1:3" x14ac:dyDescent="0.3">
      <c r="A1744" s="3" t="s">
        <v>4057</v>
      </c>
      <c r="B1744" s="3" t="s">
        <v>7</v>
      </c>
      <c r="C1744" s="3">
        <v>4.9000000000000004</v>
      </c>
    </row>
    <row r="1745" spans="1:3" x14ac:dyDescent="0.3">
      <c r="A1745" s="4" t="s">
        <v>4059</v>
      </c>
      <c r="B1745" s="4" t="s">
        <v>7</v>
      </c>
      <c r="C1745" s="4">
        <v>6.2</v>
      </c>
    </row>
    <row r="1746" spans="1:3" x14ac:dyDescent="0.3">
      <c r="A1746" s="3" t="s">
        <v>4061</v>
      </c>
      <c r="B1746" s="3" t="s">
        <v>7</v>
      </c>
      <c r="C1746" s="3">
        <v>7.8</v>
      </c>
    </row>
    <row r="1747" spans="1:3" x14ac:dyDescent="0.3">
      <c r="A1747" s="4" t="s">
        <v>4063</v>
      </c>
      <c r="B1747" s="4" t="s">
        <v>7</v>
      </c>
      <c r="C1747" s="4">
        <v>8.1999999999999993</v>
      </c>
    </row>
    <row r="1748" spans="1:3" x14ac:dyDescent="0.3">
      <c r="A1748" s="3" t="s">
        <v>4065</v>
      </c>
      <c r="B1748" s="3" t="s">
        <v>7</v>
      </c>
      <c r="C1748" s="3">
        <v>6.9</v>
      </c>
    </row>
    <row r="1749" spans="1:3" x14ac:dyDescent="0.3">
      <c r="A1749" s="4" t="s">
        <v>4067</v>
      </c>
      <c r="B1749" s="4" t="s">
        <v>7</v>
      </c>
      <c r="C1749" s="4">
        <v>6.2</v>
      </c>
    </row>
    <row r="1750" spans="1:3" x14ac:dyDescent="0.3">
      <c r="A1750" s="3" t="s">
        <v>4069</v>
      </c>
      <c r="B1750" s="3" t="s">
        <v>7</v>
      </c>
      <c r="C1750" s="3">
        <v>6.9</v>
      </c>
    </row>
    <row r="1751" spans="1:3" x14ac:dyDescent="0.3">
      <c r="A1751" s="4" t="s">
        <v>4071</v>
      </c>
      <c r="B1751" s="4" t="s">
        <v>7</v>
      </c>
      <c r="C1751" s="4">
        <v>4.8</v>
      </c>
    </row>
    <row r="1752" spans="1:3" x14ac:dyDescent="0.3">
      <c r="A1752" s="3" t="s">
        <v>4073</v>
      </c>
      <c r="B1752" s="3" t="s">
        <v>7</v>
      </c>
      <c r="C1752" s="3">
        <v>8</v>
      </c>
    </row>
    <row r="1753" spans="1:3" x14ac:dyDescent="0.3">
      <c r="A1753" s="4" t="s">
        <v>4075</v>
      </c>
      <c r="B1753" s="4" t="s">
        <v>7</v>
      </c>
      <c r="C1753" s="4">
        <v>5.3</v>
      </c>
    </row>
    <row r="1754" spans="1:3" x14ac:dyDescent="0.3">
      <c r="A1754" s="3" t="s">
        <v>4077</v>
      </c>
      <c r="B1754" s="3" t="s">
        <v>7</v>
      </c>
      <c r="C1754" s="3">
        <v>6.7</v>
      </c>
    </row>
    <row r="1755" spans="1:3" x14ac:dyDescent="0.3">
      <c r="A1755" s="4" t="s">
        <v>4079</v>
      </c>
      <c r="B1755" s="4" t="s">
        <v>7</v>
      </c>
      <c r="C1755" s="4">
        <v>5.4</v>
      </c>
    </row>
    <row r="1756" spans="1:3" x14ac:dyDescent="0.3">
      <c r="A1756" s="3" t="s">
        <v>4082</v>
      </c>
      <c r="B1756" s="3" t="s">
        <v>7</v>
      </c>
      <c r="C1756" s="3">
        <v>5.4</v>
      </c>
    </row>
    <row r="1757" spans="1:3" x14ac:dyDescent="0.3">
      <c r="A1757" s="4" t="s">
        <v>4084</v>
      </c>
      <c r="B1757" s="4" t="s">
        <v>7</v>
      </c>
      <c r="C1757" s="4">
        <v>4.9000000000000004</v>
      </c>
    </row>
    <row r="1758" spans="1:3" x14ac:dyDescent="0.3">
      <c r="A1758" s="3" t="s">
        <v>4087</v>
      </c>
      <c r="B1758" s="3" t="s">
        <v>7</v>
      </c>
      <c r="C1758" s="3">
        <v>6.1</v>
      </c>
    </row>
    <row r="1759" spans="1:3" x14ac:dyDescent="0.3">
      <c r="A1759" s="4" t="s">
        <v>4090</v>
      </c>
      <c r="B1759" s="4" t="s">
        <v>7</v>
      </c>
      <c r="C1759" s="4">
        <v>5.8</v>
      </c>
    </row>
    <row r="1760" spans="1:3" x14ac:dyDescent="0.3">
      <c r="A1760" s="3" t="s">
        <v>4092</v>
      </c>
      <c r="B1760" s="3" t="s">
        <v>7</v>
      </c>
      <c r="C1760" s="3">
        <v>7</v>
      </c>
    </row>
    <row r="1761" spans="1:3" x14ac:dyDescent="0.3">
      <c r="A1761" s="4" t="s">
        <v>4095</v>
      </c>
      <c r="B1761" s="4" t="s">
        <v>7</v>
      </c>
      <c r="C1761" s="4">
        <v>6.5</v>
      </c>
    </row>
    <row r="1762" spans="1:3" x14ac:dyDescent="0.3">
      <c r="A1762" s="3" t="s">
        <v>4097</v>
      </c>
      <c r="B1762" s="3" t="s">
        <v>7</v>
      </c>
      <c r="C1762" s="3">
        <v>6.6</v>
      </c>
    </row>
    <row r="1763" spans="1:3" x14ac:dyDescent="0.3">
      <c r="A1763" s="4" t="s">
        <v>4099</v>
      </c>
      <c r="B1763" s="4" t="s">
        <v>7</v>
      </c>
      <c r="C1763" s="4">
        <v>6.1</v>
      </c>
    </row>
    <row r="1764" spans="1:3" x14ac:dyDescent="0.3">
      <c r="A1764" s="3" t="s">
        <v>4101</v>
      </c>
      <c r="B1764" s="3" t="s">
        <v>7</v>
      </c>
      <c r="C1764" s="3">
        <v>5.7</v>
      </c>
    </row>
    <row r="1765" spans="1:3" x14ac:dyDescent="0.3">
      <c r="A1765" s="4" t="s">
        <v>4103</v>
      </c>
      <c r="B1765" s="4" t="s">
        <v>7</v>
      </c>
      <c r="C1765" s="4">
        <v>6.6</v>
      </c>
    </row>
    <row r="1766" spans="1:3" x14ac:dyDescent="0.3">
      <c r="A1766" s="3" t="s">
        <v>4106</v>
      </c>
      <c r="B1766" s="3" t="s">
        <v>7</v>
      </c>
      <c r="C1766" s="3">
        <v>7</v>
      </c>
    </row>
    <row r="1767" spans="1:3" x14ac:dyDescent="0.3">
      <c r="A1767" s="4" t="s">
        <v>4108</v>
      </c>
      <c r="B1767" s="4" t="s">
        <v>7</v>
      </c>
      <c r="C1767" s="4">
        <v>7.4</v>
      </c>
    </row>
    <row r="1768" spans="1:3" x14ac:dyDescent="0.3">
      <c r="A1768" s="3" t="s">
        <v>4110</v>
      </c>
      <c r="B1768" s="3" t="s">
        <v>7</v>
      </c>
      <c r="C1768" s="3">
        <v>5.3</v>
      </c>
    </row>
    <row r="1769" spans="1:3" x14ac:dyDescent="0.3">
      <c r="A1769" s="4" t="s">
        <v>4112</v>
      </c>
      <c r="B1769" s="4" t="s">
        <v>7</v>
      </c>
      <c r="C1769" s="4">
        <v>7.4</v>
      </c>
    </row>
    <row r="1770" spans="1:3" x14ac:dyDescent="0.3">
      <c r="A1770" s="3" t="s">
        <v>4114</v>
      </c>
      <c r="B1770" s="3" t="s">
        <v>7</v>
      </c>
      <c r="C1770" s="3">
        <v>7.4</v>
      </c>
    </row>
    <row r="1771" spans="1:3" x14ac:dyDescent="0.3">
      <c r="A1771" s="4" t="s">
        <v>4117</v>
      </c>
      <c r="B1771" s="4" t="s">
        <v>7</v>
      </c>
      <c r="C1771" s="4">
        <v>6.8</v>
      </c>
    </row>
    <row r="1772" spans="1:3" x14ac:dyDescent="0.3">
      <c r="A1772" s="3" t="s">
        <v>4120</v>
      </c>
      <c r="B1772" s="3" t="s">
        <v>7</v>
      </c>
      <c r="C1772" s="3">
        <v>7.2</v>
      </c>
    </row>
    <row r="1773" spans="1:3" x14ac:dyDescent="0.3">
      <c r="A1773" s="4" t="s">
        <v>4122</v>
      </c>
      <c r="B1773" s="4" t="s">
        <v>7</v>
      </c>
      <c r="C1773" s="4">
        <v>6</v>
      </c>
    </row>
    <row r="1774" spans="1:3" x14ac:dyDescent="0.3">
      <c r="A1774" s="3" t="s">
        <v>4124</v>
      </c>
      <c r="B1774" s="3" t="s">
        <v>7</v>
      </c>
      <c r="C1774" s="3">
        <v>7.8</v>
      </c>
    </row>
    <row r="1775" spans="1:3" x14ac:dyDescent="0.3">
      <c r="A1775" s="4" t="s">
        <v>4127</v>
      </c>
      <c r="B1775" s="4" t="s">
        <v>7</v>
      </c>
      <c r="C1775" s="4">
        <v>6.6</v>
      </c>
    </row>
    <row r="1776" spans="1:3" x14ac:dyDescent="0.3">
      <c r="A1776" s="3" t="s">
        <v>4129</v>
      </c>
      <c r="B1776" s="3" t="s">
        <v>7</v>
      </c>
      <c r="C1776" s="3">
        <v>7.9</v>
      </c>
    </row>
    <row r="1777" spans="1:3" x14ac:dyDescent="0.3">
      <c r="A1777" s="4" t="s">
        <v>4132</v>
      </c>
      <c r="B1777" s="4" t="s">
        <v>4134</v>
      </c>
      <c r="C1777" s="4">
        <v>6.2</v>
      </c>
    </row>
    <row r="1778" spans="1:3" x14ac:dyDescent="0.3">
      <c r="A1778" s="3" t="s">
        <v>4135</v>
      </c>
      <c r="B1778" s="3" t="s">
        <v>7</v>
      </c>
      <c r="C1778" s="3">
        <v>5.7</v>
      </c>
    </row>
    <row r="1779" spans="1:3" x14ac:dyDescent="0.3">
      <c r="A1779" s="4" t="s">
        <v>4137</v>
      </c>
      <c r="B1779" s="4" t="s">
        <v>7</v>
      </c>
      <c r="C1779" s="4">
        <v>7.1</v>
      </c>
    </row>
    <row r="1780" spans="1:3" x14ac:dyDescent="0.3">
      <c r="A1780" s="3" t="s">
        <v>4139</v>
      </c>
      <c r="B1780" s="3" t="s">
        <v>7</v>
      </c>
      <c r="C1780" s="3">
        <v>5.6</v>
      </c>
    </row>
    <row r="1781" spans="1:3" x14ac:dyDescent="0.3">
      <c r="A1781" s="4" t="s">
        <v>4141</v>
      </c>
      <c r="B1781" s="4" t="s">
        <v>7</v>
      </c>
      <c r="C1781" s="4">
        <v>7.8</v>
      </c>
    </row>
    <row r="1782" spans="1:3" x14ac:dyDescent="0.3">
      <c r="A1782" s="3" t="s">
        <v>4143</v>
      </c>
      <c r="B1782" s="3" t="s">
        <v>7</v>
      </c>
      <c r="C1782" s="3">
        <v>7.9</v>
      </c>
    </row>
    <row r="1783" spans="1:3" x14ac:dyDescent="0.3">
      <c r="A1783" s="4" t="s">
        <v>4145</v>
      </c>
      <c r="B1783" s="4" t="s">
        <v>7</v>
      </c>
      <c r="C1783" s="4">
        <v>6.9</v>
      </c>
    </row>
    <row r="1784" spans="1:3" x14ac:dyDescent="0.3">
      <c r="A1784" s="3" t="s">
        <v>4147</v>
      </c>
      <c r="B1784" s="3" t="s">
        <v>7</v>
      </c>
      <c r="C1784" s="3">
        <v>7.4</v>
      </c>
    </row>
    <row r="1785" spans="1:3" x14ac:dyDescent="0.3">
      <c r="A1785" s="4" t="s">
        <v>4150</v>
      </c>
      <c r="B1785" s="4" t="s">
        <v>7</v>
      </c>
      <c r="C1785" s="4">
        <v>7.7</v>
      </c>
    </row>
    <row r="1786" spans="1:3" x14ac:dyDescent="0.3">
      <c r="A1786" s="3" t="s">
        <v>4152</v>
      </c>
      <c r="B1786" s="3" t="s">
        <v>7</v>
      </c>
      <c r="C1786" s="3">
        <v>6.9</v>
      </c>
    </row>
    <row r="1787" spans="1:3" x14ac:dyDescent="0.3">
      <c r="A1787" s="4" t="s">
        <v>4154</v>
      </c>
      <c r="B1787" s="4" t="s">
        <v>7</v>
      </c>
      <c r="C1787" s="4">
        <v>6.7</v>
      </c>
    </row>
    <row r="1788" spans="1:3" x14ac:dyDescent="0.3">
      <c r="A1788" s="3" t="s">
        <v>4157</v>
      </c>
      <c r="B1788" s="3" t="s">
        <v>7</v>
      </c>
      <c r="C1788" s="3">
        <v>6</v>
      </c>
    </row>
    <row r="1789" spans="1:3" x14ac:dyDescent="0.3">
      <c r="A1789" s="4" t="s">
        <v>4159</v>
      </c>
      <c r="B1789" s="4" t="s">
        <v>7</v>
      </c>
      <c r="C1789" s="4">
        <v>6.2</v>
      </c>
    </row>
    <row r="1790" spans="1:3" x14ac:dyDescent="0.3">
      <c r="A1790" s="3" t="s">
        <v>4161</v>
      </c>
      <c r="B1790" s="3" t="s">
        <v>7</v>
      </c>
      <c r="C1790" s="3">
        <v>5.9</v>
      </c>
    </row>
    <row r="1791" spans="1:3" x14ac:dyDescent="0.3">
      <c r="A1791" s="4" t="s">
        <v>4164</v>
      </c>
      <c r="B1791" s="4" t="s">
        <v>7</v>
      </c>
      <c r="C1791" s="4">
        <v>6.8</v>
      </c>
    </row>
    <row r="1792" spans="1:3" x14ac:dyDescent="0.3">
      <c r="A1792" s="3" t="s">
        <v>4166</v>
      </c>
      <c r="B1792" s="3" t="s">
        <v>7</v>
      </c>
      <c r="C1792" s="3">
        <v>3.6</v>
      </c>
    </row>
    <row r="1793" spans="1:3" x14ac:dyDescent="0.3">
      <c r="A1793" s="4" t="s">
        <v>4169</v>
      </c>
      <c r="B1793" s="4" t="s">
        <v>7</v>
      </c>
      <c r="C1793" s="4">
        <v>6.7</v>
      </c>
    </row>
    <row r="1794" spans="1:3" x14ac:dyDescent="0.3">
      <c r="A1794" s="3" t="s">
        <v>4171</v>
      </c>
      <c r="B1794" s="3" t="s">
        <v>7</v>
      </c>
      <c r="C1794" s="3">
        <v>6.3</v>
      </c>
    </row>
    <row r="1795" spans="1:3" x14ac:dyDescent="0.3">
      <c r="A1795" s="4" t="s">
        <v>4173</v>
      </c>
      <c r="B1795" s="4" t="s">
        <v>7</v>
      </c>
      <c r="C1795" s="4">
        <v>6.4</v>
      </c>
    </row>
    <row r="1796" spans="1:3" x14ac:dyDescent="0.3">
      <c r="A1796" s="3" t="s">
        <v>4176</v>
      </c>
      <c r="B1796" s="3" t="s">
        <v>7</v>
      </c>
      <c r="C1796" s="3">
        <v>6.4</v>
      </c>
    </row>
    <row r="1797" spans="1:3" x14ac:dyDescent="0.3">
      <c r="A1797" s="4" t="s">
        <v>4178</v>
      </c>
      <c r="B1797" s="4" t="s">
        <v>7</v>
      </c>
      <c r="C1797" s="4">
        <v>5.7</v>
      </c>
    </row>
    <row r="1798" spans="1:3" x14ac:dyDescent="0.3">
      <c r="A1798" s="3" t="s">
        <v>4180</v>
      </c>
      <c r="B1798" s="3" t="s">
        <v>7</v>
      </c>
      <c r="C1798" s="3">
        <v>6.2</v>
      </c>
    </row>
    <row r="1799" spans="1:3" x14ac:dyDescent="0.3">
      <c r="A1799" s="4" t="s">
        <v>4182</v>
      </c>
      <c r="B1799" s="4" t="s">
        <v>7</v>
      </c>
      <c r="C1799" s="4">
        <v>6.6</v>
      </c>
    </row>
    <row r="1800" spans="1:3" x14ac:dyDescent="0.3">
      <c r="A1800" s="3" t="s">
        <v>4184</v>
      </c>
      <c r="B1800" s="3" t="s">
        <v>7</v>
      </c>
      <c r="C1800" s="3">
        <v>5.2</v>
      </c>
    </row>
    <row r="1801" spans="1:3" x14ac:dyDescent="0.3">
      <c r="A1801" s="4" t="s">
        <v>4186</v>
      </c>
      <c r="B1801" s="4" t="s">
        <v>7</v>
      </c>
      <c r="C1801" s="4">
        <v>6.1</v>
      </c>
    </row>
    <row r="1802" spans="1:3" x14ac:dyDescent="0.3">
      <c r="A1802" s="3" t="s">
        <v>4188</v>
      </c>
      <c r="B1802" s="3" t="s">
        <v>7</v>
      </c>
      <c r="C1802" s="3">
        <v>7.1</v>
      </c>
    </row>
    <row r="1803" spans="1:3" x14ac:dyDescent="0.3">
      <c r="A1803" s="4" t="s">
        <v>4190</v>
      </c>
      <c r="B1803" s="4" t="s">
        <v>7</v>
      </c>
      <c r="C1803" s="4">
        <v>7.2</v>
      </c>
    </row>
    <row r="1804" spans="1:3" x14ac:dyDescent="0.3">
      <c r="A1804" s="3" t="s">
        <v>4192</v>
      </c>
      <c r="B1804" s="3" t="s">
        <v>7</v>
      </c>
      <c r="C1804" s="3">
        <v>6.5</v>
      </c>
    </row>
    <row r="1805" spans="1:3" x14ac:dyDescent="0.3">
      <c r="A1805" s="4" t="s">
        <v>4194</v>
      </c>
      <c r="B1805" s="4" t="s">
        <v>7</v>
      </c>
      <c r="C1805" s="4">
        <v>6</v>
      </c>
    </row>
    <row r="1806" spans="1:3" x14ac:dyDescent="0.3">
      <c r="A1806" s="3" t="s">
        <v>4196</v>
      </c>
      <c r="B1806" s="3" t="s">
        <v>7</v>
      </c>
      <c r="C1806" s="3">
        <v>7</v>
      </c>
    </row>
    <row r="1807" spans="1:3" x14ac:dyDescent="0.3">
      <c r="A1807" s="4" t="s">
        <v>4198</v>
      </c>
      <c r="B1807" s="4" t="s">
        <v>7</v>
      </c>
      <c r="C1807" s="4">
        <v>7</v>
      </c>
    </row>
    <row r="1808" spans="1:3" x14ac:dyDescent="0.3">
      <c r="A1808" s="3" t="s">
        <v>4200</v>
      </c>
      <c r="B1808" s="3" t="s">
        <v>7</v>
      </c>
      <c r="C1808" s="3">
        <v>7.5</v>
      </c>
    </row>
    <row r="1809" spans="1:3" x14ac:dyDescent="0.3">
      <c r="A1809" s="4" t="s">
        <v>4202</v>
      </c>
      <c r="B1809" s="4" t="s">
        <v>7</v>
      </c>
      <c r="C1809" s="4">
        <v>6.6</v>
      </c>
    </row>
    <row r="1810" spans="1:3" x14ac:dyDescent="0.3">
      <c r="A1810" s="3" t="s">
        <v>4204</v>
      </c>
      <c r="B1810" s="3" t="s">
        <v>7</v>
      </c>
      <c r="C1810" s="3">
        <v>7.4</v>
      </c>
    </row>
    <row r="1811" spans="1:3" x14ac:dyDescent="0.3">
      <c r="A1811" s="4" t="s">
        <v>4206</v>
      </c>
      <c r="B1811" s="4" t="s">
        <v>7</v>
      </c>
      <c r="C1811" s="4">
        <v>6.5</v>
      </c>
    </row>
    <row r="1812" spans="1:3" x14ac:dyDescent="0.3">
      <c r="A1812" s="3" t="s">
        <v>4208</v>
      </c>
      <c r="B1812" s="3" t="s">
        <v>7</v>
      </c>
      <c r="C1812" s="3">
        <v>6.2</v>
      </c>
    </row>
    <row r="1813" spans="1:3" x14ac:dyDescent="0.3">
      <c r="A1813" s="4" t="s">
        <v>4211</v>
      </c>
      <c r="B1813" s="4" t="s">
        <v>7</v>
      </c>
      <c r="C1813" s="4">
        <v>7.8</v>
      </c>
    </row>
    <row r="1814" spans="1:3" x14ac:dyDescent="0.3">
      <c r="A1814" s="3" t="s">
        <v>4213</v>
      </c>
      <c r="B1814" s="3" t="s">
        <v>7</v>
      </c>
      <c r="C1814" s="3">
        <v>5.2</v>
      </c>
    </row>
    <row r="1815" spans="1:3" x14ac:dyDescent="0.3">
      <c r="A1815" s="4" t="s">
        <v>4215</v>
      </c>
      <c r="B1815" s="4" t="s">
        <v>582</v>
      </c>
      <c r="C1815" s="4">
        <v>6.5</v>
      </c>
    </row>
    <row r="1816" spans="1:3" x14ac:dyDescent="0.3">
      <c r="A1816" s="3" t="s">
        <v>4217</v>
      </c>
      <c r="B1816" s="3" t="s">
        <v>7</v>
      </c>
      <c r="C1816" s="3">
        <v>6.5</v>
      </c>
    </row>
    <row r="1817" spans="1:3" x14ac:dyDescent="0.3">
      <c r="A1817" s="4" t="s">
        <v>4219</v>
      </c>
      <c r="B1817" s="4" t="s">
        <v>7</v>
      </c>
      <c r="C1817" s="4">
        <v>5.2</v>
      </c>
    </row>
    <row r="1818" spans="1:3" x14ac:dyDescent="0.3">
      <c r="A1818" s="3" t="s">
        <v>4221</v>
      </c>
      <c r="B1818" s="3" t="s">
        <v>3064</v>
      </c>
      <c r="C1818" s="3">
        <v>7.2</v>
      </c>
    </row>
    <row r="1819" spans="1:3" x14ac:dyDescent="0.3">
      <c r="A1819" s="4" t="s">
        <v>4223</v>
      </c>
      <c r="B1819" s="4" t="s">
        <v>7</v>
      </c>
      <c r="C1819" s="4">
        <v>7.1</v>
      </c>
    </row>
    <row r="1820" spans="1:3" x14ac:dyDescent="0.3">
      <c r="A1820" s="3" t="s">
        <v>4225</v>
      </c>
      <c r="B1820" s="3" t="s">
        <v>7</v>
      </c>
      <c r="C1820" s="3">
        <v>4.5</v>
      </c>
    </row>
    <row r="1821" spans="1:3" x14ac:dyDescent="0.3">
      <c r="A1821" s="4" t="s">
        <v>4227</v>
      </c>
      <c r="B1821" s="4" t="s">
        <v>7</v>
      </c>
      <c r="C1821" s="4">
        <v>5.7</v>
      </c>
    </row>
    <row r="1822" spans="1:3" x14ac:dyDescent="0.3">
      <c r="A1822" s="3" t="s">
        <v>4229</v>
      </c>
      <c r="B1822" s="3" t="s">
        <v>7</v>
      </c>
      <c r="C1822" s="3">
        <v>6</v>
      </c>
    </row>
    <row r="1823" spans="1:3" x14ac:dyDescent="0.3">
      <c r="A1823" s="4" t="s">
        <v>4231</v>
      </c>
      <c r="B1823" s="4" t="s">
        <v>7</v>
      </c>
      <c r="C1823" s="4">
        <v>6.4</v>
      </c>
    </row>
    <row r="1824" spans="1:3" x14ac:dyDescent="0.3">
      <c r="A1824" s="3" t="s">
        <v>4234</v>
      </c>
      <c r="B1824" s="3" t="s">
        <v>7</v>
      </c>
      <c r="C1824" s="3">
        <v>5.2</v>
      </c>
    </row>
    <row r="1825" spans="1:3" x14ac:dyDescent="0.3">
      <c r="A1825" s="4" t="s">
        <v>4236</v>
      </c>
      <c r="B1825" s="4" t="s">
        <v>7</v>
      </c>
      <c r="C1825" s="4">
        <v>4.3</v>
      </c>
    </row>
    <row r="1826" spans="1:3" x14ac:dyDescent="0.3">
      <c r="A1826" s="3" t="s">
        <v>4238</v>
      </c>
      <c r="B1826" s="3" t="s">
        <v>7</v>
      </c>
      <c r="C1826" s="3">
        <v>6.1</v>
      </c>
    </row>
    <row r="1827" spans="1:3" x14ac:dyDescent="0.3">
      <c r="A1827" s="4" t="s">
        <v>4240</v>
      </c>
      <c r="B1827" s="4" t="s">
        <v>7</v>
      </c>
      <c r="C1827" s="4">
        <v>6.3</v>
      </c>
    </row>
    <row r="1828" spans="1:3" x14ac:dyDescent="0.3">
      <c r="A1828" s="3" t="s">
        <v>4242</v>
      </c>
      <c r="B1828" s="3" t="s">
        <v>7</v>
      </c>
      <c r="C1828" s="3">
        <v>6.8</v>
      </c>
    </row>
    <row r="1829" spans="1:3" x14ac:dyDescent="0.3">
      <c r="A1829" s="4" t="s">
        <v>4244</v>
      </c>
      <c r="B1829" s="4" t="s">
        <v>7</v>
      </c>
      <c r="C1829" s="4">
        <v>4</v>
      </c>
    </row>
    <row r="1830" spans="1:3" x14ac:dyDescent="0.3">
      <c r="A1830" s="3" t="s">
        <v>4246</v>
      </c>
      <c r="B1830" s="3" t="s">
        <v>7</v>
      </c>
      <c r="C1830" s="3">
        <v>5.2</v>
      </c>
    </row>
    <row r="1831" spans="1:3" x14ac:dyDescent="0.3">
      <c r="A1831" s="4" t="s">
        <v>4248</v>
      </c>
      <c r="B1831" s="4" t="s">
        <v>7</v>
      </c>
      <c r="C1831" s="4">
        <v>6.5</v>
      </c>
    </row>
    <row r="1832" spans="1:3" x14ac:dyDescent="0.3">
      <c r="A1832" s="3" t="s">
        <v>4250</v>
      </c>
      <c r="B1832" s="3" t="s">
        <v>7</v>
      </c>
      <c r="C1832" s="3">
        <v>7.5</v>
      </c>
    </row>
    <row r="1833" spans="1:3" x14ac:dyDescent="0.3">
      <c r="A1833" s="4" t="s">
        <v>4252</v>
      </c>
      <c r="B1833" s="4" t="s">
        <v>7</v>
      </c>
      <c r="C1833" s="4">
        <v>7.1</v>
      </c>
    </row>
    <row r="1834" spans="1:3" x14ac:dyDescent="0.3">
      <c r="A1834" s="3" t="s">
        <v>4254</v>
      </c>
      <c r="B1834" s="3" t="s">
        <v>7</v>
      </c>
      <c r="C1834" s="3">
        <v>6.9</v>
      </c>
    </row>
    <row r="1835" spans="1:3" x14ac:dyDescent="0.3">
      <c r="A1835" s="4" t="s">
        <v>4256</v>
      </c>
      <c r="B1835" s="4" t="s">
        <v>7</v>
      </c>
      <c r="C1835" s="4">
        <v>8</v>
      </c>
    </row>
    <row r="1836" spans="1:3" x14ac:dyDescent="0.3">
      <c r="A1836" s="3" t="s">
        <v>4258</v>
      </c>
      <c r="B1836" s="3" t="s">
        <v>7</v>
      </c>
      <c r="C1836" s="3">
        <v>8.1999999999999993</v>
      </c>
    </row>
    <row r="1837" spans="1:3" x14ac:dyDescent="0.3">
      <c r="A1837" s="4" t="s">
        <v>4260</v>
      </c>
      <c r="B1837" s="4" t="s">
        <v>7</v>
      </c>
      <c r="C1837" s="4">
        <v>6.4</v>
      </c>
    </row>
    <row r="1838" spans="1:3" x14ac:dyDescent="0.3">
      <c r="A1838" s="3" t="s">
        <v>4263</v>
      </c>
      <c r="B1838" s="3" t="s">
        <v>7</v>
      </c>
      <c r="C1838" s="3">
        <v>7.9</v>
      </c>
    </row>
    <row r="1839" spans="1:3" x14ac:dyDescent="0.3">
      <c r="A1839" s="4" t="s">
        <v>4266</v>
      </c>
      <c r="B1839" s="4" t="s">
        <v>7</v>
      </c>
      <c r="C1839" s="4">
        <v>6.7</v>
      </c>
    </row>
    <row r="1840" spans="1:3" x14ac:dyDescent="0.3">
      <c r="A1840" s="3" t="s">
        <v>4268</v>
      </c>
      <c r="B1840" s="3" t="s">
        <v>7</v>
      </c>
      <c r="C1840" s="3">
        <v>6.1</v>
      </c>
    </row>
    <row r="1841" spans="1:3" x14ac:dyDescent="0.3">
      <c r="A1841" s="4" t="s">
        <v>4270</v>
      </c>
      <c r="B1841" s="4" t="s">
        <v>7</v>
      </c>
      <c r="C1841" s="4">
        <v>8.9</v>
      </c>
    </row>
    <row r="1842" spans="1:3" x14ac:dyDescent="0.3">
      <c r="A1842" s="3" t="s">
        <v>4272</v>
      </c>
      <c r="B1842" s="3" t="s">
        <v>7</v>
      </c>
      <c r="C1842" s="3">
        <v>8.1</v>
      </c>
    </row>
    <row r="1843" spans="1:3" x14ac:dyDescent="0.3">
      <c r="A1843" s="4" t="s">
        <v>4274</v>
      </c>
      <c r="B1843" s="4" t="s">
        <v>7</v>
      </c>
      <c r="C1843" s="4">
        <v>6.2</v>
      </c>
    </row>
    <row r="1844" spans="1:3" x14ac:dyDescent="0.3">
      <c r="A1844" s="3" t="s">
        <v>4276</v>
      </c>
      <c r="B1844" s="3" t="s">
        <v>7</v>
      </c>
      <c r="C1844" s="3">
        <v>4.9000000000000004</v>
      </c>
    </row>
    <row r="1845" spans="1:3" x14ac:dyDescent="0.3">
      <c r="A1845" s="4" t="s">
        <v>4278</v>
      </c>
      <c r="B1845" s="4" t="s">
        <v>7</v>
      </c>
      <c r="C1845" s="4">
        <v>5.4</v>
      </c>
    </row>
    <row r="1846" spans="1:3" x14ac:dyDescent="0.3">
      <c r="A1846" s="3" t="s">
        <v>4281</v>
      </c>
      <c r="B1846" s="3" t="s">
        <v>7</v>
      </c>
      <c r="C1846" s="3">
        <v>5.8</v>
      </c>
    </row>
    <row r="1847" spans="1:3" x14ac:dyDescent="0.3">
      <c r="A1847" s="4" t="s">
        <v>4283</v>
      </c>
      <c r="B1847" s="4" t="s">
        <v>7</v>
      </c>
      <c r="C1847" s="4">
        <v>4.7</v>
      </c>
    </row>
    <row r="1848" spans="1:3" x14ac:dyDescent="0.3">
      <c r="A1848" s="3" t="s">
        <v>4285</v>
      </c>
      <c r="B1848" s="3" t="s">
        <v>7</v>
      </c>
      <c r="C1848" s="3">
        <v>6</v>
      </c>
    </row>
    <row r="1849" spans="1:3" x14ac:dyDescent="0.3">
      <c r="A1849" s="4" t="s">
        <v>4287</v>
      </c>
      <c r="B1849" s="4" t="s">
        <v>247</v>
      </c>
      <c r="C1849" s="4">
        <v>7</v>
      </c>
    </row>
    <row r="1850" spans="1:3" x14ac:dyDescent="0.3">
      <c r="A1850" s="3" t="s">
        <v>4290</v>
      </c>
      <c r="B1850" s="3" t="s">
        <v>7</v>
      </c>
      <c r="C1850" s="3">
        <v>6</v>
      </c>
    </row>
    <row r="1851" spans="1:3" x14ac:dyDescent="0.3">
      <c r="A1851" s="4" t="s">
        <v>4292</v>
      </c>
      <c r="B1851" s="4" t="s">
        <v>7</v>
      </c>
      <c r="C1851" s="4">
        <v>7.9</v>
      </c>
    </row>
    <row r="1852" spans="1:3" x14ac:dyDescent="0.3">
      <c r="A1852" s="3" t="s">
        <v>4294</v>
      </c>
      <c r="B1852" s="3" t="s">
        <v>7</v>
      </c>
      <c r="C1852" s="3">
        <v>8.1</v>
      </c>
    </row>
    <row r="1853" spans="1:3" x14ac:dyDescent="0.3">
      <c r="A1853" s="4" t="s">
        <v>4296</v>
      </c>
      <c r="B1853" s="4" t="s">
        <v>7</v>
      </c>
      <c r="C1853" s="4">
        <v>6.2</v>
      </c>
    </row>
    <row r="1854" spans="1:3" x14ac:dyDescent="0.3">
      <c r="A1854" s="3" t="s">
        <v>4298</v>
      </c>
      <c r="B1854" s="3" t="s">
        <v>7</v>
      </c>
      <c r="C1854" s="3">
        <v>6.7</v>
      </c>
    </row>
    <row r="1855" spans="1:3" x14ac:dyDescent="0.3">
      <c r="A1855" s="4" t="s">
        <v>4300</v>
      </c>
      <c r="B1855" s="4" t="s">
        <v>7</v>
      </c>
      <c r="C1855" s="4">
        <v>7.3</v>
      </c>
    </row>
    <row r="1856" spans="1:3" x14ac:dyDescent="0.3">
      <c r="A1856" s="3" t="s">
        <v>4302</v>
      </c>
      <c r="B1856" s="3" t="s">
        <v>7</v>
      </c>
      <c r="C1856" s="3">
        <v>4.5999999999999996</v>
      </c>
    </row>
    <row r="1857" spans="1:3" x14ac:dyDescent="0.3">
      <c r="A1857" s="4" t="s">
        <v>4305</v>
      </c>
      <c r="B1857" s="4" t="s">
        <v>7</v>
      </c>
      <c r="C1857" s="4">
        <v>6.1</v>
      </c>
    </row>
    <row r="1858" spans="1:3" x14ac:dyDescent="0.3">
      <c r="A1858" s="3" t="s">
        <v>4307</v>
      </c>
      <c r="B1858" s="3" t="s">
        <v>7</v>
      </c>
      <c r="C1858" s="3">
        <v>6.2</v>
      </c>
    </row>
    <row r="1859" spans="1:3" x14ac:dyDescent="0.3">
      <c r="A1859" s="4" t="s">
        <v>4309</v>
      </c>
      <c r="B1859" s="4" t="s">
        <v>7</v>
      </c>
      <c r="C1859" s="4">
        <v>7.8</v>
      </c>
    </row>
    <row r="1860" spans="1:3" x14ac:dyDescent="0.3">
      <c r="A1860" s="3" t="s">
        <v>4311</v>
      </c>
      <c r="B1860" s="3" t="s">
        <v>7</v>
      </c>
      <c r="C1860" s="3">
        <v>6.1</v>
      </c>
    </row>
    <row r="1861" spans="1:3" x14ac:dyDescent="0.3">
      <c r="A1861" s="4" t="s">
        <v>4313</v>
      </c>
      <c r="B1861" s="4" t="s">
        <v>7</v>
      </c>
      <c r="C1861" s="4">
        <v>7.6</v>
      </c>
    </row>
    <row r="1862" spans="1:3" x14ac:dyDescent="0.3">
      <c r="A1862" s="3" t="s">
        <v>4315</v>
      </c>
      <c r="B1862" s="3" t="s">
        <v>7</v>
      </c>
      <c r="C1862" s="3">
        <v>5.8</v>
      </c>
    </row>
    <row r="1863" spans="1:3" x14ac:dyDescent="0.3">
      <c r="A1863" s="4" t="s">
        <v>4317</v>
      </c>
      <c r="B1863" s="4" t="s">
        <v>7</v>
      </c>
      <c r="C1863" s="4">
        <v>6.5</v>
      </c>
    </row>
    <row r="1864" spans="1:3" x14ac:dyDescent="0.3">
      <c r="A1864" s="3" t="s">
        <v>4319</v>
      </c>
      <c r="B1864" s="3" t="s">
        <v>7</v>
      </c>
      <c r="C1864" s="3">
        <v>7.2</v>
      </c>
    </row>
    <row r="1865" spans="1:3" x14ac:dyDescent="0.3">
      <c r="A1865" s="4" t="s">
        <v>4321</v>
      </c>
      <c r="B1865" s="4" t="s">
        <v>7</v>
      </c>
      <c r="C1865" s="4">
        <v>7.8</v>
      </c>
    </row>
    <row r="1866" spans="1:3" x14ac:dyDescent="0.3">
      <c r="A1866" s="3" t="s">
        <v>4323</v>
      </c>
      <c r="B1866" s="3" t="s">
        <v>7</v>
      </c>
      <c r="C1866" s="3">
        <v>4.7</v>
      </c>
    </row>
    <row r="1867" spans="1:3" x14ac:dyDescent="0.3">
      <c r="A1867" s="4" t="s">
        <v>4326</v>
      </c>
      <c r="B1867" s="4" t="s">
        <v>7</v>
      </c>
      <c r="C1867" s="4">
        <v>6.8</v>
      </c>
    </row>
    <row r="1868" spans="1:3" x14ac:dyDescent="0.3">
      <c r="A1868" s="3" t="s">
        <v>4328</v>
      </c>
      <c r="B1868" s="3" t="s">
        <v>7</v>
      </c>
      <c r="C1868" s="3">
        <v>5.9</v>
      </c>
    </row>
    <row r="1869" spans="1:3" x14ac:dyDescent="0.3">
      <c r="A1869" s="4" t="s">
        <v>4331</v>
      </c>
      <c r="B1869" s="4" t="s">
        <v>7</v>
      </c>
      <c r="C1869" s="4">
        <v>7.2</v>
      </c>
    </row>
    <row r="1870" spans="1:3" x14ac:dyDescent="0.3">
      <c r="A1870" s="3" t="s">
        <v>4333</v>
      </c>
      <c r="B1870" s="3" t="s">
        <v>582</v>
      </c>
      <c r="C1870" s="3">
        <v>8.6999999999999993</v>
      </c>
    </row>
    <row r="1871" spans="1:3" x14ac:dyDescent="0.3">
      <c r="A1871" s="4" t="s">
        <v>4335</v>
      </c>
      <c r="B1871" s="4" t="s">
        <v>7</v>
      </c>
      <c r="C1871" s="4">
        <v>5</v>
      </c>
    </row>
    <row r="1872" spans="1:3" x14ac:dyDescent="0.3">
      <c r="A1872" s="3" t="s">
        <v>4337</v>
      </c>
      <c r="B1872" s="3" t="s">
        <v>7</v>
      </c>
      <c r="C1872" s="3">
        <v>6.6</v>
      </c>
    </row>
    <row r="1873" spans="1:3" x14ac:dyDescent="0.3">
      <c r="A1873" s="4" t="s">
        <v>4339</v>
      </c>
      <c r="B1873" s="4" t="s">
        <v>7</v>
      </c>
      <c r="C1873" s="4">
        <v>8.3000000000000007</v>
      </c>
    </row>
    <row r="1874" spans="1:3" x14ac:dyDescent="0.3">
      <c r="A1874" s="3" t="s">
        <v>4341</v>
      </c>
      <c r="B1874" s="3" t="s">
        <v>7</v>
      </c>
      <c r="C1874" s="3">
        <v>6.7</v>
      </c>
    </row>
    <row r="1875" spans="1:3" x14ac:dyDescent="0.3">
      <c r="A1875" s="4" t="s">
        <v>4343</v>
      </c>
      <c r="B1875" s="4" t="s">
        <v>7</v>
      </c>
      <c r="C1875" s="4">
        <v>7.8</v>
      </c>
    </row>
    <row r="1876" spans="1:3" x14ac:dyDescent="0.3">
      <c r="A1876" s="3" t="s">
        <v>4346</v>
      </c>
      <c r="B1876" s="3" t="s">
        <v>7</v>
      </c>
      <c r="C1876" s="3">
        <v>6.5</v>
      </c>
    </row>
    <row r="1877" spans="1:3" x14ac:dyDescent="0.3">
      <c r="A1877" s="4" t="s">
        <v>4348</v>
      </c>
      <c r="B1877" s="4" t="s">
        <v>7</v>
      </c>
      <c r="C1877" s="4">
        <v>6.1</v>
      </c>
    </row>
    <row r="1878" spans="1:3" x14ac:dyDescent="0.3">
      <c r="A1878" s="3" t="s">
        <v>4350</v>
      </c>
      <c r="B1878" s="3" t="s">
        <v>7</v>
      </c>
      <c r="C1878" s="3">
        <v>8.1</v>
      </c>
    </row>
    <row r="1879" spans="1:3" x14ac:dyDescent="0.3">
      <c r="A1879" s="4" t="s">
        <v>4352</v>
      </c>
      <c r="B1879" s="4" t="s">
        <v>7</v>
      </c>
      <c r="C1879" s="4">
        <v>5.2</v>
      </c>
    </row>
    <row r="1880" spans="1:3" x14ac:dyDescent="0.3">
      <c r="A1880" s="3" t="s">
        <v>4354</v>
      </c>
      <c r="B1880" s="3" t="s">
        <v>7</v>
      </c>
      <c r="C1880" s="3">
        <v>5.6</v>
      </c>
    </row>
    <row r="1881" spans="1:3" x14ac:dyDescent="0.3">
      <c r="A1881" s="4" t="s">
        <v>4356</v>
      </c>
      <c r="B1881" s="4" t="s">
        <v>7</v>
      </c>
      <c r="C1881" s="4">
        <v>5.8</v>
      </c>
    </row>
    <row r="1882" spans="1:3" x14ac:dyDescent="0.3">
      <c r="A1882" s="3" t="s">
        <v>4358</v>
      </c>
      <c r="B1882" s="3" t="s">
        <v>7</v>
      </c>
      <c r="C1882" s="3">
        <v>6.6</v>
      </c>
    </row>
    <row r="1883" spans="1:3" x14ac:dyDescent="0.3">
      <c r="A1883" s="4" t="s">
        <v>4360</v>
      </c>
      <c r="B1883" s="4" t="s">
        <v>7</v>
      </c>
      <c r="C1883" s="4">
        <v>6.6</v>
      </c>
    </row>
    <row r="1884" spans="1:3" x14ac:dyDescent="0.3">
      <c r="A1884" s="3" t="s">
        <v>4362</v>
      </c>
      <c r="B1884" s="3" t="s">
        <v>7</v>
      </c>
      <c r="C1884" s="3">
        <v>5.5</v>
      </c>
    </row>
    <row r="1885" spans="1:3" x14ac:dyDescent="0.3">
      <c r="A1885" s="4" t="s">
        <v>4364</v>
      </c>
      <c r="B1885" s="4" t="s">
        <v>7</v>
      </c>
      <c r="C1885" s="4">
        <v>5.5</v>
      </c>
    </row>
    <row r="1886" spans="1:3" x14ac:dyDescent="0.3">
      <c r="A1886" s="3" t="s">
        <v>4366</v>
      </c>
      <c r="B1886" s="3" t="s">
        <v>7</v>
      </c>
      <c r="C1886" s="3">
        <v>7</v>
      </c>
    </row>
    <row r="1887" spans="1:3" x14ac:dyDescent="0.3">
      <c r="A1887" s="4" t="s">
        <v>4368</v>
      </c>
      <c r="B1887" s="4" t="s">
        <v>7</v>
      </c>
      <c r="C1887" s="4">
        <v>6.5</v>
      </c>
    </row>
    <row r="1888" spans="1:3" x14ac:dyDescent="0.3">
      <c r="A1888" s="3" t="s">
        <v>4370</v>
      </c>
      <c r="B1888" s="3" t="s">
        <v>7</v>
      </c>
      <c r="C1888" s="3">
        <v>5.8</v>
      </c>
    </row>
    <row r="1889" spans="1:3" x14ac:dyDescent="0.3">
      <c r="A1889" s="4" t="s">
        <v>4372</v>
      </c>
      <c r="B1889" s="4" t="s">
        <v>7</v>
      </c>
      <c r="C1889" s="4">
        <v>5.6</v>
      </c>
    </row>
    <row r="1890" spans="1:3" x14ac:dyDescent="0.3">
      <c r="A1890" s="3" t="s">
        <v>4374</v>
      </c>
      <c r="B1890" s="3" t="s">
        <v>7</v>
      </c>
      <c r="C1890" s="3">
        <v>5.6</v>
      </c>
    </row>
    <row r="1891" spans="1:3" x14ac:dyDescent="0.3">
      <c r="A1891" s="4" t="s">
        <v>4376</v>
      </c>
      <c r="B1891" s="4" t="s">
        <v>7</v>
      </c>
      <c r="C1891" s="4">
        <v>5.8</v>
      </c>
    </row>
    <row r="1892" spans="1:3" x14ac:dyDescent="0.3">
      <c r="A1892" s="3" t="s">
        <v>4378</v>
      </c>
      <c r="B1892" s="3" t="s">
        <v>7</v>
      </c>
      <c r="C1892" s="3">
        <v>7.6</v>
      </c>
    </row>
    <row r="1893" spans="1:3" x14ac:dyDescent="0.3">
      <c r="A1893" s="4" t="s">
        <v>4381</v>
      </c>
      <c r="B1893" s="4" t="s">
        <v>7</v>
      </c>
      <c r="C1893" s="4">
        <v>6.4</v>
      </c>
    </row>
    <row r="1894" spans="1:3" x14ac:dyDescent="0.3">
      <c r="A1894" s="3" t="s">
        <v>4383</v>
      </c>
      <c r="B1894" s="3" t="s">
        <v>7</v>
      </c>
      <c r="C1894" s="3">
        <v>6.3</v>
      </c>
    </row>
    <row r="1895" spans="1:3" x14ac:dyDescent="0.3">
      <c r="A1895" s="4" t="s">
        <v>4385</v>
      </c>
      <c r="B1895" s="4" t="s">
        <v>7</v>
      </c>
      <c r="C1895" s="4">
        <v>4.5999999999999996</v>
      </c>
    </row>
    <row r="1896" spans="1:3" x14ac:dyDescent="0.3">
      <c r="A1896" s="3" t="s">
        <v>4387</v>
      </c>
      <c r="B1896" s="3" t="s">
        <v>7</v>
      </c>
      <c r="C1896" s="3">
        <v>6.5</v>
      </c>
    </row>
    <row r="1897" spans="1:3" x14ac:dyDescent="0.3">
      <c r="A1897" s="4" t="s">
        <v>4389</v>
      </c>
      <c r="B1897" s="4" t="s">
        <v>7</v>
      </c>
      <c r="C1897" s="4">
        <v>7.5</v>
      </c>
    </row>
    <row r="1898" spans="1:3" x14ac:dyDescent="0.3">
      <c r="A1898" s="3" t="s">
        <v>4392</v>
      </c>
      <c r="B1898" s="3" t="s">
        <v>7</v>
      </c>
      <c r="C1898" s="3">
        <v>7.5</v>
      </c>
    </row>
    <row r="1899" spans="1:3" x14ac:dyDescent="0.3">
      <c r="A1899" s="4" t="s">
        <v>4394</v>
      </c>
      <c r="B1899" s="4" t="s">
        <v>7</v>
      </c>
      <c r="C1899" s="4">
        <v>5.3</v>
      </c>
    </row>
    <row r="1900" spans="1:3" x14ac:dyDescent="0.3">
      <c r="A1900" s="3" t="s">
        <v>4396</v>
      </c>
      <c r="B1900" s="3" t="s">
        <v>7</v>
      </c>
      <c r="C1900" s="3">
        <v>7.5</v>
      </c>
    </row>
    <row r="1901" spans="1:3" x14ac:dyDescent="0.3">
      <c r="A1901" s="4" t="s">
        <v>4398</v>
      </c>
      <c r="B1901" s="4" t="s">
        <v>7</v>
      </c>
      <c r="C1901" s="4">
        <v>3.3</v>
      </c>
    </row>
    <row r="1902" spans="1:3" x14ac:dyDescent="0.3">
      <c r="A1902" s="3" t="s">
        <v>4400</v>
      </c>
      <c r="B1902" s="3" t="s">
        <v>7</v>
      </c>
      <c r="C1902" s="3">
        <v>5.7</v>
      </c>
    </row>
    <row r="1903" spans="1:3" x14ac:dyDescent="0.3">
      <c r="A1903" s="4" t="s">
        <v>4402</v>
      </c>
      <c r="B1903" s="4" t="s">
        <v>7</v>
      </c>
      <c r="C1903" s="4">
        <v>3.5</v>
      </c>
    </row>
    <row r="1904" spans="1:3" x14ac:dyDescent="0.3">
      <c r="A1904" s="3" t="s">
        <v>4404</v>
      </c>
      <c r="B1904" s="3" t="s">
        <v>7</v>
      </c>
      <c r="C1904" s="3">
        <v>9.3000000000000007</v>
      </c>
    </row>
    <row r="1905" spans="1:3" x14ac:dyDescent="0.3">
      <c r="A1905" s="4" t="s">
        <v>4407</v>
      </c>
      <c r="B1905" s="4" t="s">
        <v>7</v>
      </c>
      <c r="C1905" s="4">
        <v>4.8</v>
      </c>
    </row>
    <row r="1906" spans="1:3" x14ac:dyDescent="0.3">
      <c r="A1906" s="3" t="s">
        <v>4409</v>
      </c>
      <c r="B1906" s="3" t="s">
        <v>7</v>
      </c>
      <c r="C1906" s="3">
        <v>6.9</v>
      </c>
    </row>
    <row r="1907" spans="1:3" x14ac:dyDescent="0.3">
      <c r="A1907" s="4" t="s">
        <v>4411</v>
      </c>
      <c r="B1907" s="4" t="s">
        <v>7</v>
      </c>
      <c r="C1907" s="4">
        <v>6</v>
      </c>
    </row>
    <row r="1908" spans="1:3" x14ac:dyDescent="0.3">
      <c r="A1908" s="3" t="s">
        <v>4413</v>
      </c>
      <c r="B1908" s="3" t="s">
        <v>4415</v>
      </c>
      <c r="C1908" s="3">
        <v>7.3</v>
      </c>
    </row>
    <row r="1909" spans="1:3" x14ac:dyDescent="0.3">
      <c r="A1909" s="4" t="s">
        <v>4418</v>
      </c>
      <c r="B1909" s="4" t="s">
        <v>582</v>
      </c>
      <c r="C1909" s="4">
        <v>6</v>
      </c>
    </row>
    <row r="1910" spans="1:3" x14ac:dyDescent="0.3">
      <c r="A1910" s="3" t="s">
        <v>4420</v>
      </c>
      <c r="B1910" s="3" t="s">
        <v>7</v>
      </c>
      <c r="C1910" s="3">
        <v>6.6</v>
      </c>
    </row>
    <row r="1911" spans="1:3" x14ac:dyDescent="0.3">
      <c r="A1911" s="4" t="s">
        <v>4422</v>
      </c>
      <c r="B1911" s="4" t="s">
        <v>7</v>
      </c>
      <c r="C1911" s="4">
        <v>7.5</v>
      </c>
    </row>
    <row r="1912" spans="1:3" x14ac:dyDescent="0.3">
      <c r="A1912" s="3" t="s">
        <v>4424</v>
      </c>
      <c r="B1912" s="3" t="s">
        <v>7</v>
      </c>
      <c r="C1912" s="3">
        <v>6.9</v>
      </c>
    </row>
    <row r="1913" spans="1:3" x14ac:dyDescent="0.3">
      <c r="A1913" s="4" t="s">
        <v>4426</v>
      </c>
      <c r="B1913" s="4" t="s">
        <v>7</v>
      </c>
      <c r="C1913" s="4">
        <v>6.8</v>
      </c>
    </row>
    <row r="1914" spans="1:3" x14ac:dyDescent="0.3">
      <c r="A1914" s="3" t="s">
        <v>4428</v>
      </c>
      <c r="B1914" s="3" t="s">
        <v>7</v>
      </c>
      <c r="C1914" s="3">
        <v>6.3</v>
      </c>
    </row>
    <row r="1915" spans="1:3" x14ac:dyDescent="0.3">
      <c r="A1915" s="4" t="s">
        <v>4430</v>
      </c>
      <c r="B1915" s="4" t="s">
        <v>7</v>
      </c>
      <c r="C1915" s="4">
        <v>6.4</v>
      </c>
    </row>
    <row r="1916" spans="1:3" x14ac:dyDescent="0.3">
      <c r="A1916" s="3" t="s">
        <v>4432</v>
      </c>
      <c r="B1916" s="3" t="s">
        <v>7</v>
      </c>
      <c r="C1916" s="3">
        <v>5.6</v>
      </c>
    </row>
    <row r="1917" spans="1:3" x14ac:dyDescent="0.3">
      <c r="A1917" s="4" t="s">
        <v>4434</v>
      </c>
      <c r="B1917" s="4" t="s">
        <v>7</v>
      </c>
      <c r="C1917" s="4">
        <v>6.3</v>
      </c>
    </row>
    <row r="1918" spans="1:3" x14ac:dyDescent="0.3">
      <c r="A1918" s="3" t="s">
        <v>4436</v>
      </c>
      <c r="B1918" s="3" t="s">
        <v>7</v>
      </c>
      <c r="C1918" s="3">
        <v>7.3</v>
      </c>
    </row>
    <row r="1919" spans="1:3" x14ac:dyDescent="0.3">
      <c r="A1919" s="4" t="s">
        <v>4438</v>
      </c>
      <c r="B1919" s="4" t="s">
        <v>7</v>
      </c>
      <c r="C1919" s="4">
        <v>6.6</v>
      </c>
    </row>
    <row r="1920" spans="1:3" x14ac:dyDescent="0.3">
      <c r="A1920" s="3" t="s">
        <v>4441</v>
      </c>
      <c r="B1920" s="3" t="s">
        <v>7</v>
      </c>
      <c r="C1920" s="3">
        <v>4.5999999999999996</v>
      </c>
    </row>
    <row r="1921" spans="1:3" x14ac:dyDescent="0.3">
      <c r="A1921" s="4" t="s">
        <v>4443</v>
      </c>
      <c r="B1921" s="4" t="s">
        <v>7</v>
      </c>
      <c r="C1921" s="4">
        <v>5.0999999999999996</v>
      </c>
    </row>
    <row r="1922" spans="1:3" x14ac:dyDescent="0.3">
      <c r="A1922" s="3" t="s">
        <v>4445</v>
      </c>
      <c r="B1922" s="3" t="s">
        <v>7</v>
      </c>
      <c r="C1922" s="3">
        <v>5.6</v>
      </c>
    </row>
    <row r="1923" spans="1:3" x14ac:dyDescent="0.3">
      <c r="A1923" s="4" t="s">
        <v>4447</v>
      </c>
      <c r="B1923" s="4" t="s">
        <v>7</v>
      </c>
      <c r="C1923" s="4">
        <v>5.3</v>
      </c>
    </row>
    <row r="1924" spans="1:3" x14ac:dyDescent="0.3">
      <c r="A1924" s="3" t="s">
        <v>4449</v>
      </c>
      <c r="B1924" s="3" t="s">
        <v>7</v>
      </c>
      <c r="C1924" s="3">
        <v>7.5</v>
      </c>
    </row>
    <row r="1925" spans="1:3" x14ac:dyDescent="0.3">
      <c r="A1925" s="4" t="s">
        <v>4451</v>
      </c>
      <c r="B1925" s="4" t="s">
        <v>7</v>
      </c>
      <c r="C1925" s="4">
        <v>5.6</v>
      </c>
    </row>
    <row r="1926" spans="1:3" x14ac:dyDescent="0.3">
      <c r="A1926" s="3" t="s">
        <v>4453</v>
      </c>
      <c r="B1926" s="3" t="s">
        <v>7</v>
      </c>
      <c r="C1926" s="3">
        <v>5.9</v>
      </c>
    </row>
    <row r="1927" spans="1:3" x14ac:dyDescent="0.3">
      <c r="A1927" s="4" t="s">
        <v>4455</v>
      </c>
      <c r="B1927" s="4" t="s">
        <v>7</v>
      </c>
      <c r="C1927" s="4">
        <v>4.7</v>
      </c>
    </row>
    <row r="1928" spans="1:3" x14ac:dyDescent="0.3">
      <c r="A1928" s="3" t="s">
        <v>4457</v>
      </c>
      <c r="B1928" s="3" t="s">
        <v>7</v>
      </c>
      <c r="C1928" s="3">
        <v>4.8</v>
      </c>
    </row>
    <row r="1929" spans="1:3" x14ac:dyDescent="0.3">
      <c r="A1929" s="4" t="s">
        <v>4459</v>
      </c>
      <c r="B1929" s="4" t="s">
        <v>7</v>
      </c>
      <c r="C1929" s="4">
        <v>6.8</v>
      </c>
    </row>
    <row r="1930" spans="1:3" x14ac:dyDescent="0.3">
      <c r="A1930" s="3" t="s">
        <v>4461</v>
      </c>
      <c r="B1930" s="3" t="s">
        <v>7</v>
      </c>
      <c r="C1930" s="3">
        <v>5.4</v>
      </c>
    </row>
    <row r="1931" spans="1:3" x14ac:dyDescent="0.3">
      <c r="A1931" s="4" t="s">
        <v>4463</v>
      </c>
      <c r="B1931" s="4" t="s">
        <v>7</v>
      </c>
      <c r="C1931" s="4">
        <v>5.0999999999999996</v>
      </c>
    </row>
    <row r="1932" spans="1:3" x14ac:dyDescent="0.3">
      <c r="A1932" s="3" t="s">
        <v>4465</v>
      </c>
      <c r="B1932" s="3" t="s">
        <v>7</v>
      </c>
      <c r="C1932" s="3">
        <v>7</v>
      </c>
    </row>
    <row r="1933" spans="1:3" x14ac:dyDescent="0.3">
      <c r="A1933" s="4" t="s">
        <v>4467</v>
      </c>
      <c r="B1933" s="4" t="s">
        <v>7</v>
      </c>
      <c r="C1933" s="4">
        <v>6.7</v>
      </c>
    </row>
    <row r="1934" spans="1:3" x14ac:dyDescent="0.3">
      <c r="A1934" s="3" t="s">
        <v>4469</v>
      </c>
      <c r="B1934" s="3" t="s">
        <v>7</v>
      </c>
      <c r="C1934" s="3">
        <v>4</v>
      </c>
    </row>
    <row r="1935" spans="1:3" x14ac:dyDescent="0.3">
      <c r="A1935" s="4" t="s">
        <v>4471</v>
      </c>
      <c r="B1935" s="4" t="s">
        <v>7</v>
      </c>
      <c r="C1935" s="4">
        <v>7.3</v>
      </c>
    </row>
    <row r="1936" spans="1:3" x14ac:dyDescent="0.3">
      <c r="A1936" s="3" t="s">
        <v>4473</v>
      </c>
      <c r="B1936" s="3" t="s">
        <v>7</v>
      </c>
      <c r="C1936" s="3">
        <v>6.8</v>
      </c>
    </row>
    <row r="1937" spans="1:3" x14ac:dyDescent="0.3">
      <c r="A1937" s="4" t="s">
        <v>4475</v>
      </c>
      <c r="B1937" s="4" t="s">
        <v>7</v>
      </c>
      <c r="C1937" s="4">
        <v>6.1</v>
      </c>
    </row>
    <row r="1938" spans="1:3" x14ac:dyDescent="0.3">
      <c r="A1938" s="3" t="s">
        <v>4477</v>
      </c>
      <c r="B1938" s="3" t="s">
        <v>7</v>
      </c>
      <c r="C1938" s="3">
        <v>7</v>
      </c>
    </row>
    <row r="1939" spans="1:3" x14ac:dyDescent="0.3">
      <c r="A1939" s="4" t="s">
        <v>4479</v>
      </c>
      <c r="B1939" s="4" t="s">
        <v>7</v>
      </c>
      <c r="C1939" s="4">
        <v>7.1</v>
      </c>
    </row>
    <row r="1940" spans="1:3" x14ac:dyDescent="0.3">
      <c r="A1940" s="3" t="s">
        <v>4481</v>
      </c>
      <c r="B1940" s="3" t="s">
        <v>7</v>
      </c>
      <c r="C1940" s="3">
        <v>6.9</v>
      </c>
    </row>
    <row r="1941" spans="1:3" x14ac:dyDescent="0.3">
      <c r="A1941" s="4" t="s">
        <v>4483</v>
      </c>
      <c r="B1941" s="4" t="s">
        <v>7</v>
      </c>
      <c r="C1941" s="4">
        <v>7.3</v>
      </c>
    </row>
    <row r="1942" spans="1:3" x14ac:dyDescent="0.3">
      <c r="A1942" s="3" t="s">
        <v>4485</v>
      </c>
      <c r="B1942" s="3" t="s">
        <v>7</v>
      </c>
      <c r="C1942" s="3">
        <v>6.3</v>
      </c>
    </row>
    <row r="1943" spans="1:3" x14ac:dyDescent="0.3">
      <c r="A1943" s="4" t="s">
        <v>4487</v>
      </c>
      <c r="B1943" s="4" t="s">
        <v>7</v>
      </c>
      <c r="C1943" s="4">
        <v>8.1999999999999993</v>
      </c>
    </row>
    <row r="1944" spans="1:3" x14ac:dyDescent="0.3">
      <c r="A1944" s="3" t="s">
        <v>4490</v>
      </c>
      <c r="B1944" s="3" t="s">
        <v>7</v>
      </c>
      <c r="C1944" s="3">
        <v>7.1</v>
      </c>
    </row>
    <row r="1945" spans="1:3" x14ac:dyDescent="0.3">
      <c r="A1945" s="4" t="s">
        <v>4492</v>
      </c>
      <c r="B1945" s="4" t="s">
        <v>7</v>
      </c>
      <c r="C1945" s="4">
        <v>7.7</v>
      </c>
    </row>
    <row r="1946" spans="1:3" x14ac:dyDescent="0.3">
      <c r="A1946" s="3" t="s">
        <v>4495</v>
      </c>
      <c r="B1946" s="3" t="s">
        <v>7</v>
      </c>
      <c r="C1946" s="3">
        <v>6.5</v>
      </c>
    </row>
    <row r="1947" spans="1:3" x14ac:dyDescent="0.3">
      <c r="A1947" s="4" t="s">
        <v>4497</v>
      </c>
      <c r="B1947" s="4" t="s">
        <v>7</v>
      </c>
      <c r="C1947" s="4">
        <v>4.9000000000000004</v>
      </c>
    </row>
    <row r="1948" spans="1:3" x14ac:dyDescent="0.3">
      <c r="A1948" s="3" t="s">
        <v>4499</v>
      </c>
      <c r="B1948" s="3" t="s">
        <v>7</v>
      </c>
      <c r="C1948" s="3">
        <v>6.4</v>
      </c>
    </row>
    <row r="1949" spans="1:3" x14ac:dyDescent="0.3">
      <c r="A1949" s="4" t="s">
        <v>4501</v>
      </c>
      <c r="B1949" s="4" t="s">
        <v>7</v>
      </c>
      <c r="C1949" s="4">
        <v>5.9</v>
      </c>
    </row>
    <row r="1950" spans="1:3" x14ac:dyDescent="0.3">
      <c r="A1950" s="3" t="s">
        <v>4503</v>
      </c>
      <c r="B1950" s="3" t="s">
        <v>7</v>
      </c>
      <c r="C1950" s="3">
        <v>6.2</v>
      </c>
    </row>
    <row r="1951" spans="1:3" x14ac:dyDescent="0.3">
      <c r="A1951" s="4" t="s">
        <v>4505</v>
      </c>
      <c r="B1951" s="4" t="s">
        <v>7</v>
      </c>
      <c r="C1951" s="4">
        <v>5.8</v>
      </c>
    </row>
    <row r="1952" spans="1:3" x14ac:dyDescent="0.3">
      <c r="A1952" s="3" t="s">
        <v>4507</v>
      </c>
      <c r="B1952" s="3" t="s">
        <v>7</v>
      </c>
      <c r="C1952" s="3">
        <v>6.7</v>
      </c>
    </row>
    <row r="1953" spans="1:3" x14ac:dyDescent="0.3">
      <c r="A1953" s="4" t="s">
        <v>4509</v>
      </c>
      <c r="B1953" s="4" t="s">
        <v>7</v>
      </c>
      <c r="C1953" s="4">
        <v>5.9</v>
      </c>
    </row>
    <row r="1954" spans="1:3" x14ac:dyDescent="0.3">
      <c r="A1954" s="3" t="s">
        <v>4512</v>
      </c>
      <c r="B1954" s="3" t="s">
        <v>7</v>
      </c>
      <c r="C1954" s="3">
        <v>7.3</v>
      </c>
    </row>
    <row r="1955" spans="1:3" x14ac:dyDescent="0.3">
      <c r="A1955" s="4" t="s">
        <v>4515</v>
      </c>
      <c r="B1955" s="4" t="s">
        <v>7</v>
      </c>
      <c r="C1955" s="4">
        <v>4.8</v>
      </c>
    </row>
    <row r="1956" spans="1:3" x14ac:dyDescent="0.3">
      <c r="A1956" s="3" t="s">
        <v>4517</v>
      </c>
      <c r="B1956" s="3" t="s">
        <v>7</v>
      </c>
      <c r="C1956" s="3">
        <v>4.0999999999999996</v>
      </c>
    </row>
    <row r="1957" spans="1:3" x14ac:dyDescent="0.3">
      <c r="A1957" s="4" t="s">
        <v>4519</v>
      </c>
      <c r="B1957" s="4" t="s">
        <v>7</v>
      </c>
      <c r="C1957" s="4">
        <v>4.9000000000000004</v>
      </c>
    </row>
    <row r="1958" spans="1:3" x14ac:dyDescent="0.3">
      <c r="A1958" s="3" t="s">
        <v>4521</v>
      </c>
      <c r="B1958" s="3" t="s">
        <v>7</v>
      </c>
      <c r="C1958" s="3">
        <v>7.9</v>
      </c>
    </row>
    <row r="1959" spans="1:3" x14ac:dyDescent="0.3">
      <c r="A1959" s="4" t="s">
        <v>4524</v>
      </c>
      <c r="B1959" s="4" t="s">
        <v>7</v>
      </c>
      <c r="C1959" s="4">
        <v>5.6</v>
      </c>
    </row>
    <row r="1960" spans="1:3" x14ac:dyDescent="0.3">
      <c r="A1960" s="3" t="s">
        <v>4526</v>
      </c>
      <c r="B1960" s="3" t="s">
        <v>7</v>
      </c>
      <c r="C1960" s="3">
        <v>5.2</v>
      </c>
    </row>
    <row r="1961" spans="1:3" x14ac:dyDescent="0.3">
      <c r="A1961" s="4" t="s">
        <v>4528</v>
      </c>
      <c r="B1961" s="4" t="s">
        <v>7</v>
      </c>
      <c r="C1961" s="4">
        <v>4.0999999999999996</v>
      </c>
    </row>
    <row r="1962" spans="1:3" x14ac:dyDescent="0.3">
      <c r="A1962" s="3" t="s">
        <v>4530</v>
      </c>
      <c r="B1962" s="3" t="s">
        <v>7</v>
      </c>
      <c r="C1962" s="3">
        <v>6.6</v>
      </c>
    </row>
    <row r="1963" spans="1:3" x14ac:dyDescent="0.3">
      <c r="A1963" s="4" t="s">
        <v>4532</v>
      </c>
      <c r="B1963" s="4" t="s">
        <v>7</v>
      </c>
      <c r="C1963" s="4">
        <v>2.9</v>
      </c>
    </row>
    <row r="1964" spans="1:3" x14ac:dyDescent="0.3">
      <c r="A1964" s="3" t="s">
        <v>4534</v>
      </c>
      <c r="B1964" s="3" t="s">
        <v>7</v>
      </c>
      <c r="C1964" s="3">
        <v>7.2</v>
      </c>
    </row>
    <row r="1965" spans="1:3" x14ac:dyDescent="0.3">
      <c r="A1965" s="4" t="s">
        <v>4536</v>
      </c>
      <c r="B1965" s="4" t="s">
        <v>7</v>
      </c>
      <c r="C1965" s="4">
        <v>6.5</v>
      </c>
    </row>
    <row r="1966" spans="1:3" x14ac:dyDescent="0.3">
      <c r="A1966" s="3" t="s">
        <v>4539</v>
      </c>
      <c r="B1966" s="3" t="s">
        <v>7</v>
      </c>
      <c r="C1966" s="3">
        <v>6.8</v>
      </c>
    </row>
    <row r="1967" spans="1:3" x14ac:dyDescent="0.3">
      <c r="A1967" s="4" t="s">
        <v>4541</v>
      </c>
      <c r="B1967" s="4" t="s">
        <v>7</v>
      </c>
      <c r="C1967" s="4">
        <v>7.2</v>
      </c>
    </row>
    <row r="1968" spans="1:3" x14ac:dyDescent="0.3">
      <c r="A1968" s="3" t="s">
        <v>4543</v>
      </c>
      <c r="B1968" s="3" t="s">
        <v>7</v>
      </c>
      <c r="C1968" s="3">
        <v>6.8</v>
      </c>
    </row>
    <row r="1969" spans="1:3" x14ac:dyDescent="0.3">
      <c r="A1969" s="4" t="s">
        <v>4546</v>
      </c>
      <c r="B1969" s="4" t="s">
        <v>7</v>
      </c>
      <c r="C1969" s="4">
        <v>7.8</v>
      </c>
    </row>
    <row r="1970" spans="1:3" x14ac:dyDescent="0.3">
      <c r="A1970" s="3" t="s">
        <v>4548</v>
      </c>
      <c r="B1970" s="3" t="s">
        <v>7</v>
      </c>
      <c r="C1970" s="3">
        <v>6.7</v>
      </c>
    </row>
    <row r="1971" spans="1:3" x14ac:dyDescent="0.3">
      <c r="A1971" s="4" t="s">
        <v>4550</v>
      </c>
      <c r="B1971" s="4" t="s">
        <v>7</v>
      </c>
      <c r="C1971" s="4">
        <v>6.1</v>
      </c>
    </row>
    <row r="1972" spans="1:3" x14ac:dyDescent="0.3">
      <c r="A1972" s="3" t="s">
        <v>4553</v>
      </c>
      <c r="B1972" s="3" t="s">
        <v>7</v>
      </c>
      <c r="C1972" s="3">
        <v>7.1</v>
      </c>
    </row>
    <row r="1973" spans="1:3" x14ac:dyDescent="0.3">
      <c r="A1973" s="4" t="s">
        <v>4555</v>
      </c>
      <c r="B1973" s="4" t="s">
        <v>7</v>
      </c>
      <c r="C1973" s="4">
        <v>5.7</v>
      </c>
    </row>
    <row r="1974" spans="1:3" x14ac:dyDescent="0.3">
      <c r="A1974" s="3" t="s">
        <v>4557</v>
      </c>
      <c r="B1974" s="3" t="s">
        <v>7</v>
      </c>
      <c r="C1974" s="3">
        <v>2.9</v>
      </c>
    </row>
    <row r="1975" spans="1:3" x14ac:dyDescent="0.3">
      <c r="A1975" s="4" t="s">
        <v>4559</v>
      </c>
      <c r="B1975" s="4" t="s">
        <v>7</v>
      </c>
      <c r="C1975" s="4">
        <v>5.2</v>
      </c>
    </row>
    <row r="1976" spans="1:3" x14ac:dyDescent="0.3">
      <c r="A1976" s="3" t="s">
        <v>4562</v>
      </c>
      <c r="B1976" s="3" t="s">
        <v>7</v>
      </c>
      <c r="C1976" s="3">
        <v>5.3</v>
      </c>
    </row>
    <row r="1977" spans="1:3" x14ac:dyDescent="0.3">
      <c r="A1977" s="4" t="s">
        <v>4564</v>
      </c>
      <c r="B1977" s="4" t="s">
        <v>7</v>
      </c>
      <c r="C1977" s="4">
        <v>6.2</v>
      </c>
    </row>
    <row r="1978" spans="1:3" x14ac:dyDescent="0.3">
      <c r="A1978" s="3" t="s">
        <v>4566</v>
      </c>
      <c r="B1978" s="3" t="s">
        <v>7</v>
      </c>
      <c r="C1978" s="3">
        <v>7.3</v>
      </c>
    </row>
    <row r="1979" spans="1:3" x14ac:dyDescent="0.3">
      <c r="A1979" s="4" t="s">
        <v>4568</v>
      </c>
      <c r="B1979" s="4" t="s">
        <v>7</v>
      </c>
      <c r="C1979" s="4">
        <v>6.5</v>
      </c>
    </row>
    <row r="1980" spans="1:3" x14ac:dyDescent="0.3">
      <c r="A1980" s="3" t="s">
        <v>4570</v>
      </c>
      <c r="B1980" s="3" t="s">
        <v>7</v>
      </c>
      <c r="C1980" s="3">
        <v>4.0999999999999996</v>
      </c>
    </row>
    <row r="1981" spans="1:3" x14ac:dyDescent="0.3">
      <c r="A1981" s="4" t="s">
        <v>4572</v>
      </c>
      <c r="B1981" s="4" t="s">
        <v>7</v>
      </c>
      <c r="C1981" s="4">
        <v>7.7</v>
      </c>
    </row>
    <row r="1982" spans="1:3" x14ac:dyDescent="0.3">
      <c r="A1982" s="3" t="s">
        <v>4574</v>
      </c>
      <c r="B1982" s="3" t="s">
        <v>7</v>
      </c>
      <c r="C1982" s="3">
        <v>6.1</v>
      </c>
    </row>
    <row r="1983" spans="1:3" x14ac:dyDescent="0.3">
      <c r="A1983" s="4" t="s">
        <v>4576</v>
      </c>
      <c r="B1983" s="4" t="s">
        <v>7</v>
      </c>
      <c r="C1983" s="4">
        <v>7.3</v>
      </c>
    </row>
    <row r="1984" spans="1:3" x14ac:dyDescent="0.3">
      <c r="A1984" s="3" t="s">
        <v>4578</v>
      </c>
      <c r="B1984" s="3" t="s">
        <v>7</v>
      </c>
      <c r="C1984" s="3">
        <v>7.2</v>
      </c>
    </row>
    <row r="1985" spans="1:3" x14ac:dyDescent="0.3">
      <c r="A1985" s="4" t="s">
        <v>4580</v>
      </c>
      <c r="B1985" s="4" t="s">
        <v>7</v>
      </c>
      <c r="C1985" s="4">
        <v>5.3</v>
      </c>
    </row>
    <row r="1986" spans="1:3" x14ac:dyDescent="0.3">
      <c r="A1986" s="3" t="s">
        <v>4582</v>
      </c>
      <c r="B1986" s="3" t="s">
        <v>7</v>
      </c>
      <c r="C1986" s="3">
        <v>6.1</v>
      </c>
    </row>
    <row r="1987" spans="1:3" x14ac:dyDescent="0.3">
      <c r="A1987" s="4" t="s">
        <v>4584</v>
      </c>
      <c r="B1987" s="4" t="s">
        <v>7</v>
      </c>
      <c r="C1987" s="4">
        <v>5.8</v>
      </c>
    </row>
    <row r="1988" spans="1:3" x14ac:dyDescent="0.3">
      <c r="A1988" s="3" t="s">
        <v>4586</v>
      </c>
      <c r="B1988" s="3" t="s">
        <v>7</v>
      </c>
      <c r="C1988" s="3">
        <v>5.7</v>
      </c>
    </row>
    <row r="1989" spans="1:3" x14ac:dyDescent="0.3">
      <c r="A1989" s="4" t="s">
        <v>4589</v>
      </c>
      <c r="B1989" s="4" t="s">
        <v>7</v>
      </c>
      <c r="C1989" s="4">
        <v>6.7</v>
      </c>
    </row>
    <row r="1990" spans="1:3" x14ac:dyDescent="0.3">
      <c r="A1990" s="3" t="s">
        <v>4591</v>
      </c>
      <c r="B1990" s="3" t="s">
        <v>7</v>
      </c>
      <c r="C1990" s="3">
        <v>6.5</v>
      </c>
    </row>
    <row r="1991" spans="1:3" x14ac:dyDescent="0.3">
      <c r="A1991" s="4" t="s">
        <v>4593</v>
      </c>
      <c r="B1991" s="4" t="s">
        <v>7</v>
      </c>
      <c r="C1991" s="4">
        <v>7.2</v>
      </c>
    </row>
    <row r="1992" spans="1:3" x14ac:dyDescent="0.3">
      <c r="A1992" s="3" t="s">
        <v>4595</v>
      </c>
      <c r="B1992" s="3" t="s">
        <v>7</v>
      </c>
      <c r="C1992" s="3">
        <v>7.6</v>
      </c>
    </row>
    <row r="1993" spans="1:3" x14ac:dyDescent="0.3">
      <c r="A1993" s="4" t="s">
        <v>4597</v>
      </c>
      <c r="B1993" s="4" t="s">
        <v>7</v>
      </c>
      <c r="C1993" s="4">
        <v>4.5999999999999996</v>
      </c>
    </row>
    <row r="1994" spans="1:3" x14ac:dyDescent="0.3">
      <c r="A1994" s="3" t="s">
        <v>4599</v>
      </c>
      <c r="B1994" s="3" t="s">
        <v>7</v>
      </c>
      <c r="C1994" s="3">
        <v>6.9</v>
      </c>
    </row>
    <row r="1995" spans="1:3" x14ac:dyDescent="0.3">
      <c r="A1995" s="4" t="s">
        <v>4601</v>
      </c>
      <c r="B1995" s="4" t="s">
        <v>7</v>
      </c>
      <c r="C1995" s="4">
        <v>6.6</v>
      </c>
    </row>
    <row r="1996" spans="1:3" x14ac:dyDescent="0.3">
      <c r="A1996" s="3" t="s">
        <v>4603</v>
      </c>
      <c r="B1996" s="3" t="s">
        <v>7</v>
      </c>
      <c r="C1996" s="3">
        <v>6.3</v>
      </c>
    </row>
    <row r="1997" spans="1:3" x14ac:dyDescent="0.3">
      <c r="A1997" s="4" t="s">
        <v>4605</v>
      </c>
      <c r="B1997" s="4" t="s">
        <v>7</v>
      </c>
      <c r="C1997" s="4">
        <v>6.2</v>
      </c>
    </row>
    <row r="1998" spans="1:3" x14ac:dyDescent="0.3">
      <c r="A1998" s="3" t="s">
        <v>4607</v>
      </c>
      <c r="B1998" s="3" t="s">
        <v>7</v>
      </c>
      <c r="C1998" s="3">
        <v>5.3</v>
      </c>
    </row>
    <row r="1999" spans="1:3" x14ac:dyDescent="0.3">
      <c r="A1999" s="4" t="s">
        <v>4609</v>
      </c>
      <c r="B1999" s="4" t="s">
        <v>7</v>
      </c>
      <c r="C1999" s="4">
        <v>7.3</v>
      </c>
    </row>
    <row r="2000" spans="1:3" x14ac:dyDescent="0.3">
      <c r="A2000" s="3" t="s">
        <v>4611</v>
      </c>
      <c r="B2000" s="3" t="s">
        <v>7</v>
      </c>
      <c r="C2000" s="3">
        <v>5.6</v>
      </c>
    </row>
    <row r="2001" spans="1:3" x14ac:dyDescent="0.3">
      <c r="A2001" s="4" t="s">
        <v>4613</v>
      </c>
      <c r="B2001" s="4" t="s">
        <v>7</v>
      </c>
      <c r="C2001" s="4">
        <v>6.2</v>
      </c>
    </row>
    <row r="2002" spans="1:3" x14ac:dyDescent="0.3">
      <c r="A2002" s="3" t="s">
        <v>4616</v>
      </c>
      <c r="B2002" s="3" t="s">
        <v>7</v>
      </c>
      <c r="C2002" s="3">
        <v>5.2</v>
      </c>
    </row>
    <row r="2003" spans="1:3" x14ac:dyDescent="0.3">
      <c r="A2003" s="4" t="s">
        <v>4618</v>
      </c>
      <c r="B2003" s="4" t="s">
        <v>7</v>
      </c>
      <c r="C2003" s="4">
        <v>5.3</v>
      </c>
    </row>
    <row r="2004" spans="1:3" x14ac:dyDescent="0.3">
      <c r="A2004" s="3" t="s">
        <v>4620</v>
      </c>
      <c r="B2004" s="3" t="s">
        <v>7</v>
      </c>
      <c r="C2004" s="3">
        <v>5.4</v>
      </c>
    </row>
    <row r="2005" spans="1:3" x14ac:dyDescent="0.3">
      <c r="A2005" s="4" t="s">
        <v>4622</v>
      </c>
      <c r="B2005" s="4" t="s">
        <v>7</v>
      </c>
      <c r="C2005" s="4">
        <v>4.9000000000000004</v>
      </c>
    </row>
    <row r="2006" spans="1:3" x14ac:dyDescent="0.3">
      <c r="A2006" s="3" t="s">
        <v>4625</v>
      </c>
      <c r="B2006" s="3" t="s">
        <v>7</v>
      </c>
      <c r="C2006" s="3">
        <v>5.5</v>
      </c>
    </row>
    <row r="2007" spans="1:3" x14ac:dyDescent="0.3">
      <c r="A2007" s="4" t="s">
        <v>4628</v>
      </c>
      <c r="B2007" s="4" t="s">
        <v>7</v>
      </c>
      <c r="C2007" s="4">
        <v>6.7</v>
      </c>
    </row>
    <row r="2008" spans="1:3" x14ac:dyDescent="0.3">
      <c r="A2008" s="3" t="s">
        <v>4630</v>
      </c>
      <c r="B2008" s="3" t="s">
        <v>7</v>
      </c>
      <c r="C2008" s="3">
        <v>3.9</v>
      </c>
    </row>
    <row r="2009" spans="1:3" x14ac:dyDescent="0.3">
      <c r="A2009" s="4" t="s">
        <v>4632</v>
      </c>
      <c r="B2009" s="4" t="s">
        <v>7</v>
      </c>
      <c r="C2009" s="4">
        <v>7.2</v>
      </c>
    </row>
    <row r="2010" spans="1:3" x14ac:dyDescent="0.3">
      <c r="A2010" s="3" t="s">
        <v>4634</v>
      </c>
      <c r="B2010" s="3" t="s">
        <v>7</v>
      </c>
      <c r="C2010" s="3">
        <v>5.0999999999999996</v>
      </c>
    </row>
    <row r="2011" spans="1:3" x14ac:dyDescent="0.3">
      <c r="A2011" s="4" t="s">
        <v>4636</v>
      </c>
      <c r="B2011" s="4" t="s">
        <v>7</v>
      </c>
      <c r="C2011" s="4">
        <v>6.5</v>
      </c>
    </row>
    <row r="2012" spans="1:3" x14ac:dyDescent="0.3">
      <c r="A2012" s="3" t="s">
        <v>4639</v>
      </c>
      <c r="B2012" s="3" t="s">
        <v>7</v>
      </c>
      <c r="C2012" s="3">
        <v>8.1999999999999993</v>
      </c>
    </row>
    <row r="2013" spans="1:3" x14ac:dyDescent="0.3">
      <c r="A2013" s="4" t="s">
        <v>4642</v>
      </c>
      <c r="B2013" s="4" t="s">
        <v>7</v>
      </c>
      <c r="C2013" s="4">
        <v>7.7</v>
      </c>
    </row>
    <row r="2014" spans="1:3" x14ac:dyDescent="0.3">
      <c r="A2014" s="3" t="s">
        <v>4644</v>
      </c>
      <c r="B2014" s="3" t="s">
        <v>7</v>
      </c>
      <c r="C2014" s="3">
        <v>7.2</v>
      </c>
    </row>
    <row r="2015" spans="1:3" x14ac:dyDescent="0.3">
      <c r="A2015" s="4" t="s">
        <v>4646</v>
      </c>
      <c r="B2015" s="4" t="s">
        <v>7</v>
      </c>
      <c r="C2015" s="4">
        <v>6.1</v>
      </c>
    </row>
    <row r="2016" spans="1:3" x14ac:dyDescent="0.3">
      <c r="A2016" s="3" t="s">
        <v>4648</v>
      </c>
      <c r="B2016" s="3" t="s">
        <v>7</v>
      </c>
      <c r="C2016" s="3">
        <v>8.8000000000000007</v>
      </c>
    </row>
    <row r="2017" spans="1:3" x14ac:dyDescent="0.3">
      <c r="A2017" s="4" t="s">
        <v>4650</v>
      </c>
      <c r="B2017" s="4" t="s">
        <v>7</v>
      </c>
      <c r="C2017" s="4">
        <v>6.8</v>
      </c>
    </row>
    <row r="2018" spans="1:3" x14ac:dyDescent="0.3">
      <c r="A2018" s="3" t="s">
        <v>4652</v>
      </c>
      <c r="B2018" s="3" t="s">
        <v>7</v>
      </c>
      <c r="C2018" s="3">
        <v>6.8</v>
      </c>
    </row>
    <row r="2019" spans="1:3" x14ac:dyDescent="0.3">
      <c r="A2019" s="4" t="s">
        <v>4655</v>
      </c>
      <c r="B2019" s="4" t="s">
        <v>7</v>
      </c>
      <c r="C2019" s="4">
        <v>6.7</v>
      </c>
    </row>
    <row r="2020" spans="1:3" x14ac:dyDescent="0.3">
      <c r="A2020" s="3" t="s">
        <v>4657</v>
      </c>
      <c r="B2020" s="3" t="s">
        <v>7</v>
      </c>
      <c r="C2020" s="3">
        <v>7.1</v>
      </c>
    </row>
    <row r="2021" spans="1:3" x14ac:dyDescent="0.3">
      <c r="A2021" s="4" t="s">
        <v>4660</v>
      </c>
      <c r="B2021" s="4" t="s">
        <v>7</v>
      </c>
      <c r="C2021" s="4">
        <v>7.1</v>
      </c>
    </row>
    <row r="2022" spans="1:3" x14ac:dyDescent="0.3">
      <c r="A2022" s="3" t="s">
        <v>4662</v>
      </c>
      <c r="B2022" s="3" t="s">
        <v>7</v>
      </c>
      <c r="C2022" s="3">
        <v>6.1</v>
      </c>
    </row>
    <row r="2023" spans="1:3" x14ac:dyDescent="0.3">
      <c r="A2023" s="4" t="s">
        <v>4665</v>
      </c>
      <c r="B2023" s="4" t="s">
        <v>7</v>
      </c>
      <c r="C2023" s="4">
        <v>8</v>
      </c>
    </row>
    <row r="2024" spans="1:3" x14ac:dyDescent="0.3">
      <c r="A2024" s="3" t="s">
        <v>4668</v>
      </c>
      <c r="B2024" s="3" t="s">
        <v>7</v>
      </c>
      <c r="C2024" s="3">
        <v>7.5</v>
      </c>
    </row>
    <row r="2025" spans="1:3" x14ac:dyDescent="0.3">
      <c r="A2025" s="4" t="s">
        <v>4671</v>
      </c>
      <c r="B2025" s="4" t="s">
        <v>7</v>
      </c>
      <c r="C2025" s="4">
        <v>6.6</v>
      </c>
    </row>
    <row r="2026" spans="1:3" x14ac:dyDescent="0.3">
      <c r="A2026" s="3" t="s">
        <v>4673</v>
      </c>
      <c r="B2026" s="3" t="s">
        <v>7</v>
      </c>
      <c r="C2026" s="3">
        <v>5.4</v>
      </c>
    </row>
    <row r="2027" spans="1:3" x14ac:dyDescent="0.3">
      <c r="A2027" s="4" t="s">
        <v>4676</v>
      </c>
      <c r="B2027" s="4" t="s">
        <v>3064</v>
      </c>
      <c r="C2027" s="4">
        <v>6.1</v>
      </c>
    </row>
    <row r="2028" spans="1:3" x14ac:dyDescent="0.3">
      <c r="A2028" s="3" t="s">
        <v>4679</v>
      </c>
      <c r="B2028" s="3" t="s">
        <v>7</v>
      </c>
      <c r="C2028" s="3">
        <v>6.1</v>
      </c>
    </row>
    <row r="2029" spans="1:3" x14ac:dyDescent="0.3">
      <c r="A2029" s="4" t="s">
        <v>4681</v>
      </c>
      <c r="B2029" s="4" t="s">
        <v>4683</v>
      </c>
      <c r="C2029" s="4">
        <v>5.6</v>
      </c>
    </row>
    <row r="2030" spans="1:3" x14ac:dyDescent="0.3">
      <c r="A2030" s="3" t="s">
        <v>4684</v>
      </c>
      <c r="B2030" s="3" t="s">
        <v>7</v>
      </c>
      <c r="C2030" s="3">
        <v>5.8</v>
      </c>
    </row>
    <row r="2031" spans="1:3" x14ac:dyDescent="0.3">
      <c r="A2031" s="4" t="s">
        <v>4686</v>
      </c>
      <c r="B2031" s="4" t="s">
        <v>7</v>
      </c>
      <c r="C2031" s="4">
        <v>2.8</v>
      </c>
    </row>
    <row r="2032" spans="1:3" x14ac:dyDescent="0.3">
      <c r="A2032" s="3" t="s">
        <v>4688</v>
      </c>
      <c r="B2032" s="3" t="s">
        <v>7</v>
      </c>
      <c r="C2032" s="3">
        <v>6.7</v>
      </c>
    </row>
    <row r="2033" spans="1:3" x14ac:dyDescent="0.3">
      <c r="A2033" s="4" t="s">
        <v>4690</v>
      </c>
      <c r="B2033" s="4" t="s">
        <v>7</v>
      </c>
      <c r="C2033" s="4">
        <v>5.0999999999999996</v>
      </c>
    </row>
    <row r="2034" spans="1:3" x14ac:dyDescent="0.3">
      <c r="A2034" s="3" t="s">
        <v>4692</v>
      </c>
      <c r="B2034" s="3" t="s">
        <v>7</v>
      </c>
      <c r="C2034" s="3">
        <v>7.2</v>
      </c>
    </row>
    <row r="2035" spans="1:3" x14ac:dyDescent="0.3">
      <c r="A2035" s="4" t="s">
        <v>4694</v>
      </c>
      <c r="B2035" s="4" t="s">
        <v>7</v>
      </c>
      <c r="C2035" s="4">
        <v>6</v>
      </c>
    </row>
    <row r="2036" spans="1:3" x14ac:dyDescent="0.3">
      <c r="A2036" s="3" t="s">
        <v>4696</v>
      </c>
      <c r="B2036" s="3" t="s">
        <v>7</v>
      </c>
      <c r="C2036" s="3">
        <v>7.2</v>
      </c>
    </row>
    <row r="2037" spans="1:3" x14ac:dyDescent="0.3">
      <c r="A2037" s="4" t="s">
        <v>4698</v>
      </c>
      <c r="B2037" s="4" t="s">
        <v>7</v>
      </c>
      <c r="C2037" s="4">
        <v>6.7</v>
      </c>
    </row>
    <row r="2038" spans="1:3" x14ac:dyDescent="0.3">
      <c r="A2038" s="3" t="s">
        <v>4700</v>
      </c>
      <c r="B2038" s="3" t="s">
        <v>7</v>
      </c>
      <c r="C2038" s="3">
        <v>6.3</v>
      </c>
    </row>
    <row r="2039" spans="1:3" x14ac:dyDescent="0.3">
      <c r="A2039" s="4" t="s">
        <v>4702</v>
      </c>
      <c r="B2039" s="4" t="s">
        <v>7</v>
      </c>
      <c r="C2039" s="4">
        <v>6.2</v>
      </c>
    </row>
    <row r="2040" spans="1:3" x14ac:dyDescent="0.3">
      <c r="A2040" s="3" t="s">
        <v>4704</v>
      </c>
      <c r="B2040" s="3" t="s">
        <v>7</v>
      </c>
      <c r="C2040" s="3">
        <v>6.2</v>
      </c>
    </row>
    <row r="2041" spans="1:3" x14ac:dyDescent="0.3">
      <c r="A2041" s="4" t="s">
        <v>4706</v>
      </c>
      <c r="B2041" s="4" t="s">
        <v>7</v>
      </c>
      <c r="C2041" s="4">
        <v>6.9</v>
      </c>
    </row>
    <row r="2042" spans="1:3" x14ac:dyDescent="0.3">
      <c r="A2042" s="3" t="s">
        <v>4708</v>
      </c>
      <c r="B2042" s="3" t="s">
        <v>7</v>
      </c>
      <c r="C2042" s="3">
        <v>6.8</v>
      </c>
    </row>
    <row r="2043" spans="1:3" x14ac:dyDescent="0.3">
      <c r="A2043" s="4" t="s">
        <v>4711</v>
      </c>
      <c r="B2043" s="4" t="s">
        <v>7</v>
      </c>
      <c r="C2043" s="4">
        <v>7.1</v>
      </c>
    </row>
    <row r="2044" spans="1:3" x14ac:dyDescent="0.3">
      <c r="A2044" s="3" t="s">
        <v>4713</v>
      </c>
      <c r="B2044" s="3" t="s">
        <v>7</v>
      </c>
      <c r="C2044" s="3">
        <v>7.1</v>
      </c>
    </row>
    <row r="2045" spans="1:3" x14ac:dyDescent="0.3">
      <c r="A2045" s="4" t="s">
        <v>4716</v>
      </c>
      <c r="B2045" s="4" t="s">
        <v>7</v>
      </c>
      <c r="C2045" s="4">
        <v>7</v>
      </c>
    </row>
    <row r="2046" spans="1:3" x14ac:dyDescent="0.3">
      <c r="A2046" s="3" t="s">
        <v>4718</v>
      </c>
      <c r="B2046" s="3" t="s">
        <v>7</v>
      </c>
      <c r="C2046" s="3">
        <v>7.1</v>
      </c>
    </row>
    <row r="2047" spans="1:3" x14ac:dyDescent="0.3">
      <c r="A2047" s="4" t="s">
        <v>4720</v>
      </c>
      <c r="B2047" s="4" t="s">
        <v>7</v>
      </c>
      <c r="C2047" s="4">
        <v>6.4</v>
      </c>
    </row>
    <row r="2048" spans="1:3" x14ac:dyDescent="0.3">
      <c r="A2048" s="3" t="s">
        <v>4722</v>
      </c>
      <c r="B2048" s="3" t="s">
        <v>7</v>
      </c>
      <c r="C2048" s="3">
        <v>7</v>
      </c>
    </row>
    <row r="2049" spans="1:3" x14ac:dyDescent="0.3">
      <c r="A2049" s="4" t="s">
        <v>4724</v>
      </c>
      <c r="B2049" s="4" t="s">
        <v>7</v>
      </c>
      <c r="C2049" s="4">
        <v>6.2</v>
      </c>
    </row>
    <row r="2050" spans="1:3" x14ac:dyDescent="0.3">
      <c r="A2050" s="3" t="s">
        <v>4726</v>
      </c>
      <c r="B2050" s="3" t="s">
        <v>7</v>
      </c>
      <c r="C2050" s="3">
        <v>7.5</v>
      </c>
    </row>
    <row r="2051" spans="1:3" x14ac:dyDescent="0.3">
      <c r="A2051" s="4" t="s">
        <v>4729</v>
      </c>
      <c r="B2051" s="4" t="s">
        <v>7</v>
      </c>
      <c r="C2051" s="4">
        <v>4.8</v>
      </c>
    </row>
    <row r="2052" spans="1:3" x14ac:dyDescent="0.3">
      <c r="A2052" s="3" t="s">
        <v>4731</v>
      </c>
      <c r="B2052" s="3" t="s">
        <v>7</v>
      </c>
      <c r="C2052" s="3">
        <v>8.1</v>
      </c>
    </row>
    <row r="2053" spans="1:3" x14ac:dyDescent="0.3">
      <c r="A2053" s="4" t="s">
        <v>4733</v>
      </c>
      <c r="B2053" s="4" t="s">
        <v>7</v>
      </c>
      <c r="C2053" s="4">
        <v>7.3</v>
      </c>
    </row>
    <row r="2054" spans="1:3" x14ac:dyDescent="0.3">
      <c r="A2054" s="3" t="s">
        <v>4735</v>
      </c>
      <c r="B2054" s="3" t="s">
        <v>7</v>
      </c>
      <c r="C2054" s="3">
        <v>5.8</v>
      </c>
    </row>
    <row r="2055" spans="1:3" x14ac:dyDescent="0.3">
      <c r="A2055" s="4" t="s">
        <v>4737</v>
      </c>
      <c r="B2055" s="4" t="s">
        <v>7</v>
      </c>
      <c r="C2055" s="4">
        <v>7.6</v>
      </c>
    </row>
    <row r="2056" spans="1:3" x14ac:dyDescent="0.3">
      <c r="A2056" s="3" t="s">
        <v>4739</v>
      </c>
      <c r="B2056" s="3" t="s">
        <v>7</v>
      </c>
      <c r="C2056" s="3">
        <v>5.6</v>
      </c>
    </row>
    <row r="2057" spans="1:3" x14ac:dyDescent="0.3">
      <c r="A2057" s="4" t="s">
        <v>4742</v>
      </c>
      <c r="B2057" s="4" t="s">
        <v>7</v>
      </c>
      <c r="C2057" s="4">
        <v>7</v>
      </c>
    </row>
    <row r="2058" spans="1:3" x14ac:dyDescent="0.3">
      <c r="A2058" s="3" t="s">
        <v>4744</v>
      </c>
      <c r="B2058" s="3" t="s">
        <v>7</v>
      </c>
      <c r="C2058" s="3">
        <v>6.6</v>
      </c>
    </row>
    <row r="2059" spans="1:3" x14ac:dyDescent="0.3">
      <c r="A2059" s="4" t="s">
        <v>4746</v>
      </c>
      <c r="B2059" s="4" t="s">
        <v>7</v>
      </c>
      <c r="C2059" s="4">
        <v>6.5</v>
      </c>
    </row>
    <row r="2060" spans="1:3" x14ac:dyDescent="0.3">
      <c r="A2060" s="3" t="s">
        <v>4748</v>
      </c>
      <c r="B2060" s="3" t="s">
        <v>7</v>
      </c>
      <c r="C2060" s="3">
        <v>7.4</v>
      </c>
    </row>
    <row r="2061" spans="1:3" x14ac:dyDescent="0.3">
      <c r="A2061" s="4" t="s">
        <v>4750</v>
      </c>
      <c r="B2061" s="4" t="s">
        <v>7</v>
      </c>
      <c r="C2061" s="4">
        <v>4.5999999999999996</v>
      </c>
    </row>
    <row r="2062" spans="1:3" x14ac:dyDescent="0.3">
      <c r="A2062" s="3" t="s">
        <v>4752</v>
      </c>
      <c r="B2062" s="3" t="s">
        <v>7</v>
      </c>
      <c r="C2062" s="3">
        <v>6.4</v>
      </c>
    </row>
    <row r="2063" spans="1:3" x14ac:dyDescent="0.3">
      <c r="A2063" s="4" t="s">
        <v>4754</v>
      </c>
      <c r="B2063" s="4" t="s">
        <v>7</v>
      </c>
      <c r="C2063" s="4">
        <v>6</v>
      </c>
    </row>
    <row r="2064" spans="1:3" x14ac:dyDescent="0.3">
      <c r="A2064" s="3" t="s">
        <v>4757</v>
      </c>
      <c r="B2064" s="3" t="s">
        <v>7</v>
      </c>
      <c r="C2064" s="3">
        <v>6.4</v>
      </c>
    </row>
    <row r="2065" spans="1:3" x14ac:dyDescent="0.3">
      <c r="A2065" s="4" t="s">
        <v>4759</v>
      </c>
      <c r="B2065" s="4" t="s">
        <v>7</v>
      </c>
      <c r="C2065" s="4">
        <v>5.9</v>
      </c>
    </row>
    <row r="2066" spans="1:3" x14ac:dyDescent="0.3">
      <c r="A2066" s="3" t="s">
        <v>4761</v>
      </c>
      <c r="B2066" s="3" t="s">
        <v>7</v>
      </c>
      <c r="C2066" s="3">
        <v>6.4</v>
      </c>
    </row>
    <row r="2067" spans="1:3" x14ac:dyDescent="0.3">
      <c r="A2067" s="4" t="s">
        <v>4763</v>
      </c>
      <c r="B2067" s="4" t="s">
        <v>7</v>
      </c>
      <c r="C2067" s="4">
        <v>6.6</v>
      </c>
    </row>
    <row r="2068" spans="1:3" x14ac:dyDescent="0.3">
      <c r="A2068" s="3" t="s">
        <v>4765</v>
      </c>
      <c r="B2068" s="3" t="s">
        <v>7</v>
      </c>
      <c r="C2068" s="3">
        <v>6.9</v>
      </c>
    </row>
    <row r="2069" spans="1:3" x14ac:dyDescent="0.3">
      <c r="A2069" s="4" t="s">
        <v>4767</v>
      </c>
      <c r="B2069" s="4" t="s">
        <v>7</v>
      </c>
      <c r="C2069" s="4">
        <v>6.9</v>
      </c>
    </row>
    <row r="2070" spans="1:3" x14ac:dyDescent="0.3">
      <c r="A2070" s="3" t="s">
        <v>4769</v>
      </c>
      <c r="B2070" s="3" t="s">
        <v>7</v>
      </c>
      <c r="C2070" s="3">
        <v>5.8</v>
      </c>
    </row>
    <row r="2071" spans="1:3" x14ac:dyDescent="0.3">
      <c r="A2071" s="4" t="s">
        <v>4772</v>
      </c>
      <c r="B2071" s="4" t="s">
        <v>7</v>
      </c>
      <c r="C2071" s="4">
        <v>6.4</v>
      </c>
    </row>
    <row r="2072" spans="1:3" x14ac:dyDescent="0.3">
      <c r="A2072" s="3" t="s">
        <v>4774</v>
      </c>
      <c r="B2072" s="3" t="s">
        <v>7</v>
      </c>
      <c r="C2072" s="3">
        <v>5.3</v>
      </c>
    </row>
    <row r="2073" spans="1:3" x14ac:dyDescent="0.3">
      <c r="A2073" s="4" t="s">
        <v>4776</v>
      </c>
      <c r="B2073" s="4" t="s">
        <v>7</v>
      </c>
      <c r="C2073" s="4">
        <v>6.5</v>
      </c>
    </row>
    <row r="2074" spans="1:3" x14ac:dyDescent="0.3">
      <c r="A2074" s="3" t="s">
        <v>4779</v>
      </c>
      <c r="B2074" s="3" t="s">
        <v>7</v>
      </c>
      <c r="C2074" s="3">
        <v>5.7</v>
      </c>
    </row>
    <row r="2075" spans="1:3" x14ac:dyDescent="0.3">
      <c r="A2075" s="4" t="s">
        <v>4781</v>
      </c>
      <c r="B2075" s="4" t="s">
        <v>7</v>
      </c>
      <c r="C2075" s="4">
        <v>6.7</v>
      </c>
    </row>
    <row r="2076" spans="1:3" x14ac:dyDescent="0.3">
      <c r="A2076" s="3" t="s">
        <v>4783</v>
      </c>
      <c r="B2076" s="3" t="s">
        <v>7</v>
      </c>
      <c r="C2076" s="3">
        <v>3.9</v>
      </c>
    </row>
    <row r="2077" spans="1:3" x14ac:dyDescent="0.3">
      <c r="A2077" s="4" t="s">
        <v>4785</v>
      </c>
      <c r="B2077" s="4" t="s">
        <v>7</v>
      </c>
      <c r="C2077" s="4">
        <v>4.0999999999999996</v>
      </c>
    </row>
    <row r="2078" spans="1:3" x14ac:dyDescent="0.3">
      <c r="A2078" s="3" t="s">
        <v>4787</v>
      </c>
      <c r="B2078" s="3" t="s">
        <v>7</v>
      </c>
      <c r="C2078" s="3">
        <v>6.2</v>
      </c>
    </row>
    <row r="2079" spans="1:3" x14ac:dyDescent="0.3">
      <c r="A2079" s="4" t="s">
        <v>4789</v>
      </c>
      <c r="B2079" s="4" t="s">
        <v>7</v>
      </c>
      <c r="C2079" s="4">
        <v>3.8</v>
      </c>
    </row>
    <row r="2080" spans="1:3" x14ac:dyDescent="0.3">
      <c r="A2080" s="3" t="s">
        <v>4791</v>
      </c>
      <c r="B2080" s="3" t="s">
        <v>7</v>
      </c>
      <c r="C2080" s="3">
        <v>5.0999999999999996</v>
      </c>
    </row>
    <row r="2081" spans="1:3" x14ac:dyDescent="0.3">
      <c r="A2081" s="4" t="s">
        <v>4793</v>
      </c>
      <c r="B2081" s="4" t="s">
        <v>7</v>
      </c>
      <c r="C2081" s="4">
        <v>6.4</v>
      </c>
    </row>
    <row r="2082" spans="1:3" x14ac:dyDescent="0.3">
      <c r="A2082" s="3" t="s">
        <v>4795</v>
      </c>
      <c r="B2082" s="3" t="s">
        <v>7</v>
      </c>
      <c r="C2082" s="3">
        <v>7.8</v>
      </c>
    </row>
    <row r="2083" spans="1:3" x14ac:dyDescent="0.3">
      <c r="A2083" s="4" t="s">
        <v>4798</v>
      </c>
      <c r="B2083" s="4" t="s">
        <v>7</v>
      </c>
      <c r="C2083" s="4">
        <v>7.8</v>
      </c>
    </row>
    <row r="2084" spans="1:3" x14ac:dyDescent="0.3">
      <c r="A2084" s="3" t="s">
        <v>4800</v>
      </c>
      <c r="B2084" s="3" t="s">
        <v>7</v>
      </c>
      <c r="C2084" s="3">
        <v>6.1</v>
      </c>
    </row>
    <row r="2085" spans="1:3" x14ac:dyDescent="0.3">
      <c r="A2085" s="4" t="s">
        <v>4802</v>
      </c>
      <c r="B2085" s="4" t="s">
        <v>247</v>
      </c>
      <c r="C2085" s="4">
        <v>5.8</v>
      </c>
    </row>
    <row r="2086" spans="1:3" x14ac:dyDescent="0.3">
      <c r="A2086" s="3" t="s">
        <v>4805</v>
      </c>
      <c r="B2086" s="3" t="s">
        <v>582</v>
      </c>
      <c r="C2086" s="3">
        <v>6.3</v>
      </c>
    </row>
    <row r="2087" spans="1:3" x14ac:dyDescent="0.3">
      <c r="A2087" s="4" t="s">
        <v>4808</v>
      </c>
      <c r="B2087" s="4" t="s">
        <v>7</v>
      </c>
      <c r="C2087" s="4">
        <v>7.7</v>
      </c>
    </row>
    <row r="2088" spans="1:3" x14ac:dyDescent="0.3">
      <c r="A2088" s="3" t="s">
        <v>4810</v>
      </c>
      <c r="B2088" s="3" t="s">
        <v>7</v>
      </c>
      <c r="C2088" s="3">
        <v>5.4</v>
      </c>
    </row>
    <row r="2089" spans="1:3" x14ac:dyDescent="0.3">
      <c r="A2089" s="4" t="s">
        <v>4812</v>
      </c>
      <c r="B2089" s="4" t="s">
        <v>7</v>
      </c>
      <c r="C2089" s="4">
        <v>7.3</v>
      </c>
    </row>
    <row r="2090" spans="1:3" x14ac:dyDescent="0.3">
      <c r="A2090" s="3" t="s">
        <v>4814</v>
      </c>
      <c r="B2090" s="3" t="s">
        <v>7</v>
      </c>
      <c r="C2090" s="3">
        <v>6.8</v>
      </c>
    </row>
    <row r="2091" spans="1:3" x14ac:dyDescent="0.3">
      <c r="A2091" s="4" t="s">
        <v>4816</v>
      </c>
      <c r="B2091" s="4" t="s">
        <v>7</v>
      </c>
      <c r="C2091" s="4">
        <v>7.3</v>
      </c>
    </row>
    <row r="2092" spans="1:3" x14ac:dyDescent="0.3">
      <c r="A2092" s="3" t="s">
        <v>4818</v>
      </c>
      <c r="B2092" s="3" t="s">
        <v>7</v>
      </c>
      <c r="C2092" s="3">
        <v>6.5</v>
      </c>
    </row>
    <row r="2093" spans="1:3" x14ac:dyDescent="0.3">
      <c r="A2093" s="4" t="s">
        <v>4820</v>
      </c>
      <c r="B2093" s="4" t="s">
        <v>7</v>
      </c>
      <c r="C2093" s="4">
        <v>7.2</v>
      </c>
    </row>
    <row r="2094" spans="1:3" x14ac:dyDescent="0.3">
      <c r="A2094" s="3" t="s">
        <v>4822</v>
      </c>
      <c r="B2094" s="3" t="s">
        <v>7</v>
      </c>
      <c r="C2094" s="3">
        <v>6.7</v>
      </c>
    </row>
    <row r="2095" spans="1:3" x14ac:dyDescent="0.3">
      <c r="A2095" s="4" t="s">
        <v>4824</v>
      </c>
      <c r="B2095" s="4" t="s">
        <v>7</v>
      </c>
      <c r="C2095" s="4">
        <v>6.3</v>
      </c>
    </row>
    <row r="2096" spans="1:3" x14ac:dyDescent="0.3">
      <c r="A2096" s="3" t="s">
        <v>4827</v>
      </c>
      <c r="B2096" s="3" t="s">
        <v>247</v>
      </c>
      <c r="C2096" s="3">
        <v>5.9</v>
      </c>
    </row>
    <row r="2097" spans="1:3" x14ac:dyDescent="0.3">
      <c r="A2097" s="4" t="s">
        <v>4829</v>
      </c>
      <c r="B2097" s="4" t="s">
        <v>7</v>
      </c>
      <c r="C2097" s="4">
        <v>7.8</v>
      </c>
    </row>
    <row r="2098" spans="1:3" x14ac:dyDescent="0.3">
      <c r="A2098" s="3" t="s">
        <v>4831</v>
      </c>
      <c r="B2098" s="3" t="s">
        <v>7</v>
      </c>
      <c r="C2098" s="3">
        <v>7.4</v>
      </c>
    </row>
    <row r="2099" spans="1:3" x14ac:dyDescent="0.3">
      <c r="A2099" s="4" t="s">
        <v>4834</v>
      </c>
      <c r="B2099" s="4" t="s">
        <v>582</v>
      </c>
      <c r="C2099" s="4">
        <v>4.8</v>
      </c>
    </row>
    <row r="2100" spans="1:3" x14ac:dyDescent="0.3">
      <c r="A2100" s="3" t="s">
        <v>4837</v>
      </c>
      <c r="B2100" s="3" t="s">
        <v>7</v>
      </c>
      <c r="C2100" s="3">
        <v>6.3</v>
      </c>
    </row>
    <row r="2101" spans="1:3" x14ac:dyDescent="0.3">
      <c r="A2101" s="4" t="s">
        <v>4839</v>
      </c>
      <c r="B2101" s="4" t="s">
        <v>7</v>
      </c>
      <c r="C2101" s="4">
        <v>7.8</v>
      </c>
    </row>
    <row r="2102" spans="1:3" x14ac:dyDescent="0.3">
      <c r="A2102" s="3" t="s">
        <v>4841</v>
      </c>
      <c r="B2102" s="3" t="s">
        <v>7</v>
      </c>
      <c r="C2102" s="3">
        <v>7.5</v>
      </c>
    </row>
    <row r="2103" spans="1:3" x14ac:dyDescent="0.3">
      <c r="A2103" s="4" t="s">
        <v>4844</v>
      </c>
      <c r="B2103" s="4" t="s">
        <v>792</v>
      </c>
      <c r="C2103" s="4">
        <v>6</v>
      </c>
    </row>
    <row r="2104" spans="1:3" x14ac:dyDescent="0.3">
      <c r="A2104" s="3" t="s">
        <v>4846</v>
      </c>
      <c r="B2104" s="3" t="s">
        <v>3702</v>
      </c>
      <c r="C2104" s="3">
        <v>6.8</v>
      </c>
    </row>
    <row r="2105" spans="1:3" x14ac:dyDescent="0.3">
      <c r="A2105" s="4" t="s">
        <v>4848</v>
      </c>
      <c r="B2105" s="4" t="s">
        <v>7</v>
      </c>
      <c r="C2105" s="4">
        <v>6.6</v>
      </c>
    </row>
    <row r="2106" spans="1:3" x14ac:dyDescent="0.3">
      <c r="A2106" s="3" t="s">
        <v>4850</v>
      </c>
      <c r="B2106" s="3" t="s">
        <v>7</v>
      </c>
      <c r="C2106" s="3">
        <v>4.5999999999999996</v>
      </c>
    </row>
    <row r="2107" spans="1:3" x14ac:dyDescent="0.3">
      <c r="A2107" s="4" t="s">
        <v>4852</v>
      </c>
      <c r="B2107" s="4" t="s">
        <v>7</v>
      </c>
      <c r="C2107" s="4">
        <v>7.1</v>
      </c>
    </row>
    <row r="2108" spans="1:3" x14ac:dyDescent="0.3">
      <c r="A2108" s="3" t="s">
        <v>4854</v>
      </c>
      <c r="B2108" s="3" t="s">
        <v>7</v>
      </c>
      <c r="C2108" s="3">
        <v>6.1</v>
      </c>
    </row>
    <row r="2109" spans="1:3" x14ac:dyDescent="0.3">
      <c r="A2109" s="4" t="s">
        <v>4856</v>
      </c>
      <c r="B2109" s="4" t="s">
        <v>7</v>
      </c>
      <c r="C2109" s="4">
        <v>6.7</v>
      </c>
    </row>
    <row r="2110" spans="1:3" x14ac:dyDescent="0.3">
      <c r="A2110" s="3" t="s">
        <v>4859</v>
      </c>
      <c r="B2110" s="3" t="s">
        <v>7</v>
      </c>
      <c r="C2110" s="3">
        <v>7.1</v>
      </c>
    </row>
    <row r="2111" spans="1:3" x14ac:dyDescent="0.3">
      <c r="A2111" s="4" t="s">
        <v>4861</v>
      </c>
      <c r="B2111" s="4" t="s">
        <v>7</v>
      </c>
      <c r="C2111" s="4">
        <v>5.8</v>
      </c>
    </row>
    <row r="2112" spans="1:3" x14ac:dyDescent="0.3">
      <c r="A2112" s="3" t="s">
        <v>4863</v>
      </c>
      <c r="B2112" s="3" t="s">
        <v>7</v>
      </c>
      <c r="C2112" s="3">
        <v>6.7</v>
      </c>
    </row>
    <row r="2113" spans="1:3" x14ac:dyDescent="0.3">
      <c r="A2113" s="4" t="s">
        <v>4865</v>
      </c>
      <c r="B2113" s="4" t="s">
        <v>7</v>
      </c>
      <c r="C2113" s="4">
        <v>5.8</v>
      </c>
    </row>
    <row r="2114" spans="1:3" x14ac:dyDescent="0.3">
      <c r="A2114" s="3" t="s">
        <v>4867</v>
      </c>
      <c r="B2114" s="3" t="s">
        <v>7</v>
      </c>
      <c r="C2114" s="3">
        <v>6.8</v>
      </c>
    </row>
    <row r="2115" spans="1:3" x14ac:dyDescent="0.3">
      <c r="A2115" s="4" t="s">
        <v>4869</v>
      </c>
      <c r="B2115" s="4" t="s">
        <v>7</v>
      </c>
      <c r="C2115" s="4">
        <v>8.5</v>
      </c>
    </row>
    <row r="2116" spans="1:3" x14ac:dyDescent="0.3">
      <c r="A2116" s="3" t="s">
        <v>4871</v>
      </c>
      <c r="B2116" s="3" t="s">
        <v>7</v>
      </c>
      <c r="C2116" s="3">
        <v>6.6</v>
      </c>
    </row>
    <row r="2117" spans="1:3" x14ac:dyDescent="0.3">
      <c r="A2117" s="4" t="s">
        <v>4873</v>
      </c>
      <c r="B2117" s="4" t="s">
        <v>7</v>
      </c>
      <c r="C2117" s="4">
        <v>7.7</v>
      </c>
    </row>
    <row r="2118" spans="1:3" x14ac:dyDescent="0.3">
      <c r="A2118" s="3" t="s">
        <v>4875</v>
      </c>
      <c r="B2118" s="3" t="s">
        <v>247</v>
      </c>
      <c r="C2118" s="3">
        <v>4.7</v>
      </c>
    </row>
    <row r="2119" spans="1:3" x14ac:dyDescent="0.3">
      <c r="A2119" s="4" t="s">
        <v>4877</v>
      </c>
      <c r="B2119" s="4" t="s">
        <v>7</v>
      </c>
      <c r="C2119" s="4">
        <v>6.4</v>
      </c>
    </row>
    <row r="2120" spans="1:3" x14ac:dyDescent="0.3">
      <c r="A2120" s="3" t="s">
        <v>4879</v>
      </c>
      <c r="B2120" s="3" t="s">
        <v>7</v>
      </c>
      <c r="C2120" s="3">
        <v>5.5</v>
      </c>
    </row>
    <row r="2121" spans="1:3" x14ac:dyDescent="0.3">
      <c r="A2121" s="4" t="s">
        <v>4882</v>
      </c>
      <c r="B2121" s="4" t="s">
        <v>7</v>
      </c>
      <c r="C2121" s="4">
        <v>8.6</v>
      </c>
    </row>
    <row r="2122" spans="1:3" x14ac:dyDescent="0.3">
      <c r="A2122" s="3" t="s">
        <v>4884</v>
      </c>
      <c r="B2122" s="3" t="s">
        <v>7</v>
      </c>
      <c r="C2122" s="3">
        <v>7</v>
      </c>
    </row>
    <row r="2123" spans="1:3" x14ac:dyDescent="0.3">
      <c r="A2123" s="4" t="s">
        <v>4886</v>
      </c>
      <c r="B2123" s="4" t="s">
        <v>7</v>
      </c>
      <c r="C2123" s="4">
        <v>7.1</v>
      </c>
    </row>
    <row r="2124" spans="1:3" x14ac:dyDescent="0.3">
      <c r="A2124" s="3" t="s">
        <v>4889</v>
      </c>
      <c r="B2124" s="3" t="s">
        <v>7</v>
      </c>
      <c r="C2124" s="3">
        <v>5.7</v>
      </c>
    </row>
    <row r="2125" spans="1:3" x14ac:dyDescent="0.3">
      <c r="A2125" s="4" t="s">
        <v>4892</v>
      </c>
      <c r="B2125" s="4" t="s">
        <v>7</v>
      </c>
      <c r="C2125" s="4">
        <v>3.7</v>
      </c>
    </row>
    <row r="2126" spans="1:3" x14ac:dyDescent="0.3">
      <c r="A2126" s="3" t="s">
        <v>4895</v>
      </c>
      <c r="B2126" s="3" t="s">
        <v>7</v>
      </c>
      <c r="C2126" s="3">
        <v>7.5</v>
      </c>
    </row>
    <row r="2127" spans="1:3" x14ac:dyDescent="0.3">
      <c r="A2127" s="4" t="s">
        <v>4897</v>
      </c>
      <c r="B2127" s="4" t="s">
        <v>7</v>
      </c>
      <c r="C2127" s="4">
        <v>4.5999999999999996</v>
      </c>
    </row>
    <row r="2128" spans="1:3" x14ac:dyDescent="0.3">
      <c r="A2128" s="3" t="s">
        <v>4899</v>
      </c>
      <c r="B2128" s="3" t="s">
        <v>7</v>
      </c>
      <c r="C2128" s="3">
        <v>4.9000000000000004</v>
      </c>
    </row>
    <row r="2129" spans="1:3" x14ac:dyDescent="0.3">
      <c r="A2129" s="4" t="s">
        <v>4901</v>
      </c>
      <c r="B2129" s="4" t="s">
        <v>7</v>
      </c>
      <c r="C2129" s="4">
        <v>6.9</v>
      </c>
    </row>
    <row r="2130" spans="1:3" x14ac:dyDescent="0.3">
      <c r="A2130" s="3" t="s">
        <v>4903</v>
      </c>
      <c r="B2130" s="3" t="s">
        <v>7</v>
      </c>
      <c r="C2130" s="3">
        <v>7.1</v>
      </c>
    </row>
    <row r="2131" spans="1:3" x14ac:dyDescent="0.3">
      <c r="A2131" s="4" t="s">
        <v>4905</v>
      </c>
      <c r="B2131" s="4" t="s">
        <v>7</v>
      </c>
      <c r="C2131" s="4">
        <v>5.8</v>
      </c>
    </row>
    <row r="2132" spans="1:3" x14ac:dyDescent="0.3">
      <c r="A2132" s="3" t="s">
        <v>4907</v>
      </c>
      <c r="B2132" s="3" t="s">
        <v>7</v>
      </c>
      <c r="C2132" s="3">
        <v>7</v>
      </c>
    </row>
    <row r="2133" spans="1:3" x14ac:dyDescent="0.3">
      <c r="A2133" s="4" t="s">
        <v>4909</v>
      </c>
      <c r="B2133" s="4" t="s">
        <v>7</v>
      </c>
      <c r="C2133" s="4">
        <v>5.4</v>
      </c>
    </row>
    <row r="2134" spans="1:3" x14ac:dyDescent="0.3">
      <c r="A2134" s="3" t="s">
        <v>4911</v>
      </c>
      <c r="B2134" s="3" t="s">
        <v>7</v>
      </c>
      <c r="C2134" s="3">
        <v>7.3</v>
      </c>
    </row>
    <row r="2135" spans="1:3" x14ac:dyDescent="0.3">
      <c r="A2135" s="4" t="s">
        <v>4913</v>
      </c>
      <c r="B2135" s="4" t="s">
        <v>7</v>
      </c>
      <c r="C2135" s="4">
        <v>7.1</v>
      </c>
    </row>
    <row r="2136" spans="1:3" x14ac:dyDescent="0.3">
      <c r="A2136" s="3" t="s">
        <v>4915</v>
      </c>
      <c r="B2136" s="3" t="s">
        <v>7</v>
      </c>
      <c r="C2136" s="3">
        <v>5.8</v>
      </c>
    </row>
    <row r="2137" spans="1:3" x14ac:dyDescent="0.3">
      <c r="A2137" s="4" t="s">
        <v>4917</v>
      </c>
      <c r="B2137" s="4" t="s">
        <v>7</v>
      </c>
      <c r="C2137" s="4">
        <v>8.1</v>
      </c>
    </row>
    <row r="2138" spans="1:3" x14ac:dyDescent="0.3">
      <c r="A2138" s="3" t="s">
        <v>4919</v>
      </c>
      <c r="B2138" s="3" t="s">
        <v>7</v>
      </c>
      <c r="C2138" s="3">
        <v>5.7</v>
      </c>
    </row>
    <row r="2139" spans="1:3" x14ac:dyDescent="0.3">
      <c r="A2139" s="4" t="s">
        <v>4922</v>
      </c>
      <c r="B2139" s="4" t="s">
        <v>7</v>
      </c>
      <c r="C2139" s="4">
        <v>4.4000000000000004</v>
      </c>
    </row>
    <row r="2140" spans="1:3" x14ac:dyDescent="0.3">
      <c r="A2140" s="3" t="s">
        <v>4924</v>
      </c>
      <c r="B2140" s="3" t="s">
        <v>7</v>
      </c>
      <c r="C2140" s="3">
        <v>7.9</v>
      </c>
    </row>
    <row r="2141" spans="1:3" x14ac:dyDescent="0.3">
      <c r="A2141" s="4" t="s">
        <v>4926</v>
      </c>
      <c r="B2141" s="4" t="s">
        <v>7</v>
      </c>
      <c r="C2141" s="4">
        <v>7.6</v>
      </c>
    </row>
    <row r="2142" spans="1:3" x14ac:dyDescent="0.3">
      <c r="A2142" s="3" t="s">
        <v>4928</v>
      </c>
      <c r="B2142" s="3" t="s">
        <v>7</v>
      </c>
      <c r="C2142" s="3">
        <v>4.8</v>
      </c>
    </row>
    <row r="2143" spans="1:3" x14ac:dyDescent="0.3">
      <c r="A2143" s="4" t="s">
        <v>4930</v>
      </c>
      <c r="B2143" s="4" t="s">
        <v>7</v>
      </c>
      <c r="C2143" s="4">
        <v>7.8</v>
      </c>
    </row>
    <row r="2144" spans="1:3" x14ac:dyDescent="0.3">
      <c r="A2144" s="3" t="s">
        <v>4932</v>
      </c>
      <c r="B2144" s="3" t="s">
        <v>7</v>
      </c>
      <c r="C2144" s="3">
        <v>6.7</v>
      </c>
    </row>
    <row r="2145" spans="1:3" x14ac:dyDescent="0.3">
      <c r="A2145" s="4" t="s">
        <v>4934</v>
      </c>
      <c r="B2145" s="4" t="s">
        <v>7</v>
      </c>
      <c r="C2145" s="4">
        <v>2.7</v>
      </c>
    </row>
    <row r="2146" spans="1:3" x14ac:dyDescent="0.3">
      <c r="A2146" s="3" t="s">
        <v>4936</v>
      </c>
      <c r="B2146" s="3" t="s">
        <v>7</v>
      </c>
      <c r="C2146" s="3">
        <v>5.8</v>
      </c>
    </row>
    <row r="2147" spans="1:3" x14ac:dyDescent="0.3">
      <c r="A2147" s="4" t="s">
        <v>4939</v>
      </c>
      <c r="B2147" s="4" t="s">
        <v>7</v>
      </c>
      <c r="C2147" s="4">
        <v>7.5</v>
      </c>
    </row>
    <row r="2148" spans="1:3" x14ac:dyDescent="0.3">
      <c r="A2148" s="3" t="s">
        <v>4941</v>
      </c>
      <c r="B2148" s="3" t="s">
        <v>7</v>
      </c>
      <c r="C2148" s="3">
        <v>5.4</v>
      </c>
    </row>
    <row r="2149" spans="1:3" x14ac:dyDescent="0.3">
      <c r="A2149" s="4" t="s">
        <v>4943</v>
      </c>
      <c r="B2149" s="4" t="s">
        <v>7</v>
      </c>
      <c r="C2149" s="4">
        <v>4.0999999999999996</v>
      </c>
    </row>
    <row r="2150" spans="1:3" x14ac:dyDescent="0.3">
      <c r="A2150" s="3" t="s">
        <v>4945</v>
      </c>
      <c r="B2150" s="3" t="s">
        <v>7</v>
      </c>
      <c r="C2150" s="3">
        <v>5.9</v>
      </c>
    </row>
    <row r="2151" spans="1:3" x14ac:dyDescent="0.3">
      <c r="A2151" s="4" t="s">
        <v>4947</v>
      </c>
      <c r="B2151" s="4" t="s">
        <v>7</v>
      </c>
      <c r="C2151" s="4">
        <v>6.3</v>
      </c>
    </row>
    <row r="2152" spans="1:3" x14ac:dyDescent="0.3">
      <c r="A2152" s="3" t="s">
        <v>4949</v>
      </c>
      <c r="B2152" s="3" t="s">
        <v>7</v>
      </c>
      <c r="C2152" s="3">
        <v>7</v>
      </c>
    </row>
    <row r="2153" spans="1:3" x14ac:dyDescent="0.3">
      <c r="A2153" s="4" t="s">
        <v>4951</v>
      </c>
      <c r="B2153" s="4" t="s">
        <v>7</v>
      </c>
      <c r="C2153" s="4">
        <v>6.8</v>
      </c>
    </row>
    <row r="2154" spans="1:3" x14ac:dyDescent="0.3">
      <c r="A2154" s="3" t="s">
        <v>4953</v>
      </c>
      <c r="B2154" s="3" t="s">
        <v>7</v>
      </c>
      <c r="C2154" s="3">
        <v>2.2999999999999998</v>
      </c>
    </row>
    <row r="2155" spans="1:3" x14ac:dyDescent="0.3">
      <c r="A2155" s="4" t="s">
        <v>4955</v>
      </c>
      <c r="B2155" s="4" t="s">
        <v>7</v>
      </c>
      <c r="C2155" s="4">
        <v>6.9</v>
      </c>
    </row>
    <row r="2156" spans="1:3" x14ac:dyDescent="0.3">
      <c r="A2156" s="3" t="s">
        <v>4957</v>
      </c>
      <c r="B2156" s="3" t="s">
        <v>7</v>
      </c>
      <c r="C2156" s="3">
        <v>8.1</v>
      </c>
    </row>
    <row r="2157" spans="1:3" x14ac:dyDescent="0.3">
      <c r="A2157" s="4" t="s">
        <v>4959</v>
      </c>
      <c r="B2157" s="4" t="s">
        <v>7</v>
      </c>
      <c r="C2157" s="4">
        <v>6.1</v>
      </c>
    </row>
    <row r="2158" spans="1:3" x14ac:dyDescent="0.3">
      <c r="A2158" s="3" t="s">
        <v>4962</v>
      </c>
      <c r="B2158" s="3" t="s">
        <v>7</v>
      </c>
      <c r="C2158" s="3">
        <v>5</v>
      </c>
    </row>
    <row r="2159" spans="1:3" x14ac:dyDescent="0.3">
      <c r="A2159" s="4" t="s">
        <v>4965</v>
      </c>
      <c r="B2159" s="4" t="s">
        <v>7</v>
      </c>
      <c r="C2159" s="4">
        <v>5.5</v>
      </c>
    </row>
    <row r="2160" spans="1:3" x14ac:dyDescent="0.3">
      <c r="A2160" s="3" t="s">
        <v>4967</v>
      </c>
      <c r="B2160" s="3" t="s">
        <v>7</v>
      </c>
      <c r="C2160" s="3">
        <v>6.2</v>
      </c>
    </row>
    <row r="2161" spans="1:3" x14ac:dyDescent="0.3">
      <c r="A2161" s="4" t="s">
        <v>4969</v>
      </c>
      <c r="B2161" s="4" t="s">
        <v>7</v>
      </c>
      <c r="C2161" s="4">
        <v>6.2</v>
      </c>
    </row>
    <row r="2162" spans="1:3" x14ac:dyDescent="0.3">
      <c r="A2162" s="3" t="s">
        <v>4971</v>
      </c>
      <c r="B2162" s="3" t="s">
        <v>7</v>
      </c>
      <c r="C2162" s="3">
        <v>5.9</v>
      </c>
    </row>
    <row r="2163" spans="1:3" x14ac:dyDescent="0.3">
      <c r="A2163" s="4" t="s">
        <v>4973</v>
      </c>
      <c r="B2163" s="4" t="s">
        <v>7</v>
      </c>
      <c r="C2163" s="4">
        <v>6.3</v>
      </c>
    </row>
    <row r="2164" spans="1:3" x14ac:dyDescent="0.3">
      <c r="A2164" s="3" t="s">
        <v>4975</v>
      </c>
      <c r="B2164" s="3" t="s">
        <v>7</v>
      </c>
      <c r="C2164" s="3">
        <v>6.7</v>
      </c>
    </row>
    <row r="2165" spans="1:3" x14ac:dyDescent="0.3">
      <c r="A2165" s="4" t="s">
        <v>4977</v>
      </c>
      <c r="B2165" s="4" t="s">
        <v>7</v>
      </c>
      <c r="C2165" s="4">
        <v>3.5</v>
      </c>
    </row>
    <row r="2166" spans="1:3" x14ac:dyDescent="0.3">
      <c r="A2166" s="3" t="s">
        <v>4979</v>
      </c>
      <c r="B2166" s="3" t="s">
        <v>7</v>
      </c>
      <c r="C2166" s="3">
        <v>7.5</v>
      </c>
    </row>
    <row r="2167" spans="1:3" x14ac:dyDescent="0.3">
      <c r="A2167" s="4" t="s">
        <v>4981</v>
      </c>
      <c r="B2167" s="4" t="s">
        <v>7</v>
      </c>
      <c r="C2167" s="4">
        <v>6.6</v>
      </c>
    </row>
    <row r="2168" spans="1:3" x14ac:dyDescent="0.3">
      <c r="A2168" s="3" t="s">
        <v>4983</v>
      </c>
      <c r="B2168" s="3" t="s">
        <v>7</v>
      </c>
      <c r="C2168" s="3">
        <v>7.5</v>
      </c>
    </row>
    <row r="2169" spans="1:3" x14ac:dyDescent="0.3">
      <c r="A2169" s="4" t="s">
        <v>4985</v>
      </c>
      <c r="B2169" s="4" t="s">
        <v>7</v>
      </c>
      <c r="C2169" s="4">
        <v>7.2</v>
      </c>
    </row>
    <row r="2170" spans="1:3" x14ac:dyDescent="0.3">
      <c r="A2170" s="3" t="s">
        <v>4987</v>
      </c>
      <c r="B2170" s="3" t="s">
        <v>7</v>
      </c>
      <c r="C2170" s="3">
        <v>4.8</v>
      </c>
    </row>
    <row r="2171" spans="1:3" x14ac:dyDescent="0.3">
      <c r="A2171" s="4" t="s">
        <v>4989</v>
      </c>
      <c r="B2171" s="4" t="s">
        <v>7</v>
      </c>
      <c r="C2171" s="4">
        <v>6.6</v>
      </c>
    </row>
    <row r="2172" spans="1:3" x14ac:dyDescent="0.3">
      <c r="A2172" s="3" t="s">
        <v>4991</v>
      </c>
      <c r="B2172" s="3" t="s">
        <v>7</v>
      </c>
      <c r="C2172" s="3">
        <v>3.5</v>
      </c>
    </row>
    <row r="2173" spans="1:3" x14ac:dyDescent="0.3">
      <c r="A2173" s="4" t="s">
        <v>4993</v>
      </c>
      <c r="B2173" s="4" t="s">
        <v>7</v>
      </c>
      <c r="C2173" s="4">
        <v>6.7</v>
      </c>
    </row>
    <row r="2174" spans="1:3" x14ac:dyDescent="0.3">
      <c r="A2174" s="3" t="s">
        <v>4995</v>
      </c>
      <c r="B2174" s="3" t="s">
        <v>7</v>
      </c>
      <c r="C2174" s="3">
        <v>7.6</v>
      </c>
    </row>
    <row r="2175" spans="1:3" x14ac:dyDescent="0.3">
      <c r="A2175" s="4" t="s">
        <v>4997</v>
      </c>
      <c r="B2175" s="4" t="s">
        <v>7</v>
      </c>
      <c r="C2175" s="4">
        <v>6.3</v>
      </c>
    </row>
    <row r="2176" spans="1:3" x14ac:dyDescent="0.3">
      <c r="A2176" s="3" t="s">
        <v>4999</v>
      </c>
      <c r="B2176" s="3" t="s">
        <v>7</v>
      </c>
      <c r="C2176" s="3">
        <v>5.5</v>
      </c>
    </row>
    <row r="2177" spans="1:3" x14ac:dyDescent="0.3">
      <c r="A2177" s="4" t="s">
        <v>5001</v>
      </c>
      <c r="B2177" s="4" t="s">
        <v>7</v>
      </c>
      <c r="C2177" s="4">
        <v>6.3</v>
      </c>
    </row>
    <row r="2178" spans="1:3" x14ac:dyDescent="0.3">
      <c r="A2178" s="3" t="s">
        <v>5003</v>
      </c>
      <c r="B2178" s="3" t="s">
        <v>7</v>
      </c>
      <c r="C2178" s="3">
        <v>6.5</v>
      </c>
    </row>
    <row r="2179" spans="1:3" x14ac:dyDescent="0.3">
      <c r="A2179" s="4" t="s">
        <v>5005</v>
      </c>
      <c r="B2179" s="4" t="s">
        <v>7</v>
      </c>
      <c r="C2179" s="4">
        <v>5.6</v>
      </c>
    </row>
    <row r="2180" spans="1:3" x14ac:dyDescent="0.3">
      <c r="A2180" s="3" t="s">
        <v>5007</v>
      </c>
      <c r="B2180" s="3" t="s">
        <v>7</v>
      </c>
      <c r="C2180" s="3">
        <v>6.9</v>
      </c>
    </row>
    <row r="2181" spans="1:3" x14ac:dyDescent="0.3">
      <c r="A2181" s="4" t="s">
        <v>5009</v>
      </c>
      <c r="B2181" s="4" t="s">
        <v>7</v>
      </c>
      <c r="C2181" s="4">
        <v>7.6</v>
      </c>
    </row>
    <row r="2182" spans="1:3" x14ac:dyDescent="0.3">
      <c r="A2182" s="3" t="s">
        <v>5011</v>
      </c>
      <c r="B2182" s="3" t="s">
        <v>7</v>
      </c>
      <c r="C2182" s="3">
        <v>3.9</v>
      </c>
    </row>
    <row r="2183" spans="1:3" x14ac:dyDescent="0.3">
      <c r="A2183" s="4" t="s">
        <v>5013</v>
      </c>
      <c r="B2183" s="4" t="s">
        <v>7</v>
      </c>
      <c r="C2183" s="4">
        <v>6.1</v>
      </c>
    </row>
    <row r="2184" spans="1:3" x14ac:dyDescent="0.3">
      <c r="A2184" s="3" t="s">
        <v>5015</v>
      </c>
      <c r="B2184" s="3" t="s">
        <v>7</v>
      </c>
      <c r="C2184" s="3">
        <v>7.3</v>
      </c>
    </row>
    <row r="2185" spans="1:3" x14ac:dyDescent="0.3">
      <c r="A2185" s="4" t="s">
        <v>5017</v>
      </c>
      <c r="B2185" s="4" t="s">
        <v>7</v>
      </c>
      <c r="C2185" s="4">
        <v>8.3000000000000007</v>
      </c>
    </row>
    <row r="2186" spans="1:3" x14ac:dyDescent="0.3">
      <c r="A2186" s="3" t="s">
        <v>5019</v>
      </c>
      <c r="B2186" s="3" t="s">
        <v>5021</v>
      </c>
      <c r="C2186" s="3">
        <v>5.8</v>
      </c>
    </row>
    <row r="2187" spans="1:3" x14ac:dyDescent="0.3">
      <c r="A2187" s="4" t="s">
        <v>5022</v>
      </c>
      <c r="B2187" s="4" t="s">
        <v>7</v>
      </c>
      <c r="C2187" s="4">
        <v>6.8</v>
      </c>
    </row>
    <row r="2188" spans="1:3" x14ac:dyDescent="0.3">
      <c r="A2188" s="3" t="s">
        <v>5024</v>
      </c>
      <c r="B2188" s="3" t="s">
        <v>7</v>
      </c>
      <c r="C2188" s="3">
        <v>7</v>
      </c>
    </row>
    <row r="2189" spans="1:3" x14ac:dyDescent="0.3">
      <c r="A2189" s="4" t="s">
        <v>5026</v>
      </c>
      <c r="B2189" s="4" t="s">
        <v>7</v>
      </c>
      <c r="C2189" s="4">
        <v>5.9</v>
      </c>
    </row>
    <row r="2190" spans="1:3" x14ac:dyDescent="0.3">
      <c r="A2190" s="3" t="s">
        <v>5028</v>
      </c>
      <c r="B2190" s="3" t="s">
        <v>7</v>
      </c>
      <c r="C2190" s="3">
        <v>6.5</v>
      </c>
    </row>
    <row r="2191" spans="1:3" x14ac:dyDescent="0.3">
      <c r="A2191" s="4" t="s">
        <v>5031</v>
      </c>
      <c r="B2191" s="4" t="s">
        <v>7</v>
      </c>
      <c r="C2191" s="4">
        <v>6.4</v>
      </c>
    </row>
    <row r="2192" spans="1:3" x14ac:dyDescent="0.3">
      <c r="A2192" s="3" t="s">
        <v>5034</v>
      </c>
      <c r="B2192" s="3" t="s">
        <v>7</v>
      </c>
      <c r="C2192" s="3">
        <v>5.8</v>
      </c>
    </row>
    <row r="2193" spans="1:3" x14ac:dyDescent="0.3">
      <c r="A2193" s="4" t="s">
        <v>5036</v>
      </c>
      <c r="B2193" s="4" t="s">
        <v>3702</v>
      </c>
      <c r="C2193" s="4">
        <v>5.0999999999999996</v>
      </c>
    </row>
    <row r="2194" spans="1:3" x14ac:dyDescent="0.3">
      <c r="A2194" s="3" t="s">
        <v>5039</v>
      </c>
      <c r="B2194" s="3" t="s">
        <v>7</v>
      </c>
      <c r="C2194" s="3">
        <v>6.8</v>
      </c>
    </row>
    <row r="2195" spans="1:3" x14ac:dyDescent="0.3">
      <c r="A2195" s="4" t="s">
        <v>5041</v>
      </c>
      <c r="B2195" s="4" t="s">
        <v>7</v>
      </c>
      <c r="C2195" s="4">
        <v>5.3</v>
      </c>
    </row>
    <row r="2196" spans="1:3" x14ac:dyDescent="0.3">
      <c r="A2196" s="3" t="s">
        <v>5045</v>
      </c>
      <c r="B2196" s="3" t="s">
        <v>7</v>
      </c>
      <c r="C2196" s="3">
        <v>5.3</v>
      </c>
    </row>
    <row r="2197" spans="1:3" x14ac:dyDescent="0.3">
      <c r="A2197" s="4" t="s">
        <v>5048</v>
      </c>
      <c r="B2197" s="4" t="s">
        <v>7</v>
      </c>
      <c r="C2197" s="4">
        <v>6.4</v>
      </c>
    </row>
    <row r="2198" spans="1:3" x14ac:dyDescent="0.3">
      <c r="A2198" s="3" t="s">
        <v>5050</v>
      </c>
      <c r="B2198" s="3" t="s">
        <v>7</v>
      </c>
      <c r="C2198" s="3">
        <v>4.9000000000000004</v>
      </c>
    </row>
    <row r="2199" spans="1:3" x14ac:dyDescent="0.3">
      <c r="A2199" s="4" t="s">
        <v>5052</v>
      </c>
      <c r="B2199" s="4" t="s">
        <v>7</v>
      </c>
      <c r="C2199" s="4">
        <v>6.8</v>
      </c>
    </row>
    <row r="2200" spans="1:3" x14ac:dyDescent="0.3">
      <c r="A2200" s="3" t="s">
        <v>5055</v>
      </c>
      <c r="B2200" s="3" t="s">
        <v>7</v>
      </c>
      <c r="C2200" s="3">
        <v>7.1</v>
      </c>
    </row>
    <row r="2201" spans="1:3" x14ac:dyDescent="0.3">
      <c r="A2201" s="4" t="s">
        <v>5057</v>
      </c>
      <c r="B2201" s="4" t="s">
        <v>7</v>
      </c>
      <c r="C2201" s="4">
        <v>6.8</v>
      </c>
    </row>
    <row r="2202" spans="1:3" x14ac:dyDescent="0.3">
      <c r="A2202" s="3" t="s">
        <v>5059</v>
      </c>
      <c r="B2202" s="3" t="s">
        <v>7</v>
      </c>
      <c r="C2202" s="3">
        <v>6.1</v>
      </c>
    </row>
    <row r="2203" spans="1:3" x14ac:dyDescent="0.3">
      <c r="A2203" s="4" t="s">
        <v>5061</v>
      </c>
      <c r="B2203" s="4" t="s">
        <v>7</v>
      </c>
      <c r="C2203" s="4">
        <v>8.5</v>
      </c>
    </row>
    <row r="2204" spans="1:3" x14ac:dyDescent="0.3">
      <c r="A2204" s="3" t="s">
        <v>5063</v>
      </c>
      <c r="B2204" s="3" t="s">
        <v>7</v>
      </c>
      <c r="C2204" s="3">
        <v>5.9</v>
      </c>
    </row>
    <row r="2205" spans="1:3" x14ac:dyDescent="0.3">
      <c r="A2205" s="4" t="s">
        <v>5065</v>
      </c>
      <c r="B2205" s="4" t="s">
        <v>7</v>
      </c>
      <c r="C2205" s="4">
        <v>6.3</v>
      </c>
    </row>
    <row r="2206" spans="1:3" x14ac:dyDescent="0.3">
      <c r="A2206" s="3" t="s">
        <v>5068</v>
      </c>
      <c r="B2206" s="3" t="s">
        <v>7</v>
      </c>
      <c r="C2206" s="3">
        <v>5.9</v>
      </c>
    </row>
    <row r="2207" spans="1:3" x14ac:dyDescent="0.3">
      <c r="A2207" s="4" t="s">
        <v>5070</v>
      </c>
      <c r="B2207" s="4" t="s">
        <v>7</v>
      </c>
      <c r="C2207" s="4">
        <v>5.4</v>
      </c>
    </row>
    <row r="2208" spans="1:3" x14ac:dyDescent="0.3">
      <c r="A2208" s="3" t="s">
        <v>5072</v>
      </c>
      <c r="B2208" s="3" t="s">
        <v>7</v>
      </c>
      <c r="C2208" s="3">
        <v>7</v>
      </c>
    </row>
    <row r="2209" spans="1:3" x14ac:dyDescent="0.3">
      <c r="A2209" s="4" t="s">
        <v>5074</v>
      </c>
      <c r="B2209" s="4" t="s">
        <v>7</v>
      </c>
      <c r="C2209" s="4">
        <v>6.9</v>
      </c>
    </row>
    <row r="2210" spans="1:3" x14ac:dyDescent="0.3">
      <c r="A2210" s="3" t="s">
        <v>5076</v>
      </c>
      <c r="B2210" s="3" t="s">
        <v>7</v>
      </c>
      <c r="C2210" s="3">
        <v>7.5</v>
      </c>
    </row>
    <row r="2211" spans="1:3" x14ac:dyDescent="0.3">
      <c r="A2211" s="4" t="s">
        <v>5078</v>
      </c>
      <c r="B2211" s="4" t="s">
        <v>7</v>
      </c>
      <c r="C2211" s="4">
        <v>8.1999999999999993</v>
      </c>
    </row>
    <row r="2212" spans="1:3" x14ac:dyDescent="0.3">
      <c r="A2212" s="3" t="s">
        <v>5081</v>
      </c>
      <c r="B2212" s="3" t="s">
        <v>7</v>
      </c>
      <c r="C2212" s="3">
        <v>5.9</v>
      </c>
    </row>
    <row r="2213" spans="1:3" x14ac:dyDescent="0.3">
      <c r="A2213" s="4" t="s">
        <v>5083</v>
      </c>
      <c r="B2213" s="4" t="s">
        <v>7</v>
      </c>
      <c r="C2213" s="4">
        <v>5</v>
      </c>
    </row>
    <row r="2214" spans="1:3" x14ac:dyDescent="0.3">
      <c r="A2214" s="3" t="s">
        <v>5085</v>
      </c>
      <c r="B2214" s="3" t="s">
        <v>7</v>
      </c>
      <c r="C2214" s="3">
        <v>7.3</v>
      </c>
    </row>
    <row r="2215" spans="1:3" x14ac:dyDescent="0.3">
      <c r="A2215" s="4" t="s">
        <v>5087</v>
      </c>
      <c r="B2215" s="4" t="s">
        <v>7</v>
      </c>
      <c r="C2215" s="4">
        <v>6.4</v>
      </c>
    </row>
    <row r="2216" spans="1:3" x14ac:dyDescent="0.3">
      <c r="A2216" s="3" t="s">
        <v>5089</v>
      </c>
      <c r="B2216" s="3" t="s">
        <v>7</v>
      </c>
      <c r="C2216" s="3">
        <v>6.6</v>
      </c>
    </row>
    <row r="2217" spans="1:3" x14ac:dyDescent="0.3">
      <c r="A2217" s="4" t="s">
        <v>5091</v>
      </c>
      <c r="B2217" s="4" t="s">
        <v>7</v>
      </c>
      <c r="C2217" s="4">
        <v>7.8</v>
      </c>
    </row>
    <row r="2218" spans="1:3" x14ac:dyDescent="0.3">
      <c r="A2218" s="3" t="s">
        <v>5093</v>
      </c>
      <c r="B2218" s="3" t="s">
        <v>7</v>
      </c>
      <c r="C2218" s="3">
        <v>4</v>
      </c>
    </row>
    <row r="2219" spans="1:3" x14ac:dyDescent="0.3">
      <c r="A2219" s="4" t="s">
        <v>5095</v>
      </c>
      <c r="B2219" s="4" t="s">
        <v>7</v>
      </c>
      <c r="C2219" s="4">
        <v>7.6</v>
      </c>
    </row>
    <row r="2220" spans="1:3" x14ac:dyDescent="0.3">
      <c r="A2220" s="3" t="s">
        <v>5097</v>
      </c>
      <c r="B2220" s="3" t="s">
        <v>7</v>
      </c>
      <c r="C2220" s="3">
        <v>7.7</v>
      </c>
    </row>
    <row r="2221" spans="1:3" x14ac:dyDescent="0.3">
      <c r="A2221" s="4" t="s">
        <v>5099</v>
      </c>
      <c r="B2221" s="4" t="s">
        <v>7</v>
      </c>
      <c r="C2221" s="4">
        <v>5.8</v>
      </c>
    </row>
    <row r="2222" spans="1:3" x14ac:dyDescent="0.3">
      <c r="A2222" s="3" t="s">
        <v>5101</v>
      </c>
      <c r="B2222" s="3" t="s">
        <v>7</v>
      </c>
      <c r="C2222" s="3">
        <v>5.2</v>
      </c>
    </row>
    <row r="2223" spans="1:3" x14ac:dyDescent="0.3">
      <c r="A2223" s="4" t="s">
        <v>5103</v>
      </c>
      <c r="B2223" s="4" t="s">
        <v>7</v>
      </c>
      <c r="C2223" s="4">
        <v>5.6</v>
      </c>
    </row>
    <row r="2224" spans="1:3" x14ac:dyDescent="0.3">
      <c r="A2224" s="3" t="s">
        <v>5105</v>
      </c>
      <c r="B2224" s="3" t="s">
        <v>7</v>
      </c>
      <c r="C2224" s="3">
        <v>5.3</v>
      </c>
    </row>
    <row r="2225" spans="1:3" x14ac:dyDescent="0.3">
      <c r="A2225" s="4" t="s">
        <v>5107</v>
      </c>
      <c r="B2225" s="4" t="s">
        <v>7</v>
      </c>
      <c r="C2225" s="4">
        <v>7.4</v>
      </c>
    </row>
    <row r="2226" spans="1:3" x14ac:dyDescent="0.3">
      <c r="A2226" s="3" t="s">
        <v>5110</v>
      </c>
      <c r="B2226" s="3" t="s">
        <v>7</v>
      </c>
      <c r="C2226" s="3">
        <v>6.6</v>
      </c>
    </row>
    <row r="2227" spans="1:3" x14ac:dyDescent="0.3">
      <c r="A2227" s="4" t="s">
        <v>5112</v>
      </c>
      <c r="B2227" s="4" t="s">
        <v>7</v>
      </c>
      <c r="C2227" s="4">
        <v>6.2</v>
      </c>
    </row>
    <row r="2228" spans="1:3" x14ac:dyDescent="0.3">
      <c r="A2228" s="3" t="s">
        <v>5114</v>
      </c>
      <c r="B2228" s="3" t="s">
        <v>7</v>
      </c>
      <c r="C2228" s="3">
        <v>1.9</v>
      </c>
    </row>
    <row r="2229" spans="1:3" x14ac:dyDescent="0.3">
      <c r="A2229" s="4" t="s">
        <v>5116</v>
      </c>
      <c r="B2229" s="4" t="s">
        <v>7</v>
      </c>
      <c r="C2229" s="4">
        <v>5.7</v>
      </c>
    </row>
    <row r="2230" spans="1:3" x14ac:dyDescent="0.3">
      <c r="A2230" s="3" t="s">
        <v>5118</v>
      </c>
      <c r="B2230" s="3" t="s">
        <v>7</v>
      </c>
      <c r="C2230" s="3">
        <v>6.6</v>
      </c>
    </row>
    <row r="2231" spans="1:3" x14ac:dyDescent="0.3">
      <c r="A2231" s="4" t="s">
        <v>5120</v>
      </c>
      <c r="B2231" s="4" t="s">
        <v>7</v>
      </c>
      <c r="C2231" s="4">
        <v>6</v>
      </c>
    </row>
    <row r="2232" spans="1:3" x14ac:dyDescent="0.3">
      <c r="A2232" s="3" t="s">
        <v>5122</v>
      </c>
      <c r="B2232" s="3" t="s">
        <v>7</v>
      </c>
      <c r="C2232" s="3">
        <v>6.1</v>
      </c>
    </row>
    <row r="2233" spans="1:3" x14ac:dyDescent="0.3">
      <c r="A2233" s="4" t="s">
        <v>5125</v>
      </c>
      <c r="B2233" s="4" t="s">
        <v>7</v>
      </c>
      <c r="C2233" s="4">
        <v>4.8</v>
      </c>
    </row>
    <row r="2234" spans="1:3" x14ac:dyDescent="0.3">
      <c r="A2234" s="3" t="s">
        <v>5127</v>
      </c>
      <c r="B2234" s="3" t="s">
        <v>7</v>
      </c>
      <c r="C2234" s="3">
        <v>6.2</v>
      </c>
    </row>
    <row r="2235" spans="1:3" x14ac:dyDescent="0.3">
      <c r="A2235" s="4" t="s">
        <v>5129</v>
      </c>
      <c r="B2235" s="4" t="s">
        <v>7</v>
      </c>
      <c r="C2235" s="4">
        <v>7.5</v>
      </c>
    </row>
    <row r="2236" spans="1:3" x14ac:dyDescent="0.3">
      <c r="A2236" s="3" t="s">
        <v>5131</v>
      </c>
      <c r="B2236" s="3" t="s">
        <v>7</v>
      </c>
      <c r="C2236" s="3">
        <v>6.3</v>
      </c>
    </row>
    <row r="2237" spans="1:3" x14ac:dyDescent="0.3">
      <c r="A2237" s="4" t="s">
        <v>5133</v>
      </c>
      <c r="B2237" s="4" t="s">
        <v>7</v>
      </c>
      <c r="C2237" s="4">
        <v>7.1</v>
      </c>
    </row>
    <row r="2238" spans="1:3" x14ac:dyDescent="0.3">
      <c r="A2238" s="3" t="s">
        <v>5136</v>
      </c>
      <c r="B2238" s="3" t="s">
        <v>7</v>
      </c>
      <c r="C2238" s="3">
        <v>6.6</v>
      </c>
    </row>
    <row r="2239" spans="1:3" x14ac:dyDescent="0.3">
      <c r="A2239" s="4" t="s">
        <v>5139</v>
      </c>
      <c r="B2239" s="4" t="s">
        <v>7</v>
      </c>
      <c r="C2239" s="4">
        <v>6.1</v>
      </c>
    </row>
    <row r="2240" spans="1:3" x14ac:dyDescent="0.3">
      <c r="A2240" s="3" t="s">
        <v>5141</v>
      </c>
      <c r="B2240" s="3" t="s">
        <v>7</v>
      </c>
      <c r="C2240" s="3">
        <v>6.7</v>
      </c>
    </row>
    <row r="2241" spans="1:3" x14ac:dyDescent="0.3">
      <c r="A2241" s="4" t="s">
        <v>5143</v>
      </c>
      <c r="B2241" s="4" t="s">
        <v>7</v>
      </c>
      <c r="C2241" s="4">
        <v>5.6</v>
      </c>
    </row>
    <row r="2242" spans="1:3" x14ac:dyDescent="0.3">
      <c r="A2242" s="3" t="s">
        <v>5145</v>
      </c>
      <c r="B2242" s="3" t="s">
        <v>7</v>
      </c>
      <c r="C2242" s="3">
        <v>7.2</v>
      </c>
    </row>
    <row r="2243" spans="1:3" x14ac:dyDescent="0.3">
      <c r="A2243" s="4" t="s">
        <v>5147</v>
      </c>
      <c r="B2243" s="4" t="s">
        <v>7</v>
      </c>
      <c r="C2243" s="4">
        <v>4.3</v>
      </c>
    </row>
    <row r="2244" spans="1:3" x14ac:dyDescent="0.3">
      <c r="A2244" s="3" t="s">
        <v>5149</v>
      </c>
      <c r="B2244" s="3" t="s">
        <v>7</v>
      </c>
      <c r="C2244" s="3">
        <v>6.4</v>
      </c>
    </row>
    <row r="2245" spans="1:3" x14ac:dyDescent="0.3">
      <c r="A2245" s="4" t="s">
        <v>5151</v>
      </c>
      <c r="B2245" s="4" t="s">
        <v>7</v>
      </c>
      <c r="C2245" s="4">
        <v>7.1</v>
      </c>
    </row>
    <row r="2246" spans="1:3" x14ac:dyDescent="0.3">
      <c r="A2246" s="3" t="s">
        <v>5153</v>
      </c>
      <c r="B2246" s="3" t="s">
        <v>7</v>
      </c>
      <c r="C2246" s="3">
        <v>6.3</v>
      </c>
    </row>
    <row r="2247" spans="1:3" x14ac:dyDescent="0.3">
      <c r="A2247" s="4" t="s">
        <v>5155</v>
      </c>
      <c r="B2247" s="4" t="s">
        <v>7</v>
      </c>
      <c r="C2247" s="4">
        <v>7.4</v>
      </c>
    </row>
    <row r="2248" spans="1:3" x14ac:dyDescent="0.3">
      <c r="A2248" s="3" t="s">
        <v>5157</v>
      </c>
      <c r="B2248" s="3" t="s">
        <v>7</v>
      </c>
      <c r="C2248" s="3">
        <v>6.1</v>
      </c>
    </row>
    <row r="2249" spans="1:3" x14ac:dyDescent="0.3">
      <c r="A2249" s="4" t="s">
        <v>5159</v>
      </c>
      <c r="B2249" s="4" t="s">
        <v>7</v>
      </c>
      <c r="C2249" s="4">
        <v>6.6</v>
      </c>
    </row>
    <row r="2250" spans="1:3" x14ac:dyDescent="0.3">
      <c r="A2250" s="3" t="s">
        <v>5161</v>
      </c>
      <c r="B2250" s="3" t="s">
        <v>7</v>
      </c>
      <c r="C2250" s="3">
        <v>6</v>
      </c>
    </row>
    <row r="2251" spans="1:3" x14ac:dyDescent="0.3">
      <c r="A2251" s="4" t="s">
        <v>5163</v>
      </c>
      <c r="B2251" s="4" t="s">
        <v>7</v>
      </c>
      <c r="C2251" s="4">
        <v>6.8</v>
      </c>
    </row>
    <row r="2252" spans="1:3" x14ac:dyDescent="0.3">
      <c r="A2252" s="3" t="s">
        <v>5165</v>
      </c>
      <c r="B2252" s="3" t="s">
        <v>7</v>
      </c>
      <c r="C2252" s="3">
        <v>7.4</v>
      </c>
    </row>
    <row r="2253" spans="1:3" x14ac:dyDescent="0.3">
      <c r="A2253" s="4" t="s">
        <v>5167</v>
      </c>
      <c r="B2253" s="4" t="s">
        <v>7</v>
      </c>
      <c r="C2253" s="4">
        <v>6.8</v>
      </c>
    </row>
    <row r="2254" spans="1:3" x14ac:dyDescent="0.3">
      <c r="A2254" s="3" t="s">
        <v>5169</v>
      </c>
      <c r="B2254" s="3" t="s">
        <v>7</v>
      </c>
      <c r="C2254" s="3">
        <v>7.2</v>
      </c>
    </row>
    <row r="2255" spans="1:3" x14ac:dyDescent="0.3">
      <c r="A2255" s="4" t="s">
        <v>5171</v>
      </c>
      <c r="B2255" s="4" t="s">
        <v>7</v>
      </c>
      <c r="C2255" s="4">
        <v>1.9</v>
      </c>
    </row>
    <row r="2256" spans="1:3" x14ac:dyDescent="0.3">
      <c r="A2256" s="3" t="s">
        <v>5173</v>
      </c>
      <c r="B2256" s="3" t="s">
        <v>7</v>
      </c>
      <c r="C2256" s="3">
        <v>5.5</v>
      </c>
    </row>
    <row r="2257" spans="1:3" x14ac:dyDescent="0.3">
      <c r="A2257" s="4" t="s">
        <v>5175</v>
      </c>
      <c r="B2257" s="4" t="s">
        <v>7</v>
      </c>
      <c r="C2257" s="4">
        <v>4.5</v>
      </c>
    </row>
    <row r="2258" spans="1:3" x14ac:dyDescent="0.3">
      <c r="A2258" s="3" t="s">
        <v>5177</v>
      </c>
      <c r="B2258" s="3" t="s">
        <v>7</v>
      </c>
      <c r="C2258" s="3">
        <v>6.3</v>
      </c>
    </row>
    <row r="2259" spans="1:3" x14ac:dyDescent="0.3">
      <c r="A2259" s="4" t="s">
        <v>5180</v>
      </c>
      <c r="B2259" s="4" t="s">
        <v>1146</v>
      </c>
      <c r="C2259" s="4">
        <v>7</v>
      </c>
    </row>
    <row r="2260" spans="1:3" x14ac:dyDescent="0.3">
      <c r="A2260" s="3" t="s">
        <v>5183</v>
      </c>
      <c r="B2260" s="3" t="s">
        <v>7</v>
      </c>
      <c r="C2260" s="3">
        <v>6.7</v>
      </c>
    </row>
    <row r="2261" spans="1:3" x14ac:dyDescent="0.3">
      <c r="A2261" s="4" t="s">
        <v>5185</v>
      </c>
      <c r="B2261" s="4" t="s">
        <v>7</v>
      </c>
      <c r="C2261" s="4">
        <v>2.8</v>
      </c>
    </row>
    <row r="2262" spans="1:3" x14ac:dyDescent="0.3">
      <c r="A2262" s="3" t="s">
        <v>5187</v>
      </c>
      <c r="B2262" s="3" t="s">
        <v>7</v>
      </c>
      <c r="C2262" s="3">
        <v>5</v>
      </c>
    </row>
    <row r="2263" spans="1:3" x14ac:dyDescent="0.3">
      <c r="A2263" s="4" t="s">
        <v>5189</v>
      </c>
      <c r="B2263" s="4" t="s">
        <v>7</v>
      </c>
      <c r="C2263" s="4">
        <v>4.3</v>
      </c>
    </row>
    <row r="2264" spans="1:3" x14ac:dyDescent="0.3">
      <c r="A2264" s="3" t="s">
        <v>5192</v>
      </c>
      <c r="B2264" s="3" t="s">
        <v>7</v>
      </c>
      <c r="C2264" s="3">
        <v>5.6</v>
      </c>
    </row>
    <row r="2265" spans="1:3" x14ac:dyDescent="0.3">
      <c r="A2265" s="4" t="s">
        <v>5194</v>
      </c>
      <c r="B2265" s="4" t="s">
        <v>7</v>
      </c>
      <c r="C2265" s="4">
        <v>6.2</v>
      </c>
    </row>
    <row r="2266" spans="1:3" x14ac:dyDescent="0.3">
      <c r="A2266" s="3" t="s">
        <v>5196</v>
      </c>
      <c r="B2266" s="3" t="s">
        <v>7</v>
      </c>
      <c r="C2266" s="3">
        <v>5.3</v>
      </c>
    </row>
    <row r="2267" spans="1:3" x14ac:dyDescent="0.3">
      <c r="A2267" s="4" t="s">
        <v>5200</v>
      </c>
      <c r="B2267" s="4" t="s">
        <v>7</v>
      </c>
      <c r="C2267" s="4">
        <v>7.4</v>
      </c>
    </row>
    <row r="2268" spans="1:3" x14ac:dyDescent="0.3">
      <c r="A2268" s="3" t="s">
        <v>5202</v>
      </c>
      <c r="B2268" s="3" t="s">
        <v>7</v>
      </c>
      <c r="C2268" s="3">
        <v>7.4</v>
      </c>
    </row>
    <row r="2269" spans="1:3" x14ac:dyDescent="0.3">
      <c r="A2269" s="4" t="s">
        <v>5204</v>
      </c>
      <c r="B2269" s="4" t="s">
        <v>7</v>
      </c>
      <c r="C2269" s="4">
        <v>6.5</v>
      </c>
    </row>
    <row r="2270" spans="1:3" x14ac:dyDescent="0.3">
      <c r="A2270" s="3" t="s">
        <v>5207</v>
      </c>
      <c r="B2270" s="3" t="s">
        <v>7</v>
      </c>
      <c r="C2270" s="3">
        <v>7.1</v>
      </c>
    </row>
    <row r="2271" spans="1:3" x14ac:dyDescent="0.3">
      <c r="A2271" s="4" t="s">
        <v>5209</v>
      </c>
      <c r="B2271" s="4" t="s">
        <v>7</v>
      </c>
      <c r="C2271" s="4">
        <v>7.2</v>
      </c>
    </row>
    <row r="2272" spans="1:3" x14ac:dyDescent="0.3">
      <c r="A2272" s="3" t="s">
        <v>5211</v>
      </c>
      <c r="B2272" s="3" t="s">
        <v>7</v>
      </c>
      <c r="C2272" s="3">
        <v>2.2999999999999998</v>
      </c>
    </row>
    <row r="2273" spans="1:3" x14ac:dyDescent="0.3">
      <c r="A2273" s="4" t="s">
        <v>5213</v>
      </c>
      <c r="B2273" s="4" t="s">
        <v>7</v>
      </c>
      <c r="C2273" s="4">
        <v>6.4</v>
      </c>
    </row>
    <row r="2274" spans="1:3" x14ac:dyDescent="0.3">
      <c r="A2274" s="3" t="s">
        <v>5215</v>
      </c>
      <c r="B2274" s="3" t="s">
        <v>7</v>
      </c>
      <c r="C2274" s="3">
        <v>6.1</v>
      </c>
    </row>
    <row r="2275" spans="1:3" x14ac:dyDescent="0.3">
      <c r="A2275" s="4" t="s">
        <v>5217</v>
      </c>
      <c r="B2275" s="4" t="s">
        <v>7</v>
      </c>
      <c r="C2275" s="4">
        <v>7</v>
      </c>
    </row>
    <row r="2276" spans="1:3" x14ac:dyDescent="0.3">
      <c r="A2276" s="3" t="s">
        <v>5219</v>
      </c>
      <c r="B2276" s="3" t="s">
        <v>7</v>
      </c>
      <c r="C2276" s="3">
        <v>6.5</v>
      </c>
    </row>
    <row r="2277" spans="1:3" x14ac:dyDescent="0.3">
      <c r="A2277" s="4" t="s">
        <v>5221</v>
      </c>
      <c r="B2277" s="4" t="s">
        <v>7</v>
      </c>
      <c r="C2277" s="4">
        <v>7</v>
      </c>
    </row>
    <row r="2278" spans="1:3" x14ac:dyDescent="0.3">
      <c r="A2278" s="3" t="s">
        <v>5223</v>
      </c>
      <c r="B2278" s="3" t="s">
        <v>7</v>
      </c>
      <c r="C2278" s="3">
        <v>7</v>
      </c>
    </row>
    <row r="2279" spans="1:3" x14ac:dyDescent="0.3">
      <c r="A2279" s="4" t="s">
        <v>5225</v>
      </c>
      <c r="B2279" s="4" t="s">
        <v>7</v>
      </c>
      <c r="C2279" s="4">
        <v>4.9000000000000004</v>
      </c>
    </row>
    <row r="2280" spans="1:3" x14ac:dyDescent="0.3">
      <c r="A2280" s="3" t="s">
        <v>5227</v>
      </c>
      <c r="B2280" s="3" t="s">
        <v>7</v>
      </c>
      <c r="C2280" s="3">
        <v>6.9</v>
      </c>
    </row>
    <row r="2281" spans="1:3" x14ac:dyDescent="0.3">
      <c r="A2281" s="4" t="s">
        <v>5229</v>
      </c>
      <c r="B2281" s="4" t="s">
        <v>7</v>
      </c>
      <c r="C2281" s="4">
        <v>7.5</v>
      </c>
    </row>
    <row r="2282" spans="1:3" x14ac:dyDescent="0.3">
      <c r="A2282" s="3" t="s">
        <v>5232</v>
      </c>
      <c r="B2282" s="3" t="s">
        <v>7</v>
      </c>
      <c r="C2282" s="3">
        <v>8.4</v>
      </c>
    </row>
    <row r="2283" spans="1:3" x14ac:dyDescent="0.3">
      <c r="A2283" s="4" t="s">
        <v>5234</v>
      </c>
      <c r="B2283" s="4" t="s">
        <v>7</v>
      </c>
      <c r="C2283" s="4">
        <v>6.9</v>
      </c>
    </row>
    <row r="2284" spans="1:3" x14ac:dyDescent="0.3">
      <c r="A2284" s="3" t="s">
        <v>5236</v>
      </c>
      <c r="B2284" s="3" t="s">
        <v>7</v>
      </c>
      <c r="C2284" s="3">
        <v>4.5</v>
      </c>
    </row>
    <row r="2285" spans="1:3" x14ac:dyDescent="0.3">
      <c r="A2285" s="4" t="s">
        <v>5238</v>
      </c>
      <c r="B2285" s="4" t="s">
        <v>7</v>
      </c>
      <c r="C2285" s="4">
        <v>7.4</v>
      </c>
    </row>
    <row r="2286" spans="1:3" x14ac:dyDescent="0.3">
      <c r="A2286" s="3" t="s">
        <v>5240</v>
      </c>
      <c r="B2286" s="3" t="s">
        <v>7</v>
      </c>
      <c r="C2286" s="3">
        <v>7</v>
      </c>
    </row>
    <row r="2287" spans="1:3" x14ac:dyDescent="0.3">
      <c r="A2287" s="4" t="s">
        <v>5242</v>
      </c>
      <c r="B2287" s="4" t="s">
        <v>7</v>
      </c>
      <c r="C2287" s="4">
        <v>2.8</v>
      </c>
    </row>
    <row r="2288" spans="1:3" x14ac:dyDescent="0.3">
      <c r="A2288" s="3" t="s">
        <v>5244</v>
      </c>
      <c r="B2288" s="3" t="s">
        <v>7</v>
      </c>
      <c r="C2288" s="3">
        <v>7.5</v>
      </c>
    </row>
    <row r="2289" spans="1:3" x14ac:dyDescent="0.3">
      <c r="A2289" s="4" t="s">
        <v>5246</v>
      </c>
      <c r="B2289" s="4" t="s">
        <v>7</v>
      </c>
      <c r="C2289" s="4">
        <v>7.1</v>
      </c>
    </row>
    <row r="2290" spans="1:3" x14ac:dyDescent="0.3">
      <c r="A2290" s="3" t="s">
        <v>5248</v>
      </c>
      <c r="B2290" s="3" t="s">
        <v>7</v>
      </c>
      <c r="C2290" s="3">
        <v>6.4</v>
      </c>
    </row>
    <row r="2291" spans="1:3" x14ac:dyDescent="0.3">
      <c r="A2291" s="4" t="s">
        <v>5250</v>
      </c>
      <c r="B2291" s="4" t="s">
        <v>7</v>
      </c>
      <c r="C2291" s="4">
        <v>6.7</v>
      </c>
    </row>
    <row r="2292" spans="1:3" x14ac:dyDescent="0.3">
      <c r="A2292" s="3" t="s">
        <v>5253</v>
      </c>
      <c r="B2292" s="3" t="s">
        <v>7</v>
      </c>
      <c r="C2292" s="3">
        <v>5.3</v>
      </c>
    </row>
    <row r="2293" spans="1:3" x14ac:dyDescent="0.3">
      <c r="A2293" s="4" t="s">
        <v>5255</v>
      </c>
      <c r="B2293" s="4" t="s">
        <v>582</v>
      </c>
      <c r="C2293" s="4">
        <v>6.9</v>
      </c>
    </row>
    <row r="2294" spans="1:3" x14ac:dyDescent="0.3">
      <c r="A2294" s="3" t="s">
        <v>5258</v>
      </c>
      <c r="B2294" s="3" t="s">
        <v>7</v>
      </c>
      <c r="C2294" s="3">
        <v>6.2</v>
      </c>
    </row>
    <row r="2295" spans="1:3" x14ac:dyDescent="0.3">
      <c r="A2295" s="4" t="s">
        <v>5260</v>
      </c>
      <c r="B2295" s="4" t="s">
        <v>7</v>
      </c>
      <c r="C2295" s="4">
        <v>6.3</v>
      </c>
    </row>
    <row r="2296" spans="1:3" x14ac:dyDescent="0.3">
      <c r="A2296" s="3" t="s">
        <v>5262</v>
      </c>
      <c r="B2296" s="3" t="s">
        <v>7</v>
      </c>
      <c r="C2296" s="3">
        <v>6.4</v>
      </c>
    </row>
    <row r="2297" spans="1:3" x14ac:dyDescent="0.3">
      <c r="A2297" s="4" t="s">
        <v>5264</v>
      </c>
      <c r="B2297" s="4" t="s">
        <v>7</v>
      </c>
      <c r="C2297" s="4">
        <v>6.5</v>
      </c>
    </row>
    <row r="2298" spans="1:3" x14ac:dyDescent="0.3">
      <c r="A2298" s="3" t="s">
        <v>5266</v>
      </c>
      <c r="B2298" s="3" t="s">
        <v>7</v>
      </c>
      <c r="C2298" s="3">
        <v>6</v>
      </c>
    </row>
    <row r="2299" spans="1:3" x14ac:dyDescent="0.3">
      <c r="A2299" s="4" t="s">
        <v>5268</v>
      </c>
      <c r="B2299" s="4" t="s">
        <v>7</v>
      </c>
      <c r="C2299" s="4">
        <v>5.0999999999999996</v>
      </c>
    </row>
    <row r="2300" spans="1:3" x14ac:dyDescent="0.3">
      <c r="A2300" s="3" t="s">
        <v>5270</v>
      </c>
      <c r="B2300" s="3" t="s">
        <v>792</v>
      </c>
      <c r="C2300" s="3">
        <v>5.5</v>
      </c>
    </row>
    <row r="2301" spans="1:3" x14ac:dyDescent="0.3">
      <c r="A2301" s="4" t="s">
        <v>5273</v>
      </c>
      <c r="B2301" s="4" t="s">
        <v>7</v>
      </c>
      <c r="C2301" s="4">
        <v>5.4</v>
      </c>
    </row>
    <row r="2302" spans="1:3" x14ac:dyDescent="0.3">
      <c r="A2302" s="3" t="s">
        <v>5275</v>
      </c>
      <c r="B2302" s="3" t="s">
        <v>7</v>
      </c>
      <c r="C2302" s="3">
        <v>5.7</v>
      </c>
    </row>
    <row r="2303" spans="1:3" x14ac:dyDescent="0.3">
      <c r="A2303" s="4" t="s">
        <v>5277</v>
      </c>
      <c r="B2303" s="4" t="s">
        <v>7</v>
      </c>
      <c r="C2303" s="4">
        <v>5.2</v>
      </c>
    </row>
    <row r="2304" spans="1:3" x14ac:dyDescent="0.3">
      <c r="A2304" s="3" t="s">
        <v>5279</v>
      </c>
      <c r="B2304" s="3" t="s">
        <v>7</v>
      </c>
      <c r="C2304" s="3">
        <v>6.2</v>
      </c>
    </row>
    <row r="2305" spans="1:3" x14ac:dyDescent="0.3">
      <c r="A2305" s="4" t="s">
        <v>5283</v>
      </c>
      <c r="B2305" s="4" t="s">
        <v>7</v>
      </c>
      <c r="C2305" s="4">
        <v>6.7</v>
      </c>
    </row>
    <row r="2306" spans="1:3" x14ac:dyDescent="0.3">
      <c r="A2306" s="3" t="s">
        <v>5285</v>
      </c>
      <c r="B2306" s="3" t="s">
        <v>7</v>
      </c>
      <c r="C2306" s="3">
        <v>5.8</v>
      </c>
    </row>
    <row r="2307" spans="1:3" x14ac:dyDescent="0.3">
      <c r="A2307" s="4" t="s">
        <v>5287</v>
      </c>
      <c r="B2307" s="4" t="s">
        <v>7</v>
      </c>
      <c r="C2307" s="4">
        <v>7</v>
      </c>
    </row>
    <row r="2308" spans="1:3" x14ac:dyDescent="0.3">
      <c r="A2308" s="3" t="s">
        <v>5289</v>
      </c>
      <c r="B2308" s="3" t="s">
        <v>7</v>
      </c>
      <c r="C2308" s="3">
        <v>4.8</v>
      </c>
    </row>
    <row r="2309" spans="1:3" x14ac:dyDescent="0.3">
      <c r="A2309" s="4" t="s">
        <v>5291</v>
      </c>
      <c r="B2309" s="4" t="s">
        <v>7</v>
      </c>
      <c r="C2309" s="4">
        <v>7.2</v>
      </c>
    </row>
    <row r="2310" spans="1:3" x14ac:dyDescent="0.3">
      <c r="A2310" s="3" t="s">
        <v>5293</v>
      </c>
      <c r="B2310" s="3" t="s">
        <v>7</v>
      </c>
      <c r="C2310" s="3">
        <v>5.6</v>
      </c>
    </row>
    <row r="2311" spans="1:3" x14ac:dyDescent="0.3">
      <c r="A2311" s="4" t="s">
        <v>5295</v>
      </c>
      <c r="B2311" s="4" t="s">
        <v>7</v>
      </c>
      <c r="C2311" s="4">
        <v>6.4</v>
      </c>
    </row>
    <row r="2312" spans="1:3" x14ac:dyDescent="0.3">
      <c r="A2312" s="3" t="s">
        <v>5297</v>
      </c>
      <c r="B2312" s="3" t="s">
        <v>7</v>
      </c>
      <c r="C2312" s="3">
        <v>7.5</v>
      </c>
    </row>
    <row r="2313" spans="1:3" x14ac:dyDescent="0.3">
      <c r="A2313" s="4" t="s">
        <v>5299</v>
      </c>
      <c r="B2313" s="4" t="s">
        <v>7</v>
      </c>
      <c r="C2313" s="4">
        <v>7.4</v>
      </c>
    </row>
    <row r="2314" spans="1:3" x14ac:dyDescent="0.3">
      <c r="A2314" s="3" t="s">
        <v>5302</v>
      </c>
      <c r="B2314" s="3" t="s">
        <v>7</v>
      </c>
      <c r="C2314" s="3">
        <v>8</v>
      </c>
    </row>
    <row r="2315" spans="1:3" x14ac:dyDescent="0.3">
      <c r="A2315" s="4" t="s">
        <v>5304</v>
      </c>
      <c r="B2315" s="4" t="s">
        <v>7</v>
      </c>
      <c r="C2315" s="4">
        <v>5.7</v>
      </c>
    </row>
    <row r="2316" spans="1:3" x14ac:dyDescent="0.3">
      <c r="A2316" s="3" t="s">
        <v>5306</v>
      </c>
      <c r="B2316" s="3" t="s">
        <v>7</v>
      </c>
      <c r="C2316" s="3">
        <v>6.8</v>
      </c>
    </row>
    <row r="2317" spans="1:3" x14ac:dyDescent="0.3">
      <c r="A2317" s="4" t="s">
        <v>5308</v>
      </c>
      <c r="B2317" s="4" t="s">
        <v>7</v>
      </c>
      <c r="C2317" s="4">
        <v>5.9</v>
      </c>
    </row>
    <row r="2318" spans="1:3" x14ac:dyDescent="0.3">
      <c r="A2318" s="3" t="s">
        <v>5310</v>
      </c>
      <c r="B2318" s="3" t="s">
        <v>7</v>
      </c>
      <c r="C2318" s="3">
        <v>7.2</v>
      </c>
    </row>
    <row r="2319" spans="1:3" x14ac:dyDescent="0.3">
      <c r="A2319" s="4" t="s">
        <v>5313</v>
      </c>
      <c r="B2319" s="4" t="s">
        <v>7</v>
      </c>
      <c r="C2319" s="4">
        <v>5.5</v>
      </c>
    </row>
    <row r="2320" spans="1:3" x14ac:dyDescent="0.3">
      <c r="A2320" s="3" t="s">
        <v>5315</v>
      </c>
      <c r="B2320" s="3" t="s">
        <v>7</v>
      </c>
      <c r="C2320" s="3">
        <v>8.4</v>
      </c>
    </row>
    <row r="2321" spans="1:3" x14ac:dyDescent="0.3">
      <c r="A2321" s="4" t="s">
        <v>5317</v>
      </c>
      <c r="B2321" s="4" t="s">
        <v>7</v>
      </c>
      <c r="C2321" s="4">
        <v>8.5</v>
      </c>
    </row>
    <row r="2322" spans="1:3" x14ac:dyDescent="0.3">
      <c r="A2322" s="3" t="s">
        <v>5319</v>
      </c>
      <c r="B2322" s="3" t="s">
        <v>7</v>
      </c>
      <c r="C2322" s="3">
        <v>5.6</v>
      </c>
    </row>
    <row r="2323" spans="1:3" x14ac:dyDescent="0.3">
      <c r="A2323" s="4" t="s">
        <v>5321</v>
      </c>
      <c r="B2323" s="4" t="s">
        <v>7</v>
      </c>
      <c r="C2323" s="4">
        <v>4.0999999999999996</v>
      </c>
    </row>
    <row r="2324" spans="1:3" x14ac:dyDescent="0.3">
      <c r="A2324" s="3" t="s">
        <v>5323</v>
      </c>
      <c r="B2324" s="3" t="s">
        <v>7</v>
      </c>
      <c r="C2324" s="3">
        <v>5</v>
      </c>
    </row>
    <row r="2325" spans="1:3" x14ac:dyDescent="0.3">
      <c r="A2325" s="4" t="s">
        <v>5325</v>
      </c>
      <c r="B2325" s="4" t="s">
        <v>7</v>
      </c>
      <c r="C2325" s="4">
        <v>6.1</v>
      </c>
    </row>
    <row r="2326" spans="1:3" x14ac:dyDescent="0.3">
      <c r="A2326" s="3" t="s">
        <v>5327</v>
      </c>
      <c r="B2326" s="3" t="s">
        <v>7</v>
      </c>
      <c r="C2326" s="3">
        <v>5.4</v>
      </c>
    </row>
    <row r="2327" spans="1:3" x14ac:dyDescent="0.3">
      <c r="A2327" s="4" t="s">
        <v>5329</v>
      </c>
      <c r="B2327" s="4" t="s">
        <v>7</v>
      </c>
      <c r="C2327" s="4">
        <v>7.1</v>
      </c>
    </row>
    <row r="2328" spans="1:3" x14ac:dyDescent="0.3">
      <c r="A2328" s="3" t="s">
        <v>5331</v>
      </c>
      <c r="B2328" s="3" t="s">
        <v>7</v>
      </c>
      <c r="C2328" s="3">
        <v>3.6</v>
      </c>
    </row>
    <row r="2329" spans="1:3" x14ac:dyDescent="0.3">
      <c r="A2329" s="4" t="s">
        <v>5333</v>
      </c>
      <c r="B2329" s="4" t="s">
        <v>7</v>
      </c>
      <c r="C2329" s="4">
        <v>6.5</v>
      </c>
    </row>
    <row r="2330" spans="1:3" x14ac:dyDescent="0.3">
      <c r="A2330" s="3" t="s">
        <v>5335</v>
      </c>
      <c r="B2330" s="3" t="s">
        <v>7</v>
      </c>
      <c r="C2330" s="3">
        <v>8.6</v>
      </c>
    </row>
    <row r="2331" spans="1:3" x14ac:dyDescent="0.3">
      <c r="A2331" s="4" t="s">
        <v>5337</v>
      </c>
      <c r="B2331" s="4" t="s">
        <v>7</v>
      </c>
      <c r="C2331" s="4">
        <v>6.2</v>
      </c>
    </row>
    <row r="2332" spans="1:3" x14ac:dyDescent="0.3">
      <c r="A2332" s="3" t="s">
        <v>5339</v>
      </c>
      <c r="B2332" s="3" t="s">
        <v>7</v>
      </c>
      <c r="C2332" s="3">
        <v>7</v>
      </c>
    </row>
    <row r="2333" spans="1:3" x14ac:dyDescent="0.3">
      <c r="A2333" s="4" t="s">
        <v>5341</v>
      </c>
      <c r="B2333" s="4" t="s">
        <v>7</v>
      </c>
      <c r="C2333" s="4">
        <v>7.6</v>
      </c>
    </row>
    <row r="2334" spans="1:3" x14ac:dyDescent="0.3">
      <c r="A2334" s="3" t="s">
        <v>5344</v>
      </c>
      <c r="B2334" s="3" t="s">
        <v>7</v>
      </c>
      <c r="C2334" s="3">
        <v>6.5</v>
      </c>
    </row>
    <row r="2335" spans="1:3" x14ac:dyDescent="0.3">
      <c r="A2335" s="4" t="s">
        <v>5346</v>
      </c>
      <c r="B2335" s="4" t="s">
        <v>7</v>
      </c>
      <c r="C2335" s="4">
        <v>6.4</v>
      </c>
    </row>
    <row r="2336" spans="1:3" x14ac:dyDescent="0.3">
      <c r="A2336" s="3" t="s">
        <v>5348</v>
      </c>
      <c r="B2336" s="3" t="s">
        <v>7</v>
      </c>
      <c r="C2336" s="3">
        <v>6.7</v>
      </c>
    </row>
    <row r="2337" spans="1:3" x14ac:dyDescent="0.3">
      <c r="A2337" s="4" t="s">
        <v>5350</v>
      </c>
      <c r="B2337" s="4" t="s">
        <v>7</v>
      </c>
      <c r="C2337" s="4">
        <v>6.3</v>
      </c>
    </row>
    <row r="2338" spans="1:3" x14ac:dyDescent="0.3">
      <c r="A2338" s="3" t="s">
        <v>5353</v>
      </c>
      <c r="B2338" s="3" t="s">
        <v>7</v>
      </c>
      <c r="C2338" s="3">
        <v>6.4</v>
      </c>
    </row>
    <row r="2339" spans="1:3" x14ac:dyDescent="0.3">
      <c r="A2339" s="4" t="s">
        <v>5355</v>
      </c>
      <c r="B2339" s="4" t="s">
        <v>7</v>
      </c>
      <c r="C2339" s="4">
        <v>5.7</v>
      </c>
    </row>
    <row r="2340" spans="1:3" x14ac:dyDescent="0.3">
      <c r="A2340" s="3" t="s">
        <v>5357</v>
      </c>
      <c r="B2340" s="3" t="s">
        <v>7</v>
      </c>
      <c r="C2340" s="3">
        <v>6.3</v>
      </c>
    </row>
    <row r="2341" spans="1:3" x14ac:dyDescent="0.3">
      <c r="A2341" s="4" t="s">
        <v>5359</v>
      </c>
      <c r="B2341" s="4" t="s">
        <v>7</v>
      </c>
      <c r="C2341" s="4">
        <v>7.8</v>
      </c>
    </row>
    <row r="2342" spans="1:3" x14ac:dyDescent="0.3">
      <c r="A2342" s="3" t="s">
        <v>5361</v>
      </c>
      <c r="B2342" s="3" t="s">
        <v>7</v>
      </c>
      <c r="C2342" s="3">
        <v>6</v>
      </c>
    </row>
    <row r="2343" spans="1:3" x14ac:dyDescent="0.3">
      <c r="A2343" s="4" t="s">
        <v>5363</v>
      </c>
      <c r="B2343" s="4" t="s">
        <v>7</v>
      </c>
      <c r="C2343" s="4">
        <v>7.7</v>
      </c>
    </row>
    <row r="2344" spans="1:3" x14ac:dyDescent="0.3">
      <c r="A2344" s="3" t="s">
        <v>5365</v>
      </c>
      <c r="B2344" s="3" t="s">
        <v>7</v>
      </c>
      <c r="C2344" s="3">
        <v>6.2</v>
      </c>
    </row>
    <row r="2345" spans="1:3" x14ac:dyDescent="0.3">
      <c r="A2345" s="4" t="s">
        <v>5367</v>
      </c>
      <c r="B2345" s="4" t="s">
        <v>7</v>
      </c>
      <c r="C2345" s="4">
        <v>5.7</v>
      </c>
    </row>
    <row r="2346" spans="1:3" x14ac:dyDescent="0.3">
      <c r="A2346" s="3" t="s">
        <v>5370</v>
      </c>
      <c r="B2346" s="3" t="s">
        <v>7</v>
      </c>
      <c r="C2346" s="3">
        <v>7.7</v>
      </c>
    </row>
    <row r="2347" spans="1:3" x14ac:dyDescent="0.3">
      <c r="A2347" s="4" t="s">
        <v>5372</v>
      </c>
      <c r="B2347" s="4" t="s">
        <v>7</v>
      </c>
      <c r="C2347" s="4">
        <v>6.4</v>
      </c>
    </row>
    <row r="2348" spans="1:3" x14ac:dyDescent="0.3">
      <c r="A2348" s="3" t="s">
        <v>5374</v>
      </c>
      <c r="B2348" s="3" t="s">
        <v>7</v>
      </c>
      <c r="C2348" s="3">
        <v>6.4</v>
      </c>
    </row>
    <row r="2349" spans="1:3" x14ac:dyDescent="0.3">
      <c r="A2349" s="4" t="s">
        <v>5376</v>
      </c>
      <c r="B2349" s="4" t="s">
        <v>7</v>
      </c>
      <c r="C2349" s="4">
        <v>6.9</v>
      </c>
    </row>
    <row r="2350" spans="1:3" x14ac:dyDescent="0.3">
      <c r="A2350" s="3" t="s">
        <v>5378</v>
      </c>
      <c r="B2350" s="3" t="s">
        <v>7</v>
      </c>
      <c r="C2350" s="3">
        <v>7.3</v>
      </c>
    </row>
    <row r="2351" spans="1:3" x14ac:dyDescent="0.3">
      <c r="A2351" s="4" t="s">
        <v>5380</v>
      </c>
      <c r="B2351" s="4" t="s">
        <v>7</v>
      </c>
      <c r="C2351" s="4">
        <v>7.3</v>
      </c>
    </row>
    <row r="2352" spans="1:3" x14ac:dyDescent="0.3">
      <c r="A2352" s="3" t="s">
        <v>5382</v>
      </c>
      <c r="B2352" s="3" t="s">
        <v>7</v>
      </c>
      <c r="C2352" s="3">
        <v>6.2</v>
      </c>
    </row>
    <row r="2353" spans="1:3" x14ac:dyDescent="0.3">
      <c r="A2353" s="4" t="s">
        <v>5384</v>
      </c>
      <c r="B2353" s="4" t="s">
        <v>7</v>
      </c>
      <c r="C2353" s="4">
        <v>6.6</v>
      </c>
    </row>
    <row r="2354" spans="1:3" x14ac:dyDescent="0.3">
      <c r="A2354" s="3" t="s">
        <v>5386</v>
      </c>
      <c r="B2354" s="3" t="s">
        <v>7</v>
      </c>
      <c r="C2354" s="3">
        <v>6.7</v>
      </c>
    </row>
    <row r="2355" spans="1:3" x14ac:dyDescent="0.3">
      <c r="A2355" s="4" t="s">
        <v>5388</v>
      </c>
      <c r="B2355" s="4" t="s">
        <v>7</v>
      </c>
      <c r="C2355" s="4">
        <v>5.7</v>
      </c>
    </row>
    <row r="2356" spans="1:3" x14ac:dyDescent="0.3">
      <c r="A2356" s="3" t="s">
        <v>5390</v>
      </c>
      <c r="B2356" s="3" t="s">
        <v>7</v>
      </c>
      <c r="C2356" s="3">
        <v>3.1</v>
      </c>
    </row>
    <row r="2357" spans="1:3" x14ac:dyDescent="0.3">
      <c r="A2357" s="4" t="s">
        <v>5392</v>
      </c>
      <c r="B2357" s="4" t="s">
        <v>7</v>
      </c>
      <c r="C2357" s="4">
        <v>6.3</v>
      </c>
    </row>
    <row r="2358" spans="1:3" x14ac:dyDescent="0.3">
      <c r="A2358" s="3" t="s">
        <v>5394</v>
      </c>
      <c r="B2358" s="3" t="s">
        <v>7</v>
      </c>
      <c r="C2358" s="3">
        <v>5.7</v>
      </c>
    </row>
    <row r="2359" spans="1:3" x14ac:dyDescent="0.3">
      <c r="A2359" s="4" t="s">
        <v>5396</v>
      </c>
      <c r="B2359" s="4" t="s">
        <v>7</v>
      </c>
      <c r="C2359" s="4">
        <v>7.1</v>
      </c>
    </row>
    <row r="2360" spans="1:3" x14ac:dyDescent="0.3">
      <c r="A2360" s="3" t="s">
        <v>5399</v>
      </c>
      <c r="B2360" s="3" t="s">
        <v>7</v>
      </c>
      <c r="C2360" s="3">
        <v>7</v>
      </c>
    </row>
    <row r="2361" spans="1:3" x14ac:dyDescent="0.3">
      <c r="A2361" s="4" t="s">
        <v>5401</v>
      </c>
      <c r="B2361" s="4" t="s">
        <v>7</v>
      </c>
      <c r="C2361" s="4">
        <v>6.1</v>
      </c>
    </row>
    <row r="2362" spans="1:3" x14ac:dyDescent="0.3">
      <c r="A2362" s="3" t="s">
        <v>5403</v>
      </c>
      <c r="B2362" s="3" t="s">
        <v>7</v>
      </c>
      <c r="C2362" s="3">
        <v>6.6</v>
      </c>
    </row>
    <row r="2363" spans="1:3" x14ac:dyDescent="0.3">
      <c r="A2363" s="4" t="s">
        <v>5405</v>
      </c>
      <c r="B2363" s="4" t="s">
        <v>7</v>
      </c>
      <c r="C2363" s="4">
        <v>7.8</v>
      </c>
    </row>
    <row r="2364" spans="1:3" x14ac:dyDescent="0.3">
      <c r="A2364" s="3" t="s">
        <v>5407</v>
      </c>
      <c r="B2364" s="3" t="s">
        <v>7</v>
      </c>
      <c r="C2364" s="3">
        <v>8.3000000000000007</v>
      </c>
    </row>
    <row r="2365" spans="1:3" x14ac:dyDescent="0.3">
      <c r="A2365" s="4" t="s">
        <v>5409</v>
      </c>
      <c r="B2365" s="4" t="s">
        <v>7</v>
      </c>
      <c r="C2365" s="4">
        <v>3.9</v>
      </c>
    </row>
    <row r="2366" spans="1:3" x14ac:dyDescent="0.3">
      <c r="A2366" s="3" t="s">
        <v>5411</v>
      </c>
      <c r="B2366" s="3" t="s">
        <v>7</v>
      </c>
      <c r="C2366" s="3">
        <v>7</v>
      </c>
    </row>
    <row r="2367" spans="1:3" x14ac:dyDescent="0.3">
      <c r="A2367" s="4" t="s">
        <v>5413</v>
      </c>
      <c r="B2367" s="4" t="s">
        <v>7</v>
      </c>
      <c r="C2367" s="4">
        <v>6.7</v>
      </c>
    </row>
    <row r="2368" spans="1:3" x14ac:dyDescent="0.3">
      <c r="A2368" s="3" t="s">
        <v>5415</v>
      </c>
      <c r="B2368" s="3" t="s">
        <v>7</v>
      </c>
      <c r="C2368" s="3">
        <v>7.3</v>
      </c>
    </row>
    <row r="2369" spans="1:3" x14ac:dyDescent="0.3">
      <c r="A2369" s="4" t="s">
        <v>5417</v>
      </c>
      <c r="B2369" s="4" t="s">
        <v>7</v>
      </c>
      <c r="C2369" s="4">
        <v>6.3</v>
      </c>
    </row>
    <row r="2370" spans="1:3" x14ac:dyDescent="0.3">
      <c r="A2370" s="3" t="s">
        <v>5420</v>
      </c>
      <c r="B2370" s="3" t="s">
        <v>7</v>
      </c>
      <c r="C2370" s="3">
        <v>7.8</v>
      </c>
    </row>
    <row r="2371" spans="1:3" x14ac:dyDescent="0.3">
      <c r="A2371" s="4" t="s">
        <v>5422</v>
      </c>
      <c r="B2371" s="4" t="s">
        <v>7</v>
      </c>
      <c r="C2371" s="4">
        <v>7.3</v>
      </c>
    </row>
    <row r="2372" spans="1:3" x14ac:dyDescent="0.3">
      <c r="A2372" s="3" t="s">
        <v>5424</v>
      </c>
      <c r="B2372" s="3" t="s">
        <v>7</v>
      </c>
      <c r="C2372" s="3">
        <v>7.6</v>
      </c>
    </row>
    <row r="2373" spans="1:3" x14ac:dyDescent="0.3">
      <c r="A2373" s="4" t="s">
        <v>5426</v>
      </c>
      <c r="B2373" s="4" t="s">
        <v>7</v>
      </c>
      <c r="C2373" s="4">
        <v>5.3</v>
      </c>
    </row>
    <row r="2374" spans="1:3" x14ac:dyDescent="0.3">
      <c r="A2374" s="3" t="s">
        <v>5428</v>
      </c>
      <c r="B2374" s="3" t="s">
        <v>7</v>
      </c>
      <c r="C2374" s="3">
        <v>7.9</v>
      </c>
    </row>
    <row r="2375" spans="1:3" x14ac:dyDescent="0.3">
      <c r="A2375" s="4" t="s">
        <v>5430</v>
      </c>
      <c r="B2375" s="4" t="s">
        <v>7</v>
      </c>
      <c r="C2375" s="4">
        <v>5.3</v>
      </c>
    </row>
    <row r="2376" spans="1:3" x14ac:dyDescent="0.3">
      <c r="A2376" s="3" t="s">
        <v>5432</v>
      </c>
      <c r="B2376" s="3" t="s">
        <v>7</v>
      </c>
      <c r="C2376" s="3">
        <v>6.8</v>
      </c>
    </row>
    <row r="2377" spans="1:3" x14ac:dyDescent="0.3">
      <c r="A2377" s="4" t="s">
        <v>5434</v>
      </c>
      <c r="B2377" s="4" t="s">
        <v>7</v>
      </c>
      <c r="C2377" s="4">
        <v>7.1</v>
      </c>
    </row>
    <row r="2378" spans="1:3" x14ac:dyDescent="0.3">
      <c r="A2378" s="3" t="s">
        <v>5436</v>
      </c>
      <c r="B2378" s="3" t="s">
        <v>7</v>
      </c>
      <c r="C2378" s="3">
        <v>7.2</v>
      </c>
    </row>
    <row r="2379" spans="1:3" x14ac:dyDescent="0.3">
      <c r="A2379" s="4" t="s">
        <v>5438</v>
      </c>
      <c r="B2379" s="4" t="s">
        <v>7</v>
      </c>
      <c r="C2379" s="4">
        <v>5.8</v>
      </c>
    </row>
    <row r="2380" spans="1:3" x14ac:dyDescent="0.3">
      <c r="A2380" s="3" t="s">
        <v>5440</v>
      </c>
      <c r="B2380" s="3" t="s">
        <v>7</v>
      </c>
      <c r="C2380" s="3">
        <v>5.8</v>
      </c>
    </row>
    <row r="2381" spans="1:3" x14ac:dyDescent="0.3">
      <c r="A2381" s="4" t="s">
        <v>5442</v>
      </c>
      <c r="B2381" s="4" t="s">
        <v>7</v>
      </c>
      <c r="C2381" s="4">
        <v>8.3000000000000007</v>
      </c>
    </row>
    <row r="2382" spans="1:3" x14ac:dyDescent="0.3">
      <c r="A2382" s="3" t="s">
        <v>5445</v>
      </c>
      <c r="B2382" s="3" t="s">
        <v>7</v>
      </c>
      <c r="C2382" s="3">
        <v>5.6</v>
      </c>
    </row>
    <row r="2383" spans="1:3" x14ac:dyDescent="0.3">
      <c r="A2383" s="4" t="s">
        <v>5447</v>
      </c>
      <c r="B2383" s="4" t="s">
        <v>7</v>
      </c>
      <c r="C2383" s="4">
        <v>6.8</v>
      </c>
    </row>
    <row r="2384" spans="1:3" x14ac:dyDescent="0.3">
      <c r="A2384" s="3" t="s">
        <v>5449</v>
      </c>
      <c r="B2384" s="3" t="s">
        <v>7</v>
      </c>
      <c r="C2384" s="3">
        <v>5</v>
      </c>
    </row>
    <row r="2385" spans="1:3" x14ac:dyDescent="0.3">
      <c r="A2385" s="4" t="s">
        <v>5451</v>
      </c>
      <c r="B2385" s="4" t="s">
        <v>7</v>
      </c>
      <c r="C2385" s="4">
        <v>7.6</v>
      </c>
    </row>
    <row r="2386" spans="1:3" x14ac:dyDescent="0.3">
      <c r="A2386" s="3" t="s">
        <v>5454</v>
      </c>
      <c r="B2386" s="3" t="s">
        <v>7</v>
      </c>
      <c r="C2386" s="3">
        <v>6.7</v>
      </c>
    </row>
    <row r="2387" spans="1:3" x14ac:dyDescent="0.3">
      <c r="A2387" s="4" t="s">
        <v>5456</v>
      </c>
      <c r="B2387" s="4" t="s">
        <v>7</v>
      </c>
      <c r="C2387" s="4">
        <v>6.7</v>
      </c>
    </row>
    <row r="2388" spans="1:3" x14ac:dyDescent="0.3">
      <c r="A2388" s="3" t="s">
        <v>5458</v>
      </c>
      <c r="B2388" s="3" t="s">
        <v>7</v>
      </c>
      <c r="C2388" s="3">
        <v>5.7</v>
      </c>
    </row>
    <row r="2389" spans="1:3" x14ac:dyDescent="0.3">
      <c r="A2389" s="4" t="s">
        <v>5460</v>
      </c>
      <c r="B2389" s="4" t="s">
        <v>7</v>
      </c>
      <c r="C2389" s="4">
        <v>5.2</v>
      </c>
    </row>
    <row r="2390" spans="1:3" x14ac:dyDescent="0.3">
      <c r="A2390" s="3" t="s">
        <v>5462</v>
      </c>
      <c r="B2390" s="3" t="s">
        <v>7</v>
      </c>
      <c r="C2390" s="3">
        <v>7.5</v>
      </c>
    </row>
    <row r="2391" spans="1:3" x14ac:dyDescent="0.3">
      <c r="A2391" s="4" t="s">
        <v>5464</v>
      </c>
      <c r="B2391" s="4" t="s">
        <v>7</v>
      </c>
      <c r="C2391" s="4">
        <v>7.2</v>
      </c>
    </row>
    <row r="2392" spans="1:3" x14ac:dyDescent="0.3">
      <c r="A2392" s="3" t="s">
        <v>5466</v>
      </c>
      <c r="B2392" s="3" t="s">
        <v>7</v>
      </c>
      <c r="C2392" s="3">
        <v>5.3</v>
      </c>
    </row>
    <row r="2393" spans="1:3" x14ac:dyDescent="0.3">
      <c r="A2393" s="4" t="s">
        <v>5468</v>
      </c>
      <c r="B2393" s="4" t="s">
        <v>7</v>
      </c>
      <c r="C2393" s="4">
        <v>6.5</v>
      </c>
    </row>
    <row r="2394" spans="1:3" x14ac:dyDescent="0.3">
      <c r="A2394" s="3" t="s">
        <v>5470</v>
      </c>
      <c r="B2394" s="3" t="s">
        <v>7</v>
      </c>
      <c r="C2394" s="3">
        <v>5</v>
      </c>
    </row>
    <row r="2395" spans="1:3" x14ac:dyDescent="0.3">
      <c r="A2395" s="4" t="s">
        <v>5472</v>
      </c>
      <c r="B2395" s="4" t="s">
        <v>7</v>
      </c>
      <c r="C2395" s="4">
        <v>6.1</v>
      </c>
    </row>
    <row r="2396" spans="1:3" x14ac:dyDescent="0.3">
      <c r="A2396" s="3" t="s">
        <v>5474</v>
      </c>
      <c r="B2396" s="3" t="s">
        <v>7</v>
      </c>
      <c r="C2396" s="3">
        <v>7.4</v>
      </c>
    </row>
    <row r="2397" spans="1:3" x14ac:dyDescent="0.3">
      <c r="A2397" s="4" t="s">
        <v>5476</v>
      </c>
      <c r="B2397" s="4" t="s">
        <v>7</v>
      </c>
      <c r="C2397" s="4">
        <v>4.4000000000000004</v>
      </c>
    </row>
    <row r="2398" spans="1:3" x14ac:dyDescent="0.3">
      <c r="A2398" s="3" t="s">
        <v>5479</v>
      </c>
      <c r="B2398" s="3" t="s">
        <v>7</v>
      </c>
      <c r="C2398" s="3">
        <v>7.5</v>
      </c>
    </row>
    <row r="2399" spans="1:3" x14ac:dyDescent="0.3">
      <c r="A2399" s="4" t="s">
        <v>5481</v>
      </c>
      <c r="B2399" s="4" t="s">
        <v>7</v>
      </c>
      <c r="C2399" s="4">
        <v>5.7</v>
      </c>
    </row>
    <row r="2400" spans="1:3" x14ac:dyDescent="0.3">
      <c r="A2400" s="3" t="s">
        <v>5483</v>
      </c>
      <c r="B2400" s="3" t="s">
        <v>7</v>
      </c>
      <c r="C2400" s="3">
        <v>5.5</v>
      </c>
    </row>
    <row r="2401" spans="1:3" x14ac:dyDescent="0.3">
      <c r="A2401" s="4" t="s">
        <v>5485</v>
      </c>
      <c r="B2401" s="4" t="s">
        <v>7</v>
      </c>
      <c r="C2401" s="4">
        <v>7.1</v>
      </c>
    </row>
    <row r="2402" spans="1:3" x14ac:dyDescent="0.3">
      <c r="A2402" s="3" t="s">
        <v>5487</v>
      </c>
      <c r="B2402" s="3" t="s">
        <v>7</v>
      </c>
      <c r="C2402" s="3">
        <v>5.9</v>
      </c>
    </row>
    <row r="2403" spans="1:3" x14ac:dyDescent="0.3">
      <c r="A2403" s="4" t="s">
        <v>5489</v>
      </c>
      <c r="B2403" s="4" t="s">
        <v>7</v>
      </c>
      <c r="C2403" s="4">
        <v>6.7</v>
      </c>
    </row>
    <row r="2404" spans="1:3" x14ac:dyDescent="0.3">
      <c r="A2404" s="3" t="s">
        <v>5491</v>
      </c>
      <c r="B2404" s="3" t="s">
        <v>7</v>
      </c>
      <c r="C2404" s="3">
        <v>7</v>
      </c>
    </row>
    <row r="2405" spans="1:3" x14ac:dyDescent="0.3">
      <c r="A2405" s="4" t="s">
        <v>5493</v>
      </c>
      <c r="B2405" s="4" t="s">
        <v>7</v>
      </c>
      <c r="C2405" s="4">
        <v>7.9</v>
      </c>
    </row>
    <row r="2406" spans="1:3" x14ac:dyDescent="0.3">
      <c r="A2406" s="3" t="s">
        <v>5495</v>
      </c>
      <c r="B2406" s="3" t="s">
        <v>7</v>
      </c>
      <c r="C2406" s="3">
        <v>6.9</v>
      </c>
    </row>
    <row r="2407" spans="1:3" x14ac:dyDescent="0.3">
      <c r="A2407" s="4" t="s">
        <v>5497</v>
      </c>
      <c r="B2407" s="4" t="s">
        <v>7</v>
      </c>
      <c r="C2407" s="4">
        <v>7.3</v>
      </c>
    </row>
    <row r="2408" spans="1:3" x14ac:dyDescent="0.3">
      <c r="A2408" s="3" t="s">
        <v>5499</v>
      </c>
      <c r="B2408" s="3" t="s">
        <v>7</v>
      </c>
      <c r="C2408" s="3">
        <v>7.3</v>
      </c>
    </row>
    <row r="2409" spans="1:3" x14ac:dyDescent="0.3">
      <c r="A2409" s="4" t="s">
        <v>5501</v>
      </c>
      <c r="B2409" s="4" t="s">
        <v>3702</v>
      </c>
      <c r="C2409" s="4">
        <v>3.5</v>
      </c>
    </row>
    <row r="2410" spans="1:3" x14ac:dyDescent="0.3">
      <c r="A2410" s="3" t="s">
        <v>5503</v>
      </c>
      <c r="B2410" s="3" t="s">
        <v>582</v>
      </c>
      <c r="C2410" s="3">
        <v>7.8</v>
      </c>
    </row>
    <row r="2411" spans="1:3" x14ac:dyDescent="0.3">
      <c r="A2411" s="4" t="s">
        <v>5505</v>
      </c>
      <c r="B2411" s="4" t="s">
        <v>7</v>
      </c>
      <c r="C2411" s="4">
        <v>7.4</v>
      </c>
    </row>
    <row r="2412" spans="1:3" x14ac:dyDescent="0.3">
      <c r="A2412" s="3" t="s">
        <v>5507</v>
      </c>
      <c r="B2412" s="3" t="s">
        <v>792</v>
      </c>
      <c r="C2412" s="3">
        <v>6.7</v>
      </c>
    </row>
    <row r="2413" spans="1:3" x14ac:dyDescent="0.3">
      <c r="A2413" s="4" t="s">
        <v>5510</v>
      </c>
      <c r="B2413" s="4" t="s">
        <v>7</v>
      </c>
      <c r="C2413" s="4">
        <v>6.4</v>
      </c>
    </row>
    <row r="2414" spans="1:3" x14ac:dyDescent="0.3">
      <c r="A2414" s="3" t="s">
        <v>5512</v>
      </c>
      <c r="B2414" s="3" t="s">
        <v>5514</v>
      </c>
      <c r="C2414" s="3">
        <v>7.1</v>
      </c>
    </row>
    <row r="2415" spans="1:3" x14ac:dyDescent="0.3">
      <c r="A2415" s="4" t="s">
        <v>5516</v>
      </c>
      <c r="B2415" s="4" t="s">
        <v>7</v>
      </c>
      <c r="C2415" s="4">
        <v>7.8</v>
      </c>
    </row>
    <row r="2416" spans="1:3" x14ac:dyDescent="0.3">
      <c r="A2416" s="3" t="s">
        <v>5519</v>
      </c>
      <c r="B2416" s="3" t="s">
        <v>7</v>
      </c>
      <c r="C2416" s="3">
        <v>4</v>
      </c>
    </row>
    <row r="2417" spans="1:3" x14ac:dyDescent="0.3">
      <c r="A2417" s="4" t="s">
        <v>5522</v>
      </c>
      <c r="B2417" s="4" t="s">
        <v>7</v>
      </c>
      <c r="C2417" s="4">
        <v>5.9</v>
      </c>
    </row>
    <row r="2418" spans="1:3" x14ac:dyDescent="0.3">
      <c r="A2418" s="3" t="s">
        <v>5525</v>
      </c>
      <c r="B2418" s="3" t="s">
        <v>7</v>
      </c>
      <c r="C2418" s="3">
        <v>7.2</v>
      </c>
    </row>
    <row r="2419" spans="1:3" x14ac:dyDescent="0.3">
      <c r="A2419" s="4" t="s">
        <v>5527</v>
      </c>
      <c r="B2419" s="4" t="s">
        <v>7</v>
      </c>
      <c r="C2419" s="4">
        <v>7.2</v>
      </c>
    </row>
    <row r="2420" spans="1:3" x14ac:dyDescent="0.3">
      <c r="A2420" s="3" t="s">
        <v>5529</v>
      </c>
      <c r="B2420" s="3" t="s">
        <v>7</v>
      </c>
      <c r="C2420" s="3">
        <v>5.0999999999999996</v>
      </c>
    </row>
    <row r="2421" spans="1:3" x14ac:dyDescent="0.3">
      <c r="A2421" s="4" t="s">
        <v>5531</v>
      </c>
      <c r="B2421" s="4" t="s">
        <v>7</v>
      </c>
      <c r="C2421" s="4">
        <v>5.5</v>
      </c>
    </row>
    <row r="2422" spans="1:3" x14ac:dyDescent="0.3">
      <c r="A2422" s="3" t="s">
        <v>5533</v>
      </c>
      <c r="B2422" s="3" t="s">
        <v>7</v>
      </c>
      <c r="C2422" s="3">
        <v>6.2</v>
      </c>
    </row>
    <row r="2423" spans="1:3" x14ac:dyDescent="0.3">
      <c r="A2423" s="4" t="s">
        <v>5535</v>
      </c>
      <c r="B2423" s="4" t="s">
        <v>7</v>
      </c>
      <c r="C2423" s="4">
        <v>7.2</v>
      </c>
    </row>
    <row r="2424" spans="1:3" x14ac:dyDescent="0.3">
      <c r="A2424" s="3" t="s">
        <v>5537</v>
      </c>
      <c r="B2424" s="3" t="s">
        <v>7</v>
      </c>
      <c r="C2424" s="3">
        <v>5.2</v>
      </c>
    </row>
    <row r="2425" spans="1:3" x14ac:dyDescent="0.3">
      <c r="A2425" s="4" t="s">
        <v>5539</v>
      </c>
      <c r="B2425" s="4" t="s">
        <v>7</v>
      </c>
      <c r="C2425" s="4">
        <v>6.7</v>
      </c>
    </row>
    <row r="2426" spans="1:3" x14ac:dyDescent="0.3">
      <c r="A2426" s="3" t="s">
        <v>5541</v>
      </c>
      <c r="B2426" s="3" t="s">
        <v>7</v>
      </c>
      <c r="C2426" s="3">
        <v>6.3</v>
      </c>
    </row>
    <row r="2427" spans="1:3" x14ac:dyDescent="0.3">
      <c r="A2427" s="4" t="s">
        <v>5543</v>
      </c>
      <c r="B2427" s="4" t="s">
        <v>7</v>
      </c>
      <c r="C2427" s="4">
        <v>5</v>
      </c>
    </row>
    <row r="2428" spans="1:3" x14ac:dyDescent="0.3">
      <c r="A2428" s="3" t="s">
        <v>5545</v>
      </c>
      <c r="B2428" s="3" t="s">
        <v>7</v>
      </c>
      <c r="C2428" s="3">
        <v>6.2</v>
      </c>
    </row>
    <row r="2429" spans="1:3" x14ac:dyDescent="0.3">
      <c r="A2429" s="4" t="s">
        <v>5547</v>
      </c>
      <c r="B2429" s="4" t="s">
        <v>7</v>
      </c>
      <c r="C2429" s="4">
        <v>7.6</v>
      </c>
    </row>
    <row r="2430" spans="1:3" x14ac:dyDescent="0.3">
      <c r="A2430" s="3" t="s">
        <v>5549</v>
      </c>
      <c r="B2430" s="3" t="s">
        <v>7</v>
      </c>
      <c r="C2430" s="3">
        <v>4.0999999999999996</v>
      </c>
    </row>
    <row r="2431" spans="1:3" x14ac:dyDescent="0.3">
      <c r="A2431" s="4" t="s">
        <v>5551</v>
      </c>
      <c r="B2431" s="4" t="s">
        <v>7</v>
      </c>
      <c r="C2431" s="4">
        <v>5.3</v>
      </c>
    </row>
    <row r="2432" spans="1:3" x14ac:dyDescent="0.3">
      <c r="A2432" s="3" t="s">
        <v>5553</v>
      </c>
      <c r="B2432" s="3" t="s">
        <v>7</v>
      </c>
      <c r="C2432" s="3">
        <v>6.2</v>
      </c>
    </row>
    <row r="2433" spans="1:3" x14ac:dyDescent="0.3">
      <c r="A2433" s="4" t="s">
        <v>5555</v>
      </c>
      <c r="B2433" s="4" t="s">
        <v>7</v>
      </c>
      <c r="C2433" s="4">
        <v>6.5</v>
      </c>
    </row>
    <row r="2434" spans="1:3" x14ac:dyDescent="0.3">
      <c r="A2434" s="3" t="s">
        <v>5557</v>
      </c>
      <c r="B2434" s="3" t="s">
        <v>7</v>
      </c>
      <c r="C2434" s="3">
        <v>8.1</v>
      </c>
    </row>
    <row r="2435" spans="1:3" x14ac:dyDescent="0.3">
      <c r="A2435" s="4" t="s">
        <v>5559</v>
      </c>
      <c r="B2435" s="4" t="s">
        <v>7</v>
      </c>
      <c r="C2435" s="4">
        <v>6.3</v>
      </c>
    </row>
    <row r="2436" spans="1:3" x14ac:dyDescent="0.3">
      <c r="A2436" s="3" t="s">
        <v>5561</v>
      </c>
      <c r="B2436" s="3" t="s">
        <v>7</v>
      </c>
      <c r="C2436" s="3">
        <v>4.4000000000000004</v>
      </c>
    </row>
    <row r="2437" spans="1:3" x14ac:dyDescent="0.3">
      <c r="A2437" s="4" t="s">
        <v>5563</v>
      </c>
      <c r="B2437" s="4" t="s">
        <v>7</v>
      </c>
      <c r="C2437" s="4">
        <v>4.5999999999999996</v>
      </c>
    </row>
    <row r="2438" spans="1:3" x14ac:dyDescent="0.3">
      <c r="A2438" s="3" t="s">
        <v>5565</v>
      </c>
      <c r="B2438" s="3" t="s">
        <v>7</v>
      </c>
      <c r="C2438" s="3">
        <v>6</v>
      </c>
    </row>
    <row r="2439" spans="1:3" x14ac:dyDescent="0.3">
      <c r="A2439" s="4" t="s">
        <v>5567</v>
      </c>
      <c r="B2439" s="4" t="s">
        <v>7</v>
      </c>
      <c r="C2439" s="4">
        <v>7.6</v>
      </c>
    </row>
    <row r="2440" spans="1:3" x14ac:dyDescent="0.3">
      <c r="A2440" s="3" t="s">
        <v>5569</v>
      </c>
      <c r="B2440" s="3" t="s">
        <v>7</v>
      </c>
      <c r="C2440" s="3">
        <v>8.4</v>
      </c>
    </row>
    <row r="2441" spans="1:3" x14ac:dyDescent="0.3">
      <c r="A2441" s="4" t="s">
        <v>5571</v>
      </c>
      <c r="B2441" s="4" t="s">
        <v>7</v>
      </c>
      <c r="C2441" s="4">
        <v>7.9</v>
      </c>
    </row>
    <row r="2442" spans="1:3" x14ac:dyDescent="0.3">
      <c r="A2442" s="3" t="s">
        <v>5574</v>
      </c>
      <c r="B2442" s="3" t="s">
        <v>7</v>
      </c>
      <c r="C2442" s="3">
        <v>5.6</v>
      </c>
    </row>
    <row r="2443" spans="1:3" x14ac:dyDescent="0.3">
      <c r="A2443" s="4" t="s">
        <v>5576</v>
      </c>
      <c r="B2443" s="4" t="s">
        <v>7</v>
      </c>
      <c r="C2443" s="4">
        <v>6.5</v>
      </c>
    </row>
    <row r="2444" spans="1:3" x14ac:dyDescent="0.3">
      <c r="A2444" s="3" t="s">
        <v>5578</v>
      </c>
      <c r="B2444" s="3" t="s">
        <v>7</v>
      </c>
      <c r="C2444" s="3">
        <v>7.5</v>
      </c>
    </row>
    <row r="2445" spans="1:3" x14ac:dyDescent="0.3">
      <c r="A2445" s="4" t="s">
        <v>5580</v>
      </c>
      <c r="B2445" s="4" t="s">
        <v>7</v>
      </c>
      <c r="C2445" s="4">
        <v>6.3</v>
      </c>
    </row>
    <row r="2446" spans="1:3" x14ac:dyDescent="0.3">
      <c r="A2446" s="3" t="s">
        <v>5582</v>
      </c>
      <c r="B2446" s="3" t="s">
        <v>7</v>
      </c>
      <c r="C2446" s="3">
        <v>7.9</v>
      </c>
    </row>
    <row r="2447" spans="1:3" x14ac:dyDescent="0.3">
      <c r="A2447" s="4" t="s">
        <v>5584</v>
      </c>
      <c r="B2447" s="4" t="s">
        <v>7</v>
      </c>
      <c r="C2447" s="4">
        <v>7.9</v>
      </c>
    </row>
    <row r="2448" spans="1:3" x14ac:dyDescent="0.3">
      <c r="A2448" s="3" t="s">
        <v>5586</v>
      </c>
      <c r="B2448" s="3" t="s">
        <v>7</v>
      </c>
      <c r="C2448" s="3">
        <v>5.0999999999999996</v>
      </c>
    </row>
    <row r="2449" spans="1:3" x14ac:dyDescent="0.3">
      <c r="A2449" s="4" t="s">
        <v>5588</v>
      </c>
      <c r="B2449" s="4" t="s">
        <v>7</v>
      </c>
      <c r="C2449" s="4">
        <v>6.7</v>
      </c>
    </row>
    <row r="2450" spans="1:3" x14ac:dyDescent="0.3">
      <c r="A2450" s="3" t="s">
        <v>5591</v>
      </c>
      <c r="B2450" s="3" t="s">
        <v>7</v>
      </c>
      <c r="C2450" s="3">
        <v>6.7</v>
      </c>
    </row>
    <row r="2451" spans="1:3" x14ac:dyDescent="0.3">
      <c r="A2451" s="4" t="s">
        <v>5593</v>
      </c>
      <c r="B2451" s="4" t="s">
        <v>7</v>
      </c>
      <c r="C2451" s="4">
        <v>5.6</v>
      </c>
    </row>
    <row r="2452" spans="1:3" x14ac:dyDescent="0.3">
      <c r="A2452" s="3" t="s">
        <v>5595</v>
      </c>
      <c r="B2452" s="3" t="s">
        <v>7</v>
      </c>
      <c r="C2452" s="3">
        <v>5.6</v>
      </c>
    </row>
    <row r="2453" spans="1:3" x14ac:dyDescent="0.3">
      <c r="A2453" s="4" t="s">
        <v>5597</v>
      </c>
      <c r="B2453" s="4" t="s">
        <v>7</v>
      </c>
      <c r="C2453" s="4">
        <v>6.8</v>
      </c>
    </row>
    <row r="2454" spans="1:3" x14ac:dyDescent="0.3">
      <c r="A2454" s="3" t="s">
        <v>5599</v>
      </c>
      <c r="B2454" s="3" t="s">
        <v>7</v>
      </c>
      <c r="C2454" s="3">
        <v>6.2</v>
      </c>
    </row>
    <row r="2455" spans="1:3" x14ac:dyDescent="0.3">
      <c r="A2455" s="4" t="s">
        <v>5601</v>
      </c>
      <c r="B2455" s="4" t="s">
        <v>7</v>
      </c>
      <c r="C2455" s="4">
        <v>5.6</v>
      </c>
    </row>
    <row r="2456" spans="1:3" x14ac:dyDescent="0.3">
      <c r="A2456" s="3" t="s">
        <v>5603</v>
      </c>
      <c r="B2456" s="3" t="s">
        <v>7</v>
      </c>
      <c r="C2456" s="3">
        <v>6.4</v>
      </c>
    </row>
    <row r="2457" spans="1:3" x14ac:dyDescent="0.3">
      <c r="A2457" s="4" t="s">
        <v>5605</v>
      </c>
      <c r="B2457" s="4" t="s">
        <v>7</v>
      </c>
      <c r="C2457" s="4">
        <v>5.6</v>
      </c>
    </row>
    <row r="2458" spans="1:3" x14ac:dyDescent="0.3">
      <c r="A2458" s="3" t="s">
        <v>5607</v>
      </c>
      <c r="B2458" s="3" t="s">
        <v>7</v>
      </c>
      <c r="C2458" s="3">
        <v>7.4</v>
      </c>
    </row>
    <row r="2459" spans="1:3" x14ac:dyDescent="0.3">
      <c r="A2459" s="4" t="s">
        <v>5610</v>
      </c>
      <c r="B2459" s="4" t="s">
        <v>7</v>
      </c>
      <c r="C2459" s="4">
        <v>4.9000000000000004</v>
      </c>
    </row>
    <row r="2460" spans="1:3" x14ac:dyDescent="0.3">
      <c r="A2460" s="3" t="s">
        <v>5613</v>
      </c>
      <c r="B2460" s="3" t="s">
        <v>7</v>
      </c>
      <c r="C2460" s="3">
        <v>6</v>
      </c>
    </row>
    <row r="2461" spans="1:3" x14ac:dyDescent="0.3">
      <c r="A2461" s="4" t="s">
        <v>5615</v>
      </c>
      <c r="B2461" s="4" t="s">
        <v>7</v>
      </c>
      <c r="C2461" s="4">
        <v>7.2</v>
      </c>
    </row>
    <row r="2462" spans="1:3" x14ac:dyDescent="0.3">
      <c r="A2462" s="3" t="s">
        <v>5617</v>
      </c>
      <c r="B2462" s="3" t="s">
        <v>7</v>
      </c>
      <c r="C2462" s="3">
        <v>4.9000000000000004</v>
      </c>
    </row>
    <row r="2463" spans="1:3" x14ac:dyDescent="0.3">
      <c r="A2463" s="4" t="s">
        <v>5619</v>
      </c>
      <c r="B2463" s="4" t="s">
        <v>7</v>
      </c>
      <c r="C2463" s="4">
        <v>7.5</v>
      </c>
    </row>
    <row r="2464" spans="1:3" x14ac:dyDescent="0.3">
      <c r="A2464" s="3" t="s">
        <v>5621</v>
      </c>
      <c r="B2464" s="3" t="s">
        <v>7</v>
      </c>
      <c r="C2464" s="3">
        <v>4.8</v>
      </c>
    </row>
    <row r="2465" spans="1:3" x14ac:dyDescent="0.3">
      <c r="A2465" s="4" t="s">
        <v>5623</v>
      </c>
      <c r="B2465" s="4" t="s">
        <v>7</v>
      </c>
      <c r="C2465" s="4">
        <v>3.1</v>
      </c>
    </row>
    <row r="2466" spans="1:3" x14ac:dyDescent="0.3">
      <c r="A2466" s="3" t="s">
        <v>5625</v>
      </c>
      <c r="B2466" s="3" t="s">
        <v>7</v>
      </c>
      <c r="C2466" s="3">
        <v>5.8</v>
      </c>
    </row>
    <row r="2467" spans="1:3" x14ac:dyDescent="0.3">
      <c r="A2467" s="4" t="s">
        <v>5627</v>
      </c>
      <c r="B2467" s="4" t="s">
        <v>7</v>
      </c>
      <c r="C2467" s="4">
        <v>6.7</v>
      </c>
    </row>
    <row r="2468" spans="1:3" x14ac:dyDescent="0.3">
      <c r="A2468" s="3" t="s">
        <v>5630</v>
      </c>
      <c r="B2468" s="3" t="s">
        <v>7</v>
      </c>
      <c r="C2468" s="3">
        <v>6.8</v>
      </c>
    </row>
    <row r="2469" spans="1:3" x14ac:dyDescent="0.3">
      <c r="A2469" s="4" t="s">
        <v>5632</v>
      </c>
      <c r="B2469" s="4" t="s">
        <v>7</v>
      </c>
      <c r="C2469" s="4">
        <v>6.5</v>
      </c>
    </row>
    <row r="2470" spans="1:3" x14ac:dyDescent="0.3">
      <c r="A2470" s="3" t="s">
        <v>5634</v>
      </c>
      <c r="B2470" s="3" t="s">
        <v>3702</v>
      </c>
      <c r="C2470" s="3">
        <v>5.9</v>
      </c>
    </row>
    <row r="2471" spans="1:3" x14ac:dyDescent="0.3">
      <c r="A2471" s="4" t="s">
        <v>5636</v>
      </c>
      <c r="B2471" s="4" t="s">
        <v>1146</v>
      </c>
      <c r="C2471" s="4">
        <v>5.5</v>
      </c>
    </row>
    <row r="2472" spans="1:3" x14ac:dyDescent="0.3">
      <c r="A2472" s="3" t="s">
        <v>5639</v>
      </c>
      <c r="B2472" s="3" t="s">
        <v>7</v>
      </c>
      <c r="C2472" s="3">
        <v>3.6</v>
      </c>
    </row>
    <row r="2473" spans="1:3" x14ac:dyDescent="0.3">
      <c r="A2473" s="4" t="s">
        <v>5641</v>
      </c>
      <c r="B2473" s="4" t="s">
        <v>7</v>
      </c>
      <c r="C2473" s="4">
        <v>3.3</v>
      </c>
    </row>
    <row r="2474" spans="1:3" x14ac:dyDescent="0.3">
      <c r="A2474" s="3" t="s">
        <v>5643</v>
      </c>
      <c r="B2474" s="3" t="s">
        <v>7</v>
      </c>
      <c r="C2474" s="3">
        <v>7.4</v>
      </c>
    </row>
    <row r="2475" spans="1:3" x14ac:dyDescent="0.3">
      <c r="A2475" s="4" t="s">
        <v>5645</v>
      </c>
      <c r="B2475" s="4" t="s">
        <v>7</v>
      </c>
      <c r="C2475" s="4">
        <v>6.7</v>
      </c>
    </row>
    <row r="2476" spans="1:3" x14ac:dyDescent="0.3">
      <c r="A2476" s="3" t="s">
        <v>5647</v>
      </c>
      <c r="B2476" s="3" t="s">
        <v>7</v>
      </c>
      <c r="C2476" s="3">
        <v>3</v>
      </c>
    </row>
    <row r="2477" spans="1:3" x14ac:dyDescent="0.3">
      <c r="A2477" s="4" t="s">
        <v>5649</v>
      </c>
      <c r="B2477" s="4" t="s">
        <v>7</v>
      </c>
      <c r="C2477" s="4">
        <v>7.6</v>
      </c>
    </row>
    <row r="2478" spans="1:3" x14ac:dyDescent="0.3">
      <c r="A2478" s="3" t="s">
        <v>5651</v>
      </c>
      <c r="B2478" s="3" t="s">
        <v>7</v>
      </c>
      <c r="C2478" s="3">
        <v>6.4</v>
      </c>
    </row>
    <row r="2479" spans="1:3" x14ac:dyDescent="0.3">
      <c r="A2479" s="4" t="s">
        <v>5653</v>
      </c>
      <c r="B2479" s="4" t="s">
        <v>7</v>
      </c>
      <c r="C2479" s="4">
        <v>6.9</v>
      </c>
    </row>
    <row r="2480" spans="1:3" x14ac:dyDescent="0.3">
      <c r="A2480" s="3" t="s">
        <v>5655</v>
      </c>
      <c r="B2480" s="3" t="s">
        <v>7</v>
      </c>
      <c r="C2480" s="3">
        <v>6.6</v>
      </c>
    </row>
    <row r="2481" spans="1:3" x14ac:dyDescent="0.3">
      <c r="A2481" s="4" t="s">
        <v>5657</v>
      </c>
      <c r="B2481" s="4" t="s">
        <v>7</v>
      </c>
      <c r="C2481" s="4">
        <v>5.5</v>
      </c>
    </row>
    <row r="2482" spans="1:3" x14ac:dyDescent="0.3">
      <c r="A2482" s="3" t="s">
        <v>5659</v>
      </c>
      <c r="B2482" s="3" t="s">
        <v>7</v>
      </c>
      <c r="C2482" s="3">
        <v>6.6</v>
      </c>
    </row>
    <row r="2483" spans="1:3" x14ac:dyDescent="0.3">
      <c r="A2483" s="4" t="s">
        <v>5661</v>
      </c>
      <c r="B2483" s="4" t="s">
        <v>7</v>
      </c>
      <c r="C2483" s="4">
        <v>5.2</v>
      </c>
    </row>
    <row r="2484" spans="1:3" x14ac:dyDescent="0.3">
      <c r="A2484" s="3" t="s">
        <v>5663</v>
      </c>
      <c r="B2484" s="3" t="s">
        <v>7</v>
      </c>
      <c r="C2484" s="3">
        <v>4.0999999999999996</v>
      </c>
    </row>
    <row r="2485" spans="1:3" x14ac:dyDescent="0.3">
      <c r="A2485" s="4" t="s">
        <v>5665</v>
      </c>
      <c r="B2485" s="4" t="s">
        <v>7</v>
      </c>
      <c r="C2485" s="4">
        <v>6.8</v>
      </c>
    </row>
    <row r="2486" spans="1:3" x14ac:dyDescent="0.3">
      <c r="A2486" s="3" t="s">
        <v>5667</v>
      </c>
      <c r="B2486" s="3" t="s">
        <v>7</v>
      </c>
      <c r="C2486" s="3">
        <v>6.5</v>
      </c>
    </row>
    <row r="2487" spans="1:3" x14ac:dyDescent="0.3">
      <c r="A2487" s="4" t="s">
        <v>5669</v>
      </c>
      <c r="B2487" s="4" t="s">
        <v>7</v>
      </c>
      <c r="C2487" s="4">
        <v>7.6</v>
      </c>
    </row>
    <row r="2488" spans="1:3" x14ac:dyDescent="0.3">
      <c r="A2488" s="3" t="s">
        <v>5671</v>
      </c>
      <c r="B2488" s="3" t="s">
        <v>7</v>
      </c>
      <c r="C2488" s="3">
        <v>7.4</v>
      </c>
    </row>
    <row r="2489" spans="1:3" x14ac:dyDescent="0.3">
      <c r="A2489" s="4" t="s">
        <v>5673</v>
      </c>
      <c r="B2489" s="4" t="s">
        <v>7</v>
      </c>
      <c r="C2489" s="4">
        <v>7.7</v>
      </c>
    </row>
    <row r="2490" spans="1:3" x14ac:dyDescent="0.3">
      <c r="A2490" s="3" t="s">
        <v>5675</v>
      </c>
      <c r="B2490" s="3" t="s">
        <v>7</v>
      </c>
      <c r="C2490" s="3">
        <v>7.1</v>
      </c>
    </row>
    <row r="2491" spans="1:3" x14ac:dyDescent="0.3">
      <c r="A2491" s="4" t="s">
        <v>5678</v>
      </c>
      <c r="B2491" s="4" t="s">
        <v>7</v>
      </c>
      <c r="C2491" s="4">
        <v>6.3</v>
      </c>
    </row>
    <row r="2492" spans="1:3" x14ac:dyDescent="0.3">
      <c r="A2492" s="3" t="s">
        <v>5680</v>
      </c>
      <c r="B2492" s="3" t="s">
        <v>7</v>
      </c>
      <c r="C2492" s="3">
        <v>7.6</v>
      </c>
    </row>
    <row r="2493" spans="1:3" x14ac:dyDescent="0.3">
      <c r="A2493" s="4" t="s">
        <v>5682</v>
      </c>
      <c r="B2493" s="4" t="s">
        <v>7</v>
      </c>
      <c r="C2493" s="4">
        <v>8</v>
      </c>
    </row>
    <row r="2494" spans="1:3" x14ac:dyDescent="0.3">
      <c r="A2494" s="3" t="s">
        <v>5684</v>
      </c>
      <c r="B2494" s="3" t="s">
        <v>7</v>
      </c>
      <c r="C2494" s="3">
        <v>7.3</v>
      </c>
    </row>
    <row r="2495" spans="1:3" x14ac:dyDescent="0.3">
      <c r="A2495" s="4" t="s">
        <v>5686</v>
      </c>
      <c r="B2495" s="4" t="s">
        <v>7</v>
      </c>
      <c r="C2495" s="4">
        <v>7.6</v>
      </c>
    </row>
    <row r="2496" spans="1:3" x14ac:dyDescent="0.3">
      <c r="A2496" s="3" t="s">
        <v>5688</v>
      </c>
      <c r="B2496" s="3" t="s">
        <v>7</v>
      </c>
      <c r="C2496" s="3">
        <v>7.8</v>
      </c>
    </row>
    <row r="2497" spans="1:3" x14ac:dyDescent="0.3">
      <c r="A2497" s="4" t="s">
        <v>5690</v>
      </c>
      <c r="B2497" s="4" t="s">
        <v>7</v>
      </c>
      <c r="C2497" s="4">
        <v>6.5</v>
      </c>
    </row>
    <row r="2498" spans="1:3" x14ac:dyDescent="0.3">
      <c r="A2498" s="3" t="s">
        <v>5692</v>
      </c>
      <c r="B2498" s="3" t="s">
        <v>7</v>
      </c>
      <c r="C2498" s="3">
        <v>6.4</v>
      </c>
    </row>
    <row r="2499" spans="1:3" x14ac:dyDescent="0.3">
      <c r="A2499" s="4" t="s">
        <v>5694</v>
      </c>
      <c r="B2499" s="4" t="s">
        <v>7</v>
      </c>
      <c r="C2499" s="4">
        <v>8</v>
      </c>
    </row>
    <row r="2500" spans="1:3" x14ac:dyDescent="0.3">
      <c r="A2500" s="3" t="s">
        <v>5697</v>
      </c>
      <c r="B2500" s="3" t="s">
        <v>7</v>
      </c>
      <c r="C2500" s="3">
        <v>4.8</v>
      </c>
    </row>
    <row r="2501" spans="1:3" x14ac:dyDescent="0.3">
      <c r="A2501" s="4" t="s">
        <v>5699</v>
      </c>
      <c r="B2501" s="4" t="s">
        <v>7</v>
      </c>
      <c r="C2501" s="4">
        <v>7.8</v>
      </c>
    </row>
    <row r="2502" spans="1:3" x14ac:dyDescent="0.3">
      <c r="A2502" s="3" t="s">
        <v>5701</v>
      </c>
      <c r="B2502" s="3" t="s">
        <v>247</v>
      </c>
      <c r="C2502" s="3">
        <v>5.9</v>
      </c>
    </row>
    <row r="2503" spans="1:3" x14ac:dyDescent="0.3">
      <c r="A2503" s="4" t="s">
        <v>5703</v>
      </c>
      <c r="B2503" s="4" t="s">
        <v>7</v>
      </c>
      <c r="C2503" s="4">
        <v>5.4</v>
      </c>
    </row>
    <row r="2504" spans="1:3" x14ac:dyDescent="0.3">
      <c r="A2504" s="3" t="s">
        <v>5705</v>
      </c>
      <c r="B2504" s="3" t="s">
        <v>7</v>
      </c>
      <c r="C2504" s="3">
        <v>3.3</v>
      </c>
    </row>
    <row r="2505" spans="1:3" x14ac:dyDescent="0.3">
      <c r="A2505" s="4" t="s">
        <v>5707</v>
      </c>
      <c r="B2505" s="4" t="s">
        <v>7</v>
      </c>
      <c r="C2505" s="4">
        <v>8.1999999999999993</v>
      </c>
    </row>
    <row r="2506" spans="1:3" x14ac:dyDescent="0.3">
      <c r="A2506" s="3" t="s">
        <v>5709</v>
      </c>
      <c r="B2506" s="3" t="s">
        <v>7</v>
      </c>
      <c r="C2506" s="3">
        <v>5.4</v>
      </c>
    </row>
    <row r="2507" spans="1:3" x14ac:dyDescent="0.3">
      <c r="A2507" s="4" t="s">
        <v>5711</v>
      </c>
      <c r="B2507" s="4" t="s">
        <v>7</v>
      </c>
      <c r="C2507" s="4">
        <v>6.4</v>
      </c>
    </row>
    <row r="2508" spans="1:3" x14ac:dyDescent="0.3">
      <c r="A2508" s="3" t="s">
        <v>5713</v>
      </c>
      <c r="B2508" s="3" t="s">
        <v>7</v>
      </c>
      <c r="C2508" s="3">
        <v>4.8</v>
      </c>
    </row>
    <row r="2509" spans="1:3" x14ac:dyDescent="0.3">
      <c r="A2509" s="4" t="s">
        <v>5715</v>
      </c>
      <c r="B2509" s="4" t="s">
        <v>7</v>
      </c>
      <c r="C2509" s="4">
        <v>5.9</v>
      </c>
    </row>
    <row r="2510" spans="1:3" x14ac:dyDescent="0.3">
      <c r="A2510" s="3" t="s">
        <v>5718</v>
      </c>
      <c r="B2510" s="3" t="s">
        <v>7</v>
      </c>
      <c r="C2510" s="3">
        <v>5.5</v>
      </c>
    </row>
    <row r="2511" spans="1:3" x14ac:dyDescent="0.3">
      <c r="A2511" s="4" t="s">
        <v>5720</v>
      </c>
      <c r="B2511" s="4" t="s">
        <v>7</v>
      </c>
      <c r="C2511" s="4">
        <v>7.9</v>
      </c>
    </row>
    <row r="2512" spans="1:3" x14ac:dyDescent="0.3">
      <c r="A2512" s="3" t="s">
        <v>5722</v>
      </c>
      <c r="B2512" s="3" t="s">
        <v>7</v>
      </c>
      <c r="C2512" s="3">
        <v>4.9000000000000004</v>
      </c>
    </row>
    <row r="2513" spans="1:3" x14ac:dyDescent="0.3">
      <c r="A2513" s="4" t="s">
        <v>5724</v>
      </c>
      <c r="B2513" s="4" t="s">
        <v>582</v>
      </c>
      <c r="C2513" s="4">
        <v>7.2</v>
      </c>
    </row>
    <row r="2514" spans="1:3" x14ac:dyDescent="0.3">
      <c r="A2514" s="3" t="s">
        <v>5726</v>
      </c>
      <c r="B2514" s="3" t="s">
        <v>7</v>
      </c>
      <c r="C2514" s="3">
        <v>6.6</v>
      </c>
    </row>
    <row r="2515" spans="1:3" x14ac:dyDescent="0.3">
      <c r="A2515" s="4" t="s">
        <v>5728</v>
      </c>
      <c r="B2515" s="4" t="s">
        <v>7</v>
      </c>
      <c r="C2515" s="4">
        <v>6.7</v>
      </c>
    </row>
    <row r="2516" spans="1:3" x14ac:dyDescent="0.3">
      <c r="A2516" s="3" t="s">
        <v>5730</v>
      </c>
      <c r="B2516" s="3" t="s">
        <v>582</v>
      </c>
      <c r="C2516" s="3">
        <v>5.3</v>
      </c>
    </row>
    <row r="2517" spans="1:3" x14ac:dyDescent="0.3">
      <c r="A2517" s="4" t="s">
        <v>5732</v>
      </c>
      <c r="B2517" s="4" t="s">
        <v>7</v>
      </c>
      <c r="C2517" s="4">
        <v>7.2</v>
      </c>
    </row>
    <row r="2518" spans="1:3" x14ac:dyDescent="0.3">
      <c r="A2518" s="3" t="s">
        <v>5734</v>
      </c>
      <c r="B2518" s="3" t="s">
        <v>7</v>
      </c>
      <c r="C2518" s="3">
        <v>5.0999999999999996</v>
      </c>
    </row>
    <row r="2519" spans="1:3" x14ac:dyDescent="0.3">
      <c r="A2519" s="4" t="s">
        <v>5736</v>
      </c>
      <c r="B2519" s="4" t="s">
        <v>7</v>
      </c>
      <c r="C2519" s="4">
        <v>5.6</v>
      </c>
    </row>
    <row r="2520" spans="1:3" x14ac:dyDescent="0.3">
      <c r="A2520" s="3" t="s">
        <v>5738</v>
      </c>
      <c r="B2520" s="3" t="s">
        <v>7</v>
      </c>
      <c r="C2520" s="3">
        <v>7.6</v>
      </c>
    </row>
    <row r="2521" spans="1:3" x14ac:dyDescent="0.3">
      <c r="A2521" s="4" t="s">
        <v>5740</v>
      </c>
      <c r="B2521" s="4" t="s">
        <v>7</v>
      </c>
      <c r="C2521" s="4">
        <v>3.1</v>
      </c>
    </row>
    <row r="2522" spans="1:3" x14ac:dyDescent="0.3">
      <c r="A2522" s="3" t="s">
        <v>5742</v>
      </c>
      <c r="B2522" s="3" t="s">
        <v>7</v>
      </c>
      <c r="C2522" s="3">
        <v>7.2</v>
      </c>
    </row>
    <row r="2523" spans="1:3" x14ac:dyDescent="0.3">
      <c r="A2523" s="4" t="s">
        <v>5744</v>
      </c>
      <c r="B2523" s="4" t="s">
        <v>7</v>
      </c>
      <c r="C2523" s="4">
        <v>5.7</v>
      </c>
    </row>
    <row r="2524" spans="1:3" x14ac:dyDescent="0.3">
      <c r="A2524" s="3" t="s">
        <v>5746</v>
      </c>
      <c r="B2524" s="3" t="s">
        <v>7</v>
      </c>
      <c r="C2524" s="3">
        <v>5.2</v>
      </c>
    </row>
    <row r="2525" spans="1:3" x14ac:dyDescent="0.3">
      <c r="A2525" s="4" t="s">
        <v>5748</v>
      </c>
      <c r="B2525" s="4" t="s">
        <v>7</v>
      </c>
      <c r="C2525" s="4">
        <v>7.7</v>
      </c>
    </row>
    <row r="2526" spans="1:3" x14ac:dyDescent="0.3">
      <c r="A2526" s="3" t="s">
        <v>5750</v>
      </c>
      <c r="B2526" s="3" t="s">
        <v>5752</v>
      </c>
      <c r="C2526" s="3">
        <v>7</v>
      </c>
    </row>
    <row r="2527" spans="1:3" x14ac:dyDescent="0.3">
      <c r="A2527" s="4" t="s">
        <v>5753</v>
      </c>
      <c r="B2527" s="4" t="s">
        <v>7</v>
      </c>
      <c r="C2527" s="4">
        <v>3.6</v>
      </c>
    </row>
    <row r="2528" spans="1:3" x14ac:dyDescent="0.3">
      <c r="A2528" s="3" t="s">
        <v>5755</v>
      </c>
      <c r="B2528" s="3" t="s">
        <v>7</v>
      </c>
      <c r="C2528" s="3">
        <v>4.9000000000000004</v>
      </c>
    </row>
    <row r="2529" spans="1:3" x14ac:dyDescent="0.3">
      <c r="A2529" s="4" t="s">
        <v>5758</v>
      </c>
      <c r="B2529" s="4" t="s">
        <v>7</v>
      </c>
      <c r="C2529" s="4">
        <v>6</v>
      </c>
    </row>
    <row r="2530" spans="1:3" x14ac:dyDescent="0.3">
      <c r="A2530" s="3" t="s">
        <v>5761</v>
      </c>
      <c r="B2530" s="3" t="s">
        <v>7</v>
      </c>
      <c r="C2530" s="3">
        <v>6.6</v>
      </c>
    </row>
    <row r="2531" spans="1:3" x14ac:dyDescent="0.3">
      <c r="A2531" s="4" t="s">
        <v>5764</v>
      </c>
      <c r="B2531" s="4" t="s">
        <v>7</v>
      </c>
      <c r="C2531" s="4">
        <v>6.8</v>
      </c>
    </row>
    <row r="2532" spans="1:3" x14ac:dyDescent="0.3">
      <c r="A2532" s="3" t="s">
        <v>5766</v>
      </c>
      <c r="B2532" s="3" t="s">
        <v>7</v>
      </c>
      <c r="C2532" s="3">
        <v>7.2</v>
      </c>
    </row>
    <row r="2533" spans="1:3" x14ac:dyDescent="0.3">
      <c r="A2533" s="4" t="s">
        <v>5768</v>
      </c>
      <c r="B2533" s="4" t="s">
        <v>7</v>
      </c>
      <c r="C2533" s="4">
        <v>7.2</v>
      </c>
    </row>
    <row r="2534" spans="1:3" x14ac:dyDescent="0.3">
      <c r="A2534" s="3" t="s">
        <v>5770</v>
      </c>
      <c r="B2534" s="3" t="s">
        <v>7</v>
      </c>
      <c r="C2534" s="3">
        <v>2.8</v>
      </c>
    </row>
    <row r="2535" spans="1:3" x14ac:dyDescent="0.3">
      <c r="A2535" s="4" t="s">
        <v>5772</v>
      </c>
      <c r="B2535" s="4" t="s">
        <v>7</v>
      </c>
      <c r="C2535" s="4">
        <v>6.6</v>
      </c>
    </row>
    <row r="2536" spans="1:3" x14ac:dyDescent="0.3">
      <c r="A2536" s="3" t="s">
        <v>5774</v>
      </c>
      <c r="B2536" s="3" t="s">
        <v>7</v>
      </c>
      <c r="C2536" s="3">
        <v>6.7</v>
      </c>
    </row>
    <row r="2537" spans="1:3" x14ac:dyDescent="0.3">
      <c r="A2537" s="4" t="s">
        <v>5776</v>
      </c>
      <c r="B2537" s="4" t="s">
        <v>7</v>
      </c>
      <c r="C2537" s="4">
        <v>7</v>
      </c>
    </row>
    <row r="2538" spans="1:3" x14ac:dyDescent="0.3">
      <c r="A2538" s="3" t="s">
        <v>5778</v>
      </c>
      <c r="B2538" s="3" t="s">
        <v>7</v>
      </c>
      <c r="C2538" s="3">
        <v>4.4000000000000004</v>
      </c>
    </row>
    <row r="2539" spans="1:3" x14ac:dyDescent="0.3">
      <c r="A2539" s="4" t="s">
        <v>5781</v>
      </c>
      <c r="B2539" s="4" t="s">
        <v>7</v>
      </c>
      <c r="C2539" s="4">
        <v>7.1</v>
      </c>
    </row>
    <row r="2540" spans="1:3" x14ac:dyDescent="0.3">
      <c r="A2540" s="3" t="s">
        <v>5783</v>
      </c>
      <c r="B2540" s="3" t="s">
        <v>7</v>
      </c>
      <c r="C2540" s="3">
        <v>6.2</v>
      </c>
    </row>
    <row r="2541" spans="1:3" x14ac:dyDescent="0.3">
      <c r="A2541" s="4" t="s">
        <v>5785</v>
      </c>
      <c r="B2541" s="4" t="s">
        <v>7</v>
      </c>
      <c r="C2541" s="4">
        <v>7.3</v>
      </c>
    </row>
    <row r="2542" spans="1:3" x14ac:dyDescent="0.3">
      <c r="A2542" s="3" t="s">
        <v>5787</v>
      </c>
      <c r="B2542" s="3" t="s">
        <v>7</v>
      </c>
      <c r="C2542" s="3">
        <v>5.0999999999999996</v>
      </c>
    </row>
    <row r="2543" spans="1:3" x14ac:dyDescent="0.3">
      <c r="A2543" s="4" t="s">
        <v>5789</v>
      </c>
      <c r="B2543" s="4" t="s">
        <v>7</v>
      </c>
      <c r="C2543" s="4">
        <v>8.1</v>
      </c>
    </row>
    <row r="2544" spans="1:3" x14ac:dyDescent="0.3">
      <c r="A2544" s="3" t="s">
        <v>5791</v>
      </c>
      <c r="B2544" s="3" t="s">
        <v>7</v>
      </c>
      <c r="C2544" s="3">
        <v>6.7</v>
      </c>
    </row>
    <row r="2545" spans="1:3" x14ac:dyDescent="0.3">
      <c r="A2545" s="4" t="s">
        <v>5793</v>
      </c>
      <c r="B2545" s="4" t="s">
        <v>7</v>
      </c>
      <c r="C2545" s="4">
        <v>6.6</v>
      </c>
    </row>
    <row r="2546" spans="1:3" x14ac:dyDescent="0.3">
      <c r="A2546" s="3" t="s">
        <v>5795</v>
      </c>
      <c r="B2546" s="3" t="s">
        <v>5282</v>
      </c>
      <c r="C2546" s="3">
        <v>4.5</v>
      </c>
    </row>
    <row r="2547" spans="1:3" x14ac:dyDescent="0.3">
      <c r="A2547" s="4" t="s">
        <v>5797</v>
      </c>
      <c r="B2547" s="4" t="s">
        <v>7</v>
      </c>
      <c r="C2547" s="4">
        <v>6.6</v>
      </c>
    </row>
    <row r="2548" spans="1:3" x14ac:dyDescent="0.3">
      <c r="A2548" s="3" t="s">
        <v>5799</v>
      </c>
      <c r="B2548" s="3" t="s">
        <v>7</v>
      </c>
      <c r="C2548" s="3">
        <v>6.5</v>
      </c>
    </row>
    <row r="2549" spans="1:3" x14ac:dyDescent="0.3">
      <c r="A2549" s="4" t="s">
        <v>5801</v>
      </c>
      <c r="B2549" s="4" t="s">
        <v>7</v>
      </c>
      <c r="C2549" s="4">
        <v>5.9</v>
      </c>
    </row>
    <row r="2550" spans="1:3" x14ac:dyDescent="0.3">
      <c r="A2550" s="3" t="s">
        <v>5804</v>
      </c>
      <c r="B2550" s="3" t="s">
        <v>582</v>
      </c>
      <c r="C2550" s="3">
        <v>6.6</v>
      </c>
    </row>
    <row r="2551" spans="1:3" x14ac:dyDescent="0.3">
      <c r="A2551" s="4" t="s">
        <v>5807</v>
      </c>
      <c r="B2551" s="4" t="s">
        <v>7</v>
      </c>
      <c r="C2551" s="4">
        <v>6.5</v>
      </c>
    </row>
    <row r="2552" spans="1:3" x14ac:dyDescent="0.3">
      <c r="A2552" s="3" t="s">
        <v>5809</v>
      </c>
      <c r="B2552" s="3" t="s">
        <v>7</v>
      </c>
      <c r="C2552" s="3">
        <v>7.3</v>
      </c>
    </row>
    <row r="2553" spans="1:3" x14ac:dyDescent="0.3">
      <c r="A2553" s="4" t="s">
        <v>5811</v>
      </c>
      <c r="B2553" s="4" t="s">
        <v>7</v>
      </c>
      <c r="C2553" s="4">
        <v>7.5</v>
      </c>
    </row>
    <row r="2554" spans="1:3" x14ac:dyDescent="0.3">
      <c r="A2554" s="3" t="s">
        <v>5813</v>
      </c>
      <c r="B2554" s="3" t="s">
        <v>7</v>
      </c>
      <c r="C2554" s="3">
        <v>5.9</v>
      </c>
    </row>
    <row r="2555" spans="1:3" x14ac:dyDescent="0.3">
      <c r="A2555" s="4" t="s">
        <v>5815</v>
      </c>
      <c r="B2555" s="4" t="s">
        <v>7</v>
      </c>
      <c r="C2555" s="4">
        <v>7.4</v>
      </c>
    </row>
    <row r="2556" spans="1:3" x14ac:dyDescent="0.3">
      <c r="A2556" s="3" t="s">
        <v>5817</v>
      </c>
      <c r="B2556" s="3" t="s">
        <v>7</v>
      </c>
      <c r="C2556" s="3">
        <v>6.9</v>
      </c>
    </row>
    <row r="2557" spans="1:3" x14ac:dyDescent="0.3">
      <c r="A2557" s="4" t="s">
        <v>5819</v>
      </c>
      <c r="B2557" s="4" t="s">
        <v>7</v>
      </c>
      <c r="C2557" s="4">
        <v>7.9</v>
      </c>
    </row>
    <row r="2558" spans="1:3" x14ac:dyDescent="0.3">
      <c r="A2558" s="3" t="s">
        <v>5822</v>
      </c>
      <c r="B2558" s="3" t="s">
        <v>7</v>
      </c>
      <c r="C2558" s="3">
        <v>8.4</v>
      </c>
    </row>
    <row r="2559" spans="1:3" x14ac:dyDescent="0.3">
      <c r="A2559" s="4" t="s">
        <v>5825</v>
      </c>
      <c r="B2559" s="4" t="s">
        <v>7</v>
      </c>
      <c r="C2559" s="4">
        <v>8</v>
      </c>
    </row>
    <row r="2560" spans="1:3" x14ac:dyDescent="0.3">
      <c r="A2560" s="3" t="s">
        <v>5828</v>
      </c>
      <c r="B2560" s="3" t="s">
        <v>7</v>
      </c>
      <c r="C2560" s="3">
        <v>6</v>
      </c>
    </row>
    <row r="2561" spans="1:3" x14ac:dyDescent="0.3">
      <c r="A2561" s="4" t="s">
        <v>5830</v>
      </c>
      <c r="B2561" s="4" t="s">
        <v>7</v>
      </c>
      <c r="C2561" s="4">
        <v>6.8</v>
      </c>
    </row>
    <row r="2562" spans="1:3" x14ac:dyDescent="0.3">
      <c r="A2562" s="3" t="s">
        <v>5832</v>
      </c>
      <c r="B2562" s="3" t="s">
        <v>7</v>
      </c>
      <c r="C2562" s="3">
        <v>7.8</v>
      </c>
    </row>
    <row r="2563" spans="1:3" x14ac:dyDescent="0.3">
      <c r="A2563" s="4" t="s">
        <v>5834</v>
      </c>
      <c r="B2563" s="4" t="s">
        <v>7</v>
      </c>
      <c r="C2563" s="4">
        <v>5.7</v>
      </c>
    </row>
    <row r="2564" spans="1:3" x14ac:dyDescent="0.3">
      <c r="A2564" s="3" t="s">
        <v>5837</v>
      </c>
      <c r="B2564" s="3" t="s">
        <v>7</v>
      </c>
      <c r="C2564" s="3">
        <v>6.1</v>
      </c>
    </row>
    <row r="2565" spans="1:3" x14ac:dyDescent="0.3">
      <c r="A2565" s="4" t="s">
        <v>5839</v>
      </c>
      <c r="B2565" s="4" t="s">
        <v>7</v>
      </c>
      <c r="C2565" s="4">
        <v>8.1</v>
      </c>
    </row>
    <row r="2566" spans="1:3" x14ac:dyDescent="0.3">
      <c r="A2566" s="3" t="s">
        <v>5841</v>
      </c>
      <c r="B2566" s="3" t="s">
        <v>7</v>
      </c>
      <c r="C2566" s="3">
        <v>6.1</v>
      </c>
    </row>
    <row r="2567" spans="1:3" x14ac:dyDescent="0.3">
      <c r="A2567" s="4" t="s">
        <v>5843</v>
      </c>
      <c r="B2567" s="4" t="s">
        <v>7</v>
      </c>
      <c r="C2567" s="4">
        <v>7.5</v>
      </c>
    </row>
    <row r="2568" spans="1:3" x14ac:dyDescent="0.3">
      <c r="A2568" s="3" t="s">
        <v>5845</v>
      </c>
      <c r="B2568" s="3" t="s">
        <v>7</v>
      </c>
      <c r="C2568" s="3">
        <v>6.2</v>
      </c>
    </row>
    <row r="2569" spans="1:3" x14ac:dyDescent="0.3">
      <c r="A2569" s="4" t="s">
        <v>5847</v>
      </c>
      <c r="B2569" s="4" t="s">
        <v>7</v>
      </c>
      <c r="C2569" s="4">
        <v>6.2</v>
      </c>
    </row>
    <row r="2570" spans="1:3" x14ac:dyDescent="0.3">
      <c r="A2570" s="3" t="s">
        <v>5849</v>
      </c>
      <c r="B2570" s="3" t="s">
        <v>7</v>
      </c>
      <c r="C2570" s="3">
        <v>7.9</v>
      </c>
    </row>
    <row r="2571" spans="1:3" x14ac:dyDescent="0.3">
      <c r="A2571" s="4" t="s">
        <v>5851</v>
      </c>
      <c r="B2571" s="4" t="s">
        <v>7</v>
      </c>
      <c r="C2571" s="4">
        <v>7.4</v>
      </c>
    </row>
    <row r="2572" spans="1:3" x14ac:dyDescent="0.3">
      <c r="A2572" s="3" t="s">
        <v>5854</v>
      </c>
      <c r="B2572" s="3" t="s">
        <v>7</v>
      </c>
      <c r="C2572" s="3">
        <v>6.6</v>
      </c>
    </row>
    <row r="2573" spans="1:3" x14ac:dyDescent="0.3">
      <c r="A2573" s="4" t="s">
        <v>5856</v>
      </c>
      <c r="B2573" s="4" t="s">
        <v>7</v>
      </c>
      <c r="C2573" s="4">
        <v>7.3</v>
      </c>
    </row>
    <row r="2574" spans="1:3" x14ac:dyDescent="0.3">
      <c r="A2574" s="3" t="s">
        <v>5858</v>
      </c>
      <c r="B2574" s="3" t="s">
        <v>7</v>
      </c>
      <c r="C2574" s="3">
        <v>7.5</v>
      </c>
    </row>
    <row r="2575" spans="1:3" x14ac:dyDescent="0.3">
      <c r="A2575" s="4" t="s">
        <v>5860</v>
      </c>
      <c r="B2575" s="4" t="s">
        <v>7</v>
      </c>
      <c r="C2575" s="4">
        <v>5.6</v>
      </c>
    </row>
    <row r="2576" spans="1:3" x14ac:dyDescent="0.3">
      <c r="A2576" s="3" t="s">
        <v>5862</v>
      </c>
      <c r="B2576" s="3" t="s">
        <v>7</v>
      </c>
      <c r="C2576" s="3">
        <v>7.3</v>
      </c>
    </row>
    <row r="2577" spans="1:3" x14ac:dyDescent="0.3">
      <c r="A2577" s="4" t="s">
        <v>5864</v>
      </c>
      <c r="B2577" s="4" t="s">
        <v>7</v>
      </c>
      <c r="C2577" s="4">
        <v>6.4</v>
      </c>
    </row>
    <row r="2578" spans="1:3" x14ac:dyDescent="0.3">
      <c r="A2578" s="3" t="s">
        <v>5866</v>
      </c>
      <c r="B2578" s="3" t="s">
        <v>7</v>
      </c>
      <c r="C2578" s="3">
        <v>5</v>
      </c>
    </row>
    <row r="2579" spans="1:3" x14ac:dyDescent="0.3">
      <c r="A2579" s="4" t="s">
        <v>5868</v>
      </c>
      <c r="B2579" s="4" t="s">
        <v>7</v>
      </c>
      <c r="C2579" s="4">
        <v>5.4</v>
      </c>
    </row>
    <row r="2580" spans="1:3" x14ac:dyDescent="0.3">
      <c r="A2580" s="3" t="s">
        <v>5870</v>
      </c>
      <c r="B2580" s="3" t="s">
        <v>7</v>
      </c>
      <c r="C2580" s="3">
        <v>8.1999999999999993</v>
      </c>
    </row>
    <row r="2581" spans="1:3" x14ac:dyDescent="0.3">
      <c r="A2581" s="4" t="s">
        <v>5872</v>
      </c>
      <c r="B2581" s="4" t="s">
        <v>7</v>
      </c>
      <c r="C2581" s="4">
        <v>7.1</v>
      </c>
    </row>
    <row r="2582" spans="1:3" x14ac:dyDescent="0.3">
      <c r="A2582" s="3" t="s">
        <v>5874</v>
      </c>
      <c r="B2582" s="3" t="s">
        <v>7</v>
      </c>
      <c r="C2582" s="3">
        <v>5.3</v>
      </c>
    </row>
    <row r="2583" spans="1:3" x14ac:dyDescent="0.3">
      <c r="A2583" s="4" t="s">
        <v>5876</v>
      </c>
      <c r="B2583" s="4" t="s">
        <v>7</v>
      </c>
      <c r="C2583" s="4">
        <v>6.5</v>
      </c>
    </row>
    <row r="2584" spans="1:3" x14ac:dyDescent="0.3">
      <c r="A2584" s="3" t="s">
        <v>5878</v>
      </c>
      <c r="B2584" s="3" t="s">
        <v>7</v>
      </c>
      <c r="C2584" s="3">
        <v>6.2</v>
      </c>
    </row>
    <row r="2585" spans="1:3" x14ac:dyDescent="0.3">
      <c r="A2585" s="4" t="s">
        <v>5881</v>
      </c>
      <c r="B2585" s="4" t="s">
        <v>7</v>
      </c>
      <c r="C2585" s="4">
        <v>6.4</v>
      </c>
    </row>
    <row r="2586" spans="1:3" x14ac:dyDescent="0.3">
      <c r="A2586" s="3" t="s">
        <v>5883</v>
      </c>
      <c r="B2586" s="3" t="s">
        <v>7</v>
      </c>
      <c r="C2586" s="3">
        <v>7.2</v>
      </c>
    </row>
    <row r="2587" spans="1:3" x14ac:dyDescent="0.3">
      <c r="A2587" s="4" t="s">
        <v>5885</v>
      </c>
      <c r="B2587" s="4" t="s">
        <v>7</v>
      </c>
      <c r="C2587" s="4">
        <v>6.9</v>
      </c>
    </row>
    <row r="2588" spans="1:3" x14ac:dyDescent="0.3">
      <c r="A2588" s="3" t="s">
        <v>5887</v>
      </c>
      <c r="B2588" s="3" t="s">
        <v>7</v>
      </c>
      <c r="C2588" s="3">
        <v>5.7</v>
      </c>
    </row>
    <row r="2589" spans="1:3" x14ac:dyDescent="0.3">
      <c r="A2589" s="4" t="s">
        <v>5890</v>
      </c>
      <c r="B2589" s="4" t="s">
        <v>3702</v>
      </c>
      <c r="C2589" s="4">
        <v>7.7</v>
      </c>
    </row>
    <row r="2590" spans="1:3" x14ac:dyDescent="0.3">
      <c r="A2590" s="3" t="s">
        <v>5892</v>
      </c>
      <c r="B2590" s="3" t="s">
        <v>7</v>
      </c>
      <c r="C2590" s="3">
        <v>5.4</v>
      </c>
    </row>
    <row r="2591" spans="1:3" x14ac:dyDescent="0.3">
      <c r="A2591" s="4" t="s">
        <v>5894</v>
      </c>
      <c r="B2591" s="4" t="s">
        <v>7</v>
      </c>
      <c r="C2591" s="4">
        <v>5.6</v>
      </c>
    </row>
    <row r="2592" spans="1:3" x14ac:dyDescent="0.3">
      <c r="A2592" s="3" t="s">
        <v>5896</v>
      </c>
      <c r="B2592" s="3" t="s">
        <v>792</v>
      </c>
      <c r="C2592" s="3">
        <v>7.7</v>
      </c>
    </row>
    <row r="2593" spans="1:3" x14ac:dyDescent="0.3">
      <c r="A2593" s="4" t="s">
        <v>5898</v>
      </c>
      <c r="B2593" s="4" t="s">
        <v>7</v>
      </c>
      <c r="C2593" s="4">
        <v>5.0999999999999996</v>
      </c>
    </row>
    <row r="2594" spans="1:3" x14ac:dyDescent="0.3">
      <c r="A2594" s="3" t="s">
        <v>5900</v>
      </c>
      <c r="B2594" s="3" t="s">
        <v>7</v>
      </c>
      <c r="C2594" s="3">
        <v>6.8</v>
      </c>
    </row>
    <row r="2595" spans="1:3" x14ac:dyDescent="0.3">
      <c r="A2595" s="4" t="s">
        <v>5902</v>
      </c>
      <c r="B2595" s="4" t="s">
        <v>7</v>
      </c>
      <c r="C2595" s="4">
        <v>8.4</v>
      </c>
    </row>
    <row r="2596" spans="1:3" x14ac:dyDescent="0.3">
      <c r="A2596" s="3" t="s">
        <v>5904</v>
      </c>
      <c r="B2596" s="3" t="s">
        <v>7</v>
      </c>
      <c r="C2596" s="3">
        <v>4.9000000000000004</v>
      </c>
    </row>
    <row r="2597" spans="1:3" x14ac:dyDescent="0.3">
      <c r="A2597" s="4" t="s">
        <v>5906</v>
      </c>
      <c r="B2597" s="4" t="s">
        <v>7</v>
      </c>
      <c r="C2597" s="4">
        <v>7.1</v>
      </c>
    </row>
    <row r="2598" spans="1:3" x14ac:dyDescent="0.3">
      <c r="A2598" s="3" t="s">
        <v>5908</v>
      </c>
      <c r="B2598" s="3" t="s">
        <v>7</v>
      </c>
      <c r="C2598" s="3">
        <v>6.6</v>
      </c>
    </row>
    <row r="2599" spans="1:3" x14ac:dyDescent="0.3">
      <c r="A2599" s="4" t="s">
        <v>5910</v>
      </c>
      <c r="B2599" s="4" t="s">
        <v>7</v>
      </c>
      <c r="C2599" s="4">
        <v>6.1</v>
      </c>
    </row>
    <row r="2600" spans="1:3" x14ac:dyDescent="0.3">
      <c r="A2600" s="3" t="s">
        <v>5912</v>
      </c>
      <c r="B2600" s="3" t="s">
        <v>7</v>
      </c>
      <c r="C2600" s="3">
        <v>4.0999999999999996</v>
      </c>
    </row>
    <row r="2601" spans="1:3" x14ac:dyDescent="0.3">
      <c r="A2601" s="4" t="s">
        <v>5914</v>
      </c>
      <c r="B2601" s="4" t="s">
        <v>7</v>
      </c>
      <c r="C2601" s="4">
        <v>5.8</v>
      </c>
    </row>
    <row r="2602" spans="1:3" x14ac:dyDescent="0.3">
      <c r="A2602" s="3" t="s">
        <v>5916</v>
      </c>
      <c r="B2602" s="3" t="s">
        <v>7</v>
      </c>
      <c r="C2602" s="3">
        <v>8.1</v>
      </c>
    </row>
    <row r="2603" spans="1:3" x14ac:dyDescent="0.3">
      <c r="A2603" s="4" t="s">
        <v>5918</v>
      </c>
      <c r="B2603" s="4" t="s">
        <v>7</v>
      </c>
      <c r="C2603" s="4">
        <v>7.6</v>
      </c>
    </row>
    <row r="2604" spans="1:3" x14ac:dyDescent="0.3">
      <c r="A2604" s="3" t="s">
        <v>5920</v>
      </c>
      <c r="B2604" s="3" t="s">
        <v>7</v>
      </c>
      <c r="C2604" s="3">
        <v>7.8</v>
      </c>
    </row>
    <row r="2605" spans="1:3" x14ac:dyDescent="0.3">
      <c r="A2605" s="4" t="s">
        <v>5922</v>
      </c>
      <c r="B2605" s="4" t="s">
        <v>7</v>
      </c>
      <c r="C2605" s="4">
        <v>4.5999999999999996</v>
      </c>
    </row>
    <row r="2606" spans="1:3" x14ac:dyDescent="0.3">
      <c r="A2606" s="3" t="s">
        <v>2242</v>
      </c>
      <c r="B2606" s="3" t="s">
        <v>5282</v>
      </c>
      <c r="C2606" s="3">
        <v>6</v>
      </c>
    </row>
    <row r="2607" spans="1:3" x14ac:dyDescent="0.3">
      <c r="A2607" s="4" t="s">
        <v>5926</v>
      </c>
      <c r="B2607" s="4" t="s">
        <v>7</v>
      </c>
      <c r="C2607" s="4">
        <v>7</v>
      </c>
    </row>
    <row r="2608" spans="1:3" x14ac:dyDescent="0.3">
      <c r="A2608" s="3" t="s">
        <v>5928</v>
      </c>
      <c r="B2608" s="3" t="s">
        <v>7</v>
      </c>
      <c r="C2608" s="3">
        <v>6.7</v>
      </c>
    </row>
    <row r="2609" spans="1:3" x14ac:dyDescent="0.3">
      <c r="A2609" s="4" t="s">
        <v>5930</v>
      </c>
      <c r="B2609" s="4" t="s">
        <v>4134</v>
      </c>
      <c r="C2609" s="4">
        <v>6.4</v>
      </c>
    </row>
    <row r="2610" spans="1:3" x14ac:dyDescent="0.3">
      <c r="A2610" s="3" t="s">
        <v>5932</v>
      </c>
      <c r="B2610" s="3" t="s">
        <v>7</v>
      </c>
      <c r="C2610" s="3">
        <v>7.2</v>
      </c>
    </row>
    <row r="2611" spans="1:3" x14ac:dyDescent="0.3">
      <c r="A2611" s="4" t="s">
        <v>5934</v>
      </c>
      <c r="B2611" s="4" t="s">
        <v>7</v>
      </c>
      <c r="C2611" s="4">
        <v>7.4</v>
      </c>
    </row>
    <row r="2612" spans="1:3" x14ac:dyDescent="0.3">
      <c r="A2612" s="3" t="s">
        <v>5936</v>
      </c>
      <c r="B2612" s="3" t="s">
        <v>3064</v>
      </c>
      <c r="C2612" s="3">
        <v>4.8</v>
      </c>
    </row>
    <row r="2613" spans="1:3" x14ac:dyDescent="0.3">
      <c r="A2613" s="4" t="s">
        <v>5938</v>
      </c>
      <c r="B2613" s="4" t="s">
        <v>7</v>
      </c>
      <c r="C2613" s="4">
        <v>4</v>
      </c>
    </row>
    <row r="2614" spans="1:3" x14ac:dyDescent="0.3">
      <c r="A2614" s="3" t="s">
        <v>5940</v>
      </c>
      <c r="B2614" s="3" t="s">
        <v>7</v>
      </c>
      <c r="C2614" s="3">
        <v>6.2</v>
      </c>
    </row>
    <row r="2615" spans="1:3" x14ac:dyDescent="0.3">
      <c r="A2615" s="4" t="s">
        <v>5942</v>
      </c>
      <c r="B2615" s="4" t="s">
        <v>7</v>
      </c>
      <c r="C2615" s="4">
        <v>7.7</v>
      </c>
    </row>
    <row r="2616" spans="1:3" x14ac:dyDescent="0.3">
      <c r="A2616" s="3" t="s">
        <v>5944</v>
      </c>
      <c r="B2616" s="3" t="s">
        <v>7</v>
      </c>
      <c r="C2616" s="3">
        <v>6.7</v>
      </c>
    </row>
    <row r="2617" spans="1:3" x14ac:dyDescent="0.3">
      <c r="A2617" s="4" t="s">
        <v>5946</v>
      </c>
      <c r="B2617" s="4" t="s">
        <v>7</v>
      </c>
      <c r="C2617" s="4">
        <v>7.9</v>
      </c>
    </row>
    <row r="2618" spans="1:3" x14ac:dyDescent="0.3">
      <c r="A2618" s="3" t="s">
        <v>5948</v>
      </c>
      <c r="B2618" s="3" t="s">
        <v>7</v>
      </c>
      <c r="C2618" s="3">
        <v>7.9</v>
      </c>
    </row>
    <row r="2619" spans="1:3" x14ac:dyDescent="0.3">
      <c r="A2619" s="4" t="s">
        <v>5950</v>
      </c>
      <c r="B2619" s="4" t="s">
        <v>7</v>
      </c>
      <c r="C2619" s="4">
        <v>5.5</v>
      </c>
    </row>
    <row r="2620" spans="1:3" x14ac:dyDescent="0.3">
      <c r="A2620" s="3" t="s">
        <v>5952</v>
      </c>
      <c r="B2620" s="3" t="s">
        <v>7</v>
      </c>
      <c r="C2620" s="3">
        <v>6.2</v>
      </c>
    </row>
    <row r="2621" spans="1:3" x14ac:dyDescent="0.3">
      <c r="A2621" s="4" t="s">
        <v>5954</v>
      </c>
      <c r="B2621" s="4" t="s">
        <v>5956</v>
      </c>
      <c r="C2621" s="4">
        <v>5.0999999999999996</v>
      </c>
    </row>
    <row r="2622" spans="1:3" x14ac:dyDescent="0.3">
      <c r="A2622" s="3" t="s">
        <v>5957</v>
      </c>
      <c r="B2622" s="3" t="s">
        <v>7</v>
      </c>
      <c r="C2622" s="3">
        <v>4.0999999999999996</v>
      </c>
    </row>
    <row r="2623" spans="1:3" x14ac:dyDescent="0.3">
      <c r="A2623" s="4" t="s">
        <v>5959</v>
      </c>
      <c r="B2623" s="4" t="s">
        <v>792</v>
      </c>
      <c r="C2623" s="4">
        <v>6.7</v>
      </c>
    </row>
    <row r="2624" spans="1:3" x14ac:dyDescent="0.3">
      <c r="A2624" s="3" t="s">
        <v>5961</v>
      </c>
      <c r="B2624" s="3" t="s">
        <v>7</v>
      </c>
      <c r="C2624" s="3">
        <v>4.7</v>
      </c>
    </row>
    <row r="2625" spans="1:3" x14ac:dyDescent="0.3">
      <c r="A2625" s="4" t="s">
        <v>5964</v>
      </c>
      <c r="B2625" s="4" t="s">
        <v>7</v>
      </c>
      <c r="C2625" s="4">
        <v>6.4</v>
      </c>
    </row>
    <row r="2626" spans="1:3" x14ac:dyDescent="0.3">
      <c r="A2626" s="3" t="s">
        <v>5966</v>
      </c>
      <c r="B2626" s="3" t="s">
        <v>7</v>
      </c>
      <c r="C2626" s="3">
        <v>6.3</v>
      </c>
    </row>
    <row r="2627" spans="1:3" x14ac:dyDescent="0.3">
      <c r="A2627" s="4" t="s">
        <v>5968</v>
      </c>
      <c r="B2627" s="4" t="s">
        <v>7</v>
      </c>
      <c r="C2627" s="4">
        <v>5.5</v>
      </c>
    </row>
    <row r="2628" spans="1:3" x14ac:dyDescent="0.3">
      <c r="A2628" s="3" t="s">
        <v>5970</v>
      </c>
      <c r="B2628" s="3" t="s">
        <v>7</v>
      </c>
      <c r="C2628" s="3">
        <v>7.3</v>
      </c>
    </row>
    <row r="2629" spans="1:3" x14ac:dyDescent="0.3">
      <c r="A2629" s="4" t="s">
        <v>5972</v>
      </c>
      <c r="B2629" s="4" t="s">
        <v>247</v>
      </c>
      <c r="C2629" s="4">
        <v>6.3</v>
      </c>
    </row>
    <row r="2630" spans="1:3" x14ac:dyDescent="0.3">
      <c r="A2630" s="3" t="s">
        <v>5974</v>
      </c>
      <c r="B2630" s="3" t="s">
        <v>7</v>
      </c>
      <c r="C2630" s="3">
        <v>4.9000000000000004</v>
      </c>
    </row>
    <row r="2631" spans="1:3" x14ac:dyDescent="0.3">
      <c r="A2631" s="4" t="s">
        <v>5976</v>
      </c>
      <c r="B2631" s="4" t="s">
        <v>7</v>
      </c>
      <c r="C2631" s="4">
        <v>7.6</v>
      </c>
    </row>
    <row r="2632" spans="1:3" x14ac:dyDescent="0.3">
      <c r="A2632" s="3" t="s">
        <v>5978</v>
      </c>
      <c r="B2632" s="3" t="s">
        <v>7</v>
      </c>
      <c r="C2632" s="3">
        <v>6</v>
      </c>
    </row>
    <row r="2633" spans="1:3" x14ac:dyDescent="0.3">
      <c r="A2633" s="4" t="s">
        <v>5980</v>
      </c>
      <c r="B2633" s="4" t="s">
        <v>7</v>
      </c>
      <c r="C2633" s="4">
        <v>6.2</v>
      </c>
    </row>
    <row r="2634" spans="1:3" x14ac:dyDescent="0.3">
      <c r="A2634" s="3" t="s">
        <v>5983</v>
      </c>
      <c r="B2634" s="3" t="s">
        <v>7</v>
      </c>
      <c r="C2634" s="3">
        <v>6.8</v>
      </c>
    </row>
    <row r="2635" spans="1:3" x14ac:dyDescent="0.3">
      <c r="A2635" s="4" t="s">
        <v>5985</v>
      </c>
      <c r="B2635" s="4" t="s">
        <v>7</v>
      </c>
      <c r="C2635" s="4">
        <v>4.5</v>
      </c>
    </row>
    <row r="2636" spans="1:3" x14ac:dyDescent="0.3">
      <c r="A2636" s="3" t="s">
        <v>5987</v>
      </c>
      <c r="B2636" s="3" t="s">
        <v>7</v>
      </c>
      <c r="C2636" s="3">
        <v>5.7</v>
      </c>
    </row>
    <row r="2637" spans="1:3" x14ac:dyDescent="0.3">
      <c r="A2637" s="4" t="s">
        <v>5990</v>
      </c>
      <c r="B2637" s="4" t="s">
        <v>7</v>
      </c>
      <c r="C2637" s="4">
        <v>8.4</v>
      </c>
    </row>
    <row r="2638" spans="1:3" x14ac:dyDescent="0.3">
      <c r="A2638" s="3" t="s">
        <v>5992</v>
      </c>
      <c r="B2638" s="3" t="s">
        <v>7</v>
      </c>
      <c r="C2638" s="3">
        <v>4.5999999999999996</v>
      </c>
    </row>
    <row r="2639" spans="1:3" x14ac:dyDescent="0.3">
      <c r="A2639" s="4" t="s">
        <v>5994</v>
      </c>
      <c r="B2639" s="4" t="s">
        <v>7</v>
      </c>
      <c r="C2639" s="4">
        <v>6.2</v>
      </c>
    </row>
    <row r="2640" spans="1:3" x14ac:dyDescent="0.3">
      <c r="A2640" s="3" t="s">
        <v>5996</v>
      </c>
      <c r="B2640" s="3" t="s">
        <v>7</v>
      </c>
      <c r="C2640" s="3">
        <v>7</v>
      </c>
    </row>
    <row r="2641" spans="1:3" x14ac:dyDescent="0.3">
      <c r="A2641" s="4" t="s">
        <v>5998</v>
      </c>
      <c r="B2641" s="4" t="s">
        <v>7</v>
      </c>
      <c r="C2641" s="4">
        <v>6.9</v>
      </c>
    </row>
    <row r="2642" spans="1:3" x14ac:dyDescent="0.3">
      <c r="A2642" s="3" t="s">
        <v>6000</v>
      </c>
      <c r="B2642" s="3" t="s">
        <v>7</v>
      </c>
      <c r="C2642" s="3">
        <v>6.1</v>
      </c>
    </row>
    <row r="2643" spans="1:3" x14ac:dyDescent="0.3">
      <c r="A2643" s="4" t="s">
        <v>6002</v>
      </c>
      <c r="B2643" s="4" t="s">
        <v>7</v>
      </c>
      <c r="C2643" s="4">
        <v>6.7</v>
      </c>
    </row>
    <row r="2644" spans="1:3" x14ac:dyDescent="0.3">
      <c r="A2644" s="3" t="s">
        <v>6004</v>
      </c>
      <c r="B2644" s="3" t="s">
        <v>7</v>
      </c>
      <c r="C2644" s="3">
        <v>5.6</v>
      </c>
    </row>
    <row r="2645" spans="1:3" x14ac:dyDescent="0.3">
      <c r="A2645" s="4" t="s">
        <v>6006</v>
      </c>
      <c r="B2645" s="4" t="s">
        <v>7</v>
      </c>
      <c r="C2645" s="4">
        <v>6.6</v>
      </c>
    </row>
    <row r="2646" spans="1:3" x14ac:dyDescent="0.3">
      <c r="A2646" s="3" t="s">
        <v>6008</v>
      </c>
      <c r="B2646" s="3" t="s">
        <v>7</v>
      </c>
      <c r="C2646" s="3">
        <v>6.4</v>
      </c>
    </row>
    <row r="2647" spans="1:3" x14ac:dyDescent="0.3">
      <c r="A2647" s="4" t="s">
        <v>6010</v>
      </c>
      <c r="B2647" s="4" t="s">
        <v>7</v>
      </c>
      <c r="C2647" s="4">
        <v>2.8</v>
      </c>
    </row>
    <row r="2648" spans="1:3" x14ac:dyDescent="0.3">
      <c r="A2648" s="3" t="s">
        <v>6012</v>
      </c>
      <c r="B2648" s="3" t="s">
        <v>7</v>
      </c>
      <c r="C2648" s="3">
        <v>5.4</v>
      </c>
    </row>
    <row r="2649" spans="1:3" x14ac:dyDescent="0.3">
      <c r="A2649" s="4" t="s">
        <v>6014</v>
      </c>
      <c r="B2649" s="4" t="s">
        <v>7</v>
      </c>
      <c r="C2649" s="4">
        <v>5</v>
      </c>
    </row>
    <row r="2650" spans="1:3" x14ac:dyDescent="0.3">
      <c r="A2650" s="3" t="s">
        <v>6016</v>
      </c>
      <c r="B2650" s="3" t="s">
        <v>7</v>
      </c>
      <c r="C2650" s="3">
        <v>5.0999999999999996</v>
      </c>
    </row>
    <row r="2651" spans="1:3" x14ac:dyDescent="0.3">
      <c r="A2651" s="4" t="s">
        <v>6018</v>
      </c>
      <c r="B2651" s="4" t="s">
        <v>7</v>
      </c>
      <c r="C2651" s="4">
        <v>8</v>
      </c>
    </row>
    <row r="2652" spans="1:3" x14ac:dyDescent="0.3">
      <c r="A2652" s="3" t="s">
        <v>6020</v>
      </c>
      <c r="B2652" s="3" t="s">
        <v>7</v>
      </c>
      <c r="C2652" s="3">
        <v>5.9</v>
      </c>
    </row>
    <row r="2653" spans="1:3" x14ac:dyDescent="0.3">
      <c r="A2653" s="4" t="s">
        <v>6022</v>
      </c>
      <c r="B2653" s="4" t="s">
        <v>7</v>
      </c>
      <c r="C2653" s="4">
        <v>8.1999999999999993</v>
      </c>
    </row>
    <row r="2654" spans="1:3" x14ac:dyDescent="0.3">
      <c r="A2654" s="3" t="s">
        <v>6024</v>
      </c>
      <c r="B2654" s="3" t="s">
        <v>7</v>
      </c>
      <c r="C2654" s="3">
        <v>7</v>
      </c>
    </row>
    <row r="2655" spans="1:3" x14ac:dyDescent="0.3">
      <c r="A2655" s="4" t="s">
        <v>6026</v>
      </c>
      <c r="B2655" s="4" t="s">
        <v>7</v>
      </c>
      <c r="C2655" s="4">
        <v>6.6</v>
      </c>
    </row>
    <row r="2656" spans="1:3" x14ac:dyDescent="0.3">
      <c r="A2656" s="3" t="s">
        <v>6028</v>
      </c>
      <c r="B2656" s="3" t="s">
        <v>7</v>
      </c>
      <c r="C2656" s="3">
        <v>6.7</v>
      </c>
    </row>
    <row r="2657" spans="1:3" x14ac:dyDescent="0.3">
      <c r="A2657" s="4" t="s">
        <v>6030</v>
      </c>
      <c r="B2657" s="4" t="s">
        <v>7</v>
      </c>
      <c r="C2657" s="4">
        <v>5.5</v>
      </c>
    </row>
    <row r="2658" spans="1:3" x14ac:dyDescent="0.3">
      <c r="A2658" s="3" t="s">
        <v>6032</v>
      </c>
      <c r="B2658" s="3" t="s">
        <v>7</v>
      </c>
      <c r="C2658" s="3">
        <v>4.9000000000000004</v>
      </c>
    </row>
    <row r="2659" spans="1:3" x14ac:dyDescent="0.3">
      <c r="A2659" s="4" t="s">
        <v>6034</v>
      </c>
      <c r="B2659" s="4" t="s">
        <v>7</v>
      </c>
      <c r="C2659" s="4">
        <v>6.9</v>
      </c>
    </row>
    <row r="2660" spans="1:3" x14ac:dyDescent="0.3">
      <c r="A2660" s="3" t="s">
        <v>6036</v>
      </c>
      <c r="B2660" s="3" t="s">
        <v>7</v>
      </c>
      <c r="C2660" s="3">
        <v>7.4</v>
      </c>
    </row>
    <row r="2661" spans="1:3" x14ac:dyDescent="0.3">
      <c r="A2661" s="4" t="s">
        <v>6038</v>
      </c>
      <c r="B2661" s="4" t="s">
        <v>7</v>
      </c>
      <c r="C2661" s="4">
        <v>5.6</v>
      </c>
    </row>
    <row r="2662" spans="1:3" x14ac:dyDescent="0.3">
      <c r="A2662" s="3" t="s">
        <v>6040</v>
      </c>
      <c r="B2662" s="3" t="s">
        <v>7</v>
      </c>
      <c r="C2662" s="3">
        <v>8</v>
      </c>
    </row>
    <row r="2663" spans="1:3" x14ac:dyDescent="0.3">
      <c r="A2663" s="4" t="s">
        <v>6042</v>
      </c>
      <c r="B2663" s="4" t="s">
        <v>7</v>
      </c>
      <c r="C2663" s="4">
        <v>5.3</v>
      </c>
    </row>
    <row r="2664" spans="1:3" x14ac:dyDescent="0.3">
      <c r="A2664" s="3" t="s">
        <v>6044</v>
      </c>
      <c r="B2664" s="3" t="s">
        <v>7</v>
      </c>
      <c r="C2664" s="3">
        <v>6.2</v>
      </c>
    </row>
    <row r="2665" spans="1:3" x14ac:dyDescent="0.3">
      <c r="A2665" s="4" t="s">
        <v>6046</v>
      </c>
      <c r="B2665" s="4" t="s">
        <v>7</v>
      </c>
      <c r="C2665" s="4">
        <v>5.3</v>
      </c>
    </row>
    <row r="2666" spans="1:3" x14ac:dyDescent="0.3">
      <c r="A2666" s="3" t="s">
        <v>6048</v>
      </c>
      <c r="B2666" s="3" t="s">
        <v>7</v>
      </c>
      <c r="C2666" s="3">
        <v>6.6</v>
      </c>
    </row>
    <row r="2667" spans="1:3" x14ac:dyDescent="0.3">
      <c r="A2667" s="4" t="s">
        <v>6050</v>
      </c>
      <c r="B2667" s="4" t="s">
        <v>7</v>
      </c>
      <c r="C2667" s="4">
        <v>7.2</v>
      </c>
    </row>
    <row r="2668" spans="1:3" x14ac:dyDescent="0.3">
      <c r="A2668" s="3" t="s">
        <v>6052</v>
      </c>
      <c r="B2668" s="3" t="s">
        <v>2354</v>
      </c>
      <c r="C2668" s="3">
        <v>4.5999999999999996</v>
      </c>
    </row>
    <row r="2669" spans="1:3" x14ac:dyDescent="0.3">
      <c r="A2669" s="4" t="s">
        <v>6054</v>
      </c>
      <c r="B2669" s="4" t="s">
        <v>7</v>
      </c>
      <c r="C2669" s="4">
        <v>7.5</v>
      </c>
    </row>
    <row r="2670" spans="1:3" x14ac:dyDescent="0.3">
      <c r="A2670" s="3" t="s">
        <v>6056</v>
      </c>
      <c r="B2670" s="3" t="s">
        <v>7</v>
      </c>
      <c r="C2670" s="3">
        <v>6.5</v>
      </c>
    </row>
    <row r="2671" spans="1:3" x14ac:dyDescent="0.3">
      <c r="A2671" s="4" t="s">
        <v>6058</v>
      </c>
      <c r="B2671" s="4" t="s">
        <v>7</v>
      </c>
      <c r="C2671" s="4">
        <v>7.6</v>
      </c>
    </row>
    <row r="2672" spans="1:3" x14ac:dyDescent="0.3">
      <c r="A2672" s="3" t="s">
        <v>6060</v>
      </c>
      <c r="B2672" s="3" t="s">
        <v>7</v>
      </c>
      <c r="C2672" s="3">
        <v>6.2</v>
      </c>
    </row>
    <row r="2673" spans="1:3" x14ac:dyDescent="0.3">
      <c r="A2673" s="4" t="s">
        <v>6063</v>
      </c>
      <c r="B2673" s="4" t="s">
        <v>7</v>
      </c>
      <c r="C2673" s="4">
        <v>8</v>
      </c>
    </row>
    <row r="2674" spans="1:3" x14ac:dyDescent="0.3">
      <c r="A2674" s="3" t="s">
        <v>6065</v>
      </c>
      <c r="B2674" s="3" t="s">
        <v>7</v>
      </c>
      <c r="C2674" s="3">
        <v>5.5</v>
      </c>
    </row>
    <row r="2675" spans="1:3" x14ac:dyDescent="0.3">
      <c r="A2675" s="4" t="s">
        <v>6067</v>
      </c>
      <c r="B2675" s="4" t="s">
        <v>7</v>
      </c>
      <c r="C2675" s="4">
        <v>6.3</v>
      </c>
    </row>
    <row r="2676" spans="1:3" x14ac:dyDescent="0.3">
      <c r="A2676" s="3" t="s">
        <v>6069</v>
      </c>
      <c r="B2676" s="3" t="s">
        <v>1146</v>
      </c>
      <c r="C2676" s="3">
        <v>7.2</v>
      </c>
    </row>
    <row r="2677" spans="1:3" x14ac:dyDescent="0.3">
      <c r="A2677" s="4" t="s">
        <v>6071</v>
      </c>
      <c r="B2677" s="4" t="s">
        <v>7</v>
      </c>
      <c r="C2677" s="4">
        <v>6.7</v>
      </c>
    </row>
    <row r="2678" spans="1:3" x14ac:dyDescent="0.3">
      <c r="A2678" s="3" t="s">
        <v>6073</v>
      </c>
      <c r="B2678" s="3" t="s">
        <v>7</v>
      </c>
      <c r="C2678" s="3">
        <v>5.3</v>
      </c>
    </row>
    <row r="2679" spans="1:3" x14ac:dyDescent="0.3">
      <c r="A2679" s="4" t="s">
        <v>6075</v>
      </c>
      <c r="B2679" s="4" t="s">
        <v>7</v>
      </c>
      <c r="C2679" s="4">
        <v>6.3</v>
      </c>
    </row>
    <row r="2680" spans="1:3" x14ac:dyDescent="0.3">
      <c r="A2680" s="3" t="s">
        <v>6077</v>
      </c>
      <c r="B2680" s="3" t="s">
        <v>7</v>
      </c>
      <c r="C2680" s="3">
        <v>6.5</v>
      </c>
    </row>
    <row r="2681" spans="1:3" x14ac:dyDescent="0.3">
      <c r="A2681" s="4" t="s">
        <v>6079</v>
      </c>
      <c r="B2681" s="4" t="s">
        <v>7</v>
      </c>
      <c r="C2681" s="4">
        <v>5.6</v>
      </c>
    </row>
    <row r="2682" spans="1:3" x14ac:dyDescent="0.3">
      <c r="A2682" s="3" t="s">
        <v>6081</v>
      </c>
      <c r="B2682" s="3" t="s">
        <v>7</v>
      </c>
      <c r="C2682" s="3">
        <v>7</v>
      </c>
    </row>
    <row r="2683" spans="1:3" x14ac:dyDescent="0.3">
      <c r="A2683" s="4" t="s">
        <v>6083</v>
      </c>
      <c r="B2683" s="4" t="s">
        <v>7</v>
      </c>
      <c r="C2683" s="4">
        <v>8.3000000000000007</v>
      </c>
    </row>
    <row r="2684" spans="1:3" x14ac:dyDescent="0.3">
      <c r="A2684" s="3" t="s">
        <v>6085</v>
      </c>
      <c r="B2684" s="3" t="s">
        <v>7</v>
      </c>
      <c r="C2684" s="3">
        <v>7.2</v>
      </c>
    </row>
    <row r="2685" spans="1:3" x14ac:dyDescent="0.3">
      <c r="A2685" s="4" t="s">
        <v>6087</v>
      </c>
      <c r="B2685" s="4" t="s">
        <v>7</v>
      </c>
      <c r="C2685" s="4">
        <v>6.8</v>
      </c>
    </row>
    <row r="2686" spans="1:3" x14ac:dyDescent="0.3">
      <c r="A2686" s="3" t="s">
        <v>6089</v>
      </c>
      <c r="B2686" s="3" t="s">
        <v>7</v>
      </c>
      <c r="C2686" s="3">
        <v>6.4</v>
      </c>
    </row>
    <row r="2687" spans="1:3" x14ac:dyDescent="0.3">
      <c r="A2687" s="4" t="s">
        <v>6091</v>
      </c>
      <c r="B2687" s="4" t="s">
        <v>7</v>
      </c>
      <c r="C2687" s="4">
        <v>6.9</v>
      </c>
    </row>
    <row r="2688" spans="1:3" x14ac:dyDescent="0.3">
      <c r="A2688" s="3" t="s">
        <v>6093</v>
      </c>
      <c r="B2688" s="3" t="s">
        <v>7</v>
      </c>
      <c r="C2688" s="3">
        <v>8</v>
      </c>
    </row>
    <row r="2689" spans="1:3" x14ac:dyDescent="0.3">
      <c r="A2689" s="4" t="s">
        <v>6095</v>
      </c>
      <c r="B2689" s="4" t="s">
        <v>7</v>
      </c>
      <c r="C2689" s="4">
        <v>6.2</v>
      </c>
    </row>
    <row r="2690" spans="1:3" x14ac:dyDescent="0.3">
      <c r="A2690" s="3" t="s">
        <v>6098</v>
      </c>
      <c r="B2690" s="3" t="s">
        <v>7</v>
      </c>
      <c r="C2690" s="3">
        <v>6.4</v>
      </c>
    </row>
    <row r="2691" spans="1:3" x14ac:dyDescent="0.3">
      <c r="A2691" s="4" t="s">
        <v>6101</v>
      </c>
      <c r="B2691" s="4" t="s">
        <v>7</v>
      </c>
      <c r="C2691" s="4">
        <v>5.6</v>
      </c>
    </row>
    <row r="2692" spans="1:3" x14ac:dyDescent="0.3">
      <c r="A2692" s="3" t="s">
        <v>6103</v>
      </c>
      <c r="B2692" s="3" t="s">
        <v>7</v>
      </c>
      <c r="C2692" s="3">
        <v>6.1</v>
      </c>
    </row>
    <row r="2693" spans="1:3" x14ac:dyDescent="0.3">
      <c r="A2693" s="4" t="s">
        <v>6105</v>
      </c>
      <c r="B2693" s="4" t="s">
        <v>7</v>
      </c>
      <c r="C2693" s="4">
        <v>6</v>
      </c>
    </row>
    <row r="2694" spans="1:3" x14ac:dyDescent="0.3">
      <c r="A2694" s="3" t="s">
        <v>6107</v>
      </c>
      <c r="B2694" s="3" t="s">
        <v>7</v>
      </c>
      <c r="C2694" s="3">
        <v>5.0999999999999996</v>
      </c>
    </row>
    <row r="2695" spans="1:3" x14ac:dyDescent="0.3">
      <c r="A2695" s="4" t="s">
        <v>6109</v>
      </c>
      <c r="B2695" s="4" t="s">
        <v>7</v>
      </c>
      <c r="C2695" s="4">
        <v>4.5</v>
      </c>
    </row>
    <row r="2696" spans="1:3" x14ac:dyDescent="0.3">
      <c r="A2696" s="3" t="s">
        <v>6111</v>
      </c>
      <c r="B2696" s="3" t="s">
        <v>7</v>
      </c>
      <c r="C2696" s="3">
        <v>5.9</v>
      </c>
    </row>
    <row r="2697" spans="1:3" x14ac:dyDescent="0.3">
      <c r="A2697" s="4" t="s">
        <v>6113</v>
      </c>
      <c r="B2697" s="4" t="s">
        <v>7</v>
      </c>
      <c r="C2697" s="4">
        <v>6</v>
      </c>
    </row>
    <row r="2698" spans="1:3" x14ac:dyDescent="0.3">
      <c r="A2698" s="3" t="s">
        <v>6115</v>
      </c>
      <c r="B2698" s="3" t="s">
        <v>7</v>
      </c>
      <c r="C2698" s="3">
        <v>5.8</v>
      </c>
    </row>
    <row r="2699" spans="1:3" x14ac:dyDescent="0.3">
      <c r="A2699" s="4" t="s">
        <v>6118</v>
      </c>
      <c r="B2699" s="4" t="s">
        <v>7</v>
      </c>
      <c r="C2699" s="4">
        <v>6.1</v>
      </c>
    </row>
    <row r="2700" spans="1:3" x14ac:dyDescent="0.3">
      <c r="A2700" s="3" t="s">
        <v>6120</v>
      </c>
      <c r="B2700" s="3" t="s">
        <v>7</v>
      </c>
      <c r="C2700" s="3">
        <v>4.9000000000000004</v>
      </c>
    </row>
    <row r="2701" spans="1:3" x14ac:dyDescent="0.3">
      <c r="A2701" s="4" t="s">
        <v>6122</v>
      </c>
      <c r="B2701" s="4" t="s">
        <v>7</v>
      </c>
      <c r="C2701" s="4">
        <v>5.7</v>
      </c>
    </row>
    <row r="2702" spans="1:3" x14ac:dyDescent="0.3">
      <c r="A2702" s="3" t="s">
        <v>6124</v>
      </c>
      <c r="B2702" s="3" t="s">
        <v>7</v>
      </c>
      <c r="C2702" s="3">
        <v>7.1</v>
      </c>
    </row>
    <row r="2703" spans="1:3" x14ac:dyDescent="0.3">
      <c r="A2703" s="4" t="s">
        <v>6126</v>
      </c>
      <c r="B2703" s="4" t="s">
        <v>7</v>
      </c>
      <c r="C2703" s="4">
        <v>6.6</v>
      </c>
    </row>
    <row r="2704" spans="1:3" x14ac:dyDescent="0.3">
      <c r="A2704" s="3" t="s">
        <v>6129</v>
      </c>
      <c r="B2704" s="3" t="s">
        <v>7</v>
      </c>
      <c r="C2704" s="3">
        <v>8.1</v>
      </c>
    </row>
    <row r="2705" spans="1:3" x14ac:dyDescent="0.3">
      <c r="A2705" s="4" t="s">
        <v>6131</v>
      </c>
      <c r="B2705" s="4" t="s">
        <v>7</v>
      </c>
      <c r="C2705" s="4">
        <v>5.7</v>
      </c>
    </row>
    <row r="2706" spans="1:3" x14ac:dyDescent="0.3">
      <c r="A2706" s="3" t="s">
        <v>6133</v>
      </c>
      <c r="B2706" s="3" t="s">
        <v>7</v>
      </c>
      <c r="C2706" s="3">
        <v>6.8</v>
      </c>
    </row>
    <row r="2707" spans="1:3" x14ac:dyDescent="0.3">
      <c r="A2707" s="4" t="s">
        <v>6135</v>
      </c>
      <c r="B2707" s="4" t="s">
        <v>7</v>
      </c>
      <c r="C2707" s="4">
        <v>7.5</v>
      </c>
    </row>
    <row r="2708" spans="1:3" x14ac:dyDescent="0.3">
      <c r="A2708" s="3" t="s">
        <v>6137</v>
      </c>
      <c r="B2708" s="3" t="s">
        <v>7</v>
      </c>
      <c r="C2708" s="3">
        <v>6.2</v>
      </c>
    </row>
    <row r="2709" spans="1:3" x14ac:dyDescent="0.3">
      <c r="A2709" s="4" t="s">
        <v>6139</v>
      </c>
      <c r="B2709" s="4" t="s">
        <v>7</v>
      </c>
      <c r="C2709" s="4">
        <v>8.3000000000000007</v>
      </c>
    </row>
    <row r="2710" spans="1:3" x14ac:dyDescent="0.3">
      <c r="A2710" s="3" t="s">
        <v>6141</v>
      </c>
      <c r="B2710" s="3" t="s">
        <v>7</v>
      </c>
      <c r="C2710" s="3">
        <v>7.4</v>
      </c>
    </row>
    <row r="2711" spans="1:3" x14ac:dyDescent="0.3">
      <c r="A2711" s="4" t="s">
        <v>6143</v>
      </c>
      <c r="B2711" s="4" t="s">
        <v>7</v>
      </c>
      <c r="C2711" s="4">
        <v>8</v>
      </c>
    </row>
    <row r="2712" spans="1:3" x14ac:dyDescent="0.3">
      <c r="A2712" s="3" t="s">
        <v>6145</v>
      </c>
      <c r="B2712" s="3" t="s">
        <v>7</v>
      </c>
      <c r="C2712" s="3">
        <v>6.9</v>
      </c>
    </row>
    <row r="2713" spans="1:3" x14ac:dyDescent="0.3">
      <c r="A2713" s="4" t="s">
        <v>6147</v>
      </c>
      <c r="B2713" s="4" t="s">
        <v>7</v>
      </c>
      <c r="C2713" s="4">
        <v>6.9</v>
      </c>
    </row>
    <row r="2714" spans="1:3" x14ac:dyDescent="0.3">
      <c r="A2714" s="3" t="s">
        <v>6149</v>
      </c>
      <c r="B2714" s="3" t="s">
        <v>7</v>
      </c>
      <c r="C2714" s="3">
        <v>9.5</v>
      </c>
    </row>
    <row r="2715" spans="1:3" x14ac:dyDescent="0.3">
      <c r="A2715" s="4" t="s">
        <v>6151</v>
      </c>
      <c r="B2715" s="4" t="s">
        <v>7</v>
      </c>
      <c r="C2715" s="4">
        <v>5.5</v>
      </c>
    </row>
    <row r="2716" spans="1:3" x14ac:dyDescent="0.3">
      <c r="A2716" s="3" t="s">
        <v>6153</v>
      </c>
      <c r="B2716" s="3" t="s">
        <v>7</v>
      </c>
      <c r="C2716" s="3">
        <v>5.7</v>
      </c>
    </row>
    <row r="2717" spans="1:3" x14ac:dyDescent="0.3">
      <c r="A2717" s="4" t="s">
        <v>6155</v>
      </c>
      <c r="B2717" s="4" t="s">
        <v>7</v>
      </c>
      <c r="C2717" s="4">
        <v>7.2</v>
      </c>
    </row>
    <row r="2718" spans="1:3" x14ac:dyDescent="0.3">
      <c r="A2718" s="3" t="s">
        <v>6157</v>
      </c>
      <c r="B2718" s="3" t="s">
        <v>7</v>
      </c>
      <c r="C2718" s="3">
        <v>6.9</v>
      </c>
    </row>
    <row r="2719" spans="1:3" x14ac:dyDescent="0.3">
      <c r="A2719" s="4" t="s">
        <v>6159</v>
      </c>
      <c r="B2719" s="4" t="s">
        <v>7</v>
      </c>
      <c r="C2719" s="4">
        <v>5.5</v>
      </c>
    </row>
    <row r="2720" spans="1:3" x14ac:dyDescent="0.3">
      <c r="A2720" s="3" t="s">
        <v>6161</v>
      </c>
      <c r="B2720" s="3" t="s">
        <v>7</v>
      </c>
      <c r="C2720" s="3">
        <v>5.9</v>
      </c>
    </row>
    <row r="2721" spans="1:3" x14ac:dyDescent="0.3">
      <c r="A2721" s="4" t="s">
        <v>6163</v>
      </c>
      <c r="B2721" s="4" t="s">
        <v>7</v>
      </c>
      <c r="C2721" s="4">
        <v>7.7</v>
      </c>
    </row>
    <row r="2722" spans="1:3" x14ac:dyDescent="0.3">
      <c r="A2722" s="3" t="s">
        <v>6165</v>
      </c>
      <c r="B2722" s="3" t="s">
        <v>7</v>
      </c>
      <c r="C2722" s="3">
        <v>5.2</v>
      </c>
    </row>
    <row r="2723" spans="1:3" x14ac:dyDescent="0.3">
      <c r="A2723" s="4" t="s">
        <v>6167</v>
      </c>
      <c r="B2723" s="4" t="s">
        <v>7</v>
      </c>
      <c r="C2723" s="4">
        <v>7.1</v>
      </c>
    </row>
    <row r="2724" spans="1:3" x14ac:dyDescent="0.3">
      <c r="A2724" s="3" t="s">
        <v>6169</v>
      </c>
      <c r="B2724" s="3" t="s">
        <v>7</v>
      </c>
      <c r="C2724" s="3">
        <v>5.5</v>
      </c>
    </row>
    <row r="2725" spans="1:3" x14ac:dyDescent="0.3">
      <c r="A2725" s="4" t="s">
        <v>6172</v>
      </c>
      <c r="B2725" s="4" t="s">
        <v>7</v>
      </c>
      <c r="C2725" s="4">
        <v>7.7</v>
      </c>
    </row>
    <row r="2726" spans="1:3" x14ac:dyDescent="0.3">
      <c r="A2726" s="3" t="s">
        <v>6174</v>
      </c>
      <c r="B2726" s="3" t="s">
        <v>7</v>
      </c>
      <c r="C2726" s="3">
        <v>5.4</v>
      </c>
    </row>
    <row r="2727" spans="1:3" x14ac:dyDescent="0.3">
      <c r="A2727" s="4" t="s">
        <v>6176</v>
      </c>
      <c r="B2727" s="4" t="s">
        <v>7</v>
      </c>
      <c r="C2727" s="4">
        <v>6.7</v>
      </c>
    </row>
    <row r="2728" spans="1:3" x14ac:dyDescent="0.3">
      <c r="A2728" s="3" t="s">
        <v>6178</v>
      </c>
      <c r="B2728" s="3" t="s">
        <v>7</v>
      </c>
      <c r="C2728" s="3">
        <v>5</v>
      </c>
    </row>
    <row r="2729" spans="1:3" x14ac:dyDescent="0.3">
      <c r="A2729" s="4" t="s">
        <v>6180</v>
      </c>
      <c r="B2729" s="4" t="s">
        <v>7</v>
      </c>
      <c r="C2729" s="4">
        <v>6.4</v>
      </c>
    </row>
    <row r="2730" spans="1:3" x14ac:dyDescent="0.3">
      <c r="A2730" s="3" t="s">
        <v>6182</v>
      </c>
      <c r="B2730" s="3" t="s">
        <v>7</v>
      </c>
      <c r="C2730" s="3">
        <v>6.6</v>
      </c>
    </row>
    <row r="2731" spans="1:3" x14ac:dyDescent="0.3">
      <c r="A2731" s="4" t="s">
        <v>6184</v>
      </c>
      <c r="B2731" s="4" t="s">
        <v>7</v>
      </c>
      <c r="C2731" s="4">
        <v>5.9</v>
      </c>
    </row>
    <row r="2732" spans="1:3" x14ac:dyDescent="0.3">
      <c r="A2732" s="3" t="s">
        <v>6186</v>
      </c>
      <c r="B2732" s="3" t="s">
        <v>7</v>
      </c>
      <c r="C2732" s="3">
        <v>5.7</v>
      </c>
    </row>
    <row r="2733" spans="1:3" x14ac:dyDescent="0.3">
      <c r="A2733" s="4" t="s">
        <v>6188</v>
      </c>
      <c r="B2733" s="4" t="s">
        <v>7</v>
      </c>
      <c r="C2733" s="4">
        <v>4.5</v>
      </c>
    </row>
    <row r="2734" spans="1:3" x14ac:dyDescent="0.3">
      <c r="A2734" s="3" t="s">
        <v>6190</v>
      </c>
      <c r="B2734" s="3" t="s">
        <v>7</v>
      </c>
      <c r="C2734" s="3">
        <v>3.7</v>
      </c>
    </row>
    <row r="2735" spans="1:3" x14ac:dyDescent="0.3">
      <c r="A2735" s="4" t="s">
        <v>6192</v>
      </c>
      <c r="B2735" s="4" t="s">
        <v>7</v>
      </c>
      <c r="C2735" s="4">
        <v>5</v>
      </c>
    </row>
    <row r="2736" spans="1:3" x14ac:dyDescent="0.3">
      <c r="A2736" s="3" t="s">
        <v>6194</v>
      </c>
      <c r="B2736" s="3" t="s">
        <v>7</v>
      </c>
      <c r="C2736" s="3">
        <v>4.5999999999999996</v>
      </c>
    </row>
    <row r="2737" spans="1:3" x14ac:dyDescent="0.3">
      <c r="A2737" s="4" t="s">
        <v>6197</v>
      </c>
      <c r="B2737" s="4" t="s">
        <v>7</v>
      </c>
      <c r="C2737" s="4">
        <v>6.5</v>
      </c>
    </row>
    <row r="2738" spans="1:3" x14ac:dyDescent="0.3">
      <c r="A2738" s="3" t="s">
        <v>6200</v>
      </c>
      <c r="B2738" s="3" t="s">
        <v>7</v>
      </c>
      <c r="C2738" s="3">
        <v>4.9000000000000004</v>
      </c>
    </row>
    <row r="2739" spans="1:3" x14ac:dyDescent="0.3">
      <c r="A2739" s="4" t="s">
        <v>6202</v>
      </c>
      <c r="B2739" s="4" t="s">
        <v>7</v>
      </c>
      <c r="C2739" s="4">
        <v>6</v>
      </c>
    </row>
    <row r="2740" spans="1:3" x14ac:dyDescent="0.3">
      <c r="A2740" s="3" t="s">
        <v>6204</v>
      </c>
      <c r="B2740" s="3" t="s">
        <v>7</v>
      </c>
      <c r="C2740" s="3">
        <v>6.9</v>
      </c>
    </row>
    <row r="2741" spans="1:3" x14ac:dyDescent="0.3">
      <c r="A2741" s="4" t="s">
        <v>6206</v>
      </c>
      <c r="B2741" s="4" t="s">
        <v>7</v>
      </c>
      <c r="C2741" s="4">
        <v>5.7</v>
      </c>
    </row>
    <row r="2742" spans="1:3" x14ac:dyDescent="0.3">
      <c r="A2742" s="3" t="s">
        <v>6208</v>
      </c>
      <c r="B2742" s="3" t="s">
        <v>7</v>
      </c>
      <c r="C2742" s="3">
        <v>6.7</v>
      </c>
    </row>
    <row r="2743" spans="1:3" x14ac:dyDescent="0.3">
      <c r="A2743" s="4" t="s">
        <v>6210</v>
      </c>
      <c r="B2743" s="4" t="s">
        <v>7</v>
      </c>
      <c r="C2743" s="4">
        <v>6.9</v>
      </c>
    </row>
    <row r="2744" spans="1:3" x14ac:dyDescent="0.3">
      <c r="A2744" s="3" t="s">
        <v>6212</v>
      </c>
      <c r="B2744" s="3" t="s">
        <v>7</v>
      </c>
      <c r="C2744" s="3">
        <v>5.5</v>
      </c>
    </row>
    <row r="2745" spans="1:3" x14ac:dyDescent="0.3">
      <c r="A2745" s="4" t="s">
        <v>6215</v>
      </c>
      <c r="B2745" s="4" t="s">
        <v>7</v>
      </c>
      <c r="C2745" s="4">
        <v>4.4000000000000004</v>
      </c>
    </row>
    <row r="2746" spans="1:3" x14ac:dyDescent="0.3">
      <c r="A2746" s="3" t="s">
        <v>6217</v>
      </c>
      <c r="B2746" s="3" t="s">
        <v>7</v>
      </c>
      <c r="C2746" s="3">
        <v>5.4</v>
      </c>
    </row>
    <row r="2747" spans="1:3" x14ac:dyDescent="0.3">
      <c r="A2747" s="4" t="s">
        <v>6219</v>
      </c>
      <c r="B2747" s="4" t="s">
        <v>7</v>
      </c>
      <c r="C2747" s="4">
        <v>7</v>
      </c>
    </row>
    <row r="2748" spans="1:3" x14ac:dyDescent="0.3">
      <c r="A2748" s="3" t="s">
        <v>6221</v>
      </c>
      <c r="B2748" s="3" t="s">
        <v>7</v>
      </c>
      <c r="C2748" s="3">
        <v>5.4</v>
      </c>
    </row>
    <row r="2749" spans="1:3" x14ac:dyDescent="0.3">
      <c r="A2749" s="4" t="s">
        <v>6224</v>
      </c>
      <c r="B2749" s="4" t="s">
        <v>582</v>
      </c>
      <c r="C2749" s="4">
        <v>5.4</v>
      </c>
    </row>
    <row r="2750" spans="1:3" x14ac:dyDescent="0.3">
      <c r="A2750" s="3" t="s">
        <v>6226</v>
      </c>
      <c r="B2750" s="3" t="s">
        <v>7</v>
      </c>
      <c r="C2750" s="3">
        <v>8</v>
      </c>
    </row>
    <row r="2751" spans="1:3" x14ac:dyDescent="0.3">
      <c r="A2751" s="4" t="s">
        <v>6229</v>
      </c>
      <c r="B2751" s="4" t="s">
        <v>7</v>
      </c>
      <c r="C2751" s="4">
        <v>7.6</v>
      </c>
    </row>
    <row r="2752" spans="1:3" x14ac:dyDescent="0.3">
      <c r="A2752" s="3" t="s">
        <v>6231</v>
      </c>
      <c r="B2752" s="3" t="s">
        <v>7</v>
      </c>
      <c r="C2752" s="3">
        <v>5.9</v>
      </c>
    </row>
    <row r="2753" spans="1:3" x14ac:dyDescent="0.3">
      <c r="A2753" s="4" t="s">
        <v>6233</v>
      </c>
      <c r="B2753" s="4" t="s">
        <v>7</v>
      </c>
      <c r="C2753" s="4">
        <v>6.6</v>
      </c>
    </row>
    <row r="2754" spans="1:3" x14ac:dyDescent="0.3">
      <c r="A2754" s="3" t="s">
        <v>6235</v>
      </c>
      <c r="B2754" s="3" t="s">
        <v>7</v>
      </c>
      <c r="C2754" s="3">
        <v>6.7</v>
      </c>
    </row>
    <row r="2755" spans="1:3" x14ac:dyDescent="0.3">
      <c r="A2755" s="4" t="s">
        <v>6238</v>
      </c>
      <c r="B2755" s="4" t="s">
        <v>7</v>
      </c>
      <c r="C2755" s="4">
        <v>3.9</v>
      </c>
    </row>
    <row r="2756" spans="1:3" x14ac:dyDescent="0.3">
      <c r="A2756" s="3" t="s">
        <v>6240</v>
      </c>
      <c r="B2756" s="3" t="s">
        <v>7</v>
      </c>
      <c r="C2756" s="3">
        <v>5.7</v>
      </c>
    </row>
    <row r="2757" spans="1:3" x14ac:dyDescent="0.3">
      <c r="A2757" s="4" t="s">
        <v>6242</v>
      </c>
      <c r="B2757" s="4" t="s">
        <v>7</v>
      </c>
      <c r="C2757" s="4">
        <v>6.7</v>
      </c>
    </row>
    <row r="2758" spans="1:3" x14ac:dyDescent="0.3">
      <c r="A2758" s="3" t="s">
        <v>6244</v>
      </c>
      <c r="B2758" s="3" t="s">
        <v>4134</v>
      </c>
      <c r="C2758" s="3">
        <v>6.5</v>
      </c>
    </row>
    <row r="2759" spans="1:3" x14ac:dyDescent="0.3">
      <c r="A2759" s="4" t="s">
        <v>6246</v>
      </c>
      <c r="B2759" s="4" t="s">
        <v>7</v>
      </c>
      <c r="C2759" s="4">
        <v>6.8</v>
      </c>
    </row>
    <row r="2760" spans="1:3" x14ac:dyDescent="0.3">
      <c r="A2760" s="3" t="s">
        <v>6248</v>
      </c>
      <c r="B2760" s="3" t="s">
        <v>7</v>
      </c>
      <c r="C2760" s="3">
        <v>6.3</v>
      </c>
    </row>
    <row r="2761" spans="1:3" x14ac:dyDescent="0.3">
      <c r="A2761" s="4" t="s">
        <v>6250</v>
      </c>
      <c r="B2761" s="4" t="s">
        <v>7</v>
      </c>
      <c r="C2761" s="4">
        <v>7.3</v>
      </c>
    </row>
    <row r="2762" spans="1:3" x14ac:dyDescent="0.3">
      <c r="A2762" s="3" t="s">
        <v>6252</v>
      </c>
      <c r="B2762" s="3" t="s">
        <v>7</v>
      </c>
      <c r="C2762" s="3">
        <v>6.9</v>
      </c>
    </row>
    <row r="2763" spans="1:3" x14ac:dyDescent="0.3">
      <c r="A2763" s="4" t="s">
        <v>6254</v>
      </c>
      <c r="B2763" s="4" t="s">
        <v>7</v>
      </c>
      <c r="C2763" s="4">
        <v>7</v>
      </c>
    </row>
    <row r="2764" spans="1:3" x14ac:dyDescent="0.3">
      <c r="A2764" s="3" t="s">
        <v>6256</v>
      </c>
      <c r="B2764" s="3" t="s">
        <v>7</v>
      </c>
      <c r="C2764" s="3">
        <v>6.5</v>
      </c>
    </row>
    <row r="2765" spans="1:3" x14ac:dyDescent="0.3">
      <c r="A2765" s="4" t="s">
        <v>6258</v>
      </c>
      <c r="B2765" s="4" t="s">
        <v>7</v>
      </c>
      <c r="C2765" s="4">
        <v>3.6</v>
      </c>
    </row>
    <row r="2766" spans="1:3" x14ac:dyDescent="0.3">
      <c r="A2766" s="3" t="s">
        <v>6260</v>
      </c>
      <c r="B2766" s="3" t="s">
        <v>7</v>
      </c>
      <c r="C2766" s="3">
        <v>7.7</v>
      </c>
    </row>
    <row r="2767" spans="1:3" x14ac:dyDescent="0.3">
      <c r="A2767" s="4" t="s">
        <v>6262</v>
      </c>
      <c r="B2767" s="4" t="s">
        <v>7</v>
      </c>
      <c r="C2767" s="4">
        <v>7.7</v>
      </c>
    </row>
    <row r="2768" spans="1:3" x14ac:dyDescent="0.3">
      <c r="A2768" s="3" t="s">
        <v>6264</v>
      </c>
      <c r="B2768" s="3" t="s">
        <v>7</v>
      </c>
      <c r="C2768" s="3">
        <v>5.9</v>
      </c>
    </row>
    <row r="2769" spans="1:3" x14ac:dyDescent="0.3">
      <c r="A2769" s="4" t="s">
        <v>6266</v>
      </c>
      <c r="B2769" s="4" t="s">
        <v>7</v>
      </c>
      <c r="C2769" s="4">
        <v>6.8</v>
      </c>
    </row>
    <row r="2770" spans="1:3" x14ac:dyDescent="0.3">
      <c r="A2770" s="3" t="s">
        <v>6268</v>
      </c>
      <c r="B2770" s="3" t="s">
        <v>7</v>
      </c>
      <c r="C2770" s="3">
        <v>7.4</v>
      </c>
    </row>
    <row r="2771" spans="1:3" x14ac:dyDescent="0.3">
      <c r="A2771" s="4" t="s">
        <v>6270</v>
      </c>
      <c r="B2771" s="4" t="s">
        <v>7</v>
      </c>
      <c r="C2771" s="4">
        <v>5.0999999999999996</v>
      </c>
    </row>
    <row r="2772" spans="1:3" x14ac:dyDescent="0.3">
      <c r="A2772" s="3" t="s">
        <v>6272</v>
      </c>
      <c r="B2772" s="3" t="s">
        <v>7</v>
      </c>
      <c r="C2772" s="3">
        <v>7.4</v>
      </c>
    </row>
    <row r="2773" spans="1:3" x14ac:dyDescent="0.3">
      <c r="A2773" s="4" t="s">
        <v>6274</v>
      </c>
      <c r="B2773" s="4" t="s">
        <v>7</v>
      </c>
      <c r="C2773" s="4">
        <v>7.2</v>
      </c>
    </row>
    <row r="2774" spans="1:3" x14ac:dyDescent="0.3">
      <c r="A2774" s="3" t="s">
        <v>6276</v>
      </c>
      <c r="B2774" s="3" t="s">
        <v>7</v>
      </c>
      <c r="C2774" s="3">
        <v>6</v>
      </c>
    </row>
    <row r="2775" spans="1:3" x14ac:dyDescent="0.3">
      <c r="A2775" s="4" t="s">
        <v>6278</v>
      </c>
      <c r="B2775" s="4" t="s">
        <v>7</v>
      </c>
      <c r="C2775" s="4">
        <v>8.3000000000000007</v>
      </c>
    </row>
    <row r="2776" spans="1:3" x14ac:dyDescent="0.3">
      <c r="A2776" s="3" t="s">
        <v>6280</v>
      </c>
      <c r="B2776" s="3" t="s">
        <v>7</v>
      </c>
      <c r="C2776" s="3">
        <v>8.1</v>
      </c>
    </row>
    <row r="2777" spans="1:3" x14ac:dyDescent="0.3">
      <c r="A2777" s="4" t="s">
        <v>6282</v>
      </c>
      <c r="B2777" s="4" t="s">
        <v>7</v>
      </c>
      <c r="C2777" s="4">
        <v>6.3</v>
      </c>
    </row>
    <row r="2778" spans="1:3" x14ac:dyDescent="0.3">
      <c r="A2778" s="3" t="s">
        <v>6284</v>
      </c>
      <c r="B2778" s="3" t="s">
        <v>7</v>
      </c>
      <c r="C2778" s="3">
        <v>7.3</v>
      </c>
    </row>
    <row r="2779" spans="1:3" x14ac:dyDescent="0.3">
      <c r="A2779" s="4" t="s">
        <v>6286</v>
      </c>
      <c r="B2779" s="4" t="s">
        <v>7</v>
      </c>
      <c r="C2779" s="4">
        <v>3.6</v>
      </c>
    </row>
    <row r="2780" spans="1:3" x14ac:dyDescent="0.3">
      <c r="A2780" s="3" t="s">
        <v>6288</v>
      </c>
      <c r="B2780" s="3" t="s">
        <v>7</v>
      </c>
      <c r="C2780" s="3">
        <v>1.6</v>
      </c>
    </row>
    <row r="2781" spans="1:3" x14ac:dyDescent="0.3">
      <c r="A2781" s="4" t="s">
        <v>6290</v>
      </c>
      <c r="B2781" s="4" t="s">
        <v>7</v>
      </c>
      <c r="C2781" s="4">
        <v>8</v>
      </c>
    </row>
    <row r="2782" spans="1:3" x14ac:dyDescent="0.3">
      <c r="A2782" s="3" t="s">
        <v>6292</v>
      </c>
      <c r="B2782" s="3" t="s">
        <v>3064</v>
      </c>
      <c r="C2782" s="3">
        <v>6.2</v>
      </c>
    </row>
    <row r="2783" spans="1:3" x14ac:dyDescent="0.3">
      <c r="A2783" s="4" t="s">
        <v>6294</v>
      </c>
      <c r="B2783" s="4" t="s">
        <v>7</v>
      </c>
      <c r="C2783" s="4">
        <v>9</v>
      </c>
    </row>
    <row r="2784" spans="1:3" x14ac:dyDescent="0.3">
      <c r="A2784" s="3" t="s">
        <v>6296</v>
      </c>
      <c r="B2784" s="3" t="s">
        <v>582</v>
      </c>
      <c r="C2784" s="3">
        <v>6.1</v>
      </c>
    </row>
    <row r="2785" spans="1:3" x14ac:dyDescent="0.3">
      <c r="A2785" s="4" t="s">
        <v>6298</v>
      </c>
      <c r="B2785" s="4" t="s">
        <v>7</v>
      </c>
      <c r="C2785" s="4">
        <v>5.7</v>
      </c>
    </row>
    <row r="2786" spans="1:3" x14ac:dyDescent="0.3">
      <c r="A2786" s="3" t="s">
        <v>6300</v>
      </c>
      <c r="B2786" s="3" t="s">
        <v>7</v>
      </c>
      <c r="C2786" s="3">
        <v>6.8</v>
      </c>
    </row>
    <row r="2787" spans="1:3" x14ac:dyDescent="0.3">
      <c r="A2787" s="4" t="s">
        <v>6303</v>
      </c>
      <c r="B2787" s="4" t="s">
        <v>7</v>
      </c>
      <c r="C2787" s="4">
        <v>5.5</v>
      </c>
    </row>
    <row r="2788" spans="1:3" x14ac:dyDescent="0.3">
      <c r="A2788" s="3" t="s">
        <v>6305</v>
      </c>
      <c r="B2788" s="3" t="s">
        <v>7</v>
      </c>
      <c r="C2788" s="3">
        <v>6.8</v>
      </c>
    </row>
    <row r="2789" spans="1:3" x14ac:dyDescent="0.3">
      <c r="A2789" s="4" t="s">
        <v>6307</v>
      </c>
      <c r="B2789" s="4" t="s">
        <v>7</v>
      </c>
      <c r="C2789" s="4">
        <v>7.3</v>
      </c>
    </row>
    <row r="2790" spans="1:3" x14ac:dyDescent="0.3">
      <c r="A2790" s="3" t="s">
        <v>6309</v>
      </c>
      <c r="B2790" s="3" t="s">
        <v>7</v>
      </c>
      <c r="C2790" s="3">
        <v>6.1</v>
      </c>
    </row>
    <row r="2791" spans="1:3" x14ac:dyDescent="0.3">
      <c r="A2791" s="4" t="s">
        <v>6311</v>
      </c>
      <c r="B2791" s="4" t="s">
        <v>1146</v>
      </c>
      <c r="C2791" s="4">
        <v>7.2</v>
      </c>
    </row>
    <row r="2792" spans="1:3" x14ac:dyDescent="0.3">
      <c r="A2792" s="3" t="s">
        <v>6313</v>
      </c>
      <c r="B2792" s="3" t="s">
        <v>7</v>
      </c>
      <c r="C2792" s="3">
        <v>5.9</v>
      </c>
    </row>
    <row r="2793" spans="1:3" x14ac:dyDescent="0.3">
      <c r="A2793" s="4" t="s">
        <v>6315</v>
      </c>
      <c r="B2793" s="4" t="s">
        <v>7</v>
      </c>
      <c r="C2793" s="4">
        <v>6.1</v>
      </c>
    </row>
    <row r="2794" spans="1:3" x14ac:dyDescent="0.3">
      <c r="A2794" s="3" t="s">
        <v>6317</v>
      </c>
      <c r="B2794" s="3" t="s">
        <v>7</v>
      </c>
      <c r="C2794" s="3">
        <v>6.8</v>
      </c>
    </row>
    <row r="2795" spans="1:3" x14ac:dyDescent="0.3">
      <c r="A2795" s="4" t="s">
        <v>6319</v>
      </c>
      <c r="B2795" s="4" t="s">
        <v>7</v>
      </c>
      <c r="C2795" s="4">
        <v>7.7</v>
      </c>
    </row>
    <row r="2796" spans="1:3" x14ac:dyDescent="0.3">
      <c r="A2796" s="3" t="s">
        <v>6321</v>
      </c>
      <c r="B2796" s="3" t="s">
        <v>7</v>
      </c>
      <c r="C2796" s="3">
        <v>4.9000000000000004</v>
      </c>
    </row>
    <row r="2797" spans="1:3" x14ac:dyDescent="0.3">
      <c r="A2797" s="4" t="s">
        <v>6323</v>
      </c>
      <c r="B2797" s="4" t="s">
        <v>7</v>
      </c>
      <c r="C2797" s="4">
        <v>6.1</v>
      </c>
    </row>
    <row r="2798" spans="1:3" x14ac:dyDescent="0.3">
      <c r="A2798" s="3" t="s">
        <v>6325</v>
      </c>
      <c r="B2798" s="3" t="s">
        <v>7</v>
      </c>
      <c r="C2798" s="3">
        <v>2.5</v>
      </c>
    </row>
    <row r="2799" spans="1:3" x14ac:dyDescent="0.3">
      <c r="A2799" s="4" t="s">
        <v>6327</v>
      </c>
      <c r="B2799" s="4" t="s">
        <v>3672</v>
      </c>
      <c r="C2799" s="4">
        <v>6.1</v>
      </c>
    </row>
    <row r="2800" spans="1:3" x14ac:dyDescent="0.3">
      <c r="A2800" s="3" t="s">
        <v>6329</v>
      </c>
      <c r="B2800" s="3" t="s">
        <v>5282</v>
      </c>
      <c r="C2800" s="3">
        <v>5.9</v>
      </c>
    </row>
    <row r="2801" spans="1:3" x14ac:dyDescent="0.3">
      <c r="A2801" s="4" t="s">
        <v>6331</v>
      </c>
      <c r="B2801" s="4" t="s">
        <v>7</v>
      </c>
      <c r="C2801" s="4">
        <v>5.7</v>
      </c>
    </row>
    <row r="2802" spans="1:3" x14ac:dyDescent="0.3">
      <c r="A2802" s="3" t="s">
        <v>6333</v>
      </c>
      <c r="B2802" s="3" t="s">
        <v>7</v>
      </c>
      <c r="C2802" s="3">
        <v>5.6</v>
      </c>
    </row>
    <row r="2803" spans="1:3" x14ac:dyDescent="0.3">
      <c r="A2803" s="4" t="s">
        <v>6335</v>
      </c>
      <c r="B2803" s="4" t="s">
        <v>7</v>
      </c>
      <c r="C2803" s="4">
        <v>7.2</v>
      </c>
    </row>
    <row r="2804" spans="1:3" x14ac:dyDescent="0.3">
      <c r="A2804" s="3" t="s">
        <v>6337</v>
      </c>
      <c r="B2804" s="3" t="s">
        <v>582</v>
      </c>
      <c r="C2804" s="3">
        <v>7.7</v>
      </c>
    </row>
    <row r="2805" spans="1:3" x14ac:dyDescent="0.3">
      <c r="A2805" s="4" t="s">
        <v>6339</v>
      </c>
      <c r="B2805" s="4" t="s">
        <v>7</v>
      </c>
      <c r="C2805" s="4">
        <v>7.8</v>
      </c>
    </row>
    <row r="2806" spans="1:3" x14ac:dyDescent="0.3">
      <c r="A2806" s="3" t="s">
        <v>6341</v>
      </c>
      <c r="B2806" s="3" t="s">
        <v>7</v>
      </c>
      <c r="C2806" s="3">
        <v>6.1</v>
      </c>
    </row>
    <row r="2807" spans="1:3" x14ac:dyDescent="0.3">
      <c r="A2807" s="4" t="s">
        <v>6343</v>
      </c>
      <c r="B2807" s="4" t="s">
        <v>7</v>
      </c>
      <c r="C2807" s="4">
        <v>5.8</v>
      </c>
    </row>
    <row r="2808" spans="1:3" x14ac:dyDescent="0.3">
      <c r="A2808" s="3" t="s">
        <v>6346</v>
      </c>
      <c r="B2808" s="3" t="s">
        <v>7</v>
      </c>
      <c r="C2808" s="3">
        <v>6.5</v>
      </c>
    </row>
    <row r="2809" spans="1:3" x14ac:dyDescent="0.3">
      <c r="A2809" s="4" t="s">
        <v>6348</v>
      </c>
      <c r="B2809" s="4" t="s">
        <v>7</v>
      </c>
      <c r="C2809" s="4">
        <v>7.9</v>
      </c>
    </row>
    <row r="2810" spans="1:3" x14ac:dyDescent="0.3">
      <c r="A2810" s="3" t="s">
        <v>6350</v>
      </c>
      <c r="B2810" s="3" t="s">
        <v>2354</v>
      </c>
      <c r="C2810" s="3">
        <v>6.3</v>
      </c>
    </row>
    <row r="2811" spans="1:3" x14ac:dyDescent="0.3">
      <c r="A2811" s="4" t="s">
        <v>6352</v>
      </c>
      <c r="B2811" s="4" t="s">
        <v>7</v>
      </c>
      <c r="C2811" s="4">
        <v>3.8</v>
      </c>
    </row>
    <row r="2812" spans="1:3" x14ac:dyDescent="0.3">
      <c r="A2812" s="3" t="s">
        <v>6354</v>
      </c>
      <c r="B2812" s="3" t="s">
        <v>7</v>
      </c>
      <c r="C2812" s="3">
        <v>8.3000000000000007</v>
      </c>
    </row>
    <row r="2813" spans="1:3" x14ac:dyDescent="0.3">
      <c r="A2813" s="4" t="s">
        <v>6356</v>
      </c>
      <c r="B2813" s="4" t="s">
        <v>7</v>
      </c>
      <c r="C2813" s="4">
        <v>6.4</v>
      </c>
    </row>
    <row r="2814" spans="1:3" x14ac:dyDescent="0.3">
      <c r="A2814" s="3" t="s">
        <v>6358</v>
      </c>
      <c r="B2814" s="3" t="s">
        <v>7</v>
      </c>
      <c r="C2814" s="3">
        <v>6.7</v>
      </c>
    </row>
    <row r="2815" spans="1:3" x14ac:dyDescent="0.3">
      <c r="A2815" s="4" t="s">
        <v>6360</v>
      </c>
      <c r="B2815" s="4" t="s">
        <v>7</v>
      </c>
      <c r="C2815" s="4">
        <v>6.1</v>
      </c>
    </row>
    <row r="2816" spans="1:3" x14ac:dyDescent="0.3">
      <c r="A2816" s="3" t="s">
        <v>6362</v>
      </c>
      <c r="B2816" s="3" t="s">
        <v>7</v>
      </c>
      <c r="C2816" s="3">
        <v>8.1</v>
      </c>
    </row>
    <row r="2817" spans="1:3" x14ac:dyDescent="0.3">
      <c r="A2817" s="4" t="s">
        <v>6364</v>
      </c>
      <c r="B2817" s="4" t="s">
        <v>7</v>
      </c>
      <c r="C2817" s="4">
        <v>6</v>
      </c>
    </row>
    <row r="2818" spans="1:3" x14ac:dyDescent="0.3">
      <c r="A2818" s="3" t="s">
        <v>6366</v>
      </c>
      <c r="B2818" s="3" t="s">
        <v>7</v>
      </c>
      <c r="C2818" s="3">
        <v>5.8</v>
      </c>
    </row>
    <row r="2819" spans="1:3" x14ac:dyDescent="0.3">
      <c r="A2819" s="4" t="s">
        <v>6368</v>
      </c>
      <c r="B2819" s="4" t="s">
        <v>7</v>
      </c>
      <c r="C2819" s="4">
        <v>5.6</v>
      </c>
    </row>
    <row r="2820" spans="1:3" x14ac:dyDescent="0.3">
      <c r="A2820" s="3" t="s">
        <v>6370</v>
      </c>
      <c r="B2820" s="3" t="s">
        <v>7</v>
      </c>
      <c r="C2820" s="3">
        <v>6.1</v>
      </c>
    </row>
    <row r="2821" spans="1:3" x14ac:dyDescent="0.3">
      <c r="A2821" s="4" t="s">
        <v>6372</v>
      </c>
      <c r="B2821" s="4" t="s">
        <v>7</v>
      </c>
      <c r="C2821" s="4">
        <v>5.9</v>
      </c>
    </row>
    <row r="2822" spans="1:3" x14ac:dyDescent="0.3">
      <c r="A2822" s="3" t="s">
        <v>6374</v>
      </c>
      <c r="B2822" s="3" t="s">
        <v>7</v>
      </c>
      <c r="C2822" s="3">
        <v>7.3</v>
      </c>
    </row>
    <row r="2823" spans="1:3" x14ac:dyDescent="0.3">
      <c r="A2823" s="4" t="s">
        <v>6376</v>
      </c>
      <c r="B2823" s="4" t="s">
        <v>7</v>
      </c>
      <c r="C2823" s="4">
        <v>6.8</v>
      </c>
    </row>
    <row r="2824" spans="1:3" x14ac:dyDescent="0.3">
      <c r="A2824" s="3" t="s">
        <v>6378</v>
      </c>
      <c r="B2824" s="3" t="s">
        <v>7</v>
      </c>
      <c r="C2824" s="3">
        <v>5.7</v>
      </c>
    </row>
    <row r="2825" spans="1:3" x14ac:dyDescent="0.3">
      <c r="A2825" s="4" t="s">
        <v>6380</v>
      </c>
      <c r="B2825" s="4" t="s">
        <v>7</v>
      </c>
      <c r="C2825" s="4">
        <v>7.3</v>
      </c>
    </row>
    <row r="2826" spans="1:3" x14ac:dyDescent="0.3">
      <c r="A2826" s="3" t="s">
        <v>6383</v>
      </c>
      <c r="B2826" s="3" t="s">
        <v>7</v>
      </c>
      <c r="C2826" s="3">
        <v>6.3</v>
      </c>
    </row>
    <row r="2827" spans="1:3" x14ac:dyDescent="0.3">
      <c r="A2827" s="4" t="s">
        <v>6385</v>
      </c>
      <c r="B2827" s="4" t="s">
        <v>7</v>
      </c>
      <c r="C2827" s="4">
        <v>5.9</v>
      </c>
    </row>
    <row r="2828" spans="1:3" x14ac:dyDescent="0.3">
      <c r="A2828" s="3" t="s">
        <v>6387</v>
      </c>
      <c r="B2828" s="3" t="s">
        <v>7</v>
      </c>
      <c r="C2828" s="3">
        <v>7.1</v>
      </c>
    </row>
    <row r="2829" spans="1:3" x14ac:dyDescent="0.3">
      <c r="A2829" s="4" t="s">
        <v>6389</v>
      </c>
      <c r="B2829" s="4" t="s">
        <v>7</v>
      </c>
      <c r="C2829" s="4">
        <v>7.1</v>
      </c>
    </row>
    <row r="2830" spans="1:3" x14ac:dyDescent="0.3">
      <c r="A2830" s="3" t="s">
        <v>6391</v>
      </c>
      <c r="B2830" s="3" t="s">
        <v>7</v>
      </c>
      <c r="C2830" s="3">
        <v>8</v>
      </c>
    </row>
    <row r="2831" spans="1:3" x14ac:dyDescent="0.3">
      <c r="A2831" s="4" t="s">
        <v>6393</v>
      </c>
      <c r="B2831" s="4" t="s">
        <v>7</v>
      </c>
      <c r="C2831" s="4">
        <v>5.0999999999999996</v>
      </c>
    </row>
    <row r="2832" spans="1:3" x14ac:dyDescent="0.3">
      <c r="A2832" s="3" t="s">
        <v>6395</v>
      </c>
      <c r="B2832" s="3" t="s">
        <v>7</v>
      </c>
      <c r="C2832" s="3">
        <v>7.1</v>
      </c>
    </row>
    <row r="2833" spans="1:3" x14ac:dyDescent="0.3">
      <c r="A2833" s="4" t="s">
        <v>6397</v>
      </c>
      <c r="B2833" s="4" t="s">
        <v>7</v>
      </c>
      <c r="C2833" s="4">
        <v>6.5</v>
      </c>
    </row>
    <row r="2834" spans="1:3" x14ac:dyDescent="0.3">
      <c r="A2834" s="3" t="s">
        <v>6399</v>
      </c>
      <c r="B2834" s="3" t="s">
        <v>5514</v>
      </c>
      <c r="C2834" s="3">
        <v>4.5</v>
      </c>
    </row>
    <row r="2835" spans="1:3" x14ac:dyDescent="0.3">
      <c r="A2835" s="4" t="s">
        <v>6401</v>
      </c>
      <c r="B2835" s="4" t="s">
        <v>7</v>
      </c>
      <c r="C2835" s="4">
        <v>6.6</v>
      </c>
    </row>
    <row r="2836" spans="1:3" x14ac:dyDescent="0.3">
      <c r="A2836" s="3" t="s">
        <v>6403</v>
      </c>
      <c r="B2836" s="3" t="s">
        <v>7</v>
      </c>
      <c r="C2836" s="3">
        <v>4.3</v>
      </c>
    </row>
    <row r="2837" spans="1:3" x14ac:dyDescent="0.3">
      <c r="A2837" s="4" t="s">
        <v>6405</v>
      </c>
      <c r="B2837" s="4" t="s">
        <v>7</v>
      </c>
      <c r="C2837" s="4">
        <v>6.7</v>
      </c>
    </row>
    <row r="2838" spans="1:3" x14ac:dyDescent="0.3">
      <c r="A2838" s="3" t="s">
        <v>6407</v>
      </c>
      <c r="B2838" s="3" t="s">
        <v>7</v>
      </c>
      <c r="C2838" s="3">
        <v>6.8</v>
      </c>
    </row>
    <row r="2839" spans="1:3" x14ac:dyDescent="0.3">
      <c r="A2839" s="4" t="s">
        <v>6409</v>
      </c>
      <c r="B2839" s="4" t="s">
        <v>6411</v>
      </c>
      <c r="C2839" s="4">
        <v>5.4</v>
      </c>
    </row>
    <row r="2840" spans="1:3" x14ac:dyDescent="0.3">
      <c r="A2840" s="3" t="s">
        <v>6412</v>
      </c>
      <c r="B2840" s="3" t="s">
        <v>7</v>
      </c>
      <c r="C2840" s="3">
        <v>6.6</v>
      </c>
    </row>
    <row r="2841" spans="1:3" x14ac:dyDescent="0.3">
      <c r="A2841" s="4" t="s">
        <v>6414</v>
      </c>
      <c r="B2841" s="4" t="s">
        <v>7</v>
      </c>
      <c r="C2841" s="4">
        <v>7.4</v>
      </c>
    </row>
    <row r="2842" spans="1:3" x14ac:dyDescent="0.3">
      <c r="A2842" s="3" t="s">
        <v>6416</v>
      </c>
      <c r="B2842" s="3" t="s">
        <v>7</v>
      </c>
      <c r="C2842" s="3">
        <v>7.3</v>
      </c>
    </row>
    <row r="2843" spans="1:3" x14ac:dyDescent="0.3">
      <c r="A2843" s="4" t="s">
        <v>6418</v>
      </c>
      <c r="B2843" s="4" t="s">
        <v>7</v>
      </c>
      <c r="C2843" s="4">
        <v>6.9</v>
      </c>
    </row>
    <row r="2844" spans="1:3" x14ac:dyDescent="0.3">
      <c r="A2844" s="3" t="s">
        <v>6420</v>
      </c>
      <c r="B2844" s="3" t="s">
        <v>7</v>
      </c>
      <c r="C2844" s="3">
        <v>8</v>
      </c>
    </row>
    <row r="2845" spans="1:3" x14ac:dyDescent="0.3">
      <c r="A2845" s="4" t="s">
        <v>6422</v>
      </c>
      <c r="B2845" s="4" t="s">
        <v>7</v>
      </c>
      <c r="C2845" s="4">
        <v>6.4</v>
      </c>
    </row>
    <row r="2846" spans="1:3" x14ac:dyDescent="0.3">
      <c r="A2846" s="3" t="s">
        <v>6424</v>
      </c>
      <c r="B2846" s="3" t="s">
        <v>7</v>
      </c>
      <c r="C2846" s="3">
        <v>7.8</v>
      </c>
    </row>
    <row r="2847" spans="1:3" x14ac:dyDescent="0.3">
      <c r="A2847" s="4" t="s">
        <v>6426</v>
      </c>
      <c r="B2847" s="4" t="s">
        <v>7</v>
      </c>
      <c r="C2847" s="4">
        <v>6.1</v>
      </c>
    </row>
    <row r="2848" spans="1:3" x14ac:dyDescent="0.3">
      <c r="A2848" s="3" t="s">
        <v>6428</v>
      </c>
      <c r="B2848" s="3" t="s">
        <v>7</v>
      </c>
      <c r="C2848" s="3">
        <v>6.1</v>
      </c>
    </row>
    <row r="2849" spans="1:3" x14ac:dyDescent="0.3">
      <c r="A2849" s="4" t="s">
        <v>6430</v>
      </c>
      <c r="B2849" s="4" t="s">
        <v>7</v>
      </c>
      <c r="C2849" s="4">
        <v>5.0999999999999996</v>
      </c>
    </row>
    <row r="2850" spans="1:3" x14ac:dyDescent="0.3">
      <c r="A2850" s="3" t="s">
        <v>6432</v>
      </c>
      <c r="B2850" s="3" t="s">
        <v>7</v>
      </c>
      <c r="C2850" s="3">
        <v>7.8</v>
      </c>
    </row>
    <row r="2851" spans="1:3" x14ac:dyDescent="0.3">
      <c r="A2851" s="4" t="s">
        <v>6434</v>
      </c>
      <c r="B2851" s="4" t="s">
        <v>2354</v>
      </c>
      <c r="C2851" s="4">
        <v>7.4</v>
      </c>
    </row>
    <row r="2852" spans="1:3" x14ac:dyDescent="0.3">
      <c r="A2852" s="3" t="s">
        <v>6436</v>
      </c>
      <c r="B2852" s="3" t="s">
        <v>7</v>
      </c>
      <c r="C2852" s="3">
        <v>7.8</v>
      </c>
    </row>
    <row r="2853" spans="1:3" x14ac:dyDescent="0.3">
      <c r="A2853" s="4" t="s">
        <v>6438</v>
      </c>
      <c r="B2853" s="4" t="s">
        <v>7</v>
      </c>
      <c r="C2853" s="4">
        <v>8</v>
      </c>
    </row>
    <row r="2854" spans="1:3" x14ac:dyDescent="0.3">
      <c r="A2854" s="3" t="s">
        <v>6441</v>
      </c>
      <c r="B2854" s="3" t="s">
        <v>7</v>
      </c>
      <c r="C2854" s="3">
        <v>6.7</v>
      </c>
    </row>
    <row r="2855" spans="1:3" x14ac:dyDescent="0.3">
      <c r="A2855" s="4" t="s">
        <v>6444</v>
      </c>
      <c r="B2855" s="4" t="s">
        <v>7</v>
      </c>
      <c r="C2855" s="4">
        <v>6.6</v>
      </c>
    </row>
    <row r="2856" spans="1:3" x14ac:dyDescent="0.3">
      <c r="A2856" s="3" t="s">
        <v>6446</v>
      </c>
      <c r="B2856" s="3" t="s">
        <v>7</v>
      </c>
      <c r="C2856" s="3">
        <v>6.4</v>
      </c>
    </row>
    <row r="2857" spans="1:3" x14ac:dyDescent="0.3">
      <c r="A2857" s="4" t="s">
        <v>6448</v>
      </c>
      <c r="B2857" s="4" t="s">
        <v>7</v>
      </c>
      <c r="C2857" s="4">
        <v>6.7</v>
      </c>
    </row>
    <row r="2858" spans="1:3" x14ac:dyDescent="0.3">
      <c r="A2858" s="3" t="s">
        <v>6451</v>
      </c>
      <c r="B2858" s="3" t="s">
        <v>7</v>
      </c>
      <c r="C2858" s="3">
        <v>6.2</v>
      </c>
    </row>
    <row r="2859" spans="1:3" x14ac:dyDescent="0.3">
      <c r="A2859" s="4" t="s">
        <v>6453</v>
      </c>
      <c r="B2859" s="4" t="s">
        <v>7</v>
      </c>
      <c r="C2859" s="4">
        <v>7.3</v>
      </c>
    </row>
    <row r="2860" spans="1:3" x14ac:dyDescent="0.3">
      <c r="A2860" s="3" t="s">
        <v>6455</v>
      </c>
      <c r="B2860" s="3" t="s">
        <v>7</v>
      </c>
      <c r="C2860" s="3">
        <v>8.1</v>
      </c>
    </row>
    <row r="2861" spans="1:3" x14ac:dyDescent="0.3">
      <c r="A2861" s="4" t="s">
        <v>6457</v>
      </c>
      <c r="B2861" s="4" t="s">
        <v>7</v>
      </c>
      <c r="C2861" s="4">
        <v>7</v>
      </c>
    </row>
    <row r="2862" spans="1:3" x14ac:dyDescent="0.3">
      <c r="A2862" s="3" t="s">
        <v>6459</v>
      </c>
      <c r="B2862" s="3" t="s">
        <v>7</v>
      </c>
      <c r="C2862" s="3">
        <v>8</v>
      </c>
    </row>
    <row r="2863" spans="1:3" x14ac:dyDescent="0.3">
      <c r="A2863" s="4" t="s">
        <v>6461</v>
      </c>
      <c r="B2863" s="4" t="s">
        <v>7</v>
      </c>
      <c r="C2863" s="4">
        <v>8</v>
      </c>
    </row>
    <row r="2864" spans="1:3" x14ac:dyDescent="0.3">
      <c r="A2864" s="3" t="s">
        <v>6463</v>
      </c>
      <c r="B2864" s="3" t="s">
        <v>7</v>
      </c>
      <c r="C2864" s="3">
        <v>7</v>
      </c>
    </row>
    <row r="2865" spans="1:3" x14ac:dyDescent="0.3">
      <c r="A2865" s="4" t="s">
        <v>6465</v>
      </c>
      <c r="B2865" s="4" t="s">
        <v>7</v>
      </c>
      <c r="C2865" s="4">
        <v>7.9</v>
      </c>
    </row>
    <row r="2866" spans="1:3" x14ac:dyDescent="0.3">
      <c r="A2866" s="3" t="s">
        <v>6468</v>
      </c>
      <c r="B2866" s="3" t="s">
        <v>7</v>
      </c>
      <c r="C2866" s="3">
        <v>5.9</v>
      </c>
    </row>
    <row r="2867" spans="1:3" x14ac:dyDescent="0.3">
      <c r="A2867" s="4" t="s">
        <v>6470</v>
      </c>
      <c r="B2867" s="4" t="s">
        <v>7</v>
      </c>
      <c r="C2867" s="4">
        <v>6.6</v>
      </c>
    </row>
    <row r="2868" spans="1:3" x14ac:dyDescent="0.3">
      <c r="A2868" s="3" t="s">
        <v>6472</v>
      </c>
      <c r="B2868" s="3" t="s">
        <v>7</v>
      </c>
      <c r="C2868" s="3">
        <v>6.3</v>
      </c>
    </row>
    <row r="2869" spans="1:3" x14ac:dyDescent="0.3">
      <c r="A2869" s="4" t="s">
        <v>6474</v>
      </c>
      <c r="B2869" s="4" t="s">
        <v>7</v>
      </c>
      <c r="C2869" s="4">
        <v>7.7</v>
      </c>
    </row>
    <row r="2870" spans="1:3" x14ac:dyDescent="0.3">
      <c r="A2870" s="3" t="s">
        <v>6476</v>
      </c>
      <c r="B2870" s="3" t="s">
        <v>7</v>
      </c>
      <c r="C2870" s="3">
        <v>6.9</v>
      </c>
    </row>
    <row r="2871" spans="1:3" x14ac:dyDescent="0.3">
      <c r="A2871" s="4" t="s">
        <v>6478</v>
      </c>
      <c r="B2871" s="4" t="s">
        <v>7</v>
      </c>
      <c r="C2871" s="4">
        <v>7.1</v>
      </c>
    </row>
    <row r="2872" spans="1:3" x14ac:dyDescent="0.3">
      <c r="A2872" s="3" t="s">
        <v>6480</v>
      </c>
      <c r="B2872" s="3" t="s">
        <v>7</v>
      </c>
      <c r="C2872" s="3">
        <v>7.4</v>
      </c>
    </row>
    <row r="2873" spans="1:3" x14ac:dyDescent="0.3">
      <c r="A2873" s="4" t="s">
        <v>6482</v>
      </c>
      <c r="B2873" s="4" t="s">
        <v>7</v>
      </c>
      <c r="C2873" s="4">
        <v>6.5</v>
      </c>
    </row>
    <row r="2874" spans="1:3" x14ac:dyDescent="0.3">
      <c r="A2874" s="3" t="s">
        <v>6484</v>
      </c>
      <c r="B2874" s="3" t="s">
        <v>7</v>
      </c>
      <c r="C2874" s="3">
        <v>6.5</v>
      </c>
    </row>
    <row r="2875" spans="1:3" x14ac:dyDescent="0.3">
      <c r="A2875" s="4" t="s">
        <v>6486</v>
      </c>
      <c r="B2875" s="4" t="s">
        <v>7</v>
      </c>
      <c r="C2875" s="4">
        <v>6.8</v>
      </c>
    </row>
    <row r="2876" spans="1:3" x14ac:dyDescent="0.3">
      <c r="A2876" s="3" t="s">
        <v>6488</v>
      </c>
      <c r="B2876" s="3" t="s">
        <v>7</v>
      </c>
      <c r="C2876" s="3">
        <v>7.5</v>
      </c>
    </row>
    <row r="2877" spans="1:3" x14ac:dyDescent="0.3">
      <c r="A2877" s="4" t="s">
        <v>6490</v>
      </c>
      <c r="B2877" s="4" t="s">
        <v>7</v>
      </c>
      <c r="C2877" s="4">
        <v>6.6</v>
      </c>
    </row>
    <row r="2878" spans="1:3" x14ac:dyDescent="0.3">
      <c r="A2878" s="3" t="s">
        <v>6492</v>
      </c>
      <c r="B2878" s="3" t="s">
        <v>7</v>
      </c>
      <c r="C2878" s="3">
        <v>7.1</v>
      </c>
    </row>
    <row r="2879" spans="1:3" x14ac:dyDescent="0.3">
      <c r="A2879" s="4" t="s">
        <v>6494</v>
      </c>
      <c r="B2879" s="4" t="s">
        <v>7</v>
      </c>
      <c r="C2879" s="4">
        <v>6.6</v>
      </c>
    </row>
    <row r="2880" spans="1:3" x14ac:dyDescent="0.3">
      <c r="A2880" s="3" t="s">
        <v>6496</v>
      </c>
      <c r="B2880" s="3" t="s">
        <v>7</v>
      </c>
      <c r="C2880" s="3">
        <v>7</v>
      </c>
    </row>
    <row r="2881" spans="1:3" x14ac:dyDescent="0.3">
      <c r="A2881" s="4" t="s">
        <v>6498</v>
      </c>
      <c r="B2881" s="4" t="s">
        <v>7</v>
      </c>
      <c r="C2881" s="4">
        <v>3.3</v>
      </c>
    </row>
    <row r="2882" spans="1:3" x14ac:dyDescent="0.3">
      <c r="A2882" s="3" t="s">
        <v>6500</v>
      </c>
      <c r="B2882" s="3" t="s">
        <v>7</v>
      </c>
      <c r="C2882" s="3">
        <v>6.7</v>
      </c>
    </row>
    <row r="2883" spans="1:3" x14ac:dyDescent="0.3">
      <c r="A2883" s="4" t="s">
        <v>6502</v>
      </c>
      <c r="B2883" s="4" t="s">
        <v>7</v>
      </c>
      <c r="C2883" s="4">
        <v>8</v>
      </c>
    </row>
    <row r="2884" spans="1:3" x14ac:dyDescent="0.3">
      <c r="A2884" s="3" t="s">
        <v>6504</v>
      </c>
      <c r="B2884" s="3" t="s">
        <v>7</v>
      </c>
      <c r="C2884" s="3">
        <v>6.8</v>
      </c>
    </row>
    <row r="2885" spans="1:3" x14ac:dyDescent="0.3">
      <c r="A2885" s="4" t="s">
        <v>6507</v>
      </c>
      <c r="B2885" s="4" t="s">
        <v>7</v>
      </c>
      <c r="C2885" s="4">
        <v>6</v>
      </c>
    </row>
    <row r="2886" spans="1:3" x14ac:dyDescent="0.3">
      <c r="A2886" s="3" t="s">
        <v>6509</v>
      </c>
      <c r="B2886" s="3" t="s">
        <v>7</v>
      </c>
      <c r="C2886" s="3">
        <v>5.4</v>
      </c>
    </row>
    <row r="2887" spans="1:3" x14ac:dyDescent="0.3">
      <c r="A2887" s="4" t="s">
        <v>6512</v>
      </c>
      <c r="B2887" s="4" t="s">
        <v>582</v>
      </c>
      <c r="C2887" s="4">
        <v>4.3</v>
      </c>
    </row>
    <row r="2888" spans="1:3" x14ac:dyDescent="0.3">
      <c r="A2888" s="3" t="s">
        <v>6514</v>
      </c>
      <c r="B2888" s="3" t="s">
        <v>7</v>
      </c>
      <c r="C2888" s="3">
        <v>6.2</v>
      </c>
    </row>
    <row r="2889" spans="1:3" x14ac:dyDescent="0.3">
      <c r="A2889" s="4" t="s">
        <v>6516</v>
      </c>
      <c r="B2889" s="4" t="s">
        <v>7</v>
      </c>
      <c r="C2889" s="4">
        <v>7.7</v>
      </c>
    </row>
    <row r="2890" spans="1:3" x14ac:dyDescent="0.3">
      <c r="A2890" s="3" t="s">
        <v>6518</v>
      </c>
      <c r="B2890" s="3" t="s">
        <v>7</v>
      </c>
      <c r="C2890" s="3">
        <v>8</v>
      </c>
    </row>
    <row r="2891" spans="1:3" x14ac:dyDescent="0.3">
      <c r="A2891" s="4" t="s">
        <v>6520</v>
      </c>
      <c r="B2891" s="4" t="s">
        <v>7</v>
      </c>
      <c r="C2891" s="4">
        <v>7.4</v>
      </c>
    </row>
    <row r="2892" spans="1:3" x14ac:dyDescent="0.3">
      <c r="A2892" s="3" t="s">
        <v>6522</v>
      </c>
      <c r="B2892" s="3" t="s">
        <v>7</v>
      </c>
      <c r="C2892" s="3">
        <v>5.9</v>
      </c>
    </row>
    <row r="2893" spans="1:3" x14ac:dyDescent="0.3">
      <c r="A2893" s="4" t="s">
        <v>6524</v>
      </c>
      <c r="B2893" s="4" t="s">
        <v>7</v>
      </c>
      <c r="C2893" s="4">
        <v>7.8</v>
      </c>
    </row>
    <row r="2894" spans="1:3" x14ac:dyDescent="0.3">
      <c r="A2894" s="3" t="s">
        <v>6526</v>
      </c>
      <c r="B2894" s="3" t="s">
        <v>7</v>
      </c>
      <c r="C2894" s="3">
        <v>7.4</v>
      </c>
    </row>
    <row r="2895" spans="1:3" x14ac:dyDescent="0.3">
      <c r="A2895" s="4" t="s">
        <v>6528</v>
      </c>
      <c r="B2895" s="4" t="s">
        <v>7</v>
      </c>
      <c r="C2895" s="4">
        <v>6.5</v>
      </c>
    </row>
    <row r="2896" spans="1:3" x14ac:dyDescent="0.3">
      <c r="A2896" s="3" t="s">
        <v>6530</v>
      </c>
      <c r="B2896" s="3" t="s">
        <v>7</v>
      </c>
      <c r="C2896" s="3">
        <v>5.4</v>
      </c>
    </row>
    <row r="2897" spans="1:3" x14ac:dyDescent="0.3">
      <c r="A2897" s="4" t="s">
        <v>6532</v>
      </c>
      <c r="B2897" s="4" t="s">
        <v>7</v>
      </c>
      <c r="C2897" s="4">
        <v>7</v>
      </c>
    </row>
    <row r="2898" spans="1:3" x14ac:dyDescent="0.3">
      <c r="A2898" s="3" t="s">
        <v>6534</v>
      </c>
      <c r="B2898" s="3" t="s">
        <v>7</v>
      </c>
      <c r="C2898" s="3">
        <v>7.6</v>
      </c>
    </row>
    <row r="2899" spans="1:3" x14ac:dyDescent="0.3">
      <c r="A2899" s="4" t="s">
        <v>6536</v>
      </c>
      <c r="B2899" s="4" t="s">
        <v>7</v>
      </c>
      <c r="C2899" s="4">
        <v>6.9</v>
      </c>
    </row>
    <row r="2900" spans="1:3" x14ac:dyDescent="0.3">
      <c r="A2900" s="3" t="s">
        <v>6538</v>
      </c>
      <c r="B2900" s="3" t="s">
        <v>7</v>
      </c>
      <c r="C2900" s="3">
        <v>7</v>
      </c>
    </row>
    <row r="2901" spans="1:3" x14ac:dyDescent="0.3">
      <c r="A2901" s="4" t="s">
        <v>6540</v>
      </c>
      <c r="B2901" s="4" t="s">
        <v>7</v>
      </c>
      <c r="C2901" s="4">
        <v>5.3</v>
      </c>
    </row>
    <row r="2902" spans="1:3" x14ac:dyDescent="0.3">
      <c r="A2902" s="3" t="s">
        <v>6542</v>
      </c>
      <c r="B2902" s="3" t="s">
        <v>7</v>
      </c>
      <c r="C2902" s="3">
        <v>6.4</v>
      </c>
    </row>
    <row r="2903" spans="1:3" x14ac:dyDescent="0.3">
      <c r="A2903" s="4" t="s">
        <v>6544</v>
      </c>
      <c r="B2903" s="4" t="s">
        <v>7</v>
      </c>
      <c r="C2903" s="4">
        <v>4.5</v>
      </c>
    </row>
    <row r="2904" spans="1:3" x14ac:dyDescent="0.3">
      <c r="A2904" s="3" t="s">
        <v>6546</v>
      </c>
      <c r="B2904" s="3" t="s">
        <v>7</v>
      </c>
      <c r="C2904" s="3">
        <v>7.8</v>
      </c>
    </row>
    <row r="2905" spans="1:3" x14ac:dyDescent="0.3">
      <c r="A2905" s="4" t="s">
        <v>6549</v>
      </c>
      <c r="B2905" s="4" t="s">
        <v>247</v>
      </c>
      <c r="C2905" s="4">
        <v>6.7</v>
      </c>
    </row>
    <row r="2906" spans="1:3" x14ac:dyDescent="0.3">
      <c r="A2906" s="3" t="s">
        <v>6551</v>
      </c>
      <c r="B2906" s="3" t="s">
        <v>7</v>
      </c>
      <c r="C2906" s="3">
        <v>5.3</v>
      </c>
    </row>
    <row r="2907" spans="1:3" x14ac:dyDescent="0.3">
      <c r="A2907" s="4" t="s">
        <v>6553</v>
      </c>
      <c r="B2907" s="4" t="s">
        <v>7</v>
      </c>
      <c r="C2907" s="4">
        <v>6.3</v>
      </c>
    </row>
    <row r="2908" spans="1:3" x14ac:dyDescent="0.3">
      <c r="A2908" s="3" t="s">
        <v>6555</v>
      </c>
      <c r="B2908" s="3" t="s">
        <v>7</v>
      </c>
      <c r="C2908" s="3">
        <v>7</v>
      </c>
    </row>
    <row r="2909" spans="1:3" x14ac:dyDescent="0.3">
      <c r="A2909" s="4" t="s">
        <v>6557</v>
      </c>
      <c r="B2909" s="4" t="s">
        <v>7</v>
      </c>
      <c r="C2909" s="4">
        <v>5.3</v>
      </c>
    </row>
    <row r="2910" spans="1:3" x14ac:dyDescent="0.3">
      <c r="A2910" s="3" t="s">
        <v>6559</v>
      </c>
      <c r="B2910" s="3" t="s">
        <v>3064</v>
      </c>
      <c r="C2910" s="3">
        <v>6.6</v>
      </c>
    </row>
    <row r="2911" spans="1:3" x14ac:dyDescent="0.3">
      <c r="A2911" s="4" t="s">
        <v>6561</v>
      </c>
      <c r="B2911" s="4" t="s">
        <v>7</v>
      </c>
      <c r="C2911" s="4">
        <v>5.8</v>
      </c>
    </row>
    <row r="2912" spans="1:3" x14ac:dyDescent="0.3">
      <c r="A2912" s="3" t="s">
        <v>6563</v>
      </c>
      <c r="B2912" s="3" t="s">
        <v>7</v>
      </c>
      <c r="C2912" s="3">
        <v>6.7</v>
      </c>
    </row>
    <row r="2913" spans="1:3" x14ac:dyDescent="0.3">
      <c r="A2913" s="4" t="s">
        <v>6565</v>
      </c>
      <c r="B2913" s="4" t="s">
        <v>7</v>
      </c>
      <c r="C2913" s="4">
        <v>6.6</v>
      </c>
    </row>
    <row r="2914" spans="1:3" x14ac:dyDescent="0.3">
      <c r="A2914" s="3" t="s">
        <v>6567</v>
      </c>
      <c r="B2914" s="3" t="s">
        <v>7</v>
      </c>
      <c r="C2914" s="3">
        <v>7</v>
      </c>
    </row>
    <row r="2915" spans="1:3" x14ac:dyDescent="0.3">
      <c r="A2915" s="4" t="s">
        <v>6569</v>
      </c>
      <c r="B2915" s="4" t="s">
        <v>7</v>
      </c>
      <c r="C2915" s="4">
        <v>8.4</v>
      </c>
    </row>
    <row r="2916" spans="1:3" x14ac:dyDescent="0.3">
      <c r="A2916" s="3" t="s">
        <v>6571</v>
      </c>
      <c r="B2916" s="3" t="s">
        <v>7</v>
      </c>
      <c r="C2916" s="3">
        <v>6</v>
      </c>
    </row>
    <row r="2917" spans="1:3" x14ac:dyDescent="0.3">
      <c r="A2917" s="4" t="s">
        <v>6573</v>
      </c>
      <c r="B2917" s="4" t="s">
        <v>7</v>
      </c>
      <c r="C2917" s="4">
        <v>5.4</v>
      </c>
    </row>
    <row r="2918" spans="1:3" x14ac:dyDescent="0.3">
      <c r="A2918" s="3" t="s">
        <v>6575</v>
      </c>
      <c r="B2918" s="3" t="s">
        <v>7</v>
      </c>
      <c r="C2918" s="3">
        <v>7.8</v>
      </c>
    </row>
    <row r="2919" spans="1:3" x14ac:dyDescent="0.3">
      <c r="A2919" s="4" t="s">
        <v>6577</v>
      </c>
      <c r="B2919" s="4" t="s">
        <v>7</v>
      </c>
      <c r="C2919" s="4">
        <v>7.6</v>
      </c>
    </row>
    <row r="2920" spans="1:3" x14ac:dyDescent="0.3">
      <c r="A2920" s="3" t="s">
        <v>6579</v>
      </c>
      <c r="B2920" s="3" t="s">
        <v>582</v>
      </c>
      <c r="C2920" s="3">
        <v>6.6</v>
      </c>
    </row>
    <row r="2921" spans="1:3" x14ac:dyDescent="0.3">
      <c r="A2921" s="4" t="s">
        <v>6582</v>
      </c>
      <c r="B2921" s="4" t="s">
        <v>7</v>
      </c>
      <c r="C2921" s="4">
        <v>6.4</v>
      </c>
    </row>
    <row r="2922" spans="1:3" x14ac:dyDescent="0.3">
      <c r="A2922" s="3" t="s">
        <v>6584</v>
      </c>
      <c r="B2922" s="3" t="s">
        <v>7</v>
      </c>
      <c r="C2922" s="3">
        <v>7</v>
      </c>
    </row>
    <row r="2923" spans="1:3" x14ac:dyDescent="0.3">
      <c r="A2923" s="4" t="s">
        <v>6586</v>
      </c>
      <c r="B2923" s="4" t="s">
        <v>2354</v>
      </c>
      <c r="C2923" s="4">
        <v>5.7</v>
      </c>
    </row>
    <row r="2924" spans="1:3" x14ac:dyDescent="0.3">
      <c r="A2924" s="3" t="s">
        <v>6589</v>
      </c>
      <c r="B2924" s="3" t="s">
        <v>582</v>
      </c>
      <c r="C2924" s="3">
        <v>5.9</v>
      </c>
    </row>
    <row r="2925" spans="1:3" x14ac:dyDescent="0.3">
      <c r="A2925" s="4" t="s">
        <v>6591</v>
      </c>
      <c r="B2925" s="4" t="s">
        <v>7</v>
      </c>
      <c r="C2925" s="4">
        <v>6.3</v>
      </c>
    </row>
    <row r="2926" spans="1:3" x14ac:dyDescent="0.3">
      <c r="A2926" s="3" t="s">
        <v>6593</v>
      </c>
      <c r="B2926" s="3" t="s">
        <v>7</v>
      </c>
      <c r="C2926" s="3">
        <v>6.3</v>
      </c>
    </row>
    <row r="2927" spans="1:3" x14ac:dyDescent="0.3">
      <c r="A2927" s="4" t="s">
        <v>6595</v>
      </c>
      <c r="B2927" s="4" t="s">
        <v>7</v>
      </c>
      <c r="C2927" s="4">
        <v>6.2</v>
      </c>
    </row>
    <row r="2928" spans="1:3" x14ac:dyDescent="0.3">
      <c r="A2928" s="3" t="s">
        <v>6597</v>
      </c>
      <c r="B2928" s="3" t="s">
        <v>7</v>
      </c>
      <c r="C2928" s="3">
        <v>2.1</v>
      </c>
    </row>
    <row r="2929" spans="1:3" x14ac:dyDescent="0.3">
      <c r="A2929" s="4" t="s">
        <v>6599</v>
      </c>
      <c r="B2929" s="4" t="s">
        <v>7</v>
      </c>
      <c r="C2929" s="4">
        <v>5</v>
      </c>
    </row>
    <row r="2930" spans="1:3" x14ac:dyDescent="0.3">
      <c r="A2930" s="3" t="s">
        <v>6601</v>
      </c>
      <c r="B2930" s="3" t="s">
        <v>7</v>
      </c>
      <c r="C2930" s="3">
        <v>5.3</v>
      </c>
    </row>
    <row r="2931" spans="1:3" x14ac:dyDescent="0.3">
      <c r="A2931" s="4" t="s">
        <v>6603</v>
      </c>
      <c r="B2931" s="4" t="s">
        <v>7</v>
      </c>
      <c r="C2931" s="4">
        <v>7.1</v>
      </c>
    </row>
    <row r="2932" spans="1:3" x14ac:dyDescent="0.3">
      <c r="A2932" s="3" t="s">
        <v>6605</v>
      </c>
      <c r="B2932" s="3" t="s">
        <v>7</v>
      </c>
      <c r="C2932" s="3">
        <v>7</v>
      </c>
    </row>
    <row r="2933" spans="1:3" x14ac:dyDescent="0.3">
      <c r="A2933" s="4" t="s">
        <v>6607</v>
      </c>
      <c r="B2933" s="4" t="s">
        <v>7</v>
      </c>
      <c r="C2933" s="4">
        <v>7</v>
      </c>
    </row>
    <row r="2934" spans="1:3" x14ac:dyDescent="0.3">
      <c r="A2934" s="3" t="s">
        <v>6609</v>
      </c>
      <c r="B2934" s="3" t="s">
        <v>7</v>
      </c>
      <c r="C2934" s="3">
        <v>5.7</v>
      </c>
    </row>
    <row r="2935" spans="1:3" x14ac:dyDescent="0.3">
      <c r="A2935" s="4" t="s">
        <v>6611</v>
      </c>
      <c r="B2935" s="4" t="s">
        <v>7</v>
      </c>
      <c r="C2935" s="4">
        <v>7.1</v>
      </c>
    </row>
    <row r="2936" spans="1:3" x14ac:dyDescent="0.3">
      <c r="A2936" s="3" t="s">
        <v>6613</v>
      </c>
      <c r="B2936" s="3" t="s">
        <v>7</v>
      </c>
      <c r="C2936" s="3">
        <v>7</v>
      </c>
    </row>
    <row r="2937" spans="1:3" x14ac:dyDescent="0.3">
      <c r="A2937" s="4" t="s">
        <v>6615</v>
      </c>
      <c r="B2937" s="4" t="s">
        <v>7</v>
      </c>
      <c r="C2937" s="4">
        <v>7.7</v>
      </c>
    </row>
    <row r="2938" spans="1:3" x14ac:dyDescent="0.3">
      <c r="A2938" s="3" t="s">
        <v>6617</v>
      </c>
      <c r="B2938" s="3" t="s">
        <v>7</v>
      </c>
      <c r="C2938" s="3">
        <v>7.1</v>
      </c>
    </row>
    <row r="2939" spans="1:3" x14ac:dyDescent="0.3">
      <c r="A2939" s="4" t="s">
        <v>6619</v>
      </c>
      <c r="B2939" s="4" t="s">
        <v>7</v>
      </c>
      <c r="C2939" s="4">
        <v>6.8</v>
      </c>
    </row>
    <row r="2940" spans="1:3" x14ac:dyDescent="0.3">
      <c r="A2940" s="3" t="s">
        <v>6621</v>
      </c>
      <c r="B2940" s="3" t="s">
        <v>7</v>
      </c>
      <c r="C2940" s="3">
        <v>7.5</v>
      </c>
    </row>
    <row r="2941" spans="1:3" x14ac:dyDescent="0.3">
      <c r="A2941" s="4" t="s">
        <v>6623</v>
      </c>
      <c r="B2941" s="4" t="s">
        <v>7</v>
      </c>
      <c r="C2941" s="4">
        <v>6.3</v>
      </c>
    </row>
    <row r="2942" spans="1:3" x14ac:dyDescent="0.3">
      <c r="A2942" s="3" t="s">
        <v>6625</v>
      </c>
      <c r="B2942" s="3" t="s">
        <v>7</v>
      </c>
      <c r="C2942" s="3">
        <v>7.3</v>
      </c>
    </row>
    <row r="2943" spans="1:3" x14ac:dyDescent="0.3">
      <c r="A2943" s="4" t="s">
        <v>6627</v>
      </c>
      <c r="B2943" s="4" t="s">
        <v>7</v>
      </c>
      <c r="C2943" s="4">
        <v>6.8</v>
      </c>
    </row>
    <row r="2944" spans="1:3" x14ac:dyDescent="0.3">
      <c r="A2944" s="3" t="s">
        <v>6629</v>
      </c>
      <c r="B2944" s="3" t="s">
        <v>7</v>
      </c>
      <c r="C2944" s="3">
        <v>7.2</v>
      </c>
    </row>
    <row r="2945" spans="1:3" x14ac:dyDescent="0.3">
      <c r="A2945" s="4" t="s">
        <v>6631</v>
      </c>
      <c r="B2945" s="4" t="s">
        <v>7</v>
      </c>
      <c r="C2945" s="4">
        <v>6.4</v>
      </c>
    </row>
    <row r="2946" spans="1:3" x14ac:dyDescent="0.3">
      <c r="A2946" s="3" t="s">
        <v>6634</v>
      </c>
      <c r="B2946" s="3" t="s">
        <v>7</v>
      </c>
      <c r="C2946" s="3">
        <v>6</v>
      </c>
    </row>
    <row r="2947" spans="1:3" x14ac:dyDescent="0.3">
      <c r="A2947" s="4" t="s">
        <v>6636</v>
      </c>
      <c r="B2947" s="4" t="s">
        <v>7</v>
      </c>
      <c r="C2947" s="4">
        <v>6.4</v>
      </c>
    </row>
    <row r="2948" spans="1:3" x14ac:dyDescent="0.3">
      <c r="A2948" s="3" t="s">
        <v>6639</v>
      </c>
      <c r="B2948" s="3" t="s">
        <v>7</v>
      </c>
      <c r="C2948" s="3">
        <v>5.0999999999999996</v>
      </c>
    </row>
    <row r="2949" spans="1:3" x14ac:dyDescent="0.3">
      <c r="A2949" s="4" t="s">
        <v>6641</v>
      </c>
      <c r="B2949" s="4" t="s">
        <v>7</v>
      </c>
      <c r="C2949" s="4">
        <v>7.5</v>
      </c>
    </row>
    <row r="2950" spans="1:3" x14ac:dyDescent="0.3">
      <c r="A2950" s="3" t="s">
        <v>6643</v>
      </c>
      <c r="B2950" s="3" t="s">
        <v>7</v>
      </c>
      <c r="C2950" s="3">
        <v>7.1</v>
      </c>
    </row>
    <row r="2951" spans="1:3" x14ac:dyDescent="0.3">
      <c r="A2951" s="4" t="s">
        <v>6645</v>
      </c>
      <c r="B2951" s="4" t="s">
        <v>7</v>
      </c>
      <c r="C2951" s="4">
        <v>4.5999999999999996</v>
      </c>
    </row>
    <row r="2952" spans="1:3" x14ac:dyDescent="0.3">
      <c r="A2952" s="3" t="s">
        <v>6647</v>
      </c>
      <c r="B2952" s="3" t="s">
        <v>7</v>
      </c>
      <c r="C2952" s="3">
        <v>5.7</v>
      </c>
    </row>
    <row r="2953" spans="1:3" x14ac:dyDescent="0.3">
      <c r="A2953" s="4" t="s">
        <v>6649</v>
      </c>
      <c r="B2953" s="4" t="s">
        <v>7</v>
      </c>
      <c r="C2953" s="4">
        <v>6.8</v>
      </c>
    </row>
    <row r="2954" spans="1:3" x14ac:dyDescent="0.3">
      <c r="A2954" s="3" t="s">
        <v>6651</v>
      </c>
      <c r="B2954" s="3" t="s">
        <v>7</v>
      </c>
      <c r="C2954" s="3">
        <v>7.7</v>
      </c>
    </row>
    <row r="2955" spans="1:3" x14ac:dyDescent="0.3">
      <c r="A2955" s="4" t="s">
        <v>6653</v>
      </c>
      <c r="B2955" s="4" t="s">
        <v>7</v>
      </c>
      <c r="C2955" s="4">
        <v>6.7</v>
      </c>
    </row>
    <row r="2956" spans="1:3" x14ac:dyDescent="0.3">
      <c r="A2956" s="3" t="s">
        <v>6655</v>
      </c>
      <c r="B2956" s="3" t="s">
        <v>7</v>
      </c>
      <c r="C2956" s="3">
        <v>3.2</v>
      </c>
    </row>
    <row r="2957" spans="1:3" x14ac:dyDescent="0.3">
      <c r="A2957" s="4" t="s">
        <v>6657</v>
      </c>
      <c r="B2957" s="4" t="s">
        <v>7</v>
      </c>
      <c r="C2957" s="4">
        <v>6.1</v>
      </c>
    </row>
    <row r="2958" spans="1:3" x14ac:dyDescent="0.3">
      <c r="A2958" s="3" t="s">
        <v>6659</v>
      </c>
      <c r="B2958" s="3" t="s">
        <v>7</v>
      </c>
      <c r="C2958" s="3">
        <v>5.6</v>
      </c>
    </row>
    <row r="2959" spans="1:3" x14ac:dyDescent="0.3">
      <c r="A2959" s="4" t="s">
        <v>6661</v>
      </c>
      <c r="B2959" s="4" t="s">
        <v>7</v>
      </c>
      <c r="C2959" s="4">
        <v>6.9</v>
      </c>
    </row>
    <row r="2960" spans="1:3" x14ac:dyDescent="0.3">
      <c r="A2960" s="3" t="s">
        <v>6664</v>
      </c>
      <c r="B2960" s="3" t="s">
        <v>918</v>
      </c>
      <c r="C2960" s="3">
        <v>7.5</v>
      </c>
    </row>
    <row r="2961" spans="1:3" x14ac:dyDescent="0.3">
      <c r="A2961" s="4" t="s">
        <v>6666</v>
      </c>
      <c r="B2961" s="4" t="s">
        <v>7</v>
      </c>
      <c r="C2961" s="4">
        <v>5.8</v>
      </c>
    </row>
    <row r="2962" spans="1:3" x14ac:dyDescent="0.3">
      <c r="A2962" s="3" t="s">
        <v>6669</v>
      </c>
      <c r="B2962" s="3" t="s">
        <v>7</v>
      </c>
      <c r="C2962" s="3">
        <v>8.3000000000000007</v>
      </c>
    </row>
    <row r="2963" spans="1:3" x14ac:dyDescent="0.3">
      <c r="A2963" s="4" t="s">
        <v>6671</v>
      </c>
      <c r="B2963" s="4" t="s">
        <v>7</v>
      </c>
      <c r="C2963" s="4">
        <v>2.8</v>
      </c>
    </row>
    <row r="2964" spans="1:3" x14ac:dyDescent="0.3">
      <c r="A2964" s="3" t="s">
        <v>6673</v>
      </c>
      <c r="B2964" s="3" t="s">
        <v>2354</v>
      </c>
      <c r="C2964" s="3">
        <v>6.6</v>
      </c>
    </row>
    <row r="2965" spans="1:3" x14ac:dyDescent="0.3">
      <c r="A2965" s="4" t="s">
        <v>6675</v>
      </c>
      <c r="B2965" s="4" t="s">
        <v>7</v>
      </c>
      <c r="C2965" s="4">
        <v>7.5</v>
      </c>
    </row>
    <row r="2966" spans="1:3" x14ac:dyDescent="0.3">
      <c r="A2966" s="3" t="s">
        <v>6677</v>
      </c>
      <c r="B2966" s="3" t="s">
        <v>7</v>
      </c>
      <c r="C2966" s="3">
        <v>6</v>
      </c>
    </row>
    <row r="2967" spans="1:3" x14ac:dyDescent="0.3">
      <c r="A2967" s="4" t="s">
        <v>6679</v>
      </c>
      <c r="B2967" s="4" t="s">
        <v>7</v>
      </c>
      <c r="C2967" s="4">
        <v>6.2</v>
      </c>
    </row>
    <row r="2968" spans="1:3" x14ac:dyDescent="0.3">
      <c r="A2968" s="3" t="s">
        <v>6681</v>
      </c>
      <c r="B2968" s="3" t="s">
        <v>7</v>
      </c>
      <c r="C2968" s="3">
        <v>7.2</v>
      </c>
    </row>
    <row r="2969" spans="1:3" x14ac:dyDescent="0.3">
      <c r="A2969" s="4" t="s">
        <v>6683</v>
      </c>
      <c r="B2969" s="4" t="s">
        <v>7</v>
      </c>
      <c r="C2969" s="4">
        <v>8.6999999999999993</v>
      </c>
    </row>
    <row r="2970" spans="1:3" x14ac:dyDescent="0.3">
      <c r="A2970" s="3" t="s">
        <v>6685</v>
      </c>
      <c r="B2970" s="3" t="s">
        <v>7</v>
      </c>
      <c r="C2970" s="3">
        <v>6</v>
      </c>
    </row>
    <row r="2971" spans="1:3" x14ac:dyDescent="0.3">
      <c r="A2971" s="4" t="s">
        <v>6687</v>
      </c>
      <c r="B2971" s="4" t="s">
        <v>7</v>
      </c>
      <c r="C2971" s="4">
        <v>8</v>
      </c>
    </row>
    <row r="2972" spans="1:3" x14ac:dyDescent="0.3">
      <c r="A2972" s="3" t="s">
        <v>6689</v>
      </c>
      <c r="B2972" s="3" t="s">
        <v>7</v>
      </c>
      <c r="C2972" s="3">
        <v>7.2</v>
      </c>
    </row>
    <row r="2973" spans="1:3" x14ac:dyDescent="0.3">
      <c r="A2973" s="4" t="s">
        <v>6691</v>
      </c>
      <c r="B2973" s="4" t="s">
        <v>7</v>
      </c>
      <c r="C2973" s="4">
        <v>4.5</v>
      </c>
    </row>
    <row r="2974" spans="1:3" x14ac:dyDescent="0.3">
      <c r="A2974" s="3" t="s">
        <v>6693</v>
      </c>
      <c r="B2974" s="3" t="s">
        <v>582</v>
      </c>
      <c r="C2974" s="3">
        <v>7.9</v>
      </c>
    </row>
    <row r="2975" spans="1:3" x14ac:dyDescent="0.3">
      <c r="A2975" s="4" t="s">
        <v>6695</v>
      </c>
      <c r="B2975" s="4" t="s">
        <v>7</v>
      </c>
      <c r="C2975" s="4">
        <v>7.1</v>
      </c>
    </row>
    <row r="2976" spans="1:3" x14ac:dyDescent="0.3">
      <c r="A2976" s="3" t="s">
        <v>6697</v>
      </c>
      <c r="B2976" s="3" t="s">
        <v>7</v>
      </c>
      <c r="C2976" s="3">
        <v>7.5</v>
      </c>
    </row>
    <row r="2977" spans="1:3" x14ac:dyDescent="0.3">
      <c r="A2977" s="4" t="s">
        <v>6699</v>
      </c>
      <c r="B2977" s="4" t="s">
        <v>7</v>
      </c>
      <c r="C2977" s="4">
        <v>6.8</v>
      </c>
    </row>
    <row r="2978" spans="1:3" x14ac:dyDescent="0.3">
      <c r="A2978" s="3" t="s">
        <v>6701</v>
      </c>
      <c r="B2978" s="3" t="s">
        <v>7</v>
      </c>
      <c r="C2978" s="3">
        <v>4.3</v>
      </c>
    </row>
    <row r="2979" spans="1:3" x14ac:dyDescent="0.3">
      <c r="A2979" s="4" t="s">
        <v>6703</v>
      </c>
      <c r="B2979" s="4" t="s">
        <v>7</v>
      </c>
      <c r="C2979" s="4">
        <v>7.2</v>
      </c>
    </row>
    <row r="2980" spans="1:3" x14ac:dyDescent="0.3">
      <c r="A2980" s="3" t="s">
        <v>6705</v>
      </c>
      <c r="B2980" s="3" t="s">
        <v>7</v>
      </c>
      <c r="C2980" s="3">
        <v>5.8</v>
      </c>
    </row>
    <row r="2981" spans="1:3" x14ac:dyDescent="0.3">
      <c r="A2981" s="4" t="s">
        <v>6707</v>
      </c>
      <c r="B2981" s="4" t="s">
        <v>7</v>
      </c>
      <c r="C2981" s="4">
        <v>7.1</v>
      </c>
    </row>
    <row r="2982" spans="1:3" x14ac:dyDescent="0.3">
      <c r="A2982" s="3" t="s">
        <v>6709</v>
      </c>
      <c r="B2982" s="3" t="s">
        <v>7</v>
      </c>
      <c r="C2982" s="3">
        <v>7.4</v>
      </c>
    </row>
    <row r="2983" spans="1:3" x14ac:dyDescent="0.3">
      <c r="A2983" s="4" t="s">
        <v>6711</v>
      </c>
      <c r="B2983" s="4" t="s">
        <v>7</v>
      </c>
      <c r="C2983" s="4">
        <v>7.6</v>
      </c>
    </row>
    <row r="2984" spans="1:3" x14ac:dyDescent="0.3">
      <c r="A2984" s="3" t="s">
        <v>6713</v>
      </c>
      <c r="B2984" s="3" t="s">
        <v>7</v>
      </c>
      <c r="C2984" s="3">
        <v>6.9</v>
      </c>
    </row>
    <row r="2985" spans="1:3" x14ac:dyDescent="0.3">
      <c r="A2985" s="4" t="s">
        <v>6715</v>
      </c>
      <c r="B2985" s="4" t="s">
        <v>7</v>
      </c>
      <c r="C2985" s="4">
        <v>6</v>
      </c>
    </row>
    <row r="2986" spans="1:3" x14ac:dyDescent="0.3">
      <c r="A2986" s="3" t="s">
        <v>6717</v>
      </c>
      <c r="B2986" s="3" t="s">
        <v>3702</v>
      </c>
      <c r="C2986" s="3">
        <v>6.9</v>
      </c>
    </row>
    <row r="2987" spans="1:3" x14ac:dyDescent="0.3">
      <c r="A2987" s="4" t="s">
        <v>6719</v>
      </c>
      <c r="B2987" s="4" t="s">
        <v>7</v>
      </c>
      <c r="C2987" s="4">
        <v>7.3</v>
      </c>
    </row>
    <row r="2988" spans="1:3" x14ac:dyDescent="0.3">
      <c r="A2988" s="3" t="s">
        <v>6721</v>
      </c>
      <c r="B2988" s="3" t="s">
        <v>7</v>
      </c>
      <c r="C2988" s="3">
        <v>4.5999999999999996</v>
      </c>
    </row>
    <row r="2989" spans="1:3" x14ac:dyDescent="0.3">
      <c r="A2989" s="4" t="s">
        <v>6723</v>
      </c>
      <c r="B2989" s="4" t="s">
        <v>7</v>
      </c>
      <c r="C2989" s="4">
        <v>6</v>
      </c>
    </row>
    <row r="2990" spans="1:3" x14ac:dyDescent="0.3">
      <c r="A2990" s="3" t="s">
        <v>6726</v>
      </c>
      <c r="B2990" s="3" t="s">
        <v>582</v>
      </c>
      <c r="C2990" s="3">
        <v>6.4</v>
      </c>
    </row>
    <row r="2991" spans="1:3" x14ac:dyDescent="0.3">
      <c r="A2991" s="4" t="s">
        <v>6728</v>
      </c>
      <c r="B2991" s="4" t="s">
        <v>4134</v>
      </c>
      <c r="C2991" s="4">
        <v>5.5</v>
      </c>
    </row>
    <row r="2992" spans="1:3" x14ac:dyDescent="0.3">
      <c r="A2992" s="3" t="s">
        <v>6730</v>
      </c>
      <c r="B2992" s="3" t="s">
        <v>5982</v>
      </c>
      <c r="C2992" s="3">
        <v>7.5</v>
      </c>
    </row>
    <row r="2993" spans="1:3" x14ac:dyDescent="0.3">
      <c r="A2993" s="4" t="s">
        <v>6733</v>
      </c>
      <c r="B2993" s="4" t="s">
        <v>7</v>
      </c>
      <c r="C2993" s="4">
        <v>8.1</v>
      </c>
    </row>
    <row r="2994" spans="1:3" x14ac:dyDescent="0.3">
      <c r="A2994" s="3" t="s">
        <v>6736</v>
      </c>
      <c r="B2994" s="3" t="s">
        <v>7</v>
      </c>
      <c r="C2994" s="3">
        <v>6.3</v>
      </c>
    </row>
    <row r="2995" spans="1:3" x14ac:dyDescent="0.3">
      <c r="A2995" s="4" t="s">
        <v>6738</v>
      </c>
      <c r="B2995" s="4" t="s">
        <v>7</v>
      </c>
      <c r="C2995" s="4">
        <v>5.0999999999999996</v>
      </c>
    </row>
    <row r="2996" spans="1:3" x14ac:dyDescent="0.3">
      <c r="A2996" s="3" t="s">
        <v>6740</v>
      </c>
      <c r="B2996" s="3" t="s">
        <v>7</v>
      </c>
      <c r="C2996" s="3">
        <v>6.8</v>
      </c>
    </row>
    <row r="2997" spans="1:3" x14ac:dyDescent="0.3">
      <c r="A2997" s="4" t="s">
        <v>6743</v>
      </c>
      <c r="B2997" s="4" t="s">
        <v>7</v>
      </c>
      <c r="C2997" s="4">
        <v>5.3</v>
      </c>
    </row>
    <row r="2998" spans="1:3" x14ac:dyDescent="0.3">
      <c r="A2998" s="3" t="s">
        <v>6746</v>
      </c>
      <c r="B2998" s="3" t="s">
        <v>7</v>
      </c>
      <c r="C2998" s="3">
        <v>7.3</v>
      </c>
    </row>
    <row r="2999" spans="1:3" x14ac:dyDescent="0.3">
      <c r="A2999" s="4" t="s">
        <v>6748</v>
      </c>
      <c r="B2999" s="4" t="s">
        <v>7</v>
      </c>
      <c r="C2999" s="4">
        <v>7.3</v>
      </c>
    </row>
    <row r="3000" spans="1:3" x14ac:dyDescent="0.3">
      <c r="A3000" s="3" t="s">
        <v>6750</v>
      </c>
      <c r="B3000" s="3" t="s">
        <v>7</v>
      </c>
      <c r="C3000" s="3">
        <v>7.1</v>
      </c>
    </row>
    <row r="3001" spans="1:3" x14ac:dyDescent="0.3">
      <c r="A3001" s="4" t="s">
        <v>6752</v>
      </c>
      <c r="B3001" s="4" t="s">
        <v>7</v>
      </c>
      <c r="C3001" s="4">
        <v>7.6</v>
      </c>
    </row>
    <row r="3002" spans="1:3" x14ac:dyDescent="0.3">
      <c r="A3002" s="3" t="s">
        <v>6754</v>
      </c>
      <c r="B3002" s="3" t="s">
        <v>7</v>
      </c>
      <c r="C3002" s="3">
        <v>5.3</v>
      </c>
    </row>
    <row r="3003" spans="1:3" x14ac:dyDescent="0.3">
      <c r="A3003" s="4" t="s">
        <v>6756</v>
      </c>
      <c r="B3003" s="4" t="s">
        <v>7</v>
      </c>
      <c r="C3003" s="4">
        <v>7.8</v>
      </c>
    </row>
    <row r="3004" spans="1:3" x14ac:dyDescent="0.3">
      <c r="A3004" s="3" t="s">
        <v>6758</v>
      </c>
      <c r="B3004" s="3" t="s">
        <v>7</v>
      </c>
      <c r="C3004" s="3">
        <v>7.7</v>
      </c>
    </row>
    <row r="3005" spans="1:3" x14ac:dyDescent="0.3">
      <c r="A3005" s="4" t="s">
        <v>6760</v>
      </c>
      <c r="B3005" s="4" t="s">
        <v>7</v>
      </c>
      <c r="C3005" s="4">
        <v>7.7</v>
      </c>
    </row>
    <row r="3006" spans="1:3" x14ac:dyDescent="0.3">
      <c r="A3006" s="3" t="s">
        <v>6762</v>
      </c>
      <c r="B3006" s="3" t="s">
        <v>7</v>
      </c>
      <c r="C3006" s="3">
        <v>5.4</v>
      </c>
    </row>
    <row r="3007" spans="1:3" x14ac:dyDescent="0.3">
      <c r="A3007" s="4" t="s">
        <v>6764</v>
      </c>
      <c r="B3007" s="4" t="s">
        <v>7</v>
      </c>
      <c r="C3007" s="4">
        <v>6.2</v>
      </c>
    </row>
    <row r="3008" spans="1:3" x14ac:dyDescent="0.3">
      <c r="A3008" s="3" t="s">
        <v>6766</v>
      </c>
      <c r="B3008" s="3" t="s">
        <v>7</v>
      </c>
      <c r="C3008" s="3">
        <v>7.4</v>
      </c>
    </row>
    <row r="3009" spans="1:3" x14ac:dyDescent="0.3">
      <c r="A3009" s="4" t="s">
        <v>6768</v>
      </c>
      <c r="B3009" s="4" t="s">
        <v>7</v>
      </c>
      <c r="C3009" s="4">
        <v>6.2</v>
      </c>
    </row>
    <row r="3010" spans="1:3" x14ac:dyDescent="0.3">
      <c r="A3010" s="3" t="s">
        <v>6770</v>
      </c>
      <c r="B3010" s="3" t="s">
        <v>7</v>
      </c>
      <c r="C3010" s="3">
        <v>5.0999999999999996</v>
      </c>
    </row>
    <row r="3011" spans="1:3" x14ac:dyDescent="0.3">
      <c r="A3011" s="4" t="s">
        <v>6772</v>
      </c>
      <c r="B3011" s="4" t="s">
        <v>7</v>
      </c>
      <c r="C3011" s="4">
        <v>6.9</v>
      </c>
    </row>
    <row r="3012" spans="1:3" x14ac:dyDescent="0.3">
      <c r="A3012" s="3" t="s">
        <v>6774</v>
      </c>
      <c r="B3012" s="3" t="s">
        <v>3702</v>
      </c>
      <c r="C3012" s="3">
        <v>6.3</v>
      </c>
    </row>
    <row r="3013" spans="1:3" x14ac:dyDescent="0.3">
      <c r="A3013" s="4" t="s">
        <v>6776</v>
      </c>
      <c r="B3013" s="4" t="s">
        <v>7</v>
      </c>
      <c r="C3013" s="4">
        <v>6.8</v>
      </c>
    </row>
    <row r="3014" spans="1:3" x14ac:dyDescent="0.3">
      <c r="A3014" s="3" t="s">
        <v>6778</v>
      </c>
      <c r="B3014" s="3" t="s">
        <v>7</v>
      </c>
      <c r="C3014" s="3">
        <v>7.4</v>
      </c>
    </row>
    <row r="3015" spans="1:3" x14ac:dyDescent="0.3">
      <c r="A3015" s="4" t="s">
        <v>6781</v>
      </c>
      <c r="B3015" s="4" t="s">
        <v>7</v>
      </c>
      <c r="C3015" s="4">
        <v>5.7</v>
      </c>
    </row>
    <row r="3016" spans="1:3" x14ac:dyDescent="0.3">
      <c r="A3016" s="3" t="s">
        <v>6783</v>
      </c>
      <c r="B3016" s="3" t="s">
        <v>7</v>
      </c>
      <c r="C3016" s="3">
        <v>5.8</v>
      </c>
    </row>
    <row r="3017" spans="1:3" x14ac:dyDescent="0.3">
      <c r="A3017" s="4" t="s">
        <v>6786</v>
      </c>
      <c r="B3017" s="4" t="s">
        <v>7</v>
      </c>
      <c r="C3017" s="4">
        <v>6.2</v>
      </c>
    </row>
    <row r="3018" spans="1:3" x14ac:dyDescent="0.3">
      <c r="A3018" s="3" t="s">
        <v>6789</v>
      </c>
      <c r="B3018" s="3" t="s">
        <v>7</v>
      </c>
      <c r="C3018" s="3">
        <v>4.3</v>
      </c>
    </row>
    <row r="3019" spans="1:3" x14ac:dyDescent="0.3">
      <c r="A3019" s="4" t="s">
        <v>6792</v>
      </c>
      <c r="B3019" s="4" t="s">
        <v>7</v>
      </c>
      <c r="C3019" s="4">
        <v>6.4</v>
      </c>
    </row>
    <row r="3020" spans="1:3" x14ac:dyDescent="0.3">
      <c r="A3020" s="3" t="s">
        <v>6794</v>
      </c>
      <c r="B3020" s="3" t="s">
        <v>7</v>
      </c>
      <c r="C3020" s="3">
        <v>6</v>
      </c>
    </row>
    <row r="3021" spans="1:3" x14ac:dyDescent="0.3">
      <c r="A3021" s="4" t="s">
        <v>6797</v>
      </c>
      <c r="B3021" s="4" t="s">
        <v>7</v>
      </c>
      <c r="C3021" s="4">
        <v>6.9</v>
      </c>
    </row>
    <row r="3022" spans="1:3" x14ac:dyDescent="0.3">
      <c r="A3022" s="3" t="s">
        <v>6799</v>
      </c>
      <c r="B3022" s="3" t="s">
        <v>7</v>
      </c>
      <c r="C3022" s="3">
        <v>5.5</v>
      </c>
    </row>
    <row r="3023" spans="1:3" x14ac:dyDescent="0.3">
      <c r="A3023" s="4" t="s">
        <v>6801</v>
      </c>
      <c r="B3023" s="4" t="s">
        <v>7</v>
      </c>
      <c r="C3023" s="4">
        <v>5.4</v>
      </c>
    </row>
    <row r="3024" spans="1:3" x14ac:dyDescent="0.3">
      <c r="A3024" s="3" t="s">
        <v>6803</v>
      </c>
      <c r="B3024" s="3" t="s">
        <v>7</v>
      </c>
      <c r="C3024" s="3">
        <v>8.3000000000000007</v>
      </c>
    </row>
    <row r="3025" spans="1:3" x14ac:dyDescent="0.3">
      <c r="A3025" s="4" t="s">
        <v>6805</v>
      </c>
      <c r="B3025" s="4" t="s">
        <v>7</v>
      </c>
      <c r="C3025" s="4">
        <v>7.9</v>
      </c>
    </row>
    <row r="3026" spans="1:3" x14ac:dyDescent="0.3">
      <c r="A3026" s="3" t="s">
        <v>6808</v>
      </c>
      <c r="B3026" s="3" t="s">
        <v>7</v>
      </c>
      <c r="C3026" s="3">
        <v>6.5</v>
      </c>
    </row>
    <row r="3027" spans="1:3" x14ac:dyDescent="0.3">
      <c r="A3027" s="4" t="s">
        <v>6810</v>
      </c>
      <c r="B3027" s="4" t="s">
        <v>7</v>
      </c>
      <c r="C3027" s="4">
        <v>6.3</v>
      </c>
    </row>
    <row r="3028" spans="1:3" x14ac:dyDescent="0.3">
      <c r="A3028" s="3" t="s">
        <v>6812</v>
      </c>
      <c r="B3028" s="3" t="s">
        <v>7</v>
      </c>
      <c r="C3028" s="3">
        <v>6.4</v>
      </c>
    </row>
    <row r="3029" spans="1:3" x14ac:dyDescent="0.3">
      <c r="A3029" s="4" t="s">
        <v>6814</v>
      </c>
      <c r="B3029" s="4" t="s">
        <v>7</v>
      </c>
      <c r="C3029" s="4">
        <v>5.3</v>
      </c>
    </row>
    <row r="3030" spans="1:3" x14ac:dyDescent="0.3">
      <c r="A3030" s="3" t="s">
        <v>6816</v>
      </c>
      <c r="B3030" s="3" t="s">
        <v>7</v>
      </c>
      <c r="C3030" s="3">
        <v>5.8</v>
      </c>
    </row>
    <row r="3031" spans="1:3" x14ac:dyDescent="0.3">
      <c r="A3031" s="4" t="s">
        <v>6818</v>
      </c>
      <c r="B3031" s="4" t="s">
        <v>7</v>
      </c>
      <c r="C3031" s="4">
        <v>6.6</v>
      </c>
    </row>
    <row r="3032" spans="1:3" x14ac:dyDescent="0.3">
      <c r="A3032" s="3" t="s">
        <v>6820</v>
      </c>
      <c r="B3032" s="3" t="s">
        <v>7</v>
      </c>
      <c r="C3032" s="3">
        <v>7.4</v>
      </c>
    </row>
    <row r="3033" spans="1:3" x14ac:dyDescent="0.3">
      <c r="A3033" s="4" t="s">
        <v>6822</v>
      </c>
      <c r="B3033" s="4" t="s">
        <v>7</v>
      </c>
      <c r="C3033" s="4">
        <v>8.3000000000000007</v>
      </c>
    </row>
    <row r="3034" spans="1:3" x14ac:dyDescent="0.3">
      <c r="A3034" s="3" t="s">
        <v>6824</v>
      </c>
      <c r="B3034" s="3" t="s">
        <v>7</v>
      </c>
      <c r="C3034" s="3">
        <v>5.3</v>
      </c>
    </row>
    <row r="3035" spans="1:3" x14ac:dyDescent="0.3">
      <c r="A3035" s="4" t="s">
        <v>6826</v>
      </c>
      <c r="B3035" s="4" t="s">
        <v>7</v>
      </c>
      <c r="C3035" s="4">
        <v>6.2</v>
      </c>
    </row>
    <row r="3036" spans="1:3" x14ac:dyDescent="0.3">
      <c r="A3036" s="3" t="s">
        <v>6828</v>
      </c>
      <c r="B3036" s="3" t="s">
        <v>7</v>
      </c>
      <c r="C3036" s="3">
        <v>6.9</v>
      </c>
    </row>
    <row r="3037" spans="1:3" x14ac:dyDescent="0.3">
      <c r="A3037" s="4" t="s">
        <v>6830</v>
      </c>
      <c r="B3037" s="4" t="s">
        <v>7</v>
      </c>
      <c r="C3037" s="4">
        <v>5.9</v>
      </c>
    </row>
    <row r="3038" spans="1:3" x14ac:dyDescent="0.3">
      <c r="A3038" s="3" t="s">
        <v>6832</v>
      </c>
      <c r="B3038" s="3" t="s">
        <v>7</v>
      </c>
      <c r="C3038" s="3">
        <v>6.1</v>
      </c>
    </row>
    <row r="3039" spans="1:3" x14ac:dyDescent="0.3">
      <c r="A3039" s="4" t="s">
        <v>6835</v>
      </c>
      <c r="B3039" s="4" t="s">
        <v>7</v>
      </c>
      <c r="C3039" s="4">
        <v>5.8</v>
      </c>
    </row>
    <row r="3040" spans="1:3" x14ac:dyDescent="0.3">
      <c r="A3040" s="3" t="s">
        <v>6837</v>
      </c>
      <c r="B3040" s="3" t="s">
        <v>7</v>
      </c>
      <c r="C3040" s="3">
        <v>7.3</v>
      </c>
    </row>
    <row r="3041" spans="1:3" x14ac:dyDescent="0.3">
      <c r="A3041" s="4" t="s">
        <v>6839</v>
      </c>
      <c r="B3041" s="4" t="s">
        <v>7</v>
      </c>
      <c r="C3041" s="4">
        <v>5.9</v>
      </c>
    </row>
    <row r="3042" spans="1:3" x14ac:dyDescent="0.3">
      <c r="A3042" s="3" t="s">
        <v>6841</v>
      </c>
      <c r="B3042" s="3" t="s">
        <v>7</v>
      </c>
      <c r="C3042" s="3">
        <v>5.5</v>
      </c>
    </row>
    <row r="3043" spans="1:3" x14ac:dyDescent="0.3">
      <c r="A3043" s="4" t="s">
        <v>6843</v>
      </c>
      <c r="B3043" s="4" t="s">
        <v>1146</v>
      </c>
      <c r="C3043" s="4">
        <v>5</v>
      </c>
    </row>
    <row r="3044" spans="1:3" x14ac:dyDescent="0.3">
      <c r="A3044" s="3" t="s">
        <v>6845</v>
      </c>
      <c r="B3044" s="3" t="s">
        <v>7</v>
      </c>
      <c r="C3044" s="3">
        <v>7</v>
      </c>
    </row>
    <row r="3045" spans="1:3" x14ac:dyDescent="0.3">
      <c r="A3045" s="4" t="s">
        <v>6847</v>
      </c>
      <c r="B3045" s="4" t="s">
        <v>7</v>
      </c>
      <c r="C3045" s="4">
        <v>7.8</v>
      </c>
    </row>
    <row r="3046" spans="1:3" x14ac:dyDescent="0.3">
      <c r="A3046" s="3" t="s">
        <v>6849</v>
      </c>
      <c r="B3046" s="3" t="s">
        <v>7</v>
      </c>
      <c r="C3046" s="3">
        <v>6.4</v>
      </c>
    </row>
    <row r="3047" spans="1:3" x14ac:dyDescent="0.3">
      <c r="A3047" s="4" t="s">
        <v>6851</v>
      </c>
      <c r="B3047" s="4" t="s">
        <v>7</v>
      </c>
      <c r="C3047" s="4">
        <v>5.9</v>
      </c>
    </row>
    <row r="3048" spans="1:3" x14ac:dyDescent="0.3">
      <c r="A3048" s="3" t="s">
        <v>6853</v>
      </c>
      <c r="B3048" s="3" t="s">
        <v>7</v>
      </c>
      <c r="C3048" s="3">
        <v>7</v>
      </c>
    </row>
    <row r="3049" spans="1:3" x14ac:dyDescent="0.3">
      <c r="A3049" s="4" t="s">
        <v>6855</v>
      </c>
      <c r="B3049" s="4" t="s">
        <v>7</v>
      </c>
      <c r="C3049" s="4">
        <v>6.1</v>
      </c>
    </row>
    <row r="3050" spans="1:3" x14ac:dyDescent="0.3">
      <c r="A3050" s="3" t="s">
        <v>6857</v>
      </c>
      <c r="B3050" s="3" t="s">
        <v>7</v>
      </c>
      <c r="C3050" s="3">
        <v>6.9</v>
      </c>
    </row>
    <row r="3051" spans="1:3" x14ac:dyDescent="0.3">
      <c r="A3051" s="4" t="s">
        <v>6859</v>
      </c>
      <c r="B3051" s="4" t="s">
        <v>7</v>
      </c>
      <c r="C3051" s="4">
        <v>7.5</v>
      </c>
    </row>
    <row r="3052" spans="1:3" x14ac:dyDescent="0.3">
      <c r="A3052" s="3" t="s">
        <v>6861</v>
      </c>
      <c r="B3052" s="3" t="s">
        <v>7</v>
      </c>
      <c r="C3052" s="3">
        <v>7.3</v>
      </c>
    </row>
    <row r="3053" spans="1:3" x14ac:dyDescent="0.3">
      <c r="A3053" s="4" t="s">
        <v>6863</v>
      </c>
      <c r="B3053" s="4" t="s">
        <v>7</v>
      </c>
      <c r="C3053" s="4">
        <v>6.5</v>
      </c>
    </row>
    <row r="3054" spans="1:3" x14ac:dyDescent="0.3">
      <c r="A3054" s="3" t="s">
        <v>6865</v>
      </c>
      <c r="B3054" s="3" t="s">
        <v>7</v>
      </c>
      <c r="C3054" s="3">
        <v>6.2</v>
      </c>
    </row>
    <row r="3055" spans="1:3" x14ac:dyDescent="0.3">
      <c r="A3055" s="4" t="s">
        <v>6867</v>
      </c>
      <c r="B3055" s="4" t="s">
        <v>7</v>
      </c>
      <c r="C3055" s="4">
        <v>6.7</v>
      </c>
    </row>
    <row r="3056" spans="1:3" x14ac:dyDescent="0.3">
      <c r="A3056" s="3" t="s">
        <v>6869</v>
      </c>
      <c r="B3056" s="3" t="s">
        <v>7</v>
      </c>
      <c r="C3056" s="3">
        <v>6</v>
      </c>
    </row>
    <row r="3057" spans="1:3" x14ac:dyDescent="0.3">
      <c r="A3057" s="4" t="s">
        <v>6871</v>
      </c>
      <c r="B3057" s="4" t="s">
        <v>7</v>
      </c>
      <c r="C3057" s="4">
        <v>6.3</v>
      </c>
    </row>
    <row r="3058" spans="1:3" x14ac:dyDescent="0.3">
      <c r="A3058" s="3" t="s">
        <v>6873</v>
      </c>
      <c r="B3058" s="3" t="s">
        <v>7</v>
      </c>
      <c r="C3058" s="3">
        <v>5.8</v>
      </c>
    </row>
    <row r="3059" spans="1:3" x14ac:dyDescent="0.3">
      <c r="A3059" s="4" t="s">
        <v>6875</v>
      </c>
      <c r="B3059" s="4" t="s">
        <v>7</v>
      </c>
      <c r="C3059" s="4">
        <v>6.1</v>
      </c>
    </row>
    <row r="3060" spans="1:3" x14ac:dyDescent="0.3">
      <c r="A3060" s="3" t="s">
        <v>6877</v>
      </c>
      <c r="B3060" s="3" t="s">
        <v>7</v>
      </c>
      <c r="C3060" s="3">
        <v>6.9</v>
      </c>
    </row>
    <row r="3061" spans="1:3" x14ac:dyDescent="0.3">
      <c r="A3061" s="4" t="s">
        <v>6879</v>
      </c>
      <c r="B3061" s="4" t="s">
        <v>7</v>
      </c>
      <c r="C3061" s="4">
        <v>8.3000000000000007</v>
      </c>
    </row>
    <row r="3062" spans="1:3" x14ac:dyDescent="0.3">
      <c r="A3062" s="3" t="s">
        <v>6881</v>
      </c>
      <c r="B3062" s="3" t="s">
        <v>7</v>
      </c>
      <c r="C3062" s="3">
        <v>5.4</v>
      </c>
    </row>
    <row r="3063" spans="1:3" x14ac:dyDescent="0.3">
      <c r="A3063" s="4" t="s">
        <v>6883</v>
      </c>
      <c r="B3063" s="4" t="s">
        <v>7</v>
      </c>
      <c r="C3063" s="4">
        <v>6.7</v>
      </c>
    </row>
    <row r="3064" spans="1:3" x14ac:dyDescent="0.3">
      <c r="A3064" s="3" t="s">
        <v>6885</v>
      </c>
      <c r="B3064" s="3" t="s">
        <v>582</v>
      </c>
      <c r="C3064" s="3">
        <v>7.4</v>
      </c>
    </row>
    <row r="3065" spans="1:3" x14ac:dyDescent="0.3">
      <c r="A3065" s="4" t="s">
        <v>6887</v>
      </c>
      <c r="B3065" s="4" t="s">
        <v>7</v>
      </c>
      <c r="C3065" s="4">
        <v>5.6</v>
      </c>
    </row>
    <row r="3066" spans="1:3" x14ac:dyDescent="0.3">
      <c r="A3066" s="3" t="s">
        <v>6889</v>
      </c>
      <c r="B3066" s="3" t="s">
        <v>4415</v>
      </c>
      <c r="C3066" s="3">
        <v>6.5</v>
      </c>
    </row>
    <row r="3067" spans="1:3" x14ac:dyDescent="0.3">
      <c r="A3067" s="4" t="s">
        <v>6891</v>
      </c>
      <c r="B3067" s="4" t="s">
        <v>5514</v>
      </c>
      <c r="C3067" s="4">
        <v>6.5</v>
      </c>
    </row>
    <row r="3068" spans="1:3" x14ac:dyDescent="0.3">
      <c r="A3068" s="3" t="s">
        <v>6893</v>
      </c>
      <c r="B3068" s="3" t="s">
        <v>7</v>
      </c>
      <c r="C3068" s="3">
        <v>5.8</v>
      </c>
    </row>
    <row r="3069" spans="1:3" x14ac:dyDescent="0.3">
      <c r="A3069" s="4" t="s">
        <v>6895</v>
      </c>
      <c r="B3069" s="4" t="s">
        <v>7</v>
      </c>
      <c r="C3069" s="4">
        <v>5</v>
      </c>
    </row>
    <row r="3070" spans="1:3" x14ac:dyDescent="0.3">
      <c r="A3070" s="3" t="s">
        <v>6898</v>
      </c>
      <c r="B3070" s="3" t="s">
        <v>7</v>
      </c>
      <c r="C3070" s="3">
        <v>5.5</v>
      </c>
    </row>
    <row r="3071" spans="1:3" x14ac:dyDescent="0.3">
      <c r="A3071" s="4" t="s">
        <v>6900</v>
      </c>
      <c r="B3071" s="4" t="s">
        <v>1146</v>
      </c>
      <c r="C3071" s="4">
        <v>6.5</v>
      </c>
    </row>
    <row r="3072" spans="1:3" x14ac:dyDescent="0.3">
      <c r="A3072" s="3" t="s">
        <v>6903</v>
      </c>
      <c r="B3072" s="3" t="s">
        <v>7</v>
      </c>
      <c r="C3072" s="3">
        <v>7.2</v>
      </c>
    </row>
    <row r="3073" spans="1:3" x14ac:dyDescent="0.3">
      <c r="A3073" s="4" t="s">
        <v>6905</v>
      </c>
      <c r="B3073" s="4" t="s">
        <v>7</v>
      </c>
      <c r="C3073" s="4">
        <v>7.3</v>
      </c>
    </row>
    <row r="3074" spans="1:3" x14ac:dyDescent="0.3">
      <c r="A3074" s="3" t="s">
        <v>6907</v>
      </c>
      <c r="B3074" s="3" t="s">
        <v>7</v>
      </c>
      <c r="C3074" s="3">
        <v>7.2</v>
      </c>
    </row>
    <row r="3075" spans="1:3" x14ac:dyDescent="0.3">
      <c r="A3075" s="4" t="s">
        <v>6909</v>
      </c>
      <c r="B3075" s="4" t="s">
        <v>7</v>
      </c>
      <c r="C3075" s="4">
        <v>5.2</v>
      </c>
    </row>
    <row r="3076" spans="1:3" x14ac:dyDescent="0.3">
      <c r="A3076" s="3" t="s">
        <v>6911</v>
      </c>
      <c r="B3076" s="3" t="s">
        <v>7</v>
      </c>
      <c r="C3076" s="3">
        <v>5.7</v>
      </c>
    </row>
    <row r="3077" spans="1:3" x14ac:dyDescent="0.3">
      <c r="A3077" s="4" t="s">
        <v>6913</v>
      </c>
      <c r="B3077" s="4" t="s">
        <v>7</v>
      </c>
      <c r="C3077" s="4">
        <v>4.7</v>
      </c>
    </row>
    <row r="3078" spans="1:3" x14ac:dyDescent="0.3">
      <c r="A3078" s="3" t="s">
        <v>6915</v>
      </c>
      <c r="B3078" s="3" t="s">
        <v>7</v>
      </c>
      <c r="C3078" s="3">
        <v>5.9</v>
      </c>
    </row>
    <row r="3079" spans="1:3" x14ac:dyDescent="0.3">
      <c r="A3079" s="4" t="s">
        <v>6917</v>
      </c>
      <c r="B3079" s="4" t="s">
        <v>582</v>
      </c>
      <c r="C3079" s="4">
        <v>6.8</v>
      </c>
    </row>
    <row r="3080" spans="1:3" x14ac:dyDescent="0.3">
      <c r="A3080" s="3" t="s">
        <v>6919</v>
      </c>
      <c r="B3080" s="3" t="s">
        <v>7</v>
      </c>
      <c r="C3080" s="3">
        <v>5.9</v>
      </c>
    </row>
    <row r="3081" spans="1:3" x14ac:dyDescent="0.3">
      <c r="A3081" s="4" t="s">
        <v>6921</v>
      </c>
      <c r="B3081" s="4" t="s">
        <v>7</v>
      </c>
      <c r="C3081" s="4">
        <v>5.3</v>
      </c>
    </row>
    <row r="3082" spans="1:3" x14ac:dyDescent="0.3">
      <c r="A3082" s="3" t="s">
        <v>6923</v>
      </c>
      <c r="B3082" s="3" t="s">
        <v>7</v>
      </c>
      <c r="C3082" s="3">
        <v>6</v>
      </c>
    </row>
    <row r="3083" spans="1:3" x14ac:dyDescent="0.3">
      <c r="A3083" s="4" t="s">
        <v>6925</v>
      </c>
      <c r="B3083" s="4" t="s">
        <v>7</v>
      </c>
      <c r="C3083" s="4">
        <v>7.7</v>
      </c>
    </row>
    <row r="3084" spans="1:3" x14ac:dyDescent="0.3">
      <c r="A3084" s="3" t="s">
        <v>6927</v>
      </c>
      <c r="B3084" s="3" t="s">
        <v>582</v>
      </c>
      <c r="C3084" s="3">
        <v>4.4000000000000004</v>
      </c>
    </row>
    <row r="3085" spans="1:3" x14ac:dyDescent="0.3">
      <c r="A3085" s="4" t="s">
        <v>6930</v>
      </c>
      <c r="B3085" s="4" t="s">
        <v>247</v>
      </c>
      <c r="C3085" s="4">
        <v>6.6</v>
      </c>
    </row>
    <row r="3086" spans="1:3" x14ac:dyDescent="0.3">
      <c r="A3086" s="3" t="s">
        <v>6932</v>
      </c>
      <c r="B3086" s="3" t="s">
        <v>7</v>
      </c>
      <c r="C3086" s="3">
        <v>6.7</v>
      </c>
    </row>
    <row r="3087" spans="1:3" x14ac:dyDescent="0.3">
      <c r="A3087" s="4" t="s">
        <v>6934</v>
      </c>
      <c r="B3087" s="4" t="s">
        <v>7</v>
      </c>
      <c r="C3087" s="4">
        <v>5.5</v>
      </c>
    </row>
    <row r="3088" spans="1:3" x14ac:dyDescent="0.3">
      <c r="A3088" s="3" t="s">
        <v>6936</v>
      </c>
      <c r="B3088" s="3" t="s">
        <v>6938</v>
      </c>
      <c r="C3088" s="3">
        <v>6.5</v>
      </c>
    </row>
    <row r="3089" spans="1:3" x14ac:dyDescent="0.3">
      <c r="A3089" s="4" t="s">
        <v>6939</v>
      </c>
      <c r="B3089" s="4" t="s">
        <v>7</v>
      </c>
      <c r="C3089" s="4">
        <v>6.2</v>
      </c>
    </row>
    <row r="3090" spans="1:3" x14ac:dyDescent="0.3">
      <c r="A3090" s="3" t="s">
        <v>6941</v>
      </c>
      <c r="B3090" s="3" t="s">
        <v>7</v>
      </c>
      <c r="C3090" s="3">
        <v>7.1</v>
      </c>
    </row>
    <row r="3091" spans="1:3" x14ac:dyDescent="0.3">
      <c r="A3091" s="4" t="s">
        <v>6943</v>
      </c>
      <c r="B3091" s="4" t="s">
        <v>7</v>
      </c>
      <c r="C3091" s="4">
        <v>6.1</v>
      </c>
    </row>
    <row r="3092" spans="1:3" x14ac:dyDescent="0.3">
      <c r="A3092" s="3" t="s">
        <v>6946</v>
      </c>
      <c r="B3092" s="3" t="s">
        <v>7</v>
      </c>
      <c r="C3092" s="3">
        <v>7.1</v>
      </c>
    </row>
    <row r="3093" spans="1:3" x14ac:dyDescent="0.3">
      <c r="A3093" s="4" t="s">
        <v>6949</v>
      </c>
      <c r="B3093" s="4" t="s">
        <v>7</v>
      </c>
      <c r="C3093" s="4">
        <v>6</v>
      </c>
    </row>
    <row r="3094" spans="1:3" x14ac:dyDescent="0.3">
      <c r="A3094" s="3" t="s">
        <v>6951</v>
      </c>
      <c r="B3094" s="3" t="s">
        <v>7</v>
      </c>
      <c r="C3094" s="3">
        <v>7.4</v>
      </c>
    </row>
    <row r="3095" spans="1:3" x14ac:dyDescent="0.3">
      <c r="A3095" s="4" t="s">
        <v>6953</v>
      </c>
      <c r="B3095" s="4" t="s">
        <v>7</v>
      </c>
      <c r="C3095" s="4">
        <v>5.9</v>
      </c>
    </row>
    <row r="3096" spans="1:3" x14ac:dyDescent="0.3">
      <c r="A3096" s="3" t="s">
        <v>6955</v>
      </c>
      <c r="B3096" s="3" t="s">
        <v>7</v>
      </c>
      <c r="C3096" s="3">
        <v>4.0999999999999996</v>
      </c>
    </row>
    <row r="3097" spans="1:3" x14ac:dyDescent="0.3">
      <c r="A3097" s="4" t="s">
        <v>6957</v>
      </c>
      <c r="B3097" s="4" t="s">
        <v>7</v>
      </c>
      <c r="C3097" s="4">
        <v>5.8</v>
      </c>
    </row>
    <row r="3098" spans="1:3" x14ac:dyDescent="0.3">
      <c r="A3098" s="3" t="s">
        <v>6959</v>
      </c>
      <c r="B3098" s="3" t="s">
        <v>1146</v>
      </c>
      <c r="C3098" s="3">
        <v>5.9</v>
      </c>
    </row>
    <row r="3099" spans="1:3" x14ac:dyDescent="0.3">
      <c r="A3099" s="4" t="s">
        <v>6961</v>
      </c>
      <c r="B3099" s="4" t="s">
        <v>7</v>
      </c>
      <c r="C3099" s="4">
        <v>7</v>
      </c>
    </row>
    <row r="3100" spans="1:3" x14ac:dyDescent="0.3">
      <c r="A3100" s="3" t="s">
        <v>6963</v>
      </c>
      <c r="B3100" s="3" t="s">
        <v>7</v>
      </c>
      <c r="C3100" s="3">
        <v>6.8</v>
      </c>
    </row>
    <row r="3101" spans="1:3" x14ac:dyDescent="0.3">
      <c r="A3101" s="4" t="s">
        <v>6965</v>
      </c>
      <c r="B3101" s="4" t="s">
        <v>7</v>
      </c>
      <c r="C3101" s="4">
        <v>7.4</v>
      </c>
    </row>
    <row r="3102" spans="1:3" x14ac:dyDescent="0.3">
      <c r="A3102" s="3" t="s">
        <v>6967</v>
      </c>
      <c r="B3102" s="3" t="s">
        <v>7</v>
      </c>
      <c r="C3102" s="3">
        <v>7.1</v>
      </c>
    </row>
    <row r="3103" spans="1:3" x14ac:dyDescent="0.3">
      <c r="A3103" s="4" t="s">
        <v>6969</v>
      </c>
      <c r="B3103" s="4" t="s">
        <v>7</v>
      </c>
      <c r="C3103" s="4">
        <v>7</v>
      </c>
    </row>
    <row r="3104" spans="1:3" x14ac:dyDescent="0.3">
      <c r="A3104" s="3" t="s">
        <v>6971</v>
      </c>
      <c r="B3104" s="3" t="s">
        <v>7</v>
      </c>
      <c r="C3104" s="3">
        <v>5.8</v>
      </c>
    </row>
    <row r="3105" spans="1:3" x14ac:dyDescent="0.3">
      <c r="A3105" s="4" t="s">
        <v>6973</v>
      </c>
      <c r="B3105" s="4" t="s">
        <v>7</v>
      </c>
      <c r="C3105" s="4">
        <v>7.8</v>
      </c>
    </row>
    <row r="3106" spans="1:3" x14ac:dyDescent="0.3">
      <c r="A3106" s="3" t="s">
        <v>6975</v>
      </c>
      <c r="B3106" s="3" t="s">
        <v>7</v>
      </c>
      <c r="C3106" s="3">
        <v>6.5</v>
      </c>
    </row>
    <row r="3107" spans="1:3" x14ac:dyDescent="0.3">
      <c r="A3107" s="4" t="s">
        <v>6977</v>
      </c>
      <c r="B3107" s="4" t="s">
        <v>7</v>
      </c>
      <c r="C3107" s="4">
        <v>7</v>
      </c>
    </row>
    <row r="3108" spans="1:3" x14ac:dyDescent="0.3">
      <c r="A3108" s="3" t="s">
        <v>6979</v>
      </c>
      <c r="B3108" s="3" t="s">
        <v>7</v>
      </c>
      <c r="C3108" s="3">
        <v>6.3</v>
      </c>
    </row>
    <row r="3109" spans="1:3" x14ac:dyDescent="0.3">
      <c r="A3109" s="4" t="s">
        <v>6981</v>
      </c>
      <c r="B3109" s="4" t="s">
        <v>7</v>
      </c>
      <c r="C3109" s="4">
        <v>5.3</v>
      </c>
    </row>
    <row r="3110" spans="1:3" x14ac:dyDescent="0.3">
      <c r="A3110" s="3" t="s">
        <v>6983</v>
      </c>
      <c r="B3110" s="3" t="s">
        <v>7</v>
      </c>
      <c r="C3110" s="3">
        <v>6.8</v>
      </c>
    </row>
    <row r="3111" spans="1:3" x14ac:dyDescent="0.3">
      <c r="A3111" s="4" t="s">
        <v>6985</v>
      </c>
      <c r="B3111" s="4" t="s">
        <v>7</v>
      </c>
      <c r="C3111" s="4">
        <v>5.5</v>
      </c>
    </row>
    <row r="3112" spans="1:3" x14ac:dyDescent="0.3">
      <c r="A3112" s="3" t="s">
        <v>6987</v>
      </c>
      <c r="B3112" s="3" t="s">
        <v>7</v>
      </c>
      <c r="C3112" s="3">
        <v>7.4</v>
      </c>
    </row>
    <row r="3113" spans="1:3" x14ac:dyDescent="0.3">
      <c r="A3113" s="4" t="s">
        <v>6989</v>
      </c>
      <c r="B3113" s="4" t="s">
        <v>7</v>
      </c>
      <c r="C3113" s="4">
        <v>4.3</v>
      </c>
    </row>
    <row r="3114" spans="1:3" x14ac:dyDescent="0.3">
      <c r="A3114" s="3" t="s">
        <v>6991</v>
      </c>
      <c r="B3114" s="3" t="s">
        <v>7</v>
      </c>
      <c r="C3114" s="3">
        <v>6</v>
      </c>
    </row>
    <row r="3115" spans="1:3" x14ac:dyDescent="0.3">
      <c r="A3115" s="4" t="s">
        <v>6993</v>
      </c>
      <c r="B3115" s="4" t="s">
        <v>7</v>
      </c>
      <c r="C3115" s="4">
        <v>5.2</v>
      </c>
    </row>
    <row r="3116" spans="1:3" x14ac:dyDescent="0.3">
      <c r="A3116" s="3" t="s">
        <v>6995</v>
      </c>
      <c r="B3116" s="3" t="s">
        <v>7</v>
      </c>
      <c r="C3116" s="3">
        <v>6.7</v>
      </c>
    </row>
    <row r="3117" spans="1:3" x14ac:dyDescent="0.3">
      <c r="A3117" s="4" t="s">
        <v>6997</v>
      </c>
      <c r="B3117" s="4" t="s">
        <v>1146</v>
      </c>
      <c r="C3117" s="4">
        <v>6.3</v>
      </c>
    </row>
    <row r="3118" spans="1:3" x14ac:dyDescent="0.3">
      <c r="A3118" s="3" t="s">
        <v>6999</v>
      </c>
      <c r="B3118" s="3" t="s">
        <v>7</v>
      </c>
      <c r="C3118" s="3">
        <v>8.6</v>
      </c>
    </row>
    <row r="3119" spans="1:3" x14ac:dyDescent="0.3">
      <c r="A3119" s="4" t="s">
        <v>7002</v>
      </c>
      <c r="B3119" s="4" t="s">
        <v>7</v>
      </c>
      <c r="C3119" s="4">
        <v>6.1</v>
      </c>
    </row>
    <row r="3120" spans="1:3" x14ac:dyDescent="0.3">
      <c r="A3120" s="3" t="s">
        <v>7004</v>
      </c>
      <c r="B3120" s="3" t="s">
        <v>7</v>
      </c>
      <c r="C3120" s="3">
        <v>5.8</v>
      </c>
    </row>
    <row r="3121" spans="1:3" x14ac:dyDescent="0.3">
      <c r="A3121" s="4" t="s">
        <v>7006</v>
      </c>
      <c r="B3121" s="4" t="s">
        <v>7</v>
      </c>
      <c r="C3121" s="4">
        <v>7.7</v>
      </c>
    </row>
    <row r="3122" spans="1:3" x14ac:dyDescent="0.3">
      <c r="A3122" s="3" t="s">
        <v>7008</v>
      </c>
      <c r="B3122" s="3" t="s">
        <v>7</v>
      </c>
      <c r="C3122" s="3">
        <v>8</v>
      </c>
    </row>
    <row r="3123" spans="1:3" x14ac:dyDescent="0.3">
      <c r="A3123" s="4" t="s">
        <v>7010</v>
      </c>
      <c r="B3123" s="4" t="s">
        <v>1146</v>
      </c>
      <c r="C3123" s="4">
        <v>5.6</v>
      </c>
    </row>
    <row r="3124" spans="1:3" x14ac:dyDescent="0.3">
      <c r="A3124" s="3" t="s">
        <v>7012</v>
      </c>
      <c r="B3124" s="3" t="s">
        <v>7</v>
      </c>
      <c r="C3124" s="3">
        <v>6.7</v>
      </c>
    </row>
    <row r="3125" spans="1:3" x14ac:dyDescent="0.3">
      <c r="A3125" s="4" t="s">
        <v>7014</v>
      </c>
      <c r="B3125" s="4" t="s">
        <v>7</v>
      </c>
      <c r="C3125" s="4">
        <v>6.6</v>
      </c>
    </row>
    <row r="3126" spans="1:3" x14ac:dyDescent="0.3">
      <c r="A3126" s="3" t="s">
        <v>7016</v>
      </c>
      <c r="B3126" s="3" t="s">
        <v>7</v>
      </c>
      <c r="C3126" s="3">
        <v>4.2</v>
      </c>
    </row>
    <row r="3127" spans="1:3" x14ac:dyDescent="0.3">
      <c r="A3127" s="4" t="s">
        <v>7018</v>
      </c>
      <c r="B3127" s="4" t="s">
        <v>7</v>
      </c>
      <c r="C3127" s="4">
        <v>6.6</v>
      </c>
    </row>
    <row r="3128" spans="1:3" x14ac:dyDescent="0.3">
      <c r="A3128" s="3" t="s">
        <v>7020</v>
      </c>
      <c r="B3128" s="3" t="s">
        <v>7</v>
      </c>
      <c r="C3128" s="3">
        <v>4.0999999999999996</v>
      </c>
    </row>
    <row r="3129" spans="1:3" x14ac:dyDescent="0.3">
      <c r="A3129" s="4" t="s">
        <v>7022</v>
      </c>
      <c r="B3129" s="4" t="s">
        <v>7</v>
      </c>
      <c r="C3129" s="4">
        <v>7.3</v>
      </c>
    </row>
    <row r="3130" spans="1:3" x14ac:dyDescent="0.3">
      <c r="A3130" s="3" t="s">
        <v>7024</v>
      </c>
      <c r="B3130" s="3" t="s">
        <v>7</v>
      </c>
      <c r="C3130" s="3">
        <v>7.1</v>
      </c>
    </row>
    <row r="3131" spans="1:3" x14ac:dyDescent="0.3">
      <c r="A3131" s="4" t="s">
        <v>7026</v>
      </c>
      <c r="B3131" s="4" t="s">
        <v>7</v>
      </c>
      <c r="C3131" s="4">
        <v>6.5</v>
      </c>
    </row>
    <row r="3132" spans="1:3" x14ac:dyDescent="0.3">
      <c r="A3132" s="3" t="s">
        <v>7028</v>
      </c>
      <c r="B3132" s="3" t="s">
        <v>7</v>
      </c>
      <c r="C3132" s="3">
        <v>7</v>
      </c>
    </row>
    <row r="3133" spans="1:3" x14ac:dyDescent="0.3">
      <c r="A3133" s="4" t="s">
        <v>7030</v>
      </c>
      <c r="B3133" s="4" t="s">
        <v>7</v>
      </c>
      <c r="C3133" s="4">
        <v>5.5</v>
      </c>
    </row>
    <row r="3134" spans="1:3" x14ac:dyDescent="0.3">
      <c r="A3134" s="3" t="s">
        <v>7032</v>
      </c>
      <c r="B3134" s="3" t="s">
        <v>7</v>
      </c>
      <c r="C3134" s="3">
        <v>6.6</v>
      </c>
    </row>
    <row r="3135" spans="1:3" x14ac:dyDescent="0.3">
      <c r="A3135" s="4" t="s">
        <v>7034</v>
      </c>
      <c r="B3135" s="4" t="s">
        <v>7</v>
      </c>
      <c r="C3135" s="4">
        <v>7.1</v>
      </c>
    </row>
    <row r="3136" spans="1:3" x14ac:dyDescent="0.3">
      <c r="A3136" s="3" t="s">
        <v>7036</v>
      </c>
      <c r="B3136" s="3" t="s">
        <v>7</v>
      </c>
      <c r="C3136" s="3">
        <v>7.9</v>
      </c>
    </row>
    <row r="3137" spans="1:3" x14ac:dyDescent="0.3">
      <c r="A3137" s="4" t="s">
        <v>7038</v>
      </c>
      <c r="B3137" s="4" t="s">
        <v>7</v>
      </c>
      <c r="C3137" s="4">
        <v>7.1</v>
      </c>
    </row>
    <row r="3138" spans="1:3" x14ac:dyDescent="0.3">
      <c r="A3138" s="3" t="s">
        <v>7040</v>
      </c>
      <c r="B3138" s="3" t="s">
        <v>7</v>
      </c>
      <c r="C3138" s="3">
        <v>5.6</v>
      </c>
    </row>
    <row r="3139" spans="1:3" x14ac:dyDescent="0.3">
      <c r="A3139" s="4" t="s">
        <v>7042</v>
      </c>
      <c r="B3139" s="4" t="s">
        <v>582</v>
      </c>
      <c r="C3139" s="4">
        <v>7.3</v>
      </c>
    </row>
    <row r="3140" spans="1:3" x14ac:dyDescent="0.3">
      <c r="A3140" s="3" t="s">
        <v>7044</v>
      </c>
      <c r="B3140" s="3" t="s">
        <v>7</v>
      </c>
      <c r="C3140" s="3">
        <v>3.3</v>
      </c>
    </row>
    <row r="3141" spans="1:3" x14ac:dyDescent="0.3">
      <c r="A3141" s="4" t="s">
        <v>7046</v>
      </c>
      <c r="B3141" s="4" t="s">
        <v>7</v>
      </c>
      <c r="C3141" s="4">
        <v>6.5</v>
      </c>
    </row>
    <row r="3142" spans="1:3" x14ac:dyDescent="0.3">
      <c r="A3142" s="3" t="s">
        <v>7048</v>
      </c>
      <c r="B3142" s="3" t="s">
        <v>7</v>
      </c>
      <c r="C3142" s="3">
        <v>4.8</v>
      </c>
    </row>
    <row r="3143" spans="1:3" x14ac:dyDescent="0.3">
      <c r="A3143" s="4" t="s">
        <v>7050</v>
      </c>
      <c r="B3143" s="4" t="s">
        <v>7</v>
      </c>
      <c r="C3143" s="4">
        <v>5.2</v>
      </c>
    </row>
    <row r="3144" spans="1:3" x14ac:dyDescent="0.3">
      <c r="A3144" s="3" t="s">
        <v>7052</v>
      </c>
      <c r="B3144" s="3" t="s">
        <v>7</v>
      </c>
      <c r="C3144" s="3">
        <v>6.3</v>
      </c>
    </row>
    <row r="3145" spans="1:3" x14ac:dyDescent="0.3">
      <c r="A3145" s="4" t="s">
        <v>7054</v>
      </c>
      <c r="B3145" s="4" t="s">
        <v>7</v>
      </c>
      <c r="C3145" s="4">
        <v>7.2</v>
      </c>
    </row>
    <row r="3146" spans="1:3" x14ac:dyDescent="0.3">
      <c r="A3146" s="3" t="s">
        <v>7056</v>
      </c>
      <c r="B3146" s="3" t="s">
        <v>7</v>
      </c>
      <c r="C3146" s="3">
        <v>6.8</v>
      </c>
    </row>
    <row r="3147" spans="1:3" x14ac:dyDescent="0.3">
      <c r="A3147" s="4" t="s">
        <v>7058</v>
      </c>
      <c r="B3147" s="4" t="s">
        <v>582</v>
      </c>
      <c r="C3147" s="4">
        <v>5.7</v>
      </c>
    </row>
    <row r="3148" spans="1:3" x14ac:dyDescent="0.3">
      <c r="A3148" s="3" t="s">
        <v>7060</v>
      </c>
      <c r="B3148" s="3" t="s">
        <v>7</v>
      </c>
      <c r="C3148" s="3">
        <v>7.2</v>
      </c>
    </row>
    <row r="3149" spans="1:3" x14ac:dyDescent="0.3">
      <c r="A3149" s="4" t="s">
        <v>7063</v>
      </c>
      <c r="B3149" s="4" t="s">
        <v>7</v>
      </c>
      <c r="C3149" s="4">
        <v>6.9</v>
      </c>
    </row>
    <row r="3150" spans="1:3" x14ac:dyDescent="0.3">
      <c r="A3150" s="3" t="s">
        <v>7065</v>
      </c>
      <c r="B3150" s="3" t="s">
        <v>7</v>
      </c>
      <c r="C3150" s="3">
        <v>6.3</v>
      </c>
    </row>
    <row r="3151" spans="1:3" x14ac:dyDescent="0.3">
      <c r="A3151" s="4" t="s">
        <v>7068</v>
      </c>
      <c r="B3151" s="4" t="s">
        <v>7</v>
      </c>
      <c r="C3151" s="4">
        <v>6.2</v>
      </c>
    </row>
    <row r="3152" spans="1:3" x14ac:dyDescent="0.3">
      <c r="A3152" s="3" t="s">
        <v>7070</v>
      </c>
      <c r="B3152" s="3" t="s">
        <v>7</v>
      </c>
      <c r="C3152" s="3">
        <v>6.7</v>
      </c>
    </row>
    <row r="3153" spans="1:3" x14ac:dyDescent="0.3">
      <c r="A3153" s="4" t="s">
        <v>7072</v>
      </c>
      <c r="B3153" s="4" t="s">
        <v>7</v>
      </c>
      <c r="C3153" s="4">
        <v>6.5</v>
      </c>
    </row>
    <row r="3154" spans="1:3" x14ac:dyDescent="0.3">
      <c r="A3154" s="3" t="s">
        <v>7075</v>
      </c>
      <c r="B3154" s="3" t="s">
        <v>7</v>
      </c>
      <c r="C3154" s="3">
        <v>7.2</v>
      </c>
    </row>
    <row r="3155" spans="1:3" x14ac:dyDescent="0.3">
      <c r="A3155" s="4" t="s">
        <v>7077</v>
      </c>
      <c r="B3155" s="4" t="s">
        <v>7</v>
      </c>
      <c r="C3155" s="4">
        <v>5.3</v>
      </c>
    </row>
    <row r="3156" spans="1:3" x14ac:dyDescent="0.3">
      <c r="A3156" s="3" t="s">
        <v>7079</v>
      </c>
      <c r="B3156" s="3" t="s">
        <v>7</v>
      </c>
      <c r="C3156" s="3">
        <v>6.7</v>
      </c>
    </row>
    <row r="3157" spans="1:3" x14ac:dyDescent="0.3">
      <c r="A3157" s="4" t="s">
        <v>7082</v>
      </c>
      <c r="B3157" s="4" t="s">
        <v>7</v>
      </c>
      <c r="C3157" s="4">
        <v>6.2</v>
      </c>
    </row>
    <row r="3158" spans="1:3" x14ac:dyDescent="0.3">
      <c r="A3158" s="3" t="s">
        <v>7084</v>
      </c>
      <c r="B3158" s="3" t="s">
        <v>7</v>
      </c>
      <c r="C3158" s="3">
        <v>3.6</v>
      </c>
    </row>
    <row r="3159" spans="1:3" x14ac:dyDescent="0.3">
      <c r="A3159" s="4" t="s">
        <v>7086</v>
      </c>
      <c r="B3159" s="4" t="s">
        <v>7</v>
      </c>
      <c r="C3159" s="4">
        <v>5.7</v>
      </c>
    </row>
    <row r="3160" spans="1:3" x14ac:dyDescent="0.3">
      <c r="A3160" s="3" t="s">
        <v>7088</v>
      </c>
      <c r="B3160" s="3" t="s">
        <v>7</v>
      </c>
      <c r="C3160" s="3">
        <v>7.3</v>
      </c>
    </row>
    <row r="3161" spans="1:3" x14ac:dyDescent="0.3">
      <c r="A3161" s="4" t="s">
        <v>7091</v>
      </c>
      <c r="B3161" s="4" t="s">
        <v>7</v>
      </c>
      <c r="C3161" s="4">
        <v>5</v>
      </c>
    </row>
    <row r="3162" spans="1:3" x14ac:dyDescent="0.3">
      <c r="A3162" s="3" t="s">
        <v>7093</v>
      </c>
      <c r="B3162" s="3" t="s">
        <v>7</v>
      </c>
      <c r="C3162" s="3">
        <v>6.6</v>
      </c>
    </row>
    <row r="3163" spans="1:3" x14ac:dyDescent="0.3">
      <c r="A3163" s="4" t="s">
        <v>7095</v>
      </c>
      <c r="B3163" s="4" t="s">
        <v>7</v>
      </c>
      <c r="C3163" s="4">
        <v>6.6</v>
      </c>
    </row>
    <row r="3164" spans="1:3" x14ac:dyDescent="0.3">
      <c r="A3164" s="3" t="s">
        <v>7098</v>
      </c>
      <c r="B3164" s="3" t="s">
        <v>7</v>
      </c>
      <c r="C3164" s="3">
        <v>6.8</v>
      </c>
    </row>
    <row r="3165" spans="1:3" x14ac:dyDescent="0.3">
      <c r="A3165" s="4" t="s">
        <v>7100</v>
      </c>
      <c r="B3165" s="4" t="s">
        <v>7</v>
      </c>
      <c r="C3165" s="4">
        <v>6.2</v>
      </c>
    </row>
    <row r="3166" spans="1:3" x14ac:dyDescent="0.3">
      <c r="A3166" s="3" t="s">
        <v>7102</v>
      </c>
      <c r="B3166" s="3" t="s">
        <v>7</v>
      </c>
      <c r="C3166" s="3">
        <v>7.3</v>
      </c>
    </row>
    <row r="3167" spans="1:3" x14ac:dyDescent="0.3">
      <c r="A3167" s="4" t="s">
        <v>7106</v>
      </c>
      <c r="B3167" s="4" t="s">
        <v>7108</v>
      </c>
      <c r="C3167" s="4">
        <v>6.2</v>
      </c>
    </row>
    <row r="3168" spans="1:3" x14ac:dyDescent="0.3">
      <c r="A3168" s="3" t="s">
        <v>7109</v>
      </c>
      <c r="B3168" s="3" t="s">
        <v>3702</v>
      </c>
      <c r="C3168" s="3">
        <v>6.9</v>
      </c>
    </row>
    <row r="3169" spans="1:3" x14ac:dyDescent="0.3">
      <c r="A3169" s="4" t="s">
        <v>7111</v>
      </c>
      <c r="B3169" s="4" t="s">
        <v>7</v>
      </c>
      <c r="C3169" s="4">
        <v>6.6</v>
      </c>
    </row>
    <row r="3170" spans="1:3" x14ac:dyDescent="0.3">
      <c r="A3170" s="3" t="s">
        <v>7113</v>
      </c>
      <c r="B3170" s="3" t="s">
        <v>7</v>
      </c>
      <c r="C3170" s="3">
        <v>6.3</v>
      </c>
    </row>
    <row r="3171" spans="1:3" x14ac:dyDescent="0.3">
      <c r="A3171" s="4" t="s">
        <v>7115</v>
      </c>
      <c r="B3171" s="4" t="s">
        <v>7</v>
      </c>
      <c r="C3171" s="4">
        <v>7</v>
      </c>
    </row>
    <row r="3172" spans="1:3" x14ac:dyDescent="0.3">
      <c r="A3172" s="3" t="s">
        <v>7117</v>
      </c>
      <c r="B3172" s="3" t="s">
        <v>7</v>
      </c>
      <c r="C3172" s="3">
        <v>3.3</v>
      </c>
    </row>
    <row r="3173" spans="1:3" x14ac:dyDescent="0.3">
      <c r="A3173" s="4" t="s">
        <v>7119</v>
      </c>
      <c r="B3173" s="4" t="s">
        <v>7</v>
      </c>
      <c r="C3173" s="4">
        <v>6.7</v>
      </c>
    </row>
    <row r="3174" spans="1:3" x14ac:dyDescent="0.3">
      <c r="A3174" s="3" t="s">
        <v>7121</v>
      </c>
      <c r="B3174" s="3" t="s">
        <v>7</v>
      </c>
      <c r="C3174" s="3">
        <v>6.2</v>
      </c>
    </row>
    <row r="3175" spans="1:3" x14ac:dyDescent="0.3">
      <c r="A3175" s="4" t="s">
        <v>7123</v>
      </c>
      <c r="B3175" s="4" t="s">
        <v>7</v>
      </c>
      <c r="C3175" s="4">
        <v>6.5</v>
      </c>
    </row>
    <row r="3176" spans="1:3" x14ac:dyDescent="0.3">
      <c r="A3176" s="3" t="s">
        <v>7125</v>
      </c>
      <c r="B3176" s="3" t="s">
        <v>582</v>
      </c>
      <c r="C3176" s="3">
        <v>3.5</v>
      </c>
    </row>
    <row r="3177" spans="1:3" x14ac:dyDescent="0.3">
      <c r="A3177" s="4" t="s">
        <v>7127</v>
      </c>
      <c r="B3177" s="4" t="s">
        <v>7</v>
      </c>
      <c r="C3177" s="4">
        <v>5.5</v>
      </c>
    </row>
    <row r="3178" spans="1:3" x14ac:dyDescent="0.3">
      <c r="A3178" s="3" t="s">
        <v>7129</v>
      </c>
      <c r="B3178" s="3" t="s">
        <v>7</v>
      </c>
      <c r="C3178" s="3">
        <v>5.9</v>
      </c>
    </row>
    <row r="3179" spans="1:3" x14ac:dyDescent="0.3">
      <c r="A3179" s="4" t="s">
        <v>7131</v>
      </c>
      <c r="B3179" s="4" t="s">
        <v>7</v>
      </c>
      <c r="C3179" s="4">
        <v>4.7</v>
      </c>
    </row>
    <row r="3180" spans="1:3" x14ac:dyDescent="0.3">
      <c r="A3180" s="3" t="s">
        <v>7133</v>
      </c>
      <c r="B3180" s="3" t="s">
        <v>7</v>
      </c>
      <c r="C3180" s="3">
        <v>4.2</v>
      </c>
    </row>
    <row r="3181" spans="1:3" x14ac:dyDescent="0.3">
      <c r="A3181" s="4" t="s">
        <v>7135</v>
      </c>
      <c r="B3181" s="4" t="s">
        <v>7</v>
      </c>
      <c r="C3181" s="4">
        <v>5.2</v>
      </c>
    </row>
    <row r="3182" spans="1:3" x14ac:dyDescent="0.3">
      <c r="A3182" s="3" t="s">
        <v>7137</v>
      </c>
      <c r="B3182" s="3" t="s">
        <v>7</v>
      </c>
      <c r="C3182" s="3">
        <v>5.2</v>
      </c>
    </row>
    <row r="3183" spans="1:3" x14ac:dyDescent="0.3">
      <c r="A3183" s="4" t="s">
        <v>7140</v>
      </c>
      <c r="B3183" s="4" t="s">
        <v>1146</v>
      </c>
      <c r="C3183" s="4">
        <v>3.9</v>
      </c>
    </row>
    <row r="3184" spans="1:3" x14ac:dyDescent="0.3">
      <c r="A3184" s="3" t="s">
        <v>7142</v>
      </c>
      <c r="B3184" s="3" t="s">
        <v>7</v>
      </c>
      <c r="C3184" s="3">
        <v>6.1</v>
      </c>
    </row>
    <row r="3185" spans="1:3" x14ac:dyDescent="0.3">
      <c r="A3185" s="4" t="s">
        <v>7144</v>
      </c>
      <c r="B3185" s="4" t="s">
        <v>7</v>
      </c>
      <c r="C3185" s="4">
        <v>5.8</v>
      </c>
    </row>
    <row r="3186" spans="1:3" x14ac:dyDescent="0.3">
      <c r="A3186" s="3" t="s">
        <v>7146</v>
      </c>
      <c r="B3186" s="3" t="s">
        <v>4415</v>
      </c>
      <c r="C3186" s="3">
        <v>6.7</v>
      </c>
    </row>
    <row r="3187" spans="1:3" x14ac:dyDescent="0.3">
      <c r="A3187" s="4" t="s">
        <v>7148</v>
      </c>
      <c r="B3187" s="4" t="s">
        <v>7</v>
      </c>
      <c r="C3187" s="4">
        <v>5.7</v>
      </c>
    </row>
    <row r="3188" spans="1:3" x14ac:dyDescent="0.3">
      <c r="A3188" s="3" t="s">
        <v>7150</v>
      </c>
      <c r="B3188" s="3" t="s">
        <v>5282</v>
      </c>
      <c r="C3188" s="3">
        <v>4.5</v>
      </c>
    </row>
    <row r="3189" spans="1:3" x14ac:dyDescent="0.3">
      <c r="A3189" s="4" t="s">
        <v>7152</v>
      </c>
      <c r="B3189" s="4" t="s">
        <v>7</v>
      </c>
      <c r="C3189" s="4">
        <v>6.9</v>
      </c>
    </row>
    <row r="3190" spans="1:3" x14ac:dyDescent="0.3">
      <c r="A3190" s="3" t="s">
        <v>7154</v>
      </c>
      <c r="B3190" s="3" t="s">
        <v>3064</v>
      </c>
      <c r="C3190" s="3">
        <v>4.8</v>
      </c>
    </row>
    <row r="3191" spans="1:3" x14ac:dyDescent="0.3">
      <c r="A3191" s="4" t="s">
        <v>7156</v>
      </c>
      <c r="B3191" s="4" t="s">
        <v>7</v>
      </c>
      <c r="C3191" s="4">
        <v>6.3</v>
      </c>
    </row>
    <row r="3192" spans="1:3" x14ac:dyDescent="0.3">
      <c r="A3192" s="3" t="s">
        <v>7158</v>
      </c>
      <c r="B3192" s="3" t="s">
        <v>7</v>
      </c>
      <c r="C3192" s="3">
        <v>6.9</v>
      </c>
    </row>
    <row r="3193" spans="1:3" x14ac:dyDescent="0.3">
      <c r="A3193" s="4" t="s">
        <v>7160</v>
      </c>
      <c r="B3193" s="4" t="s">
        <v>7</v>
      </c>
      <c r="C3193" s="4">
        <v>5.4</v>
      </c>
    </row>
    <row r="3194" spans="1:3" x14ac:dyDescent="0.3">
      <c r="A3194" s="3" t="s">
        <v>7162</v>
      </c>
      <c r="B3194" s="3" t="s">
        <v>7</v>
      </c>
      <c r="C3194" s="3">
        <v>3.8</v>
      </c>
    </row>
    <row r="3195" spans="1:3" x14ac:dyDescent="0.3">
      <c r="A3195" s="4" t="s">
        <v>7164</v>
      </c>
      <c r="B3195" s="4" t="s">
        <v>7</v>
      </c>
      <c r="C3195" s="4">
        <v>7</v>
      </c>
    </row>
    <row r="3196" spans="1:3" x14ac:dyDescent="0.3">
      <c r="A3196" s="3" t="s">
        <v>7166</v>
      </c>
      <c r="B3196" s="3" t="s">
        <v>2354</v>
      </c>
      <c r="C3196" s="3">
        <v>5.2</v>
      </c>
    </row>
    <row r="3197" spans="1:3" x14ac:dyDescent="0.3">
      <c r="A3197" s="4" t="s">
        <v>7169</v>
      </c>
      <c r="B3197" s="4" t="s">
        <v>2362</v>
      </c>
      <c r="C3197" s="4">
        <v>7.3</v>
      </c>
    </row>
    <row r="3198" spans="1:3" x14ac:dyDescent="0.3">
      <c r="A3198" s="3" t="s">
        <v>7171</v>
      </c>
      <c r="B3198" s="3" t="s">
        <v>7</v>
      </c>
      <c r="C3198" s="3">
        <v>4.5999999999999996</v>
      </c>
    </row>
    <row r="3199" spans="1:3" x14ac:dyDescent="0.3">
      <c r="A3199" s="4" t="s">
        <v>7173</v>
      </c>
      <c r="B3199" s="4" t="s">
        <v>7</v>
      </c>
      <c r="C3199" s="4">
        <v>6.5</v>
      </c>
    </row>
    <row r="3200" spans="1:3" x14ac:dyDescent="0.3">
      <c r="A3200" s="3" t="s">
        <v>7175</v>
      </c>
      <c r="B3200" s="3" t="s">
        <v>7</v>
      </c>
      <c r="C3200" s="3">
        <v>6.8</v>
      </c>
    </row>
    <row r="3201" spans="1:3" x14ac:dyDescent="0.3">
      <c r="A3201" s="4" t="s">
        <v>7177</v>
      </c>
      <c r="B3201" s="4" t="s">
        <v>7</v>
      </c>
      <c r="C3201" s="4">
        <v>6.7</v>
      </c>
    </row>
    <row r="3202" spans="1:3" x14ac:dyDescent="0.3">
      <c r="A3202" s="3" t="s">
        <v>7179</v>
      </c>
      <c r="B3202" s="3" t="s">
        <v>7</v>
      </c>
      <c r="C3202" s="3">
        <v>6.1</v>
      </c>
    </row>
    <row r="3203" spans="1:3" x14ac:dyDescent="0.3">
      <c r="A3203" s="4" t="s">
        <v>7181</v>
      </c>
      <c r="B3203" s="4" t="s">
        <v>7</v>
      </c>
      <c r="C3203" s="4">
        <v>5.2</v>
      </c>
    </row>
    <row r="3204" spans="1:3" x14ac:dyDescent="0.3">
      <c r="A3204" s="3" t="s">
        <v>7183</v>
      </c>
      <c r="B3204" s="3" t="s">
        <v>7</v>
      </c>
      <c r="C3204" s="3">
        <v>6.9</v>
      </c>
    </row>
    <row r="3205" spans="1:3" x14ac:dyDescent="0.3">
      <c r="A3205" s="4" t="s">
        <v>7185</v>
      </c>
      <c r="B3205" s="4" t="s">
        <v>7</v>
      </c>
      <c r="C3205" s="4">
        <v>6</v>
      </c>
    </row>
    <row r="3206" spans="1:3" x14ac:dyDescent="0.3">
      <c r="A3206" s="3" t="s">
        <v>7187</v>
      </c>
      <c r="B3206" s="3" t="s">
        <v>7</v>
      </c>
      <c r="C3206" s="3">
        <v>7.9</v>
      </c>
    </row>
    <row r="3207" spans="1:3" x14ac:dyDescent="0.3">
      <c r="A3207" s="4" t="s">
        <v>7189</v>
      </c>
      <c r="B3207" s="4" t="s">
        <v>7</v>
      </c>
      <c r="C3207" s="4">
        <v>4.5</v>
      </c>
    </row>
    <row r="3208" spans="1:3" x14ac:dyDescent="0.3">
      <c r="A3208" s="3" t="s">
        <v>7191</v>
      </c>
      <c r="B3208" s="3" t="s">
        <v>7</v>
      </c>
      <c r="C3208" s="3">
        <v>5.0999999999999996</v>
      </c>
    </row>
    <row r="3209" spans="1:3" x14ac:dyDescent="0.3">
      <c r="A3209" s="4" t="s">
        <v>7193</v>
      </c>
      <c r="B3209" s="4" t="s">
        <v>7</v>
      </c>
      <c r="C3209" s="4">
        <v>7.6</v>
      </c>
    </row>
    <row r="3210" spans="1:3" x14ac:dyDescent="0.3">
      <c r="A3210" s="3" t="s">
        <v>7195</v>
      </c>
      <c r="B3210" s="3" t="s">
        <v>7</v>
      </c>
      <c r="C3210" s="3">
        <v>7.6</v>
      </c>
    </row>
    <row r="3211" spans="1:3" x14ac:dyDescent="0.3">
      <c r="A3211" s="4" t="s">
        <v>7197</v>
      </c>
      <c r="B3211" s="4" t="s">
        <v>7</v>
      </c>
      <c r="C3211" s="4">
        <v>6.7</v>
      </c>
    </row>
    <row r="3212" spans="1:3" x14ac:dyDescent="0.3">
      <c r="A3212" s="3" t="s">
        <v>7199</v>
      </c>
      <c r="B3212" s="3" t="s">
        <v>7</v>
      </c>
      <c r="C3212" s="3">
        <v>6.1</v>
      </c>
    </row>
    <row r="3213" spans="1:3" x14ac:dyDescent="0.3">
      <c r="A3213" s="4" t="s">
        <v>7201</v>
      </c>
      <c r="B3213" s="4" t="s">
        <v>7</v>
      </c>
      <c r="C3213" s="4">
        <v>7.5</v>
      </c>
    </row>
    <row r="3214" spans="1:3" x14ac:dyDescent="0.3">
      <c r="A3214" s="3" t="s">
        <v>7203</v>
      </c>
      <c r="B3214" s="3" t="s">
        <v>7</v>
      </c>
      <c r="C3214" s="3">
        <v>5.3</v>
      </c>
    </row>
    <row r="3215" spans="1:3" x14ac:dyDescent="0.3">
      <c r="A3215" s="4" t="s">
        <v>7206</v>
      </c>
      <c r="B3215" s="4" t="s">
        <v>7</v>
      </c>
      <c r="C3215" s="4">
        <v>6</v>
      </c>
    </row>
    <row r="3216" spans="1:3" x14ac:dyDescent="0.3">
      <c r="A3216" s="3" t="s">
        <v>7208</v>
      </c>
      <c r="B3216" s="3" t="s">
        <v>7</v>
      </c>
      <c r="C3216" s="3">
        <v>7.1</v>
      </c>
    </row>
    <row r="3217" spans="1:3" x14ac:dyDescent="0.3">
      <c r="A3217" s="4" t="s">
        <v>7210</v>
      </c>
      <c r="B3217" s="4" t="s">
        <v>1146</v>
      </c>
      <c r="C3217" s="4">
        <v>7.5</v>
      </c>
    </row>
    <row r="3218" spans="1:3" x14ac:dyDescent="0.3">
      <c r="A3218" s="3" t="s">
        <v>7212</v>
      </c>
      <c r="B3218" s="3" t="s">
        <v>7</v>
      </c>
      <c r="C3218" s="3">
        <v>6.9</v>
      </c>
    </row>
    <row r="3219" spans="1:3" x14ac:dyDescent="0.3">
      <c r="A3219" s="4" t="s">
        <v>7214</v>
      </c>
      <c r="B3219" s="4" t="s">
        <v>7</v>
      </c>
      <c r="C3219" s="4">
        <v>8.5</v>
      </c>
    </row>
    <row r="3220" spans="1:3" x14ac:dyDescent="0.3">
      <c r="A3220" s="3" t="s">
        <v>7216</v>
      </c>
      <c r="B3220" s="3" t="s">
        <v>7</v>
      </c>
      <c r="C3220" s="3">
        <v>7.5</v>
      </c>
    </row>
    <row r="3221" spans="1:3" x14ac:dyDescent="0.3">
      <c r="A3221" s="4" t="s">
        <v>7218</v>
      </c>
      <c r="B3221" s="4" t="s">
        <v>7</v>
      </c>
      <c r="C3221" s="4">
        <v>6.6</v>
      </c>
    </row>
    <row r="3222" spans="1:3" x14ac:dyDescent="0.3">
      <c r="A3222" s="3" t="s">
        <v>7220</v>
      </c>
      <c r="B3222" s="3" t="s">
        <v>7</v>
      </c>
      <c r="C3222" s="3">
        <v>8</v>
      </c>
    </row>
    <row r="3223" spans="1:3" x14ac:dyDescent="0.3">
      <c r="A3223" s="4" t="s">
        <v>7222</v>
      </c>
      <c r="B3223" s="4" t="s">
        <v>7</v>
      </c>
      <c r="C3223" s="4">
        <v>7</v>
      </c>
    </row>
    <row r="3224" spans="1:3" x14ac:dyDescent="0.3">
      <c r="A3224" s="3" t="s">
        <v>7224</v>
      </c>
      <c r="B3224" s="3" t="s">
        <v>7</v>
      </c>
      <c r="C3224" s="3">
        <v>5.8</v>
      </c>
    </row>
    <row r="3225" spans="1:3" x14ac:dyDescent="0.3">
      <c r="A3225" s="4" t="s">
        <v>7226</v>
      </c>
      <c r="B3225" s="4" t="s">
        <v>7</v>
      </c>
      <c r="C3225" s="4">
        <v>7.3</v>
      </c>
    </row>
    <row r="3226" spans="1:3" x14ac:dyDescent="0.3">
      <c r="A3226" s="3" t="s">
        <v>7228</v>
      </c>
      <c r="B3226" s="3" t="s">
        <v>7</v>
      </c>
      <c r="C3226" s="3">
        <v>6.8</v>
      </c>
    </row>
    <row r="3227" spans="1:3" x14ac:dyDescent="0.3">
      <c r="A3227" s="4" t="s">
        <v>7230</v>
      </c>
      <c r="B3227" s="4" t="s">
        <v>7</v>
      </c>
      <c r="C3227" s="4">
        <v>6.7</v>
      </c>
    </row>
    <row r="3228" spans="1:3" x14ac:dyDescent="0.3">
      <c r="A3228" s="3" t="s">
        <v>7232</v>
      </c>
      <c r="B3228" s="3" t="s">
        <v>7</v>
      </c>
      <c r="C3228" s="3">
        <v>6.5</v>
      </c>
    </row>
    <row r="3229" spans="1:3" x14ac:dyDescent="0.3">
      <c r="A3229" s="4" t="s">
        <v>7234</v>
      </c>
      <c r="B3229" s="4" t="s">
        <v>5763</v>
      </c>
      <c r="C3229" s="4">
        <v>8</v>
      </c>
    </row>
    <row r="3230" spans="1:3" x14ac:dyDescent="0.3">
      <c r="A3230" s="3" t="s">
        <v>7236</v>
      </c>
      <c r="B3230" s="3" t="s">
        <v>7</v>
      </c>
      <c r="C3230" s="3">
        <v>6.5</v>
      </c>
    </row>
    <row r="3231" spans="1:3" x14ac:dyDescent="0.3">
      <c r="A3231" s="4" t="s">
        <v>7238</v>
      </c>
      <c r="B3231" s="4" t="s">
        <v>7</v>
      </c>
      <c r="C3231" s="4">
        <v>4.9000000000000004</v>
      </c>
    </row>
    <row r="3232" spans="1:3" x14ac:dyDescent="0.3">
      <c r="A3232" s="3" t="s">
        <v>7240</v>
      </c>
      <c r="B3232" s="3" t="s">
        <v>7</v>
      </c>
      <c r="C3232" s="3">
        <v>7.1</v>
      </c>
    </row>
    <row r="3233" spans="1:3" x14ac:dyDescent="0.3">
      <c r="A3233" s="4" t="s">
        <v>7242</v>
      </c>
      <c r="B3233" s="4" t="s">
        <v>7</v>
      </c>
      <c r="C3233" s="4">
        <v>7</v>
      </c>
    </row>
    <row r="3234" spans="1:3" x14ac:dyDescent="0.3">
      <c r="A3234" s="3" t="s">
        <v>7244</v>
      </c>
      <c r="B3234" s="3" t="s">
        <v>7</v>
      </c>
      <c r="C3234" s="3">
        <v>7</v>
      </c>
    </row>
    <row r="3235" spans="1:3" x14ac:dyDescent="0.3">
      <c r="A3235" s="4" t="s">
        <v>7246</v>
      </c>
      <c r="B3235" s="4" t="s">
        <v>7</v>
      </c>
      <c r="C3235" s="4">
        <v>7.5</v>
      </c>
    </row>
    <row r="3236" spans="1:3" x14ac:dyDescent="0.3">
      <c r="A3236" s="3" t="s">
        <v>7249</v>
      </c>
      <c r="B3236" s="3" t="s">
        <v>7</v>
      </c>
      <c r="C3236" s="3">
        <v>4.5</v>
      </c>
    </row>
    <row r="3237" spans="1:3" x14ac:dyDescent="0.3">
      <c r="A3237" s="4" t="s">
        <v>7251</v>
      </c>
      <c r="B3237" s="4" t="s">
        <v>7</v>
      </c>
      <c r="C3237" s="4">
        <v>5.5</v>
      </c>
    </row>
    <row r="3238" spans="1:3" x14ac:dyDescent="0.3">
      <c r="A3238" s="3" t="s">
        <v>7253</v>
      </c>
      <c r="B3238" s="3" t="s">
        <v>3702</v>
      </c>
      <c r="C3238" s="3">
        <v>7.7</v>
      </c>
    </row>
    <row r="3239" spans="1:3" x14ac:dyDescent="0.3">
      <c r="A3239" s="4" t="s">
        <v>7255</v>
      </c>
      <c r="B3239" s="4" t="s">
        <v>7</v>
      </c>
      <c r="C3239" s="4">
        <v>7.2</v>
      </c>
    </row>
    <row r="3240" spans="1:3" x14ac:dyDescent="0.3">
      <c r="A3240" s="3" t="s">
        <v>7257</v>
      </c>
      <c r="B3240" s="3" t="s">
        <v>7</v>
      </c>
      <c r="C3240" s="3">
        <v>4.8</v>
      </c>
    </row>
    <row r="3241" spans="1:3" x14ac:dyDescent="0.3">
      <c r="A3241" s="4" t="s">
        <v>7259</v>
      </c>
      <c r="B3241" s="4" t="s">
        <v>7</v>
      </c>
      <c r="C3241" s="4">
        <v>6.7</v>
      </c>
    </row>
    <row r="3242" spans="1:3" x14ac:dyDescent="0.3">
      <c r="A3242" s="3" t="s">
        <v>7261</v>
      </c>
      <c r="B3242" s="3" t="s">
        <v>7</v>
      </c>
      <c r="C3242" s="3">
        <v>7</v>
      </c>
    </row>
    <row r="3243" spans="1:3" x14ac:dyDescent="0.3">
      <c r="A3243" s="4" t="s">
        <v>7263</v>
      </c>
      <c r="B3243" s="4" t="s">
        <v>1146</v>
      </c>
      <c r="C3243" s="4">
        <v>6.5</v>
      </c>
    </row>
    <row r="3244" spans="1:3" x14ac:dyDescent="0.3">
      <c r="A3244" s="3" t="s">
        <v>7265</v>
      </c>
      <c r="B3244" s="3" t="s">
        <v>7</v>
      </c>
      <c r="C3244" s="3">
        <v>7.4</v>
      </c>
    </row>
    <row r="3245" spans="1:3" x14ac:dyDescent="0.3">
      <c r="A3245" s="4" t="s">
        <v>7267</v>
      </c>
      <c r="B3245" s="4" t="s">
        <v>5982</v>
      </c>
      <c r="C3245" s="4">
        <v>5.7</v>
      </c>
    </row>
    <row r="3246" spans="1:3" x14ac:dyDescent="0.3">
      <c r="A3246" s="3" t="s">
        <v>7269</v>
      </c>
      <c r="B3246" s="3" t="s">
        <v>7</v>
      </c>
      <c r="C3246" s="3">
        <v>6.2</v>
      </c>
    </row>
    <row r="3247" spans="1:3" x14ac:dyDescent="0.3">
      <c r="A3247" s="4" t="s">
        <v>7271</v>
      </c>
      <c r="B3247" s="4" t="s">
        <v>7</v>
      </c>
      <c r="C3247" s="4">
        <v>5.7</v>
      </c>
    </row>
    <row r="3248" spans="1:3" x14ac:dyDescent="0.3">
      <c r="A3248" s="3" t="s">
        <v>7273</v>
      </c>
      <c r="B3248" s="3" t="s">
        <v>7</v>
      </c>
      <c r="C3248" s="3">
        <v>6.4</v>
      </c>
    </row>
    <row r="3249" spans="1:3" x14ac:dyDescent="0.3">
      <c r="A3249" s="4" t="s">
        <v>7276</v>
      </c>
      <c r="B3249" s="4" t="s">
        <v>7</v>
      </c>
      <c r="C3249" s="4">
        <v>7</v>
      </c>
    </row>
    <row r="3250" spans="1:3" x14ac:dyDescent="0.3">
      <c r="A3250" s="3" t="s">
        <v>7279</v>
      </c>
      <c r="B3250" s="3" t="s">
        <v>7</v>
      </c>
      <c r="C3250" s="3">
        <v>7.7</v>
      </c>
    </row>
    <row r="3251" spans="1:3" x14ac:dyDescent="0.3">
      <c r="A3251" s="4" t="s">
        <v>7281</v>
      </c>
      <c r="B3251" s="4" t="s">
        <v>7</v>
      </c>
      <c r="C3251" s="4">
        <v>5.4</v>
      </c>
    </row>
    <row r="3252" spans="1:3" x14ac:dyDescent="0.3">
      <c r="A3252" s="3" t="s">
        <v>7284</v>
      </c>
      <c r="B3252" s="3" t="s">
        <v>7</v>
      </c>
      <c r="C3252" s="3">
        <v>6.6</v>
      </c>
    </row>
    <row r="3253" spans="1:3" x14ac:dyDescent="0.3">
      <c r="A3253" s="4" t="s">
        <v>7286</v>
      </c>
      <c r="B3253" s="4" t="s">
        <v>7</v>
      </c>
      <c r="C3253" s="4">
        <v>6.1</v>
      </c>
    </row>
    <row r="3254" spans="1:3" x14ac:dyDescent="0.3">
      <c r="A3254" s="3" t="s">
        <v>7288</v>
      </c>
      <c r="B3254" s="3" t="s">
        <v>7</v>
      </c>
      <c r="C3254" s="3">
        <v>6.1</v>
      </c>
    </row>
    <row r="3255" spans="1:3" x14ac:dyDescent="0.3">
      <c r="A3255" s="4" t="s">
        <v>7290</v>
      </c>
      <c r="B3255" s="4" t="s">
        <v>7</v>
      </c>
      <c r="C3255" s="4">
        <v>7.6</v>
      </c>
    </row>
    <row r="3256" spans="1:3" x14ac:dyDescent="0.3">
      <c r="A3256" s="3" t="s">
        <v>7292</v>
      </c>
      <c r="B3256" s="3" t="s">
        <v>7</v>
      </c>
      <c r="C3256" s="3">
        <v>6.2</v>
      </c>
    </row>
    <row r="3257" spans="1:3" x14ac:dyDescent="0.3">
      <c r="A3257" s="4" t="s">
        <v>7294</v>
      </c>
      <c r="B3257" s="4" t="s">
        <v>7</v>
      </c>
      <c r="C3257" s="4">
        <v>6.6</v>
      </c>
    </row>
    <row r="3258" spans="1:3" x14ac:dyDescent="0.3">
      <c r="A3258" s="3" t="s">
        <v>7296</v>
      </c>
      <c r="B3258" s="3" t="s">
        <v>7</v>
      </c>
      <c r="C3258" s="3">
        <v>6.1</v>
      </c>
    </row>
    <row r="3259" spans="1:3" x14ac:dyDescent="0.3">
      <c r="A3259" s="4" t="s">
        <v>7298</v>
      </c>
      <c r="B3259" s="4" t="s">
        <v>7</v>
      </c>
      <c r="C3259" s="4">
        <v>7.3</v>
      </c>
    </row>
    <row r="3260" spans="1:3" x14ac:dyDescent="0.3">
      <c r="A3260" s="3" t="s">
        <v>7300</v>
      </c>
      <c r="B3260" s="3" t="s">
        <v>7</v>
      </c>
      <c r="C3260" s="3">
        <v>4.2</v>
      </c>
    </row>
    <row r="3261" spans="1:3" x14ac:dyDescent="0.3">
      <c r="A3261" s="4" t="s">
        <v>7302</v>
      </c>
      <c r="B3261" s="4" t="s">
        <v>7</v>
      </c>
      <c r="C3261" s="4">
        <v>7.1</v>
      </c>
    </row>
    <row r="3262" spans="1:3" x14ac:dyDescent="0.3">
      <c r="A3262" s="3" t="s">
        <v>7304</v>
      </c>
      <c r="B3262" s="3" t="s">
        <v>7</v>
      </c>
      <c r="C3262" s="3">
        <v>6</v>
      </c>
    </row>
    <row r="3263" spans="1:3" x14ac:dyDescent="0.3">
      <c r="A3263" s="4" t="s">
        <v>7306</v>
      </c>
      <c r="B3263" s="4" t="s">
        <v>7</v>
      </c>
      <c r="C3263" s="4">
        <v>6.5</v>
      </c>
    </row>
    <row r="3264" spans="1:3" x14ac:dyDescent="0.3">
      <c r="A3264" s="3" t="s">
        <v>7308</v>
      </c>
      <c r="B3264" s="3" t="s">
        <v>1146</v>
      </c>
      <c r="C3264" s="3">
        <v>6.5</v>
      </c>
    </row>
    <row r="3265" spans="1:3" x14ac:dyDescent="0.3">
      <c r="A3265" s="4" t="s">
        <v>7311</v>
      </c>
      <c r="B3265" s="4" t="s">
        <v>7</v>
      </c>
      <c r="C3265" s="4">
        <v>5.7</v>
      </c>
    </row>
    <row r="3266" spans="1:3" x14ac:dyDescent="0.3">
      <c r="A3266" s="3" t="s">
        <v>7314</v>
      </c>
      <c r="B3266" s="3" t="s">
        <v>7</v>
      </c>
      <c r="C3266" s="3">
        <v>6.1</v>
      </c>
    </row>
    <row r="3267" spans="1:3" x14ac:dyDescent="0.3">
      <c r="A3267" s="4" t="s">
        <v>7316</v>
      </c>
      <c r="B3267" s="4" t="s">
        <v>1146</v>
      </c>
      <c r="C3267" s="4">
        <v>7.1</v>
      </c>
    </row>
    <row r="3268" spans="1:3" x14ac:dyDescent="0.3">
      <c r="A3268" s="3" t="s">
        <v>7319</v>
      </c>
      <c r="B3268" s="3" t="s">
        <v>6938</v>
      </c>
      <c r="C3268" s="3">
        <v>7.3</v>
      </c>
    </row>
    <row r="3269" spans="1:3" x14ac:dyDescent="0.3">
      <c r="A3269" s="4" t="s">
        <v>7321</v>
      </c>
      <c r="B3269" s="4" t="s">
        <v>7</v>
      </c>
      <c r="C3269" s="4">
        <v>6.5</v>
      </c>
    </row>
    <row r="3270" spans="1:3" x14ac:dyDescent="0.3">
      <c r="A3270" s="3" t="s">
        <v>7323</v>
      </c>
      <c r="B3270" s="3" t="s">
        <v>7</v>
      </c>
      <c r="C3270" s="3">
        <v>5.7</v>
      </c>
    </row>
    <row r="3271" spans="1:3" x14ac:dyDescent="0.3">
      <c r="A3271" s="4" t="s">
        <v>7326</v>
      </c>
      <c r="B3271" s="4" t="s">
        <v>7</v>
      </c>
      <c r="C3271" s="4">
        <v>7.2</v>
      </c>
    </row>
    <row r="3272" spans="1:3" x14ac:dyDescent="0.3">
      <c r="A3272" s="3" t="s">
        <v>7328</v>
      </c>
      <c r="B3272" s="3" t="s">
        <v>7</v>
      </c>
      <c r="C3272" s="3">
        <v>7.3</v>
      </c>
    </row>
    <row r="3273" spans="1:3" x14ac:dyDescent="0.3">
      <c r="A3273" s="4" t="s">
        <v>7330</v>
      </c>
      <c r="B3273" s="4" t="s">
        <v>582</v>
      </c>
      <c r="C3273" s="4">
        <v>6.9</v>
      </c>
    </row>
    <row r="3274" spans="1:3" x14ac:dyDescent="0.3">
      <c r="A3274" s="3" t="s">
        <v>7332</v>
      </c>
      <c r="B3274" s="3" t="s">
        <v>7</v>
      </c>
      <c r="C3274" s="3">
        <v>5</v>
      </c>
    </row>
    <row r="3275" spans="1:3" x14ac:dyDescent="0.3">
      <c r="A3275" s="4" t="s">
        <v>7334</v>
      </c>
      <c r="B3275" s="4" t="s">
        <v>7</v>
      </c>
      <c r="C3275" s="4">
        <v>5.9</v>
      </c>
    </row>
    <row r="3276" spans="1:3" x14ac:dyDescent="0.3">
      <c r="A3276" s="3" t="s">
        <v>7336</v>
      </c>
      <c r="B3276" s="3" t="s">
        <v>7</v>
      </c>
      <c r="C3276" s="3">
        <v>6.7</v>
      </c>
    </row>
    <row r="3277" spans="1:3" x14ac:dyDescent="0.3">
      <c r="A3277" s="4" t="s">
        <v>7338</v>
      </c>
      <c r="B3277" s="4" t="s">
        <v>5982</v>
      </c>
      <c r="C3277" s="4">
        <v>7.3</v>
      </c>
    </row>
    <row r="3278" spans="1:3" x14ac:dyDescent="0.3">
      <c r="A3278" s="3" t="s">
        <v>7340</v>
      </c>
      <c r="B3278" s="3" t="s">
        <v>7</v>
      </c>
      <c r="C3278" s="3">
        <v>7.6</v>
      </c>
    </row>
    <row r="3279" spans="1:3" x14ac:dyDescent="0.3">
      <c r="A3279" s="4" t="s">
        <v>7342</v>
      </c>
      <c r="B3279" s="4" t="s">
        <v>6411</v>
      </c>
      <c r="C3279" s="4">
        <v>6.5</v>
      </c>
    </row>
    <row r="3280" spans="1:3" x14ac:dyDescent="0.3">
      <c r="A3280" s="3" t="s">
        <v>7344</v>
      </c>
      <c r="B3280" s="3" t="s">
        <v>7</v>
      </c>
      <c r="C3280" s="3">
        <v>2.1</v>
      </c>
    </row>
    <row r="3281" spans="1:3" x14ac:dyDescent="0.3">
      <c r="A3281" s="4" t="s">
        <v>7346</v>
      </c>
      <c r="B3281" s="4" t="s">
        <v>7</v>
      </c>
      <c r="C3281" s="4">
        <v>5.3</v>
      </c>
    </row>
    <row r="3282" spans="1:3" x14ac:dyDescent="0.3">
      <c r="A3282" s="3" t="s">
        <v>7348</v>
      </c>
      <c r="B3282" s="3" t="s">
        <v>1146</v>
      </c>
      <c r="C3282" s="3">
        <v>7.2</v>
      </c>
    </row>
    <row r="3283" spans="1:3" x14ac:dyDescent="0.3">
      <c r="A3283" s="4" t="s">
        <v>7351</v>
      </c>
      <c r="B3283" s="4" t="s">
        <v>7</v>
      </c>
      <c r="C3283" s="4">
        <v>7</v>
      </c>
    </row>
    <row r="3284" spans="1:3" x14ac:dyDescent="0.3">
      <c r="A3284" s="3" t="s">
        <v>7353</v>
      </c>
      <c r="B3284" s="3" t="s">
        <v>7</v>
      </c>
      <c r="C3284" s="3">
        <v>8</v>
      </c>
    </row>
    <row r="3285" spans="1:3" x14ac:dyDescent="0.3">
      <c r="A3285" s="4" t="s">
        <v>7355</v>
      </c>
      <c r="B3285" s="4" t="s">
        <v>7</v>
      </c>
      <c r="C3285" s="4">
        <v>6.5</v>
      </c>
    </row>
    <row r="3286" spans="1:3" x14ac:dyDescent="0.3">
      <c r="A3286" s="3" t="s">
        <v>7357</v>
      </c>
      <c r="B3286" s="3" t="s">
        <v>7</v>
      </c>
      <c r="C3286" s="3">
        <v>6.9</v>
      </c>
    </row>
    <row r="3287" spans="1:3" x14ac:dyDescent="0.3">
      <c r="A3287" s="4" t="s">
        <v>7359</v>
      </c>
      <c r="B3287" s="4" t="s">
        <v>7</v>
      </c>
      <c r="C3287" s="4">
        <v>7.1</v>
      </c>
    </row>
    <row r="3288" spans="1:3" x14ac:dyDescent="0.3">
      <c r="A3288" s="3" t="s">
        <v>7361</v>
      </c>
      <c r="B3288" s="3" t="s">
        <v>7</v>
      </c>
      <c r="C3288" s="3">
        <v>7.3</v>
      </c>
    </row>
    <row r="3289" spans="1:3" x14ac:dyDescent="0.3">
      <c r="A3289" s="4" t="s">
        <v>7363</v>
      </c>
      <c r="B3289" s="4" t="s">
        <v>7</v>
      </c>
      <c r="C3289" s="4">
        <v>7.5</v>
      </c>
    </row>
    <row r="3290" spans="1:3" x14ac:dyDescent="0.3">
      <c r="A3290" s="3" t="s">
        <v>7366</v>
      </c>
      <c r="B3290" s="3" t="s">
        <v>7</v>
      </c>
      <c r="C3290" s="3">
        <v>6.9</v>
      </c>
    </row>
    <row r="3291" spans="1:3" x14ac:dyDescent="0.3">
      <c r="A3291" s="4" t="s">
        <v>7368</v>
      </c>
      <c r="B3291" s="4" t="s">
        <v>7</v>
      </c>
      <c r="C3291" s="4">
        <v>7.2</v>
      </c>
    </row>
    <row r="3292" spans="1:3" x14ac:dyDescent="0.3">
      <c r="A3292" s="3" t="s">
        <v>7370</v>
      </c>
      <c r="B3292" s="3" t="s">
        <v>7</v>
      </c>
      <c r="C3292" s="3">
        <v>7.2</v>
      </c>
    </row>
    <row r="3293" spans="1:3" x14ac:dyDescent="0.3">
      <c r="A3293" s="4" t="s">
        <v>7372</v>
      </c>
      <c r="B3293" s="4" t="s">
        <v>7</v>
      </c>
      <c r="C3293" s="4">
        <v>6.7</v>
      </c>
    </row>
    <row r="3294" spans="1:3" x14ac:dyDescent="0.3">
      <c r="A3294" s="3" t="s">
        <v>7374</v>
      </c>
      <c r="B3294" s="3" t="s">
        <v>7</v>
      </c>
      <c r="C3294" s="3">
        <v>6</v>
      </c>
    </row>
    <row r="3295" spans="1:3" x14ac:dyDescent="0.3">
      <c r="A3295" s="4" t="s">
        <v>7377</v>
      </c>
      <c r="B3295" s="4" t="s">
        <v>7</v>
      </c>
      <c r="C3295" s="4">
        <v>8.9</v>
      </c>
    </row>
    <row r="3296" spans="1:3" x14ac:dyDescent="0.3">
      <c r="A3296" s="3" t="s">
        <v>7379</v>
      </c>
      <c r="B3296" s="3" t="s">
        <v>7</v>
      </c>
      <c r="C3296" s="3">
        <v>7.7</v>
      </c>
    </row>
    <row r="3297" spans="1:3" x14ac:dyDescent="0.3">
      <c r="A3297" s="4" t="s">
        <v>7381</v>
      </c>
      <c r="B3297" s="4" t="s">
        <v>7</v>
      </c>
      <c r="C3297" s="4">
        <v>7.9</v>
      </c>
    </row>
    <row r="3298" spans="1:3" x14ac:dyDescent="0.3">
      <c r="A3298" s="3" t="s">
        <v>7383</v>
      </c>
      <c r="B3298" s="3" t="s">
        <v>7</v>
      </c>
      <c r="C3298" s="3">
        <v>5.6</v>
      </c>
    </row>
    <row r="3299" spans="1:3" x14ac:dyDescent="0.3">
      <c r="A3299" s="4" t="s">
        <v>7385</v>
      </c>
      <c r="B3299" s="4" t="s">
        <v>7</v>
      </c>
      <c r="C3299" s="4">
        <v>8</v>
      </c>
    </row>
    <row r="3300" spans="1:3" x14ac:dyDescent="0.3">
      <c r="A3300" s="3" t="s">
        <v>7387</v>
      </c>
      <c r="B3300" s="3" t="s">
        <v>7</v>
      </c>
      <c r="C3300" s="3">
        <v>6.2</v>
      </c>
    </row>
    <row r="3301" spans="1:3" x14ac:dyDescent="0.3">
      <c r="A3301" s="4" t="s">
        <v>7390</v>
      </c>
      <c r="B3301" s="4" t="s">
        <v>7</v>
      </c>
      <c r="C3301" s="4">
        <v>7.9</v>
      </c>
    </row>
    <row r="3302" spans="1:3" x14ac:dyDescent="0.3">
      <c r="A3302" s="3" t="s">
        <v>7392</v>
      </c>
      <c r="B3302" s="3" t="s">
        <v>7</v>
      </c>
      <c r="C3302" s="3">
        <v>8.1</v>
      </c>
    </row>
    <row r="3303" spans="1:3" x14ac:dyDescent="0.3">
      <c r="A3303" s="4" t="s">
        <v>7394</v>
      </c>
      <c r="B3303" s="4" t="s">
        <v>7</v>
      </c>
      <c r="C3303" s="4">
        <v>7.6</v>
      </c>
    </row>
    <row r="3304" spans="1:3" x14ac:dyDescent="0.3">
      <c r="A3304" s="3" t="s">
        <v>7396</v>
      </c>
      <c r="B3304" s="3" t="s">
        <v>7</v>
      </c>
      <c r="C3304" s="3">
        <v>3.5</v>
      </c>
    </row>
    <row r="3305" spans="1:3" x14ac:dyDescent="0.3">
      <c r="A3305" s="4" t="s">
        <v>7398</v>
      </c>
      <c r="B3305" s="4" t="s">
        <v>7</v>
      </c>
      <c r="C3305" s="4">
        <v>7.6</v>
      </c>
    </row>
    <row r="3306" spans="1:3" x14ac:dyDescent="0.3">
      <c r="A3306" s="3" t="s">
        <v>7400</v>
      </c>
      <c r="B3306" s="3" t="s">
        <v>7</v>
      </c>
      <c r="C3306" s="3">
        <v>6.5</v>
      </c>
    </row>
    <row r="3307" spans="1:3" x14ac:dyDescent="0.3">
      <c r="A3307" s="4" t="s">
        <v>7402</v>
      </c>
      <c r="B3307" s="4" t="s">
        <v>7</v>
      </c>
      <c r="C3307" s="4">
        <v>5.6</v>
      </c>
    </row>
    <row r="3308" spans="1:3" x14ac:dyDescent="0.3">
      <c r="A3308" s="3" t="s">
        <v>7404</v>
      </c>
      <c r="B3308" s="3" t="s">
        <v>7</v>
      </c>
      <c r="C3308" s="3">
        <v>7.7</v>
      </c>
    </row>
    <row r="3309" spans="1:3" x14ac:dyDescent="0.3">
      <c r="A3309" s="4" t="s">
        <v>7406</v>
      </c>
      <c r="B3309" s="4" t="s">
        <v>7</v>
      </c>
      <c r="C3309" s="4">
        <v>5.2</v>
      </c>
    </row>
    <row r="3310" spans="1:3" x14ac:dyDescent="0.3">
      <c r="A3310" s="3" t="s">
        <v>7409</v>
      </c>
      <c r="B3310" s="3" t="s">
        <v>7</v>
      </c>
      <c r="C3310" s="3">
        <v>6.9</v>
      </c>
    </row>
    <row r="3311" spans="1:3" x14ac:dyDescent="0.3">
      <c r="A3311" s="4" t="s">
        <v>7411</v>
      </c>
      <c r="B3311" s="4" t="s">
        <v>7</v>
      </c>
      <c r="C3311" s="4">
        <v>6.1</v>
      </c>
    </row>
    <row r="3312" spans="1:3" x14ac:dyDescent="0.3">
      <c r="A3312" s="3" t="s">
        <v>7413</v>
      </c>
      <c r="B3312" s="3" t="s">
        <v>7</v>
      </c>
      <c r="C3312" s="3">
        <v>5</v>
      </c>
    </row>
    <row r="3313" spans="1:3" x14ac:dyDescent="0.3">
      <c r="A3313" s="4" t="s">
        <v>7415</v>
      </c>
      <c r="B3313" s="4" t="s">
        <v>7</v>
      </c>
      <c r="C3313" s="4">
        <v>7.8</v>
      </c>
    </row>
    <row r="3314" spans="1:3" x14ac:dyDescent="0.3">
      <c r="A3314" s="3" t="s">
        <v>7417</v>
      </c>
      <c r="B3314" s="3" t="s">
        <v>7</v>
      </c>
      <c r="C3314" s="3">
        <v>7.4</v>
      </c>
    </row>
    <row r="3315" spans="1:3" x14ac:dyDescent="0.3">
      <c r="A3315" s="4" t="s">
        <v>7419</v>
      </c>
      <c r="B3315" s="4" t="s">
        <v>7</v>
      </c>
      <c r="C3315" s="4">
        <v>6.8</v>
      </c>
    </row>
    <row r="3316" spans="1:3" x14ac:dyDescent="0.3">
      <c r="A3316" s="3" t="s">
        <v>7422</v>
      </c>
      <c r="B3316" s="3" t="s">
        <v>7</v>
      </c>
      <c r="C3316" s="3">
        <v>6.4</v>
      </c>
    </row>
    <row r="3317" spans="1:3" x14ac:dyDescent="0.3">
      <c r="A3317" s="4" t="s">
        <v>7424</v>
      </c>
      <c r="B3317" s="4" t="s">
        <v>7</v>
      </c>
      <c r="C3317" s="4">
        <v>5.7</v>
      </c>
    </row>
    <row r="3318" spans="1:3" x14ac:dyDescent="0.3">
      <c r="A3318" s="3" t="s">
        <v>7427</v>
      </c>
      <c r="B3318" s="3" t="s">
        <v>7</v>
      </c>
      <c r="C3318" s="3">
        <v>7.5</v>
      </c>
    </row>
    <row r="3319" spans="1:3" x14ac:dyDescent="0.3">
      <c r="A3319" s="4" t="s">
        <v>7429</v>
      </c>
      <c r="B3319" s="4" t="s">
        <v>5282</v>
      </c>
      <c r="C3319" s="4">
        <v>6.7</v>
      </c>
    </row>
    <row r="3320" spans="1:3" x14ac:dyDescent="0.3">
      <c r="A3320" s="3" t="s">
        <v>7431</v>
      </c>
      <c r="B3320" s="3" t="s">
        <v>7</v>
      </c>
      <c r="C3320" s="3">
        <v>5.6</v>
      </c>
    </row>
    <row r="3321" spans="1:3" x14ac:dyDescent="0.3">
      <c r="A3321" s="4" t="s">
        <v>7433</v>
      </c>
      <c r="B3321" s="4" t="s">
        <v>7</v>
      </c>
      <c r="C3321" s="4">
        <v>7</v>
      </c>
    </row>
    <row r="3322" spans="1:3" x14ac:dyDescent="0.3">
      <c r="A3322" s="3" t="s">
        <v>7435</v>
      </c>
      <c r="B3322" s="3" t="s">
        <v>7</v>
      </c>
      <c r="C3322" s="3">
        <v>7.6</v>
      </c>
    </row>
    <row r="3323" spans="1:3" x14ac:dyDescent="0.3">
      <c r="A3323" s="4" t="s">
        <v>7437</v>
      </c>
      <c r="B3323" s="4" t="s">
        <v>7</v>
      </c>
      <c r="C3323" s="4">
        <v>6.5</v>
      </c>
    </row>
    <row r="3324" spans="1:3" x14ac:dyDescent="0.3">
      <c r="A3324" s="3" t="s">
        <v>7439</v>
      </c>
      <c r="B3324" s="3" t="s">
        <v>7</v>
      </c>
      <c r="C3324" s="3">
        <v>7</v>
      </c>
    </row>
    <row r="3325" spans="1:3" x14ac:dyDescent="0.3">
      <c r="A3325" s="4" t="s">
        <v>7441</v>
      </c>
      <c r="B3325" s="4" t="s">
        <v>3702</v>
      </c>
      <c r="C3325" s="4">
        <v>6.3</v>
      </c>
    </row>
    <row r="3326" spans="1:3" x14ac:dyDescent="0.3">
      <c r="A3326" s="3" t="s">
        <v>7443</v>
      </c>
      <c r="B3326" s="3" t="s">
        <v>7</v>
      </c>
      <c r="C3326" s="3">
        <v>6.4</v>
      </c>
    </row>
    <row r="3327" spans="1:3" x14ac:dyDescent="0.3">
      <c r="A3327" s="4" t="s">
        <v>7445</v>
      </c>
      <c r="B3327" s="4" t="s">
        <v>7</v>
      </c>
      <c r="C3327" s="4">
        <v>7.1</v>
      </c>
    </row>
    <row r="3328" spans="1:3" x14ac:dyDescent="0.3">
      <c r="A3328" s="3" t="s">
        <v>7447</v>
      </c>
      <c r="B3328" s="3" t="s">
        <v>7</v>
      </c>
      <c r="C3328" s="3">
        <v>7.1</v>
      </c>
    </row>
    <row r="3329" spans="1:3" x14ac:dyDescent="0.3">
      <c r="A3329" s="4" t="s">
        <v>7449</v>
      </c>
      <c r="B3329" s="4" t="s">
        <v>7</v>
      </c>
      <c r="C3329" s="4">
        <v>6.5</v>
      </c>
    </row>
    <row r="3330" spans="1:3" x14ac:dyDescent="0.3">
      <c r="A3330" s="3" t="s">
        <v>7451</v>
      </c>
      <c r="B3330" s="3" t="s">
        <v>7</v>
      </c>
      <c r="C3330" s="3">
        <v>6.9</v>
      </c>
    </row>
    <row r="3331" spans="1:3" x14ac:dyDescent="0.3">
      <c r="A3331" s="4" t="s">
        <v>7453</v>
      </c>
      <c r="B3331" s="4" t="s">
        <v>5982</v>
      </c>
      <c r="C3331" s="4">
        <v>5.4</v>
      </c>
    </row>
    <row r="3332" spans="1:3" x14ac:dyDescent="0.3">
      <c r="A3332" s="3" t="s">
        <v>7455</v>
      </c>
      <c r="B3332" s="3" t="s">
        <v>7</v>
      </c>
      <c r="C3332" s="3">
        <v>4.9000000000000004</v>
      </c>
    </row>
    <row r="3333" spans="1:3" x14ac:dyDescent="0.3">
      <c r="A3333" s="4" t="s">
        <v>7457</v>
      </c>
      <c r="B3333" s="4" t="s">
        <v>7</v>
      </c>
      <c r="C3333" s="4">
        <v>5.0999999999999996</v>
      </c>
    </row>
    <row r="3334" spans="1:3" x14ac:dyDescent="0.3">
      <c r="A3334" s="3" t="s">
        <v>7459</v>
      </c>
      <c r="B3334" s="3" t="s">
        <v>582</v>
      </c>
      <c r="C3334" s="3">
        <v>5.3</v>
      </c>
    </row>
    <row r="3335" spans="1:3" x14ac:dyDescent="0.3">
      <c r="A3335" s="4" t="s">
        <v>7461</v>
      </c>
      <c r="B3335" s="4" t="s">
        <v>7</v>
      </c>
      <c r="C3335" s="4">
        <v>7.5</v>
      </c>
    </row>
    <row r="3336" spans="1:3" x14ac:dyDescent="0.3">
      <c r="A3336" s="3" t="s">
        <v>7463</v>
      </c>
      <c r="B3336" s="3" t="s">
        <v>7</v>
      </c>
      <c r="C3336" s="3">
        <v>7.3</v>
      </c>
    </row>
    <row r="3337" spans="1:3" x14ac:dyDescent="0.3">
      <c r="A3337" s="4" t="s">
        <v>7465</v>
      </c>
      <c r="B3337" s="4" t="s">
        <v>7</v>
      </c>
      <c r="C3337" s="4">
        <v>7.3</v>
      </c>
    </row>
    <row r="3338" spans="1:3" x14ac:dyDescent="0.3">
      <c r="A3338" s="3" t="s">
        <v>7467</v>
      </c>
      <c r="B3338" s="3" t="s">
        <v>7</v>
      </c>
      <c r="C3338" s="3">
        <v>7.1</v>
      </c>
    </row>
    <row r="3339" spans="1:3" x14ac:dyDescent="0.3">
      <c r="A3339" s="4" t="s">
        <v>7469</v>
      </c>
      <c r="B3339" s="4" t="s">
        <v>7</v>
      </c>
      <c r="C3339" s="4">
        <v>6</v>
      </c>
    </row>
    <row r="3340" spans="1:3" x14ac:dyDescent="0.3">
      <c r="A3340" s="3" t="s">
        <v>7471</v>
      </c>
      <c r="B3340" s="3" t="s">
        <v>7</v>
      </c>
      <c r="C3340" s="3">
        <v>6.6</v>
      </c>
    </row>
    <row r="3341" spans="1:3" x14ac:dyDescent="0.3">
      <c r="A3341" s="4" t="s">
        <v>7474</v>
      </c>
      <c r="B3341" s="4" t="s">
        <v>7</v>
      </c>
      <c r="C3341" s="4">
        <v>7.2</v>
      </c>
    </row>
    <row r="3342" spans="1:3" x14ac:dyDescent="0.3">
      <c r="A3342" s="3" t="s">
        <v>7476</v>
      </c>
      <c r="B3342" s="3" t="s">
        <v>7</v>
      </c>
      <c r="C3342" s="3">
        <v>7.2</v>
      </c>
    </row>
    <row r="3343" spans="1:3" x14ac:dyDescent="0.3">
      <c r="A3343" s="4" t="s">
        <v>7478</v>
      </c>
      <c r="B3343" s="4" t="s">
        <v>7</v>
      </c>
      <c r="C3343" s="4">
        <v>6.9</v>
      </c>
    </row>
    <row r="3344" spans="1:3" x14ac:dyDescent="0.3">
      <c r="A3344" s="3" t="s">
        <v>7480</v>
      </c>
      <c r="B3344" s="3" t="s">
        <v>7</v>
      </c>
      <c r="C3344" s="3">
        <v>6.8</v>
      </c>
    </row>
    <row r="3345" spans="1:3" x14ac:dyDescent="0.3">
      <c r="A3345" s="4" t="s">
        <v>7482</v>
      </c>
      <c r="B3345" s="4" t="s">
        <v>1146</v>
      </c>
      <c r="C3345" s="4">
        <v>4</v>
      </c>
    </row>
    <row r="3346" spans="1:3" x14ac:dyDescent="0.3">
      <c r="A3346" s="3" t="s">
        <v>7484</v>
      </c>
      <c r="B3346" s="3" t="s">
        <v>7</v>
      </c>
      <c r="C3346" s="3">
        <v>7.7</v>
      </c>
    </row>
    <row r="3347" spans="1:3" x14ac:dyDescent="0.3">
      <c r="A3347" s="4" t="s">
        <v>7486</v>
      </c>
      <c r="B3347" s="4" t="s">
        <v>7</v>
      </c>
      <c r="C3347" s="4">
        <v>7.4</v>
      </c>
    </row>
    <row r="3348" spans="1:3" x14ac:dyDescent="0.3">
      <c r="A3348" s="3" t="s">
        <v>7488</v>
      </c>
      <c r="B3348" s="3" t="s">
        <v>7</v>
      </c>
      <c r="C3348" s="3">
        <v>6.5</v>
      </c>
    </row>
    <row r="3349" spans="1:3" x14ac:dyDescent="0.3">
      <c r="A3349" s="4" t="s">
        <v>7490</v>
      </c>
      <c r="B3349" s="4" t="s">
        <v>7</v>
      </c>
      <c r="C3349" s="4">
        <v>6.4</v>
      </c>
    </row>
    <row r="3350" spans="1:3" x14ac:dyDescent="0.3">
      <c r="A3350" s="3" t="s">
        <v>7492</v>
      </c>
      <c r="B3350" s="3" t="s">
        <v>7</v>
      </c>
      <c r="C3350" s="3">
        <v>7.2</v>
      </c>
    </row>
    <row r="3351" spans="1:3" x14ac:dyDescent="0.3">
      <c r="A3351" s="4" t="s">
        <v>7494</v>
      </c>
      <c r="B3351" s="4" t="s">
        <v>7</v>
      </c>
      <c r="C3351" s="4">
        <v>5.6</v>
      </c>
    </row>
    <row r="3352" spans="1:3" x14ac:dyDescent="0.3">
      <c r="A3352" s="3" t="s">
        <v>7496</v>
      </c>
      <c r="B3352" s="3" t="s">
        <v>7</v>
      </c>
      <c r="C3352" s="3">
        <v>6.3</v>
      </c>
    </row>
    <row r="3353" spans="1:3" x14ac:dyDescent="0.3">
      <c r="A3353" s="4" t="s">
        <v>7498</v>
      </c>
      <c r="B3353" s="4" t="s">
        <v>7</v>
      </c>
      <c r="C3353" s="4">
        <v>6.8</v>
      </c>
    </row>
    <row r="3354" spans="1:3" x14ac:dyDescent="0.3">
      <c r="A3354" s="3" t="s">
        <v>7501</v>
      </c>
      <c r="B3354" s="3" t="s">
        <v>7</v>
      </c>
      <c r="C3354" s="3">
        <v>5.5</v>
      </c>
    </row>
    <row r="3355" spans="1:3" x14ac:dyDescent="0.3">
      <c r="A3355" s="4" t="s">
        <v>7504</v>
      </c>
      <c r="B3355" s="4" t="s">
        <v>7</v>
      </c>
      <c r="C3355" s="4">
        <v>6.9</v>
      </c>
    </row>
    <row r="3356" spans="1:3" x14ac:dyDescent="0.3">
      <c r="A3356" s="3" t="s">
        <v>7506</v>
      </c>
      <c r="B3356" s="3" t="s">
        <v>7</v>
      </c>
      <c r="C3356" s="3">
        <v>6</v>
      </c>
    </row>
    <row r="3357" spans="1:3" x14ac:dyDescent="0.3">
      <c r="A3357" s="4" t="s">
        <v>7509</v>
      </c>
      <c r="B3357" s="4" t="s">
        <v>7</v>
      </c>
      <c r="C3357" s="4">
        <v>6.4</v>
      </c>
    </row>
    <row r="3358" spans="1:3" x14ac:dyDescent="0.3">
      <c r="A3358" s="3" t="s">
        <v>7512</v>
      </c>
      <c r="B3358" s="3" t="s">
        <v>7</v>
      </c>
      <c r="C3358" s="3">
        <v>6.6</v>
      </c>
    </row>
    <row r="3359" spans="1:3" x14ac:dyDescent="0.3">
      <c r="A3359" s="4" t="s">
        <v>7514</v>
      </c>
      <c r="B3359" s="4" t="s">
        <v>7</v>
      </c>
      <c r="C3359" s="4">
        <v>5.3</v>
      </c>
    </row>
    <row r="3360" spans="1:3" x14ac:dyDescent="0.3">
      <c r="A3360" s="3" t="s">
        <v>7516</v>
      </c>
      <c r="B3360" s="3" t="s">
        <v>7</v>
      </c>
      <c r="C3360" s="3">
        <v>8.1</v>
      </c>
    </row>
    <row r="3361" spans="1:3" x14ac:dyDescent="0.3">
      <c r="A3361" s="4" t="s">
        <v>7518</v>
      </c>
      <c r="B3361" s="4" t="s">
        <v>7</v>
      </c>
      <c r="C3361" s="4">
        <v>5.9</v>
      </c>
    </row>
    <row r="3362" spans="1:3" x14ac:dyDescent="0.3">
      <c r="A3362" s="3" t="s">
        <v>7520</v>
      </c>
      <c r="B3362" s="3" t="s">
        <v>7</v>
      </c>
      <c r="C3362" s="3">
        <v>7.7</v>
      </c>
    </row>
    <row r="3363" spans="1:3" x14ac:dyDescent="0.3">
      <c r="A3363" s="4" t="s">
        <v>7522</v>
      </c>
      <c r="B3363" s="4" t="s">
        <v>7</v>
      </c>
      <c r="C3363" s="4">
        <v>4.5999999999999996</v>
      </c>
    </row>
    <row r="3364" spans="1:3" x14ac:dyDescent="0.3">
      <c r="A3364" s="3" t="s">
        <v>7524</v>
      </c>
      <c r="B3364" s="3" t="s">
        <v>3702</v>
      </c>
      <c r="C3364" s="3">
        <v>5.0999999999999996</v>
      </c>
    </row>
    <row r="3365" spans="1:3" x14ac:dyDescent="0.3">
      <c r="A3365" s="4" t="s">
        <v>7526</v>
      </c>
      <c r="B3365" s="4" t="s">
        <v>1146</v>
      </c>
      <c r="C3365" s="4">
        <v>6.9</v>
      </c>
    </row>
    <row r="3366" spans="1:3" x14ac:dyDescent="0.3">
      <c r="A3366" s="3" t="s">
        <v>7528</v>
      </c>
      <c r="B3366" s="3" t="s">
        <v>7</v>
      </c>
      <c r="C3366" s="3">
        <v>8</v>
      </c>
    </row>
    <row r="3367" spans="1:3" x14ac:dyDescent="0.3">
      <c r="A3367" s="4" t="s">
        <v>7530</v>
      </c>
      <c r="B3367" s="4" t="s">
        <v>7</v>
      </c>
      <c r="C3367" s="4">
        <v>6.8</v>
      </c>
    </row>
    <row r="3368" spans="1:3" x14ac:dyDescent="0.3">
      <c r="A3368" s="3" t="s">
        <v>7532</v>
      </c>
      <c r="B3368" s="3" t="s">
        <v>7</v>
      </c>
      <c r="C3368" s="3">
        <v>5.4</v>
      </c>
    </row>
    <row r="3369" spans="1:3" x14ac:dyDescent="0.3">
      <c r="A3369" s="4" t="s">
        <v>7534</v>
      </c>
      <c r="B3369" s="4" t="s">
        <v>7</v>
      </c>
      <c r="C3369" s="4">
        <v>6.5</v>
      </c>
    </row>
    <row r="3370" spans="1:3" x14ac:dyDescent="0.3">
      <c r="A3370" s="3" t="s">
        <v>7536</v>
      </c>
      <c r="B3370" s="3" t="s">
        <v>7</v>
      </c>
      <c r="C3370" s="3">
        <v>4.2</v>
      </c>
    </row>
    <row r="3371" spans="1:3" x14ac:dyDescent="0.3">
      <c r="A3371" s="4" t="s">
        <v>7538</v>
      </c>
      <c r="B3371" s="4" t="s">
        <v>7</v>
      </c>
      <c r="C3371" s="4">
        <v>7.4</v>
      </c>
    </row>
    <row r="3372" spans="1:3" x14ac:dyDescent="0.3">
      <c r="A3372" s="3" t="s">
        <v>7540</v>
      </c>
      <c r="B3372" s="3" t="s">
        <v>7</v>
      </c>
      <c r="C3372" s="3">
        <v>6.9</v>
      </c>
    </row>
    <row r="3373" spans="1:3" x14ac:dyDescent="0.3">
      <c r="A3373" s="4" t="s">
        <v>7542</v>
      </c>
      <c r="B3373" s="4" t="s">
        <v>7</v>
      </c>
      <c r="C3373" s="4">
        <v>6.7</v>
      </c>
    </row>
    <row r="3374" spans="1:3" x14ac:dyDescent="0.3">
      <c r="A3374" s="3" t="s">
        <v>7544</v>
      </c>
      <c r="B3374" s="3" t="s">
        <v>7</v>
      </c>
      <c r="C3374" s="3">
        <v>7.3</v>
      </c>
    </row>
    <row r="3375" spans="1:3" x14ac:dyDescent="0.3">
      <c r="A3375" s="4" t="s">
        <v>7546</v>
      </c>
      <c r="B3375" s="4" t="s">
        <v>7</v>
      </c>
      <c r="C3375" s="4">
        <v>7.6</v>
      </c>
    </row>
    <row r="3376" spans="1:3" x14ac:dyDescent="0.3">
      <c r="A3376" s="3" t="s">
        <v>7548</v>
      </c>
      <c r="B3376" s="3" t="s">
        <v>7</v>
      </c>
      <c r="C3376" s="3">
        <v>5.4</v>
      </c>
    </row>
    <row r="3377" spans="1:3" x14ac:dyDescent="0.3">
      <c r="A3377" s="4" t="s">
        <v>7550</v>
      </c>
      <c r="B3377" s="4" t="s">
        <v>6938</v>
      </c>
      <c r="C3377" s="4">
        <v>7.3</v>
      </c>
    </row>
    <row r="3378" spans="1:3" x14ac:dyDescent="0.3">
      <c r="A3378" s="3" t="s">
        <v>7552</v>
      </c>
      <c r="B3378" s="3" t="s">
        <v>7</v>
      </c>
      <c r="C3378" s="3">
        <v>6.4</v>
      </c>
    </row>
    <row r="3379" spans="1:3" x14ac:dyDescent="0.3">
      <c r="A3379" s="4" t="s">
        <v>7554</v>
      </c>
      <c r="B3379" s="4" t="s">
        <v>7</v>
      </c>
      <c r="C3379" s="4">
        <v>6</v>
      </c>
    </row>
    <row r="3380" spans="1:3" x14ac:dyDescent="0.3">
      <c r="A3380" s="3" t="s">
        <v>7557</v>
      </c>
      <c r="B3380" s="3" t="s">
        <v>7</v>
      </c>
      <c r="C3380" s="3">
        <v>7.2</v>
      </c>
    </row>
    <row r="3381" spans="1:3" x14ac:dyDescent="0.3">
      <c r="A3381" s="4" t="s">
        <v>7559</v>
      </c>
      <c r="B3381" s="4" t="s">
        <v>7</v>
      </c>
      <c r="C3381" s="4">
        <v>6</v>
      </c>
    </row>
    <row r="3382" spans="1:3" x14ac:dyDescent="0.3">
      <c r="A3382" s="3" t="s">
        <v>7561</v>
      </c>
      <c r="B3382" s="3" t="s">
        <v>7</v>
      </c>
      <c r="C3382" s="3">
        <v>3.1</v>
      </c>
    </row>
    <row r="3383" spans="1:3" x14ac:dyDescent="0.3">
      <c r="A3383" s="4" t="s">
        <v>7563</v>
      </c>
      <c r="B3383" s="4" t="s">
        <v>3064</v>
      </c>
      <c r="C3383" s="4">
        <v>6.9</v>
      </c>
    </row>
    <row r="3384" spans="1:3" x14ac:dyDescent="0.3">
      <c r="A3384" s="3" t="s">
        <v>7565</v>
      </c>
      <c r="B3384" s="3" t="s">
        <v>7</v>
      </c>
      <c r="C3384" s="3">
        <v>6.2</v>
      </c>
    </row>
    <row r="3385" spans="1:3" x14ac:dyDescent="0.3">
      <c r="A3385" s="4" t="s">
        <v>7567</v>
      </c>
      <c r="B3385" s="4" t="s">
        <v>7</v>
      </c>
      <c r="C3385" s="4">
        <v>5.5</v>
      </c>
    </row>
    <row r="3386" spans="1:3" x14ac:dyDescent="0.3">
      <c r="A3386" s="3" t="s">
        <v>7569</v>
      </c>
      <c r="B3386" s="3" t="s">
        <v>3702</v>
      </c>
      <c r="C3386" s="3">
        <v>6.9</v>
      </c>
    </row>
    <row r="3387" spans="1:3" x14ac:dyDescent="0.3">
      <c r="A3387" s="4" t="s">
        <v>7571</v>
      </c>
      <c r="B3387" s="4" t="s">
        <v>7</v>
      </c>
      <c r="C3387" s="4">
        <v>6.3</v>
      </c>
    </row>
    <row r="3388" spans="1:3" x14ac:dyDescent="0.3">
      <c r="A3388" s="3" t="s">
        <v>7574</v>
      </c>
      <c r="B3388" s="3" t="s">
        <v>582</v>
      </c>
      <c r="C3388" s="3">
        <v>4.8</v>
      </c>
    </row>
    <row r="3389" spans="1:3" x14ac:dyDescent="0.3">
      <c r="A3389" s="4" t="s">
        <v>7576</v>
      </c>
      <c r="B3389" s="4" t="s">
        <v>7</v>
      </c>
      <c r="C3389" s="4">
        <v>7.9</v>
      </c>
    </row>
    <row r="3390" spans="1:3" x14ac:dyDescent="0.3">
      <c r="A3390" s="3" t="s">
        <v>7578</v>
      </c>
      <c r="B3390" s="3" t="s">
        <v>7</v>
      </c>
      <c r="C3390" s="3">
        <v>6.7</v>
      </c>
    </row>
    <row r="3391" spans="1:3" x14ac:dyDescent="0.3">
      <c r="A3391" s="4" t="s">
        <v>7580</v>
      </c>
      <c r="B3391" s="4" t="s">
        <v>1146</v>
      </c>
      <c r="C3391" s="4">
        <v>5.6</v>
      </c>
    </row>
    <row r="3392" spans="1:3" x14ac:dyDescent="0.3">
      <c r="A3392" s="3" t="s">
        <v>7582</v>
      </c>
      <c r="B3392" s="3" t="s">
        <v>7</v>
      </c>
      <c r="C3392" s="3">
        <v>5.4</v>
      </c>
    </row>
    <row r="3393" spans="1:3" x14ac:dyDescent="0.3">
      <c r="A3393" s="4" t="s">
        <v>7584</v>
      </c>
      <c r="B3393" s="4" t="s">
        <v>7</v>
      </c>
      <c r="C3393" s="4">
        <v>8</v>
      </c>
    </row>
    <row r="3394" spans="1:3" x14ac:dyDescent="0.3">
      <c r="A3394" s="3" t="s">
        <v>7586</v>
      </c>
      <c r="B3394" s="3" t="s">
        <v>7</v>
      </c>
      <c r="C3394" s="3">
        <v>5.7</v>
      </c>
    </row>
    <row r="3395" spans="1:3" x14ac:dyDescent="0.3">
      <c r="A3395" s="4" t="s">
        <v>7589</v>
      </c>
      <c r="B3395" s="4" t="s">
        <v>7</v>
      </c>
      <c r="C3395" s="4">
        <v>7.6</v>
      </c>
    </row>
    <row r="3396" spans="1:3" x14ac:dyDescent="0.3">
      <c r="A3396" s="3" t="s">
        <v>7591</v>
      </c>
      <c r="B3396" s="3" t="s">
        <v>7</v>
      </c>
      <c r="C3396" s="3">
        <v>7</v>
      </c>
    </row>
    <row r="3397" spans="1:3" x14ac:dyDescent="0.3">
      <c r="A3397" s="4" t="s">
        <v>7593</v>
      </c>
      <c r="B3397" s="4" t="s">
        <v>7</v>
      </c>
      <c r="C3397" s="4">
        <v>7.2</v>
      </c>
    </row>
    <row r="3398" spans="1:3" x14ac:dyDescent="0.3">
      <c r="A3398" s="3" t="s">
        <v>7595</v>
      </c>
      <c r="B3398" s="3" t="s">
        <v>7</v>
      </c>
      <c r="C3398" s="3">
        <v>6.2</v>
      </c>
    </row>
    <row r="3399" spans="1:3" x14ac:dyDescent="0.3">
      <c r="A3399" s="4" t="s">
        <v>7597</v>
      </c>
      <c r="B3399" s="4" t="s">
        <v>7</v>
      </c>
      <c r="C3399" s="4">
        <v>3.5</v>
      </c>
    </row>
    <row r="3400" spans="1:3" x14ac:dyDescent="0.3">
      <c r="A3400" s="3" t="s">
        <v>7599</v>
      </c>
      <c r="B3400" s="3" t="s">
        <v>7</v>
      </c>
      <c r="C3400" s="3">
        <v>7.5</v>
      </c>
    </row>
    <row r="3401" spans="1:3" x14ac:dyDescent="0.3">
      <c r="A3401" s="4" t="s">
        <v>7602</v>
      </c>
      <c r="B3401" s="4" t="s">
        <v>4894</v>
      </c>
      <c r="C3401" s="4">
        <v>5.0999999999999996</v>
      </c>
    </row>
    <row r="3402" spans="1:3" x14ac:dyDescent="0.3">
      <c r="A3402" s="3" t="s">
        <v>7605</v>
      </c>
      <c r="B3402" s="3" t="s">
        <v>7</v>
      </c>
      <c r="C3402" s="3">
        <v>6.7</v>
      </c>
    </row>
    <row r="3403" spans="1:3" x14ac:dyDescent="0.3">
      <c r="A3403" s="4" t="s">
        <v>7608</v>
      </c>
      <c r="B3403" s="4" t="s">
        <v>7</v>
      </c>
      <c r="C3403" s="4">
        <v>9.1999999999999993</v>
      </c>
    </row>
    <row r="3404" spans="1:3" x14ac:dyDescent="0.3">
      <c r="A3404" s="3" t="s">
        <v>7610</v>
      </c>
      <c r="B3404" s="3" t="s">
        <v>7</v>
      </c>
      <c r="C3404" s="3">
        <v>6.1</v>
      </c>
    </row>
    <row r="3405" spans="1:3" x14ac:dyDescent="0.3">
      <c r="A3405" s="4" t="s">
        <v>7613</v>
      </c>
      <c r="B3405" s="4" t="s">
        <v>7</v>
      </c>
      <c r="C3405" s="4">
        <v>7.7</v>
      </c>
    </row>
    <row r="3406" spans="1:3" x14ac:dyDescent="0.3">
      <c r="A3406" s="3" t="s">
        <v>7616</v>
      </c>
      <c r="B3406" s="3" t="s">
        <v>7</v>
      </c>
      <c r="C3406" s="3">
        <v>7.6</v>
      </c>
    </row>
    <row r="3407" spans="1:3" x14ac:dyDescent="0.3">
      <c r="A3407" s="4" t="s">
        <v>7618</v>
      </c>
      <c r="B3407" s="4" t="s">
        <v>7</v>
      </c>
      <c r="C3407" s="4">
        <v>6.1</v>
      </c>
    </row>
    <row r="3408" spans="1:3" x14ac:dyDescent="0.3">
      <c r="A3408" s="3" t="s">
        <v>7620</v>
      </c>
      <c r="B3408" s="3" t="s">
        <v>7</v>
      </c>
      <c r="C3408" s="3">
        <v>4.9000000000000004</v>
      </c>
    </row>
    <row r="3409" spans="1:3" x14ac:dyDescent="0.3">
      <c r="A3409" s="4" t="s">
        <v>7623</v>
      </c>
      <c r="B3409" s="4" t="s">
        <v>7</v>
      </c>
      <c r="C3409" s="4">
        <v>6.8</v>
      </c>
    </row>
    <row r="3410" spans="1:3" x14ac:dyDescent="0.3">
      <c r="A3410" s="3" t="s">
        <v>7625</v>
      </c>
      <c r="B3410" s="3" t="s">
        <v>7</v>
      </c>
      <c r="C3410" s="3">
        <v>7</v>
      </c>
    </row>
    <row r="3411" spans="1:3" x14ac:dyDescent="0.3">
      <c r="A3411" s="4" t="s">
        <v>7627</v>
      </c>
      <c r="B3411" s="4" t="s">
        <v>7</v>
      </c>
      <c r="C3411" s="4">
        <v>7.2</v>
      </c>
    </row>
    <row r="3412" spans="1:3" x14ac:dyDescent="0.3">
      <c r="A3412" s="3" t="s">
        <v>7629</v>
      </c>
      <c r="B3412" s="3" t="s">
        <v>7</v>
      </c>
      <c r="C3412" s="3">
        <v>5.7</v>
      </c>
    </row>
    <row r="3413" spans="1:3" x14ac:dyDescent="0.3">
      <c r="A3413" s="4" t="s">
        <v>7631</v>
      </c>
      <c r="B3413" s="4" t="s">
        <v>7</v>
      </c>
      <c r="C3413" s="4">
        <v>7.3</v>
      </c>
    </row>
    <row r="3414" spans="1:3" x14ac:dyDescent="0.3">
      <c r="A3414" s="3" t="s">
        <v>7633</v>
      </c>
      <c r="B3414" s="3" t="s">
        <v>7</v>
      </c>
      <c r="C3414" s="3">
        <v>7.5</v>
      </c>
    </row>
    <row r="3415" spans="1:3" x14ac:dyDescent="0.3">
      <c r="A3415" s="4" t="s">
        <v>7635</v>
      </c>
      <c r="B3415" s="4" t="s">
        <v>7</v>
      </c>
      <c r="C3415" s="4">
        <v>7.4</v>
      </c>
    </row>
    <row r="3416" spans="1:3" x14ac:dyDescent="0.3">
      <c r="A3416" s="3" t="s">
        <v>7638</v>
      </c>
      <c r="B3416" s="3" t="s">
        <v>7</v>
      </c>
      <c r="C3416" s="3">
        <v>7.2</v>
      </c>
    </row>
    <row r="3417" spans="1:3" x14ac:dyDescent="0.3">
      <c r="A3417" s="4" t="s">
        <v>7641</v>
      </c>
      <c r="B3417" s="4" t="s">
        <v>7</v>
      </c>
      <c r="C3417" s="4">
        <v>6.5</v>
      </c>
    </row>
    <row r="3418" spans="1:3" x14ac:dyDescent="0.3">
      <c r="A3418" s="3" t="s">
        <v>7643</v>
      </c>
      <c r="B3418" s="3" t="s">
        <v>7</v>
      </c>
      <c r="C3418" s="3">
        <v>6.8</v>
      </c>
    </row>
    <row r="3419" spans="1:3" x14ac:dyDescent="0.3">
      <c r="A3419" s="4" t="s">
        <v>7645</v>
      </c>
      <c r="B3419" s="4" t="s">
        <v>7</v>
      </c>
      <c r="C3419" s="4">
        <v>6.8</v>
      </c>
    </row>
    <row r="3420" spans="1:3" x14ac:dyDescent="0.3">
      <c r="A3420" s="3" t="s">
        <v>7647</v>
      </c>
      <c r="B3420" s="3" t="s">
        <v>582</v>
      </c>
      <c r="C3420" s="3">
        <v>5.2</v>
      </c>
    </row>
    <row r="3421" spans="1:3" x14ac:dyDescent="0.3">
      <c r="A3421" s="4" t="s">
        <v>7650</v>
      </c>
      <c r="B3421" s="4" t="s">
        <v>7</v>
      </c>
      <c r="C3421" s="4">
        <v>7.2</v>
      </c>
    </row>
    <row r="3422" spans="1:3" x14ac:dyDescent="0.3">
      <c r="A3422" s="3" t="s">
        <v>7652</v>
      </c>
      <c r="B3422" s="3" t="s">
        <v>7</v>
      </c>
      <c r="C3422" s="3">
        <v>7.5</v>
      </c>
    </row>
    <row r="3423" spans="1:3" x14ac:dyDescent="0.3">
      <c r="A3423" s="4" t="s">
        <v>7654</v>
      </c>
      <c r="B3423" s="4" t="s">
        <v>7</v>
      </c>
      <c r="C3423" s="4">
        <v>4</v>
      </c>
    </row>
    <row r="3424" spans="1:3" x14ac:dyDescent="0.3">
      <c r="A3424" s="3" t="s">
        <v>7656</v>
      </c>
      <c r="B3424" s="3" t="s">
        <v>1146</v>
      </c>
      <c r="C3424" s="3">
        <v>6.8</v>
      </c>
    </row>
    <row r="3425" spans="1:3" x14ac:dyDescent="0.3">
      <c r="A3425" s="4" t="s">
        <v>7658</v>
      </c>
      <c r="B3425" s="4" t="s">
        <v>7</v>
      </c>
      <c r="C3425" s="4">
        <v>6.9</v>
      </c>
    </row>
    <row r="3426" spans="1:3" x14ac:dyDescent="0.3">
      <c r="A3426" s="3" t="s">
        <v>7660</v>
      </c>
      <c r="B3426" s="3" t="s">
        <v>7</v>
      </c>
      <c r="C3426" s="3">
        <v>7.3</v>
      </c>
    </row>
    <row r="3427" spans="1:3" x14ac:dyDescent="0.3">
      <c r="A3427" s="4" t="s">
        <v>7662</v>
      </c>
      <c r="B3427" s="4" t="s">
        <v>7664</v>
      </c>
      <c r="C3427" s="4">
        <v>6.1</v>
      </c>
    </row>
    <row r="3428" spans="1:3" x14ac:dyDescent="0.3">
      <c r="A3428" s="3" t="s">
        <v>7665</v>
      </c>
      <c r="B3428" s="3" t="s">
        <v>3702</v>
      </c>
      <c r="C3428" s="3">
        <v>7.8</v>
      </c>
    </row>
    <row r="3429" spans="1:3" x14ac:dyDescent="0.3">
      <c r="A3429" s="4" t="s">
        <v>7667</v>
      </c>
      <c r="B3429" s="4" t="s">
        <v>7</v>
      </c>
      <c r="C3429" s="4">
        <v>6</v>
      </c>
    </row>
    <row r="3430" spans="1:3" x14ac:dyDescent="0.3">
      <c r="A3430" s="3" t="s">
        <v>7669</v>
      </c>
      <c r="B3430" s="3" t="s">
        <v>7</v>
      </c>
      <c r="C3430" s="3">
        <v>4.0999999999999996</v>
      </c>
    </row>
    <row r="3431" spans="1:3" x14ac:dyDescent="0.3">
      <c r="A3431" s="4" t="s">
        <v>7671</v>
      </c>
      <c r="B3431" s="4" t="s">
        <v>7</v>
      </c>
      <c r="C3431" s="4">
        <v>7</v>
      </c>
    </row>
    <row r="3432" spans="1:3" x14ac:dyDescent="0.3">
      <c r="A3432" s="3" t="s">
        <v>7673</v>
      </c>
      <c r="B3432" s="3" t="s">
        <v>7</v>
      </c>
      <c r="C3432" s="3">
        <v>7.1</v>
      </c>
    </row>
    <row r="3433" spans="1:3" x14ac:dyDescent="0.3">
      <c r="A3433" s="4" t="s">
        <v>7675</v>
      </c>
      <c r="B3433" s="4" t="s">
        <v>7</v>
      </c>
      <c r="C3433" s="4">
        <v>6.2</v>
      </c>
    </row>
    <row r="3434" spans="1:3" x14ac:dyDescent="0.3">
      <c r="A3434" s="3" t="s">
        <v>7677</v>
      </c>
      <c r="B3434" s="3" t="s">
        <v>2354</v>
      </c>
      <c r="C3434" s="3">
        <v>6.9</v>
      </c>
    </row>
    <row r="3435" spans="1:3" x14ac:dyDescent="0.3">
      <c r="A3435" s="4" t="s">
        <v>7679</v>
      </c>
      <c r="B3435" s="4" t="s">
        <v>7</v>
      </c>
      <c r="C3435" s="4">
        <v>7.6</v>
      </c>
    </row>
    <row r="3436" spans="1:3" x14ac:dyDescent="0.3">
      <c r="A3436" s="3" t="s">
        <v>7681</v>
      </c>
      <c r="B3436" s="3" t="s">
        <v>7</v>
      </c>
      <c r="C3436" s="3">
        <v>7.6</v>
      </c>
    </row>
    <row r="3437" spans="1:3" x14ac:dyDescent="0.3">
      <c r="A3437" s="4" t="s">
        <v>7683</v>
      </c>
      <c r="B3437" s="4" t="s">
        <v>6443</v>
      </c>
      <c r="C3437" s="4">
        <v>6.4</v>
      </c>
    </row>
    <row r="3438" spans="1:3" x14ac:dyDescent="0.3">
      <c r="A3438" s="3" t="s">
        <v>7685</v>
      </c>
      <c r="B3438" s="3" t="s">
        <v>4894</v>
      </c>
      <c r="C3438" s="3">
        <v>6.2</v>
      </c>
    </row>
    <row r="3439" spans="1:3" x14ac:dyDescent="0.3">
      <c r="A3439" s="4" t="s">
        <v>7687</v>
      </c>
      <c r="B3439" s="4" t="s">
        <v>582</v>
      </c>
      <c r="C3439" s="4">
        <v>7.5</v>
      </c>
    </row>
    <row r="3440" spans="1:3" x14ac:dyDescent="0.3">
      <c r="A3440" s="3" t="s">
        <v>7689</v>
      </c>
      <c r="B3440" s="3" t="s">
        <v>7</v>
      </c>
      <c r="C3440" s="3">
        <v>2</v>
      </c>
    </row>
    <row r="3441" spans="1:3" x14ac:dyDescent="0.3">
      <c r="A3441" s="4" t="s">
        <v>7691</v>
      </c>
      <c r="B3441" s="4" t="s">
        <v>7</v>
      </c>
      <c r="C3441" s="4">
        <v>6.2</v>
      </c>
    </row>
    <row r="3442" spans="1:3" x14ac:dyDescent="0.3">
      <c r="A3442" s="3" t="s">
        <v>7693</v>
      </c>
      <c r="B3442" s="3" t="s">
        <v>7</v>
      </c>
      <c r="C3442" s="3">
        <v>6.5</v>
      </c>
    </row>
    <row r="3443" spans="1:3" x14ac:dyDescent="0.3">
      <c r="A3443" s="4" t="s">
        <v>7695</v>
      </c>
      <c r="B3443" s="4" t="s">
        <v>7</v>
      </c>
      <c r="C3443" s="4">
        <v>7.9</v>
      </c>
    </row>
    <row r="3444" spans="1:3" x14ac:dyDescent="0.3">
      <c r="A3444" s="3" t="s">
        <v>7697</v>
      </c>
      <c r="B3444" s="3" t="s">
        <v>7</v>
      </c>
      <c r="C3444" s="3">
        <v>6.8</v>
      </c>
    </row>
    <row r="3445" spans="1:3" x14ac:dyDescent="0.3">
      <c r="A3445" s="4" t="s">
        <v>7699</v>
      </c>
      <c r="B3445" s="4" t="s">
        <v>7</v>
      </c>
      <c r="C3445" s="4">
        <v>6.3</v>
      </c>
    </row>
    <row r="3446" spans="1:3" x14ac:dyDescent="0.3">
      <c r="A3446" s="3" t="s">
        <v>7701</v>
      </c>
      <c r="B3446" s="3" t="s">
        <v>7</v>
      </c>
      <c r="C3446" s="3">
        <v>6.3</v>
      </c>
    </row>
    <row r="3447" spans="1:3" x14ac:dyDescent="0.3">
      <c r="A3447" s="4" t="s">
        <v>7703</v>
      </c>
      <c r="B3447" s="4" t="s">
        <v>1146</v>
      </c>
      <c r="C3447" s="4">
        <v>6.6</v>
      </c>
    </row>
    <row r="3448" spans="1:3" x14ac:dyDescent="0.3">
      <c r="A3448" s="3" t="s">
        <v>7705</v>
      </c>
      <c r="B3448" s="3" t="s">
        <v>7</v>
      </c>
      <c r="C3448" s="3">
        <v>6.4</v>
      </c>
    </row>
    <row r="3449" spans="1:3" x14ac:dyDescent="0.3">
      <c r="A3449" s="4" t="s">
        <v>7707</v>
      </c>
      <c r="B3449" s="4" t="s">
        <v>7</v>
      </c>
      <c r="C3449" s="4">
        <v>7.5</v>
      </c>
    </row>
    <row r="3450" spans="1:3" x14ac:dyDescent="0.3">
      <c r="A3450" s="3" t="s">
        <v>7709</v>
      </c>
      <c r="B3450" s="3" t="s">
        <v>7</v>
      </c>
      <c r="C3450" s="3">
        <v>5.8</v>
      </c>
    </row>
    <row r="3451" spans="1:3" x14ac:dyDescent="0.3">
      <c r="A3451" s="4" t="s">
        <v>7711</v>
      </c>
      <c r="B3451" s="4" t="s">
        <v>7</v>
      </c>
      <c r="C3451" s="4">
        <v>6.5</v>
      </c>
    </row>
    <row r="3452" spans="1:3" x14ac:dyDescent="0.3">
      <c r="A3452" s="3" t="s">
        <v>7713</v>
      </c>
      <c r="B3452" s="3" t="s">
        <v>7</v>
      </c>
      <c r="C3452" s="3">
        <v>4.8</v>
      </c>
    </row>
    <row r="3453" spans="1:3" x14ac:dyDescent="0.3">
      <c r="A3453" s="4" t="s">
        <v>7715</v>
      </c>
      <c r="B3453" s="4" t="s">
        <v>7</v>
      </c>
      <c r="C3453" s="4">
        <v>7.2</v>
      </c>
    </row>
    <row r="3454" spans="1:3" x14ac:dyDescent="0.3">
      <c r="A3454" s="3" t="s">
        <v>7717</v>
      </c>
      <c r="B3454" s="3" t="s">
        <v>7</v>
      </c>
      <c r="C3454" s="3">
        <v>6.3</v>
      </c>
    </row>
    <row r="3455" spans="1:3" x14ac:dyDescent="0.3">
      <c r="A3455" s="4" t="s">
        <v>7719</v>
      </c>
      <c r="B3455" s="4" t="s">
        <v>7</v>
      </c>
      <c r="C3455" s="4">
        <v>7</v>
      </c>
    </row>
    <row r="3456" spans="1:3" x14ac:dyDescent="0.3">
      <c r="A3456" s="3" t="s">
        <v>7721</v>
      </c>
      <c r="B3456" s="3" t="s">
        <v>7</v>
      </c>
      <c r="C3456" s="3">
        <v>6.3</v>
      </c>
    </row>
    <row r="3457" spans="1:3" x14ac:dyDescent="0.3">
      <c r="A3457" s="4" t="s">
        <v>7723</v>
      </c>
      <c r="B3457" s="4" t="s">
        <v>7</v>
      </c>
      <c r="C3457" s="4">
        <v>5.3</v>
      </c>
    </row>
    <row r="3458" spans="1:3" x14ac:dyDescent="0.3">
      <c r="A3458" s="3" t="s">
        <v>7725</v>
      </c>
      <c r="B3458" s="3" t="s">
        <v>7</v>
      </c>
      <c r="C3458" s="3">
        <v>2.2999999999999998</v>
      </c>
    </row>
    <row r="3459" spans="1:3" x14ac:dyDescent="0.3">
      <c r="A3459" s="4" t="s">
        <v>7727</v>
      </c>
      <c r="B3459" s="4" t="s">
        <v>7</v>
      </c>
      <c r="C3459" s="4">
        <v>7.1</v>
      </c>
    </row>
    <row r="3460" spans="1:3" x14ac:dyDescent="0.3">
      <c r="A3460" s="3" t="s">
        <v>7729</v>
      </c>
      <c r="B3460" s="3" t="s">
        <v>7</v>
      </c>
      <c r="C3460" s="3">
        <v>6.2</v>
      </c>
    </row>
    <row r="3461" spans="1:3" x14ac:dyDescent="0.3">
      <c r="A3461" s="4" t="s">
        <v>7731</v>
      </c>
      <c r="B3461" s="4" t="s">
        <v>7</v>
      </c>
      <c r="C3461" s="4">
        <v>6.2</v>
      </c>
    </row>
    <row r="3462" spans="1:3" x14ac:dyDescent="0.3">
      <c r="A3462" s="3" t="s">
        <v>7733</v>
      </c>
      <c r="B3462" s="3" t="s">
        <v>7</v>
      </c>
      <c r="C3462" s="3">
        <v>6.7</v>
      </c>
    </row>
    <row r="3463" spans="1:3" x14ac:dyDescent="0.3">
      <c r="A3463" s="4" t="s">
        <v>7735</v>
      </c>
      <c r="B3463" s="4" t="s">
        <v>7</v>
      </c>
      <c r="C3463" s="4">
        <v>6.5</v>
      </c>
    </row>
    <row r="3464" spans="1:3" x14ac:dyDescent="0.3">
      <c r="A3464" s="3" t="s">
        <v>7737</v>
      </c>
      <c r="B3464" s="3" t="s">
        <v>1146</v>
      </c>
      <c r="C3464" s="3">
        <v>5.9</v>
      </c>
    </row>
    <row r="3465" spans="1:3" x14ac:dyDescent="0.3">
      <c r="A3465" s="4" t="s">
        <v>7740</v>
      </c>
      <c r="B3465" s="4" t="s">
        <v>7</v>
      </c>
      <c r="C3465" s="4">
        <v>6.7</v>
      </c>
    </row>
    <row r="3466" spans="1:3" x14ac:dyDescent="0.3">
      <c r="A3466" s="3" t="s">
        <v>7742</v>
      </c>
      <c r="B3466" s="3" t="s">
        <v>7</v>
      </c>
      <c r="C3466" s="3">
        <v>6</v>
      </c>
    </row>
    <row r="3467" spans="1:3" x14ac:dyDescent="0.3">
      <c r="A3467" s="4" t="s">
        <v>7744</v>
      </c>
      <c r="B3467" s="4" t="s">
        <v>6411</v>
      </c>
      <c r="C3467" s="4">
        <v>6.9</v>
      </c>
    </row>
    <row r="3468" spans="1:3" x14ac:dyDescent="0.3">
      <c r="A3468" s="3" t="s">
        <v>7746</v>
      </c>
      <c r="B3468" s="3" t="s">
        <v>7</v>
      </c>
      <c r="C3468" s="3">
        <v>7.9</v>
      </c>
    </row>
    <row r="3469" spans="1:3" x14ac:dyDescent="0.3">
      <c r="A3469" s="4" t="s">
        <v>7748</v>
      </c>
      <c r="B3469" s="4" t="s">
        <v>7750</v>
      </c>
      <c r="C3469" s="4">
        <v>5.3</v>
      </c>
    </row>
    <row r="3470" spans="1:3" x14ac:dyDescent="0.3">
      <c r="A3470" s="3" t="s">
        <v>7751</v>
      </c>
      <c r="B3470" s="3" t="s">
        <v>7</v>
      </c>
      <c r="C3470" s="3">
        <v>4.8</v>
      </c>
    </row>
    <row r="3471" spans="1:3" x14ac:dyDescent="0.3">
      <c r="A3471" s="4" t="s">
        <v>7753</v>
      </c>
      <c r="B3471" s="4" t="s">
        <v>7</v>
      </c>
      <c r="C3471" s="4">
        <v>5.3</v>
      </c>
    </row>
    <row r="3472" spans="1:3" x14ac:dyDescent="0.3">
      <c r="A3472" s="3" t="s">
        <v>7755</v>
      </c>
      <c r="B3472" s="3" t="s">
        <v>7</v>
      </c>
      <c r="C3472" s="3">
        <v>6</v>
      </c>
    </row>
    <row r="3473" spans="1:3" x14ac:dyDescent="0.3">
      <c r="A3473" s="4" t="s">
        <v>7757</v>
      </c>
      <c r="B3473" s="4" t="s">
        <v>7</v>
      </c>
      <c r="C3473" s="4">
        <v>7.3</v>
      </c>
    </row>
    <row r="3474" spans="1:3" x14ac:dyDescent="0.3">
      <c r="A3474" s="3" t="s">
        <v>7759</v>
      </c>
      <c r="B3474" s="3" t="s">
        <v>7</v>
      </c>
      <c r="C3474" s="3">
        <v>7.4</v>
      </c>
    </row>
    <row r="3475" spans="1:3" x14ac:dyDescent="0.3">
      <c r="A3475" s="4" t="s">
        <v>7761</v>
      </c>
      <c r="B3475" s="4" t="s">
        <v>7</v>
      </c>
      <c r="C3475" s="4">
        <v>7.7</v>
      </c>
    </row>
    <row r="3476" spans="1:3" x14ac:dyDescent="0.3">
      <c r="A3476" s="3" t="s">
        <v>7763</v>
      </c>
      <c r="B3476" s="3" t="s">
        <v>7</v>
      </c>
      <c r="C3476" s="3">
        <v>4.8</v>
      </c>
    </row>
    <row r="3477" spans="1:3" x14ac:dyDescent="0.3">
      <c r="A3477" s="4" t="s">
        <v>7765</v>
      </c>
      <c r="B3477" s="4" t="s">
        <v>7</v>
      </c>
      <c r="C3477" s="4">
        <v>7.2</v>
      </c>
    </row>
    <row r="3478" spans="1:3" x14ac:dyDescent="0.3">
      <c r="A3478" s="3" t="s">
        <v>7767</v>
      </c>
      <c r="B3478" s="3" t="s">
        <v>7</v>
      </c>
      <c r="C3478" s="3">
        <v>5.8</v>
      </c>
    </row>
    <row r="3479" spans="1:3" x14ac:dyDescent="0.3">
      <c r="A3479" s="4" t="s">
        <v>7769</v>
      </c>
      <c r="B3479" s="4" t="s">
        <v>1146</v>
      </c>
      <c r="C3479" s="4">
        <v>7.3</v>
      </c>
    </row>
    <row r="3480" spans="1:3" x14ac:dyDescent="0.3">
      <c r="A3480" s="3" t="s">
        <v>7771</v>
      </c>
      <c r="B3480" s="3" t="s">
        <v>2354</v>
      </c>
      <c r="C3480" s="3">
        <v>7</v>
      </c>
    </row>
    <row r="3481" spans="1:3" x14ac:dyDescent="0.3">
      <c r="A3481" s="4" t="s">
        <v>7773</v>
      </c>
      <c r="B3481" s="4" t="s">
        <v>7</v>
      </c>
      <c r="C3481" s="4">
        <v>6.4</v>
      </c>
    </row>
    <row r="3482" spans="1:3" x14ac:dyDescent="0.3">
      <c r="A3482" s="3" t="s">
        <v>7775</v>
      </c>
      <c r="B3482" s="3" t="s">
        <v>7</v>
      </c>
      <c r="C3482" s="3">
        <v>5.6</v>
      </c>
    </row>
    <row r="3483" spans="1:3" x14ac:dyDescent="0.3">
      <c r="A3483" s="4" t="s">
        <v>7777</v>
      </c>
      <c r="B3483" s="4" t="s">
        <v>7</v>
      </c>
      <c r="C3483" s="4">
        <v>8.1999999999999993</v>
      </c>
    </row>
    <row r="3484" spans="1:3" x14ac:dyDescent="0.3">
      <c r="A3484" s="3" t="s">
        <v>7779</v>
      </c>
      <c r="B3484" s="3" t="s">
        <v>7</v>
      </c>
      <c r="C3484" s="3">
        <v>6.5</v>
      </c>
    </row>
    <row r="3485" spans="1:3" x14ac:dyDescent="0.3">
      <c r="A3485" s="4" t="s">
        <v>7781</v>
      </c>
      <c r="B3485" s="4" t="s">
        <v>4134</v>
      </c>
      <c r="C3485" s="4">
        <v>6.4</v>
      </c>
    </row>
    <row r="3486" spans="1:3" x14ac:dyDescent="0.3">
      <c r="A3486" s="3" t="s">
        <v>7783</v>
      </c>
      <c r="B3486" s="3" t="s">
        <v>5982</v>
      </c>
      <c r="C3486" s="3">
        <v>8.1</v>
      </c>
    </row>
    <row r="3487" spans="1:3" x14ac:dyDescent="0.3">
      <c r="A3487" s="4" t="s">
        <v>7785</v>
      </c>
      <c r="B3487" s="4" t="s">
        <v>7</v>
      </c>
      <c r="C3487" s="4">
        <v>5.4</v>
      </c>
    </row>
    <row r="3488" spans="1:3" x14ac:dyDescent="0.3">
      <c r="A3488" s="3" t="s">
        <v>7787</v>
      </c>
      <c r="B3488" s="3" t="s">
        <v>7</v>
      </c>
      <c r="C3488" s="3">
        <v>6.3</v>
      </c>
    </row>
    <row r="3489" spans="1:3" x14ac:dyDescent="0.3">
      <c r="A3489" s="4" t="s">
        <v>7789</v>
      </c>
      <c r="B3489" s="4" t="s">
        <v>7</v>
      </c>
      <c r="C3489" s="4">
        <v>7.8</v>
      </c>
    </row>
    <row r="3490" spans="1:3" x14ac:dyDescent="0.3">
      <c r="A3490" s="3" t="s">
        <v>7791</v>
      </c>
      <c r="B3490" s="3" t="s">
        <v>7</v>
      </c>
      <c r="C3490" s="3">
        <v>6.8</v>
      </c>
    </row>
    <row r="3491" spans="1:3" x14ac:dyDescent="0.3">
      <c r="A3491" s="4" t="s">
        <v>7793</v>
      </c>
      <c r="B3491" s="4" t="s">
        <v>1146</v>
      </c>
      <c r="C3491" s="4">
        <v>7.2</v>
      </c>
    </row>
    <row r="3492" spans="1:3" x14ac:dyDescent="0.3">
      <c r="A3492" s="3" t="s">
        <v>7796</v>
      </c>
      <c r="B3492" s="3" t="s">
        <v>7</v>
      </c>
      <c r="C3492" s="3">
        <v>7.1</v>
      </c>
    </row>
    <row r="3493" spans="1:3" x14ac:dyDescent="0.3">
      <c r="A3493" s="4" t="s">
        <v>7798</v>
      </c>
      <c r="B3493" s="4" t="s">
        <v>7</v>
      </c>
      <c r="C3493" s="4">
        <v>6.2</v>
      </c>
    </row>
    <row r="3494" spans="1:3" x14ac:dyDescent="0.3">
      <c r="A3494" s="3" t="s">
        <v>7800</v>
      </c>
      <c r="B3494" s="3" t="s">
        <v>7</v>
      </c>
      <c r="C3494" s="3">
        <v>7.3</v>
      </c>
    </row>
    <row r="3495" spans="1:3" x14ac:dyDescent="0.3">
      <c r="A3495" s="4" t="s">
        <v>7802</v>
      </c>
      <c r="B3495" s="4" t="s">
        <v>7</v>
      </c>
      <c r="C3495" s="4">
        <v>5.9</v>
      </c>
    </row>
    <row r="3496" spans="1:3" x14ac:dyDescent="0.3">
      <c r="A3496" s="3" t="s">
        <v>7805</v>
      </c>
      <c r="B3496" s="3" t="s">
        <v>7</v>
      </c>
      <c r="C3496" s="3">
        <v>7.2</v>
      </c>
    </row>
    <row r="3497" spans="1:3" x14ac:dyDescent="0.3">
      <c r="A3497" s="4" t="s">
        <v>7807</v>
      </c>
      <c r="B3497" s="4" t="s">
        <v>7</v>
      </c>
      <c r="C3497" s="4">
        <v>3.6</v>
      </c>
    </row>
    <row r="3498" spans="1:3" x14ac:dyDescent="0.3">
      <c r="A3498" s="3" t="s">
        <v>7809</v>
      </c>
      <c r="B3498" s="3" t="s">
        <v>7811</v>
      </c>
      <c r="C3498" s="3">
        <v>7.7</v>
      </c>
    </row>
    <row r="3499" spans="1:3" x14ac:dyDescent="0.3">
      <c r="A3499" s="4" t="s">
        <v>7813</v>
      </c>
      <c r="B3499" s="4" t="s">
        <v>7</v>
      </c>
      <c r="C3499" s="4">
        <v>7.3</v>
      </c>
    </row>
    <row r="3500" spans="1:3" x14ac:dyDescent="0.3">
      <c r="A3500" s="3" t="s">
        <v>7815</v>
      </c>
      <c r="B3500" s="3" t="s">
        <v>7</v>
      </c>
      <c r="C3500" s="3">
        <v>7.4</v>
      </c>
    </row>
    <row r="3501" spans="1:3" x14ac:dyDescent="0.3">
      <c r="A3501" s="4" t="s">
        <v>7817</v>
      </c>
      <c r="B3501" s="4" t="s">
        <v>7</v>
      </c>
      <c r="C3501" s="4">
        <v>6.6</v>
      </c>
    </row>
    <row r="3502" spans="1:3" x14ac:dyDescent="0.3">
      <c r="A3502" s="3" t="s">
        <v>7819</v>
      </c>
      <c r="B3502" s="3" t="s">
        <v>7</v>
      </c>
      <c r="C3502" s="3">
        <v>6.9</v>
      </c>
    </row>
    <row r="3503" spans="1:3" x14ac:dyDescent="0.3">
      <c r="A3503" s="4" t="s">
        <v>7821</v>
      </c>
      <c r="B3503" s="4" t="s">
        <v>7</v>
      </c>
      <c r="C3503" s="4">
        <v>6.8</v>
      </c>
    </row>
    <row r="3504" spans="1:3" x14ac:dyDescent="0.3">
      <c r="A3504" s="3" t="s">
        <v>7823</v>
      </c>
      <c r="B3504" s="3" t="s">
        <v>7</v>
      </c>
      <c r="C3504" s="3">
        <v>7.3</v>
      </c>
    </row>
    <row r="3505" spans="1:3" x14ac:dyDescent="0.3">
      <c r="A3505" s="4" t="s">
        <v>7825</v>
      </c>
      <c r="B3505" s="4" t="s">
        <v>7</v>
      </c>
      <c r="C3505" s="4">
        <v>7.2</v>
      </c>
    </row>
    <row r="3506" spans="1:3" x14ac:dyDescent="0.3">
      <c r="A3506" s="3" t="s">
        <v>7827</v>
      </c>
      <c r="B3506" s="3" t="s">
        <v>7</v>
      </c>
      <c r="C3506" s="3">
        <v>6.5</v>
      </c>
    </row>
    <row r="3507" spans="1:3" x14ac:dyDescent="0.3">
      <c r="A3507" s="4" t="s">
        <v>7829</v>
      </c>
      <c r="B3507" s="4" t="s">
        <v>247</v>
      </c>
      <c r="C3507" s="4">
        <v>7.7</v>
      </c>
    </row>
    <row r="3508" spans="1:3" x14ac:dyDescent="0.3">
      <c r="A3508" s="3" t="s">
        <v>7831</v>
      </c>
      <c r="B3508" s="3" t="s">
        <v>7</v>
      </c>
      <c r="C3508" s="3">
        <v>8.1</v>
      </c>
    </row>
    <row r="3509" spans="1:3" x14ac:dyDescent="0.3">
      <c r="A3509" s="4" t="s">
        <v>7833</v>
      </c>
      <c r="B3509" s="4" t="s">
        <v>7</v>
      </c>
      <c r="C3509" s="4">
        <v>7.7</v>
      </c>
    </row>
    <row r="3510" spans="1:3" x14ac:dyDescent="0.3">
      <c r="A3510" s="3" t="s">
        <v>7835</v>
      </c>
      <c r="B3510" s="3" t="s">
        <v>7</v>
      </c>
      <c r="C3510" s="3">
        <v>7.6</v>
      </c>
    </row>
    <row r="3511" spans="1:3" x14ac:dyDescent="0.3">
      <c r="A3511" s="4" t="s">
        <v>7837</v>
      </c>
      <c r="B3511" s="4" t="s">
        <v>7</v>
      </c>
      <c r="C3511" s="4">
        <v>7.3</v>
      </c>
    </row>
    <row r="3512" spans="1:3" x14ac:dyDescent="0.3">
      <c r="A3512" s="3" t="s">
        <v>7839</v>
      </c>
      <c r="B3512" s="3" t="s">
        <v>7</v>
      </c>
      <c r="C3512" s="3">
        <v>7.2</v>
      </c>
    </row>
    <row r="3513" spans="1:3" x14ac:dyDescent="0.3">
      <c r="A3513" s="4" t="s">
        <v>7841</v>
      </c>
      <c r="B3513" s="4" t="s">
        <v>7</v>
      </c>
      <c r="C3513" s="4">
        <v>7.2</v>
      </c>
    </row>
    <row r="3514" spans="1:3" x14ac:dyDescent="0.3">
      <c r="A3514" s="3" t="s">
        <v>7843</v>
      </c>
      <c r="B3514" s="3" t="s">
        <v>7</v>
      </c>
      <c r="C3514" s="3">
        <v>8.1</v>
      </c>
    </row>
    <row r="3515" spans="1:3" x14ac:dyDescent="0.3">
      <c r="A3515" s="4" t="s">
        <v>7845</v>
      </c>
      <c r="B3515" s="4" t="s">
        <v>7</v>
      </c>
      <c r="C3515" s="4">
        <v>7.5</v>
      </c>
    </row>
    <row r="3516" spans="1:3" x14ac:dyDescent="0.3">
      <c r="A3516" s="3" t="s">
        <v>7847</v>
      </c>
      <c r="B3516" s="3" t="s">
        <v>7</v>
      </c>
      <c r="C3516" s="3">
        <v>8.1</v>
      </c>
    </row>
    <row r="3517" spans="1:3" x14ac:dyDescent="0.3">
      <c r="A3517" s="4" t="s">
        <v>7849</v>
      </c>
      <c r="B3517" s="4" t="s">
        <v>7</v>
      </c>
      <c r="C3517" s="4">
        <v>7.8</v>
      </c>
    </row>
    <row r="3518" spans="1:3" x14ac:dyDescent="0.3">
      <c r="A3518" s="3" t="s">
        <v>7851</v>
      </c>
      <c r="B3518" s="3" t="s">
        <v>7</v>
      </c>
      <c r="C3518" s="3">
        <v>7.8</v>
      </c>
    </row>
    <row r="3519" spans="1:3" x14ac:dyDescent="0.3">
      <c r="A3519" s="4" t="s">
        <v>7853</v>
      </c>
      <c r="B3519" s="4" t="s">
        <v>7</v>
      </c>
      <c r="C3519" s="4">
        <v>5.8</v>
      </c>
    </row>
    <row r="3520" spans="1:3" x14ac:dyDescent="0.3">
      <c r="A3520" s="3" t="s">
        <v>7855</v>
      </c>
      <c r="B3520" s="3" t="s">
        <v>7</v>
      </c>
      <c r="C3520" s="3">
        <v>7.6</v>
      </c>
    </row>
    <row r="3521" spans="1:3" x14ac:dyDescent="0.3">
      <c r="A3521" s="4" t="s">
        <v>7857</v>
      </c>
      <c r="B3521" s="4" t="s">
        <v>7</v>
      </c>
      <c r="C3521" s="4">
        <v>7.4</v>
      </c>
    </row>
    <row r="3522" spans="1:3" x14ac:dyDescent="0.3">
      <c r="A3522" s="3" t="s">
        <v>7859</v>
      </c>
      <c r="B3522" s="3" t="s">
        <v>2354</v>
      </c>
      <c r="C3522" s="3">
        <v>6.3</v>
      </c>
    </row>
    <row r="3523" spans="1:3" x14ac:dyDescent="0.3">
      <c r="A3523" s="4" t="s">
        <v>7861</v>
      </c>
      <c r="B3523" s="4" t="s">
        <v>7</v>
      </c>
      <c r="C3523" s="4">
        <v>6.9</v>
      </c>
    </row>
    <row r="3524" spans="1:3" x14ac:dyDescent="0.3">
      <c r="A3524" s="3" t="s">
        <v>7863</v>
      </c>
      <c r="B3524" s="3" t="s">
        <v>7</v>
      </c>
      <c r="C3524" s="3">
        <v>8.6</v>
      </c>
    </row>
    <row r="3525" spans="1:3" x14ac:dyDescent="0.3">
      <c r="A3525" s="4" t="s">
        <v>7865</v>
      </c>
      <c r="B3525" s="4" t="s">
        <v>7</v>
      </c>
      <c r="C3525" s="4">
        <v>5.0999999999999996</v>
      </c>
    </row>
    <row r="3526" spans="1:3" x14ac:dyDescent="0.3">
      <c r="A3526" s="3" t="s">
        <v>7867</v>
      </c>
      <c r="B3526" s="3" t="s">
        <v>7</v>
      </c>
      <c r="C3526" s="3">
        <v>6.4</v>
      </c>
    </row>
    <row r="3527" spans="1:3" x14ac:dyDescent="0.3">
      <c r="A3527" s="4" t="s">
        <v>7869</v>
      </c>
      <c r="B3527" s="4" t="s">
        <v>7</v>
      </c>
      <c r="C3527" s="4">
        <v>7.9</v>
      </c>
    </row>
    <row r="3528" spans="1:3" x14ac:dyDescent="0.3">
      <c r="A3528" s="3" t="s">
        <v>7871</v>
      </c>
      <c r="B3528" s="3" t="s">
        <v>7</v>
      </c>
      <c r="C3528" s="3">
        <v>6.9</v>
      </c>
    </row>
    <row r="3529" spans="1:3" x14ac:dyDescent="0.3">
      <c r="A3529" s="4" t="s">
        <v>7873</v>
      </c>
      <c r="B3529" s="4" t="s">
        <v>7</v>
      </c>
      <c r="C3529" s="4">
        <v>7.5</v>
      </c>
    </row>
    <row r="3530" spans="1:3" x14ac:dyDescent="0.3">
      <c r="A3530" s="3" t="s">
        <v>7876</v>
      </c>
      <c r="B3530" s="3" t="s">
        <v>7811</v>
      </c>
      <c r="C3530" s="3">
        <v>7.2</v>
      </c>
    </row>
    <row r="3531" spans="1:3" x14ac:dyDescent="0.3">
      <c r="A3531" s="4" t="s">
        <v>7878</v>
      </c>
      <c r="B3531" s="4" t="s">
        <v>7</v>
      </c>
      <c r="C3531" s="4">
        <v>5.8</v>
      </c>
    </row>
    <row r="3532" spans="1:3" x14ac:dyDescent="0.3">
      <c r="A3532" s="3" t="s">
        <v>7880</v>
      </c>
      <c r="B3532" s="3" t="s">
        <v>7</v>
      </c>
      <c r="C3532" s="3">
        <v>2.9</v>
      </c>
    </row>
    <row r="3533" spans="1:3" x14ac:dyDescent="0.3">
      <c r="A3533" s="4" t="s">
        <v>7883</v>
      </c>
      <c r="B3533" s="4" t="s">
        <v>7</v>
      </c>
      <c r="C3533" s="4">
        <v>6.2</v>
      </c>
    </row>
    <row r="3534" spans="1:3" x14ac:dyDescent="0.3">
      <c r="A3534" s="3" t="s">
        <v>7885</v>
      </c>
      <c r="B3534" s="3" t="s">
        <v>7</v>
      </c>
      <c r="C3534" s="3">
        <v>7.3</v>
      </c>
    </row>
    <row r="3535" spans="1:3" x14ac:dyDescent="0.3">
      <c r="A3535" s="4" t="s">
        <v>7887</v>
      </c>
      <c r="B3535" s="4" t="s">
        <v>7</v>
      </c>
      <c r="C3535" s="4">
        <v>6.2</v>
      </c>
    </row>
    <row r="3536" spans="1:3" x14ac:dyDescent="0.3">
      <c r="A3536" s="3" t="s">
        <v>7889</v>
      </c>
      <c r="B3536" s="3" t="s">
        <v>7</v>
      </c>
      <c r="C3536" s="3">
        <v>6.8</v>
      </c>
    </row>
    <row r="3537" spans="1:3" x14ac:dyDescent="0.3">
      <c r="A3537" s="4" t="s">
        <v>7891</v>
      </c>
      <c r="B3537" s="4" t="s">
        <v>7</v>
      </c>
      <c r="C3537" s="4">
        <v>6.1</v>
      </c>
    </row>
    <row r="3538" spans="1:3" x14ac:dyDescent="0.3">
      <c r="A3538" s="3" t="s">
        <v>7893</v>
      </c>
      <c r="B3538" s="3" t="s">
        <v>7</v>
      </c>
      <c r="C3538" s="3">
        <v>7.7</v>
      </c>
    </row>
    <row r="3539" spans="1:3" x14ac:dyDescent="0.3">
      <c r="A3539" s="4" t="s">
        <v>7895</v>
      </c>
      <c r="B3539" s="4" t="s">
        <v>7</v>
      </c>
      <c r="C3539" s="4">
        <v>5.2</v>
      </c>
    </row>
    <row r="3540" spans="1:3" x14ac:dyDescent="0.3">
      <c r="A3540" s="3" t="s">
        <v>7897</v>
      </c>
      <c r="B3540" s="3" t="s">
        <v>7</v>
      </c>
      <c r="C3540" s="3">
        <v>6.8</v>
      </c>
    </row>
    <row r="3541" spans="1:3" x14ac:dyDescent="0.3">
      <c r="A3541" s="4" t="s">
        <v>7899</v>
      </c>
      <c r="B3541" s="4" t="s">
        <v>7</v>
      </c>
      <c r="C3541" s="4">
        <v>6.5</v>
      </c>
    </row>
    <row r="3542" spans="1:3" x14ac:dyDescent="0.3">
      <c r="A3542" s="3" t="s">
        <v>7901</v>
      </c>
      <c r="B3542" s="3" t="s">
        <v>7</v>
      </c>
      <c r="C3542" s="3">
        <v>7</v>
      </c>
    </row>
    <row r="3543" spans="1:3" x14ac:dyDescent="0.3">
      <c r="A3543" s="4" t="s">
        <v>7903</v>
      </c>
      <c r="B3543" s="4" t="s">
        <v>7</v>
      </c>
      <c r="C3543" s="4">
        <v>5.9</v>
      </c>
    </row>
    <row r="3544" spans="1:3" x14ac:dyDescent="0.3">
      <c r="A3544" s="3" t="s">
        <v>7905</v>
      </c>
      <c r="B3544" s="3" t="s">
        <v>7</v>
      </c>
      <c r="C3544" s="3">
        <v>7.1</v>
      </c>
    </row>
    <row r="3545" spans="1:3" x14ac:dyDescent="0.3">
      <c r="A3545" s="4" t="s">
        <v>7907</v>
      </c>
      <c r="B3545" s="4" t="s">
        <v>7</v>
      </c>
      <c r="C3545" s="4">
        <v>5.5</v>
      </c>
    </row>
    <row r="3546" spans="1:3" x14ac:dyDescent="0.3">
      <c r="A3546" s="3" t="s">
        <v>7909</v>
      </c>
      <c r="B3546" s="3" t="s">
        <v>7</v>
      </c>
      <c r="C3546" s="3">
        <v>7.4</v>
      </c>
    </row>
    <row r="3547" spans="1:3" x14ac:dyDescent="0.3">
      <c r="A3547" s="4" t="s">
        <v>7911</v>
      </c>
      <c r="B3547" s="4" t="s">
        <v>7913</v>
      </c>
      <c r="C3547" s="4">
        <v>7.3</v>
      </c>
    </row>
    <row r="3548" spans="1:3" x14ac:dyDescent="0.3">
      <c r="A3548" s="3" t="s">
        <v>7914</v>
      </c>
      <c r="B3548" s="3" t="s">
        <v>7</v>
      </c>
      <c r="C3548" s="3">
        <v>4.5999999999999996</v>
      </c>
    </row>
    <row r="3549" spans="1:3" x14ac:dyDescent="0.3">
      <c r="A3549" s="4" t="s">
        <v>7916</v>
      </c>
      <c r="B3549" s="4" t="s">
        <v>7</v>
      </c>
      <c r="C3549" s="4">
        <v>7.2</v>
      </c>
    </row>
    <row r="3550" spans="1:3" x14ac:dyDescent="0.3">
      <c r="A3550" s="3" t="s">
        <v>7919</v>
      </c>
      <c r="B3550" s="3" t="s">
        <v>7</v>
      </c>
      <c r="C3550" s="3">
        <v>7</v>
      </c>
    </row>
    <row r="3551" spans="1:3" x14ac:dyDescent="0.3">
      <c r="A3551" s="4" t="s">
        <v>7922</v>
      </c>
      <c r="B3551" s="4" t="s">
        <v>7</v>
      </c>
      <c r="C3551" s="4">
        <v>5.0999999999999996</v>
      </c>
    </row>
    <row r="3552" spans="1:3" x14ac:dyDescent="0.3">
      <c r="A3552" s="3" t="s">
        <v>7924</v>
      </c>
      <c r="B3552" s="3" t="s">
        <v>7</v>
      </c>
      <c r="C3552" s="3">
        <v>6.7</v>
      </c>
    </row>
    <row r="3553" spans="1:3" x14ac:dyDescent="0.3">
      <c r="A3553" s="4" t="s">
        <v>7926</v>
      </c>
      <c r="B3553" s="4" t="s">
        <v>7</v>
      </c>
      <c r="C3553" s="4">
        <v>5.3</v>
      </c>
    </row>
    <row r="3554" spans="1:3" x14ac:dyDescent="0.3">
      <c r="A3554" s="3" t="s">
        <v>7929</v>
      </c>
      <c r="B3554" s="3" t="s">
        <v>7</v>
      </c>
      <c r="C3554" s="3">
        <v>7.8</v>
      </c>
    </row>
    <row r="3555" spans="1:3" x14ac:dyDescent="0.3">
      <c r="A3555" s="4" t="s">
        <v>7931</v>
      </c>
      <c r="B3555" s="4" t="s">
        <v>7918</v>
      </c>
      <c r="C3555" s="4">
        <v>6.7</v>
      </c>
    </row>
    <row r="3556" spans="1:3" x14ac:dyDescent="0.3">
      <c r="A3556" s="3" t="s">
        <v>7933</v>
      </c>
      <c r="B3556" s="3" t="s">
        <v>7</v>
      </c>
      <c r="C3556" s="3">
        <v>5.4</v>
      </c>
    </row>
    <row r="3557" spans="1:3" x14ac:dyDescent="0.3">
      <c r="A3557" s="4" t="s">
        <v>7935</v>
      </c>
      <c r="B3557" s="4" t="s">
        <v>7</v>
      </c>
      <c r="C3557" s="4">
        <v>7.2</v>
      </c>
    </row>
    <row r="3558" spans="1:3" x14ac:dyDescent="0.3">
      <c r="A3558" s="3" t="s">
        <v>7937</v>
      </c>
      <c r="B3558" s="3" t="s">
        <v>7</v>
      </c>
      <c r="C3558" s="3">
        <v>5.8</v>
      </c>
    </row>
    <row r="3559" spans="1:3" x14ac:dyDescent="0.3">
      <c r="A3559" s="4" t="s">
        <v>7939</v>
      </c>
      <c r="B3559" s="4" t="s">
        <v>7</v>
      </c>
      <c r="C3559" s="4">
        <v>6.4</v>
      </c>
    </row>
    <row r="3560" spans="1:3" x14ac:dyDescent="0.3">
      <c r="A3560" s="3" t="s">
        <v>7941</v>
      </c>
      <c r="B3560" s="3" t="s">
        <v>7</v>
      </c>
      <c r="C3560" s="3">
        <v>8</v>
      </c>
    </row>
    <row r="3561" spans="1:3" x14ac:dyDescent="0.3">
      <c r="A3561" s="4" t="s">
        <v>7943</v>
      </c>
      <c r="B3561" s="4" t="s">
        <v>6938</v>
      </c>
      <c r="C3561" s="4">
        <v>7</v>
      </c>
    </row>
    <row r="3562" spans="1:3" x14ac:dyDescent="0.3">
      <c r="A3562" s="3" t="s">
        <v>7946</v>
      </c>
      <c r="B3562" s="3" t="s">
        <v>7</v>
      </c>
      <c r="C3562" s="3">
        <v>7</v>
      </c>
    </row>
    <row r="3563" spans="1:3" x14ac:dyDescent="0.3">
      <c r="A3563" s="4" t="s">
        <v>7948</v>
      </c>
      <c r="B3563" s="4" t="s">
        <v>7</v>
      </c>
      <c r="C3563" s="4">
        <v>6.7</v>
      </c>
    </row>
    <row r="3564" spans="1:3" x14ac:dyDescent="0.3">
      <c r="A3564" s="3" t="s">
        <v>7951</v>
      </c>
      <c r="B3564" s="3" t="s">
        <v>7</v>
      </c>
      <c r="C3564" s="3">
        <v>3.8</v>
      </c>
    </row>
    <row r="3565" spans="1:3" x14ac:dyDescent="0.3">
      <c r="A3565" s="4" t="s">
        <v>7953</v>
      </c>
      <c r="B3565" s="4" t="s">
        <v>7</v>
      </c>
      <c r="C3565" s="4">
        <v>5.7</v>
      </c>
    </row>
    <row r="3566" spans="1:3" x14ac:dyDescent="0.3">
      <c r="A3566" s="3" t="s">
        <v>7955</v>
      </c>
      <c r="B3566" s="3" t="s">
        <v>7</v>
      </c>
      <c r="C3566" s="3">
        <v>6.6</v>
      </c>
    </row>
    <row r="3567" spans="1:3" x14ac:dyDescent="0.3">
      <c r="A3567" s="4" t="s">
        <v>7957</v>
      </c>
      <c r="B3567" s="4" t="s">
        <v>7</v>
      </c>
      <c r="C3567" s="4">
        <v>6.7</v>
      </c>
    </row>
    <row r="3568" spans="1:3" x14ac:dyDescent="0.3">
      <c r="A3568" s="3" t="s">
        <v>7959</v>
      </c>
      <c r="B3568" s="3" t="s">
        <v>7</v>
      </c>
      <c r="C3568" s="3">
        <v>6.1</v>
      </c>
    </row>
    <row r="3569" spans="1:3" x14ac:dyDescent="0.3">
      <c r="A3569" s="4" t="s">
        <v>7961</v>
      </c>
      <c r="B3569" s="4" t="s">
        <v>7</v>
      </c>
      <c r="C3569" s="4">
        <v>6.2</v>
      </c>
    </row>
    <row r="3570" spans="1:3" x14ac:dyDescent="0.3">
      <c r="A3570" s="3" t="s">
        <v>7964</v>
      </c>
      <c r="B3570" s="3" t="s">
        <v>7</v>
      </c>
      <c r="C3570" s="3">
        <v>6.2</v>
      </c>
    </row>
    <row r="3571" spans="1:3" x14ac:dyDescent="0.3">
      <c r="A3571" s="4" t="s">
        <v>7966</v>
      </c>
      <c r="B3571" s="4" t="s">
        <v>7</v>
      </c>
      <c r="C3571" s="4">
        <v>7.4</v>
      </c>
    </row>
    <row r="3572" spans="1:3" x14ac:dyDescent="0.3">
      <c r="A3572" s="3" t="s">
        <v>7968</v>
      </c>
      <c r="B3572" s="3" t="s">
        <v>7</v>
      </c>
      <c r="C3572" s="3">
        <v>4.7</v>
      </c>
    </row>
    <row r="3573" spans="1:3" x14ac:dyDescent="0.3">
      <c r="A3573" s="4" t="s">
        <v>7970</v>
      </c>
      <c r="B3573" s="4" t="s">
        <v>7</v>
      </c>
      <c r="C3573" s="4">
        <v>8.3000000000000007</v>
      </c>
    </row>
    <row r="3574" spans="1:3" x14ac:dyDescent="0.3">
      <c r="A3574" s="3" t="s">
        <v>7972</v>
      </c>
      <c r="B3574" s="3" t="s">
        <v>7</v>
      </c>
      <c r="C3574" s="3">
        <v>7.2</v>
      </c>
    </row>
    <row r="3575" spans="1:3" x14ac:dyDescent="0.3">
      <c r="A3575" s="4" t="s">
        <v>7974</v>
      </c>
      <c r="B3575" s="4" t="s">
        <v>7</v>
      </c>
      <c r="C3575" s="4">
        <v>5.8</v>
      </c>
    </row>
    <row r="3576" spans="1:3" x14ac:dyDescent="0.3">
      <c r="A3576" s="3" t="s">
        <v>7976</v>
      </c>
      <c r="B3576" s="3" t="s">
        <v>7</v>
      </c>
      <c r="C3576" s="3">
        <v>5.9</v>
      </c>
    </row>
    <row r="3577" spans="1:3" x14ac:dyDescent="0.3">
      <c r="A3577" s="4" t="s">
        <v>7979</v>
      </c>
      <c r="B3577" s="4" t="s">
        <v>7</v>
      </c>
      <c r="C3577" s="4">
        <v>6.3</v>
      </c>
    </row>
    <row r="3578" spans="1:3" x14ac:dyDescent="0.3">
      <c r="A3578" s="3" t="s">
        <v>7981</v>
      </c>
      <c r="B3578" s="3" t="s">
        <v>7</v>
      </c>
      <c r="C3578" s="3">
        <v>7.2</v>
      </c>
    </row>
    <row r="3579" spans="1:3" x14ac:dyDescent="0.3">
      <c r="A3579" s="4" t="s">
        <v>7983</v>
      </c>
      <c r="B3579" s="4" t="s">
        <v>7</v>
      </c>
      <c r="C3579" s="4">
        <v>5.4</v>
      </c>
    </row>
    <row r="3580" spans="1:3" x14ac:dyDescent="0.3">
      <c r="A3580" s="3" t="s">
        <v>7985</v>
      </c>
      <c r="B3580" s="3" t="s">
        <v>7</v>
      </c>
      <c r="C3580" s="3">
        <v>7.3</v>
      </c>
    </row>
    <row r="3581" spans="1:3" x14ac:dyDescent="0.3">
      <c r="A3581" s="4" t="s">
        <v>7987</v>
      </c>
      <c r="B3581" s="4" t="s">
        <v>7</v>
      </c>
      <c r="C3581" s="4">
        <v>7.3</v>
      </c>
    </row>
    <row r="3582" spans="1:3" x14ac:dyDescent="0.3">
      <c r="A3582" s="3" t="s">
        <v>7989</v>
      </c>
      <c r="B3582" s="3" t="s">
        <v>7</v>
      </c>
      <c r="C3582" s="3">
        <v>5.8</v>
      </c>
    </row>
    <row r="3583" spans="1:3" x14ac:dyDescent="0.3">
      <c r="A3583" s="4" t="s">
        <v>7992</v>
      </c>
      <c r="B3583" s="4" t="s">
        <v>7</v>
      </c>
      <c r="C3583" s="4">
        <v>6.1</v>
      </c>
    </row>
    <row r="3584" spans="1:3" x14ac:dyDescent="0.3">
      <c r="A3584" s="3" t="s">
        <v>7995</v>
      </c>
      <c r="B3584" s="3" t="s">
        <v>7</v>
      </c>
      <c r="C3584" s="3">
        <v>7.1</v>
      </c>
    </row>
    <row r="3585" spans="1:3" x14ac:dyDescent="0.3">
      <c r="A3585" s="4" t="s">
        <v>7997</v>
      </c>
      <c r="B3585" s="4" t="s">
        <v>7</v>
      </c>
      <c r="C3585" s="4">
        <v>6.5</v>
      </c>
    </row>
    <row r="3586" spans="1:3" x14ac:dyDescent="0.3">
      <c r="A3586" s="3" t="s">
        <v>7999</v>
      </c>
      <c r="B3586" s="3" t="s">
        <v>7</v>
      </c>
      <c r="C3586" s="3">
        <v>7.9</v>
      </c>
    </row>
    <row r="3587" spans="1:3" x14ac:dyDescent="0.3">
      <c r="A3587" s="4" t="s">
        <v>8001</v>
      </c>
      <c r="B3587" s="4" t="s">
        <v>7</v>
      </c>
      <c r="C3587" s="4">
        <v>5.4</v>
      </c>
    </row>
    <row r="3588" spans="1:3" x14ac:dyDescent="0.3">
      <c r="A3588" s="3" t="s">
        <v>8004</v>
      </c>
      <c r="B3588" s="3" t="s">
        <v>7</v>
      </c>
      <c r="C3588" s="3">
        <v>7.1</v>
      </c>
    </row>
    <row r="3589" spans="1:3" x14ac:dyDescent="0.3">
      <c r="A3589" s="4" t="s">
        <v>8006</v>
      </c>
      <c r="B3589" s="4" t="s">
        <v>7</v>
      </c>
      <c r="C3589" s="4">
        <v>6.4</v>
      </c>
    </row>
    <row r="3590" spans="1:3" x14ac:dyDescent="0.3">
      <c r="A3590" s="3" t="s">
        <v>8008</v>
      </c>
      <c r="B3590" s="3" t="s">
        <v>7</v>
      </c>
      <c r="C3590" s="3">
        <v>6.7</v>
      </c>
    </row>
    <row r="3591" spans="1:3" x14ac:dyDescent="0.3">
      <c r="A3591" s="4" t="s">
        <v>8010</v>
      </c>
      <c r="B3591" s="4" t="s">
        <v>7</v>
      </c>
      <c r="C3591" s="4">
        <v>6.9</v>
      </c>
    </row>
    <row r="3592" spans="1:3" x14ac:dyDescent="0.3">
      <c r="A3592" s="3" t="s">
        <v>8012</v>
      </c>
      <c r="B3592" s="3" t="s">
        <v>7</v>
      </c>
      <c r="C3592" s="3">
        <v>2.1</v>
      </c>
    </row>
    <row r="3593" spans="1:3" x14ac:dyDescent="0.3">
      <c r="A3593" s="4" t="s">
        <v>8014</v>
      </c>
      <c r="B3593" s="4" t="s">
        <v>7</v>
      </c>
      <c r="C3593" s="4">
        <v>4.3</v>
      </c>
    </row>
    <row r="3594" spans="1:3" x14ac:dyDescent="0.3">
      <c r="A3594" s="3" t="s">
        <v>8016</v>
      </c>
      <c r="B3594" s="3" t="s">
        <v>7</v>
      </c>
      <c r="C3594" s="3">
        <v>6.6</v>
      </c>
    </row>
    <row r="3595" spans="1:3" x14ac:dyDescent="0.3">
      <c r="A3595" s="4" t="s">
        <v>8018</v>
      </c>
      <c r="B3595" s="4" t="s">
        <v>7</v>
      </c>
      <c r="C3595" s="4">
        <v>3.4</v>
      </c>
    </row>
    <row r="3596" spans="1:3" x14ac:dyDescent="0.3">
      <c r="A3596" s="3" t="s">
        <v>8020</v>
      </c>
      <c r="B3596" s="3" t="s">
        <v>7</v>
      </c>
      <c r="C3596" s="3">
        <v>8.3000000000000007</v>
      </c>
    </row>
    <row r="3597" spans="1:3" x14ac:dyDescent="0.3">
      <c r="A3597" s="4" t="s">
        <v>8022</v>
      </c>
      <c r="B3597" s="4" t="s">
        <v>7</v>
      </c>
      <c r="C3597" s="4">
        <v>7.2</v>
      </c>
    </row>
    <row r="3598" spans="1:3" x14ac:dyDescent="0.3">
      <c r="A3598" s="3" t="s">
        <v>8024</v>
      </c>
      <c r="B3598" s="3" t="s">
        <v>7</v>
      </c>
      <c r="C3598" s="3">
        <v>5.6</v>
      </c>
    </row>
    <row r="3599" spans="1:3" x14ac:dyDescent="0.3">
      <c r="A3599" s="4" t="s">
        <v>8026</v>
      </c>
      <c r="B3599" s="4" t="s">
        <v>7</v>
      </c>
      <c r="C3599" s="4">
        <v>7.7</v>
      </c>
    </row>
    <row r="3600" spans="1:3" x14ac:dyDescent="0.3">
      <c r="A3600" s="3" t="s">
        <v>8028</v>
      </c>
      <c r="B3600" s="3" t="s">
        <v>247</v>
      </c>
      <c r="C3600" s="3">
        <v>6.6</v>
      </c>
    </row>
    <row r="3601" spans="1:3" x14ac:dyDescent="0.3">
      <c r="A3601" s="4" t="s">
        <v>8030</v>
      </c>
      <c r="B3601" s="4" t="s">
        <v>7</v>
      </c>
      <c r="C3601" s="4">
        <v>7.6</v>
      </c>
    </row>
    <row r="3602" spans="1:3" x14ac:dyDescent="0.3">
      <c r="A3602" s="3" t="s">
        <v>8032</v>
      </c>
      <c r="B3602" s="3" t="s">
        <v>7</v>
      </c>
      <c r="C3602" s="3">
        <v>7.4</v>
      </c>
    </row>
    <row r="3603" spans="1:3" x14ac:dyDescent="0.3">
      <c r="A3603" s="4" t="s">
        <v>8034</v>
      </c>
      <c r="B3603" s="4" t="s">
        <v>7</v>
      </c>
      <c r="C3603" s="4">
        <v>7.1</v>
      </c>
    </row>
    <row r="3604" spans="1:3" x14ac:dyDescent="0.3">
      <c r="A3604" s="3" t="s">
        <v>8036</v>
      </c>
      <c r="B3604" s="3" t="s">
        <v>7</v>
      </c>
      <c r="C3604" s="3">
        <v>3.4</v>
      </c>
    </row>
    <row r="3605" spans="1:3" x14ac:dyDescent="0.3">
      <c r="A3605" s="4" t="s">
        <v>8038</v>
      </c>
      <c r="B3605" s="4" t="s">
        <v>7</v>
      </c>
      <c r="C3605" s="4">
        <v>7.9</v>
      </c>
    </row>
    <row r="3606" spans="1:3" x14ac:dyDescent="0.3">
      <c r="A3606" s="3" t="s">
        <v>8040</v>
      </c>
      <c r="B3606" s="3" t="s">
        <v>7</v>
      </c>
      <c r="C3606" s="3">
        <v>6.7</v>
      </c>
    </row>
    <row r="3607" spans="1:3" x14ac:dyDescent="0.3">
      <c r="A3607" s="4" t="s">
        <v>8042</v>
      </c>
      <c r="B3607" s="4" t="s">
        <v>7</v>
      </c>
      <c r="C3607" s="4">
        <v>6.6</v>
      </c>
    </row>
    <row r="3608" spans="1:3" x14ac:dyDescent="0.3">
      <c r="A3608" s="3" t="s">
        <v>8044</v>
      </c>
      <c r="B3608" s="3" t="s">
        <v>7</v>
      </c>
      <c r="C3608" s="3">
        <v>7.9</v>
      </c>
    </row>
    <row r="3609" spans="1:3" x14ac:dyDescent="0.3">
      <c r="A3609" s="4" t="s">
        <v>8048</v>
      </c>
      <c r="B3609" s="4" t="s">
        <v>7</v>
      </c>
      <c r="C3609" s="4">
        <v>4.9000000000000004</v>
      </c>
    </row>
    <row r="3610" spans="1:3" x14ac:dyDescent="0.3">
      <c r="A3610" s="3" t="s">
        <v>8050</v>
      </c>
      <c r="B3610" s="3" t="s">
        <v>7</v>
      </c>
      <c r="C3610" s="3">
        <v>7.2</v>
      </c>
    </row>
    <row r="3611" spans="1:3" x14ac:dyDescent="0.3">
      <c r="A3611" s="4" t="s">
        <v>8052</v>
      </c>
      <c r="B3611" s="4" t="s">
        <v>7</v>
      </c>
      <c r="C3611" s="4">
        <v>7.4</v>
      </c>
    </row>
    <row r="3612" spans="1:3" x14ac:dyDescent="0.3">
      <c r="A3612" s="3" t="s">
        <v>8054</v>
      </c>
      <c r="B3612" s="3" t="s">
        <v>7</v>
      </c>
      <c r="C3612" s="3">
        <v>6.1</v>
      </c>
    </row>
    <row r="3613" spans="1:3" x14ac:dyDescent="0.3">
      <c r="A3613" s="4" t="s">
        <v>8056</v>
      </c>
      <c r="B3613" s="4" t="s">
        <v>7</v>
      </c>
      <c r="C3613" s="4">
        <v>8.4</v>
      </c>
    </row>
    <row r="3614" spans="1:3" x14ac:dyDescent="0.3">
      <c r="A3614" s="3" t="s">
        <v>8058</v>
      </c>
      <c r="B3614" s="3" t="s">
        <v>7</v>
      </c>
      <c r="C3614" s="3">
        <v>6.2</v>
      </c>
    </row>
    <row r="3615" spans="1:3" x14ac:dyDescent="0.3">
      <c r="A3615" s="4" t="s">
        <v>8060</v>
      </c>
      <c r="B3615" s="4" t="s">
        <v>7</v>
      </c>
      <c r="C3615" s="4">
        <v>5.3</v>
      </c>
    </row>
    <row r="3616" spans="1:3" x14ac:dyDescent="0.3">
      <c r="A3616" s="3" t="s">
        <v>8062</v>
      </c>
      <c r="B3616" s="3" t="s">
        <v>5198</v>
      </c>
      <c r="C3616" s="3">
        <v>5</v>
      </c>
    </row>
    <row r="3617" spans="1:3" x14ac:dyDescent="0.3">
      <c r="A3617" s="4" t="s">
        <v>8064</v>
      </c>
      <c r="B3617" s="4" t="s">
        <v>7</v>
      </c>
      <c r="C3617" s="4">
        <v>7.7</v>
      </c>
    </row>
    <row r="3618" spans="1:3" x14ac:dyDescent="0.3">
      <c r="A3618" s="3" t="s">
        <v>8066</v>
      </c>
      <c r="B3618" s="3" t="s">
        <v>7</v>
      </c>
      <c r="C3618" s="3">
        <v>7.6</v>
      </c>
    </row>
    <row r="3619" spans="1:3" x14ac:dyDescent="0.3">
      <c r="A3619" s="4" t="s">
        <v>8068</v>
      </c>
      <c r="B3619" s="4" t="s">
        <v>7</v>
      </c>
      <c r="C3619" s="4">
        <v>6.3</v>
      </c>
    </row>
    <row r="3620" spans="1:3" x14ac:dyDescent="0.3">
      <c r="A3620" s="3" t="s">
        <v>8070</v>
      </c>
      <c r="B3620" s="3" t="s">
        <v>7</v>
      </c>
      <c r="C3620" s="3">
        <v>7.6</v>
      </c>
    </row>
    <row r="3621" spans="1:3" x14ac:dyDescent="0.3">
      <c r="A3621" s="4" t="s">
        <v>8072</v>
      </c>
      <c r="B3621" s="4" t="s">
        <v>1146</v>
      </c>
      <c r="C3621" s="4">
        <v>5.6</v>
      </c>
    </row>
    <row r="3622" spans="1:3" x14ac:dyDescent="0.3">
      <c r="A3622" s="3" t="s">
        <v>8075</v>
      </c>
      <c r="B3622" s="3" t="s">
        <v>7</v>
      </c>
      <c r="C3622" s="3">
        <v>7.3</v>
      </c>
    </row>
    <row r="3623" spans="1:3" x14ac:dyDescent="0.3">
      <c r="A3623" s="4" t="s">
        <v>8078</v>
      </c>
      <c r="B3623" s="4" t="s">
        <v>7</v>
      </c>
      <c r="C3623" s="4">
        <v>6.2</v>
      </c>
    </row>
    <row r="3624" spans="1:3" x14ac:dyDescent="0.3">
      <c r="A3624" s="3" t="s">
        <v>8080</v>
      </c>
      <c r="B3624" s="3" t="s">
        <v>7</v>
      </c>
      <c r="C3624" s="3">
        <v>6.6</v>
      </c>
    </row>
    <row r="3625" spans="1:3" x14ac:dyDescent="0.3">
      <c r="A3625" s="4" t="s">
        <v>8082</v>
      </c>
      <c r="B3625" s="4" t="s">
        <v>4134</v>
      </c>
      <c r="C3625" s="4">
        <v>6.6</v>
      </c>
    </row>
    <row r="3626" spans="1:3" x14ac:dyDescent="0.3">
      <c r="A3626" s="3" t="s">
        <v>8084</v>
      </c>
      <c r="B3626" s="3" t="s">
        <v>7</v>
      </c>
      <c r="C3626" s="3">
        <v>7.3</v>
      </c>
    </row>
    <row r="3627" spans="1:3" x14ac:dyDescent="0.3">
      <c r="A3627" s="4" t="s">
        <v>8086</v>
      </c>
      <c r="B3627" s="4" t="s">
        <v>7</v>
      </c>
      <c r="C3627" s="4">
        <v>6.6</v>
      </c>
    </row>
    <row r="3628" spans="1:3" x14ac:dyDescent="0.3">
      <c r="A3628" s="3" t="s">
        <v>8088</v>
      </c>
      <c r="B3628" s="3" t="s">
        <v>7</v>
      </c>
      <c r="C3628" s="3">
        <v>6.9</v>
      </c>
    </row>
    <row r="3629" spans="1:3" x14ac:dyDescent="0.3">
      <c r="A3629" s="4" t="s">
        <v>8090</v>
      </c>
      <c r="B3629" s="4" t="s">
        <v>7</v>
      </c>
      <c r="C3629" s="4">
        <v>5.8</v>
      </c>
    </row>
    <row r="3630" spans="1:3" x14ac:dyDescent="0.3">
      <c r="A3630" s="3" t="s">
        <v>8092</v>
      </c>
      <c r="B3630" s="3" t="s">
        <v>4894</v>
      </c>
      <c r="C3630" s="3">
        <v>4.4000000000000004</v>
      </c>
    </row>
    <row r="3631" spans="1:3" x14ac:dyDescent="0.3">
      <c r="A3631" s="4" t="s">
        <v>8094</v>
      </c>
      <c r="B3631" s="4" t="s">
        <v>7</v>
      </c>
      <c r="C3631" s="4">
        <v>6.6</v>
      </c>
    </row>
    <row r="3632" spans="1:3" x14ac:dyDescent="0.3">
      <c r="A3632" s="3" t="s">
        <v>8096</v>
      </c>
      <c r="B3632" s="3" t="s">
        <v>7</v>
      </c>
      <c r="C3632" s="3">
        <v>7.1</v>
      </c>
    </row>
    <row r="3633" spans="1:3" x14ac:dyDescent="0.3">
      <c r="A3633" s="4" t="s">
        <v>8098</v>
      </c>
      <c r="B3633" s="4" t="s">
        <v>7</v>
      </c>
      <c r="C3633" s="4">
        <v>7.6</v>
      </c>
    </row>
    <row r="3634" spans="1:3" x14ac:dyDescent="0.3">
      <c r="A3634" s="3" t="s">
        <v>8101</v>
      </c>
      <c r="B3634" s="3" t="s">
        <v>7</v>
      </c>
      <c r="C3634" s="3">
        <v>4.5999999999999996</v>
      </c>
    </row>
    <row r="3635" spans="1:3" x14ac:dyDescent="0.3">
      <c r="A3635" s="4" t="s">
        <v>8103</v>
      </c>
      <c r="B3635" s="4" t="s">
        <v>582</v>
      </c>
      <c r="C3635" s="4">
        <v>6.8</v>
      </c>
    </row>
    <row r="3636" spans="1:3" x14ac:dyDescent="0.3">
      <c r="A3636" s="3" t="s">
        <v>8105</v>
      </c>
      <c r="B3636" s="3" t="s">
        <v>7</v>
      </c>
      <c r="C3636" s="3">
        <v>7.1</v>
      </c>
    </row>
    <row r="3637" spans="1:3" x14ac:dyDescent="0.3">
      <c r="A3637" s="4" t="s">
        <v>8107</v>
      </c>
      <c r="B3637" s="4" t="s">
        <v>7</v>
      </c>
      <c r="C3637" s="4">
        <v>4.9000000000000004</v>
      </c>
    </row>
    <row r="3638" spans="1:3" x14ac:dyDescent="0.3">
      <c r="A3638" s="3" t="s">
        <v>8109</v>
      </c>
      <c r="B3638" s="3" t="s">
        <v>7</v>
      </c>
      <c r="C3638" s="3">
        <v>7.3</v>
      </c>
    </row>
    <row r="3639" spans="1:3" x14ac:dyDescent="0.3">
      <c r="A3639" s="4" t="s">
        <v>8111</v>
      </c>
      <c r="B3639" s="4" t="s">
        <v>7</v>
      </c>
      <c r="C3639" s="4">
        <v>7.2</v>
      </c>
    </row>
    <row r="3640" spans="1:3" x14ac:dyDescent="0.3">
      <c r="A3640" s="3" t="s">
        <v>8113</v>
      </c>
      <c r="B3640" s="3" t="s">
        <v>7</v>
      </c>
      <c r="C3640" s="3">
        <v>5</v>
      </c>
    </row>
    <row r="3641" spans="1:3" x14ac:dyDescent="0.3">
      <c r="A3641" s="4" t="s">
        <v>8115</v>
      </c>
      <c r="B3641" s="4" t="s">
        <v>7</v>
      </c>
      <c r="C3641" s="4">
        <v>8.1999999999999993</v>
      </c>
    </row>
    <row r="3642" spans="1:3" x14ac:dyDescent="0.3">
      <c r="A3642" s="3" t="s">
        <v>8117</v>
      </c>
      <c r="B3642" s="3" t="s">
        <v>7</v>
      </c>
      <c r="C3642" s="3">
        <v>8</v>
      </c>
    </row>
    <row r="3643" spans="1:3" x14ac:dyDescent="0.3">
      <c r="A3643" s="4" t="s">
        <v>8119</v>
      </c>
      <c r="B3643" s="4" t="s">
        <v>7</v>
      </c>
      <c r="C3643" s="4">
        <v>5.2</v>
      </c>
    </row>
    <row r="3644" spans="1:3" x14ac:dyDescent="0.3">
      <c r="A3644" s="3" t="s">
        <v>8121</v>
      </c>
      <c r="B3644" s="3" t="s">
        <v>7</v>
      </c>
      <c r="C3644" s="3">
        <v>8.5</v>
      </c>
    </row>
    <row r="3645" spans="1:3" x14ac:dyDescent="0.3">
      <c r="A3645" s="4" t="s">
        <v>8123</v>
      </c>
      <c r="B3645" s="4" t="s">
        <v>7</v>
      </c>
      <c r="C3645" s="4">
        <v>6.5</v>
      </c>
    </row>
    <row r="3646" spans="1:3" x14ac:dyDescent="0.3">
      <c r="A3646" s="3" t="s">
        <v>8125</v>
      </c>
      <c r="B3646" s="3" t="s">
        <v>7</v>
      </c>
      <c r="C3646" s="3">
        <v>7.4</v>
      </c>
    </row>
    <row r="3647" spans="1:3" x14ac:dyDescent="0.3">
      <c r="A3647" s="4" t="s">
        <v>8127</v>
      </c>
      <c r="B3647" s="4" t="s">
        <v>7</v>
      </c>
      <c r="C3647" s="4">
        <v>7.7</v>
      </c>
    </row>
    <row r="3648" spans="1:3" x14ac:dyDescent="0.3">
      <c r="A3648" s="3" t="s">
        <v>8129</v>
      </c>
      <c r="B3648" s="3" t="s">
        <v>7</v>
      </c>
      <c r="C3648" s="3">
        <v>7.4</v>
      </c>
    </row>
    <row r="3649" spans="1:3" x14ac:dyDescent="0.3">
      <c r="A3649" s="4" t="s">
        <v>8131</v>
      </c>
      <c r="B3649" s="4" t="s">
        <v>7</v>
      </c>
      <c r="C3649" s="4">
        <v>5.0999999999999996</v>
      </c>
    </row>
    <row r="3650" spans="1:3" x14ac:dyDescent="0.3">
      <c r="A3650" s="3" t="s">
        <v>8133</v>
      </c>
      <c r="B3650" s="3" t="s">
        <v>7</v>
      </c>
      <c r="C3650" s="3">
        <v>7.3</v>
      </c>
    </row>
    <row r="3651" spans="1:3" x14ac:dyDescent="0.3">
      <c r="A3651" s="4" t="s">
        <v>8135</v>
      </c>
      <c r="B3651" s="4" t="s">
        <v>7</v>
      </c>
      <c r="C3651" s="4">
        <v>5</v>
      </c>
    </row>
    <row r="3652" spans="1:3" x14ac:dyDescent="0.3">
      <c r="A3652" s="3" t="s">
        <v>8137</v>
      </c>
      <c r="B3652" s="3" t="s">
        <v>7</v>
      </c>
      <c r="C3652" s="3">
        <v>7.2</v>
      </c>
    </row>
    <row r="3653" spans="1:3" x14ac:dyDescent="0.3">
      <c r="A3653" s="4" t="s">
        <v>8140</v>
      </c>
      <c r="B3653" s="4" t="s">
        <v>7</v>
      </c>
      <c r="C3653" s="4">
        <v>6.7</v>
      </c>
    </row>
    <row r="3654" spans="1:3" x14ac:dyDescent="0.3">
      <c r="A3654" s="3" t="s">
        <v>8142</v>
      </c>
      <c r="B3654" s="3" t="s">
        <v>7</v>
      </c>
      <c r="C3654" s="3">
        <v>6.4</v>
      </c>
    </row>
    <row r="3655" spans="1:3" x14ac:dyDescent="0.3">
      <c r="A3655" s="4" t="s">
        <v>8144</v>
      </c>
      <c r="B3655" s="4" t="s">
        <v>7</v>
      </c>
      <c r="C3655" s="4">
        <v>7.1</v>
      </c>
    </row>
    <row r="3656" spans="1:3" x14ac:dyDescent="0.3">
      <c r="A3656" s="3" t="s">
        <v>8146</v>
      </c>
      <c r="B3656" s="3" t="s">
        <v>7</v>
      </c>
      <c r="C3656" s="3">
        <v>5.6</v>
      </c>
    </row>
    <row r="3657" spans="1:3" x14ac:dyDescent="0.3">
      <c r="A3657" s="4" t="s">
        <v>8148</v>
      </c>
      <c r="B3657" s="4" t="s">
        <v>7</v>
      </c>
      <c r="C3657" s="4">
        <v>6.2</v>
      </c>
    </row>
    <row r="3658" spans="1:3" x14ac:dyDescent="0.3">
      <c r="A3658" s="3" t="s">
        <v>8150</v>
      </c>
      <c r="B3658" s="3" t="s">
        <v>7</v>
      </c>
      <c r="C3658" s="3">
        <v>6.1</v>
      </c>
    </row>
    <row r="3659" spans="1:3" x14ac:dyDescent="0.3">
      <c r="A3659" s="4" t="s">
        <v>8152</v>
      </c>
      <c r="B3659" s="4" t="s">
        <v>7</v>
      </c>
      <c r="C3659" s="4">
        <v>5.2</v>
      </c>
    </row>
    <row r="3660" spans="1:3" x14ac:dyDescent="0.3">
      <c r="A3660" s="3" t="s">
        <v>8154</v>
      </c>
      <c r="B3660" s="3" t="s">
        <v>7</v>
      </c>
      <c r="C3660" s="3">
        <v>7.3</v>
      </c>
    </row>
    <row r="3661" spans="1:3" x14ac:dyDescent="0.3">
      <c r="A3661" s="4" t="s">
        <v>8157</v>
      </c>
      <c r="B3661" s="4" t="s">
        <v>7</v>
      </c>
      <c r="C3661" s="4">
        <v>7.5</v>
      </c>
    </row>
    <row r="3662" spans="1:3" x14ac:dyDescent="0.3">
      <c r="A3662" s="3" t="s">
        <v>8159</v>
      </c>
      <c r="B3662" s="3" t="s">
        <v>7</v>
      </c>
      <c r="C3662" s="3">
        <v>6.6</v>
      </c>
    </row>
    <row r="3663" spans="1:3" x14ac:dyDescent="0.3">
      <c r="A3663" s="4" t="s">
        <v>8161</v>
      </c>
      <c r="B3663" s="4" t="s">
        <v>4134</v>
      </c>
      <c r="C3663" s="4">
        <v>6.4</v>
      </c>
    </row>
    <row r="3664" spans="1:3" x14ac:dyDescent="0.3">
      <c r="A3664" s="3" t="s">
        <v>8163</v>
      </c>
      <c r="B3664" s="3" t="s">
        <v>7</v>
      </c>
      <c r="C3664" s="3">
        <v>4.5</v>
      </c>
    </row>
    <row r="3665" spans="1:3" x14ac:dyDescent="0.3">
      <c r="A3665" s="4" t="s">
        <v>8165</v>
      </c>
      <c r="B3665" s="4" t="s">
        <v>7</v>
      </c>
      <c r="C3665" s="4">
        <v>6.6</v>
      </c>
    </row>
    <row r="3666" spans="1:3" x14ac:dyDescent="0.3">
      <c r="A3666" s="3" t="s">
        <v>8167</v>
      </c>
      <c r="B3666" s="3" t="s">
        <v>7</v>
      </c>
      <c r="C3666" s="3">
        <v>5.3</v>
      </c>
    </row>
    <row r="3667" spans="1:3" x14ac:dyDescent="0.3">
      <c r="A3667" s="4" t="s">
        <v>8169</v>
      </c>
      <c r="B3667" s="4" t="s">
        <v>7</v>
      </c>
      <c r="C3667" s="4">
        <v>4.9000000000000004</v>
      </c>
    </row>
    <row r="3668" spans="1:3" x14ac:dyDescent="0.3">
      <c r="A3668" s="3" t="s">
        <v>8171</v>
      </c>
      <c r="B3668" s="3" t="s">
        <v>7</v>
      </c>
      <c r="C3668" s="3">
        <v>7.7</v>
      </c>
    </row>
    <row r="3669" spans="1:3" x14ac:dyDescent="0.3">
      <c r="A3669" s="4" t="s">
        <v>8173</v>
      </c>
      <c r="B3669" s="4" t="s">
        <v>7</v>
      </c>
      <c r="C3669" s="4">
        <v>8</v>
      </c>
    </row>
    <row r="3670" spans="1:3" x14ac:dyDescent="0.3">
      <c r="A3670" s="3" t="s">
        <v>8175</v>
      </c>
      <c r="B3670" s="3" t="s">
        <v>7918</v>
      </c>
      <c r="C3670" s="3">
        <v>3.8</v>
      </c>
    </row>
    <row r="3671" spans="1:3" x14ac:dyDescent="0.3">
      <c r="A3671" s="4" t="s">
        <v>8177</v>
      </c>
      <c r="B3671" s="4" t="s">
        <v>7</v>
      </c>
      <c r="C3671" s="4">
        <v>7.6</v>
      </c>
    </row>
    <row r="3672" spans="1:3" x14ac:dyDescent="0.3">
      <c r="A3672" s="3" t="s">
        <v>8179</v>
      </c>
      <c r="B3672" s="3" t="s">
        <v>7</v>
      </c>
      <c r="C3672" s="3">
        <v>5.9</v>
      </c>
    </row>
    <row r="3673" spans="1:3" x14ac:dyDescent="0.3">
      <c r="A3673" s="4" t="s">
        <v>8181</v>
      </c>
      <c r="B3673" s="4" t="s">
        <v>7</v>
      </c>
      <c r="C3673" s="4">
        <v>6.2</v>
      </c>
    </row>
    <row r="3674" spans="1:3" x14ac:dyDescent="0.3">
      <c r="A3674" s="3" t="s">
        <v>8183</v>
      </c>
      <c r="B3674" s="3" t="s">
        <v>7</v>
      </c>
      <c r="C3674" s="3">
        <v>7.2</v>
      </c>
    </row>
    <row r="3675" spans="1:3" x14ac:dyDescent="0.3">
      <c r="A3675" s="4" t="s">
        <v>8185</v>
      </c>
      <c r="B3675" s="4" t="s">
        <v>7</v>
      </c>
      <c r="C3675" s="4">
        <v>6.3</v>
      </c>
    </row>
    <row r="3676" spans="1:3" x14ac:dyDescent="0.3">
      <c r="A3676" s="3" t="s">
        <v>8187</v>
      </c>
      <c r="B3676" s="3" t="s">
        <v>7</v>
      </c>
      <c r="C3676" s="3">
        <v>5.2</v>
      </c>
    </row>
    <row r="3677" spans="1:3" x14ac:dyDescent="0.3">
      <c r="A3677" s="4" t="s">
        <v>8189</v>
      </c>
      <c r="B3677" s="4" t="s">
        <v>7</v>
      </c>
      <c r="C3677" s="4">
        <v>6.9</v>
      </c>
    </row>
    <row r="3678" spans="1:3" x14ac:dyDescent="0.3">
      <c r="A3678" s="3" t="s">
        <v>8191</v>
      </c>
      <c r="B3678" s="3" t="s">
        <v>7</v>
      </c>
      <c r="C3678" s="3">
        <v>6.8</v>
      </c>
    </row>
    <row r="3679" spans="1:3" x14ac:dyDescent="0.3">
      <c r="A3679" s="4" t="s">
        <v>8194</v>
      </c>
      <c r="B3679" s="4" t="s">
        <v>7</v>
      </c>
      <c r="C3679" s="4">
        <v>6.2</v>
      </c>
    </row>
    <row r="3680" spans="1:3" x14ac:dyDescent="0.3">
      <c r="A3680" s="3" t="s">
        <v>8196</v>
      </c>
      <c r="B3680" s="3" t="s">
        <v>7</v>
      </c>
      <c r="C3680" s="3">
        <v>6.2</v>
      </c>
    </row>
    <row r="3681" spans="1:3" x14ac:dyDescent="0.3">
      <c r="A3681" s="4" t="s">
        <v>8198</v>
      </c>
      <c r="B3681" s="4" t="s">
        <v>7</v>
      </c>
      <c r="C3681" s="4">
        <v>3.5</v>
      </c>
    </row>
    <row r="3682" spans="1:3" x14ac:dyDescent="0.3">
      <c r="A3682" s="3" t="s">
        <v>8200</v>
      </c>
      <c r="B3682" s="3" t="s">
        <v>7</v>
      </c>
      <c r="C3682" s="3">
        <v>6.1</v>
      </c>
    </row>
    <row r="3683" spans="1:3" x14ac:dyDescent="0.3">
      <c r="A3683" s="4" t="s">
        <v>8202</v>
      </c>
      <c r="B3683" s="4" t="s">
        <v>7</v>
      </c>
      <c r="C3683" s="4">
        <v>6.6</v>
      </c>
    </row>
    <row r="3684" spans="1:3" x14ac:dyDescent="0.3">
      <c r="A3684" s="3" t="s">
        <v>8204</v>
      </c>
      <c r="B3684" s="3" t="s">
        <v>7</v>
      </c>
      <c r="C3684" s="3">
        <v>4.5</v>
      </c>
    </row>
    <row r="3685" spans="1:3" x14ac:dyDescent="0.3">
      <c r="A3685" s="4" t="s">
        <v>8206</v>
      </c>
      <c r="B3685" s="4" t="s">
        <v>7</v>
      </c>
      <c r="C3685" s="4">
        <v>5.9</v>
      </c>
    </row>
    <row r="3686" spans="1:3" x14ac:dyDescent="0.3">
      <c r="A3686" s="3" t="s">
        <v>8208</v>
      </c>
      <c r="B3686" s="3" t="s">
        <v>7</v>
      </c>
      <c r="C3686" s="3">
        <v>6.9</v>
      </c>
    </row>
    <row r="3687" spans="1:3" x14ac:dyDescent="0.3">
      <c r="A3687" s="4" t="s">
        <v>8211</v>
      </c>
      <c r="B3687" s="4" t="s">
        <v>7</v>
      </c>
      <c r="C3687" s="4">
        <v>7.7</v>
      </c>
    </row>
    <row r="3688" spans="1:3" x14ac:dyDescent="0.3">
      <c r="A3688" s="3" t="s">
        <v>8213</v>
      </c>
      <c r="B3688" s="3" t="s">
        <v>7</v>
      </c>
      <c r="C3688" s="3">
        <v>6.6</v>
      </c>
    </row>
    <row r="3689" spans="1:3" x14ac:dyDescent="0.3">
      <c r="A3689" s="4" t="s">
        <v>8215</v>
      </c>
      <c r="B3689" s="4" t="s">
        <v>7</v>
      </c>
      <c r="C3689" s="4">
        <v>5.3</v>
      </c>
    </row>
    <row r="3690" spans="1:3" x14ac:dyDescent="0.3">
      <c r="A3690" s="3" t="s">
        <v>8218</v>
      </c>
      <c r="B3690" s="3" t="s">
        <v>7</v>
      </c>
      <c r="C3690" s="3">
        <v>6.3</v>
      </c>
    </row>
    <row r="3691" spans="1:3" x14ac:dyDescent="0.3">
      <c r="A3691" s="4" t="s">
        <v>8220</v>
      </c>
      <c r="B3691" s="4" t="s">
        <v>7</v>
      </c>
      <c r="C3691" s="4">
        <v>7</v>
      </c>
    </row>
    <row r="3692" spans="1:3" x14ac:dyDescent="0.3">
      <c r="A3692" s="3" t="s">
        <v>8222</v>
      </c>
      <c r="B3692" s="3" t="s">
        <v>7</v>
      </c>
      <c r="C3692" s="3">
        <v>7</v>
      </c>
    </row>
    <row r="3693" spans="1:3" x14ac:dyDescent="0.3">
      <c r="A3693" s="4" t="s">
        <v>8224</v>
      </c>
      <c r="B3693" s="4" t="s">
        <v>7</v>
      </c>
      <c r="C3693" s="4">
        <v>6.6</v>
      </c>
    </row>
    <row r="3694" spans="1:3" x14ac:dyDescent="0.3">
      <c r="A3694" s="3" t="s">
        <v>8226</v>
      </c>
      <c r="B3694" s="3" t="s">
        <v>7</v>
      </c>
      <c r="C3694" s="3">
        <v>8.6</v>
      </c>
    </row>
    <row r="3695" spans="1:3" x14ac:dyDescent="0.3">
      <c r="A3695" s="4" t="s">
        <v>8228</v>
      </c>
      <c r="B3695" s="4" t="s">
        <v>7</v>
      </c>
      <c r="C3695" s="4">
        <v>6.4</v>
      </c>
    </row>
    <row r="3696" spans="1:3" x14ac:dyDescent="0.3">
      <c r="A3696" s="3" t="s">
        <v>8230</v>
      </c>
      <c r="B3696" s="3" t="s">
        <v>7</v>
      </c>
      <c r="C3696" s="3">
        <v>7.9</v>
      </c>
    </row>
    <row r="3697" spans="1:3" x14ac:dyDescent="0.3">
      <c r="A3697" s="4" t="s">
        <v>8232</v>
      </c>
      <c r="B3697" s="4" t="s">
        <v>7</v>
      </c>
      <c r="C3697" s="4">
        <v>5.4</v>
      </c>
    </row>
    <row r="3698" spans="1:3" x14ac:dyDescent="0.3">
      <c r="A3698" s="3" t="s">
        <v>8234</v>
      </c>
      <c r="B3698" s="3" t="s">
        <v>7</v>
      </c>
      <c r="C3698" s="3">
        <v>6.9</v>
      </c>
    </row>
    <row r="3699" spans="1:3" x14ac:dyDescent="0.3">
      <c r="A3699" s="4" t="s">
        <v>8236</v>
      </c>
      <c r="B3699" s="4" t="s">
        <v>7</v>
      </c>
      <c r="C3699" s="4">
        <v>7.7</v>
      </c>
    </row>
    <row r="3700" spans="1:3" x14ac:dyDescent="0.3">
      <c r="A3700" s="3" t="s">
        <v>8238</v>
      </c>
      <c r="B3700" s="3" t="s">
        <v>7</v>
      </c>
      <c r="C3700" s="3">
        <v>7.2</v>
      </c>
    </row>
    <row r="3701" spans="1:3" x14ac:dyDescent="0.3">
      <c r="A3701" s="4" t="s">
        <v>8240</v>
      </c>
      <c r="B3701" s="4" t="s">
        <v>7</v>
      </c>
      <c r="C3701" s="4">
        <v>6.8</v>
      </c>
    </row>
    <row r="3702" spans="1:3" x14ac:dyDescent="0.3">
      <c r="A3702" s="3" t="s">
        <v>8242</v>
      </c>
      <c r="B3702" s="3" t="s">
        <v>7</v>
      </c>
      <c r="C3702" s="3">
        <v>6.2</v>
      </c>
    </row>
    <row r="3703" spans="1:3" x14ac:dyDescent="0.3">
      <c r="A3703" s="4" t="s">
        <v>8244</v>
      </c>
      <c r="B3703" s="4" t="s">
        <v>7</v>
      </c>
      <c r="C3703" s="4">
        <v>7.4</v>
      </c>
    </row>
    <row r="3704" spans="1:3" x14ac:dyDescent="0.3">
      <c r="A3704" s="3" t="s">
        <v>8247</v>
      </c>
      <c r="B3704" s="3" t="s">
        <v>7</v>
      </c>
      <c r="C3704" s="3">
        <v>4.5999999999999996</v>
      </c>
    </row>
    <row r="3705" spans="1:3" x14ac:dyDescent="0.3">
      <c r="A3705" s="4" t="s">
        <v>8249</v>
      </c>
      <c r="B3705" s="4" t="s">
        <v>582</v>
      </c>
      <c r="C3705" s="4">
        <v>6.4</v>
      </c>
    </row>
    <row r="3706" spans="1:3" x14ac:dyDescent="0.3">
      <c r="A3706" s="3" t="s">
        <v>8251</v>
      </c>
      <c r="B3706" s="3" t="s">
        <v>7918</v>
      </c>
      <c r="C3706" s="3">
        <v>7</v>
      </c>
    </row>
    <row r="3707" spans="1:3" x14ac:dyDescent="0.3">
      <c r="A3707" s="4" t="s">
        <v>8253</v>
      </c>
      <c r="B3707" s="4" t="s">
        <v>247</v>
      </c>
      <c r="C3707" s="4">
        <v>7.7</v>
      </c>
    </row>
    <row r="3708" spans="1:3" x14ac:dyDescent="0.3">
      <c r="A3708" s="3" t="s">
        <v>8255</v>
      </c>
      <c r="B3708" s="3" t="s">
        <v>7</v>
      </c>
      <c r="C3708" s="3">
        <v>6.8</v>
      </c>
    </row>
    <row r="3709" spans="1:3" x14ac:dyDescent="0.3">
      <c r="A3709" s="4" t="s">
        <v>8257</v>
      </c>
      <c r="B3709" s="4" t="s">
        <v>7</v>
      </c>
      <c r="C3709" s="4">
        <v>7</v>
      </c>
    </row>
    <row r="3710" spans="1:3" x14ac:dyDescent="0.3">
      <c r="A3710" s="3" t="s">
        <v>8260</v>
      </c>
      <c r="B3710" s="3" t="s">
        <v>1146</v>
      </c>
      <c r="C3710" s="3">
        <v>7</v>
      </c>
    </row>
    <row r="3711" spans="1:3" x14ac:dyDescent="0.3">
      <c r="A3711" s="4" t="s">
        <v>8262</v>
      </c>
      <c r="B3711" s="4" t="s">
        <v>7</v>
      </c>
      <c r="C3711" s="4">
        <v>6.3</v>
      </c>
    </row>
    <row r="3712" spans="1:3" x14ac:dyDescent="0.3">
      <c r="A3712" s="3" t="s">
        <v>8264</v>
      </c>
      <c r="B3712" s="3" t="s">
        <v>7</v>
      </c>
      <c r="C3712" s="3">
        <v>7.1</v>
      </c>
    </row>
    <row r="3713" spans="1:3" x14ac:dyDescent="0.3">
      <c r="A3713" s="4" t="s">
        <v>8111</v>
      </c>
      <c r="B3713" s="4" t="s">
        <v>7</v>
      </c>
      <c r="C3713" s="23">
        <v>7.2</v>
      </c>
    </row>
    <row r="3714" spans="1:3" x14ac:dyDescent="0.3">
      <c r="A3714" s="3" t="s">
        <v>8113</v>
      </c>
      <c r="B3714" s="3" t="s">
        <v>7</v>
      </c>
      <c r="C3714" s="22">
        <v>5</v>
      </c>
    </row>
    <row r="3715" spans="1:3" x14ac:dyDescent="0.3">
      <c r="A3715" s="4" t="s">
        <v>8115</v>
      </c>
      <c r="B3715" s="4" t="s">
        <v>7</v>
      </c>
      <c r="C3715" s="23">
        <v>8.1999999999999993</v>
      </c>
    </row>
    <row r="3716" spans="1:3" x14ac:dyDescent="0.3">
      <c r="A3716" s="3" t="s">
        <v>8117</v>
      </c>
      <c r="B3716" s="3" t="s">
        <v>7</v>
      </c>
      <c r="C3716" s="22">
        <v>8</v>
      </c>
    </row>
    <row r="3717" spans="1:3" x14ac:dyDescent="0.3">
      <c r="A3717" s="4" t="s">
        <v>8119</v>
      </c>
      <c r="B3717" s="4" t="s">
        <v>7</v>
      </c>
      <c r="C3717" s="23">
        <v>5.2</v>
      </c>
    </row>
    <row r="3718" spans="1:3" x14ac:dyDescent="0.3">
      <c r="A3718" s="3" t="s">
        <v>8121</v>
      </c>
      <c r="B3718" s="3" t="s">
        <v>7</v>
      </c>
      <c r="C3718" s="22">
        <v>8.5</v>
      </c>
    </row>
    <row r="3719" spans="1:3" x14ac:dyDescent="0.3">
      <c r="A3719" s="4" t="s">
        <v>8123</v>
      </c>
      <c r="B3719" s="4" t="s">
        <v>7</v>
      </c>
      <c r="C3719" s="23">
        <v>6.5</v>
      </c>
    </row>
    <row r="3720" spans="1:3" x14ac:dyDescent="0.3">
      <c r="A3720" s="3" t="s">
        <v>8125</v>
      </c>
      <c r="B3720" s="3" t="s">
        <v>7</v>
      </c>
      <c r="C3720" s="22">
        <v>7.4</v>
      </c>
    </row>
    <row r="3721" spans="1:3" x14ac:dyDescent="0.3">
      <c r="A3721" s="4" t="s">
        <v>8127</v>
      </c>
      <c r="B3721" s="4" t="s">
        <v>7</v>
      </c>
      <c r="C3721" s="23">
        <v>7.7</v>
      </c>
    </row>
    <row r="3722" spans="1:3" x14ac:dyDescent="0.3">
      <c r="A3722" s="3" t="s">
        <v>8129</v>
      </c>
      <c r="B3722" s="3" t="s">
        <v>7</v>
      </c>
      <c r="C3722" s="22">
        <v>7.4</v>
      </c>
    </row>
    <row r="3723" spans="1:3" x14ac:dyDescent="0.3">
      <c r="A3723" s="4" t="s">
        <v>8131</v>
      </c>
      <c r="B3723" s="4" t="s">
        <v>7</v>
      </c>
      <c r="C3723" s="23">
        <v>5.0999999999999996</v>
      </c>
    </row>
    <row r="3724" spans="1:3" x14ac:dyDescent="0.3">
      <c r="A3724" s="3" t="s">
        <v>8133</v>
      </c>
      <c r="B3724" s="3" t="s">
        <v>7</v>
      </c>
      <c r="C3724" s="22">
        <v>7.3</v>
      </c>
    </row>
    <row r="3725" spans="1:3" x14ac:dyDescent="0.3">
      <c r="A3725" s="4" t="s">
        <v>8135</v>
      </c>
      <c r="B3725" s="4" t="s">
        <v>7</v>
      </c>
      <c r="C3725" s="23">
        <v>5</v>
      </c>
    </row>
    <row r="3726" spans="1:3" x14ac:dyDescent="0.3">
      <c r="A3726" s="3" t="s">
        <v>8137</v>
      </c>
      <c r="B3726" s="3" t="s">
        <v>7</v>
      </c>
      <c r="C3726" s="22">
        <v>7.2</v>
      </c>
    </row>
    <row r="3727" spans="1:3" x14ac:dyDescent="0.3">
      <c r="A3727" s="4" t="s">
        <v>8140</v>
      </c>
      <c r="B3727" s="4" t="s">
        <v>7</v>
      </c>
      <c r="C3727" s="23">
        <v>6.7</v>
      </c>
    </row>
    <row r="3728" spans="1:3" x14ac:dyDescent="0.3">
      <c r="A3728" s="3" t="s">
        <v>8142</v>
      </c>
      <c r="B3728" s="3" t="s">
        <v>7</v>
      </c>
      <c r="C3728" s="22">
        <v>6.4</v>
      </c>
    </row>
    <row r="3729" spans="1:3" x14ac:dyDescent="0.3">
      <c r="A3729" s="4" t="s">
        <v>8144</v>
      </c>
      <c r="B3729" s="4" t="s">
        <v>7</v>
      </c>
      <c r="C3729" s="23">
        <v>7.1</v>
      </c>
    </row>
    <row r="3730" spans="1:3" x14ac:dyDescent="0.3">
      <c r="A3730" s="3" t="s">
        <v>8146</v>
      </c>
      <c r="B3730" s="3" t="s">
        <v>7</v>
      </c>
      <c r="C3730" s="22">
        <v>5.6</v>
      </c>
    </row>
    <row r="3731" spans="1:3" x14ac:dyDescent="0.3">
      <c r="A3731" s="4" t="s">
        <v>8148</v>
      </c>
      <c r="B3731" s="4" t="s">
        <v>7</v>
      </c>
      <c r="C3731" s="23">
        <v>6.2</v>
      </c>
    </row>
    <row r="3732" spans="1:3" x14ac:dyDescent="0.3">
      <c r="A3732" s="3" t="s">
        <v>8150</v>
      </c>
      <c r="B3732" s="3" t="s">
        <v>7</v>
      </c>
      <c r="C3732" s="22">
        <v>6.1</v>
      </c>
    </row>
    <row r="3733" spans="1:3" x14ac:dyDescent="0.3">
      <c r="A3733" s="4" t="s">
        <v>8152</v>
      </c>
      <c r="B3733" s="4" t="s">
        <v>7</v>
      </c>
      <c r="C3733" s="23">
        <v>5.2</v>
      </c>
    </row>
    <row r="3734" spans="1:3" x14ac:dyDescent="0.3">
      <c r="A3734" s="3" t="s">
        <v>8154</v>
      </c>
      <c r="B3734" s="3" t="s">
        <v>7</v>
      </c>
      <c r="C3734" s="22">
        <v>7.3</v>
      </c>
    </row>
    <row r="3735" spans="1:3" x14ac:dyDescent="0.3">
      <c r="A3735" s="4" t="s">
        <v>8157</v>
      </c>
      <c r="B3735" s="4" t="s">
        <v>7</v>
      </c>
      <c r="C3735" s="23">
        <v>7.5</v>
      </c>
    </row>
    <row r="3736" spans="1:3" x14ac:dyDescent="0.3">
      <c r="A3736" s="3" t="s">
        <v>8159</v>
      </c>
      <c r="B3736" s="3" t="s">
        <v>7</v>
      </c>
      <c r="C3736" s="22">
        <v>6.6</v>
      </c>
    </row>
    <row r="3737" spans="1:3" x14ac:dyDescent="0.3">
      <c r="A3737" s="4" t="s">
        <v>8161</v>
      </c>
      <c r="B3737" s="4" t="s">
        <v>4134</v>
      </c>
      <c r="C3737" s="23">
        <v>6.4</v>
      </c>
    </row>
    <row r="3738" spans="1:3" x14ac:dyDescent="0.3">
      <c r="A3738" s="3" t="s">
        <v>8163</v>
      </c>
      <c r="B3738" s="3" t="s">
        <v>7</v>
      </c>
      <c r="C3738" s="22">
        <v>4.5</v>
      </c>
    </row>
    <row r="3739" spans="1:3" x14ac:dyDescent="0.3">
      <c r="A3739" s="4" t="s">
        <v>8165</v>
      </c>
      <c r="B3739" s="4" t="s">
        <v>7</v>
      </c>
      <c r="C3739" s="23">
        <v>6.6</v>
      </c>
    </row>
    <row r="3740" spans="1:3" x14ac:dyDescent="0.3">
      <c r="A3740" s="3" t="s">
        <v>8167</v>
      </c>
      <c r="B3740" s="3" t="s">
        <v>7</v>
      </c>
      <c r="C3740" s="22">
        <v>5.3</v>
      </c>
    </row>
    <row r="3741" spans="1:3" x14ac:dyDescent="0.3">
      <c r="A3741" s="4" t="s">
        <v>8169</v>
      </c>
      <c r="B3741" s="4" t="s">
        <v>7</v>
      </c>
      <c r="C3741" s="23">
        <v>4.9000000000000004</v>
      </c>
    </row>
    <row r="3742" spans="1:3" x14ac:dyDescent="0.3">
      <c r="A3742" s="3" t="s">
        <v>8171</v>
      </c>
      <c r="B3742" s="3" t="s">
        <v>7</v>
      </c>
      <c r="C3742" s="22">
        <v>7.7</v>
      </c>
    </row>
    <row r="3743" spans="1:3" x14ac:dyDescent="0.3">
      <c r="A3743" s="4" t="s">
        <v>8173</v>
      </c>
      <c r="B3743" s="4" t="s">
        <v>7</v>
      </c>
      <c r="C3743" s="23">
        <v>8</v>
      </c>
    </row>
    <row r="3744" spans="1:3" x14ac:dyDescent="0.3">
      <c r="A3744" s="3" t="s">
        <v>8175</v>
      </c>
      <c r="B3744" s="3" t="s">
        <v>7918</v>
      </c>
      <c r="C3744" s="22">
        <v>3.8</v>
      </c>
    </row>
    <row r="3745" spans="1:3" x14ac:dyDescent="0.3">
      <c r="A3745" s="4" t="s">
        <v>8177</v>
      </c>
      <c r="B3745" s="4" t="s">
        <v>7</v>
      </c>
      <c r="C3745" s="23">
        <v>7.6</v>
      </c>
    </row>
    <row r="3746" spans="1:3" x14ac:dyDescent="0.3">
      <c r="A3746" s="3" t="s">
        <v>8179</v>
      </c>
      <c r="B3746" s="3" t="s">
        <v>7</v>
      </c>
      <c r="C3746" s="22">
        <v>5.9</v>
      </c>
    </row>
    <row r="3747" spans="1:3" x14ac:dyDescent="0.3">
      <c r="A3747" s="4" t="s">
        <v>8181</v>
      </c>
      <c r="B3747" s="4" t="s">
        <v>7</v>
      </c>
      <c r="C3747" s="23">
        <v>6.2</v>
      </c>
    </row>
    <row r="3748" spans="1:3" x14ac:dyDescent="0.3">
      <c r="A3748" s="3" t="s">
        <v>8183</v>
      </c>
      <c r="B3748" s="3" t="s">
        <v>7</v>
      </c>
      <c r="C3748" s="22">
        <v>7.2</v>
      </c>
    </row>
    <row r="3749" spans="1:3" x14ac:dyDescent="0.3">
      <c r="A3749" s="4" t="s">
        <v>8185</v>
      </c>
      <c r="B3749" s="4" t="s">
        <v>7</v>
      </c>
      <c r="C3749" s="23">
        <v>6.3</v>
      </c>
    </row>
    <row r="3750" spans="1:3" x14ac:dyDescent="0.3">
      <c r="A3750" s="3" t="s">
        <v>8187</v>
      </c>
      <c r="B3750" s="3" t="s">
        <v>7</v>
      </c>
      <c r="C3750" s="22">
        <v>5.2</v>
      </c>
    </row>
    <row r="3751" spans="1:3" x14ac:dyDescent="0.3">
      <c r="A3751" s="4" t="s">
        <v>8189</v>
      </c>
      <c r="B3751" s="4" t="s">
        <v>7</v>
      </c>
      <c r="C3751" s="23">
        <v>6.9</v>
      </c>
    </row>
    <row r="3752" spans="1:3" x14ac:dyDescent="0.3">
      <c r="A3752" s="3" t="s">
        <v>8191</v>
      </c>
      <c r="B3752" s="3" t="s">
        <v>7</v>
      </c>
      <c r="C3752" s="22">
        <v>6.8</v>
      </c>
    </row>
    <row r="3753" spans="1:3" x14ac:dyDescent="0.3">
      <c r="A3753" s="4" t="s">
        <v>8194</v>
      </c>
      <c r="B3753" s="4" t="s">
        <v>7</v>
      </c>
      <c r="C3753" s="23">
        <v>6.2</v>
      </c>
    </row>
    <row r="3754" spans="1:3" x14ac:dyDescent="0.3">
      <c r="A3754" s="3" t="s">
        <v>8196</v>
      </c>
      <c r="B3754" s="3" t="s">
        <v>7</v>
      </c>
      <c r="C3754" s="22">
        <v>6.2</v>
      </c>
    </row>
    <row r="3755" spans="1:3" x14ac:dyDescent="0.3">
      <c r="A3755" s="4" t="s">
        <v>8198</v>
      </c>
      <c r="B3755" s="4" t="s">
        <v>7</v>
      </c>
      <c r="C3755" s="23">
        <v>3.5</v>
      </c>
    </row>
    <row r="3756" spans="1:3" x14ac:dyDescent="0.3">
      <c r="A3756" s="3" t="s">
        <v>8200</v>
      </c>
      <c r="B3756" s="3" t="s">
        <v>7</v>
      </c>
      <c r="C3756" s="22">
        <v>6.1</v>
      </c>
    </row>
    <row r="3757" spans="1:3" x14ac:dyDescent="0.3">
      <c r="A3757" s="4" t="s">
        <v>8202</v>
      </c>
      <c r="B3757" s="4" t="s">
        <v>7</v>
      </c>
      <c r="C3757" s="23">
        <v>6.6</v>
      </c>
    </row>
    <row r="3758" spans="1:3" x14ac:dyDescent="0.3">
      <c r="A3758" s="3" t="s">
        <v>8204</v>
      </c>
      <c r="B3758" s="3" t="s">
        <v>7</v>
      </c>
      <c r="C3758" s="22">
        <v>4.5</v>
      </c>
    </row>
    <row r="3759" spans="1:3" x14ac:dyDescent="0.3">
      <c r="A3759" s="4" t="s">
        <v>8206</v>
      </c>
      <c r="B3759" s="4" t="s">
        <v>7</v>
      </c>
      <c r="C3759" s="23">
        <v>5.9</v>
      </c>
    </row>
    <row r="3760" spans="1:3" x14ac:dyDescent="0.3">
      <c r="A3760" s="3" t="s">
        <v>8208</v>
      </c>
      <c r="B3760" s="3" t="s">
        <v>7</v>
      </c>
      <c r="C3760" s="22">
        <v>6.9</v>
      </c>
    </row>
    <row r="3761" spans="1:3" x14ac:dyDescent="0.3">
      <c r="A3761" s="4" t="s">
        <v>8211</v>
      </c>
      <c r="B3761" s="4" t="s">
        <v>7</v>
      </c>
      <c r="C3761" s="23">
        <v>7.7</v>
      </c>
    </row>
    <row r="3762" spans="1:3" x14ac:dyDescent="0.3">
      <c r="A3762" s="3" t="s">
        <v>8213</v>
      </c>
      <c r="B3762" s="3" t="s">
        <v>7</v>
      </c>
      <c r="C3762" s="22">
        <v>6.6</v>
      </c>
    </row>
    <row r="3763" spans="1:3" x14ac:dyDescent="0.3">
      <c r="A3763" s="4" t="s">
        <v>8215</v>
      </c>
      <c r="B3763" s="4" t="s">
        <v>7</v>
      </c>
      <c r="C3763" s="23">
        <v>5.3</v>
      </c>
    </row>
    <row r="3764" spans="1:3" x14ac:dyDescent="0.3">
      <c r="A3764" s="3" t="s">
        <v>8218</v>
      </c>
      <c r="B3764" s="3" t="s">
        <v>7</v>
      </c>
      <c r="C3764" s="22">
        <v>6.3</v>
      </c>
    </row>
    <row r="3765" spans="1:3" x14ac:dyDescent="0.3">
      <c r="A3765" s="4" t="s">
        <v>8220</v>
      </c>
      <c r="B3765" s="4" t="s">
        <v>7</v>
      </c>
      <c r="C3765" s="23">
        <v>7</v>
      </c>
    </row>
    <row r="3766" spans="1:3" x14ac:dyDescent="0.3">
      <c r="A3766" s="3" t="s">
        <v>8222</v>
      </c>
      <c r="B3766" s="3" t="s">
        <v>7</v>
      </c>
      <c r="C3766" s="22">
        <v>7</v>
      </c>
    </row>
    <row r="3767" spans="1:3" x14ac:dyDescent="0.3">
      <c r="A3767" s="4" t="s">
        <v>8224</v>
      </c>
      <c r="B3767" s="4" t="s">
        <v>7</v>
      </c>
      <c r="C3767" s="23">
        <v>6.6</v>
      </c>
    </row>
    <row r="3768" spans="1:3" x14ac:dyDescent="0.3">
      <c r="A3768" s="3" t="s">
        <v>8226</v>
      </c>
      <c r="B3768" s="3" t="s">
        <v>7</v>
      </c>
      <c r="C3768" s="22">
        <v>8.6</v>
      </c>
    </row>
    <row r="3769" spans="1:3" x14ac:dyDescent="0.3">
      <c r="A3769" s="4" t="s">
        <v>8228</v>
      </c>
      <c r="B3769" s="4" t="s">
        <v>7</v>
      </c>
      <c r="C3769" s="23">
        <v>6.4</v>
      </c>
    </row>
    <row r="3770" spans="1:3" x14ac:dyDescent="0.3">
      <c r="A3770" s="3" t="s">
        <v>8230</v>
      </c>
      <c r="B3770" s="3" t="s">
        <v>7</v>
      </c>
      <c r="C3770" s="22">
        <v>7.9</v>
      </c>
    </row>
    <row r="3771" spans="1:3" x14ac:dyDescent="0.3">
      <c r="A3771" s="4" t="s">
        <v>8232</v>
      </c>
      <c r="B3771" s="4" t="s">
        <v>7</v>
      </c>
      <c r="C3771" s="23">
        <v>5.4</v>
      </c>
    </row>
    <row r="3772" spans="1:3" x14ac:dyDescent="0.3">
      <c r="A3772" s="3" t="s">
        <v>8234</v>
      </c>
      <c r="B3772" s="3" t="s">
        <v>7</v>
      </c>
      <c r="C3772" s="22">
        <v>6.9</v>
      </c>
    </row>
    <row r="3773" spans="1:3" x14ac:dyDescent="0.3">
      <c r="A3773" s="4" t="s">
        <v>8236</v>
      </c>
      <c r="B3773" s="4" t="s">
        <v>7</v>
      </c>
      <c r="C3773" s="23">
        <v>7.7</v>
      </c>
    </row>
    <row r="3774" spans="1:3" x14ac:dyDescent="0.3">
      <c r="A3774" s="3" t="s">
        <v>8238</v>
      </c>
      <c r="B3774" s="3" t="s">
        <v>7</v>
      </c>
      <c r="C3774" s="22">
        <v>7.2</v>
      </c>
    </row>
    <row r="3775" spans="1:3" x14ac:dyDescent="0.3">
      <c r="A3775" s="4" t="s">
        <v>8240</v>
      </c>
      <c r="B3775" s="4" t="s">
        <v>7</v>
      </c>
      <c r="C3775" s="23">
        <v>6.8</v>
      </c>
    </row>
    <row r="3776" spans="1:3" x14ac:dyDescent="0.3">
      <c r="A3776" s="3" t="s">
        <v>8242</v>
      </c>
      <c r="B3776" s="3" t="s">
        <v>7</v>
      </c>
      <c r="C3776" s="22">
        <v>6.2</v>
      </c>
    </row>
    <row r="3777" spans="1:3" x14ac:dyDescent="0.3">
      <c r="A3777" s="4" t="s">
        <v>8244</v>
      </c>
      <c r="B3777" s="4" t="s">
        <v>7</v>
      </c>
      <c r="C3777" s="23">
        <v>7.4</v>
      </c>
    </row>
    <row r="3778" spans="1:3" x14ac:dyDescent="0.3">
      <c r="A3778" s="3" t="s">
        <v>8247</v>
      </c>
      <c r="B3778" s="3" t="s">
        <v>7</v>
      </c>
      <c r="C3778" s="22">
        <v>4.5999999999999996</v>
      </c>
    </row>
    <row r="3779" spans="1:3" x14ac:dyDescent="0.3">
      <c r="A3779" s="4" t="s">
        <v>8249</v>
      </c>
      <c r="B3779" s="4" t="s">
        <v>582</v>
      </c>
      <c r="C3779" s="23">
        <v>6.4</v>
      </c>
    </row>
    <row r="3780" spans="1:3" x14ac:dyDescent="0.3">
      <c r="A3780" s="3" t="s">
        <v>8251</v>
      </c>
      <c r="B3780" s="3" t="s">
        <v>7918</v>
      </c>
      <c r="C3780" s="22">
        <v>7</v>
      </c>
    </row>
    <row r="3781" spans="1:3" x14ac:dyDescent="0.3">
      <c r="A3781" s="4" t="s">
        <v>8253</v>
      </c>
      <c r="B3781" s="4" t="s">
        <v>247</v>
      </c>
      <c r="C3781" s="23">
        <v>7.7</v>
      </c>
    </row>
    <row r="3782" spans="1:3" x14ac:dyDescent="0.3">
      <c r="A3782" s="3" t="s">
        <v>8255</v>
      </c>
      <c r="B3782" s="3" t="s">
        <v>7</v>
      </c>
      <c r="C3782" s="22">
        <v>6.8</v>
      </c>
    </row>
    <row r="3783" spans="1:3" x14ac:dyDescent="0.3">
      <c r="A3783" s="4" t="s">
        <v>8257</v>
      </c>
      <c r="B3783" s="4" t="s">
        <v>7</v>
      </c>
      <c r="C3783" s="23">
        <v>7</v>
      </c>
    </row>
    <row r="3784" spans="1:3" x14ac:dyDescent="0.3">
      <c r="A3784" s="3" t="s">
        <v>8260</v>
      </c>
      <c r="B3784" s="3" t="s">
        <v>1146</v>
      </c>
      <c r="C3784" s="22">
        <v>7</v>
      </c>
    </row>
    <row r="3785" spans="1:3" x14ac:dyDescent="0.3">
      <c r="A3785" s="4" t="s">
        <v>8262</v>
      </c>
      <c r="B3785" s="4" t="s">
        <v>7</v>
      </c>
      <c r="C3785" s="23">
        <v>6.3</v>
      </c>
    </row>
    <row r="3786" spans="1:3" x14ac:dyDescent="0.3">
      <c r="A3786" s="3" t="s">
        <v>8264</v>
      </c>
      <c r="B3786" s="3" t="s">
        <v>7</v>
      </c>
      <c r="C3786" s="22">
        <v>7.1</v>
      </c>
    </row>
  </sheetData>
  <autoFilter ref="E2:E40" xr:uid="{D6B1A4D7-CA87-4077-8E1F-6688F7C33233}"/>
  <sortState xmlns:xlrd2="http://schemas.microsoft.com/office/spreadsheetml/2017/richdata2" ref="A2:A5050">
    <sortCondition ref="A1:A5050"/>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A1DCB-42B3-4FF9-92AA-D44620571DF5}">
  <dimension ref="A1:L3712"/>
  <sheetViews>
    <sheetView topLeftCell="B16" zoomScaleNormal="100" workbookViewId="0">
      <selection activeCell="K9" sqref="K9"/>
    </sheetView>
  </sheetViews>
  <sheetFormatPr defaultRowHeight="14.4" x14ac:dyDescent="0.3"/>
  <cols>
    <col min="1" max="1" width="68.88671875" bestFit="1" customWidth="1"/>
    <col min="2" max="2" width="10.77734375" bestFit="1" customWidth="1"/>
    <col min="3" max="3" width="29.33203125" bestFit="1" customWidth="1"/>
    <col min="4" max="4" width="10.77734375" bestFit="1" customWidth="1"/>
    <col min="5" max="5" width="13" bestFit="1" customWidth="1"/>
    <col min="6" max="6" width="20.88671875" bestFit="1" customWidth="1"/>
    <col min="7" max="7" width="20.109375" bestFit="1" customWidth="1"/>
    <col min="8" max="8" width="19.77734375" bestFit="1" customWidth="1"/>
    <col min="9" max="9" width="14" customWidth="1"/>
    <col min="10" max="10" width="10.6640625" customWidth="1"/>
    <col min="11" max="11" width="15.88671875" customWidth="1"/>
    <col min="12" max="12" width="18.21875" bestFit="1" customWidth="1"/>
  </cols>
  <sheetData>
    <row r="1" spans="1:10" x14ac:dyDescent="0.3">
      <c r="A1" s="24" t="s">
        <v>9941</v>
      </c>
      <c r="B1" s="2" t="s">
        <v>8287</v>
      </c>
      <c r="C1" s="36" t="s">
        <v>8293</v>
      </c>
      <c r="F1" s="36" t="s">
        <v>9944</v>
      </c>
      <c r="G1" t="s">
        <v>9943</v>
      </c>
    </row>
    <row r="2" spans="1:10" x14ac:dyDescent="0.3">
      <c r="A2" s="3" t="s">
        <v>5</v>
      </c>
      <c r="B2" s="3">
        <v>7.9</v>
      </c>
      <c r="C2" s="22" t="s">
        <v>8294</v>
      </c>
      <c r="F2" s="22" t="s">
        <v>8297</v>
      </c>
      <c r="G2" s="40">
        <v>8.4250000000000007</v>
      </c>
      <c r="I2" s="40"/>
    </row>
    <row r="3" spans="1:10" x14ac:dyDescent="0.3">
      <c r="A3" s="4" t="s">
        <v>10</v>
      </c>
      <c r="B3" s="4">
        <v>7.1</v>
      </c>
      <c r="C3" s="23" t="s">
        <v>8295</v>
      </c>
      <c r="F3" s="23" t="s">
        <v>8713</v>
      </c>
      <c r="G3" s="40">
        <v>7.37</v>
      </c>
      <c r="I3" s="41" t="s">
        <v>9945</v>
      </c>
      <c r="J3" s="41">
        <f>LARGE(Table3[Average Imdb_score],1)</f>
        <v>9.5</v>
      </c>
    </row>
    <row r="4" spans="1:10" x14ac:dyDescent="0.3">
      <c r="A4" s="3" t="s">
        <v>13</v>
      </c>
      <c r="B4" s="3">
        <v>6.8</v>
      </c>
      <c r="C4" s="22" t="s">
        <v>8296</v>
      </c>
      <c r="F4" s="22" t="s">
        <v>8584</v>
      </c>
      <c r="G4" s="40">
        <v>7.9750000000000005</v>
      </c>
      <c r="I4" s="41" t="s">
        <v>9946</v>
      </c>
      <c r="J4" s="41">
        <f>PERCENTRANK(Table3[Average Imdb_score],9.5)</f>
        <v>1</v>
      </c>
    </row>
    <row r="5" spans="1:10" x14ac:dyDescent="0.3">
      <c r="A5" s="4" t="s">
        <v>17</v>
      </c>
      <c r="B5" s="4">
        <v>8.5</v>
      </c>
      <c r="C5" s="23" t="s">
        <v>8297</v>
      </c>
      <c r="F5" s="22" t="s">
        <v>9459</v>
      </c>
      <c r="G5" s="40">
        <v>9.5</v>
      </c>
      <c r="I5" s="41" t="s">
        <v>9947</v>
      </c>
      <c r="J5" s="41">
        <f>PERCENTILE(Table3[Average Imdb_score],J4)</f>
        <v>9.5</v>
      </c>
    </row>
    <row r="6" spans="1:10" x14ac:dyDescent="0.3">
      <c r="A6" s="3" t="s">
        <v>21</v>
      </c>
      <c r="B6" s="3">
        <v>7.1</v>
      </c>
      <c r="C6" s="22" t="s">
        <v>8298</v>
      </c>
      <c r="F6" s="23" t="s">
        <v>8310</v>
      </c>
      <c r="G6" s="40">
        <v>7.82</v>
      </c>
    </row>
    <row r="7" spans="1:10" x14ac:dyDescent="0.3">
      <c r="A7" s="4" t="s">
        <v>24</v>
      </c>
      <c r="B7" s="4">
        <v>6.6</v>
      </c>
      <c r="C7" s="23" t="s">
        <v>8299</v>
      </c>
      <c r="F7" s="22" t="s">
        <v>8362</v>
      </c>
      <c r="G7" s="40">
        <v>7.7499999999999982</v>
      </c>
    </row>
    <row r="8" spans="1:10" x14ac:dyDescent="0.3">
      <c r="A8" s="3" t="s">
        <v>27</v>
      </c>
      <c r="B8" s="3">
        <v>6.2</v>
      </c>
      <c r="C8" s="22" t="s">
        <v>8300</v>
      </c>
      <c r="F8" s="22" t="s">
        <v>8337</v>
      </c>
      <c r="G8" s="40">
        <v>7.3076923076923084</v>
      </c>
    </row>
    <row r="9" spans="1:10" x14ac:dyDescent="0.3">
      <c r="A9" s="4" t="s">
        <v>29</v>
      </c>
      <c r="B9" s="4">
        <v>7.8</v>
      </c>
      <c r="C9" s="23" t="s">
        <v>8301</v>
      </c>
      <c r="F9" s="23" t="s">
        <v>8332</v>
      </c>
      <c r="G9" s="40">
        <v>7.4807692307692308</v>
      </c>
    </row>
    <row r="10" spans="1:10" x14ac:dyDescent="0.3">
      <c r="A10" s="3" t="s">
        <v>32</v>
      </c>
      <c r="B10" s="3">
        <v>7.5</v>
      </c>
      <c r="C10" s="22" t="s">
        <v>8302</v>
      </c>
      <c r="F10" s="22" t="s">
        <v>8906</v>
      </c>
      <c r="G10" s="40">
        <v>7.5</v>
      </c>
    </row>
    <row r="11" spans="1:10" x14ac:dyDescent="0.3">
      <c r="A11" s="4" t="s">
        <v>34</v>
      </c>
      <c r="B11" s="4">
        <v>7.5</v>
      </c>
      <c r="C11" s="23" t="s">
        <v>8303</v>
      </c>
      <c r="F11" s="23" t="s">
        <v>8462</v>
      </c>
      <c r="G11" s="40">
        <v>8.1714285714285726</v>
      </c>
    </row>
    <row r="12" spans="1:10" x14ac:dyDescent="0.3">
      <c r="A12" s="3" t="s">
        <v>37</v>
      </c>
      <c r="B12" s="3">
        <v>6.9</v>
      </c>
      <c r="C12" s="22" t="s">
        <v>8304</v>
      </c>
    </row>
    <row r="13" spans="1:10" x14ac:dyDescent="0.3">
      <c r="A13" s="4" t="s">
        <v>39</v>
      </c>
      <c r="B13" s="4">
        <v>6.1</v>
      </c>
      <c r="C13" s="23" t="s">
        <v>8305</v>
      </c>
    </row>
    <row r="14" spans="1:10" x14ac:dyDescent="0.3">
      <c r="A14" s="3" t="s">
        <v>42</v>
      </c>
      <c r="B14" s="3">
        <v>6.7</v>
      </c>
      <c r="C14" s="22" t="s">
        <v>8306</v>
      </c>
    </row>
    <row r="15" spans="1:10" x14ac:dyDescent="0.3">
      <c r="A15" s="4" t="s">
        <v>44</v>
      </c>
      <c r="B15" s="4">
        <v>7.3</v>
      </c>
      <c r="C15" s="23" t="s">
        <v>8295</v>
      </c>
    </row>
    <row r="16" spans="1:10" x14ac:dyDescent="0.3">
      <c r="A16" s="3" t="s">
        <v>47</v>
      </c>
      <c r="B16" s="3">
        <v>6.5</v>
      </c>
      <c r="C16" s="22" t="s">
        <v>8295</v>
      </c>
    </row>
    <row r="17" spans="1:3" x14ac:dyDescent="0.3">
      <c r="A17" s="4" t="s">
        <v>49</v>
      </c>
      <c r="B17" s="4">
        <v>7.2</v>
      </c>
      <c r="C17" s="23" t="s">
        <v>8304</v>
      </c>
    </row>
    <row r="18" spans="1:3" x14ac:dyDescent="0.3">
      <c r="A18" s="3" t="s">
        <v>51</v>
      </c>
      <c r="B18" s="3">
        <v>6.6</v>
      </c>
      <c r="C18" s="22" t="s">
        <v>8307</v>
      </c>
    </row>
    <row r="19" spans="1:3" x14ac:dyDescent="0.3">
      <c r="A19" s="4" t="s">
        <v>54</v>
      </c>
      <c r="B19" s="4">
        <v>8.1</v>
      </c>
      <c r="C19" s="23" t="s">
        <v>8302</v>
      </c>
    </row>
    <row r="20" spans="1:3" x14ac:dyDescent="0.3">
      <c r="A20" s="3" t="s">
        <v>57</v>
      </c>
      <c r="B20" s="3">
        <v>6.7</v>
      </c>
      <c r="C20" s="22" t="s">
        <v>8308</v>
      </c>
    </row>
    <row r="21" spans="1:3" x14ac:dyDescent="0.3">
      <c r="A21" s="4" t="s">
        <v>60</v>
      </c>
      <c r="B21" s="4">
        <v>6.8</v>
      </c>
      <c r="C21" s="23" t="s">
        <v>8309</v>
      </c>
    </row>
    <row r="22" spans="1:3" x14ac:dyDescent="0.3">
      <c r="A22" s="3" t="s">
        <v>63</v>
      </c>
      <c r="B22" s="3">
        <v>7.5</v>
      </c>
      <c r="C22" s="22" t="s">
        <v>8310</v>
      </c>
    </row>
    <row r="23" spans="1:3" x14ac:dyDescent="0.3">
      <c r="A23" s="4" t="s">
        <v>65</v>
      </c>
      <c r="B23" s="4">
        <v>7</v>
      </c>
      <c r="C23" s="23" t="s">
        <v>8311</v>
      </c>
    </row>
    <row r="24" spans="1:3" x14ac:dyDescent="0.3">
      <c r="A24" s="3" t="s">
        <v>68</v>
      </c>
      <c r="B24" s="3">
        <v>6.7</v>
      </c>
      <c r="C24" s="22" t="s">
        <v>8312</v>
      </c>
    </row>
    <row r="25" spans="1:3" x14ac:dyDescent="0.3">
      <c r="A25" s="4" t="s">
        <v>71</v>
      </c>
      <c r="B25" s="4">
        <v>7.9</v>
      </c>
      <c r="C25" s="23" t="s">
        <v>8310</v>
      </c>
    </row>
    <row r="26" spans="1:3" x14ac:dyDescent="0.3">
      <c r="A26" s="3" t="s">
        <v>74</v>
      </c>
      <c r="B26" s="3">
        <v>6.1</v>
      </c>
      <c r="C26" s="22" t="s">
        <v>8313</v>
      </c>
    </row>
    <row r="27" spans="1:3" x14ac:dyDescent="0.3">
      <c r="A27" s="4" t="s">
        <v>76</v>
      </c>
      <c r="B27" s="4">
        <v>7.2</v>
      </c>
      <c r="C27" s="23" t="s">
        <v>8310</v>
      </c>
    </row>
    <row r="28" spans="1:3" x14ac:dyDescent="0.3">
      <c r="A28" s="3" t="s">
        <v>79</v>
      </c>
      <c r="B28" s="3">
        <v>7.7</v>
      </c>
      <c r="C28" s="22" t="s">
        <v>8294</v>
      </c>
    </row>
    <row r="29" spans="1:3" x14ac:dyDescent="0.3">
      <c r="A29" s="4" t="s">
        <v>81</v>
      </c>
      <c r="B29" s="4">
        <v>8.1999999999999993</v>
      </c>
      <c r="C29" s="23" t="s">
        <v>8314</v>
      </c>
    </row>
    <row r="30" spans="1:3" x14ac:dyDescent="0.3">
      <c r="A30" s="3" t="s">
        <v>83</v>
      </c>
      <c r="B30" s="3">
        <v>5.9</v>
      </c>
      <c r="C30" s="22" t="s">
        <v>8315</v>
      </c>
    </row>
    <row r="31" spans="1:3" x14ac:dyDescent="0.3">
      <c r="A31" s="4" t="s">
        <v>86</v>
      </c>
      <c r="B31" s="4">
        <v>7</v>
      </c>
      <c r="C31" s="23" t="s">
        <v>8316</v>
      </c>
    </row>
    <row r="32" spans="1:3" x14ac:dyDescent="0.3">
      <c r="A32" s="3" t="s">
        <v>88</v>
      </c>
      <c r="B32" s="3">
        <v>7.8</v>
      </c>
      <c r="C32" s="22" t="s">
        <v>8296</v>
      </c>
    </row>
    <row r="33" spans="1:3" x14ac:dyDescent="0.3">
      <c r="A33" s="4" t="s">
        <v>90</v>
      </c>
      <c r="B33" s="4">
        <v>7.3</v>
      </c>
      <c r="C33" s="23" t="s">
        <v>8300</v>
      </c>
    </row>
    <row r="34" spans="1:3" x14ac:dyDescent="0.3">
      <c r="A34" s="3" t="s">
        <v>93</v>
      </c>
      <c r="B34" s="3">
        <v>7.2</v>
      </c>
      <c r="C34" s="22" t="s">
        <v>8317</v>
      </c>
    </row>
    <row r="35" spans="1:3" x14ac:dyDescent="0.3">
      <c r="A35" s="4" t="s">
        <v>97</v>
      </c>
      <c r="B35" s="4">
        <v>6.5</v>
      </c>
      <c r="C35" s="23" t="s">
        <v>8318</v>
      </c>
    </row>
    <row r="36" spans="1:3" x14ac:dyDescent="0.3">
      <c r="A36" s="3" t="s">
        <v>99</v>
      </c>
      <c r="B36" s="3">
        <v>6.8</v>
      </c>
      <c r="C36" s="22" t="s">
        <v>8319</v>
      </c>
    </row>
    <row r="37" spans="1:3" x14ac:dyDescent="0.3">
      <c r="A37" s="4" t="s">
        <v>101</v>
      </c>
      <c r="B37" s="4">
        <v>7.3</v>
      </c>
      <c r="C37" s="23" t="s">
        <v>8320</v>
      </c>
    </row>
    <row r="38" spans="1:3" x14ac:dyDescent="0.3">
      <c r="A38" s="3" t="s">
        <v>103</v>
      </c>
      <c r="B38" s="3">
        <v>6</v>
      </c>
      <c r="C38" s="22" t="s">
        <v>8321</v>
      </c>
    </row>
    <row r="39" spans="1:3" x14ac:dyDescent="0.3">
      <c r="A39" s="4" t="s">
        <v>105</v>
      </c>
      <c r="B39" s="4">
        <v>5.7</v>
      </c>
      <c r="C39" s="23" t="s">
        <v>8321</v>
      </c>
    </row>
    <row r="40" spans="1:3" x14ac:dyDescent="0.3">
      <c r="A40" s="3" t="s">
        <v>107</v>
      </c>
      <c r="B40" s="3">
        <v>6.4</v>
      </c>
      <c r="C40" s="22" t="s">
        <v>8300</v>
      </c>
    </row>
    <row r="41" spans="1:3" x14ac:dyDescent="0.3">
      <c r="A41" s="4" t="s">
        <v>110</v>
      </c>
      <c r="B41" s="4">
        <v>6.7</v>
      </c>
      <c r="C41" s="23" t="s">
        <v>8311</v>
      </c>
    </row>
    <row r="42" spans="1:3" x14ac:dyDescent="0.3">
      <c r="A42" s="3" t="s">
        <v>112</v>
      </c>
      <c r="B42" s="3">
        <v>6.8</v>
      </c>
      <c r="C42" s="22" t="s">
        <v>8322</v>
      </c>
    </row>
    <row r="43" spans="1:3" x14ac:dyDescent="0.3">
      <c r="A43" s="4" t="s">
        <v>114</v>
      </c>
      <c r="B43" s="4">
        <v>6.3</v>
      </c>
      <c r="C43" s="23" t="s">
        <v>8323</v>
      </c>
    </row>
    <row r="44" spans="1:3" x14ac:dyDescent="0.3">
      <c r="A44" s="3" t="s">
        <v>116</v>
      </c>
      <c r="B44" s="3">
        <v>5.6</v>
      </c>
      <c r="C44" s="22" t="s">
        <v>8324</v>
      </c>
    </row>
    <row r="45" spans="1:3" x14ac:dyDescent="0.3">
      <c r="A45" s="4" t="s">
        <v>119</v>
      </c>
      <c r="B45" s="4">
        <v>8.3000000000000007</v>
      </c>
      <c r="C45" s="23" t="s">
        <v>8325</v>
      </c>
    </row>
    <row r="46" spans="1:3" x14ac:dyDescent="0.3">
      <c r="A46" s="3" t="s">
        <v>122</v>
      </c>
      <c r="B46" s="3">
        <v>6.6</v>
      </c>
      <c r="C46" s="22" t="s">
        <v>8326</v>
      </c>
    </row>
    <row r="47" spans="1:3" x14ac:dyDescent="0.3">
      <c r="A47" s="4" t="s">
        <v>124</v>
      </c>
      <c r="B47" s="4">
        <v>7.2</v>
      </c>
      <c r="C47" s="23" t="s">
        <v>8327</v>
      </c>
    </row>
    <row r="48" spans="1:3" x14ac:dyDescent="0.3">
      <c r="A48" s="3" t="s">
        <v>126</v>
      </c>
      <c r="B48" s="3">
        <v>7</v>
      </c>
      <c r="C48" s="22" t="s">
        <v>8306</v>
      </c>
    </row>
    <row r="49" spans="1:3" x14ac:dyDescent="0.3">
      <c r="A49" s="4" t="s">
        <v>128</v>
      </c>
      <c r="B49" s="4">
        <v>8</v>
      </c>
      <c r="C49" s="23" t="s">
        <v>8305</v>
      </c>
    </row>
    <row r="50" spans="1:3" x14ac:dyDescent="0.3">
      <c r="A50" s="3" t="s">
        <v>130</v>
      </c>
      <c r="B50" s="3">
        <v>7.8</v>
      </c>
      <c r="C50" s="22" t="s">
        <v>8328</v>
      </c>
    </row>
    <row r="51" spans="1:3" x14ac:dyDescent="0.3">
      <c r="A51" s="4" t="s">
        <v>133</v>
      </c>
      <c r="B51" s="4">
        <v>6.3</v>
      </c>
      <c r="C51" s="23" t="s">
        <v>8305</v>
      </c>
    </row>
    <row r="52" spans="1:3" x14ac:dyDescent="0.3">
      <c r="A52" s="3" t="s">
        <v>135</v>
      </c>
      <c r="B52" s="3">
        <v>7.3</v>
      </c>
      <c r="C52" s="22" t="s">
        <v>8329</v>
      </c>
    </row>
    <row r="53" spans="1:3" x14ac:dyDescent="0.3">
      <c r="A53" s="4" t="s">
        <v>137</v>
      </c>
      <c r="B53" s="4">
        <v>6.6</v>
      </c>
      <c r="C53" s="23" t="s">
        <v>8330</v>
      </c>
    </row>
    <row r="54" spans="1:3" x14ac:dyDescent="0.3">
      <c r="A54" s="3" t="s">
        <v>139</v>
      </c>
      <c r="B54" s="3">
        <v>7</v>
      </c>
      <c r="C54" s="22" t="s">
        <v>8331</v>
      </c>
    </row>
    <row r="55" spans="1:3" x14ac:dyDescent="0.3">
      <c r="A55" s="4" t="s">
        <v>141</v>
      </c>
      <c r="B55" s="4">
        <v>6.3</v>
      </c>
      <c r="C55" s="23" t="s">
        <v>8321</v>
      </c>
    </row>
    <row r="56" spans="1:3" x14ac:dyDescent="0.3">
      <c r="A56" s="3" t="s">
        <v>143</v>
      </c>
      <c r="B56" s="3">
        <v>6.2</v>
      </c>
      <c r="C56" s="22" t="s">
        <v>8332</v>
      </c>
    </row>
    <row r="57" spans="1:3" x14ac:dyDescent="0.3">
      <c r="A57" s="4" t="s">
        <v>146</v>
      </c>
      <c r="B57" s="4">
        <v>6.8</v>
      </c>
      <c r="C57" s="23" t="s">
        <v>8333</v>
      </c>
    </row>
    <row r="58" spans="1:3" x14ac:dyDescent="0.3">
      <c r="A58" s="3" t="s">
        <v>149</v>
      </c>
      <c r="B58" s="3">
        <v>7.2</v>
      </c>
      <c r="C58" s="22" t="s">
        <v>8334</v>
      </c>
    </row>
    <row r="59" spans="1:3" x14ac:dyDescent="0.3">
      <c r="A59" s="4" t="s">
        <v>151</v>
      </c>
      <c r="B59" s="4">
        <v>7.5</v>
      </c>
      <c r="C59" s="23" t="s">
        <v>8335</v>
      </c>
    </row>
    <row r="60" spans="1:3" x14ac:dyDescent="0.3">
      <c r="A60" s="3" t="s">
        <v>154</v>
      </c>
      <c r="B60" s="3">
        <v>8.4</v>
      </c>
      <c r="C60" s="22" t="s">
        <v>8299</v>
      </c>
    </row>
    <row r="61" spans="1:3" x14ac:dyDescent="0.3">
      <c r="A61" s="4" t="s">
        <v>156</v>
      </c>
      <c r="B61" s="4">
        <v>6.2</v>
      </c>
      <c r="C61" s="23" t="s">
        <v>8319</v>
      </c>
    </row>
    <row r="62" spans="1:3" x14ac:dyDescent="0.3">
      <c r="A62" s="3" t="s">
        <v>158</v>
      </c>
      <c r="B62" s="3">
        <v>5.8</v>
      </c>
      <c r="C62" s="22" t="s">
        <v>8336</v>
      </c>
    </row>
    <row r="63" spans="1:3" x14ac:dyDescent="0.3">
      <c r="A63" s="4" t="s">
        <v>160</v>
      </c>
      <c r="B63" s="4">
        <v>6.8</v>
      </c>
      <c r="C63" s="23" t="s">
        <v>8337</v>
      </c>
    </row>
    <row r="64" spans="1:3" x14ac:dyDescent="0.3">
      <c r="A64" s="3" t="s">
        <v>162</v>
      </c>
      <c r="B64" s="3">
        <v>5.4</v>
      </c>
      <c r="C64" s="22" t="s">
        <v>8338</v>
      </c>
    </row>
    <row r="65" spans="1:3" x14ac:dyDescent="0.3">
      <c r="A65" s="4" t="s">
        <v>165</v>
      </c>
      <c r="B65" s="4">
        <v>6.6</v>
      </c>
      <c r="C65" s="23" t="s">
        <v>8303</v>
      </c>
    </row>
    <row r="66" spans="1:3" x14ac:dyDescent="0.3">
      <c r="A66" s="3" t="s">
        <v>168</v>
      </c>
      <c r="B66" s="3">
        <v>6.9</v>
      </c>
      <c r="C66" s="22" t="s">
        <v>8307</v>
      </c>
    </row>
    <row r="67" spans="1:3" x14ac:dyDescent="0.3">
      <c r="A67" s="4" t="s">
        <v>171</v>
      </c>
      <c r="B67" s="4">
        <v>7.3</v>
      </c>
      <c r="C67" s="23" t="s">
        <v>8305</v>
      </c>
    </row>
    <row r="68" spans="1:3" x14ac:dyDescent="0.3">
      <c r="A68" s="3" t="s">
        <v>173</v>
      </c>
      <c r="B68" s="3">
        <v>9</v>
      </c>
      <c r="C68" s="22" t="s">
        <v>8297</v>
      </c>
    </row>
    <row r="69" spans="1:3" x14ac:dyDescent="0.3">
      <c r="A69" s="4" t="s">
        <v>176</v>
      </c>
      <c r="B69" s="4">
        <v>8.3000000000000007</v>
      </c>
      <c r="C69" s="23" t="s">
        <v>8339</v>
      </c>
    </row>
    <row r="70" spans="1:3" x14ac:dyDescent="0.3">
      <c r="A70" s="3" t="s">
        <v>179</v>
      </c>
      <c r="B70" s="3">
        <v>6.5</v>
      </c>
      <c r="C70" s="22" t="s">
        <v>8340</v>
      </c>
    </row>
    <row r="71" spans="1:3" x14ac:dyDescent="0.3">
      <c r="A71" s="4" t="s">
        <v>182</v>
      </c>
      <c r="B71" s="4">
        <v>7.9</v>
      </c>
      <c r="C71" s="23" t="s">
        <v>8341</v>
      </c>
    </row>
    <row r="72" spans="1:3" x14ac:dyDescent="0.3">
      <c r="A72" s="3" t="s">
        <v>185</v>
      </c>
      <c r="B72" s="3">
        <v>7.5</v>
      </c>
      <c r="C72" s="22" t="s">
        <v>8342</v>
      </c>
    </row>
    <row r="73" spans="1:3" x14ac:dyDescent="0.3">
      <c r="A73" s="4" t="s">
        <v>188</v>
      </c>
      <c r="B73" s="4">
        <v>4.8</v>
      </c>
      <c r="C73" s="23" t="s">
        <v>8309</v>
      </c>
    </row>
    <row r="74" spans="1:3" x14ac:dyDescent="0.3">
      <c r="A74" s="3" t="s">
        <v>190</v>
      </c>
      <c r="B74" s="3">
        <v>5.2</v>
      </c>
      <c r="C74" s="22" t="s">
        <v>8343</v>
      </c>
    </row>
    <row r="75" spans="1:3" x14ac:dyDescent="0.3">
      <c r="A75" s="4" t="s">
        <v>192</v>
      </c>
      <c r="B75" s="4">
        <v>6.9</v>
      </c>
      <c r="C75" s="23" t="s">
        <v>8344</v>
      </c>
    </row>
    <row r="76" spans="1:3" x14ac:dyDescent="0.3">
      <c r="A76" s="3" t="s">
        <v>194</v>
      </c>
      <c r="B76" s="3">
        <v>5.4</v>
      </c>
      <c r="C76" s="22" t="s">
        <v>8345</v>
      </c>
    </row>
    <row r="77" spans="1:3" x14ac:dyDescent="0.3">
      <c r="A77" s="4" t="s">
        <v>197</v>
      </c>
      <c r="B77" s="4">
        <v>7.9</v>
      </c>
      <c r="C77" s="23" t="s">
        <v>8346</v>
      </c>
    </row>
    <row r="78" spans="1:3" x14ac:dyDescent="0.3">
      <c r="A78" s="3" t="s">
        <v>200</v>
      </c>
      <c r="B78" s="3">
        <v>6.1</v>
      </c>
      <c r="C78" s="22" t="s">
        <v>8347</v>
      </c>
    </row>
    <row r="79" spans="1:3" x14ac:dyDescent="0.3">
      <c r="A79" s="4" t="s">
        <v>202</v>
      </c>
      <c r="B79" s="4">
        <v>5.8</v>
      </c>
      <c r="C79" s="23" t="s">
        <v>8348</v>
      </c>
    </row>
    <row r="80" spans="1:3" x14ac:dyDescent="0.3">
      <c r="A80" s="3" t="s">
        <v>205</v>
      </c>
      <c r="B80" s="3">
        <v>8.3000000000000007</v>
      </c>
      <c r="C80" s="22" t="s">
        <v>8339</v>
      </c>
    </row>
    <row r="81" spans="1:3" x14ac:dyDescent="0.3">
      <c r="A81" s="4" t="s">
        <v>208</v>
      </c>
      <c r="B81" s="4">
        <v>7.8</v>
      </c>
      <c r="C81" s="23" t="s">
        <v>8341</v>
      </c>
    </row>
    <row r="82" spans="1:3" x14ac:dyDescent="0.3">
      <c r="A82" s="3" t="s">
        <v>211</v>
      </c>
      <c r="B82" s="3">
        <v>7</v>
      </c>
      <c r="C82" s="22" t="s">
        <v>8341</v>
      </c>
    </row>
    <row r="83" spans="1:3" x14ac:dyDescent="0.3">
      <c r="A83" s="4" t="s">
        <v>215</v>
      </c>
      <c r="B83" s="4">
        <v>6.1</v>
      </c>
      <c r="C83" s="23" t="s">
        <v>8349</v>
      </c>
    </row>
    <row r="84" spans="1:3" x14ac:dyDescent="0.3">
      <c r="A84" s="3" t="s">
        <v>217</v>
      </c>
      <c r="B84" s="3">
        <v>7</v>
      </c>
      <c r="C84" s="22" t="s">
        <v>8350</v>
      </c>
    </row>
    <row r="85" spans="1:3" x14ac:dyDescent="0.3">
      <c r="A85" s="4" t="s">
        <v>219</v>
      </c>
      <c r="B85" s="4">
        <v>7.6</v>
      </c>
      <c r="C85" s="23" t="s">
        <v>8351</v>
      </c>
    </row>
    <row r="86" spans="1:3" x14ac:dyDescent="0.3">
      <c r="A86" s="3" t="s">
        <v>222</v>
      </c>
      <c r="B86" s="3">
        <v>4.5</v>
      </c>
      <c r="C86" s="22" t="s">
        <v>8352</v>
      </c>
    </row>
    <row r="87" spans="1:3" x14ac:dyDescent="0.3">
      <c r="A87" s="4" t="s">
        <v>225</v>
      </c>
      <c r="B87" s="4">
        <v>6.3</v>
      </c>
      <c r="C87" s="23" t="s">
        <v>8353</v>
      </c>
    </row>
    <row r="88" spans="1:3" x14ac:dyDescent="0.3">
      <c r="A88" s="3" t="s">
        <v>228</v>
      </c>
      <c r="B88" s="3">
        <v>7.8</v>
      </c>
      <c r="C88" s="22" t="s">
        <v>8314</v>
      </c>
    </row>
    <row r="89" spans="1:3" x14ac:dyDescent="0.3">
      <c r="A89" s="4" t="s">
        <v>231</v>
      </c>
      <c r="B89" s="4">
        <v>6.4</v>
      </c>
      <c r="C89" s="23" t="s">
        <v>8354</v>
      </c>
    </row>
    <row r="90" spans="1:3" x14ac:dyDescent="0.3">
      <c r="A90" s="3" t="s">
        <v>233</v>
      </c>
      <c r="B90" s="3">
        <v>6.5</v>
      </c>
      <c r="C90" s="22" t="s">
        <v>8355</v>
      </c>
    </row>
    <row r="91" spans="1:3" x14ac:dyDescent="0.3">
      <c r="A91" s="4" t="s">
        <v>235</v>
      </c>
      <c r="B91" s="4">
        <v>7.9</v>
      </c>
      <c r="C91" s="23" t="s">
        <v>8356</v>
      </c>
    </row>
    <row r="92" spans="1:3" x14ac:dyDescent="0.3">
      <c r="A92" s="3" t="s">
        <v>238</v>
      </c>
      <c r="B92" s="3">
        <v>7.8</v>
      </c>
      <c r="C92" s="22" t="s">
        <v>8357</v>
      </c>
    </row>
    <row r="93" spans="1:3" x14ac:dyDescent="0.3">
      <c r="A93" s="4" t="s">
        <v>240</v>
      </c>
      <c r="B93" s="4">
        <v>6.6</v>
      </c>
      <c r="C93" s="23" t="s">
        <v>8337</v>
      </c>
    </row>
    <row r="94" spans="1:3" x14ac:dyDescent="0.3">
      <c r="A94" s="3" t="s">
        <v>243</v>
      </c>
      <c r="B94" s="3">
        <v>5.5</v>
      </c>
      <c r="C94" s="22" t="s">
        <v>8336</v>
      </c>
    </row>
    <row r="95" spans="1:3" x14ac:dyDescent="0.3">
      <c r="A95" s="4" t="s">
        <v>245</v>
      </c>
      <c r="B95" s="4">
        <v>8.1999999999999993</v>
      </c>
      <c r="C95" s="23" t="s">
        <v>8358</v>
      </c>
    </row>
    <row r="96" spans="1:3" x14ac:dyDescent="0.3">
      <c r="A96" s="3" t="s">
        <v>249</v>
      </c>
      <c r="B96" s="3">
        <v>6.4</v>
      </c>
      <c r="C96" s="22" t="s">
        <v>8359</v>
      </c>
    </row>
    <row r="97" spans="1:12" x14ac:dyDescent="0.3">
      <c r="A97" s="4" t="s">
        <v>251</v>
      </c>
      <c r="B97" s="4">
        <v>8.1</v>
      </c>
      <c r="C97" s="23" t="s">
        <v>8360</v>
      </c>
    </row>
    <row r="98" spans="1:12" x14ac:dyDescent="0.3">
      <c r="A98" s="3" t="s">
        <v>254</v>
      </c>
      <c r="B98" s="3">
        <v>8.6</v>
      </c>
      <c r="C98" s="22" t="s">
        <v>8297</v>
      </c>
      <c r="K98" s="4">
        <v>8.9</v>
      </c>
      <c r="L98" s="23" t="s">
        <v>8310</v>
      </c>
    </row>
    <row r="99" spans="1:12" x14ac:dyDescent="0.3">
      <c r="A99" s="4" t="s">
        <v>256</v>
      </c>
      <c r="B99" s="4">
        <v>8.8000000000000007</v>
      </c>
      <c r="C99" s="23" t="s">
        <v>8297</v>
      </c>
    </row>
    <row r="100" spans="1:12" x14ac:dyDescent="0.3">
      <c r="A100" s="3" t="s">
        <v>259</v>
      </c>
      <c r="B100" s="3">
        <v>8.1999999999999993</v>
      </c>
      <c r="C100" s="22" t="s">
        <v>8361</v>
      </c>
      <c r="K100" s="4">
        <v>8.9</v>
      </c>
      <c r="L100" s="23" t="s">
        <v>8310</v>
      </c>
    </row>
    <row r="101" spans="1:12" x14ac:dyDescent="0.3">
      <c r="A101" s="4" t="s">
        <v>261</v>
      </c>
      <c r="B101" s="4">
        <v>7.9</v>
      </c>
      <c r="C101" s="23" t="s">
        <v>8310</v>
      </c>
    </row>
    <row r="102" spans="1:12" x14ac:dyDescent="0.3">
      <c r="A102" s="3" t="s">
        <v>264</v>
      </c>
      <c r="B102" s="3">
        <v>6.7</v>
      </c>
      <c r="C102" s="22" t="s">
        <v>8343</v>
      </c>
    </row>
    <row r="103" spans="1:12" x14ac:dyDescent="0.3">
      <c r="A103" s="4" t="s">
        <v>266</v>
      </c>
      <c r="B103" s="4">
        <v>7.8</v>
      </c>
      <c r="C103" s="23" t="s">
        <v>8362</v>
      </c>
    </row>
    <row r="104" spans="1:12" x14ac:dyDescent="0.3">
      <c r="A104" s="3" t="s">
        <v>268</v>
      </c>
      <c r="B104" s="3">
        <v>7.8</v>
      </c>
      <c r="C104" s="22" t="s">
        <v>8363</v>
      </c>
    </row>
    <row r="105" spans="1:12" x14ac:dyDescent="0.3">
      <c r="A105" s="4" t="s">
        <v>270</v>
      </c>
      <c r="B105" s="4">
        <v>6.6</v>
      </c>
      <c r="C105" s="23" t="s">
        <v>8364</v>
      </c>
    </row>
    <row r="106" spans="1:12" x14ac:dyDescent="0.3">
      <c r="A106" s="3" t="s">
        <v>272</v>
      </c>
      <c r="B106" s="3">
        <v>6.1</v>
      </c>
      <c r="C106" s="22" t="s">
        <v>8365</v>
      </c>
    </row>
    <row r="107" spans="1:12" x14ac:dyDescent="0.3">
      <c r="A107" s="4" t="s">
        <v>274</v>
      </c>
      <c r="B107" s="4">
        <v>5.6</v>
      </c>
      <c r="C107" s="23" t="s">
        <v>8366</v>
      </c>
    </row>
    <row r="108" spans="1:12" x14ac:dyDescent="0.3">
      <c r="A108" s="3" t="s">
        <v>277</v>
      </c>
      <c r="B108" s="3">
        <v>6.4</v>
      </c>
      <c r="C108" s="22" t="s">
        <v>8367</v>
      </c>
    </row>
    <row r="109" spans="1:12" x14ac:dyDescent="0.3">
      <c r="A109" s="4" t="s">
        <v>279</v>
      </c>
      <c r="B109" s="4">
        <v>6.1</v>
      </c>
      <c r="C109" s="23" t="s">
        <v>8368</v>
      </c>
    </row>
    <row r="110" spans="1:12" x14ac:dyDescent="0.3">
      <c r="A110" s="3" t="s">
        <v>282</v>
      </c>
      <c r="B110" s="3">
        <v>7.3</v>
      </c>
      <c r="C110" s="22" t="s">
        <v>8369</v>
      </c>
    </row>
    <row r="111" spans="1:12" x14ac:dyDescent="0.3">
      <c r="A111" s="4" t="s">
        <v>285</v>
      </c>
      <c r="B111" s="4">
        <v>6.6</v>
      </c>
      <c r="C111" s="23" t="s">
        <v>8370</v>
      </c>
    </row>
    <row r="112" spans="1:12" x14ac:dyDescent="0.3">
      <c r="A112" s="3" t="s">
        <v>287</v>
      </c>
      <c r="B112" s="3">
        <v>6.3</v>
      </c>
      <c r="C112" s="22" t="s">
        <v>8371</v>
      </c>
    </row>
    <row r="113" spans="1:3" x14ac:dyDescent="0.3">
      <c r="A113" s="4" t="s">
        <v>290</v>
      </c>
      <c r="B113" s="4">
        <v>6.1</v>
      </c>
      <c r="C113" s="23" t="s">
        <v>8321</v>
      </c>
    </row>
    <row r="114" spans="1:3" x14ac:dyDescent="0.3">
      <c r="A114" s="3" t="s">
        <v>293</v>
      </c>
      <c r="B114" s="3">
        <v>7.1</v>
      </c>
      <c r="C114" s="22" t="s">
        <v>8321</v>
      </c>
    </row>
    <row r="115" spans="1:3" x14ac:dyDescent="0.3">
      <c r="A115" s="4" t="s">
        <v>296</v>
      </c>
      <c r="B115" s="4">
        <v>5.5</v>
      </c>
      <c r="C115" s="23" t="s">
        <v>8372</v>
      </c>
    </row>
    <row r="116" spans="1:3" x14ac:dyDescent="0.3">
      <c r="A116" s="3" t="s">
        <v>299</v>
      </c>
      <c r="B116" s="3">
        <v>7.5</v>
      </c>
      <c r="C116" s="22" t="s">
        <v>8303</v>
      </c>
    </row>
    <row r="117" spans="1:3" x14ac:dyDescent="0.3">
      <c r="A117" s="4" t="s">
        <v>301</v>
      </c>
      <c r="B117" s="4">
        <v>7.6</v>
      </c>
      <c r="C117" s="23" t="s">
        <v>8330</v>
      </c>
    </row>
    <row r="118" spans="1:3" x14ac:dyDescent="0.3">
      <c r="A118" s="3" t="s">
        <v>304</v>
      </c>
      <c r="B118" s="3">
        <v>6.4</v>
      </c>
      <c r="C118" s="22" t="s">
        <v>8315</v>
      </c>
    </row>
    <row r="119" spans="1:3" x14ac:dyDescent="0.3">
      <c r="A119" s="4" t="s">
        <v>306</v>
      </c>
      <c r="B119" s="4">
        <v>7.2</v>
      </c>
      <c r="C119" s="23" t="s">
        <v>8364</v>
      </c>
    </row>
    <row r="120" spans="1:3" x14ac:dyDescent="0.3">
      <c r="A120" s="3" t="s">
        <v>308</v>
      </c>
      <c r="B120" s="3">
        <v>6.7</v>
      </c>
      <c r="C120" s="22" t="s">
        <v>8318</v>
      </c>
    </row>
    <row r="121" spans="1:3" x14ac:dyDescent="0.3">
      <c r="A121" s="4" t="s">
        <v>310</v>
      </c>
      <c r="B121" s="4">
        <v>8</v>
      </c>
      <c r="C121" s="23" t="s">
        <v>8355</v>
      </c>
    </row>
    <row r="122" spans="1:3" x14ac:dyDescent="0.3">
      <c r="A122" s="3" t="s">
        <v>313</v>
      </c>
      <c r="B122" s="3">
        <v>8.3000000000000007</v>
      </c>
      <c r="C122" s="22" t="s">
        <v>8297</v>
      </c>
    </row>
    <row r="123" spans="1:3" x14ac:dyDescent="0.3">
      <c r="A123" s="4" t="s">
        <v>315</v>
      </c>
      <c r="B123" s="4">
        <v>6.7</v>
      </c>
      <c r="C123" s="23" t="s">
        <v>8373</v>
      </c>
    </row>
    <row r="124" spans="1:3" x14ac:dyDescent="0.3">
      <c r="A124" s="3" t="s">
        <v>317</v>
      </c>
      <c r="B124" s="3">
        <v>5.9</v>
      </c>
      <c r="C124" s="22" t="s">
        <v>8374</v>
      </c>
    </row>
    <row r="125" spans="1:3" x14ac:dyDescent="0.3">
      <c r="A125" s="4" t="s">
        <v>319</v>
      </c>
      <c r="B125" s="4">
        <v>6.7</v>
      </c>
      <c r="C125" s="23" t="s">
        <v>8375</v>
      </c>
    </row>
    <row r="126" spans="1:3" x14ac:dyDescent="0.3">
      <c r="A126" s="3" t="s">
        <v>322</v>
      </c>
      <c r="B126" s="3">
        <v>6.7</v>
      </c>
      <c r="C126" s="22" t="s">
        <v>8338</v>
      </c>
    </row>
    <row r="127" spans="1:3" x14ac:dyDescent="0.3">
      <c r="A127" s="4" t="s">
        <v>324</v>
      </c>
      <c r="B127" s="4">
        <v>7.6</v>
      </c>
      <c r="C127" s="23" t="s">
        <v>8376</v>
      </c>
    </row>
    <row r="128" spans="1:3" x14ac:dyDescent="0.3">
      <c r="A128" s="3" t="s">
        <v>327</v>
      </c>
      <c r="B128" s="3">
        <v>7.2</v>
      </c>
      <c r="C128" s="22" t="s">
        <v>8338</v>
      </c>
    </row>
    <row r="129" spans="1:3" x14ac:dyDescent="0.3">
      <c r="A129" s="4" t="s">
        <v>330</v>
      </c>
      <c r="B129" s="4">
        <v>7.1</v>
      </c>
      <c r="C129" s="23" t="s">
        <v>8370</v>
      </c>
    </row>
    <row r="130" spans="1:3" x14ac:dyDescent="0.3">
      <c r="A130" s="3" t="s">
        <v>332</v>
      </c>
      <c r="B130" s="3">
        <v>8.1</v>
      </c>
      <c r="C130" s="22" t="s">
        <v>8377</v>
      </c>
    </row>
    <row r="131" spans="1:3" x14ac:dyDescent="0.3">
      <c r="A131" s="4" t="s">
        <v>335</v>
      </c>
      <c r="B131" s="4">
        <v>6.7</v>
      </c>
      <c r="C131" s="23" t="s">
        <v>8378</v>
      </c>
    </row>
    <row r="132" spans="1:3" x14ac:dyDescent="0.3">
      <c r="A132" s="3" t="s">
        <v>337</v>
      </c>
      <c r="B132" s="3">
        <v>7</v>
      </c>
      <c r="C132" s="22" t="s">
        <v>8379</v>
      </c>
    </row>
    <row r="133" spans="1:3" x14ac:dyDescent="0.3">
      <c r="A133" s="4" t="s">
        <v>341</v>
      </c>
      <c r="B133" s="4">
        <v>6.9</v>
      </c>
      <c r="C133" s="23" t="s">
        <v>8380</v>
      </c>
    </row>
    <row r="134" spans="1:3" x14ac:dyDescent="0.3">
      <c r="A134" s="3" t="s">
        <v>343</v>
      </c>
      <c r="B134" s="3">
        <v>5.0999999999999996</v>
      </c>
      <c r="C134" s="22" t="s">
        <v>8381</v>
      </c>
    </row>
    <row r="135" spans="1:3" x14ac:dyDescent="0.3">
      <c r="A135" s="4" t="s">
        <v>345</v>
      </c>
      <c r="B135" s="4">
        <v>5.8</v>
      </c>
      <c r="C135" s="23" t="s">
        <v>8382</v>
      </c>
    </row>
    <row r="136" spans="1:3" x14ac:dyDescent="0.3">
      <c r="A136" s="3" t="s">
        <v>347</v>
      </c>
      <c r="B136" s="3">
        <v>6.2</v>
      </c>
      <c r="C136" s="22" t="s">
        <v>8318</v>
      </c>
    </row>
    <row r="137" spans="1:3" x14ac:dyDescent="0.3">
      <c r="A137" s="4" t="s">
        <v>349</v>
      </c>
      <c r="B137" s="4">
        <v>7.4</v>
      </c>
      <c r="C137" s="23" t="s">
        <v>8383</v>
      </c>
    </row>
    <row r="138" spans="1:3" x14ac:dyDescent="0.3">
      <c r="A138" s="3" t="s">
        <v>352</v>
      </c>
      <c r="B138" s="3">
        <v>5.8</v>
      </c>
      <c r="C138" s="22" t="s">
        <v>8384</v>
      </c>
    </row>
    <row r="139" spans="1:3" x14ac:dyDescent="0.3">
      <c r="A139" s="4" t="s">
        <v>354</v>
      </c>
      <c r="B139" s="4">
        <v>6.6</v>
      </c>
      <c r="C139" s="23" t="s">
        <v>8303</v>
      </c>
    </row>
    <row r="140" spans="1:3" x14ac:dyDescent="0.3">
      <c r="A140" s="3" t="s">
        <v>356</v>
      </c>
      <c r="B140" s="3">
        <v>6.2</v>
      </c>
      <c r="C140" s="22" t="s">
        <v>8385</v>
      </c>
    </row>
    <row r="141" spans="1:3" x14ac:dyDescent="0.3">
      <c r="A141" s="4" t="s">
        <v>358</v>
      </c>
      <c r="B141" s="4">
        <v>7.3</v>
      </c>
      <c r="C141" s="23" t="s">
        <v>8386</v>
      </c>
    </row>
    <row r="142" spans="1:3" x14ac:dyDescent="0.3">
      <c r="A142" s="3" t="s">
        <v>360</v>
      </c>
      <c r="B142" s="3">
        <v>4.2</v>
      </c>
      <c r="C142" s="22" t="s">
        <v>8387</v>
      </c>
    </row>
    <row r="143" spans="1:3" x14ac:dyDescent="0.3">
      <c r="A143" s="4" t="s">
        <v>363</v>
      </c>
      <c r="B143" s="4">
        <v>6.9</v>
      </c>
      <c r="C143" s="23" t="s">
        <v>8328</v>
      </c>
    </row>
    <row r="144" spans="1:3" x14ac:dyDescent="0.3">
      <c r="A144" s="3" t="s">
        <v>365</v>
      </c>
      <c r="B144" s="3">
        <v>6.4</v>
      </c>
      <c r="C144" s="22" t="s">
        <v>8336</v>
      </c>
    </row>
    <row r="145" spans="1:3" x14ac:dyDescent="0.3">
      <c r="A145" s="4" t="s">
        <v>367</v>
      </c>
      <c r="B145" s="4">
        <v>5.4</v>
      </c>
      <c r="C145" s="23" t="s">
        <v>8388</v>
      </c>
    </row>
    <row r="146" spans="1:3" x14ac:dyDescent="0.3">
      <c r="A146" s="3" t="s">
        <v>370</v>
      </c>
      <c r="B146" s="3">
        <v>6.7</v>
      </c>
      <c r="C146" s="22" t="s">
        <v>8389</v>
      </c>
    </row>
    <row r="147" spans="1:3" x14ac:dyDescent="0.3">
      <c r="A147" s="4" t="s">
        <v>372</v>
      </c>
      <c r="B147" s="4">
        <v>5.8</v>
      </c>
      <c r="C147" s="23" t="s">
        <v>8390</v>
      </c>
    </row>
    <row r="148" spans="1:3" x14ac:dyDescent="0.3">
      <c r="A148" s="3" t="s">
        <v>375</v>
      </c>
      <c r="B148" s="3">
        <v>6.9</v>
      </c>
      <c r="C148" s="22" t="s">
        <v>8391</v>
      </c>
    </row>
    <row r="149" spans="1:3" x14ac:dyDescent="0.3">
      <c r="A149" s="4" t="s">
        <v>378</v>
      </c>
      <c r="B149" s="4">
        <v>7.2</v>
      </c>
      <c r="C149" s="23" t="s">
        <v>8366</v>
      </c>
    </row>
    <row r="150" spans="1:3" x14ac:dyDescent="0.3">
      <c r="A150" s="3" t="s">
        <v>380</v>
      </c>
      <c r="B150" s="3">
        <v>6.9</v>
      </c>
      <c r="C150" s="22" t="s">
        <v>8373</v>
      </c>
    </row>
    <row r="151" spans="1:3" x14ac:dyDescent="0.3">
      <c r="A151" s="4" t="s">
        <v>382</v>
      </c>
      <c r="B151" s="4">
        <v>6.1</v>
      </c>
      <c r="C151" s="23" t="s">
        <v>8392</v>
      </c>
    </row>
    <row r="152" spans="1:3" x14ac:dyDescent="0.3">
      <c r="A152" s="3" t="s">
        <v>384</v>
      </c>
      <c r="B152" s="3">
        <v>5.5</v>
      </c>
      <c r="C152" s="22" t="s">
        <v>8393</v>
      </c>
    </row>
    <row r="153" spans="1:3" x14ac:dyDescent="0.3">
      <c r="A153" s="4" t="s">
        <v>387</v>
      </c>
      <c r="B153" s="4">
        <v>6.6</v>
      </c>
      <c r="C153" s="23" t="s">
        <v>8321</v>
      </c>
    </row>
    <row r="154" spans="1:3" x14ac:dyDescent="0.3">
      <c r="A154" s="3" t="s">
        <v>390</v>
      </c>
      <c r="B154" s="3">
        <v>6.1</v>
      </c>
      <c r="C154" s="22" t="s">
        <v>8309</v>
      </c>
    </row>
    <row r="155" spans="1:3" x14ac:dyDescent="0.3">
      <c r="A155" s="4" t="s">
        <v>393</v>
      </c>
      <c r="B155" s="4">
        <v>6.3</v>
      </c>
      <c r="C155" s="23" t="s">
        <v>8337</v>
      </c>
    </row>
    <row r="156" spans="1:3" x14ac:dyDescent="0.3">
      <c r="A156" s="3" t="s">
        <v>395</v>
      </c>
      <c r="B156" s="3">
        <v>7.2</v>
      </c>
      <c r="C156" s="22" t="s">
        <v>8394</v>
      </c>
    </row>
    <row r="157" spans="1:3" x14ac:dyDescent="0.3">
      <c r="A157" s="4" t="s">
        <v>397</v>
      </c>
      <c r="B157" s="4">
        <v>7.4</v>
      </c>
      <c r="C157" s="23" t="s">
        <v>8355</v>
      </c>
    </row>
    <row r="158" spans="1:3" x14ac:dyDescent="0.3">
      <c r="A158" s="3" t="s">
        <v>400</v>
      </c>
      <c r="B158" s="3">
        <v>7.3</v>
      </c>
      <c r="C158" s="22" t="s">
        <v>8395</v>
      </c>
    </row>
    <row r="159" spans="1:3" x14ac:dyDescent="0.3">
      <c r="A159" s="4" t="s">
        <v>402</v>
      </c>
      <c r="B159" s="4">
        <v>6.1</v>
      </c>
      <c r="C159" s="23" t="s">
        <v>8396</v>
      </c>
    </row>
    <row r="160" spans="1:3" x14ac:dyDescent="0.3">
      <c r="A160" s="3" t="s">
        <v>404</v>
      </c>
      <c r="B160" s="3">
        <v>7.7</v>
      </c>
      <c r="C160" s="22" t="s">
        <v>8397</v>
      </c>
    </row>
    <row r="161" spans="1:3" x14ac:dyDescent="0.3">
      <c r="A161" s="4" t="s">
        <v>407</v>
      </c>
      <c r="B161" s="4">
        <v>6.1</v>
      </c>
      <c r="C161" s="23" t="s">
        <v>8312</v>
      </c>
    </row>
    <row r="162" spans="1:3" x14ac:dyDescent="0.3">
      <c r="A162" s="3" t="s">
        <v>409</v>
      </c>
      <c r="B162" s="3">
        <v>8</v>
      </c>
      <c r="C162" s="22" t="s">
        <v>8328</v>
      </c>
    </row>
    <row r="163" spans="1:3" x14ac:dyDescent="0.3">
      <c r="A163" s="4" t="s">
        <v>411</v>
      </c>
      <c r="B163" s="4">
        <v>7.3</v>
      </c>
      <c r="C163" s="23" t="s">
        <v>8300</v>
      </c>
    </row>
    <row r="164" spans="1:3" x14ac:dyDescent="0.3">
      <c r="A164" s="3" t="s">
        <v>413</v>
      </c>
      <c r="B164" s="3">
        <v>7.9</v>
      </c>
      <c r="C164" s="22" t="s">
        <v>8358</v>
      </c>
    </row>
    <row r="165" spans="1:3" x14ac:dyDescent="0.3">
      <c r="A165" s="4" t="s">
        <v>416</v>
      </c>
      <c r="B165" s="4">
        <v>5.5</v>
      </c>
      <c r="C165" s="23" t="s">
        <v>8398</v>
      </c>
    </row>
    <row r="166" spans="1:3" x14ac:dyDescent="0.3">
      <c r="A166" s="3" t="s">
        <v>419</v>
      </c>
      <c r="B166" s="3">
        <v>5</v>
      </c>
      <c r="C166" s="22" t="s">
        <v>8343</v>
      </c>
    </row>
    <row r="167" spans="1:3" x14ac:dyDescent="0.3">
      <c r="A167" s="4" t="s">
        <v>421</v>
      </c>
      <c r="B167" s="4">
        <v>7.7</v>
      </c>
      <c r="C167" s="23" t="s">
        <v>8304</v>
      </c>
    </row>
    <row r="168" spans="1:3" x14ac:dyDescent="0.3">
      <c r="A168" s="3" t="s">
        <v>423</v>
      </c>
      <c r="B168" s="3">
        <v>6.6</v>
      </c>
      <c r="C168" s="22" t="s">
        <v>8399</v>
      </c>
    </row>
    <row r="169" spans="1:3" x14ac:dyDescent="0.3">
      <c r="A169" s="4" t="s">
        <v>426</v>
      </c>
      <c r="B169" s="4">
        <v>5.7</v>
      </c>
      <c r="C169" s="23" t="s">
        <v>8400</v>
      </c>
    </row>
    <row r="170" spans="1:3" x14ac:dyDescent="0.3">
      <c r="A170" s="3" t="s">
        <v>429</v>
      </c>
      <c r="B170" s="3">
        <v>5.8</v>
      </c>
      <c r="C170" s="22" t="s">
        <v>8401</v>
      </c>
    </row>
    <row r="171" spans="1:3" x14ac:dyDescent="0.3">
      <c r="A171" s="4" t="s">
        <v>432</v>
      </c>
      <c r="B171" s="4">
        <v>6</v>
      </c>
      <c r="C171" s="23" t="s">
        <v>8402</v>
      </c>
    </row>
    <row r="172" spans="1:3" x14ac:dyDescent="0.3">
      <c r="A172" s="3" t="s">
        <v>434</v>
      </c>
      <c r="B172" s="3">
        <v>6.4</v>
      </c>
      <c r="C172" s="22" t="s">
        <v>8403</v>
      </c>
    </row>
    <row r="173" spans="1:3" x14ac:dyDescent="0.3">
      <c r="A173" s="4" t="s">
        <v>437</v>
      </c>
      <c r="B173" s="4">
        <v>6.9</v>
      </c>
      <c r="C173" s="23" t="s">
        <v>8384</v>
      </c>
    </row>
    <row r="174" spans="1:3" x14ac:dyDescent="0.3">
      <c r="A174" s="3" t="s">
        <v>440</v>
      </c>
      <c r="B174" s="3">
        <v>6.4</v>
      </c>
      <c r="C174" s="22" t="s">
        <v>8371</v>
      </c>
    </row>
    <row r="175" spans="1:3" x14ac:dyDescent="0.3">
      <c r="A175" s="4" t="s">
        <v>442</v>
      </c>
      <c r="B175" s="4">
        <v>7.4</v>
      </c>
      <c r="C175" s="23" t="s">
        <v>8404</v>
      </c>
    </row>
    <row r="176" spans="1:3" x14ac:dyDescent="0.3">
      <c r="A176" s="3" t="s">
        <v>445</v>
      </c>
      <c r="B176" s="3">
        <v>5.5</v>
      </c>
      <c r="C176" s="22" t="s">
        <v>8405</v>
      </c>
    </row>
    <row r="177" spans="1:3" x14ac:dyDescent="0.3">
      <c r="A177" s="4" t="s">
        <v>447</v>
      </c>
      <c r="B177" s="4">
        <v>5.9</v>
      </c>
      <c r="C177" s="23" t="s">
        <v>8377</v>
      </c>
    </row>
    <row r="178" spans="1:3" x14ac:dyDescent="0.3">
      <c r="A178" s="3" t="s">
        <v>450</v>
      </c>
      <c r="B178" s="3">
        <v>6.8</v>
      </c>
      <c r="C178" s="22" t="s">
        <v>8406</v>
      </c>
    </row>
    <row r="179" spans="1:3" x14ac:dyDescent="0.3">
      <c r="A179" s="4" t="s">
        <v>452</v>
      </c>
      <c r="B179" s="4">
        <v>6.8</v>
      </c>
      <c r="C179" s="23" t="s">
        <v>8332</v>
      </c>
    </row>
    <row r="180" spans="1:3" x14ac:dyDescent="0.3">
      <c r="A180" s="3" t="s">
        <v>455</v>
      </c>
      <c r="B180" s="3">
        <v>8.1</v>
      </c>
      <c r="C180" s="22" t="s">
        <v>8407</v>
      </c>
    </row>
    <row r="181" spans="1:3" x14ac:dyDescent="0.3">
      <c r="A181" s="4" t="s">
        <v>458</v>
      </c>
      <c r="B181" s="4">
        <v>6.5</v>
      </c>
      <c r="C181" s="23" t="s">
        <v>8408</v>
      </c>
    </row>
    <row r="182" spans="1:3" x14ac:dyDescent="0.3">
      <c r="A182" s="3" t="s">
        <v>460</v>
      </c>
      <c r="B182" s="3">
        <v>7.2</v>
      </c>
      <c r="C182" s="22" t="s">
        <v>8295</v>
      </c>
    </row>
    <row r="183" spans="1:3" x14ac:dyDescent="0.3">
      <c r="A183" s="4" t="s">
        <v>462</v>
      </c>
      <c r="B183" s="4">
        <v>6.7</v>
      </c>
      <c r="C183" s="23" t="s">
        <v>8373</v>
      </c>
    </row>
    <row r="184" spans="1:3" x14ac:dyDescent="0.3">
      <c r="A184" s="3" t="s">
        <v>464</v>
      </c>
      <c r="B184" s="3">
        <v>8.1</v>
      </c>
      <c r="C184" s="22" t="s">
        <v>8409</v>
      </c>
    </row>
    <row r="185" spans="1:3" x14ac:dyDescent="0.3">
      <c r="A185" s="4" t="s">
        <v>467</v>
      </c>
      <c r="B185" s="4">
        <v>7.6</v>
      </c>
      <c r="C185" s="23" t="s">
        <v>8410</v>
      </c>
    </row>
    <row r="186" spans="1:3" x14ac:dyDescent="0.3">
      <c r="A186" s="3" t="s">
        <v>469</v>
      </c>
      <c r="B186" s="3">
        <v>7.4</v>
      </c>
      <c r="C186" s="22" t="s">
        <v>8411</v>
      </c>
    </row>
    <row r="187" spans="1:3" x14ac:dyDescent="0.3">
      <c r="A187" s="4" t="s">
        <v>472</v>
      </c>
      <c r="B187" s="4">
        <v>7.6</v>
      </c>
      <c r="C187" s="23" t="s">
        <v>8364</v>
      </c>
    </row>
    <row r="188" spans="1:3" x14ac:dyDescent="0.3">
      <c r="A188" s="3" t="s">
        <v>474</v>
      </c>
      <c r="B188" s="3">
        <v>5.5</v>
      </c>
      <c r="C188" s="22" t="s">
        <v>8405</v>
      </c>
    </row>
    <row r="189" spans="1:3" x14ac:dyDescent="0.3">
      <c r="A189" s="4" t="s">
        <v>477</v>
      </c>
      <c r="B189" s="4">
        <v>6.7</v>
      </c>
      <c r="C189" s="23" t="s">
        <v>8412</v>
      </c>
    </row>
    <row r="190" spans="1:3" x14ac:dyDescent="0.3">
      <c r="A190" s="3" t="s">
        <v>479</v>
      </c>
      <c r="B190" s="3">
        <v>6.5</v>
      </c>
      <c r="C190" s="22" t="s">
        <v>8332</v>
      </c>
    </row>
    <row r="191" spans="1:3" x14ac:dyDescent="0.3">
      <c r="A191" s="4" t="s">
        <v>482</v>
      </c>
      <c r="B191" s="4">
        <v>6.6</v>
      </c>
      <c r="C191" s="23" t="s">
        <v>8321</v>
      </c>
    </row>
    <row r="192" spans="1:3" x14ac:dyDescent="0.3">
      <c r="A192" s="3" t="s">
        <v>485</v>
      </c>
      <c r="B192" s="3">
        <v>6.7</v>
      </c>
      <c r="C192" s="22" t="s">
        <v>8368</v>
      </c>
    </row>
    <row r="193" spans="1:3" x14ac:dyDescent="0.3">
      <c r="A193" s="4" t="s">
        <v>488</v>
      </c>
      <c r="B193" s="4">
        <v>6.4</v>
      </c>
      <c r="C193" s="23" t="s">
        <v>8413</v>
      </c>
    </row>
    <row r="194" spans="1:3" x14ac:dyDescent="0.3">
      <c r="A194" s="3" t="s">
        <v>490</v>
      </c>
      <c r="B194" s="3">
        <v>5.8</v>
      </c>
      <c r="C194" s="22" t="s">
        <v>8414</v>
      </c>
    </row>
    <row r="195" spans="1:3" x14ac:dyDescent="0.3">
      <c r="A195" s="4" t="s">
        <v>493</v>
      </c>
      <c r="B195" s="4">
        <v>7.4</v>
      </c>
      <c r="C195" s="23" t="s">
        <v>8332</v>
      </c>
    </row>
    <row r="196" spans="1:3" x14ac:dyDescent="0.3">
      <c r="A196" s="3" t="s">
        <v>495</v>
      </c>
      <c r="B196" s="3">
        <v>7.8</v>
      </c>
      <c r="C196" s="22" t="s">
        <v>8415</v>
      </c>
    </row>
    <row r="197" spans="1:3" x14ac:dyDescent="0.3">
      <c r="A197" s="4" t="s">
        <v>498</v>
      </c>
      <c r="B197" s="4">
        <v>6.6</v>
      </c>
      <c r="C197" s="23" t="s">
        <v>8329</v>
      </c>
    </row>
    <row r="198" spans="1:3" x14ac:dyDescent="0.3">
      <c r="A198" s="3" t="s">
        <v>500</v>
      </c>
      <c r="B198" s="3">
        <v>4.9000000000000004</v>
      </c>
      <c r="C198" s="22" t="s">
        <v>8387</v>
      </c>
    </row>
    <row r="199" spans="1:3" x14ac:dyDescent="0.3">
      <c r="A199" s="4" t="s">
        <v>503</v>
      </c>
      <c r="B199" s="4">
        <v>6.5</v>
      </c>
      <c r="C199" s="23" t="s">
        <v>8416</v>
      </c>
    </row>
    <row r="200" spans="1:3" x14ac:dyDescent="0.3">
      <c r="A200" s="3" t="s">
        <v>505</v>
      </c>
      <c r="B200" s="3">
        <v>7.5</v>
      </c>
      <c r="C200" s="22" t="s">
        <v>8417</v>
      </c>
    </row>
    <row r="201" spans="1:3" x14ac:dyDescent="0.3">
      <c r="A201" s="4" t="s">
        <v>507</v>
      </c>
      <c r="B201" s="4">
        <v>6.2</v>
      </c>
      <c r="C201" s="23" t="s">
        <v>8374</v>
      </c>
    </row>
    <row r="202" spans="1:3" x14ac:dyDescent="0.3">
      <c r="A202" s="3" t="s">
        <v>510</v>
      </c>
      <c r="B202" s="3">
        <v>7.3</v>
      </c>
      <c r="C202" s="22" t="s">
        <v>8418</v>
      </c>
    </row>
    <row r="203" spans="1:3" x14ac:dyDescent="0.3">
      <c r="A203" s="4" t="s">
        <v>512</v>
      </c>
      <c r="B203" s="4">
        <v>7.5</v>
      </c>
      <c r="C203" s="23" t="s">
        <v>8419</v>
      </c>
    </row>
    <row r="204" spans="1:3" x14ac:dyDescent="0.3">
      <c r="A204" s="3" t="s">
        <v>514</v>
      </c>
      <c r="B204" s="3">
        <v>5.6</v>
      </c>
      <c r="C204" s="22" t="s">
        <v>8420</v>
      </c>
    </row>
    <row r="205" spans="1:3" x14ac:dyDescent="0.3">
      <c r="A205" s="4" t="s">
        <v>517</v>
      </c>
      <c r="B205" s="4">
        <v>8.1999999999999993</v>
      </c>
      <c r="C205" s="23" t="s">
        <v>8361</v>
      </c>
    </row>
    <row r="206" spans="1:3" x14ac:dyDescent="0.3">
      <c r="A206" s="3" t="s">
        <v>519</v>
      </c>
      <c r="B206" s="3">
        <v>8.1</v>
      </c>
      <c r="C206" s="22" t="s">
        <v>8295</v>
      </c>
    </row>
    <row r="207" spans="1:3" x14ac:dyDescent="0.3">
      <c r="A207" s="4" t="s">
        <v>522</v>
      </c>
      <c r="B207" s="4">
        <v>6.4</v>
      </c>
      <c r="C207" s="23" t="s">
        <v>8417</v>
      </c>
    </row>
    <row r="208" spans="1:3" x14ac:dyDescent="0.3">
      <c r="A208" s="3" t="s">
        <v>524</v>
      </c>
      <c r="B208" s="3">
        <v>6.7</v>
      </c>
      <c r="C208" s="22" t="s">
        <v>8364</v>
      </c>
    </row>
    <row r="209" spans="1:3" x14ac:dyDescent="0.3">
      <c r="A209" s="4" t="s">
        <v>526</v>
      </c>
      <c r="B209" s="4">
        <v>6.6</v>
      </c>
      <c r="C209" s="23" t="s">
        <v>8378</v>
      </c>
    </row>
    <row r="210" spans="1:3" x14ac:dyDescent="0.3">
      <c r="A210" s="3" t="s">
        <v>528</v>
      </c>
      <c r="B210" s="3">
        <v>6.4</v>
      </c>
      <c r="C210" s="22" t="s">
        <v>8421</v>
      </c>
    </row>
    <row r="211" spans="1:3" x14ac:dyDescent="0.3">
      <c r="A211" s="4" t="s">
        <v>530</v>
      </c>
      <c r="B211" s="4">
        <v>7.5</v>
      </c>
      <c r="C211" s="23" t="s">
        <v>8305</v>
      </c>
    </row>
    <row r="212" spans="1:3" x14ac:dyDescent="0.3">
      <c r="A212" s="3" t="s">
        <v>532</v>
      </c>
      <c r="B212" s="3">
        <v>7.3</v>
      </c>
      <c r="C212" s="22" t="s">
        <v>8335</v>
      </c>
    </row>
    <row r="213" spans="1:3" x14ac:dyDescent="0.3">
      <c r="A213" s="4" t="s">
        <v>535</v>
      </c>
      <c r="B213" s="4">
        <v>7.5</v>
      </c>
      <c r="C213" s="23" t="s">
        <v>8422</v>
      </c>
    </row>
    <row r="214" spans="1:3" x14ac:dyDescent="0.3">
      <c r="A214" s="3" t="s">
        <v>538</v>
      </c>
      <c r="B214" s="3">
        <v>5.8</v>
      </c>
      <c r="C214" s="22" t="s">
        <v>8406</v>
      </c>
    </row>
    <row r="215" spans="1:3" x14ac:dyDescent="0.3">
      <c r="A215" s="4" t="s">
        <v>540</v>
      </c>
      <c r="B215" s="4">
        <v>7.5</v>
      </c>
      <c r="C215" s="23" t="s">
        <v>8423</v>
      </c>
    </row>
    <row r="216" spans="1:3" x14ac:dyDescent="0.3">
      <c r="A216" s="3" t="s">
        <v>543</v>
      </c>
      <c r="B216" s="3">
        <v>6.6</v>
      </c>
      <c r="C216" s="22" t="s">
        <v>8424</v>
      </c>
    </row>
    <row r="217" spans="1:3" x14ac:dyDescent="0.3">
      <c r="A217" s="4" t="s">
        <v>546</v>
      </c>
      <c r="B217" s="4">
        <v>6.7</v>
      </c>
      <c r="C217" s="23" t="s">
        <v>8425</v>
      </c>
    </row>
    <row r="218" spans="1:3" x14ac:dyDescent="0.3">
      <c r="A218" s="3" t="s">
        <v>548</v>
      </c>
      <c r="B218" s="3">
        <v>3.7</v>
      </c>
      <c r="C218" s="22" t="s">
        <v>8426</v>
      </c>
    </row>
    <row r="219" spans="1:3" x14ac:dyDescent="0.3">
      <c r="A219" s="4" t="s">
        <v>551</v>
      </c>
      <c r="B219" s="4">
        <v>6</v>
      </c>
      <c r="C219" s="23" t="s">
        <v>8378</v>
      </c>
    </row>
    <row r="220" spans="1:3" x14ac:dyDescent="0.3">
      <c r="A220" s="3" t="s">
        <v>553</v>
      </c>
      <c r="B220" s="3">
        <v>6.4</v>
      </c>
      <c r="C220" s="22" t="s">
        <v>8336</v>
      </c>
    </row>
    <row r="221" spans="1:3" x14ac:dyDescent="0.3">
      <c r="A221" s="4" t="s">
        <v>556</v>
      </c>
      <c r="B221" s="4">
        <v>6.1</v>
      </c>
      <c r="C221" s="23" t="s">
        <v>8427</v>
      </c>
    </row>
    <row r="222" spans="1:3" x14ac:dyDescent="0.3">
      <c r="A222" s="3" t="s">
        <v>559</v>
      </c>
      <c r="B222" s="3">
        <v>6.4</v>
      </c>
      <c r="C222" s="22" t="s">
        <v>8366</v>
      </c>
    </row>
    <row r="223" spans="1:3" x14ac:dyDescent="0.3">
      <c r="A223" s="4" t="s">
        <v>562</v>
      </c>
      <c r="B223" s="4">
        <v>5.6</v>
      </c>
      <c r="C223" s="23" t="s">
        <v>8428</v>
      </c>
    </row>
    <row r="224" spans="1:3" x14ac:dyDescent="0.3">
      <c r="A224" s="3" t="s">
        <v>565</v>
      </c>
      <c r="B224" s="3">
        <v>8</v>
      </c>
      <c r="C224" s="22" t="s">
        <v>8400</v>
      </c>
    </row>
    <row r="225" spans="1:3" x14ac:dyDescent="0.3">
      <c r="A225" s="4" t="s">
        <v>568</v>
      </c>
      <c r="B225" s="4">
        <v>5.2</v>
      </c>
      <c r="C225" s="23" t="s">
        <v>8429</v>
      </c>
    </row>
    <row r="226" spans="1:3" x14ac:dyDescent="0.3">
      <c r="A226" s="3" t="s">
        <v>570</v>
      </c>
      <c r="B226" s="3">
        <v>7.1</v>
      </c>
      <c r="C226" s="22" t="s">
        <v>8409</v>
      </c>
    </row>
    <row r="227" spans="1:3" x14ac:dyDescent="0.3">
      <c r="A227" s="4" t="s">
        <v>572</v>
      </c>
      <c r="B227" s="4">
        <v>4.8</v>
      </c>
      <c r="C227" s="23" t="s">
        <v>8326</v>
      </c>
    </row>
    <row r="228" spans="1:3" x14ac:dyDescent="0.3">
      <c r="A228" s="3" t="s">
        <v>574</v>
      </c>
      <c r="B228" s="3">
        <v>7</v>
      </c>
      <c r="C228" s="22" t="s">
        <v>8312</v>
      </c>
    </row>
    <row r="229" spans="1:3" x14ac:dyDescent="0.3">
      <c r="A229" s="4" t="s">
        <v>576</v>
      </c>
      <c r="B229" s="4">
        <v>5.4</v>
      </c>
      <c r="C229" s="23" t="s">
        <v>8391</v>
      </c>
    </row>
    <row r="230" spans="1:3" x14ac:dyDescent="0.3">
      <c r="A230" s="3" t="s">
        <v>578</v>
      </c>
      <c r="B230" s="3">
        <v>6.6</v>
      </c>
      <c r="C230" s="22" t="s">
        <v>8430</v>
      </c>
    </row>
    <row r="231" spans="1:3" x14ac:dyDescent="0.3">
      <c r="A231" s="4" t="s">
        <v>580</v>
      </c>
      <c r="B231" s="4">
        <v>6.7</v>
      </c>
      <c r="C231" s="23" t="s">
        <v>8431</v>
      </c>
    </row>
    <row r="232" spans="1:3" x14ac:dyDescent="0.3">
      <c r="A232" s="3" t="s">
        <v>585</v>
      </c>
      <c r="B232" s="3">
        <v>6.2</v>
      </c>
      <c r="C232" s="22" t="s">
        <v>8432</v>
      </c>
    </row>
    <row r="233" spans="1:3" x14ac:dyDescent="0.3">
      <c r="A233" s="4" t="s">
        <v>587</v>
      </c>
      <c r="B233" s="4">
        <v>6.1</v>
      </c>
      <c r="C233" s="23" t="s">
        <v>8338</v>
      </c>
    </row>
    <row r="234" spans="1:3" x14ac:dyDescent="0.3">
      <c r="A234" s="3" t="s">
        <v>589</v>
      </c>
      <c r="B234" s="3">
        <v>5.3</v>
      </c>
      <c r="C234" s="22" t="s">
        <v>8433</v>
      </c>
    </row>
    <row r="235" spans="1:3" x14ac:dyDescent="0.3">
      <c r="A235" s="4" t="s">
        <v>592</v>
      </c>
      <c r="B235" s="4">
        <v>6.3</v>
      </c>
      <c r="C235" s="23" t="s">
        <v>8434</v>
      </c>
    </row>
    <row r="236" spans="1:3" x14ac:dyDescent="0.3">
      <c r="A236" s="3" t="s">
        <v>594</v>
      </c>
      <c r="B236" s="3">
        <v>7</v>
      </c>
      <c r="C236" s="22" t="s">
        <v>8322</v>
      </c>
    </row>
    <row r="237" spans="1:3" x14ac:dyDescent="0.3">
      <c r="A237" s="4" t="s">
        <v>596</v>
      </c>
      <c r="B237" s="4">
        <v>7.6</v>
      </c>
      <c r="C237" s="23" t="s">
        <v>8435</v>
      </c>
    </row>
    <row r="238" spans="1:3" x14ac:dyDescent="0.3">
      <c r="A238" s="3" t="s">
        <v>598</v>
      </c>
      <c r="B238" s="3">
        <v>6.7</v>
      </c>
      <c r="C238" s="22" t="s">
        <v>8435</v>
      </c>
    </row>
    <row r="239" spans="1:3" x14ac:dyDescent="0.3">
      <c r="A239" s="4" t="s">
        <v>601</v>
      </c>
      <c r="B239" s="4">
        <v>8.1</v>
      </c>
      <c r="C239" s="23" t="s">
        <v>8339</v>
      </c>
    </row>
    <row r="240" spans="1:3" x14ac:dyDescent="0.3">
      <c r="A240" s="3" t="s">
        <v>603</v>
      </c>
      <c r="B240" s="3">
        <v>6.7</v>
      </c>
      <c r="C240" s="22" t="s">
        <v>8434</v>
      </c>
    </row>
    <row r="241" spans="1:3" x14ac:dyDescent="0.3">
      <c r="A241" s="4" t="s">
        <v>605</v>
      </c>
      <c r="B241" s="4">
        <v>6.5</v>
      </c>
      <c r="C241" s="23" t="s">
        <v>8435</v>
      </c>
    </row>
    <row r="242" spans="1:3" x14ac:dyDescent="0.3">
      <c r="A242" s="3" t="s">
        <v>607</v>
      </c>
      <c r="B242" s="3">
        <v>7.3</v>
      </c>
      <c r="C242" s="22" t="s">
        <v>8436</v>
      </c>
    </row>
    <row r="243" spans="1:3" x14ac:dyDescent="0.3">
      <c r="A243" s="4" t="s">
        <v>610</v>
      </c>
      <c r="B243" s="4">
        <v>5.0999999999999996</v>
      </c>
      <c r="C243" s="23" t="s">
        <v>8437</v>
      </c>
    </row>
    <row r="244" spans="1:3" x14ac:dyDescent="0.3">
      <c r="A244" s="3" t="s">
        <v>613</v>
      </c>
      <c r="B244" s="3">
        <v>6</v>
      </c>
      <c r="C244" s="22" t="s">
        <v>8427</v>
      </c>
    </row>
    <row r="245" spans="1:3" x14ac:dyDescent="0.3">
      <c r="A245" s="4" t="s">
        <v>615</v>
      </c>
      <c r="B245" s="4">
        <v>6.1</v>
      </c>
      <c r="C245" s="23" t="s">
        <v>8438</v>
      </c>
    </row>
    <row r="246" spans="1:3" x14ac:dyDescent="0.3">
      <c r="A246" s="3" t="s">
        <v>618</v>
      </c>
      <c r="B246" s="3">
        <v>5.9</v>
      </c>
      <c r="C246" s="22" t="s">
        <v>8382</v>
      </c>
    </row>
    <row r="247" spans="1:3" x14ac:dyDescent="0.3">
      <c r="A247" s="4" t="s">
        <v>620</v>
      </c>
      <c r="B247" s="4">
        <v>7.8</v>
      </c>
      <c r="C247" s="23" t="s">
        <v>8415</v>
      </c>
    </row>
    <row r="248" spans="1:3" x14ac:dyDescent="0.3">
      <c r="A248" s="3" t="s">
        <v>623</v>
      </c>
      <c r="B248" s="3">
        <v>5.8</v>
      </c>
      <c r="C248" s="22" t="s">
        <v>8439</v>
      </c>
    </row>
    <row r="249" spans="1:3" x14ac:dyDescent="0.3">
      <c r="A249" s="4" t="s">
        <v>626</v>
      </c>
      <c r="B249" s="4">
        <v>6.3</v>
      </c>
      <c r="C249" s="23" t="s">
        <v>8440</v>
      </c>
    </row>
    <row r="250" spans="1:3" x14ac:dyDescent="0.3">
      <c r="A250" s="3" t="s">
        <v>628</v>
      </c>
      <c r="B250" s="3">
        <v>4.3</v>
      </c>
      <c r="C250" s="22" t="s">
        <v>8441</v>
      </c>
    </row>
    <row r="251" spans="1:3" x14ac:dyDescent="0.3">
      <c r="A251" s="4" t="s">
        <v>631</v>
      </c>
      <c r="B251" s="4">
        <v>6.4</v>
      </c>
      <c r="C251" s="23" t="s">
        <v>8374</v>
      </c>
    </row>
    <row r="252" spans="1:3" x14ac:dyDescent="0.3">
      <c r="A252" s="3" t="s">
        <v>634</v>
      </c>
      <c r="B252" s="3">
        <v>6.1</v>
      </c>
      <c r="C252" s="22" t="s">
        <v>8442</v>
      </c>
    </row>
    <row r="253" spans="1:3" x14ac:dyDescent="0.3">
      <c r="A253" s="4" t="s">
        <v>637</v>
      </c>
      <c r="B253" s="4">
        <v>6.5</v>
      </c>
      <c r="C253" s="23" t="s">
        <v>8443</v>
      </c>
    </row>
    <row r="254" spans="1:3" x14ac:dyDescent="0.3">
      <c r="A254" s="3" t="s">
        <v>639</v>
      </c>
      <c r="B254" s="3">
        <v>7.1</v>
      </c>
      <c r="C254" s="22" t="s">
        <v>8336</v>
      </c>
    </row>
    <row r="255" spans="1:3" x14ac:dyDescent="0.3">
      <c r="A255" s="4" t="s">
        <v>642</v>
      </c>
      <c r="B255" s="4">
        <v>6.4</v>
      </c>
      <c r="C255" s="23" t="s">
        <v>8444</v>
      </c>
    </row>
    <row r="256" spans="1:3" x14ac:dyDescent="0.3">
      <c r="A256" s="3" t="s">
        <v>644</v>
      </c>
      <c r="B256" s="3">
        <v>6.5</v>
      </c>
      <c r="C256" s="22" t="s">
        <v>8346</v>
      </c>
    </row>
    <row r="257" spans="1:3" x14ac:dyDescent="0.3">
      <c r="A257" s="4" t="s">
        <v>646</v>
      </c>
      <c r="B257" s="4">
        <v>6.3</v>
      </c>
      <c r="C257" s="23" t="s">
        <v>8420</v>
      </c>
    </row>
    <row r="258" spans="1:3" x14ac:dyDescent="0.3">
      <c r="A258" s="3" t="s">
        <v>648</v>
      </c>
      <c r="B258" s="3">
        <v>7.5</v>
      </c>
      <c r="C258" s="22" t="s">
        <v>8342</v>
      </c>
    </row>
    <row r="259" spans="1:3" x14ac:dyDescent="0.3">
      <c r="A259" s="4" t="s">
        <v>651</v>
      </c>
      <c r="B259" s="4">
        <v>4.9000000000000004</v>
      </c>
      <c r="C259" s="23" t="s">
        <v>8340</v>
      </c>
    </row>
    <row r="260" spans="1:3" x14ac:dyDescent="0.3">
      <c r="A260" s="3" t="s">
        <v>654</v>
      </c>
      <c r="B260" s="3">
        <v>5.8</v>
      </c>
      <c r="C260" s="22" t="s">
        <v>8445</v>
      </c>
    </row>
    <row r="261" spans="1:3" x14ac:dyDescent="0.3">
      <c r="A261" s="4" t="s">
        <v>657</v>
      </c>
      <c r="B261" s="4">
        <v>6.2</v>
      </c>
      <c r="C261" s="23" t="s">
        <v>8446</v>
      </c>
    </row>
    <row r="262" spans="1:3" x14ac:dyDescent="0.3">
      <c r="A262" s="3" t="s">
        <v>659</v>
      </c>
      <c r="B262" s="3">
        <v>5.5</v>
      </c>
      <c r="C262" s="22" t="s">
        <v>8447</v>
      </c>
    </row>
    <row r="263" spans="1:3" x14ac:dyDescent="0.3">
      <c r="A263" s="4" t="s">
        <v>661</v>
      </c>
      <c r="B263" s="4">
        <v>5.4</v>
      </c>
      <c r="C263" s="23" t="s">
        <v>8448</v>
      </c>
    </row>
    <row r="264" spans="1:3" x14ac:dyDescent="0.3">
      <c r="A264" s="3" t="s">
        <v>664</v>
      </c>
      <c r="B264" s="3">
        <v>5.8</v>
      </c>
      <c r="C264" s="22" t="s">
        <v>8420</v>
      </c>
    </row>
    <row r="265" spans="1:3" x14ac:dyDescent="0.3">
      <c r="A265" s="4" t="s">
        <v>666</v>
      </c>
      <c r="B265" s="4">
        <v>7.1</v>
      </c>
      <c r="C265" s="23" t="s">
        <v>8374</v>
      </c>
    </row>
    <row r="266" spans="1:3" x14ac:dyDescent="0.3">
      <c r="A266" s="3" t="s">
        <v>670</v>
      </c>
      <c r="B266" s="3">
        <v>5.4</v>
      </c>
      <c r="C266" s="22" t="s">
        <v>8447</v>
      </c>
    </row>
    <row r="267" spans="1:3" x14ac:dyDescent="0.3">
      <c r="A267" s="4" t="s">
        <v>673</v>
      </c>
      <c r="B267" s="4">
        <v>3.7</v>
      </c>
      <c r="C267" s="23" t="s">
        <v>8449</v>
      </c>
    </row>
    <row r="268" spans="1:3" x14ac:dyDescent="0.3">
      <c r="A268" s="3" t="s">
        <v>676</v>
      </c>
      <c r="B268" s="3">
        <v>6.7</v>
      </c>
      <c r="C268" s="22" t="s">
        <v>8375</v>
      </c>
    </row>
    <row r="269" spans="1:3" x14ac:dyDescent="0.3">
      <c r="A269" s="4" t="s">
        <v>679</v>
      </c>
      <c r="B269" s="4">
        <v>7.2</v>
      </c>
      <c r="C269" s="23" t="s">
        <v>8450</v>
      </c>
    </row>
    <row r="270" spans="1:3" x14ac:dyDescent="0.3">
      <c r="A270" s="3" t="s">
        <v>681</v>
      </c>
      <c r="B270" s="3">
        <v>8.8000000000000007</v>
      </c>
      <c r="C270" s="22" t="s">
        <v>8310</v>
      </c>
    </row>
    <row r="271" spans="1:3" x14ac:dyDescent="0.3">
      <c r="A271" s="4" t="s">
        <v>683</v>
      </c>
      <c r="B271" s="4">
        <v>5.8</v>
      </c>
      <c r="C271" s="23" t="s">
        <v>8451</v>
      </c>
    </row>
    <row r="272" spans="1:3" x14ac:dyDescent="0.3">
      <c r="A272" s="3" t="s">
        <v>685</v>
      </c>
      <c r="B272" s="3">
        <v>6.8</v>
      </c>
      <c r="C272" s="22" t="s">
        <v>8452</v>
      </c>
    </row>
    <row r="273" spans="1:3" x14ac:dyDescent="0.3">
      <c r="A273" s="4" t="s">
        <v>687</v>
      </c>
      <c r="B273" s="4">
        <v>3.8</v>
      </c>
      <c r="C273" s="23" t="s">
        <v>8453</v>
      </c>
    </row>
    <row r="274" spans="1:3" x14ac:dyDescent="0.3">
      <c r="A274" s="3" t="s">
        <v>689</v>
      </c>
      <c r="B274" s="3">
        <v>7.1</v>
      </c>
      <c r="C274" s="22" t="s">
        <v>8398</v>
      </c>
    </row>
    <row r="275" spans="1:3" x14ac:dyDescent="0.3">
      <c r="A275" s="4" t="s">
        <v>692</v>
      </c>
      <c r="B275" s="4">
        <v>7.2</v>
      </c>
      <c r="C275" s="23" t="s">
        <v>8312</v>
      </c>
    </row>
    <row r="276" spans="1:3" x14ac:dyDescent="0.3">
      <c r="A276" s="3" t="s">
        <v>695</v>
      </c>
      <c r="B276" s="3">
        <v>5.9</v>
      </c>
      <c r="C276" s="22" t="s">
        <v>8391</v>
      </c>
    </row>
    <row r="277" spans="1:3" x14ac:dyDescent="0.3">
      <c r="A277" s="4" t="s">
        <v>698</v>
      </c>
      <c r="B277" s="4">
        <v>7.1</v>
      </c>
      <c r="C277" s="23" t="s">
        <v>8454</v>
      </c>
    </row>
    <row r="278" spans="1:3" x14ac:dyDescent="0.3">
      <c r="A278" s="3" t="s">
        <v>700</v>
      </c>
      <c r="B278" s="3">
        <v>8.1</v>
      </c>
      <c r="C278" s="22" t="s">
        <v>8312</v>
      </c>
    </row>
    <row r="279" spans="1:3" x14ac:dyDescent="0.3">
      <c r="A279" s="4" t="s">
        <v>702</v>
      </c>
      <c r="B279" s="4">
        <v>7.2</v>
      </c>
      <c r="C279" s="23" t="s">
        <v>8455</v>
      </c>
    </row>
    <row r="280" spans="1:3" x14ac:dyDescent="0.3">
      <c r="A280" s="3" t="s">
        <v>705</v>
      </c>
      <c r="B280" s="3">
        <v>6.9</v>
      </c>
      <c r="C280" s="22" t="s">
        <v>8321</v>
      </c>
    </row>
    <row r="281" spans="1:3" x14ac:dyDescent="0.3">
      <c r="A281" s="4" t="s">
        <v>708</v>
      </c>
      <c r="B281" s="4">
        <v>4.4000000000000004</v>
      </c>
      <c r="C281" s="23" t="s">
        <v>8456</v>
      </c>
    </row>
    <row r="282" spans="1:3" x14ac:dyDescent="0.3">
      <c r="A282" s="3" t="s">
        <v>711</v>
      </c>
      <c r="B282" s="3">
        <v>6.5</v>
      </c>
      <c r="C282" s="22" t="s">
        <v>8457</v>
      </c>
    </row>
    <row r="283" spans="1:3" x14ac:dyDescent="0.3">
      <c r="A283" s="4" t="s">
        <v>714</v>
      </c>
      <c r="B283" s="4">
        <v>8.5</v>
      </c>
      <c r="C283" s="23" t="s">
        <v>8312</v>
      </c>
    </row>
    <row r="284" spans="1:3" x14ac:dyDescent="0.3">
      <c r="A284" s="3" t="s">
        <v>716</v>
      </c>
      <c r="B284" s="3">
        <v>7.7</v>
      </c>
      <c r="C284" s="22" t="s">
        <v>8332</v>
      </c>
    </row>
    <row r="285" spans="1:3" x14ac:dyDescent="0.3">
      <c r="A285" s="4" t="s">
        <v>718</v>
      </c>
      <c r="B285" s="4">
        <v>7.4</v>
      </c>
      <c r="C285" s="23" t="s">
        <v>8419</v>
      </c>
    </row>
    <row r="286" spans="1:3" x14ac:dyDescent="0.3">
      <c r="A286" s="3" t="s">
        <v>721</v>
      </c>
      <c r="B286" s="3">
        <v>8</v>
      </c>
      <c r="C286" s="22" t="s">
        <v>8324</v>
      </c>
    </row>
    <row r="287" spans="1:3" x14ac:dyDescent="0.3">
      <c r="A287" s="4" t="s">
        <v>723</v>
      </c>
      <c r="B287" s="4">
        <v>5.7</v>
      </c>
      <c r="C287" s="23" t="s">
        <v>8318</v>
      </c>
    </row>
    <row r="288" spans="1:3" x14ac:dyDescent="0.3">
      <c r="A288" s="3" t="s">
        <v>725</v>
      </c>
      <c r="B288" s="3">
        <v>8.5</v>
      </c>
      <c r="C288" s="22" t="s">
        <v>8294</v>
      </c>
    </row>
    <row r="289" spans="1:3" x14ac:dyDescent="0.3">
      <c r="A289" s="4" t="s">
        <v>727</v>
      </c>
      <c r="B289" s="4">
        <v>7</v>
      </c>
      <c r="C289" s="23" t="s">
        <v>8452</v>
      </c>
    </row>
    <row r="290" spans="1:3" x14ac:dyDescent="0.3">
      <c r="A290" s="3" t="s">
        <v>730</v>
      </c>
      <c r="B290" s="3">
        <v>7.8</v>
      </c>
      <c r="C290" s="22" t="s">
        <v>8312</v>
      </c>
    </row>
    <row r="291" spans="1:3" x14ac:dyDescent="0.3">
      <c r="A291" s="4" t="s">
        <v>733</v>
      </c>
      <c r="B291" s="4">
        <v>7.2</v>
      </c>
      <c r="C291" s="23" t="s">
        <v>8294</v>
      </c>
    </row>
    <row r="292" spans="1:3" x14ac:dyDescent="0.3">
      <c r="A292" s="3" t="s">
        <v>736</v>
      </c>
      <c r="B292" s="3">
        <v>6.4</v>
      </c>
      <c r="C292" s="22" t="s">
        <v>8458</v>
      </c>
    </row>
    <row r="293" spans="1:3" x14ac:dyDescent="0.3">
      <c r="A293" s="4" t="s">
        <v>739</v>
      </c>
      <c r="B293" s="4">
        <v>5.5</v>
      </c>
      <c r="C293" s="23" t="s">
        <v>8459</v>
      </c>
    </row>
    <row r="294" spans="1:3" x14ac:dyDescent="0.3">
      <c r="A294" s="3" t="s">
        <v>741</v>
      </c>
      <c r="B294" s="3">
        <v>6.7</v>
      </c>
      <c r="C294" s="22" t="s">
        <v>8460</v>
      </c>
    </row>
    <row r="295" spans="1:3" x14ac:dyDescent="0.3">
      <c r="A295" s="4" t="s">
        <v>744</v>
      </c>
      <c r="B295" s="4">
        <v>6.1</v>
      </c>
      <c r="C295" s="23" t="s">
        <v>8461</v>
      </c>
    </row>
    <row r="296" spans="1:3" x14ac:dyDescent="0.3">
      <c r="A296" s="3" t="s">
        <v>747</v>
      </c>
      <c r="B296" s="3">
        <v>8.5</v>
      </c>
      <c r="C296" s="22" t="s">
        <v>8462</v>
      </c>
    </row>
    <row r="297" spans="1:3" x14ac:dyDescent="0.3">
      <c r="A297" s="4" t="s">
        <v>750</v>
      </c>
      <c r="B297" s="4">
        <v>6.9</v>
      </c>
      <c r="C297" s="23" t="s">
        <v>8463</v>
      </c>
    </row>
    <row r="298" spans="1:3" x14ac:dyDescent="0.3">
      <c r="A298" s="3" t="s">
        <v>753</v>
      </c>
      <c r="B298" s="3">
        <v>7.3</v>
      </c>
      <c r="C298" s="22" t="s">
        <v>8464</v>
      </c>
    </row>
    <row r="299" spans="1:3" x14ac:dyDescent="0.3">
      <c r="A299" s="4" t="s">
        <v>755</v>
      </c>
      <c r="B299" s="4">
        <v>6.7</v>
      </c>
      <c r="C299" s="23" t="s">
        <v>8465</v>
      </c>
    </row>
    <row r="300" spans="1:3" x14ac:dyDescent="0.3">
      <c r="A300" s="3" t="s">
        <v>757</v>
      </c>
      <c r="B300" s="3">
        <v>6.9</v>
      </c>
      <c r="C300" s="22" t="s">
        <v>8365</v>
      </c>
    </row>
    <row r="301" spans="1:3" x14ac:dyDescent="0.3">
      <c r="A301" s="4" t="s">
        <v>760</v>
      </c>
      <c r="B301" s="4">
        <v>5.0999999999999996</v>
      </c>
      <c r="C301" s="23" t="s">
        <v>8466</v>
      </c>
    </row>
    <row r="302" spans="1:3" x14ac:dyDescent="0.3">
      <c r="A302" s="3" t="s">
        <v>762</v>
      </c>
      <c r="B302" s="3">
        <v>6.8</v>
      </c>
      <c r="C302" s="22" t="s">
        <v>8467</v>
      </c>
    </row>
    <row r="303" spans="1:3" x14ac:dyDescent="0.3">
      <c r="A303" s="4" t="s">
        <v>765</v>
      </c>
      <c r="B303" s="4">
        <v>5.8</v>
      </c>
      <c r="C303" s="23" t="s">
        <v>8390</v>
      </c>
    </row>
    <row r="304" spans="1:3" x14ac:dyDescent="0.3">
      <c r="A304" s="3" t="s">
        <v>767</v>
      </c>
      <c r="B304" s="3">
        <v>6.7</v>
      </c>
      <c r="C304" s="22" t="s">
        <v>8468</v>
      </c>
    </row>
    <row r="305" spans="1:3" x14ac:dyDescent="0.3">
      <c r="A305" s="4" t="s">
        <v>770</v>
      </c>
      <c r="B305" s="4">
        <v>6</v>
      </c>
      <c r="C305" s="23" t="s">
        <v>8469</v>
      </c>
    </row>
    <row r="306" spans="1:3" x14ac:dyDescent="0.3">
      <c r="A306" s="3" t="s">
        <v>773</v>
      </c>
      <c r="B306" s="3">
        <v>5.7</v>
      </c>
      <c r="C306" s="22" t="s">
        <v>8470</v>
      </c>
    </row>
    <row r="307" spans="1:3" x14ac:dyDescent="0.3">
      <c r="A307" s="4" t="s">
        <v>776</v>
      </c>
      <c r="B307" s="4">
        <v>8</v>
      </c>
      <c r="C307" s="23" t="s">
        <v>8397</v>
      </c>
    </row>
    <row r="308" spans="1:3" x14ac:dyDescent="0.3">
      <c r="A308" s="3" t="s">
        <v>778</v>
      </c>
      <c r="B308" s="3">
        <v>8.1999999999999993</v>
      </c>
      <c r="C308" s="22" t="s">
        <v>8342</v>
      </c>
    </row>
    <row r="309" spans="1:3" x14ac:dyDescent="0.3">
      <c r="A309" s="4" t="s">
        <v>781</v>
      </c>
      <c r="B309" s="4">
        <v>5.4</v>
      </c>
      <c r="C309" s="23" t="s">
        <v>8426</v>
      </c>
    </row>
    <row r="310" spans="1:3" x14ac:dyDescent="0.3">
      <c r="A310" s="3" t="s">
        <v>784</v>
      </c>
      <c r="B310" s="3">
        <v>7.2</v>
      </c>
      <c r="C310" s="22" t="s">
        <v>8423</v>
      </c>
    </row>
    <row r="311" spans="1:3" x14ac:dyDescent="0.3">
      <c r="A311" s="4" t="s">
        <v>787</v>
      </c>
      <c r="B311" s="4">
        <v>7.5</v>
      </c>
      <c r="C311" s="23" t="s">
        <v>8471</v>
      </c>
    </row>
    <row r="312" spans="1:3" x14ac:dyDescent="0.3">
      <c r="A312" s="3" t="s">
        <v>790</v>
      </c>
      <c r="B312" s="3">
        <v>7</v>
      </c>
      <c r="C312" s="22" t="s">
        <v>8304</v>
      </c>
    </row>
    <row r="313" spans="1:3" x14ac:dyDescent="0.3">
      <c r="A313" s="4" t="s">
        <v>794</v>
      </c>
      <c r="B313" s="4">
        <v>3.3</v>
      </c>
      <c r="C313" s="23" t="s">
        <v>8472</v>
      </c>
    </row>
    <row r="314" spans="1:3" x14ac:dyDescent="0.3">
      <c r="A314" s="3" t="s">
        <v>797</v>
      </c>
      <c r="B314" s="3">
        <v>6</v>
      </c>
      <c r="C314" s="22" t="s">
        <v>8319</v>
      </c>
    </row>
    <row r="315" spans="1:3" x14ac:dyDescent="0.3">
      <c r="A315" s="4" t="s">
        <v>800</v>
      </c>
      <c r="B315" s="4">
        <v>7.1</v>
      </c>
      <c r="C315" s="23" t="s">
        <v>8454</v>
      </c>
    </row>
    <row r="316" spans="1:3" x14ac:dyDescent="0.3">
      <c r="A316" s="3" t="s">
        <v>802</v>
      </c>
      <c r="B316" s="3">
        <v>5.4</v>
      </c>
      <c r="C316" s="22" t="s">
        <v>8473</v>
      </c>
    </row>
    <row r="317" spans="1:3" x14ac:dyDescent="0.3">
      <c r="A317" s="4" t="s">
        <v>804</v>
      </c>
      <c r="B317" s="4">
        <v>6.1</v>
      </c>
      <c r="C317" s="23" t="s">
        <v>8474</v>
      </c>
    </row>
    <row r="318" spans="1:3" x14ac:dyDescent="0.3">
      <c r="A318" s="3" t="s">
        <v>806</v>
      </c>
      <c r="B318" s="3">
        <v>5.3</v>
      </c>
      <c r="C318" s="22" t="s">
        <v>8475</v>
      </c>
    </row>
    <row r="319" spans="1:3" x14ac:dyDescent="0.3">
      <c r="A319" s="4" t="s">
        <v>809</v>
      </c>
      <c r="B319" s="4">
        <v>2.2000000000000002</v>
      </c>
      <c r="C319" s="23" t="s">
        <v>8476</v>
      </c>
    </row>
    <row r="320" spans="1:3" x14ac:dyDescent="0.3">
      <c r="A320" s="3" t="s">
        <v>811</v>
      </c>
      <c r="B320" s="3">
        <v>7</v>
      </c>
      <c r="C320" s="22" t="s">
        <v>8378</v>
      </c>
    </row>
    <row r="321" spans="1:3" x14ac:dyDescent="0.3">
      <c r="A321" s="4" t="s">
        <v>814</v>
      </c>
      <c r="B321" s="4">
        <v>3.8</v>
      </c>
      <c r="C321" s="23" t="s">
        <v>8477</v>
      </c>
    </row>
    <row r="322" spans="1:3" x14ac:dyDescent="0.3">
      <c r="A322" s="3" t="s">
        <v>817</v>
      </c>
      <c r="B322" s="3">
        <v>6.9</v>
      </c>
      <c r="C322" s="22" t="s">
        <v>8409</v>
      </c>
    </row>
    <row r="323" spans="1:3" x14ac:dyDescent="0.3">
      <c r="A323" s="4" t="s">
        <v>819</v>
      </c>
      <c r="B323" s="4">
        <v>7.2</v>
      </c>
      <c r="C323" s="23" t="s">
        <v>8478</v>
      </c>
    </row>
    <row r="324" spans="1:3" x14ac:dyDescent="0.3">
      <c r="A324" s="3" t="s">
        <v>821</v>
      </c>
      <c r="B324" s="3">
        <v>7.3</v>
      </c>
      <c r="C324" s="22" t="s">
        <v>8479</v>
      </c>
    </row>
    <row r="325" spans="1:3" x14ac:dyDescent="0.3">
      <c r="A325" s="4" t="s">
        <v>823</v>
      </c>
      <c r="B325" s="4">
        <v>6.3</v>
      </c>
      <c r="C325" s="23" t="s">
        <v>8348</v>
      </c>
    </row>
    <row r="326" spans="1:3" x14ac:dyDescent="0.3">
      <c r="A326" s="3" t="s">
        <v>825</v>
      </c>
      <c r="B326" s="3">
        <v>7.5</v>
      </c>
      <c r="C326" s="22" t="s">
        <v>8342</v>
      </c>
    </row>
    <row r="327" spans="1:3" x14ac:dyDescent="0.3">
      <c r="A327" s="4" t="s">
        <v>827</v>
      </c>
      <c r="B327" s="4">
        <v>7.6</v>
      </c>
      <c r="C327" s="23" t="s">
        <v>8480</v>
      </c>
    </row>
    <row r="328" spans="1:3" x14ac:dyDescent="0.3">
      <c r="A328" s="3" t="s">
        <v>830</v>
      </c>
      <c r="B328" s="3">
        <v>6.8</v>
      </c>
      <c r="C328" s="22" t="s">
        <v>8481</v>
      </c>
    </row>
    <row r="329" spans="1:3" x14ac:dyDescent="0.3">
      <c r="A329" s="4" t="s">
        <v>832</v>
      </c>
      <c r="B329" s="4">
        <v>5.2</v>
      </c>
      <c r="C329" s="23" t="s">
        <v>8482</v>
      </c>
    </row>
    <row r="330" spans="1:3" x14ac:dyDescent="0.3">
      <c r="A330" s="3" t="s">
        <v>834</v>
      </c>
      <c r="B330" s="3">
        <v>7.7</v>
      </c>
      <c r="C330" s="22" t="s">
        <v>8312</v>
      </c>
    </row>
    <row r="331" spans="1:3" x14ac:dyDescent="0.3">
      <c r="A331" s="4" t="s">
        <v>836</v>
      </c>
      <c r="B331" s="4">
        <v>6.2</v>
      </c>
      <c r="C331" s="23" t="s">
        <v>8483</v>
      </c>
    </row>
    <row r="332" spans="1:3" x14ac:dyDescent="0.3">
      <c r="A332" s="3" t="s">
        <v>838</v>
      </c>
      <c r="B332" s="3">
        <v>7.7</v>
      </c>
      <c r="C332" s="22" t="s">
        <v>8484</v>
      </c>
    </row>
    <row r="333" spans="1:3" x14ac:dyDescent="0.3">
      <c r="A333" s="4" t="s">
        <v>841</v>
      </c>
      <c r="B333" s="4">
        <v>4.3</v>
      </c>
      <c r="C333" s="23" t="s">
        <v>8485</v>
      </c>
    </row>
    <row r="334" spans="1:3" x14ac:dyDescent="0.3">
      <c r="A334" s="3" t="s">
        <v>844</v>
      </c>
      <c r="B334" s="3">
        <v>6.9</v>
      </c>
      <c r="C334" s="22" t="s">
        <v>8486</v>
      </c>
    </row>
    <row r="335" spans="1:3" x14ac:dyDescent="0.3">
      <c r="A335" s="4" t="s">
        <v>846</v>
      </c>
      <c r="B335" s="4">
        <v>6.6</v>
      </c>
      <c r="C335" s="23" t="s">
        <v>8478</v>
      </c>
    </row>
    <row r="336" spans="1:3" x14ac:dyDescent="0.3">
      <c r="A336" s="3" t="s">
        <v>848</v>
      </c>
      <c r="B336" s="3">
        <v>7</v>
      </c>
      <c r="C336" s="22" t="s">
        <v>8379</v>
      </c>
    </row>
    <row r="337" spans="1:3" x14ac:dyDescent="0.3">
      <c r="A337" s="4" t="s">
        <v>851</v>
      </c>
      <c r="B337" s="4">
        <v>6.7</v>
      </c>
      <c r="C337" s="23" t="s">
        <v>8310</v>
      </c>
    </row>
    <row r="338" spans="1:3" x14ac:dyDescent="0.3">
      <c r="A338" s="3" t="s">
        <v>853</v>
      </c>
      <c r="B338" s="3">
        <v>8.1999999999999993</v>
      </c>
      <c r="C338" s="22" t="s">
        <v>8299</v>
      </c>
    </row>
    <row r="339" spans="1:3" x14ac:dyDescent="0.3">
      <c r="A339" s="4" t="s">
        <v>855</v>
      </c>
      <c r="B339" s="4">
        <v>8.9</v>
      </c>
      <c r="C339" s="23" t="s">
        <v>8310</v>
      </c>
    </row>
    <row r="340" spans="1:3" x14ac:dyDescent="0.3">
      <c r="A340" s="3" t="s">
        <v>857</v>
      </c>
      <c r="B340" s="3">
        <v>8.6999999999999993</v>
      </c>
      <c r="C340" s="22" t="s">
        <v>8310</v>
      </c>
    </row>
    <row r="341" spans="1:3" x14ac:dyDescent="0.3">
      <c r="A341" s="4" t="s">
        <v>860</v>
      </c>
      <c r="B341" s="4">
        <v>5.5</v>
      </c>
      <c r="C341" s="23" t="s">
        <v>8487</v>
      </c>
    </row>
    <row r="342" spans="1:3" x14ac:dyDescent="0.3">
      <c r="A342" s="3" t="s">
        <v>863</v>
      </c>
      <c r="B342" s="3">
        <v>5.7</v>
      </c>
      <c r="C342" s="22" t="s">
        <v>8465</v>
      </c>
    </row>
    <row r="343" spans="1:3" x14ac:dyDescent="0.3">
      <c r="A343" s="4" t="s">
        <v>865</v>
      </c>
      <c r="B343" s="4">
        <v>6.3</v>
      </c>
      <c r="C343" s="23" t="s">
        <v>8488</v>
      </c>
    </row>
    <row r="344" spans="1:3" x14ac:dyDescent="0.3">
      <c r="A344" s="3" t="s">
        <v>868</v>
      </c>
      <c r="B344" s="3">
        <v>5.9</v>
      </c>
      <c r="C344" s="22" t="s">
        <v>8384</v>
      </c>
    </row>
    <row r="345" spans="1:3" x14ac:dyDescent="0.3">
      <c r="A345" s="4" t="s">
        <v>871</v>
      </c>
      <c r="B345" s="4">
        <v>7.6</v>
      </c>
      <c r="C345" s="23" t="s">
        <v>8489</v>
      </c>
    </row>
    <row r="346" spans="1:3" x14ac:dyDescent="0.3">
      <c r="A346" s="3" t="s">
        <v>874</v>
      </c>
      <c r="B346" s="3">
        <v>6.6</v>
      </c>
      <c r="C346" s="22" t="s">
        <v>8490</v>
      </c>
    </row>
    <row r="347" spans="1:3" x14ac:dyDescent="0.3">
      <c r="A347" s="4" t="s">
        <v>877</v>
      </c>
      <c r="B347" s="4">
        <v>5.3</v>
      </c>
      <c r="C347" s="23" t="s">
        <v>8491</v>
      </c>
    </row>
    <row r="348" spans="1:3" x14ac:dyDescent="0.3">
      <c r="A348" s="3" t="s">
        <v>880</v>
      </c>
      <c r="B348" s="3">
        <v>6</v>
      </c>
      <c r="C348" s="22" t="s">
        <v>8492</v>
      </c>
    </row>
    <row r="349" spans="1:3" x14ac:dyDescent="0.3">
      <c r="A349" s="4" t="s">
        <v>883</v>
      </c>
      <c r="B349" s="4">
        <v>8</v>
      </c>
      <c r="C349" s="23" t="s">
        <v>8355</v>
      </c>
    </row>
    <row r="350" spans="1:3" x14ac:dyDescent="0.3">
      <c r="A350" s="3" t="s">
        <v>885</v>
      </c>
      <c r="B350" s="3">
        <v>5.6</v>
      </c>
      <c r="C350" s="22" t="s">
        <v>8493</v>
      </c>
    </row>
    <row r="351" spans="1:3" x14ac:dyDescent="0.3">
      <c r="A351" s="4" t="s">
        <v>887</v>
      </c>
      <c r="B351" s="4">
        <v>5.9</v>
      </c>
      <c r="C351" s="23" t="s">
        <v>8419</v>
      </c>
    </row>
    <row r="352" spans="1:3" x14ac:dyDescent="0.3">
      <c r="A352" s="3" t="s">
        <v>891</v>
      </c>
      <c r="B352" s="3">
        <v>7.3</v>
      </c>
      <c r="C352" s="22" t="s">
        <v>8309</v>
      </c>
    </row>
    <row r="353" spans="1:3" x14ac:dyDescent="0.3">
      <c r="A353" s="4" t="s">
        <v>894</v>
      </c>
      <c r="B353" s="4">
        <v>7.9</v>
      </c>
      <c r="C353" s="23" t="s">
        <v>8323</v>
      </c>
    </row>
    <row r="354" spans="1:3" x14ac:dyDescent="0.3">
      <c r="A354" s="3" t="s">
        <v>897</v>
      </c>
      <c r="B354" s="3">
        <v>6.8</v>
      </c>
      <c r="C354" s="22" t="s">
        <v>8458</v>
      </c>
    </row>
    <row r="355" spans="1:3" x14ac:dyDescent="0.3">
      <c r="A355" s="4" t="s">
        <v>899</v>
      </c>
      <c r="B355" s="4">
        <v>6.6</v>
      </c>
      <c r="C355" s="23" t="s">
        <v>8319</v>
      </c>
    </row>
    <row r="356" spans="1:3" x14ac:dyDescent="0.3">
      <c r="A356" s="3" t="s">
        <v>902</v>
      </c>
      <c r="B356" s="3">
        <v>6.6</v>
      </c>
      <c r="C356" s="22" t="s">
        <v>8337</v>
      </c>
    </row>
    <row r="357" spans="1:3" x14ac:dyDescent="0.3">
      <c r="A357" s="4" t="s">
        <v>904</v>
      </c>
      <c r="B357" s="4">
        <v>7</v>
      </c>
      <c r="C357" s="23" t="s">
        <v>8494</v>
      </c>
    </row>
    <row r="358" spans="1:3" x14ac:dyDescent="0.3">
      <c r="A358" s="3" t="s">
        <v>907</v>
      </c>
      <c r="B358" s="3">
        <v>7</v>
      </c>
      <c r="C358" s="22" t="s">
        <v>8421</v>
      </c>
    </row>
    <row r="359" spans="1:3" x14ac:dyDescent="0.3">
      <c r="A359" s="4" t="s">
        <v>910</v>
      </c>
      <c r="B359" s="4">
        <v>7.3</v>
      </c>
      <c r="C359" s="23" t="s">
        <v>8495</v>
      </c>
    </row>
    <row r="360" spans="1:3" x14ac:dyDescent="0.3">
      <c r="A360" s="3" t="s">
        <v>913</v>
      </c>
      <c r="B360" s="3">
        <v>5.5</v>
      </c>
      <c r="C360" s="22" t="s">
        <v>8326</v>
      </c>
    </row>
    <row r="361" spans="1:3" x14ac:dyDescent="0.3">
      <c r="A361" s="4" t="s">
        <v>916</v>
      </c>
      <c r="B361" s="4">
        <v>8.5</v>
      </c>
      <c r="C361" s="23" t="s">
        <v>8342</v>
      </c>
    </row>
    <row r="362" spans="1:3" x14ac:dyDescent="0.3">
      <c r="A362" s="3" t="s">
        <v>919</v>
      </c>
      <c r="B362" s="3">
        <v>7.5</v>
      </c>
      <c r="C362" s="22" t="s">
        <v>8496</v>
      </c>
    </row>
    <row r="363" spans="1:3" x14ac:dyDescent="0.3">
      <c r="A363" s="4" t="s">
        <v>921</v>
      </c>
      <c r="B363" s="4">
        <v>7</v>
      </c>
      <c r="C363" s="23" t="s">
        <v>8495</v>
      </c>
    </row>
    <row r="364" spans="1:3" x14ac:dyDescent="0.3">
      <c r="A364" s="3" t="s">
        <v>924</v>
      </c>
      <c r="B364" s="3">
        <v>7.8</v>
      </c>
      <c r="C364" s="22" t="s">
        <v>8362</v>
      </c>
    </row>
    <row r="365" spans="1:3" x14ac:dyDescent="0.3">
      <c r="A365" s="4" t="s">
        <v>926</v>
      </c>
      <c r="B365" s="4">
        <v>7.6</v>
      </c>
      <c r="C365" s="23" t="s">
        <v>8424</v>
      </c>
    </row>
    <row r="366" spans="1:3" x14ac:dyDescent="0.3">
      <c r="A366" s="3" t="s">
        <v>928</v>
      </c>
      <c r="B366" s="3">
        <v>7.6</v>
      </c>
      <c r="C366" s="22" t="s">
        <v>8422</v>
      </c>
    </row>
    <row r="367" spans="1:3" x14ac:dyDescent="0.3">
      <c r="A367" s="4" t="s">
        <v>930</v>
      </c>
      <c r="B367" s="4">
        <v>6.1</v>
      </c>
      <c r="C367" s="23" t="s">
        <v>8497</v>
      </c>
    </row>
    <row r="368" spans="1:3" x14ac:dyDescent="0.3">
      <c r="A368" s="3" t="s">
        <v>932</v>
      </c>
      <c r="B368" s="3">
        <v>6.8</v>
      </c>
      <c r="C368" s="22" t="s">
        <v>8463</v>
      </c>
    </row>
    <row r="369" spans="1:3" x14ac:dyDescent="0.3">
      <c r="A369" s="4" t="s">
        <v>935</v>
      </c>
      <c r="B369" s="4">
        <v>5</v>
      </c>
      <c r="C369" s="23" t="s">
        <v>8498</v>
      </c>
    </row>
    <row r="370" spans="1:3" x14ac:dyDescent="0.3">
      <c r="A370" s="3" t="s">
        <v>937</v>
      </c>
      <c r="B370" s="3">
        <v>7.1</v>
      </c>
      <c r="C370" s="22" t="s">
        <v>8305</v>
      </c>
    </row>
    <row r="371" spans="1:3" x14ac:dyDescent="0.3">
      <c r="A371" s="4" t="s">
        <v>939</v>
      </c>
      <c r="B371" s="4">
        <v>5.5</v>
      </c>
      <c r="C371" s="23" t="s">
        <v>8499</v>
      </c>
    </row>
    <row r="372" spans="1:3" x14ac:dyDescent="0.3">
      <c r="A372" s="3" t="s">
        <v>941</v>
      </c>
      <c r="B372" s="3">
        <v>5.6</v>
      </c>
      <c r="C372" s="22" t="s">
        <v>8419</v>
      </c>
    </row>
    <row r="373" spans="1:3" x14ac:dyDescent="0.3">
      <c r="A373" s="4" t="s">
        <v>943</v>
      </c>
      <c r="B373" s="4">
        <v>7.1</v>
      </c>
      <c r="C373" s="23" t="s">
        <v>8332</v>
      </c>
    </row>
    <row r="374" spans="1:3" x14ac:dyDescent="0.3">
      <c r="A374" s="3" t="s">
        <v>945</v>
      </c>
      <c r="B374" s="3">
        <v>4.9000000000000004</v>
      </c>
      <c r="C374" s="22" t="s">
        <v>8391</v>
      </c>
    </row>
    <row r="375" spans="1:3" x14ac:dyDescent="0.3">
      <c r="A375" s="4" t="s">
        <v>948</v>
      </c>
      <c r="B375" s="4">
        <v>7.4</v>
      </c>
      <c r="C375" s="23" t="s">
        <v>8337</v>
      </c>
    </row>
    <row r="376" spans="1:3" x14ac:dyDescent="0.3">
      <c r="A376" s="3" t="s">
        <v>951</v>
      </c>
      <c r="B376" s="3">
        <v>5.7</v>
      </c>
      <c r="C376" s="22" t="s">
        <v>8423</v>
      </c>
    </row>
    <row r="377" spans="1:3" x14ac:dyDescent="0.3">
      <c r="A377" s="4" t="s">
        <v>953</v>
      </c>
      <c r="B377" s="4">
        <v>6.4</v>
      </c>
      <c r="C377" s="23" t="s">
        <v>8500</v>
      </c>
    </row>
    <row r="378" spans="1:3" x14ac:dyDescent="0.3">
      <c r="A378" s="3" t="s">
        <v>956</v>
      </c>
      <c r="B378" s="3">
        <v>5.9</v>
      </c>
      <c r="C378" s="22" t="s">
        <v>8501</v>
      </c>
    </row>
    <row r="379" spans="1:3" x14ac:dyDescent="0.3">
      <c r="A379" s="4" t="s">
        <v>959</v>
      </c>
      <c r="B379" s="4">
        <v>5.5</v>
      </c>
      <c r="C379" s="23" t="s">
        <v>8449</v>
      </c>
    </row>
    <row r="380" spans="1:3" x14ac:dyDescent="0.3">
      <c r="A380" s="3" t="s">
        <v>961</v>
      </c>
      <c r="B380" s="3">
        <v>6.9</v>
      </c>
      <c r="C380" s="22" t="s">
        <v>8401</v>
      </c>
    </row>
    <row r="381" spans="1:3" x14ac:dyDescent="0.3">
      <c r="A381" s="4" t="s">
        <v>963</v>
      </c>
      <c r="B381" s="4">
        <v>6.2</v>
      </c>
      <c r="C381" s="23" t="s">
        <v>8413</v>
      </c>
    </row>
    <row r="382" spans="1:3" x14ac:dyDescent="0.3">
      <c r="A382" s="3" t="s">
        <v>965</v>
      </c>
      <c r="B382" s="3">
        <v>7</v>
      </c>
      <c r="C382" s="22" t="s">
        <v>8458</v>
      </c>
    </row>
    <row r="383" spans="1:3" x14ac:dyDescent="0.3">
      <c r="A383" s="4" t="s">
        <v>967</v>
      </c>
      <c r="B383" s="4">
        <v>5.6</v>
      </c>
      <c r="C383" s="23" t="s">
        <v>8502</v>
      </c>
    </row>
    <row r="384" spans="1:3" x14ac:dyDescent="0.3">
      <c r="A384" s="3" t="s">
        <v>969</v>
      </c>
      <c r="B384" s="3">
        <v>7</v>
      </c>
      <c r="C384" s="22" t="s">
        <v>8421</v>
      </c>
    </row>
    <row r="385" spans="1:3" x14ac:dyDescent="0.3">
      <c r="A385" s="4" t="s">
        <v>972</v>
      </c>
      <c r="B385" s="4">
        <v>6.8</v>
      </c>
      <c r="C385" s="23" t="s">
        <v>8419</v>
      </c>
    </row>
    <row r="386" spans="1:3" x14ac:dyDescent="0.3">
      <c r="A386" s="3" t="s">
        <v>974</v>
      </c>
      <c r="B386" s="3">
        <v>5.4</v>
      </c>
      <c r="C386" s="22" t="s">
        <v>8503</v>
      </c>
    </row>
    <row r="387" spans="1:3" x14ac:dyDescent="0.3">
      <c r="A387" s="4" t="s">
        <v>977</v>
      </c>
      <c r="B387" s="4">
        <v>6.1</v>
      </c>
      <c r="C387" s="23" t="s">
        <v>8504</v>
      </c>
    </row>
    <row r="388" spans="1:3" x14ac:dyDescent="0.3">
      <c r="A388" s="3" t="s">
        <v>979</v>
      </c>
      <c r="B388" s="3">
        <v>6.7</v>
      </c>
      <c r="C388" s="22" t="s">
        <v>8505</v>
      </c>
    </row>
    <row r="389" spans="1:3" x14ac:dyDescent="0.3">
      <c r="A389" s="4" t="s">
        <v>981</v>
      </c>
      <c r="B389" s="4">
        <v>4.3</v>
      </c>
      <c r="C389" s="23" t="s">
        <v>8441</v>
      </c>
    </row>
    <row r="390" spans="1:3" x14ac:dyDescent="0.3">
      <c r="A390" s="3" t="s">
        <v>983</v>
      </c>
      <c r="B390" s="3">
        <v>6.9</v>
      </c>
      <c r="C390" s="22" t="s">
        <v>8506</v>
      </c>
    </row>
    <row r="391" spans="1:3" x14ac:dyDescent="0.3">
      <c r="A391" s="4" t="s">
        <v>985</v>
      </c>
      <c r="B391" s="4">
        <v>8</v>
      </c>
      <c r="C391" s="23" t="s">
        <v>8378</v>
      </c>
    </row>
    <row r="392" spans="1:3" x14ac:dyDescent="0.3">
      <c r="A392" s="3" t="s">
        <v>987</v>
      </c>
      <c r="B392" s="3">
        <v>4.4000000000000004</v>
      </c>
      <c r="C392" s="22" t="s">
        <v>8507</v>
      </c>
    </row>
    <row r="393" spans="1:3" x14ac:dyDescent="0.3">
      <c r="A393" s="4" t="s">
        <v>989</v>
      </c>
      <c r="B393" s="4">
        <v>7.3</v>
      </c>
      <c r="C393" s="23" t="s">
        <v>8508</v>
      </c>
    </row>
    <row r="394" spans="1:3" x14ac:dyDescent="0.3">
      <c r="A394" s="3" t="s">
        <v>991</v>
      </c>
      <c r="B394" s="3">
        <v>6.3</v>
      </c>
      <c r="C394" s="22" t="s">
        <v>8449</v>
      </c>
    </row>
    <row r="395" spans="1:3" x14ac:dyDescent="0.3">
      <c r="A395" s="4" t="s">
        <v>993</v>
      </c>
      <c r="B395" s="4">
        <v>6.7</v>
      </c>
      <c r="C395" s="23" t="s">
        <v>8343</v>
      </c>
    </row>
    <row r="396" spans="1:3" x14ac:dyDescent="0.3">
      <c r="A396" s="3" t="s">
        <v>995</v>
      </c>
      <c r="B396" s="3">
        <v>7.7</v>
      </c>
      <c r="C396" s="22" t="s">
        <v>8337</v>
      </c>
    </row>
    <row r="397" spans="1:3" x14ac:dyDescent="0.3">
      <c r="A397" s="4" t="s">
        <v>998</v>
      </c>
      <c r="B397" s="4">
        <v>6.5</v>
      </c>
      <c r="C397" s="23" t="s">
        <v>8377</v>
      </c>
    </row>
    <row r="398" spans="1:3" x14ac:dyDescent="0.3">
      <c r="A398" s="3" t="s">
        <v>1000</v>
      </c>
      <c r="B398" s="3">
        <v>7.8</v>
      </c>
      <c r="C398" s="22" t="s">
        <v>8409</v>
      </c>
    </row>
    <row r="399" spans="1:3" x14ac:dyDescent="0.3">
      <c r="A399" s="4" t="s">
        <v>1002</v>
      </c>
      <c r="B399" s="4">
        <v>6.4</v>
      </c>
      <c r="C399" s="23" t="s">
        <v>8366</v>
      </c>
    </row>
    <row r="400" spans="1:3" x14ac:dyDescent="0.3">
      <c r="A400" s="3" t="s">
        <v>1004</v>
      </c>
      <c r="B400" s="3">
        <v>7.8</v>
      </c>
      <c r="C400" s="22" t="s">
        <v>8444</v>
      </c>
    </row>
    <row r="401" spans="1:3" x14ac:dyDescent="0.3">
      <c r="A401" s="4" t="s">
        <v>1006</v>
      </c>
      <c r="B401" s="4">
        <v>5.8</v>
      </c>
      <c r="C401" s="23" t="s">
        <v>8509</v>
      </c>
    </row>
    <row r="402" spans="1:3" x14ac:dyDescent="0.3">
      <c r="A402" s="3" t="s">
        <v>1008</v>
      </c>
      <c r="B402" s="3">
        <v>7.1</v>
      </c>
      <c r="C402" s="22" t="s">
        <v>8510</v>
      </c>
    </row>
    <row r="403" spans="1:3" x14ac:dyDescent="0.3">
      <c r="A403" s="4" t="s">
        <v>1012</v>
      </c>
      <c r="B403" s="4">
        <v>7.1</v>
      </c>
      <c r="C403" s="23" t="s">
        <v>8511</v>
      </c>
    </row>
    <row r="404" spans="1:3" x14ac:dyDescent="0.3">
      <c r="A404" s="3" t="s">
        <v>1014</v>
      </c>
      <c r="B404" s="3">
        <v>6.8</v>
      </c>
      <c r="C404" s="22" t="s">
        <v>8512</v>
      </c>
    </row>
    <row r="405" spans="1:3" x14ac:dyDescent="0.3">
      <c r="A405" s="4" t="s">
        <v>1017</v>
      </c>
      <c r="B405" s="4">
        <v>4.8</v>
      </c>
      <c r="C405" s="23" t="s">
        <v>8511</v>
      </c>
    </row>
    <row r="406" spans="1:3" x14ac:dyDescent="0.3">
      <c r="A406" s="3" t="s">
        <v>1020</v>
      </c>
      <c r="B406" s="3">
        <v>6.2</v>
      </c>
      <c r="C406" s="22" t="s">
        <v>8319</v>
      </c>
    </row>
    <row r="407" spans="1:3" x14ac:dyDescent="0.3">
      <c r="A407" s="4" t="s">
        <v>1022</v>
      </c>
      <c r="B407" s="4">
        <v>6.9</v>
      </c>
      <c r="C407" s="23" t="s">
        <v>8513</v>
      </c>
    </row>
    <row r="408" spans="1:3" x14ac:dyDescent="0.3">
      <c r="A408" s="3" t="s">
        <v>1025</v>
      </c>
      <c r="B408" s="3">
        <v>7.3</v>
      </c>
      <c r="C408" s="22" t="s">
        <v>8458</v>
      </c>
    </row>
    <row r="409" spans="1:3" x14ac:dyDescent="0.3">
      <c r="A409" s="4" t="s">
        <v>1028</v>
      </c>
      <c r="B409" s="4">
        <v>6.6</v>
      </c>
      <c r="C409" s="23" t="s">
        <v>8513</v>
      </c>
    </row>
    <row r="410" spans="1:3" x14ac:dyDescent="0.3">
      <c r="A410" s="3" t="s">
        <v>1030</v>
      </c>
      <c r="B410" s="3">
        <v>6.9</v>
      </c>
      <c r="C410" s="22" t="s">
        <v>8444</v>
      </c>
    </row>
    <row r="411" spans="1:3" x14ac:dyDescent="0.3">
      <c r="A411" s="4" t="s">
        <v>1033</v>
      </c>
      <c r="B411" s="4">
        <v>6.2</v>
      </c>
      <c r="C411" s="23" t="s">
        <v>8514</v>
      </c>
    </row>
    <row r="412" spans="1:3" x14ac:dyDescent="0.3">
      <c r="A412" s="3" t="s">
        <v>1036</v>
      </c>
      <c r="B412" s="3">
        <v>6.7</v>
      </c>
      <c r="C412" s="22" t="s">
        <v>8515</v>
      </c>
    </row>
    <row r="413" spans="1:3" x14ac:dyDescent="0.3">
      <c r="A413" s="4" t="s">
        <v>1038</v>
      </c>
      <c r="B413" s="4">
        <v>7.6</v>
      </c>
      <c r="C413" s="23" t="s">
        <v>8516</v>
      </c>
    </row>
    <row r="414" spans="1:3" x14ac:dyDescent="0.3">
      <c r="A414" s="3" t="s">
        <v>1041</v>
      </c>
      <c r="B414" s="3">
        <v>6.7</v>
      </c>
      <c r="C414" s="22" t="s">
        <v>8315</v>
      </c>
    </row>
    <row r="415" spans="1:3" x14ac:dyDescent="0.3">
      <c r="A415" s="4" t="s">
        <v>1043</v>
      </c>
      <c r="B415" s="4">
        <v>6.2</v>
      </c>
      <c r="C415" s="23" t="s">
        <v>8424</v>
      </c>
    </row>
    <row r="416" spans="1:3" x14ac:dyDescent="0.3">
      <c r="A416" s="3" t="s">
        <v>1045</v>
      </c>
      <c r="B416" s="3">
        <v>7.3</v>
      </c>
      <c r="C416" s="22" t="s">
        <v>8308</v>
      </c>
    </row>
    <row r="417" spans="1:3" x14ac:dyDescent="0.3">
      <c r="A417" s="4" t="s">
        <v>1047</v>
      </c>
      <c r="B417" s="4">
        <v>6</v>
      </c>
      <c r="C417" s="23" t="s">
        <v>8335</v>
      </c>
    </row>
    <row r="418" spans="1:3" x14ac:dyDescent="0.3">
      <c r="A418" s="3" t="s">
        <v>1049</v>
      </c>
      <c r="B418" s="3">
        <v>7.1</v>
      </c>
      <c r="C418" s="22" t="s">
        <v>8517</v>
      </c>
    </row>
    <row r="419" spans="1:3" x14ac:dyDescent="0.3">
      <c r="A419" s="4" t="s">
        <v>1051</v>
      </c>
      <c r="B419" s="4">
        <v>7.1</v>
      </c>
      <c r="C419" s="23" t="s">
        <v>8518</v>
      </c>
    </row>
    <row r="420" spans="1:3" x14ac:dyDescent="0.3">
      <c r="A420" s="3" t="s">
        <v>1053</v>
      </c>
      <c r="B420" s="3">
        <v>5.5</v>
      </c>
      <c r="C420" s="22" t="s">
        <v>8519</v>
      </c>
    </row>
    <row r="421" spans="1:3" x14ac:dyDescent="0.3">
      <c r="A421" s="4" t="s">
        <v>1056</v>
      </c>
      <c r="B421" s="4">
        <v>7.8</v>
      </c>
      <c r="C421" s="23" t="s">
        <v>8520</v>
      </c>
    </row>
    <row r="422" spans="1:3" x14ac:dyDescent="0.3">
      <c r="A422" s="3" t="s">
        <v>1059</v>
      </c>
      <c r="B422" s="3">
        <v>5.6</v>
      </c>
      <c r="C422" s="22" t="s">
        <v>8521</v>
      </c>
    </row>
    <row r="423" spans="1:3" x14ac:dyDescent="0.3">
      <c r="A423" s="4" t="s">
        <v>1061</v>
      </c>
      <c r="B423" s="4">
        <v>7.5</v>
      </c>
      <c r="C423" s="23" t="s">
        <v>8522</v>
      </c>
    </row>
    <row r="424" spans="1:3" x14ac:dyDescent="0.3">
      <c r="A424" s="3" t="s">
        <v>1064</v>
      </c>
      <c r="B424" s="3">
        <v>5.4</v>
      </c>
      <c r="C424" s="22" t="s">
        <v>8523</v>
      </c>
    </row>
    <row r="425" spans="1:3" x14ac:dyDescent="0.3">
      <c r="A425" s="4" t="s">
        <v>1066</v>
      </c>
      <c r="B425" s="4">
        <v>4.3</v>
      </c>
      <c r="C425" s="23" t="s">
        <v>8524</v>
      </c>
    </row>
    <row r="426" spans="1:3" x14ac:dyDescent="0.3">
      <c r="A426" s="3" t="s">
        <v>1068</v>
      </c>
      <c r="B426" s="3">
        <v>4.9000000000000004</v>
      </c>
      <c r="C426" s="22" t="s">
        <v>8447</v>
      </c>
    </row>
    <row r="427" spans="1:3" x14ac:dyDescent="0.3">
      <c r="A427" s="4" t="s">
        <v>1070</v>
      </c>
      <c r="B427" s="4">
        <v>7.1</v>
      </c>
      <c r="C427" s="23" t="s">
        <v>8525</v>
      </c>
    </row>
    <row r="428" spans="1:3" x14ac:dyDescent="0.3">
      <c r="A428" s="3" t="s">
        <v>1072</v>
      </c>
      <c r="B428" s="3">
        <v>6.4</v>
      </c>
      <c r="C428" s="22" t="s">
        <v>8451</v>
      </c>
    </row>
    <row r="429" spans="1:3" x14ac:dyDescent="0.3">
      <c r="A429" s="4" t="s">
        <v>1074</v>
      </c>
      <c r="B429" s="4">
        <v>6.9</v>
      </c>
      <c r="C429" s="23" t="s">
        <v>8526</v>
      </c>
    </row>
    <row r="430" spans="1:3" x14ac:dyDescent="0.3">
      <c r="A430" s="3" t="s">
        <v>1076</v>
      </c>
      <c r="B430" s="3">
        <v>4.3</v>
      </c>
      <c r="C430" s="22" t="s">
        <v>8442</v>
      </c>
    </row>
    <row r="431" spans="1:3" x14ac:dyDescent="0.3">
      <c r="A431" s="4" t="s">
        <v>1078</v>
      </c>
      <c r="B431" s="4">
        <v>6.1</v>
      </c>
      <c r="C431" s="23" t="s">
        <v>8346</v>
      </c>
    </row>
    <row r="432" spans="1:3" x14ac:dyDescent="0.3">
      <c r="A432" s="3" t="s">
        <v>1080</v>
      </c>
      <c r="B432" s="3">
        <v>7</v>
      </c>
      <c r="C432" s="22" t="s">
        <v>8331</v>
      </c>
    </row>
    <row r="433" spans="1:3" x14ac:dyDescent="0.3">
      <c r="A433" s="4" t="s">
        <v>1083</v>
      </c>
      <c r="B433" s="4">
        <v>7.7</v>
      </c>
      <c r="C433" s="23" t="s">
        <v>8362</v>
      </c>
    </row>
    <row r="434" spans="1:3" x14ac:dyDescent="0.3">
      <c r="A434" s="3" t="s">
        <v>1085</v>
      </c>
      <c r="B434" s="3">
        <v>5.9</v>
      </c>
      <c r="C434" s="22" t="s">
        <v>8443</v>
      </c>
    </row>
    <row r="435" spans="1:3" x14ac:dyDescent="0.3">
      <c r="A435" s="4" t="s">
        <v>1087</v>
      </c>
      <c r="B435" s="4">
        <v>6.7</v>
      </c>
      <c r="C435" s="23" t="s">
        <v>8345</v>
      </c>
    </row>
    <row r="436" spans="1:3" x14ac:dyDescent="0.3">
      <c r="A436" s="3" t="s">
        <v>1089</v>
      </c>
      <c r="B436" s="3">
        <v>6.5</v>
      </c>
      <c r="C436" s="22" t="s">
        <v>8527</v>
      </c>
    </row>
    <row r="437" spans="1:3" x14ac:dyDescent="0.3">
      <c r="A437" s="4" t="s">
        <v>1091</v>
      </c>
      <c r="B437" s="4">
        <v>7.1</v>
      </c>
      <c r="C437" s="23" t="s">
        <v>8502</v>
      </c>
    </row>
    <row r="438" spans="1:3" x14ac:dyDescent="0.3">
      <c r="A438" s="3" t="s">
        <v>1094</v>
      </c>
      <c r="B438" s="3">
        <v>7.3</v>
      </c>
      <c r="C438" s="22" t="s">
        <v>8508</v>
      </c>
    </row>
    <row r="439" spans="1:3" x14ac:dyDescent="0.3">
      <c r="A439" s="4" t="s">
        <v>1096</v>
      </c>
      <c r="B439" s="4">
        <v>6.5</v>
      </c>
      <c r="C439" s="23" t="s">
        <v>8528</v>
      </c>
    </row>
    <row r="440" spans="1:3" x14ac:dyDescent="0.3">
      <c r="A440" s="3" t="s">
        <v>1099</v>
      </c>
      <c r="B440" s="3">
        <v>7</v>
      </c>
      <c r="C440" s="22" t="s">
        <v>8318</v>
      </c>
    </row>
    <row r="441" spans="1:3" x14ac:dyDescent="0.3">
      <c r="A441" s="4" t="s">
        <v>1102</v>
      </c>
      <c r="B441" s="4">
        <v>6.8</v>
      </c>
      <c r="C441" s="23" t="s">
        <v>8412</v>
      </c>
    </row>
    <row r="442" spans="1:3" x14ac:dyDescent="0.3">
      <c r="A442" s="3" t="s">
        <v>1105</v>
      </c>
      <c r="B442" s="3">
        <v>7.2</v>
      </c>
      <c r="C442" s="22" t="s">
        <v>8358</v>
      </c>
    </row>
    <row r="443" spans="1:3" x14ac:dyDescent="0.3">
      <c r="A443" s="4" t="s">
        <v>1108</v>
      </c>
      <c r="B443" s="4">
        <v>6.4</v>
      </c>
      <c r="C443" s="23" t="s">
        <v>8529</v>
      </c>
    </row>
    <row r="444" spans="1:3" x14ac:dyDescent="0.3">
      <c r="A444" s="3" t="s">
        <v>1111</v>
      </c>
      <c r="B444" s="3">
        <v>6.1</v>
      </c>
      <c r="C444" s="22" t="s">
        <v>8530</v>
      </c>
    </row>
    <row r="445" spans="1:3" x14ac:dyDescent="0.3">
      <c r="A445" s="4" t="s">
        <v>1114</v>
      </c>
      <c r="B445" s="4">
        <v>6.7</v>
      </c>
      <c r="C445" s="23" t="s">
        <v>8396</v>
      </c>
    </row>
    <row r="446" spans="1:3" x14ac:dyDescent="0.3">
      <c r="A446" s="3" t="s">
        <v>1116</v>
      </c>
      <c r="B446" s="3">
        <v>6.4</v>
      </c>
      <c r="C446" s="22" t="s">
        <v>8524</v>
      </c>
    </row>
    <row r="447" spans="1:3" x14ac:dyDescent="0.3">
      <c r="A447" s="4" t="s">
        <v>1119</v>
      </c>
      <c r="B447" s="4">
        <v>4.4000000000000004</v>
      </c>
      <c r="C447" s="23" t="s">
        <v>8354</v>
      </c>
    </row>
    <row r="448" spans="1:3" x14ac:dyDescent="0.3">
      <c r="A448" s="3" t="s">
        <v>1121</v>
      </c>
      <c r="B448" s="3">
        <v>5.4</v>
      </c>
      <c r="C448" s="22" t="s">
        <v>8499</v>
      </c>
    </row>
    <row r="449" spans="1:3" x14ac:dyDescent="0.3">
      <c r="A449" s="4" t="s">
        <v>1124</v>
      </c>
      <c r="B449" s="4">
        <v>6.5</v>
      </c>
      <c r="C449" s="23" t="s">
        <v>8524</v>
      </c>
    </row>
    <row r="450" spans="1:3" x14ac:dyDescent="0.3">
      <c r="A450" s="3" t="s">
        <v>1127</v>
      </c>
      <c r="B450" s="3">
        <v>6.7</v>
      </c>
      <c r="C450" s="22" t="s">
        <v>8513</v>
      </c>
    </row>
    <row r="451" spans="1:3" x14ac:dyDescent="0.3">
      <c r="A451" s="4" t="s">
        <v>1130</v>
      </c>
      <c r="B451" s="4">
        <v>8.1</v>
      </c>
      <c r="C451" s="23" t="s">
        <v>8342</v>
      </c>
    </row>
    <row r="452" spans="1:3" x14ac:dyDescent="0.3">
      <c r="A452" s="3" t="s">
        <v>1132</v>
      </c>
      <c r="B452" s="3">
        <v>5.6</v>
      </c>
      <c r="C452" s="22" t="s">
        <v>8531</v>
      </c>
    </row>
    <row r="453" spans="1:3" x14ac:dyDescent="0.3">
      <c r="A453" s="4" t="s">
        <v>1134</v>
      </c>
      <c r="B453" s="4">
        <v>6.3</v>
      </c>
      <c r="C453" s="23" t="s">
        <v>8468</v>
      </c>
    </row>
    <row r="454" spans="1:3" x14ac:dyDescent="0.3">
      <c r="A454" s="3" t="s">
        <v>1137</v>
      </c>
      <c r="B454" s="3">
        <v>7.3</v>
      </c>
      <c r="C454" s="22" t="s">
        <v>8427</v>
      </c>
    </row>
    <row r="455" spans="1:3" x14ac:dyDescent="0.3">
      <c r="A455" s="4" t="s">
        <v>1139</v>
      </c>
      <c r="B455" s="4">
        <v>6.1</v>
      </c>
      <c r="C455" s="23" t="s">
        <v>8532</v>
      </c>
    </row>
    <row r="456" spans="1:3" x14ac:dyDescent="0.3">
      <c r="A456" s="3" t="s">
        <v>1142</v>
      </c>
      <c r="B456" s="3">
        <v>7.7</v>
      </c>
      <c r="C456" s="22" t="s">
        <v>8296</v>
      </c>
    </row>
    <row r="457" spans="1:3" x14ac:dyDescent="0.3">
      <c r="A457" s="4" t="s">
        <v>1144</v>
      </c>
      <c r="B457" s="4">
        <v>6.4</v>
      </c>
      <c r="C457" s="23" t="s">
        <v>8499</v>
      </c>
    </row>
    <row r="458" spans="1:3" x14ac:dyDescent="0.3">
      <c r="A458" s="3" t="s">
        <v>1147</v>
      </c>
      <c r="B458" s="3">
        <v>6.8</v>
      </c>
      <c r="C458" s="22" t="s">
        <v>8465</v>
      </c>
    </row>
    <row r="459" spans="1:3" x14ac:dyDescent="0.3">
      <c r="A459" s="4" t="s">
        <v>1150</v>
      </c>
      <c r="B459" s="4">
        <v>6.6</v>
      </c>
      <c r="C459" s="23" t="s">
        <v>8533</v>
      </c>
    </row>
    <row r="460" spans="1:3" x14ac:dyDescent="0.3">
      <c r="A460" s="3" t="s">
        <v>1153</v>
      </c>
      <c r="B460" s="3">
        <v>7.2</v>
      </c>
      <c r="C460" s="22" t="s">
        <v>8534</v>
      </c>
    </row>
    <row r="461" spans="1:3" x14ac:dyDescent="0.3">
      <c r="A461" s="4" t="s">
        <v>1155</v>
      </c>
      <c r="B461" s="4">
        <v>6.9</v>
      </c>
      <c r="C461" s="23" t="s">
        <v>8535</v>
      </c>
    </row>
    <row r="462" spans="1:3" x14ac:dyDescent="0.3">
      <c r="A462" s="3" t="s">
        <v>1158</v>
      </c>
      <c r="B462" s="3">
        <v>5.2</v>
      </c>
      <c r="C462" s="22" t="s">
        <v>8536</v>
      </c>
    </row>
    <row r="463" spans="1:3" x14ac:dyDescent="0.3">
      <c r="A463" s="4" t="s">
        <v>1161</v>
      </c>
      <c r="B463" s="4">
        <v>4.9000000000000004</v>
      </c>
      <c r="C463" s="23" t="s">
        <v>8449</v>
      </c>
    </row>
    <row r="464" spans="1:3" x14ac:dyDescent="0.3">
      <c r="A464" s="3" t="s">
        <v>1163</v>
      </c>
      <c r="B464" s="3">
        <v>6.3</v>
      </c>
      <c r="C464" s="22" t="s">
        <v>8537</v>
      </c>
    </row>
    <row r="465" spans="1:3" x14ac:dyDescent="0.3">
      <c r="A465" s="4" t="s">
        <v>1166</v>
      </c>
      <c r="B465" s="4">
        <v>5.6</v>
      </c>
      <c r="C465" s="23" t="s">
        <v>8374</v>
      </c>
    </row>
    <row r="466" spans="1:3" x14ac:dyDescent="0.3">
      <c r="A466" s="3" t="s">
        <v>1168</v>
      </c>
      <c r="B466" s="3">
        <v>5.5</v>
      </c>
      <c r="C466" s="22" t="s">
        <v>8538</v>
      </c>
    </row>
    <row r="467" spans="1:3" x14ac:dyDescent="0.3">
      <c r="A467" s="4" t="s">
        <v>1170</v>
      </c>
      <c r="B467" s="4">
        <v>6.7</v>
      </c>
      <c r="C467" s="23" t="s">
        <v>8399</v>
      </c>
    </row>
    <row r="468" spans="1:3" x14ac:dyDescent="0.3">
      <c r="A468" s="3" t="s">
        <v>1173</v>
      </c>
      <c r="B468" s="3">
        <v>7.6</v>
      </c>
      <c r="C468" s="22" t="s">
        <v>8344</v>
      </c>
    </row>
    <row r="469" spans="1:3" x14ac:dyDescent="0.3">
      <c r="A469" s="4" t="s">
        <v>1175</v>
      </c>
      <c r="B469" s="4">
        <v>5.7</v>
      </c>
      <c r="C469" s="23" t="s">
        <v>8539</v>
      </c>
    </row>
    <row r="470" spans="1:3" x14ac:dyDescent="0.3">
      <c r="A470" s="3" t="s">
        <v>1177</v>
      </c>
      <c r="B470" s="3">
        <v>4.5999999999999996</v>
      </c>
      <c r="C470" s="22" t="s">
        <v>8540</v>
      </c>
    </row>
    <row r="471" spans="1:3" x14ac:dyDescent="0.3">
      <c r="A471" s="4" t="s">
        <v>1179</v>
      </c>
      <c r="B471" s="4">
        <v>7</v>
      </c>
      <c r="C471" s="23" t="s">
        <v>8541</v>
      </c>
    </row>
    <row r="472" spans="1:3" x14ac:dyDescent="0.3">
      <c r="A472" s="3" t="s">
        <v>1181</v>
      </c>
      <c r="B472" s="3">
        <v>5.2</v>
      </c>
      <c r="C472" s="22" t="s">
        <v>8451</v>
      </c>
    </row>
    <row r="473" spans="1:3" x14ac:dyDescent="0.3">
      <c r="A473" s="4" t="s">
        <v>1183</v>
      </c>
      <c r="B473" s="4">
        <v>5.0999999999999996</v>
      </c>
      <c r="C473" s="23" t="s">
        <v>8542</v>
      </c>
    </row>
    <row r="474" spans="1:3" x14ac:dyDescent="0.3">
      <c r="A474" s="3" t="s">
        <v>1185</v>
      </c>
      <c r="B474" s="3">
        <v>6.6</v>
      </c>
      <c r="C474" s="22" t="s">
        <v>8543</v>
      </c>
    </row>
    <row r="475" spans="1:3" x14ac:dyDescent="0.3">
      <c r="A475" s="4" t="s">
        <v>1188</v>
      </c>
      <c r="B475" s="4">
        <v>7</v>
      </c>
      <c r="C475" s="23" t="s">
        <v>8544</v>
      </c>
    </row>
    <row r="476" spans="1:3" x14ac:dyDescent="0.3">
      <c r="A476" s="3" t="s">
        <v>1190</v>
      </c>
      <c r="B476" s="3">
        <v>6.7</v>
      </c>
      <c r="C476" s="22" t="s">
        <v>8510</v>
      </c>
    </row>
    <row r="477" spans="1:3" x14ac:dyDescent="0.3">
      <c r="A477" s="4" t="s">
        <v>1194</v>
      </c>
      <c r="B477" s="4">
        <v>7.3</v>
      </c>
      <c r="C477" s="23" t="s">
        <v>8545</v>
      </c>
    </row>
    <row r="478" spans="1:3" x14ac:dyDescent="0.3">
      <c r="A478" s="3" t="s">
        <v>1197</v>
      </c>
      <c r="B478" s="3">
        <v>5.9</v>
      </c>
      <c r="C478" s="22" t="s">
        <v>8388</v>
      </c>
    </row>
    <row r="479" spans="1:3" x14ac:dyDescent="0.3">
      <c r="A479" s="4" t="s">
        <v>1199</v>
      </c>
      <c r="B479" s="4">
        <v>5.6</v>
      </c>
      <c r="C479" s="23" t="s">
        <v>8477</v>
      </c>
    </row>
    <row r="480" spans="1:3" x14ac:dyDescent="0.3">
      <c r="A480" s="3" t="s">
        <v>1202</v>
      </c>
      <c r="B480" s="3">
        <v>6.5</v>
      </c>
      <c r="C480" s="22" t="s">
        <v>8457</v>
      </c>
    </row>
    <row r="481" spans="1:3" x14ac:dyDescent="0.3">
      <c r="A481" s="4" t="s">
        <v>1204</v>
      </c>
      <c r="B481" s="4">
        <v>5.9</v>
      </c>
      <c r="C481" s="23" t="s">
        <v>8324</v>
      </c>
    </row>
    <row r="482" spans="1:3" x14ac:dyDescent="0.3">
      <c r="A482" s="3" t="s">
        <v>1206</v>
      </c>
      <c r="B482" s="3">
        <v>7</v>
      </c>
      <c r="C482" s="22" t="s">
        <v>8546</v>
      </c>
    </row>
    <row r="483" spans="1:3" x14ac:dyDescent="0.3">
      <c r="A483" s="4" t="s">
        <v>1208</v>
      </c>
      <c r="B483" s="4">
        <v>5.3</v>
      </c>
      <c r="C483" s="23" t="s">
        <v>8547</v>
      </c>
    </row>
    <row r="484" spans="1:3" x14ac:dyDescent="0.3">
      <c r="A484" s="3" t="s">
        <v>1210</v>
      </c>
      <c r="B484" s="3">
        <v>5.9</v>
      </c>
      <c r="C484" s="22" t="s">
        <v>8548</v>
      </c>
    </row>
    <row r="485" spans="1:3" x14ac:dyDescent="0.3">
      <c r="A485" s="4" t="s">
        <v>1213</v>
      </c>
      <c r="B485" s="4">
        <v>6.3</v>
      </c>
      <c r="C485" s="23" t="s">
        <v>8318</v>
      </c>
    </row>
    <row r="486" spans="1:3" x14ac:dyDescent="0.3">
      <c r="A486" s="3" t="s">
        <v>1216</v>
      </c>
      <c r="B486" s="3">
        <v>6.4</v>
      </c>
      <c r="C486" s="22" t="s">
        <v>8549</v>
      </c>
    </row>
    <row r="487" spans="1:3" x14ac:dyDescent="0.3">
      <c r="A487" s="4" t="s">
        <v>1218</v>
      </c>
      <c r="B487" s="4">
        <v>6.9</v>
      </c>
      <c r="C487" s="23" t="s">
        <v>8392</v>
      </c>
    </row>
    <row r="488" spans="1:3" x14ac:dyDescent="0.3">
      <c r="A488" s="3" t="s">
        <v>1221</v>
      </c>
      <c r="B488" s="3">
        <v>6.3</v>
      </c>
      <c r="C488" s="22" t="s">
        <v>8359</v>
      </c>
    </row>
    <row r="489" spans="1:3" x14ac:dyDescent="0.3">
      <c r="A489" s="4" t="s">
        <v>1223</v>
      </c>
      <c r="B489" s="4">
        <v>7.3</v>
      </c>
      <c r="C489" s="23" t="s">
        <v>8439</v>
      </c>
    </row>
    <row r="490" spans="1:3" x14ac:dyDescent="0.3">
      <c r="A490" s="3" t="s">
        <v>1225</v>
      </c>
      <c r="B490" s="3">
        <v>5.8</v>
      </c>
      <c r="C490" s="22" t="s">
        <v>8343</v>
      </c>
    </row>
    <row r="491" spans="1:3" x14ac:dyDescent="0.3">
      <c r="A491" s="4" t="s">
        <v>1227</v>
      </c>
      <c r="B491" s="4">
        <v>5.2</v>
      </c>
      <c r="C491" s="23" t="s">
        <v>8550</v>
      </c>
    </row>
    <row r="492" spans="1:3" x14ac:dyDescent="0.3">
      <c r="A492" s="3" t="s">
        <v>1229</v>
      </c>
      <c r="B492" s="3">
        <v>2.4</v>
      </c>
      <c r="C492" s="22" t="s">
        <v>8551</v>
      </c>
    </row>
    <row r="493" spans="1:3" x14ac:dyDescent="0.3">
      <c r="A493" s="4" t="s">
        <v>1231</v>
      </c>
      <c r="B493" s="4">
        <v>5.7</v>
      </c>
      <c r="C493" s="23" t="s">
        <v>8552</v>
      </c>
    </row>
    <row r="494" spans="1:3" x14ac:dyDescent="0.3">
      <c r="A494" s="3" t="s">
        <v>1233</v>
      </c>
      <c r="B494" s="3">
        <v>5.8</v>
      </c>
      <c r="C494" s="22" t="s">
        <v>8308</v>
      </c>
    </row>
    <row r="495" spans="1:3" x14ac:dyDescent="0.3">
      <c r="A495" s="4" t="s">
        <v>1235</v>
      </c>
      <c r="B495" s="4">
        <v>5.6</v>
      </c>
      <c r="C495" s="23" t="s">
        <v>8399</v>
      </c>
    </row>
    <row r="496" spans="1:3" x14ac:dyDescent="0.3">
      <c r="A496" s="3" t="s">
        <v>1238</v>
      </c>
      <c r="B496" s="3">
        <v>6</v>
      </c>
      <c r="C496" s="22" t="s">
        <v>8553</v>
      </c>
    </row>
    <row r="497" spans="1:3" x14ac:dyDescent="0.3">
      <c r="A497" s="4" t="s">
        <v>1240</v>
      </c>
      <c r="B497" s="4">
        <v>5.8</v>
      </c>
      <c r="C497" s="23" t="s">
        <v>8377</v>
      </c>
    </row>
    <row r="498" spans="1:3" x14ac:dyDescent="0.3">
      <c r="A498" s="3" t="s">
        <v>1242</v>
      </c>
      <c r="B498" s="3">
        <v>6</v>
      </c>
      <c r="C498" s="22" t="s">
        <v>8402</v>
      </c>
    </row>
    <row r="499" spans="1:3" x14ac:dyDescent="0.3">
      <c r="A499" s="4" t="s">
        <v>1244</v>
      </c>
      <c r="B499" s="4">
        <v>5.7</v>
      </c>
      <c r="C499" s="23" t="s">
        <v>8554</v>
      </c>
    </row>
    <row r="500" spans="1:3" x14ac:dyDescent="0.3">
      <c r="A500" s="3" t="s">
        <v>1247</v>
      </c>
      <c r="B500" s="3">
        <v>6</v>
      </c>
      <c r="C500" s="22" t="s">
        <v>8484</v>
      </c>
    </row>
    <row r="501" spans="1:3" x14ac:dyDescent="0.3">
      <c r="A501" s="4" t="s">
        <v>1250</v>
      </c>
      <c r="B501" s="4">
        <v>7.8</v>
      </c>
      <c r="C501" s="23" t="s">
        <v>8555</v>
      </c>
    </row>
    <row r="502" spans="1:3" x14ac:dyDescent="0.3">
      <c r="A502" s="3" t="s">
        <v>1253</v>
      </c>
      <c r="B502" s="3">
        <v>4.2</v>
      </c>
      <c r="C502" s="22" t="s">
        <v>8470</v>
      </c>
    </row>
    <row r="503" spans="1:3" x14ac:dyDescent="0.3">
      <c r="A503" s="4" t="s">
        <v>1255</v>
      </c>
      <c r="B503" s="4">
        <v>5.6</v>
      </c>
      <c r="C503" s="23" t="s">
        <v>8509</v>
      </c>
    </row>
    <row r="504" spans="1:3" x14ac:dyDescent="0.3">
      <c r="A504" s="3" t="s">
        <v>1257</v>
      </c>
      <c r="B504" s="3">
        <v>4.4000000000000004</v>
      </c>
      <c r="C504" s="22" t="s">
        <v>8556</v>
      </c>
    </row>
    <row r="505" spans="1:3" x14ac:dyDescent="0.3">
      <c r="A505" s="4" t="s">
        <v>1259</v>
      </c>
      <c r="B505" s="4">
        <v>8.1999999999999993</v>
      </c>
      <c r="C505" s="23" t="s">
        <v>8378</v>
      </c>
    </row>
    <row r="506" spans="1:3" x14ac:dyDescent="0.3">
      <c r="A506" s="3" t="s">
        <v>1262</v>
      </c>
      <c r="B506" s="3">
        <v>8.5</v>
      </c>
      <c r="C506" s="22" t="s">
        <v>8514</v>
      </c>
    </row>
    <row r="507" spans="1:3" x14ac:dyDescent="0.3">
      <c r="A507" s="4" t="s">
        <v>1264</v>
      </c>
      <c r="B507" s="4">
        <v>5.8</v>
      </c>
      <c r="C507" s="23" t="s">
        <v>8442</v>
      </c>
    </row>
    <row r="508" spans="1:3" x14ac:dyDescent="0.3">
      <c r="A508" s="3" t="s">
        <v>1267</v>
      </c>
      <c r="B508" s="3">
        <v>6.5</v>
      </c>
      <c r="C508" s="22" t="s">
        <v>8557</v>
      </c>
    </row>
    <row r="509" spans="1:3" x14ac:dyDescent="0.3">
      <c r="A509" s="4" t="s">
        <v>1269</v>
      </c>
      <c r="B509" s="4">
        <v>7.2</v>
      </c>
      <c r="C509" s="23" t="s">
        <v>8319</v>
      </c>
    </row>
    <row r="510" spans="1:3" x14ac:dyDescent="0.3">
      <c r="A510" s="3" t="s">
        <v>1272</v>
      </c>
      <c r="B510" s="3">
        <v>6.7</v>
      </c>
      <c r="C510" s="22" t="s">
        <v>8384</v>
      </c>
    </row>
    <row r="511" spans="1:3" x14ac:dyDescent="0.3">
      <c r="A511" s="4" t="s">
        <v>1276</v>
      </c>
      <c r="B511" s="4">
        <v>3.4</v>
      </c>
      <c r="C511" s="23" t="s">
        <v>8499</v>
      </c>
    </row>
    <row r="512" spans="1:3" x14ac:dyDescent="0.3">
      <c r="A512" s="3" t="s">
        <v>1278</v>
      </c>
      <c r="B512" s="3">
        <v>5.9</v>
      </c>
      <c r="C512" s="22" t="s">
        <v>8558</v>
      </c>
    </row>
    <row r="513" spans="1:3" x14ac:dyDescent="0.3">
      <c r="A513" s="4" t="s">
        <v>1280</v>
      </c>
      <c r="B513" s="4">
        <v>7.8</v>
      </c>
      <c r="C513" s="23" t="s">
        <v>8410</v>
      </c>
    </row>
    <row r="514" spans="1:3" x14ac:dyDescent="0.3">
      <c r="A514" s="3" t="s">
        <v>1283</v>
      </c>
      <c r="B514" s="3">
        <v>5.9</v>
      </c>
      <c r="C514" s="22" t="s">
        <v>8559</v>
      </c>
    </row>
    <row r="515" spans="1:3" x14ac:dyDescent="0.3">
      <c r="A515" s="4" t="s">
        <v>1285</v>
      </c>
      <c r="B515" s="4">
        <v>4.0999999999999996</v>
      </c>
      <c r="C515" s="23" t="s">
        <v>8560</v>
      </c>
    </row>
    <row r="516" spans="1:3" x14ac:dyDescent="0.3">
      <c r="A516" s="3" t="s">
        <v>1287</v>
      </c>
      <c r="B516" s="3">
        <v>6.8</v>
      </c>
      <c r="C516" s="22" t="s">
        <v>8561</v>
      </c>
    </row>
    <row r="517" spans="1:3" x14ac:dyDescent="0.3">
      <c r="A517" s="4" t="s">
        <v>1290</v>
      </c>
      <c r="B517" s="4">
        <v>5.8</v>
      </c>
      <c r="C517" s="23" t="s">
        <v>8562</v>
      </c>
    </row>
    <row r="518" spans="1:3" x14ac:dyDescent="0.3">
      <c r="A518" s="3" t="s">
        <v>1293</v>
      </c>
      <c r="B518" s="3">
        <v>7.5</v>
      </c>
      <c r="C518" s="22" t="s">
        <v>8563</v>
      </c>
    </row>
    <row r="519" spans="1:3" x14ac:dyDescent="0.3">
      <c r="A519" s="4" t="s">
        <v>1296</v>
      </c>
      <c r="B519" s="4">
        <v>6.9</v>
      </c>
      <c r="C519" s="23" t="s">
        <v>8336</v>
      </c>
    </row>
    <row r="520" spans="1:3" x14ac:dyDescent="0.3">
      <c r="A520" s="3" t="s">
        <v>1299</v>
      </c>
      <c r="B520" s="3">
        <v>6.5</v>
      </c>
      <c r="C520" s="22" t="s">
        <v>8332</v>
      </c>
    </row>
    <row r="521" spans="1:3" x14ac:dyDescent="0.3">
      <c r="A521" s="4" t="s">
        <v>1302</v>
      </c>
      <c r="B521" s="4">
        <v>6.9</v>
      </c>
      <c r="C521" s="23" t="s">
        <v>8373</v>
      </c>
    </row>
    <row r="522" spans="1:3" x14ac:dyDescent="0.3">
      <c r="A522" s="3" t="s">
        <v>1304</v>
      </c>
      <c r="B522" s="3">
        <v>7.9</v>
      </c>
      <c r="C522" s="22" t="s">
        <v>8415</v>
      </c>
    </row>
    <row r="523" spans="1:3" x14ac:dyDescent="0.3">
      <c r="A523" s="4" t="s">
        <v>1307</v>
      </c>
      <c r="B523" s="4">
        <v>7.4</v>
      </c>
      <c r="C523" s="23" t="s">
        <v>8305</v>
      </c>
    </row>
    <row r="524" spans="1:3" x14ac:dyDescent="0.3">
      <c r="A524" s="3" t="s">
        <v>1309</v>
      </c>
      <c r="B524" s="3">
        <v>6.7</v>
      </c>
      <c r="C524" s="22" t="s">
        <v>8497</v>
      </c>
    </row>
    <row r="525" spans="1:3" x14ac:dyDescent="0.3">
      <c r="A525" s="4" t="s">
        <v>1312</v>
      </c>
      <c r="B525" s="4">
        <v>7.4</v>
      </c>
      <c r="C525" s="23" t="s">
        <v>8321</v>
      </c>
    </row>
    <row r="526" spans="1:3" x14ac:dyDescent="0.3">
      <c r="A526" s="3" t="s">
        <v>1316</v>
      </c>
      <c r="B526" s="3">
        <v>6.9</v>
      </c>
      <c r="C526" s="22" t="s">
        <v>8421</v>
      </c>
    </row>
    <row r="527" spans="1:3" x14ac:dyDescent="0.3">
      <c r="A527" s="4" t="s">
        <v>1318</v>
      </c>
      <c r="B527" s="4">
        <v>6.8</v>
      </c>
      <c r="C527" s="23" t="s">
        <v>8524</v>
      </c>
    </row>
    <row r="528" spans="1:3" x14ac:dyDescent="0.3">
      <c r="A528" s="3" t="s">
        <v>1320</v>
      </c>
      <c r="B528" s="3">
        <v>6.7</v>
      </c>
      <c r="C528" s="22" t="s">
        <v>8532</v>
      </c>
    </row>
    <row r="529" spans="1:3" x14ac:dyDescent="0.3">
      <c r="A529" s="4" t="s">
        <v>1322</v>
      </c>
      <c r="B529" s="4">
        <v>5.0999999999999996</v>
      </c>
      <c r="C529" s="23" t="s">
        <v>8493</v>
      </c>
    </row>
    <row r="530" spans="1:3" x14ac:dyDescent="0.3">
      <c r="A530" s="3" t="s">
        <v>1324</v>
      </c>
      <c r="B530" s="3">
        <v>4.0999999999999996</v>
      </c>
      <c r="C530" s="22" t="s">
        <v>8564</v>
      </c>
    </row>
    <row r="531" spans="1:3" x14ac:dyDescent="0.3">
      <c r="A531" s="4" t="s">
        <v>1326</v>
      </c>
      <c r="B531" s="4">
        <v>7.3</v>
      </c>
      <c r="C531" s="23" t="s">
        <v>8406</v>
      </c>
    </row>
    <row r="532" spans="1:3" x14ac:dyDescent="0.3">
      <c r="A532" s="3" t="s">
        <v>1328</v>
      </c>
      <c r="B532" s="3">
        <v>6</v>
      </c>
      <c r="C532" s="22" t="s">
        <v>8499</v>
      </c>
    </row>
    <row r="533" spans="1:3" x14ac:dyDescent="0.3">
      <c r="A533" s="4" t="s">
        <v>1331</v>
      </c>
      <c r="B533" s="4">
        <v>7.3</v>
      </c>
      <c r="C533" s="23" t="s">
        <v>8332</v>
      </c>
    </row>
    <row r="534" spans="1:3" x14ac:dyDescent="0.3">
      <c r="A534" s="3" t="s">
        <v>1333</v>
      </c>
      <c r="B534" s="3">
        <v>5.4</v>
      </c>
      <c r="C534" s="22" t="s">
        <v>8501</v>
      </c>
    </row>
    <row r="535" spans="1:3" x14ac:dyDescent="0.3">
      <c r="A535" s="4" t="s">
        <v>1335</v>
      </c>
      <c r="B535" s="4">
        <v>5.9</v>
      </c>
      <c r="C535" s="23" t="s">
        <v>8324</v>
      </c>
    </row>
    <row r="536" spans="1:3" x14ac:dyDescent="0.3">
      <c r="A536" s="3" t="s">
        <v>1338</v>
      </c>
      <c r="B536" s="3">
        <v>7.1</v>
      </c>
      <c r="C536" s="22" t="s">
        <v>8565</v>
      </c>
    </row>
    <row r="537" spans="1:3" x14ac:dyDescent="0.3">
      <c r="A537" s="4" t="s">
        <v>1340</v>
      </c>
      <c r="B537" s="4">
        <v>6</v>
      </c>
      <c r="C537" s="23" t="s">
        <v>8486</v>
      </c>
    </row>
    <row r="538" spans="1:3" x14ac:dyDescent="0.3">
      <c r="A538" s="3" t="s">
        <v>1343</v>
      </c>
      <c r="B538" s="3">
        <v>6.5</v>
      </c>
      <c r="C538" s="22" t="s">
        <v>8405</v>
      </c>
    </row>
    <row r="539" spans="1:3" x14ac:dyDescent="0.3">
      <c r="A539" s="4" t="s">
        <v>1346</v>
      </c>
      <c r="B539" s="4">
        <v>5.7</v>
      </c>
      <c r="C539" s="23" t="s">
        <v>8566</v>
      </c>
    </row>
    <row r="540" spans="1:3" x14ac:dyDescent="0.3">
      <c r="A540" s="3" t="s">
        <v>1348</v>
      </c>
      <c r="B540" s="3">
        <v>7.6</v>
      </c>
      <c r="C540" s="22" t="s">
        <v>8332</v>
      </c>
    </row>
    <row r="541" spans="1:3" x14ac:dyDescent="0.3">
      <c r="A541" s="4" t="s">
        <v>1351</v>
      </c>
      <c r="B541" s="4">
        <v>6.6</v>
      </c>
      <c r="C541" s="23" t="s">
        <v>8567</v>
      </c>
    </row>
    <row r="542" spans="1:3" x14ac:dyDescent="0.3">
      <c r="A542" s="3" t="s">
        <v>1354</v>
      </c>
      <c r="B542" s="3">
        <v>5.4</v>
      </c>
      <c r="C542" s="22" t="s">
        <v>8568</v>
      </c>
    </row>
    <row r="543" spans="1:3" x14ac:dyDescent="0.3">
      <c r="A543" s="4" t="s">
        <v>1357</v>
      </c>
      <c r="B543" s="4">
        <v>7.3</v>
      </c>
      <c r="C543" s="23" t="s">
        <v>8422</v>
      </c>
    </row>
    <row r="544" spans="1:3" x14ac:dyDescent="0.3">
      <c r="A544" s="3" t="s">
        <v>1359</v>
      </c>
      <c r="B544" s="3">
        <v>6.5</v>
      </c>
      <c r="C544" s="22" t="s">
        <v>8433</v>
      </c>
    </row>
    <row r="545" spans="1:3" x14ac:dyDescent="0.3">
      <c r="A545" s="4" t="s">
        <v>1361</v>
      </c>
      <c r="B545" s="4">
        <v>6.6</v>
      </c>
      <c r="C545" s="23" t="s">
        <v>8569</v>
      </c>
    </row>
    <row r="546" spans="1:3" x14ac:dyDescent="0.3">
      <c r="A546" s="3" t="s">
        <v>1364</v>
      </c>
      <c r="B546" s="3">
        <v>6.6</v>
      </c>
      <c r="C546" s="22" t="s">
        <v>8570</v>
      </c>
    </row>
    <row r="547" spans="1:3" x14ac:dyDescent="0.3">
      <c r="A547" s="4" t="s">
        <v>1366</v>
      </c>
      <c r="B547" s="4">
        <v>5.9</v>
      </c>
      <c r="C547" s="23" t="s">
        <v>8571</v>
      </c>
    </row>
    <row r="548" spans="1:3" x14ac:dyDescent="0.3">
      <c r="A548" s="3" t="s">
        <v>1368</v>
      </c>
      <c r="B548" s="3">
        <v>6.7</v>
      </c>
      <c r="C548" s="22" t="s">
        <v>8572</v>
      </c>
    </row>
    <row r="549" spans="1:3" x14ac:dyDescent="0.3">
      <c r="A549" s="4" t="s">
        <v>1370</v>
      </c>
      <c r="B549" s="4">
        <v>6.1</v>
      </c>
      <c r="C549" s="23" t="s">
        <v>8521</v>
      </c>
    </row>
    <row r="550" spans="1:3" x14ac:dyDescent="0.3">
      <c r="A550" s="3" t="s">
        <v>1372</v>
      </c>
      <c r="B550" s="3">
        <v>6.6</v>
      </c>
      <c r="C550" s="22" t="s">
        <v>8573</v>
      </c>
    </row>
    <row r="551" spans="1:3" x14ac:dyDescent="0.3">
      <c r="A551" s="4" t="s">
        <v>1374</v>
      </c>
      <c r="B551" s="4">
        <v>6.6</v>
      </c>
      <c r="C551" s="23" t="s">
        <v>8574</v>
      </c>
    </row>
    <row r="552" spans="1:3" x14ac:dyDescent="0.3">
      <c r="A552" s="3" t="s">
        <v>1377</v>
      </c>
      <c r="B552" s="3">
        <v>5.3</v>
      </c>
      <c r="C552" s="22" t="s">
        <v>8575</v>
      </c>
    </row>
    <row r="553" spans="1:3" x14ac:dyDescent="0.3">
      <c r="A553" s="4" t="s">
        <v>1379</v>
      </c>
      <c r="B553" s="4">
        <v>6</v>
      </c>
      <c r="C553" s="23" t="s">
        <v>8509</v>
      </c>
    </row>
    <row r="554" spans="1:3" x14ac:dyDescent="0.3">
      <c r="A554" s="3" t="s">
        <v>1381</v>
      </c>
      <c r="B554" s="3">
        <v>6</v>
      </c>
      <c r="C554" s="22" t="s">
        <v>8576</v>
      </c>
    </row>
    <row r="555" spans="1:3" x14ac:dyDescent="0.3">
      <c r="A555" s="4" t="s">
        <v>1384</v>
      </c>
      <c r="B555" s="4">
        <v>4.7</v>
      </c>
      <c r="C555" s="23" t="s">
        <v>8577</v>
      </c>
    </row>
    <row r="556" spans="1:3" x14ac:dyDescent="0.3">
      <c r="A556" s="3" t="s">
        <v>1387</v>
      </c>
      <c r="B556" s="3">
        <v>6.1</v>
      </c>
      <c r="C556" s="22" t="s">
        <v>8491</v>
      </c>
    </row>
    <row r="557" spans="1:3" x14ac:dyDescent="0.3">
      <c r="A557" s="4" t="s">
        <v>1390</v>
      </c>
      <c r="B557" s="4">
        <v>7.2</v>
      </c>
      <c r="C557" s="23" t="s">
        <v>8387</v>
      </c>
    </row>
    <row r="558" spans="1:3" x14ac:dyDescent="0.3">
      <c r="A558" s="3" t="s">
        <v>1392</v>
      </c>
      <c r="B558" s="3">
        <v>6.4</v>
      </c>
      <c r="C558" s="22" t="s">
        <v>8578</v>
      </c>
    </row>
    <row r="559" spans="1:3" x14ac:dyDescent="0.3">
      <c r="A559" s="4" t="s">
        <v>1395</v>
      </c>
      <c r="B559" s="4">
        <v>6.1</v>
      </c>
      <c r="C559" s="23" t="s">
        <v>8304</v>
      </c>
    </row>
    <row r="560" spans="1:3" x14ac:dyDescent="0.3">
      <c r="A560" s="3" t="s">
        <v>1397</v>
      </c>
      <c r="B560" s="3">
        <v>5.9</v>
      </c>
      <c r="C560" s="22" t="s">
        <v>8502</v>
      </c>
    </row>
    <row r="561" spans="1:3" x14ac:dyDescent="0.3">
      <c r="A561" s="4" t="s">
        <v>1399</v>
      </c>
      <c r="B561" s="4">
        <v>6</v>
      </c>
      <c r="C561" s="23" t="s">
        <v>8570</v>
      </c>
    </row>
    <row r="562" spans="1:3" x14ac:dyDescent="0.3">
      <c r="A562" s="3" t="s">
        <v>1401</v>
      </c>
      <c r="B562" s="3">
        <v>6.3</v>
      </c>
      <c r="C562" s="22" t="s">
        <v>8579</v>
      </c>
    </row>
    <row r="563" spans="1:3" x14ac:dyDescent="0.3">
      <c r="A563" s="4" t="s">
        <v>1403</v>
      </c>
      <c r="B563" s="4">
        <v>5.6</v>
      </c>
      <c r="C563" s="23" t="s">
        <v>8572</v>
      </c>
    </row>
    <row r="564" spans="1:3" x14ac:dyDescent="0.3">
      <c r="A564" s="3" t="s">
        <v>1405</v>
      </c>
      <c r="B564" s="3">
        <v>6.4</v>
      </c>
      <c r="C564" s="22" t="s">
        <v>8580</v>
      </c>
    </row>
    <row r="565" spans="1:3" x14ac:dyDescent="0.3">
      <c r="A565" s="4" t="s">
        <v>1408</v>
      </c>
      <c r="B565" s="4">
        <v>7.1</v>
      </c>
      <c r="C565" s="23" t="s">
        <v>8315</v>
      </c>
    </row>
    <row r="566" spans="1:3" x14ac:dyDescent="0.3">
      <c r="A566" s="3" t="s">
        <v>1411</v>
      </c>
      <c r="B566" s="3">
        <v>6.6</v>
      </c>
      <c r="C566" s="22" t="s">
        <v>8460</v>
      </c>
    </row>
    <row r="567" spans="1:3" x14ac:dyDescent="0.3">
      <c r="A567" s="4" t="s">
        <v>1413</v>
      </c>
      <c r="B567" s="4">
        <v>4.5999999999999996</v>
      </c>
      <c r="C567" s="23" t="s">
        <v>8581</v>
      </c>
    </row>
    <row r="568" spans="1:3" x14ac:dyDescent="0.3">
      <c r="A568" s="3" t="s">
        <v>1415</v>
      </c>
      <c r="B568" s="3">
        <v>8.4</v>
      </c>
      <c r="C568" s="22" t="s">
        <v>8582</v>
      </c>
    </row>
    <row r="569" spans="1:3" x14ac:dyDescent="0.3">
      <c r="A569" s="4" t="s">
        <v>1418</v>
      </c>
      <c r="B569" s="4">
        <v>7.1</v>
      </c>
      <c r="C569" s="23" t="s">
        <v>8296</v>
      </c>
    </row>
    <row r="570" spans="1:3" x14ac:dyDescent="0.3">
      <c r="A570" s="3" t="s">
        <v>1421</v>
      </c>
      <c r="B570" s="3">
        <v>7.4</v>
      </c>
      <c r="C570" s="22" t="s">
        <v>8583</v>
      </c>
    </row>
    <row r="571" spans="1:3" x14ac:dyDescent="0.3">
      <c r="A571" s="4" t="s">
        <v>1423</v>
      </c>
      <c r="B571" s="4">
        <v>6.9</v>
      </c>
      <c r="C571" s="23" t="s">
        <v>8584</v>
      </c>
    </row>
    <row r="572" spans="1:3" x14ac:dyDescent="0.3">
      <c r="A572" s="3" t="s">
        <v>1426</v>
      </c>
      <c r="B572" s="3">
        <v>4.5</v>
      </c>
      <c r="C572" s="22" t="s">
        <v>8493</v>
      </c>
    </row>
    <row r="573" spans="1:3" x14ac:dyDescent="0.3">
      <c r="A573" s="4" t="s">
        <v>1429</v>
      </c>
      <c r="B573" s="4">
        <v>7.1</v>
      </c>
      <c r="C573" s="23" t="s">
        <v>8516</v>
      </c>
    </row>
    <row r="574" spans="1:3" x14ac:dyDescent="0.3">
      <c r="A574" s="3" t="s">
        <v>1431</v>
      </c>
      <c r="B574" s="3">
        <v>6.5</v>
      </c>
      <c r="C574" s="22" t="s">
        <v>8387</v>
      </c>
    </row>
    <row r="575" spans="1:3" x14ac:dyDescent="0.3">
      <c r="A575" s="4" t="s">
        <v>1433</v>
      </c>
      <c r="B575" s="4">
        <v>5.3</v>
      </c>
      <c r="C575" s="23" t="s">
        <v>8585</v>
      </c>
    </row>
    <row r="576" spans="1:3" x14ac:dyDescent="0.3">
      <c r="A576" s="3" t="s">
        <v>1436</v>
      </c>
      <c r="B576" s="3">
        <v>6.7</v>
      </c>
      <c r="C576" s="22" t="s">
        <v>8387</v>
      </c>
    </row>
    <row r="577" spans="1:3" x14ac:dyDescent="0.3">
      <c r="A577" s="4" t="s">
        <v>1438</v>
      </c>
      <c r="B577" s="4">
        <v>7.2</v>
      </c>
      <c r="C577" s="23" t="s">
        <v>8307</v>
      </c>
    </row>
    <row r="578" spans="1:3" x14ac:dyDescent="0.3">
      <c r="A578" s="3" t="s">
        <v>1441</v>
      </c>
      <c r="B578" s="3">
        <v>7.2</v>
      </c>
      <c r="C578" s="22" t="s">
        <v>8323</v>
      </c>
    </row>
    <row r="579" spans="1:3" x14ac:dyDescent="0.3">
      <c r="A579" s="4" t="s">
        <v>1444</v>
      </c>
      <c r="B579" s="4">
        <v>5.5</v>
      </c>
      <c r="C579" s="23" t="s">
        <v>8586</v>
      </c>
    </row>
    <row r="580" spans="1:3" x14ac:dyDescent="0.3">
      <c r="A580" s="3" t="s">
        <v>1446</v>
      </c>
      <c r="B580" s="3">
        <v>5.8</v>
      </c>
      <c r="C580" s="22" t="s">
        <v>8343</v>
      </c>
    </row>
    <row r="581" spans="1:3" x14ac:dyDescent="0.3">
      <c r="A581" s="4" t="s">
        <v>1448</v>
      </c>
      <c r="B581" s="4">
        <v>6</v>
      </c>
      <c r="C581" s="23" t="s">
        <v>8587</v>
      </c>
    </row>
    <row r="582" spans="1:3" x14ac:dyDescent="0.3">
      <c r="A582" s="3" t="s">
        <v>1451</v>
      </c>
      <c r="B582" s="3">
        <v>6.6</v>
      </c>
      <c r="C582" s="22" t="s">
        <v>8378</v>
      </c>
    </row>
    <row r="583" spans="1:3" x14ac:dyDescent="0.3">
      <c r="A583" s="4" t="s">
        <v>1453</v>
      </c>
      <c r="B583" s="4">
        <v>8.3000000000000007</v>
      </c>
      <c r="C583" s="23" t="s">
        <v>8462</v>
      </c>
    </row>
    <row r="584" spans="1:3" x14ac:dyDescent="0.3">
      <c r="A584" s="3" t="s">
        <v>1455</v>
      </c>
      <c r="B584" s="3">
        <v>6.7</v>
      </c>
      <c r="C584" s="22" t="s">
        <v>8332</v>
      </c>
    </row>
    <row r="585" spans="1:3" x14ac:dyDescent="0.3">
      <c r="A585" s="4" t="s">
        <v>1458</v>
      </c>
      <c r="B585" s="4">
        <v>6</v>
      </c>
      <c r="C585" s="23" t="s">
        <v>8319</v>
      </c>
    </row>
    <row r="586" spans="1:3" x14ac:dyDescent="0.3">
      <c r="A586" s="3" t="s">
        <v>1461</v>
      </c>
      <c r="B586" s="3">
        <v>7.1</v>
      </c>
      <c r="C586" s="22" t="s">
        <v>8493</v>
      </c>
    </row>
    <row r="587" spans="1:3" x14ac:dyDescent="0.3">
      <c r="A587" s="4" t="s">
        <v>1463</v>
      </c>
      <c r="B587" s="4">
        <v>6</v>
      </c>
      <c r="C587" s="23" t="s">
        <v>8588</v>
      </c>
    </row>
    <row r="588" spans="1:3" x14ac:dyDescent="0.3">
      <c r="A588" s="3" t="s">
        <v>1465</v>
      </c>
      <c r="B588" s="3">
        <v>6.9</v>
      </c>
      <c r="C588" s="22" t="s">
        <v>8589</v>
      </c>
    </row>
    <row r="589" spans="1:3" x14ac:dyDescent="0.3">
      <c r="A589" s="4" t="s">
        <v>1468</v>
      </c>
      <c r="B589" s="4">
        <v>5.6</v>
      </c>
      <c r="C589" s="23" t="s">
        <v>8387</v>
      </c>
    </row>
    <row r="590" spans="1:3" x14ac:dyDescent="0.3">
      <c r="A590" s="3" t="s">
        <v>1470</v>
      </c>
      <c r="B590" s="3">
        <v>5.6</v>
      </c>
      <c r="C590" s="22" t="s">
        <v>8509</v>
      </c>
    </row>
    <row r="591" spans="1:3" x14ac:dyDescent="0.3">
      <c r="A591" s="4" t="s">
        <v>1472</v>
      </c>
      <c r="B591" s="4">
        <v>4.5</v>
      </c>
      <c r="C591" s="23" t="s">
        <v>8585</v>
      </c>
    </row>
    <row r="592" spans="1:3" x14ac:dyDescent="0.3">
      <c r="A592" s="3" t="s">
        <v>1474</v>
      </c>
      <c r="B592" s="3">
        <v>7.1</v>
      </c>
      <c r="C592" s="22" t="s">
        <v>8590</v>
      </c>
    </row>
    <row r="593" spans="1:3" x14ac:dyDescent="0.3">
      <c r="A593" s="4" t="s">
        <v>1476</v>
      </c>
      <c r="B593" s="4">
        <v>6.5</v>
      </c>
      <c r="C593" s="23" t="s">
        <v>8567</v>
      </c>
    </row>
    <row r="594" spans="1:3" x14ac:dyDescent="0.3">
      <c r="A594" s="3" t="s">
        <v>1478</v>
      </c>
      <c r="B594" s="3">
        <v>6.4</v>
      </c>
      <c r="C594" s="22" t="s">
        <v>8591</v>
      </c>
    </row>
    <row r="595" spans="1:3" x14ac:dyDescent="0.3">
      <c r="A595" s="4" t="s">
        <v>1481</v>
      </c>
      <c r="B595" s="4">
        <v>5.8</v>
      </c>
      <c r="C595" s="23" t="s">
        <v>8382</v>
      </c>
    </row>
    <row r="596" spans="1:3" x14ac:dyDescent="0.3">
      <c r="A596" s="3" t="s">
        <v>1483</v>
      </c>
      <c r="B596" s="3">
        <v>8</v>
      </c>
      <c r="C596" s="22" t="s">
        <v>8318</v>
      </c>
    </row>
    <row r="597" spans="1:3" x14ac:dyDescent="0.3">
      <c r="A597" s="4" t="s">
        <v>1486</v>
      </c>
      <c r="B597" s="4">
        <v>6.2</v>
      </c>
      <c r="C597" s="23" t="s">
        <v>8565</v>
      </c>
    </row>
    <row r="598" spans="1:3" x14ac:dyDescent="0.3">
      <c r="A598" s="3" t="s">
        <v>1489</v>
      </c>
      <c r="B598" s="3">
        <v>7.2</v>
      </c>
      <c r="C598" s="22" t="s">
        <v>8332</v>
      </c>
    </row>
    <row r="599" spans="1:3" x14ac:dyDescent="0.3">
      <c r="A599" s="4" t="s">
        <v>1491</v>
      </c>
      <c r="B599" s="4">
        <v>6.1</v>
      </c>
      <c r="C599" s="23" t="s">
        <v>8592</v>
      </c>
    </row>
    <row r="600" spans="1:3" x14ac:dyDescent="0.3">
      <c r="A600" s="3" t="s">
        <v>1494</v>
      </c>
      <c r="B600" s="3">
        <v>7.6</v>
      </c>
      <c r="C600" s="22" t="s">
        <v>8294</v>
      </c>
    </row>
    <row r="601" spans="1:3" x14ac:dyDescent="0.3">
      <c r="A601" s="4" t="s">
        <v>1496</v>
      </c>
      <c r="B601" s="4">
        <v>6.3</v>
      </c>
      <c r="C601" s="23" t="s">
        <v>8372</v>
      </c>
    </row>
    <row r="602" spans="1:3" x14ac:dyDescent="0.3">
      <c r="A602" s="3" t="s">
        <v>1498</v>
      </c>
      <c r="B602" s="3">
        <v>6.3</v>
      </c>
      <c r="C602" s="22" t="s">
        <v>8593</v>
      </c>
    </row>
    <row r="603" spans="1:3" x14ac:dyDescent="0.3">
      <c r="A603" s="4" t="s">
        <v>1500</v>
      </c>
      <c r="B603" s="4">
        <v>6.3</v>
      </c>
      <c r="C603" s="23" t="s">
        <v>8397</v>
      </c>
    </row>
    <row r="604" spans="1:3" x14ac:dyDescent="0.3">
      <c r="A604" s="3" t="s">
        <v>1502</v>
      </c>
      <c r="B604" s="3">
        <v>7.7</v>
      </c>
      <c r="C604" s="22" t="s">
        <v>8363</v>
      </c>
    </row>
    <row r="605" spans="1:3" x14ac:dyDescent="0.3">
      <c r="A605" s="4" t="s">
        <v>1505</v>
      </c>
      <c r="B605" s="4">
        <v>7</v>
      </c>
      <c r="C605" s="23" t="s">
        <v>8516</v>
      </c>
    </row>
    <row r="606" spans="1:3" x14ac:dyDescent="0.3">
      <c r="A606" s="3" t="s">
        <v>1507</v>
      </c>
      <c r="B606" s="3">
        <v>5.3</v>
      </c>
      <c r="C606" s="22" t="s">
        <v>8378</v>
      </c>
    </row>
    <row r="607" spans="1:3" x14ac:dyDescent="0.3">
      <c r="A607" s="4" t="s">
        <v>1509</v>
      </c>
      <c r="B607" s="4">
        <v>5.6</v>
      </c>
      <c r="C607" s="23" t="s">
        <v>8426</v>
      </c>
    </row>
    <row r="608" spans="1:3" x14ac:dyDescent="0.3">
      <c r="A608" s="3" t="s">
        <v>1512</v>
      </c>
      <c r="B608" s="3">
        <v>5.2</v>
      </c>
      <c r="C608" s="22" t="s">
        <v>8594</v>
      </c>
    </row>
    <row r="609" spans="1:3" x14ac:dyDescent="0.3">
      <c r="A609" s="4" t="s">
        <v>1514</v>
      </c>
      <c r="B609" s="4">
        <v>5.4</v>
      </c>
      <c r="C609" s="23" t="s">
        <v>8585</v>
      </c>
    </row>
    <row r="610" spans="1:3" x14ac:dyDescent="0.3">
      <c r="A610" s="3" t="s">
        <v>1516</v>
      </c>
      <c r="B610" s="3">
        <v>6.4</v>
      </c>
      <c r="C610" s="22" t="s">
        <v>8595</v>
      </c>
    </row>
    <row r="611" spans="1:3" x14ac:dyDescent="0.3">
      <c r="A611" s="4" t="s">
        <v>1518</v>
      </c>
      <c r="B611" s="4">
        <v>5.9</v>
      </c>
      <c r="C611" s="23" t="s">
        <v>8532</v>
      </c>
    </row>
    <row r="612" spans="1:3" x14ac:dyDescent="0.3">
      <c r="A612" s="3" t="s">
        <v>1520</v>
      </c>
      <c r="B612" s="3">
        <v>6.3</v>
      </c>
      <c r="C612" s="22" t="s">
        <v>8596</v>
      </c>
    </row>
    <row r="613" spans="1:3" x14ac:dyDescent="0.3">
      <c r="A613" s="4" t="s">
        <v>1522</v>
      </c>
      <c r="B613" s="4">
        <v>6.5</v>
      </c>
      <c r="C613" s="23" t="s">
        <v>8597</v>
      </c>
    </row>
    <row r="614" spans="1:3" x14ac:dyDescent="0.3">
      <c r="A614" s="3" t="s">
        <v>1524</v>
      </c>
      <c r="B614" s="3">
        <v>3</v>
      </c>
      <c r="C614" s="22" t="s">
        <v>8424</v>
      </c>
    </row>
    <row r="615" spans="1:3" x14ac:dyDescent="0.3">
      <c r="A615" s="4" t="s">
        <v>1526</v>
      </c>
      <c r="B615" s="4">
        <v>3.6</v>
      </c>
      <c r="C615" s="23" t="s">
        <v>8598</v>
      </c>
    </row>
    <row r="616" spans="1:3" x14ac:dyDescent="0.3">
      <c r="A616" s="3" t="s">
        <v>1528</v>
      </c>
      <c r="B616" s="3">
        <v>5.8</v>
      </c>
      <c r="C616" s="22" t="s">
        <v>8599</v>
      </c>
    </row>
    <row r="617" spans="1:3" x14ac:dyDescent="0.3">
      <c r="A617" s="4" t="s">
        <v>1530</v>
      </c>
      <c r="B617" s="4">
        <v>6.2</v>
      </c>
      <c r="C617" s="23" t="s">
        <v>8600</v>
      </c>
    </row>
    <row r="618" spans="1:3" x14ac:dyDescent="0.3">
      <c r="A618" s="3" t="s">
        <v>1533</v>
      </c>
      <c r="B618" s="3">
        <v>5.6</v>
      </c>
      <c r="C618" s="22" t="s">
        <v>8448</v>
      </c>
    </row>
    <row r="619" spans="1:3" x14ac:dyDescent="0.3">
      <c r="A619" s="4" t="s">
        <v>1535</v>
      </c>
      <c r="B619" s="4">
        <v>5.4</v>
      </c>
      <c r="C619" s="23" t="s">
        <v>8452</v>
      </c>
    </row>
    <row r="620" spans="1:3" x14ac:dyDescent="0.3">
      <c r="A620" s="3" t="s">
        <v>1538</v>
      </c>
      <c r="B620" s="3">
        <v>6.1</v>
      </c>
      <c r="C620" s="22" t="s">
        <v>8601</v>
      </c>
    </row>
    <row r="621" spans="1:3" x14ac:dyDescent="0.3">
      <c r="A621" s="4" t="s">
        <v>1540</v>
      </c>
      <c r="B621" s="4">
        <v>4.2</v>
      </c>
      <c r="C621" s="23" t="s">
        <v>8602</v>
      </c>
    </row>
    <row r="622" spans="1:3" x14ac:dyDescent="0.3">
      <c r="A622" s="3" t="s">
        <v>1542</v>
      </c>
      <c r="B622" s="3">
        <v>6.7</v>
      </c>
      <c r="C622" s="22" t="s">
        <v>8603</v>
      </c>
    </row>
    <row r="623" spans="1:3" x14ac:dyDescent="0.3">
      <c r="A623" s="4" t="s">
        <v>1544</v>
      </c>
      <c r="B623" s="4">
        <v>4.2</v>
      </c>
      <c r="C623" s="23" t="s">
        <v>8493</v>
      </c>
    </row>
    <row r="624" spans="1:3" x14ac:dyDescent="0.3">
      <c r="A624" s="3" t="s">
        <v>1546</v>
      </c>
      <c r="B624" s="3">
        <v>6.4</v>
      </c>
      <c r="C624" s="22" t="s">
        <v>8604</v>
      </c>
    </row>
    <row r="625" spans="1:3" x14ac:dyDescent="0.3">
      <c r="A625" s="4" t="s">
        <v>1548</v>
      </c>
      <c r="B625" s="4">
        <v>4.9000000000000004</v>
      </c>
      <c r="C625" s="23" t="s">
        <v>8605</v>
      </c>
    </row>
    <row r="626" spans="1:3" x14ac:dyDescent="0.3">
      <c r="A626" s="3" t="s">
        <v>1550</v>
      </c>
      <c r="B626" s="3">
        <v>6.8</v>
      </c>
      <c r="C626" s="22" t="s">
        <v>8482</v>
      </c>
    </row>
    <row r="627" spans="1:3" x14ac:dyDescent="0.3">
      <c r="A627" s="4" t="s">
        <v>1552</v>
      </c>
      <c r="B627" s="4">
        <v>7.7</v>
      </c>
      <c r="C627" s="23" t="s">
        <v>8563</v>
      </c>
    </row>
    <row r="628" spans="1:3" x14ac:dyDescent="0.3">
      <c r="A628" s="3" t="s">
        <v>1554</v>
      </c>
      <c r="B628" s="3">
        <v>5.6</v>
      </c>
      <c r="C628" s="22" t="s">
        <v>8606</v>
      </c>
    </row>
    <row r="629" spans="1:3" x14ac:dyDescent="0.3">
      <c r="A629" s="4" t="s">
        <v>1557</v>
      </c>
      <c r="B629" s="4">
        <v>6.4</v>
      </c>
      <c r="C629" s="23" t="s">
        <v>8607</v>
      </c>
    </row>
    <row r="630" spans="1:3" x14ac:dyDescent="0.3">
      <c r="A630" s="3" t="s">
        <v>1559</v>
      </c>
      <c r="B630" s="3">
        <v>7.2</v>
      </c>
      <c r="C630" s="22" t="s">
        <v>8608</v>
      </c>
    </row>
    <row r="631" spans="1:3" x14ac:dyDescent="0.3">
      <c r="A631" s="4" t="s">
        <v>1561</v>
      </c>
      <c r="B631" s="4">
        <v>6</v>
      </c>
      <c r="C631" s="23" t="s">
        <v>8609</v>
      </c>
    </row>
    <row r="632" spans="1:3" x14ac:dyDescent="0.3">
      <c r="A632" s="3" t="s">
        <v>1564</v>
      </c>
      <c r="B632" s="3">
        <v>5.9</v>
      </c>
      <c r="C632" s="22" t="s">
        <v>8600</v>
      </c>
    </row>
    <row r="633" spans="1:3" x14ac:dyDescent="0.3">
      <c r="A633" s="4" t="s">
        <v>1566</v>
      </c>
      <c r="B633" s="4">
        <v>7.9</v>
      </c>
      <c r="C633" s="23" t="s">
        <v>8452</v>
      </c>
    </row>
    <row r="634" spans="1:3" x14ac:dyDescent="0.3">
      <c r="A634" s="3" t="s">
        <v>1568</v>
      </c>
      <c r="B634" s="3">
        <v>6.8</v>
      </c>
      <c r="C634" s="22" t="s">
        <v>8610</v>
      </c>
    </row>
    <row r="635" spans="1:3" x14ac:dyDescent="0.3">
      <c r="A635" s="4" t="s">
        <v>1570</v>
      </c>
      <c r="B635" s="4">
        <v>7.1</v>
      </c>
      <c r="C635" s="23" t="s">
        <v>8312</v>
      </c>
    </row>
    <row r="636" spans="1:3" x14ac:dyDescent="0.3">
      <c r="A636" s="3" t="s">
        <v>1572</v>
      </c>
      <c r="B636" s="3">
        <v>5.9</v>
      </c>
      <c r="C636" s="22" t="s">
        <v>8483</v>
      </c>
    </row>
    <row r="637" spans="1:3" x14ac:dyDescent="0.3">
      <c r="A637" s="4" t="s">
        <v>1574</v>
      </c>
      <c r="B637" s="4">
        <v>5.9</v>
      </c>
      <c r="C637" s="23" t="s">
        <v>8497</v>
      </c>
    </row>
    <row r="638" spans="1:3" x14ac:dyDescent="0.3">
      <c r="A638" s="3" t="s">
        <v>1576</v>
      </c>
      <c r="B638" s="3">
        <v>6.2</v>
      </c>
      <c r="C638" s="22" t="s">
        <v>8523</v>
      </c>
    </row>
    <row r="639" spans="1:3" x14ac:dyDescent="0.3">
      <c r="A639" s="4" t="s">
        <v>1579</v>
      </c>
      <c r="B639" s="4">
        <v>7</v>
      </c>
      <c r="C639" s="23" t="s">
        <v>8611</v>
      </c>
    </row>
    <row r="640" spans="1:3" x14ac:dyDescent="0.3">
      <c r="A640" s="3" t="s">
        <v>1581</v>
      </c>
      <c r="B640" s="3">
        <v>5.4</v>
      </c>
      <c r="C640" s="22" t="s">
        <v>8612</v>
      </c>
    </row>
    <row r="641" spans="1:3" x14ac:dyDescent="0.3">
      <c r="A641" s="4" t="s">
        <v>1583</v>
      </c>
      <c r="B641" s="4">
        <v>8.6</v>
      </c>
      <c r="C641" s="23" t="s">
        <v>8332</v>
      </c>
    </row>
    <row r="642" spans="1:3" x14ac:dyDescent="0.3">
      <c r="A642" s="3" t="s">
        <v>1586</v>
      </c>
      <c r="B642" s="3">
        <v>6.5</v>
      </c>
      <c r="C642" s="22" t="s">
        <v>8613</v>
      </c>
    </row>
    <row r="643" spans="1:3" x14ac:dyDescent="0.3">
      <c r="A643" s="4" t="s">
        <v>1588</v>
      </c>
      <c r="B643" s="4">
        <v>6.4</v>
      </c>
      <c r="C643" s="23" t="s">
        <v>8513</v>
      </c>
    </row>
    <row r="644" spans="1:3" x14ac:dyDescent="0.3">
      <c r="A644" s="3" t="s">
        <v>1590</v>
      </c>
      <c r="B644" s="3">
        <v>7.6</v>
      </c>
      <c r="C644" s="22" t="s">
        <v>8468</v>
      </c>
    </row>
    <row r="645" spans="1:3" x14ac:dyDescent="0.3">
      <c r="A645" s="4" t="s">
        <v>1592</v>
      </c>
      <c r="B645" s="4">
        <v>5.5</v>
      </c>
      <c r="C645" s="23" t="s">
        <v>8614</v>
      </c>
    </row>
    <row r="646" spans="1:3" x14ac:dyDescent="0.3">
      <c r="A646" s="3" t="s">
        <v>1595</v>
      </c>
      <c r="B646" s="3">
        <v>7.4</v>
      </c>
      <c r="C646" s="22" t="s">
        <v>8332</v>
      </c>
    </row>
    <row r="647" spans="1:3" x14ac:dyDescent="0.3">
      <c r="A647" s="4" t="s">
        <v>1598</v>
      </c>
      <c r="B647" s="4">
        <v>8.6999999999999993</v>
      </c>
      <c r="C647" s="23" t="s">
        <v>8338</v>
      </c>
    </row>
    <row r="648" spans="1:3" x14ac:dyDescent="0.3">
      <c r="A648" s="3" t="s">
        <v>1601</v>
      </c>
      <c r="B648" s="3">
        <v>7.6</v>
      </c>
      <c r="C648" s="22" t="s">
        <v>8378</v>
      </c>
    </row>
    <row r="649" spans="1:3" x14ac:dyDescent="0.3">
      <c r="A649" s="4" t="s">
        <v>1603</v>
      </c>
      <c r="B649" s="4">
        <v>7.5</v>
      </c>
      <c r="C649" s="23" t="s">
        <v>8423</v>
      </c>
    </row>
    <row r="650" spans="1:3" x14ac:dyDescent="0.3">
      <c r="A650" s="3" t="s">
        <v>1605</v>
      </c>
      <c r="B650" s="3">
        <v>5.5</v>
      </c>
      <c r="C650" s="22" t="s">
        <v>8615</v>
      </c>
    </row>
    <row r="651" spans="1:3" x14ac:dyDescent="0.3">
      <c r="A651" s="4" t="s">
        <v>1608</v>
      </c>
      <c r="B651" s="4">
        <v>7.6</v>
      </c>
      <c r="C651" s="23" t="s">
        <v>8616</v>
      </c>
    </row>
    <row r="652" spans="1:3" x14ac:dyDescent="0.3">
      <c r="A652" s="3" t="s">
        <v>1611</v>
      </c>
      <c r="B652" s="3">
        <v>6.5</v>
      </c>
      <c r="C652" s="22" t="s">
        <v>8617</v>
      </c>
    </row>
    <row r="653" spans="1:3" x14ac:dyDescent="0.3">
      <c r="A653" s="4" t="s">
        <v>1613</v>
      </c>
      <c r="B653" s="4">
        <v>6.9</v>
      </c>
      <c r="C653" s="23" t="s">
        <v>8460</v>
      </c>
    </row>
    <row r="654" spans="1:3" x14ac:dyDescent="0.3">
      <c r="A654" s="3" t="s">
        <v>1615</v>
      </c>
      <c r="B654" s="3">
        <v>6.7</v>
      </c>
      <c r="C654" s="22" t="s">
        <v>8324</v>
      </c>
    </row>
    <row r="655" spans="1:3" x14ac:dyDescent="0.3">
      <c r="A655" s="4" t="s">
        <v>1617</v>
      </c>
      <c r="B655" s="4">
        <v>6.6</v>
      </c>
      <c r="C655" s="23" t="s">
        <v>8528</v>
      </c>
    </row>
    <row r="656" spans="1:3" x14ac:dyDescent="0.3">
      <c r="A656" s="3" t="s">
        <v>1620</v>
      </c>
      <c r="B656" s="3">
        <v>7.2</v>
      </c>
      <c r="C656" s="22" t="s">
        <v>8618</v>
      </c>
    </row>
    <row r="657" spans="1:3" x14ac:dyDescent="0.3">
      <c r="A657" s="4" t="s">
        <v>1622</v>
      </c>
      <c r="B657" s="4">
        <v>6.4</v>
      </c>
      <c r="C657" s="23" t="s">
        <v>8619</v>
      </c>
    </row>
    <row r="658" spans="1:3" x14ac:dyDescent="0.3">
      <c r="A658" s="3" t="s">
        <v>1625</v>
      </c>
      <c r="B658" s="3">
        <v>6.4</v>
      </c>
      <c r="C658" s="22" t="s">
        <v>8493</v>
      </c>
    </row>
    <row r="659" spans="1:3" x14ac:dyDescent="0.3">
      <c r="A659" s="4" t="s">
        <v>1627</v>
      </c>
      <c r="B659" s="4">
        <v>6</v>
      </c>
      <c r="C659" s="23" t="s">
        <v>8427</v>
      </c>
    </row>
    <row r="660" spans="1:3" x14ac:dyDescent="0.3">
      <c r="A660" s="3" t="s">
        <v>1630</v>
      </c>
      <c r="B660" s="3">
        <v>6.1</v>
      </c>
      <c r="C660" s="22" t="s">
        <v>8365</v>
      </c>
    </row>
    <row r="661" spans="1:3" x14ac:dyDescent="0.3">
      <c r="A661" s="4" t="s">
        <v>1633</v>
      </c>
      <c r="B661" s="4">
        <v>6</v>
      </c>
      <c r="C661" s="23" t="s">
        <v>8372</v>
      </c>
    </row>
    <row r="662" spans="1:3" x14ac:dyDescent="0.3">
      <c r="A662" s="3" t="s">
        <v>1635</v>
      </c>
      <c r="B662" s="3">
        <v>6.4</v>
      </c>
      <c r="C662" s="22" t="s">
        <v>8330</v>
      </c>
    </row>
    <row r="663" spans="1:3" x14ac:dyDescent="0.3">
      <c r="A663" s="4" t="s">
        <v>1637</v>
      </c>
      <c r="B663" s="4">
        <v>6.4</v>
      </c>
      <c r="C663" s="23" t="s">
        <v>8620</v>
      </c>
    </row>
    <row r="664" spans="1:3" x14ac:dyDescent="0.3">
      <c r="A664" s="3" t="s">
        <v>1639</v>
      </c>
      <c r="B664" s="3">
        <v>7.3</v>
      </c>
      <c r="C664" s="22" t="s">
        <v>8621</v>
      </c>
    </row>
    <row r="665" spans="1:3" x14ac:dyDescent="0.3">
      <c r="A665" s="4" t="s">
        <v>1642</v>
      </c>
      <c r="B665" s="4">
        <v>5.2</v>
      </c>
      <c r="C665" s="23" t="s">
        <v>8622</v>
      </c>
    </row>
    <row r="666" spans="1:3" x14ac:dyDescent="0.3">
      <c r="A666" s="3" t="s">
        <v>1645</v>
      </c>
      <c r="B666" s="3">
        <v>6.6</v>
      </c>
      <c r="C666" s="22" t="s">
        <v>8623</v>
      </c>
    </row>
    <row r="667" spans="1:3" x14ac:dyDescent="0.3">
      <c r="A667" s="4" t="s">
        <v>1647</v>
      </c>
      <c r="B667" s="4">
        <v>6.3</v>
      </c>
      <c r="C667" s="23" t="s">
        <v>8326</v>
      </c>
    </row>
    <row r="668" spans="1:3" x14ac:dyDescent="0.3">
      <c r="A668" s="3" t="s">
        <v>1649</v>
      </c>
      <c r="B668" s="3">
        <v>5.9</v>
      </c>
      <c r="C668" s="22" t="s">
        <v>8624</v>
      </c>
    </row>
    <row r="669" spans="1:3" x14ac:dyDescent="0.3">
      <c r="A669" s="4" t="s">
        <v>1651</v>
      </c>
      <c r="B669" s="4">
        <v>6.4</v>
      </c>
      <c r="C669" s="23" t="s">
        <v>8506</v>
      </c>
    </row>
    <row r="670" spans="1:3" x14ac:dyDescent="0.3">
      <c r="A670" s="3" t="s">
        <v>1653</v>
      </c>
      <c r="B670" s="3">
        <v>6.7</v>
      </c>
      <c r="C670" s="22" t="s">
        <v>8565</v>
      </c>
    </row>
    <row r="671" spans="1:3" x14ac:dyDescent="0.3">
      <c r="A671" s="4" t="s">
        <v>1655</v>
      </c>
      <c r="B671" s="4">
        <v>5.4</v>
      </c>
      <c r="C671" s="23" t="s">
        <v>8509</v>
      </c>
    </row>
    <row r="672" spans="1:3" x14ac:dyDescent="0.3">
      <c r="A672" s="3" t="s">
        <v>1657</v>
      </c>
      <c r="B672" s="3">
        <v>6.4</v>
      </c>
      <c r="C672" s="22" t="s">
        <v>8509</v>
      </c>
    </row>
    <row r="673" spans="1:3" x14ac:dyDescent="0.3">
      <c r="A673" s="4" t="s">
        <v>1660</v>
      </c>
      <c r="B673" s="4">
        <v>6.7</v>
      </c>
      <c r="C673" s="23" t="s">
        <v>8493</v>
      </c>
    </row>
    <row r="674" spans="1:3" x14ac:dyDescent="0.3">
      <c r="A674" s="3" t="s">
        <v>1662</v>
      </c>
      <c r="B674" s="3">
        <v>6.2</v>
      </c>
      <c r="C674" s="22" t="s">
        <v>8625</v>
      </c>
    </row>
    <row r="675" spans="1:3" x14ac:dyDescent="0.3">
      <c r="A675" s="4" t="s">
        <v>1664</v>
      </c>
      <c r="B675" s="4">
        <v>6.1</v>
      </c>
      <c r="C675" s="23" t="s">
        <v>8341</v>
      </c>
    </row>
    <row r="676" spans="1:3" x14ac:dyDescent="0.3">
      <c r="A676" s="3" t="s">
        <v>1666</v>
      </c>
      <c r="B676" s="3">
        <v>8.8000000000000007</v>
      </c>
      <c r="C676" s="22" t="s">
        <v>8362</v>
      </c>
    </row>
    <row r="677" spans="1:3" x14ac:dyDescent="0.3">
      <c r="A677" s="4" t="s">
        <v>1668</v>
      </c>
      <c r="B677" s="4">
        <v>7.1</v>
      </c>
      <c r="C677" s="23" t="s">
        <v>8326</v>
      </c>
    </row>
    <row r="678" spans="1:3" x14ac:dyDescent="0.3">
      <c r="A678" s="3" t="s">
        <v>1670</v>
      </c>
      <c r="B678" s="3">
        <v>5.7</v>
      </c>
      <c r="C678" s="22" t="s">
        <v>8626</v>
      </c>
    </row>
    <row r="679" spans="1:3" x14ac:dyDescent="0.3">
      <c r="A679" s="4" t="s">
        <v>1672</v>
      </c>
      <c r="B679" s="4">
        <v>5</v>
      </c>
      <c r="C679" s="23" t="s">
        <v>8617</v>
      </c>
    </row>
    <row r="680" spans="1:3" x14ac:dyDescent="0.3">
      <c r="A680" s="3" t="s">
        <v>1674</v>
      </c>
      <c r="B680" s="3">
        <v>5.0999999999999996</v>
      </c>
      <c r="C680" s="22" t="s">
        <v>8627</v>
      </c>
    </row>
    <row r="681" spans="1:3" x14ac:dyDescent="0.3">
      <c r="A681" s="4" t="s">
        <v>1676</v>
      </c>
      <c r="B681" s="4">
        <v>6.9</v>
      </c>
      <c r="C681" s="23" t="s">
        <v>8628</v>
      </c>
    </row>
    <row r="682" spans="1:3" x14ac:dyDescent="0.3">
      <c r="A682" s="3" t="s">
        <v>1678</v>
      </c>
      <c r="B682" s="3">
        <v>4.8</v>
      </c>
      <c r="C682" s="22" t="s">
        <v>8611</v>
      </c>
    </row>
    <row r="683" spans="1:3" x14ac:dyDescent="0.3">
      <c r="A683" s="4" t="s">
        <v>1680</v>
      </c>
      <c r="B683" s="4">
        <v>6.5</v>
      </c>
      <c r="C683" s="23" t="s">
        <v>8629</v>
      </c>
    </row>
    <row r="684" spans="1:3" x14ac:dyDescent="0.3">
      <c r="A684" s="3" t="s">
        <v>1682</v>
      </c>
      <c r="B684" s="3">
        <v>5.0999999999999996</v>
      </c>
      <c r="C684" s="22" t="s">
        <v>8500</v>
      </c>
    </row>
    <row r="685" spans="1:3" x14ac:dyDescent="0.3">
      <c r="A685" s="4" t="s">
        <v>1684</v>
      </c>
      <c r="B685" s="4">
        <v>7.1</v>
      </c>
      <c r="C685" s="23" t="s">
        <v>8630</v>
      </c>
    </row>
    <row r="686" spans="1:3" x14ac:dyDescent="0.3">
      <c r="A686" s="3" t="s">
        <v>1686</v>
      </c>
      <c r="B686" s="3">
        <v>7.5</v>
      </c>
      <c r="C686" s="22" t="s">
        <v>8471</v>
      </c>
    </row>
    <row r="687" spans="1:3" x14ac:dyDescent="0.3">
      <c r="A687" s="4" t="s">
        <v>1689</v>
      </c>
      <c r="B687" s="4">
        <v>6.2</v>
      </c>
      <c r="C687" s="23" t="s">
        <v>8483</v>
      </c>
    </row>
    <row r="688" spans="1:3" x14ac:dyDescent="0.3">
      <c r="A688" s="3" t="s">
        <v>1691</v>
      </c>
      <c r="B688" s="3">
        <v>6.3</v>
      </c>
      <c r="C688" s="22" t="s">
        <v>8389</v>
      </c>
    </row>
    <row r="689" spans="1:3" x14ac:dyDescent="0.3">
      <c r="A689" s="4" t="s">
        <v>1693</v>
      </c>
      <c r="B689" s="4">
        <v>8.1</v>
      </c>
      <c r="C689" s="23" t="s">
        <v>8332</v>
      </c>
    </row>
    <row r="690" spans="1:3" x14ac:dyDescent="0.3">
      <c r="A690" s="3" t="s">
        <v>1695</v>
      </c>
      <c r="B690" s="3">
        <v>6.6</v>
      </c>
      <c r="C690" s="22" t="s">
        <v>8614</v>
      </c>
    </row>
    <row r="691" spans="1:3" x14ac:dyDescent="0.3">
      <c r="A691" s="4" t="s">
        <v>1697</v>
      </c>
      <c r="B691" s="4">
        <v>6.9</v>
      </c>
      <c r="C691" s="23" t="s">
        <v>8413</v>
      </c>
    </row>
    <row r="692" spans="1:3" x14ac:dyDescent="0.3">
      <c r="A692" s="3" t="s">
        <v>1699</v>
      </c>
      <c r="B692" s="3">
        <v>6.1</v>
      </c>
      <c r="C692" s="22" t="s">
        <v>8631</v>
      </c>
    </row>
    <row r="693" spans="1:3" x14ac:dyDescent="0.3">
      <c r="A693" s="4" t="s">
        <v>1702</v>
      </c>
      <c r="B693" s="4">
        <v>4.3</v>
      </c>
      <c r="C693" s="23" t="s">
        <v>8632</v>
      </c>
    </row>
    <row r="694" spans="1:3" x14ac:dyDescent="0.3">
      <c r="A694" s="3" t="s">
        <v>1705</v>
      </c>
      <c r="B694" s="3">
        <v>6.6</v>
      </c>
      <c r="C694" s="22" t="s">
        <v>8359</v>
      </c>
    </row>
    <row r="695" spans="1:3" x14ac:dyDescent="0.3">
      <c r="A695" s="4" t="s">
        <v>1707</v>
      </c>
      <c r="B695" s="4">
        <v>6.8</v>
      </c>
      <c r="C695" s="23" t="s">
        <v>8633</v>
      </c>
    </row>
    <row r="696" spans="1:3" x14ac:dyDescent="0.3">
      <c r="A696" s="3" t="s">
        <v>1710</v>
      </c>
      <c r="B696" s="3">
        <v>3.8</v>
      </c>
      <c r="C696" s="22" t="s">
        <v>8634</v>
      </c>
    </row>
    <row r="697" spans="1:3" x14ac:dyDescent="0.3">
      <c r="A697" s="4" t="s">
        <v>1712</v>
      </c>
      <c r="B697" s="4">
        <v>5.9</v>
      </c>
      <c r="C697" s="23" t="s">
        <v>8635</v>
      </c>
    </row>
    <row r="698" spans="1:3" x14ac:dyDescent="0.3">
      <c r="A698" s="3" t="s">
        <v>1714</v>
      </c>
      <c r="B698" s="3">
        <v>7.9</v>
      </c>
      <c r="C698" s="22" t="s">
        <v>8462</v>
      </c>
    </row>
    <row r="699" spans="1:3" x14ac:dyDescent="0.3">
      <c r="A699" s="4" t="s">
        <v>1716</v>
      </c>
      <c r="B699" s="4">
        <v>6.3</v>
      </c>
      <c r="C699" s="23" t="s">
        <v>8636</v>
      </c>
    </row>
    <row r="700" spans="1:3" x14ac:dyDescent="0.3">
      <c r="A700" s="3" t="s">
        <v>1718</v>
      </c>
      <c r="B700" s="3">
        <v>5.5</v>
      </c>
      <c r="C700" s="22" t="s">
        <v>8637</v>
      </c>
    </row>
    <row r="701" spans="1:3" x14ac:dyDescent="0.3">
      <c r="A701" s="4" t="s">
        <v>1720</v>
      </c>
      <c r="B701" s="4">
        <v>7.7</v>
      </c>
      <c r="C701" s="23" t="s">
        <v>8304</v>
      </c>
    </row>
    <row r="702" spans="1:3" x14ac:dyDescent="0.3">
      <c r="A702" s="3" t="s">
        <v>1723</v>
      </c>
      <c r="B702" s="3">
        <v>6.3</v>
      </c>
      <c r="C702" s="22" t="s">
        <v>8483</v>
      </c>
    </row>
    <row r="703" spans="1:3" x14ac:dyDescent="0.3">
      <c r="A703" s="4" t="s">
        <v>1725</v>
      </c>
      <c r="B703" s="4">
        <v>7.1</v>
      </c>
      <c r="C703" s="23" t="s">
        <v>8638</v>
      </c>
    </row>
    <row r="704" spans="1:3" x14ac:dyDescent="0.3">
      <c r="A704" s="3" t="s">
        <v>1727</v>
      </c>
      <c r="B704" s="3">
        <v>8.5</v>
      </c>
      <c r="C704" s="22" t="s">
        <v>8584</v>
      </c>
    </row>
    <row r="705" spans="1:3" x14ac:dyDescent="0.3">
      <c r="A705" s="4" t="s">
        <v>1729</v>
      </c>
      <c r="B705" s="4">
        <v>5.9</v>
      </c>
      <c r="C705" s="23" t="s">
        <v>8498</v>
      </c>
    </row>
    <row r="706" spans="1:3" x14ac:dyDescent="0.3">
      <c r="A706" s="3" t="s">
        <v>1731</v>
      </c>
      <c r="B706" s="3">
        <v>5.8</v>
      </c>
      <c r="C706" s="22" t="s">
        <v>8464</v>
      </c>
    </row>
    <row r="707" spans="1:3" x14ac:dyDescent="0.3">
      <c r="A707" s="4" t="s">
        <v>1733</v>
      </c>
      <c r="B707" s="4">
        <v>8.1</v>
      </c>
      <c r="C707" s="23" t="s">
        <v>8362</v>
      </c>
    </row>
    <row r="708" spans="1:3" x14ac:dyDescent="0.3">
      <c r="A708" s="3" t="s">
        <v>1735</v>
      </c>
      <c r="B708" s="3">
        <v>7.9</v>
      </c>
      <c r="C708" s="22" t="s">
        <v>8346</v>
      </c>
    </row>
    <row r="709" spans="1:3" x14ac:dyDescent="0.3">
      <c r="A709" s="4" t="s">
        <v>1737</v>
      </c>
      <c r="B709" s="4">
        <v>7.2</v>
      </c>
      <c r="C709" s="23" t="s">
        <v>8324</v>
      </c>
    </row>
    <row r="710" spans="1:3" x14ac:dyDescent="0.3">
      <c r="A710" s="3" t="s">
        <v>1739</v>
      </c>
      <c r="B710" s="3">
        <v>6.3</v>
      </c>
      <c r="C710" s="22" t="s">
        <v>8465</v>
      </c>
    </row>
    <row r="711" spans="1:3" x14ac:dyDescent="0.3">
      <c r="A711" s="4" t="s">
        <v>1741</v>
      </c>
      <c r="B711" s="4">
        <v>8.1</v>
      </c>
      <c r="C711" s="23" t="s">
        <v>8404</v>
      </c>
    </row>
    <row r="712" spans="1:3" x14ac:dyDescent="0.3">
      <c r="A712" s="3" t="s">
        <v>1744</v>
      </c>
      <c r="B712" s="3">
        <v>7</v>
      </c>
      <c r="C712" s="22" t="s">
        <v>8639</v>
      </c>
    </row>
    <row r="713" spans="1:3" x14ac:dyDescent="0.3">
      <c r="A713" s="4" t="s">
        <v>1746</v>
      </c>
      <c r="B713" s="4">
        <v>5.5</v>
      </c>
      <c r="C713" s="23" t="s">
        <v>8581</v>
      </c>
    </row>
    <row r="714" spans="1:3" x14ac:dyDescent="0.3">
      <c r="A714" s="3" t="s">
        <v>1749</v>
      </c>
      <c r="B714" s="3">
        <v>6.7</v>
      </c>
      <c r="C714" s="22" t="s">
        <v>8630</v>
      </c>
    </row>
    <row r="715" spans="1:3" x14ac:dyDescent="0.3">
      <c r="A715" s="4" t="s">
        <v>1751</v>
      </c>
      <c r="B715" s="4">
        <v>5.2</v>
      </c>
      <c r="C715" s="23" t="s">
        <v>8476</v>
      </c>
    </row>
    <row r="716" spans="1:3" x14ac:dyDescent="0.3">
      <c r="A716" s="3" t="s">
        <v>1753</v>
      </c>
      <c r="B716" s="3">
        <v>7</v>
      </c>
      <c r="C716" s="22" t="s">
        <v>8566</v>
      </c>
    </row>
    <row r="717" spans="1:3" x14ac:dyDescent="0.3">
      <c r="A717" s="4" t="s">
        <v>1755</v>
      </c>
      <c r="B717" s="4">
        <v>6.1</v>
      </c>
      <c r="C717" s="23" t="s">
        <v>8640</v>
      </c>
    </row>
    <row r="718" spans="1:3" x14ac:dyDescent="0.3">
      <c r="A718" s="3" t="s">
        <v>1757</v>
      </c>
      <c r="B718" s="3">
        <v>6.6</v>
      </c>
      <c r="C718" s="22" t="s">
        <v>8373</v>
      </c>
    </row>
    <row r="719" spans="1:3" x14ac:dyDescent="0.3">
      <c r="A719" s="4" t="s">
        <v>1759</v>
      </c>
      <c r="B719" s="4">
        <v>5.5</v>
      </c>
      <c r="C719" s="23" t="s">
        <v>8641</v>
      </c>
    </row>
    <row r="720" spans="1:3" x14ac:dyDescent="0.3">
      <c r="A720" s="3" t="s">
        <v>1761</v>
      </c>
      <c r="B720" s="3">
        <v>5.9</v>
      </c>
      <c r="C720" s="22" t="s">
        <v>8458</v>
      </c>
    </row>
    <row r="721" spans="1:3" x14ac:dyDescent="0.3">
      <c r="A721" s="4" t="s">
        <v>1763</v>
      </c>
      <c r="B721" s="4">
        <v>5.4</v>
      </c>
      <c r="C721" s="23" t="s">
        <v>8532</v>
      </c>
    </row>
    <row r="722" spans="1:3" x14ac:dyDescent="0.3">
      <c r="A722" s="3" t="s">
        <v>1766</v>
      </c>
      <c r="B722" s="3">
        <v>6.4</v>
      </c>
      <c r="C722" s="22" t="s">
        <v>8642</v>
      </c>
    </row>
    <row r="723" spans="1:3" x14ac:dyDescent="0.3">
      <c r="A723" s="4" t="s">
        <v>1769</v>
      </c>
      <c r="B723" s="4">
        <v>5.7</v>
      </c>
      <c r="C723" s="23" t="s">
        <v>8643</v>
      </c>
    </row>
    <row r="724" spans="1:3" x14ac:dyDescent="0.3">
      <c r="A724" s="3" t="s">
        <v>1772</v>
      </c>
      <c r="B724" s="3">
        <v>6.7</v>
      </c>
      <c r="C724" s="22" t="s">
        <v>8319</v>
      </c>
    </row>
    <row r="725" spans="1:3" x14ac:dyDescent="0.3">
      <c r="A725" s="4" t="s">
        <v>1774</v>
      </c>
      <c r="B725" s="4">
        <v>7.1</v>
      </c>
      <c r="C725" s="23" t="s">
        <v>8420</v>
      </c>
    </row>
    <row r="726" spans="1:3" x14ac:dyDescent="0.3">
      <c r="A726" s="3" t="s">
        <v>1776</v>
      </c>
      <c r="B726" s="3">
        <v>6.8</v>
      </c>
      <c r="C726" s="22" t="s">
        <v>8372</v>
      </c>
    </row>
    <row r="727" spans="1:3" x14ac:dyDescent="0.3">
      <c r="A727" s="4" t="s">
        <v>1778</v>
      </c>
      <c r="B727" s="4">
        <v>6.5</v>
      </c>
      <c r="C727" s="23" t="s">
        <v>8644</v>
      </c>
    </row>
    <row r="728" spans="1:3" x14ac:dyDescent="0.3">
      <c r="A728" s="3" t="s">
        <v>1780</v>
      </c>
      <c r="B728" s="3">
        <v>7.6</v>
      </c>
      <c r="C728" s="22" t="s">
        <v>8452</v>
      </c>
    </row>
    <row r="729" spans="1:3" x14ac:dyDescent="0.3">
      <c r="A729" s="4" t="s">
        <v>1783</v>
      </c>
      <c r="B729" s="4">
        <v>5.5</v>
      </c>
      <c r="C729" s="23" t="s">
        <v>8461</v>
      </c>
    </row>
    <row r="730" spans="1:3" x14ac:dyDescent="0.3">
      <c r="A730" s="3" t="s">
        <v>1785</v>
      </c>
      <c r="B730" s="3">
        <v>6.5</v>
      </c>
      <c r="C730" s="22" t="s">
        <v>8645</v>
      </c>
    </row>
    <row r="731" spans="1:3" x14ac:dyDescent="0.3">
      <c r="A731" s="4" t="s">
        <v>1788</v>
      </c>
      <c r="B731" s="4">
        <v>7</v>
      </c>
      <c r="C731" s="23" t="s">
        <v>8383</v>
      </c>
    </row>
    <row r="732" spans="1:3" x14ac:dyDescent="0.3">
      <c r="A732" s="3" t="s">
        <v>1790</v>
      </c>
      <c r="B732" s="3">
        <v>5.8</v>
      </c>
      <c r="C732" s="22" t="s">
        <v>8493</v>
      </c>
    </row>
    <row r="733" spans="1:3" x14ac:dyDescent="0.3">
      <c r="A733" s="4" t="s">
        <v>1792</v>
      </c>
      <c r="B733" s="4">
        <v>7.3</v>
      </c>
      <c r="C733" s="23" t="s">
        <v>8646</v>
      </c>
    </row>
    <row r="734" spans="1:3" x14ac:dyDescent="0.3">
      <c r="A734" s="3" t="s">
        <v>1794</v>
      </c>
      <c r="B734" s="3">
        <v>6.6</v>
      </c>
      <c r="C734" s="22" t="s">
        <v>8444</v>
      </c>
    </row>
    <row r="735" spans="1:3" x14ac:dyDescent="0.3">
      <c r="A735" s="4" t="s">
        <v>1797</v>
      </c>
      <c r="B735" s="4">
        <v>4.4000000000000004</v>
      </c>
      <c r="C735" s="23" t="s">
        <v>8647</v>
      </c>
    </row>
    <row r="736" spans="1:3" x14ac:dyDescent="0.3">
      <c r="A736" s="3" t="s">
        <v>1800</v>
      </c>
      <c r="B736" s="3">
        <v>7.7</v>
      </c>
      <c r="C736" s="22" t="s">
        <v>8577</v>
      </c>
    </row>
    <row r="737" spans="1:3" x14ac:dyDescent="0.3">
      <c r="A737" s="4" t="s">
        <v>1803</v>
      </c>
      <c r="B737" s="4">
        <v>5</v>
      </c>
      <c r="C737" s="23" t="s">
        <v>8387</v>
      </c>
    </row>
    <row r="738" spans="1:3" x14ac:dyDescent="0.3">
      <c r="A738" s="3" t="s">
        <v>1805</v>
      </c>
      <c r="B738" s="3">
        <v>7.7</v>
      </c>
      <c r="C738" s="22" t="s">
        <v>8458</v>
      </c>
    </row>
    <row r="739" spans="1:3" x14ac:dyDescent="0.3">
      <c r="A739" s="4" t="s">
        <v>1808</v>
      </c>
      <c r="B739" s="4">
        <v>4.4000000000000004</v>
      </c>
      <c r="C739" s="23" t="s">
        <v>8648</v>
      </c>
    </row>
    <row r="740" spans="1:3" x14ac:dyDescent="0.3">
      <c r="A740" s="3" t="s">
        <v>1811</v>
      </c>
      <c r="B740" s="3">
        <v>6.1</v>
      </c>
      <c r="C740" s="22" t="s">
        <v>8528</v>
      </c>
    </row>
    <row r="741" spans="1:3" x14ac:dyDescent="0.3">
      <c r="A741" s="4" t="s">
        <v>1814</v>
      </c>
      <c r="B741" s="4">
        <v>5.4</v>
      </c>
      <c r="C741" s="23" t="s">
        <v>8649</v>
      </c>
    </row>
    <row r="742" spans="1:3" x14ac:dyDescent="0.3">
      <c r="A742" s="3" t="s">
        <v>1817</v>
      </c>
      <c r="B742" s="3">
        <v>6.8</v>
      </c>
      <c r="C742" s="22" t="s">
        <v>8331</v>
      </c>
    </row>
    <row r="743" spans="1:3" x14ac:dyDescent="0.3">
      <c r="A743" s="4" t="s">
        <v>1819</v>
      </c>
      <c r="B743" s="4">
        <v>6.5</v>
      </c>
      <c r="C743" s="23" t="s">
        <v>8650</v>
      </c>
    </row>
    <row r="744" spans="1:3" x14ac:dyDescent="0.3">
      <c r="A744" s="3" t="s">
        <v>1822</v>
      </c>
      <c r="B744" s="3">
        <v>7</v>
      </c>
      <c r="C744" s="22" t="s">
        <v>8651</v>
      </c>
    </row>
    <row r="745" spans="1:3" x14ac:dyDescent="0.3">
      <c r="A745" s="4" t="s">
        <v>1824</v>
      </c>
      <c r="B745" s="4">
        <v>6.3</v>
      </c>
      <c r="C745" s="23" t="s">
        <v>8602</v>
      </c>
    </row>
    <row r="746" spans="1:3" x14ac:dyDescent="0.3">
      <c r="A746" s="3" t="s">
        <v>1826</v>
      </c>
      <c r="B746" s="3">
        <v>6.3</v>
      </c>
      <c r="C746" s="22" t="s">
        <v>8427</v>
      </c>
    </row>
    <row r="747" spans="1:3" x14ac:dyDescent="0.3">
      <c r="A747" s="4" t="s">
        <v>1829</v>
      </c>
      <c r="B747" s="4">
        <v>6.1</v>
      </c>
      <c r="C747" s="23" t="s">
        <v>8652</v>
      </c>
    </row>
    <row r="748" spans="1:3" x14ac:dyDescent="0.3">
      <c r="A748" s="3" t="s">
        <v>1832</v>
      </c>
      <c r="B748" s="3">
        <v>6.1</v>
      </c>
      <c r="C748" s="22" t="s">
        <v>8653</v>
      </c>
    </row>
    <row r="749" spans="1:3" x14ac:dyDescent="0.3">
      <c r="A749" s="4" t="s">
        <v>1835</v>
      </c>
      <c r="B749" s="4">
        <v>5.3</v>
      </c>
      <c r="C749" s="23" t="s">
        <v>8654</v>
      </c>
    </row>
    <row r="750" spans="1:3" x14ac:dyDescent="0.3">
      <c r="A750" s="3" t="s">
        <v>1837</v>
      </c>
      <c r="B750" s="3">
        <v>5.4</v>
      </c>
      <c r="C750" s="22" t="s">
        <v>8655</v>
      </c>
    </row>
    <row r="751" spans="1:3" x14ac:dyDescent="0.3">
      <c r="A751" s="4" t="s">
        <v>1839</v>
      </c>
      <c r="B751" s="4">
        <v>6.2</v>
      </c>
      <c r="C751" s="23" t="s">
        <v>8379</v>
      </c>
    </row>
    <row r="752" spans="1:3" x14ac:dyDescent="0.3">
      <c r="A752" s="3" t="s">
        <v>1841</v>
      </c>
      <c r="B752" s="3">
        <v>6.6</v>
      </c>
      <c r="C752" s="22" t="s">
        <v>8656</v>
      </c>
    </row>
    <row r="753" spans="1:3" x14ac:dyDescent="0.3">
      <c r="A753" s="4" t="s">
        <v>1844</v>
      </c>
      <c r="B753" s="4">
        <v>5.9</v>
      </c>
      <c r="C753" s="23" t="s">
        <v>8657</v>
      </c>
    </row>
    <row r="754" spans="1:3" x14ac:dyDescent="0.3">
      <c r="A754" s="3" t="s">
        <v>1846</v>
      </c>
      <c r="B754" s="3">
        <v>6.3</v>
      </c>
      <c r="C754" s="22" t="s">
        <v>8658</v>
      </c>
    </row>
    <row r="755" spans="1:3" x14ac:dyDescent="0.3">
      <c r="A755" s="4" t="s">
        <v>1848</v>
      </c>
      <c r="B755" s="4">
        <v>7.2</v>
      </c>
      <c r="C755" s="23" t="s">
        <v>8567</v>
      </c>
    </row>
    <row r="756" spans="1:3" x14ac:dyDescent="0.3">
      <c r="A756" s="3" t="s">
        <v>1850</v>
      </c>
      <c r="B756" s="3">
        <v>6.8</v>
      </c>
      <c r="C756" s="22" t="s">
        <v>8659</v>
      </c>
    </row>
    <row r="757" spans="1:3" x14ac:dyDescent="0.3">
      <c r="A757" s="4" t="s">
        <v>1854</v>
      </c>
      <c r="B757" s="4">
        <v>6.1</v>
      </c>
      <c r="C757" s="23" t="s">
        <v>8660</v>
      </c>
    </row>
    <row r="758" spans="1:3" x14ac:dyDescent="0.3">
      <c r="A758" s="3" t="s">
        <v>1856</v>
      </c>
      <c r="B758" s="3">
        <v>7.8</v>
      </c>
      <c r="C758" s="22" t="s">
        <v>8494</v>
      </c>
    </row>
    <row r="759" spans="1:3" x14ac:dyDescent="0.3">
      <c r="A759" s="4" t="s">
        <v>1859</v>
      </c>
      <c r="B759" s="4">
        <v>5</v>
      </c>
      <c r="C759" s="23" t="s">
        <v>8661</v>
      </c>
    </row>
    <row r="760" spans="1:3" x14ac:dyDescent="0.3">
      <c r="A760" s="3" t="s">
        <v>1862</v>
      </c>
      <c r="B760" s="3">
        <v>6.2</v>
      </c>
      <c r="C760" s="22" t="s">
        <v>8611</v>
      </c>
    </row>
    <row r="761" spans="1:3" x14ac:dyDescent="0.3">
      <c r="A761" s="4" t="s">
        <v>1864</v>
      </c>
      <c r="B761" s="4">
        <v>6.7</v>
      </c>
      <c r="C761" s="23" t="s">
        <v>8662</v>
      </c>
    </row>
    <row r="762" spans="1:3" x14ac:dyDescent="0.3">
      <c r="A762" s="3" t="s">
        <v>1867</v>
      </c>
      <c r="B762" s="3">
        <v>4.9000000000000004</v>
      </c>
      <c r="C762" s="22" t="s">
        <v>8663</v>
      </c>
    </row>
    <row r="763" spans="1:3" x14ac:dyDescent="0.3">
      <c r="A763" s="4" t="s">
        <v>1870</v>
      </c>
      <c r="B763" s="4">
        <v>7.4</v>
      </c>
      <c r="C763" s="23" t="s">
        <v>8619</v>
      </c>
    </row>
    <row r="764" spans="1:3" x14ac:dyDescent="0.3">
      <c r="A764" s="3" t="s">
        <v>1873</v>
      </c>
      <c r="B764" s="3">
        <v>7.1</v>
      </c>
      <c r="C764" s="22" t="s">
        <v>8664</v>
      </c>
    </row>
    <row r="765" spans="1:3" x14ac:dyDescent="0.3">
      <c r="A765" s="4" t="s">
        <v>1876</v>
      </c>
      <c r="B765" s="4">
        <v>6.2</v>
      </c>
      <c r="C765" s="23" t="s">
        <v>8425</v>
      </c>
    </row>
    <row r="766" spans="1:3" x14ac:dyDescent="0.3">
      <c r="A766" s="3" t="s">
        <v>1878</v>
      </c>
      <c r="B766" s="3">
        <v>4.9000000000000004</v>
      </c>
      <c r="C766" s="22" t="s">
        <v>8665</v>
      </c>
    </row>
    <row r="767" spans="1:3" x14ac:dyDescent="0.3">
      <c r="A767" s="4" t="s">
        <v>1880</v>
      </c>
      <c r="B767" s="4">
        <v>6.1</v>
      </c>
      <c r="C767" s="23" t="s">
        <v>8588</v>
      </c>
    </row>
    <row r="768" spans="1:3" x14ac:dyDescent="0.3">
      <c r="A768" s="3" t="s">
        <v>1882</v>
      </c>
      <c r="B768" s="3">
        <v>6.1</v>
      </c>
      <c r="C768" s="22" t="s">
        <v>8666</v>
      </c>
    </row>
    <row r="769" spans="1:3" x14ac:dyDescent="0.3">
      <c r="A769" s="4" t="s">
        <v>1884</v>
      </c>
      <c r="B769" s="4">
        <v>6.4</v>
      </c>
      <c r="C769" s="23" t="s">
        <v>8667</v>
      </c>
    </row>
    <row r="770" spans="1:3" x14ac:dyDescent="0.3">
      <c r="A770" s="3" t="s">
        <v>1886</v>
      </c>
      <c r="B770" s="3">
        <v>6.3</v>
      </c>
      <c r="C770" s="22" t="s">
        <v>8668</v>
      </c>
    </row>
    <row r="771" spans="1:3" x14ac:dyDescent="0.3">
      <c r="A771" s="4" t="s">
        <v>1888</v>
      </c>
      <c r="B771" s="4">
        <v>6.8</v>
      </c>
      <c r="C771" s="23" t="s">
        <v>8669</v>
      </c>
    </row>
    <row r="772" spans="1:3" x14ac:dyDescent="0.3">
      <c r="A772" s="3" t="s">
        <v>1891</v>
      </c>
      <c r="B772" s="3">
        <v>6.6</v>
      </c>
      <c r="C772" s="22" t="s">
        <v>8324</v>
      </c>
    </row>
    <row r="773" spans="1:3" x14ac:dyDescent="0.3">
      <c r="A773" s="4" t="s">
        <v>1893</v>
      </c>
      <c r="B773" s="4">
        <v>5.7</v>
      </c>
      <c r="C773" s="23" t="s">
        <v>8470</v>
      </c>
    </row>
    <row r="774" spans="1:3" x14ac:dyDescent="0.3">
      <c r="A774" s="3" t="s">
        <v>1896</v>
      </c>
      <c r="B774" s="3">
        <v>5.9</v>
      </c>
      <c r="C774" s="22" t="s">
        <v>8663</v>
      </c>
    </row>
    <row r="775" spans="1:3" x14ac:dyDescent="0.3">
      <c r="A775" s="4" t="s">
        <v>1899</v>
      </c>
      <c r="B775" s="4">
        <v>6</v>
      </c>
      <c r="C775" s="23" t="s">
        <v>8652</v>
      </c>
    </row>
    <row r="776" spans="1:3" x14ac:dyDescent="0.3">
      <c r="A776" s="3" t="s">
        <v>1902</v>
      </c>
      <c r="B776" s="3">
        <v>6.1</v>
      </c>
      <c r="C776" s="22" t="s">
        <v>8670</v>
      </c>
    </row>
    <row r="777" spans="1:3" x14ac:dyDescent="0.3">
      <c r="A777" s="4" t="s">
        <v>1904</v>
      </c>
      <c r="B777" s="4">
        <v>6.7</v>
      </c>
      <c r="C777" s="23" t="s">
        <v>8390</v>
      </c>
    </row>
    <row r="778" spans="1:3" x14ac:dyDescent="0.3">
      <c r="A778" s="3" t="s">
        <v>1906</v>
      </c>
      <c r="B778" s="3">
        <v>6.7</v>
      </c>
      <c r="C778" s="22" t="s">
        <v>8644</v>
      </c>
    </row>
    <row r="779" spans="1:3" x14ac:dyDescent="0.3">
      <c r="A779" s="4" t="s">
        <v>1908</v>
      </c>
      <c r="B779" s="4">
        <v>7.9</v>
      </c>
      <c r="C779" s="23" t="s">
        <v>8589</v>
      </c>
    </row>
    <row r="780" spans="1:3" x14ac:dyDescent="0.3">
      <c r="A780" s="3" t="s">
        <v>1911</v>
      </c>
      <c r="B780" s="3">
        <v>5</v>
      </c>
      <c r="C780" s="22" t="s">
        <v>8637</v>
      </c>
    </row>
    <row r="781" spans="1:3" x14ac:dyDescent="0.3">
      <c r="A781" s="4" t="s">
        <v>1914</v>
      </c>
      <c r="B781" s="4">
        <v>4.3</v>
      </c>
      <c r="C781" s="23" t="s">
        <v>8392</v>
      </c>
    </row>
    <row r="782" spans="1:3" x14ac:dyDescent="0.3">
      <c r="A782" s="3" t="s">
        <v>1916</v>
      </c>
      <c r="B782" s="3">
        <v>5.7</v>
      </c>
      <c r="C782" s="22" t="s">
        <v>8671</v>
      </c>
    </row>
    <row r="783" spans="1:3" x14ac:dyDescent="0.3">
      <c r="A783" s="4" t="s">
        <v>1918</v>
      </c>
      <c r="B783" s="4">
        <v>6.7</v>
      </c>
      <c r="C783" s="23" t="s">
        <v>8672</v>
      </c>
    </row>
    <row r="784" spans="1:3" x14ac:dyDescent="0.3">
      <c r="A784" s="3" t="s">
        <v>1921</v>
      </c>
      <c r="B784" s="3">
        <v>6.7</v>
      </c>
      <c r="C784" s="22" t="s">
        <v>8509</v>
      </c>
    </row>
    <row r="785" spans="1:3" x14ac:dyDescent="0.3">
      <c r="A785" s="4" t="s">
        <v>1923</v>
      </c>
      <c r="B785" s="4">
        <v>8.1</v>
      </c>
      <c r="C785" s="23" t="s">
        <v>8302</v>
      </c>
    </row>
    <row r="786" spans="1:3" x14ac:dyDescent="0.3">
      <c r="A786" s="3" t="s">
        <v>1925</v>
      </c>
      <c r="B786" s="3">
        <v>6.1</v>
      </c>
      <c r="C786" s="22" t="s">
        <v>8345</v>
      </c>
    </row>
    <row r="787" spans="1:3" x14ac:dyDescent="0.3">
      <c r="A787" s="4" t="s">
        <v>1927</v>
      </c>
      <c r="B787" s="4">
        <v>5.6</v>
      </c>
      <c r="C787" s="23" t="s">
        <v>8502</v>
      </c>
    </row>
    <row r="788" spans="1:3" x14ac:dyDescent="0.3">
      <c r="A788" s="3" t="s">
        <v>1929</v>
      </c>
      <c r="B788" s="3">
        <v>6.6</v>
      </c>
      <c r="C788" s="22" t="s">
        <v>8673</v>
      </c>
    </row>
    <row r="789" spans="1:3" x14ac:dyDescent="0.3">
      <c r="A789" s="4" t="s">
        <v>1931</v>
      </c>
      <c r="B789" s="4">
        <v>6.9</v>
      </c>
      <c r="C789" s="23" t="s">
        <v>8674</v>
      </c>
    </row>
    <row r="790" spans="1:3" x14ac:dyDescent="0.3">
      <c r="A790" s="3" t="s">
        <v>1933</v>
      </c>
      <c r="B790" s="3">
        <v>4.8</v>
      </c>
      <c r="C790" s="22" t="s">
        <v>8675</v>
      </c>
    </row>
    <row r="791" spans="1:3" x14ac:dyDescent="0.3">
      <c r="A791" s="4" t="s">
        <v>1935</v>
      </c>
      <c r="B791" s="4">
        <v>6.2</v>
      </c>
      <c r="C791" s="23" t="s">
        <v>8676</v>
      </c>
    </row>
    <row r="792" spans="1:3" x14ac:dyDescent="0.3">
      <c r="A792" s="3" t="s">
        <v>1937</v>
      </c>
      <c r="B792" s="3">
        <v>6</v>
      </c>
      <c r="C792" s="22" t="s">
        <v>8677</v>
      </c>
    </row>
    <row r="793" spans="1:3" x14ac:dyDescent="0.3">
      <c r="A793" s="4" t="s">
        <v>1939</v>
      </c>
      <c r="B793" s="4">
        <v>4.9000000000000004</v>
      </c>
      <c r="C793" s="23" t="s">
        <v>8648</v>
      </c>
    </row>
    <row r="794" spans="1:3" x14ac:dyDescent="0.3">
      <c r="A794" s="3" t="s">
        <v>1941</v>
      </c>
      <c r="B794" s="3">
        <v>5.6</v>
      </c>
      <c r="C794" s="22" t="s">
        <v>8678</v>
      </c>
    </row>
    <row r="795" spans="1:3" x14ac:dyDescent="0.3">
      <c r="A795" s="4" t="s">
        <v>1943</v>
      </c>
      <c r="B795" s="4">
        <v>6.1</v>
      </c>
      <c r="C795" s="23" t="s">
        <v>8378</v>
      </c>
    </row>
    <row r="796" spans="1:3" x14ac:dyDescent="0.3">
      <c r="A796" s="3" t="s">
        <v>1945</v>
      </c>
      <c r="B796" s="3">
        <v>6.1</v>
      </c>
      <c r="C796" s="22" t="s">
        <v>8679</v>
      </c>
    </row>
    <row r="797" spans="1:3" x14ac:dyDescent="0.3">
      <c r="A797" s="4" t="s">
        <v>1947</v>
      </c>
      <c r="B797" s="4">
        <v>4.8</v>
      </c>
      <c r="C797" s="23" t="s">
        <v>8629</v>
      </c>
    </row>
    <row r="798" spans="1:3" x14ac:dyDescent="0.3">
      <c r="A798" s="3" t="s">
        <v>1949</v>
      </c>
      <c r="B798" s="3">
        <v>5.5</v>
      </c>
      <c r="C798" s="22" t="s">
        <v>8680</v>
      </c>
    </row>
    <row r="799" spans="1:3" x14ac:dyDescent="0.3">
      <c r="A799" s="4" t="s">
        <v>1951</v>
      </c>
      <c r="B799" s="4">
        <v>3.8</v>
      </c>
      <c r="C799" s="23" t="s">
        <v>8681</v>
      </c>
    </row>
    <row r="800" spans="1:3" x14ac:dyDescent="0.3">
      <c r="A800" s="3" t="s">
        <v>1953</v>
      </c>
      <c r="B800" s="3">
        <v>6.5</v>
      </c>
      <c r="C800" s="22" t="s">
        <v>8324</v>
      </c>
    </row>
    <row r="801" spans="1:3" x14ac:dyDescent="0.3">
      <c r="A801" s="4" t="s">
        <v>1956</v>
      </c>
      <c r="B801" s="4">
        <v>6</v>
      </c>
      <c r="C801" s="23" t="s">
        <v>8682</v>
      </c>
    </row>
    <row r="802" spans="1:3" x14ac:dyDescent="0.3">
      <c r="A802" s="3" t="s">
        <v>1958</v>
      </c>
      <c r="B802" s="3">
        <v>6.7</v>
      </c>
      <c r="C802" s="22" t="s">
        <v>8683</v>
      </c>
    </row>
    <row r="803" spans="1:3" x14ac:dyDescent="0.3">
      <c r="A803" s="4" t="s">
        <v>1960</v>
      </c>
      <c r="B803" s="4">
        <v>8.1</v>
      </c>
      <c r="C803" s="23" t="s">
        <v>8684</v>
      </c>
    </row>
    <row r="804" spans="1:3" x14ac:dyDescent="0.3">
      <c r="A804" s="3" t="s">
        <v>1962</v>
      </c>
      <c r="B804" s="3">
        <v>4.9000000000000004</v>
      </c>
      <c r="C804" s="22" t="s">
        <v>8685</v>
      </c>
    </row>
    <row r="805" spans="1:3" x14ac:dyDescent="0.3">
      <c r="A805" s="4" t="s">
        <v>1964</v>
      </c>
      <c r="B805" s="4">
        <v>7.3</v>
      </c>
      <c r="C805" s="23" t="s">
        <v>8619</v>
      </c>
    </row>
    <row r="806" spans="1:3" x14ac:dyDescent="0.3">
      <c r="A806" s="3" t="s">
        <v>1966</v>
      </c>
      <c r="B806" s="3">
        <v>6.4</v>
      </c>
      <c r="C806" s="22" t="s">
        <v>8340</v>
      </c>
    </row>
    <row r="807" spans="1:3" x14ac:dyDescent="0.3">
      <c r="A807" s="4" t="s">
        <v>1968</v>
      </c>
      <c r="B807" s="4">
        <v>6.7</v>
      </c>
      <c r="C807" s="23" t="s">
        <v>8490</v>
      </c>
    </row>
    <row r="808" spans="1:3" x14ac:dyDescent="0.3">
      <c r="A808" s="3" t="s">
        <v>1971</v>
      </c>
      <c r="B808" s="3">
        <v>3.6</v>
      </c>
      <c r="C808" s="22" t="s">
        <v>8649</v>
      </c>
    </row>
    <row r="809" spans="1:3" x14ac:dyDescent="0.3">
      <c r="A809" s="4" t="s">
        <v>1973</v>
      </c>
      <c r="B809" s="4">
        <v>5.7</v>
      </c>
      <c r="C809" s="23" t="s">
        <v>8686</v>
      </c>
    </row>
    <row r="810" spans="1:3" x14ac:dyDescent="0.3">
      <c r="A810" s="3" t="s">
        <v>1975</v>
      </c>
      <c r="B810" s="3">
        <v>6</v>
      </c>
      <c r="C810" s="22" t="s">
        <v>8592</v>
      </c>
    </row>
    <row r="811" spans="1:3" x14ac:dyDescent="0.3">
      <c r="A811" s="4" t="s">
        <v>1977</v>
      </c>
      <c r="B811" s="4">
        <v>4.9000000000000004</v>
      </c>
      <c r="C811" s="23" t="s">
        <v>8451</v>
      </c>
    </row>
    <row r="812" spans="1:3" x14ac:dyDescent="0.3">
      <c r="A812" s="3" t="s">
        <v>1979</v>
      </c>
      <c r="B812" s="3">
        <v>4.7</v>
      </c>
      <c r="C812" s="22" t="s">
        <v>8640</v>
      </c>
    </row>
    <row r="813" spans="1:3" x14ac:dyDescent="0.3">
      <c r="A813" s="4" t="s">
        <v>1981</v>
      </c>
      <c r="B813" s="4">
        <v>6.3</v>
      </c>
      <c r="C813" s="23" t="s">
        <v>8374</v>
      </c>
    </row>
    <row r="814" spans="1:3" x14ac:dyDescent="0.3">
      <c r="A814" s="3" t="s">
        <v>1983</v>
      </c>
      <c r="B814" s="3">
        <v>5.9</v>
      </c>
      <c r="C814" s="22" t="s">
        <v>8509</v>
      </c>
    </row>
    <row r="815" spans="1:3" x14ac:dyDescent="0.3">
      <c r="A815" s="4" t="s">
        <v>1985</v>
      </c>
      <c r="B815" s="4">
        <v>5.9</v>
      </c>
      <c r="C815" s="23" t="s">
        <v>8687</v>
      </c>
    </row>
    <row r="816" spans="1:3" x14ac:dyDescent="0.3">
      <c r="A816" s="3" t="s">
        <v>1987</v>
      </c>
      <c r="B816" s="3">
        <v>7.5</v>
      </c>
      <c r="C816" s="22" t="s">
        <v>8625</v>
      </c>
    </row>
    <row r="817" spans="1:3" x14ac:dyDescent="0.3">
      <c r="A817" s="4" t="s">
        <v>1990</v>
      </c>
      <c r="B817" s="4">
        <v>5.6</v>
      </c>
      <c r="C817" s="23" t="s">
        <v>8688</v>
      </c>
    </row>
    <row r="818" spans="1:3" x14ac:dyDescent="0.3">
      <c r="A818" s="3" t="s">
        <v>1993</v>
      </c>
      <c r="B818" s="3">
        <v>6.4</v>
      </c>
      <c r="C818" s="22" t="s">
        <v>8343</v>
      </c>
    </row>
    <row r="819" spans="1:3" x14ac:dyDescent="0.3">
      <c r="A819" s="4" t="s">
        <v>1995</v>
      </c>
      <c r="B819" s="4">
        <v>6.3</v>
      </c>
      <c r="C819" s="23" t="s">
        <v>8319</v>
      </c>
    </row>
    <row r="820" spans="1:3" x14ac:dyDescent="0.3">
      <c r="A820" s="3" t="s">
        <v>1997</v>
      </c>
      <c r="B820" s="3">
        <v>4.3</v>
      </c>
      <c r="C820" s="22" t="s">
        <v>8689</v>
      </c>
    </row>
    <row r="821" spans="1:3" x14ac:dyDescent="0.3">
      <c r="A821" s="4" t="s">
        <v>1999</v>
      </c>
      <c r="B821" s="4">
        <v>5.9</v>
      </c>
      <c r="C821" s="23" t="s">
        <v>8690</v>
      </c>
    </row>
    <row r="822" spans="1:3" x14ac:dyDescent="0.3">
      <c r="A822" s="3" t="s">
        <v>2002</v>
      </c>
      <c r="B822" s="3">
        <v>5.5</v>
      </c>
      <c r="C822" s="22" t="s">
        <v>8532</v>
      </c>
    </row>
    <row r="823" spans="1:3" x14ac:dyDescent="0.3">
      <c r="A823" s="4" t="s">
        <v>2005</v>
      </c>
      <c r="B823" s="4">
        <v>6.2</v>
      </c>
      <c r="C823" s="23" t="s">
        <v>8691</v>
      </c>
    </row>
    <row r="824" spans="1:3" x14ac:dyDescent="0.3">
      <c r="A824" s="3" t="s">
        <v>2007</v>
      </c>
      <c r="B824" s="3">
        <v>8.8000000000000007</v>
      </c>
      <c r="C824" s="22" t="s">
        <v>8337</v>
      </c>
    </row>
    <row r="825" spans="1:3" x14ac:dyDescent="0.3">
      <c r="A825" s="4" t="s">
        <v>2010</v>
      </c>
      <c r="B825" s="4">
        <v>5.2</v>
      </c>
      <c r="C825" s="23" t="s">
        <v>8637</v>
      </c>
    </row>
    <row r="826" spans="1:3" x14ac:dyDescent="0.3">
      <c r="A826" s="3" t="s">
        <v>2013</v>
      </c>
      <c r="B826" s="3">
        <v>7</v>
      </c>
      <c r="C826" s="22" t="s">
        <v>8483</v>
      </c>
    </row>
    <row r="827" spans="1:3" x14ac:dyDescent="0.3">
      <c r="A827" s="4" t="s">
        <v>2017</v>
      </c>
      <c r="B827" s="4">
        <v>6.6</v>
      </c>
      <c r="C827" s="23" t="s">
        <v>8692</v>
      </c>
    </row>
    <row r="828" spans="1:3" x14ac:dyDescent="0.3">
      <c r="A828" s="3" t="s">
        <v>2019</v>
      </c>
      <c r="B828" s="3">
        <v>7.3</v>
      </c>
      <c r="C828" s="22" t="s">
        <v>8399</v>
      </c>
    </row>
    <row r="829" spans="1:3" x14ac:dyDescent="0.3">
      <c r="A829" s="4" t="s">
        <v>2021</v>
      </c>
      <c r="B829" s="4">
        <v>5.6</v>
      </c>
      <c r="C829" s="23" t="s">
        <v>8345</v>
      </c>
    </row>
    <row r="830" spans="1:3" x14ac:dyDescent="0.3">
      <c r="A830" s="3" t="s">
        <v>2023</v>
      </c>
      <c r="B830" s="3">
        <v>6.6</v>
      </c>
      <c r="C830" s="22" t="s">
        <v>8572</v>
      </c>
    </row>
    <row r="831" spans="1:3" x14ac:dyDescent="0.3">
      <c r="A831" s="4" t="s">
        <v>2025</v>
      </c>
      <c r="B831" s="4">
        <v>5.4</v>
      </c>
      <c r="C831" s="23" t="s">
        <v>8693</v>
      </c>
    </row>
    <row r="832" spans="1:3" x14ac:dyDescent="0.3">
      <c r="A832" s="3" t="s">
        <v>2027</v>
      </c>
      <c r="B832" s="3">
        <v>6.3</v>
      </c>
      <c r="C832" s="22" t="s">
        <v>8694</v>
      </c>
    </row>
    <row r="833" spans="1:3" x14ac:dyDescent="0.3">
      <c r="A833" s="4" t="s">
        <v>2029</v>
      </c>
      <c r="B833" s="4">
        <v>7.9</v>
      </c>
      <c r="C833" s="23" t="s">
        <v>8409</v>
      </c>
    </row>
    <row r="834" spans="1:3" x14ac:dyDescent="0.3">
      <c r="A834" s="3" t="s">
        <v>2031</v>
      </c>
      <c r="B834" s="3">
        <v>6.3</v>
      </c>
      <c r="C834" s="22" t="s">
        <v>8374</v>
      </c>
    </row>
    <row r="835" spans="1:3" x14ac:dyDescent="0.3">
      <c r="A835" s="4" t="s">
        <v>2033</v>
      </c>
      <c r="B835" s="4">
        <v>6</v>
      </c>
      <c r="C835" s="23" t="s">
        <v>8473</v>
      </c>
    </row>
    <row r="836" spans="1:3" x14ac:dyDescent="0.3">
      <c r="A836" s="3" t="s">
        <v>2035</v>
      </c>
      <c r="B836" s="3">
        <v>7.2</v>
      </c>
      <c r="C836" s="22" t="s">
        <v>8567</v>
      </c>
    </row>
    <row r="837" spans="1:3" x14ac:dyDescent="0.3">
      <c r="A837" s="4" t="s">
        <v>2038</v>
      </c>
      <c r="B837" s="4">
        <v>5.0999999999999996</v>
      </c>
      <c r="C837" s="23" t="s">
        <v>8695</v>
      </c>
    </row>
    <row r="838" spans="1:3" x14ac:dyDescent="0.3">
      <c r="A838" s="3" t="s">
        <v>2040</v>
      </c>
      <c r="B838" s="3">
        <v>7.3</v>
      </c>
      <c r="C838" s="22" t="s">
        <v>8458</v>
      </c>
    </row>
    <row r="839" spans="1:3" x14ac:dyDescent="0.3">
      <c r="A839" s="4" t="s">
        <v>2042</v>
      </c>
      <c r="B839" s="4">
        <v>8</v>
      </c>
      <c r="C839" s="23" t="s">
        <v>8696</v>
      </c>
    </row>
    <row r="840" spans="1:3" x14ac:dyDescent="0.3">
      <c r="A840" s="3" t="s">
        <v>2044</v>
      </c>
      <c r="B840" s="3">
        <v>6.2</v>
      </c>
      <c r="C840" s="22" t="s">
        <v>8420</v>
      </c>
    </row>
    <row r="841" spans="1:3" x14ac:dyDescent="0.3">
      <c r="A841" s="4" t="s">
        <v>2046</v>
      </c>
      <c r="B841" s="4">
        <v>6</v>
      </c>
      <c r="C841" s="23" t="s">
        <v>8570</v>
      </c>
    </row>
    <row r="842" spans="1:3" x14ac:dyDescent="0.3">
      <c r="A842" s="3" t="s">
        <v>2048</v>
      </c>
      <c r="B842" s="3">
        <v>6.7</v>
      </c>
      <c r="C842" s="22" t="s">
        <v>8473</v>
      </c>
    </row>
    <row r="843" spans="1:3" x14ac:dyDescent="0.3">
      <c r="A843" s="4" t="s">
        <v>2051</v>
      </c>
      <c r="B843" s="4">
        <v>8.1</v>
      </c>
      <c r="C843" s="23" t="s">
        <v>8462</v>
      </c>
    </row>
    <row r="844" spans="1:3" x14ac:dyDescent="0.3">
      <c r="A844" s="3" t="s">
        <v>2054</v>
      </c>
      <c r="B844" s="3">
        <v>6.4</v>
      </c>
      <c r="C844" s="22" t="s">
        <v>8482</v>
      </c>
    </row>
    <row r="845" spans="1:3" x14ac:dyDescent="0.3">
      <c r="A845" s="4" t="s">
        <v>2057</v>
      </c>
      <c r="B845" s="4">
        <v>8</v>
      </c>
      <c r="C845" s="23" t="s">
        <v>8462</v>
      </c>
    </row>
    <row r="846" spans="1:3" x14ac:dyDescent="0.3">
      <c r="A846" s="3" t="s">
        <v>2059</v>
      </c>
      <c r="B846" s="3">
        <v>6.3</v>
      </c>
      <c r="C846" s="22" t="s">
        <v>8507</v>
      </c>
    </row>
    <row r="847" spans="1:3" x14ac:dyDescent="0.3">
      <c r="A847" s="4" t="s">
        <v>2061</v>
      </c>
      <c r="B847" s="4">
        <v>6.4</v>
      </c>
      <c r="C847" s="23" t="s">
        <v>8337</v>
      </c>
    </row>
    <row r="848" spans="1:3" x14ac:dyDescent="0.3">
      <c r="A848" s="3" t="s">
        <v>2064</v>
      </c>
      <c r="B848" s="3">
        <v>6.6</v>
      </c>
      <c r="C848" s="22" t="s">
        <v>8697</v>
      </c>
    </row>
    <row r="849" spans="1:3" x14ac:dyDescent="0.3">
      <c r="A849" s="4" t="s">
        <v>2066</v>
      </c>
      <c r="B849" s="4">
        <v>6.4</v>
      </c>
      <c r="C849" s="23" t="s">
        <v>8667</v>
      </c>
    </row>
    <row r="850" spans="1:3" x14ac:dyDescent="0.3">
      <c r="A850" s="3" t="s">
        <v>2068</v>
      </c>
      <c r="B850" s="3">
        <v>6</v>
      </c>
      <c r="C850" s="22" t="s">
        <v>8490</v>
      </c>
    </row>
    <row r="851" spans="1:3" x14ac:dyDescent="0.3">
      <c r="A851" s="4" t="s">
        <v>2070</v>
      </c>
      <c r="B851" s="4">
        <v>6.6</v>
      </c>
      <c r="C851" s="23" t="s">
        <v>8391</v>
      </c>
    </row>
    <row r="852" spans="1:3" x14ac:dyDescent="0.3">
      <c r="A852" s="3" t="s">
        <v>2072</v>
      </c>
      <c r="B852" s="3">
        <v>5.9</v>
      </c>
      <c r="C852" s="22" t="s">
        <v>8698</v>
      </c>
    </row>
    <row r="853" spans="1:3" x14ac:dyDescent="0.3">
      <c r="A853" s="4" t="s">
        <v>2074</v>
      </c>
      <c r="B853" s="4">
        <v>6.4</v>
      </c>
      <c r="C853" s="23" t="s">
        <v>8362</v>
      </c>
    </row>
    <row r="854" spans="1:3" x14ac:dyDescent="0.3">
      <c r="A854" s="3" t="s">
        <v>2076</v>
      </c>
      <c r="B854" s="3">
        <v>6.3</v>
      </c>
      <c r="C854" s="22" t="s">
        <v>8699</v>
      </c>
    </row>
    <row r="855" spans="1:3" x14ac:dyDescent="0.3">
      <c r="A855" s="4" t="s">
        <v>2078</v>
      </c>
      <c r="B855" s="4">
        <v>7.3</v>
      </c>
      <c r="C855" s="23" t="s">
        <v>8700</v>
      </c>
    </row>
    <row r="856" spans="1:3" x14ac:dyDescent="0.3">
      <c r="A856" s="3" t="s">
        <v>2080</v>
      </c>
      <c r="B856" s="3">
        <v>6.8</v>
      </c>
      <c r="C856" s="22" t="s">
        <v>8542</v>
      </c>
    </row>
    <row r="857" spans="1:3" x14ac:dyDescent="0.3">
      <c r="A857" s="4" t="s">
        <v>2082</v>
      </c>
      <c r="B857" s="4">
        <v>7.2</v>
      </c>
      <c r="C857" s="23" t="s">
        <v>8701</v>
      </c>
    </row>
    <row r="858" spans="1:3" x14ac:dyDescent="0.3">
      <c r="A858" s="3" t="s">
        <v>2084</v>
      </c>
      <c r="B858" s="3">
        <v>5.7</v>
      </c>
      <c r="C858" s="22" t="s">
        <v>8702</v>
      </c>
    </row>
    <row r="859" spans="1:3" x14ac:dyDescent="0.3">
      <c r="A859" s="4" t="s">
        <v>2086</v>
      </c>
      <c r="B859" s="4">
        <v>6</v>
      </c>
      <c r="C859" s="23" t="s">
        <v>8703</v>
      </c>
    </row>
    <row r="860" spans="1:3" x14ac:dyDescent="0.3">
      <c r="A860" s="3" t="s">
        <v>2088</v>
      </c>
      <c r="B860" s="3">
        <v>6.5</v>
      </c>
      <c r="C860" s="22" t="s">
        <v>8365</v>
      </c>
    </row>
    <row r="861" spans="1:3" x14ac:dyDescent="0.3">
      <c r="A861" s="4" t="s">
        <v>2091</v>
      </c>
      <c r="B861" s="4">
        <v>5.8</v>
      </c>
      <c r="C861" s="23" t="s">
        <v>8600</v>
      </c>
    </row>
    <row r="862" spans="1:3" x14ac:dyDescent="0.3">
      <c r="A862" s="3" t="s">
        <v>2093</v>
      </c>
      <c r="B862" s="3">
        <v>5.8</v>
      </c>
      <c r="C862" s="22" t="s">
        <v>8704</v>
      </c>
    </row>
    <row r="863" spans="1:3" x14ac:dyDescent="0.3">
      <c r="A863" s="4" t="s">
        <v>2095</v>
      </c>
      <c r="B863" s="4">
        <v>6.7</v>
      </c>
      <c r="C863" s="23" t="s">
        <v>8705</v>
      </c>
    </row>
    <row r="864" spans="1:3" x14ac:dyDescent="0.3">
      <c r="A864" s="3" t="s">
        <v>2097</v>
      </c>
      <c r="B864" s="3">
        <v>7.8</v>
      </c>
      <c r="C864" s="22" t="s">
        <v>8619</v>
      </c>
    </row>
    <row r="865" spans="1:3" x14ac:dyDescent="0.3">
      <c r="A865" s="4" t="s">
        <v>2099</v>
      </c>
      <c r="B865" s="4">
        <v>5.6</v>
      </c>
      <c r="C865" s="23" t="s">
        <v>8519</v>
      </c>
    </row>
    <row r="866" spans="1:3" x14ac:dyDescent="0.3">
      <c r="A866" s="3" t="s">
        <v>2102</v>
      </c>
      <c r="B866" s="3">
        <v>5.8</v>
      </c>
      <c r="C866" s="22" t="s">
        <v>8458</v>
      </c>
    </row>
    <row r="867" spans="1:3" x14ac:dyDescent="0.3">
      <c r="A867" s="4" t="s">
        <v>2104</v>
      </c>
      <c r="B867" s="4">
        <v>7.4</v>
      </c>
      <c r="C867" s="23" t="s">
        <v>8426</v>
      </c>
    </row>
    <row r="868" spans="1:3" x14ac:dyDescent="0.3">
      <c r="A868" s="3" t="s">
        <v>2106</v>
      </c>
      <c r="B868" s="3">
        <v>6.9</v>
      </c>
      <c r="C868" s="22" t="s">
        <v>8706</v>
      </c>
    </row>
    <row r="869" spans="1:3" x14ac:dyDescent="0.3">
      <c r="A869" s="4" t="s">
        <v>2109</v>
      </c>
      <c r="B869" s="4">
        <v>5.5</v>
      </c>
      <c r="C869" s="23" t="s">
        <v>8707</v>
      </c>
    </row>
    <row r="870" spans="1:3" x14ac:dyDescent="0.3">
      <c r="A870" s="3" t="s">
        <v>2111</v>
      </c>
      <c r="B870" s="3">
        <v>6.3</v>
      </c>
      <c r="C870" s="22" t="s">
        <v>8708</v>
      </c>
    </row>
    <row r="871" spans="1:3" x14ac:dyDescent="0.3">
      <c r="A871" s="4" t="s">
        <v>2113</v>
      </c>
      <c r="B871" s="4">
        <v>4.7</v>
      </c>
      <c r="C871" s="23" t="s">
        <v>8709</v>
      </c>
    </row>
    <row r="872" spans="1:3" x14ac:dyDescent="0.3">
      <c r="A872" s="3" t="s">
        <v>2115</v>
      </c>
      <c r="B872" s="3">
        <v>5.6</v>
      </c>
      <c r="C872" s="22" t="s">
        <v>8710</v>
      </c>
    </row>
    <row r="873" spans="1:3" x14ac:dyDescent="0.3">
      <c r="A873" s="4" t="s">
        <v>2118</v>
      </c>
      <c r="B873" s="4">
        <v>6.4</v>
      </c>
      <c r="C873" s="23" t="s">
        <v>8367</v>
      </c>
    </row>
    <row r="874" spans="1:3" x14ac:dyDescent="0.3">
      <c r="A874" s="3" t="s">
        <v>2120</v>
      </c>
      <c r="B874" s="3">
        <v>4.2</v>
      </c>
      <c r="C874" s="22" t="s">
        <v>8591</v>
      </c>
    </row>
    <row r="875" spans="1:3" x14ac:dyDescent="0.3">
      <c r="A875" s="4" t="s">
        <v>2122</v>
      </c>
      <c r="B875" s="4">
        <v>6.4</v>
      </c>
      <c r="C875" s="23" t="s">
        <v>8711</v>
      </c>
    </row>
    <row r="876" spans="1:3" x14ac:dyDescent="0.3">
      <c r="A876" s="3" t="s">
        <v>2124</v>
      </c>
      <c r="B876" s="3">
        <v>7.7</v>
      </c>
      <c r="C876" s="22" t="s">
        <v>8658</v>
      </c>
    </row>
    <row r="877" spans="1:3" x14ac:dyDescent="0.3">
      <c r="A877" s="4" t="s">
        <v>2126</v>
      </c>
      <c r="B877" s="4">
        <v>7.7</v>
      </c>
      <c r="C877" s="23" t="s">
        <v>8621</v>
      </c>
    </row>
    <row r="878" spans="1:3" x14ac:dyDescent="0.3">
      <c r="A878" s="3" t="s">
        <v>2129</v>
      </c>
      <c r="B878" s="3">
        <v>5.3</v>
      </c>
      <c r="C878" s="22" t="s">
        <v>8712</v>
      </c>
    </row>
    <row r="879" spans="1:3" x14ac:dyDescent="0.3">
      <c r="A879" s="4" t="s">
        <v>2131</v>
      </c>
      <c r="B879" s="4">
        <v>6.7</v>
      </c>
      <c r="C879" s="23" t="s">
        <v>8331</v>
      </c>
    </row>
    <row r="880" spans="1:3" x14ac:dyDescent="0.3">
      <c r="A880" s="3" t="s">
        <v>2133</v>
      </c>
      <c r="B880" s="3">
        <v>7.7</v>
      </c>
      <c r="C880" s="22" t="s">
        <v>8696</v>
      </c>
    </row>
    <row r="881" spans="1:3" x14ac:dyDescent="0.3">
      <c r="A881" s="4" t="s">
        <v>2135</v>
      </c>
      <c r="B881" s="4">
        <v>5.7</v>
      </c>
      <c r="C881" s="23" t="s">
        <v>8675</v>
      </c>
    </row>
    <row r="882" spans="1:3" x14ac:dyDescent="0.3">
      <c r="A882" s="3" t="s">
        <v>2137</v>
      </c>
      <c r="B882" s="3">
        <v>7.6</v>
      </c>
      <c r="C882" s="22" t="s">
        <v>8713</v>
      </c>
    </row>
    <row r="883" spans="1:3" x14ac:dyDescent="0.3">
      <c r="A883" s="4" t="s">
        <v>2139</v>
      </c>
      <c r="B883" s="4">
        <v>6.4</v>
      </c>
      <c r="C883" s="23" t="s">
        <v>8589</v>
      </c>
    </row>
    <row r="884" spans="1:3" x14ac:dyDescent="0.3">
      <c r="A884" s="3" t="s">
        <v>2142</v>
      </c>
      <c r="B884" s="3">
        <v>5.6</v>
      </c>
      <c r="C884" s="22" t="s">
        <v>8314</v>
      </c>
    </row>
    <row r="885" spans="1:3" x14ac:dyDescent="0.3">
      <c r="A885" s="4" t="s">
        <v>2144</v>
      </c>
      <c r="B885" s="4">
        <v>6.8</v>
      </c>
      <c r="C885" s="23" t="s">
        <v>8714</v>
      </c>
    </row>
    <row r="886" spans="1:3" x14ac:dyDescent="0.3">
      <c r="A886" s="3" t="s">
        <v>2146</v>
      </c>
      <c r="B886" s="3">
        <v>2.4</v>
      </c>
      <c r="C886" s="22" t="s">
        <v>8518</v>
      </c>
    </row>
    <row r="887" spans="1:3" x14ac:dyDescent="0.3">
      <c r="A887" s="4" t="s">
        <v>2148</v>
      </c>
      <c r="B887" s="4">
        <v>6.2</v>
      </c>
      <c r="C887" s="23" t="s">
        <v>8650</v>
      </c>
    </row>
    <row r="888" spans="1:3" x14ac:dyDescent="0.3">
      <c r="A888" s="3" t="s">
        <v>2150</v>
      </c>
      <c r="B888" s="3">
        <v>5.9</v>
      </c>
      <c r="C888" s="22" t="s">
        <v>8558</v>
      </c>
    </row>
    <row r="889" spans="1:3" x14ac:dyDescent="0.3">
      <c r="A889" s="4" t="s">
        <v>2152</v>
      </c>
      <c r="B889" s="4">
        <v>7.1</v>
      </c>
      <c r="C889" s="23" t="s">
        <v>8574</v>
      </c>
    </row>
    <row r="890" spans="1:3" x14ac:dyDescent="0.3">
      <c r="A890" s="3" t="s">
        <v>2155</v>
      </c>
      <c r="B890" s="3">
        <v>7.6</v>
      </c>
      <c r="C890" s="22" t="s">
        <v>8329</v>
      </c>
    </row>
    <row r="891" spans="1:3" x14ac:dyDescent="0.3">
      <c r="A891" s="4" t="s">
        <v>2157</v>
      </c>
      <c r="B891" s="4">
        <v>5.5</v>
      </c>
      <c r="C891" s="23" t="s">
        <v>8670</v>
      </c>
    </row>
    <row r="892" spans="1:3" x14ac:dyDescent="0.3">
      <c r="A892" s="3" t="s">
        <v>2159</v>
      </c>
      <c r="B892" s="3">
        <v>7</v>
      </c>
      <c r="C892" s="22" t="s">
        <v>8715</v>
      </c>
    </row>
    <row r="893" spans="1:3" x14ac:dyDescent="0.3">
      <c r="A893" s="4" t="s">
        <v>2161</v>
      </c>
      <c r="B893" s="4">
        <v>7.1</v>
      </c>
      <c r="C893" s="23" t="s">
        <v>8619</v>
      </c>
    </row>
    <row r="894" spans="1:3" x14ac:dyDescent="0.3">
      <c r="A894" s="3" t="s">
        <v>2164</v>
      </c>
      <c r="B894" s="3">
        <v>7.4</v>
      </c>
      <c r="C894" s="22" t="s">
        <v>8566</v>
      </c>
    </row>
    <row r="895" spans="1:3" x14ac:dyDescent="0.3">
      <c r="A895" s="4" t="s">
        <v>2166</v>
      </c>
      <c r="B895" s="4">
        <v>7.6</v>
      </c>
      <c r="C895" s="23" t="s">
        <v>8716</v>
      </c>
    </row>
    <row r="896" spans="1:3" x14ac:dyDescent="0.3">
      <c r="A896" s="3" t="s">
        <v>2168</v>
      </c>
      <c r="B896" s="3">
        <v>5.9</v>
      </c>
      <c r="C896" s="22" t="s">
        <v>8543</v>
      </c>
    </row>
    <row r="897" spans="1:3" x14ac:dyDescent="0.3">
      <c r="A897" s="4" t="s">
        <v>2170</v>
      </c>
      <c r="B897" s="4">
        <v>5.9</v>
      </c>
      <c r="C897" s="23" t="s">
        <v>8717</v>
      </c>
    </row>
    <row r="898" spans="1:3" x14ac:dyDescent="0.3">
      <c r="A898" s="3" t="s">
        <v>2172</v>
      </c>
      <c r="B898" s="3">
        <v>8</v>
      </c>
      <c r="C898" s="22" t="s">
        <v>8332</v>
      </c>
    </row>
    <row r="899" spans="1:3" x14ac:dyDescent="0.3">
      <c r="A899" s="4" t="s">
        <v>2174</v>
      </c>
      <c r="B899" s="4">
        <v>7.4</v>
      </c>
      <c r="C899" s="23" t="s">
        <v>8505</v>
      </c>
    </row>
    <row r="900" spans="1:3" x14ac:dyDescent="0.3">
      <c r="A900" s="3" t="s">
        <v>2176</v>
      </c>
      <c r="B900" s="3">
        <v>5.8</v>
      </c>
      <c r="C900" s="22" t="s">
        <v>8411</v>
      </c>
    </row>
    <row r="901" spans="1:3" x14ac:dyDescent="0.3">
      <c r="A901" s="4" t="s">
        <v>2178</v>
      </c>
      <c r="B901" s="4">
        <v>6.3</v>
      </c>
      <c r="C901" s="23" t="s">
        <v>8718</v>
      </c>
    </row>
    <row r="902" spans="1:3" x14ac:dyDescent="0.3">
      <c r="A902" s="3" t="s">
        <v>2180</v>
      </c>
      <c r="B902" s="3">
        <v>5.7</v>
      </c>
      <c r="C902" s="22" t="s">
        <v>8586</v>
      </c>
    </row>
    <row r="903" spans="1:3" x14ac:dyDescent="0.3">
      <c r="A903" s="4" t="s">
        <v>2182</v>
      </c>
      <c r="B903" s="4">
        <v>5.0999999999999996</v>
      </c>
      <c r="C903" s="23" t="s">
        <v>8719</v>
      </c>
    </row>
    <row r="904" spans="1:3" x14ac:dyDescent="0.3">
      <c r="A904" s="3" t="s">
        <v>2184</v>
      </c>
      <c r="B904" s="3">
        <v>7.6</v>
      </c>
      <c r="C904" s="22" t="s">
        <v>8720</v>
      </c>
    </row>
    <row r="905" spans="1:3" x14ac:dyDescent="0.3">
      <c r="A905" s="4" t="s">
        <v>2186</v>
      </c>
      <c r="B905" s="4">
        <v>6.4</v>
      </c>
      <c r="C905" s="23" t="s">
        <v>8721</v>
      </c>
    </row>
    <row r="906" spans="1:3" x14ac:dyDescent="0.3">
      <c r="A906" s="3" t="s">
        <v>2189</v>
      </c>
      <c r="B906" s="3">
        <v>7.4</v>
      </c>
      <c r="C906" s="22" t="s">
        <v>8722</v>
      </c>
    </row>
    <row r="907" spans="1:3" x14ac:dyDescent="0.3">
      <c r="A907" s="4" t="s">
        <v>2191</v>
      </c>
      <c r="B907" s="4">
        <v>8.1999999999999993</v>
      </c>
      <c r="C907" s="23" t="s">
        <v>8342</v>
      </c>
    </row>
    <row r="908" spans="1:3" x14ac:dyDescent="0.3">
      <c r="A908" s="3" t="s">
        <v>2193</v>
      </c>
      <c r="B908" s="3">
        <v>6.5</v>
      </c>
      <c r="C908" s="22" t="s">
        <v>8723</v>
      </c>
    </row>
    <row r="909" spans="1:3" x14ac:dyDescent="0.3">
      <c r="A909" s="4" t="s">
        <v>2195</v>
      </c>
      <c r="B909" s="4">
        <v>5.5</v>
      </c>
      <c r="C909" s="23" t="s">
        <v>8724</v>
      </c>
    </row>
    <row r="910" spans="1:3" x14ac:dyDescent="0.3">
      <c r="A910" s="3" t="s">
        <v>2197</v>
      </c>
      <c r="B910" s="3">
        <v>6.5</v>
      </c>
      <c r="C910" s="22" t="s">
        <v>8600</v>
      </c>
    </row>
    <row r="911" spans="1:3" x14ac:dyDescent="0.3">
      <c r="A911" s="4" t="s">
        <v>2199</v>
      </c>
      <c r="B911" s="4">
        <v>5.6</v>
      </c>
      <c r="C911" s="23" t="s">
        <v>8725</v>
      </c>
    </row>
    <row r="912" spans="1:3" x14ac:dyDescent="0.3">
      <c r="A912" s="3" t="s">
        <v>2201</v>
      </c>
      <c r="B912" s="3">
        <v>4.9000000000000004</v>
      </c>
      <c r="C912" s="22" t="s">
        <v>8726</v>
      </c>
    </row>
    <row r="913" spans="1:3" x14ac:dyDescent="0.3">
      <c r="A913" s="4" t="s">
        <v>2203</v>
      </c>
      <c r="B913" s="4">
        <v>4.5999999999999996</v>
      </c>
      <c r="C913" s="23" t="s">
        <v>8313</v>
      </c>
    </row>
    <row r="914" spans="1:3" x14ac:dyDescent="0.3">
      <c r="A914" s="3" t="s">
        <v>2205</v>
      </c>
      <c r="B914" s="3">
        <v>7.9</v>
      </c>
      <c r="C914" s="22" t="s">
        <v>8307</v>
      </c>
    </row>
    <row r="915" spans="1:3" x14ac:dyDescent="0.3">
      <c r="A915" s="4" t="s">
        <v>2207</v>
      </c>
      <c r="B915" s="4">
        <v>7.1</v>
      </c>
      <c r="C915" s="23" t="s">
        <v>8727</v>
      </c>
    </row>
    <row r="916" spans="1:3" x14ac:dyDescent="0.3">
      <c r="A916" s="3" t="s">
        <v>2209</v>
      </c>
      <c r="B916" s="3">
        <v>6.9</v>
      </c>
      <c r="C916" s="22" t="s">
        <v>8347</v>
      </c>
    </row>
    <row r="917" spans="1:3" x14ac:dyDescent="0.3">
      <c r="A917" s="4" t="s">
        <v>2212</v>
      </c>
      <c r="B917" s="4">
        <v>7.3</v>
      </c>
      <c r="C917" s="23" t="s">
        <v>8589</v>
      </c>
    </row>
    <row r="918" spans="1:3" x14ac:dyDescent="0.3">
      <c r="A918" s="3" t="s">
        <v>2214</v>
      </c>
      <c r="B918" s="3">
        <v>7</v>
      </c>
      <c r="C918" s="22" t="s">
        <v>8607</v>
      </c>
    </row>
    <row r="919" spans="1:3" x14ac:dyDescent="0.3">
      <c r="A919" s="4" t="s">
        <v>2216</v>
      </c>
      <c r="B919" s="4">
        <v>7.7</v>
      </c>
      <c r="C919" s="23" t="s">
        <v>8433</v>
      </c>
    </row>
    <row r="920" spans="1:3" x14ac:dyDescent="0.3">
      <c r="A920" s="3" t="s">
        <v>2218</v>
      </c>
      <c r="B920" s="3">
        <v>6.7</v>
      </c>
      <c r="C920" s="22" t="s">
        <v>8345</v>
      </c>
    </row>
    <row r="921" spans="1:3" x14ac:dyDescent="0.3">
      <c r="A921" s="4" t="s">
        <v>2220</v>
      </c>
      <c r="B921" s="4">
        <v>6.3</v>
      </c>
      <c r="C921" s="23" t="s">
        <v>8460</v>
      </c>
    </row>
    <row r="922" spans="1:3" x14ac:dyDescent="0.3">
      <c r="A922" s="3" t="s">
        <v>2222</v>
      </c>
      <c r="B922" s="3">
        <v>5.8</v>
      </c>
      <c r="C922" s="22" t="s">
        <v>8547</v>
      </c>
    </row>
    <row r="923" spans="1:3" x14ac:dyDescent="0.3">
      <c r="A923" s="4" t="s">
        <v>2224</v>
      </c>
      <c r="B923" s="4">
        <v>7.1</v>
      </c>
      <c r="C923" s="23" t="s">
        <v>8328</v>
      </c>
    </row>
    <row r="924" spans="1:3" x14ac:dyDescent="0.3">
      <c r="A924" s="3" t="s">
        <v>2227</v>
      </c>
      <c r="B924" s="3">
        <v>7.3</v>
      </c>
      <c r="C924" s="22" t="s">
        <v>8444</v>
      </c>
    </row>
    <row r="925" spans="1:3" x14ac:dyDescent="0.3">
      <c r="A925" s="4" t="s">
        <v>2229</v>
      </c>
      <c r="B925" s="4">
        <v>6.4</v>
      </c>
      <c r="C925" s="23" t="s">
        <v>8665</v>
      </c>
    </row>
    <row r="926" spans="1:3" x14ac:dyDescent="0.3">
      <c r="A926" s="3" t="s">
        <v>2232</v>
      </c>
      <c r="B926" s="3">
        <v>7.1</v>
      </c>
      <c r="C926" s="22" t="s">
        <v>8494</v>
      </c>
    </row>
    <row r="927" spans="1:3" x14ac:dyDescent="0.3">
      <c r="A927" s="4" t="s">
        <v>2234</v>
      </c>
      <c r="B927" s="4">
        <v>7.6</v>
      </c>
      <c r="C927" s="23" t="s">
        <v>8728</v>
      </c>
    </row>
    <row r="928" spans="1:3" x14ac:dyDescent="0.3">
      <c r="A928" s="3" t="s">
        <v>2236</v>
      </c>
      <c r="B928" s="3">
        <v>6.8</v>
      </c>
      <c r="C928" s="22" t="s">
        <v>8411</v>
      </c>
    </row>
    <row r="929" spans="1:3" x14ac:dyDescent="0.3">
      <c r="A929" s="4" t="s">
        <v>2238</v>
      </c>
      <c r="B929" s="4">
        <v>6.6</v>
      </c>
      <c r="C929" s="23" t="s">
        <v>8729</v>
      </c>
    </row>
    <row r="930" spans="1:3" x14ac:dyDescent="0.3">
      <c r="A930" s="3" t="s">
        <v>2240</v>
      </c>
      <c r="B930" s="3">
        <v>6.7</v>
      </c>
      <c r="C930" s="22" t="s">
        <v>8419</v>
      </c>
    </row>
    <row r="931" spans="1:3" x14ac:dyDescent="0.3">
      <c r="A931" s="4" t="s">
        <v>2242</v>
      </c>
      <c r="B931" s="4">
        <v>6.1</v>
      </c>
      <c r="C931" s="23" t="s">
        <v>8688</v>
      </c>
    </row>
    <row r="932" spans="1:3" x14ac:dyDescent="0.3">
      <c r="A932" s="3" t="s">
        <v>2244</v>
      </c>
      <c r="B932" s="3">
        <v>6</v>
      </c>
      <c r="C932" s="22" t="s">
        <v>8308</v>
      </c>
    </row>
    <row r="933" spans="1:3" x14ac:dyDescent="0.3">
      <c r="A933" s="4" t="s">
        <v>2246</v>
      </c>
      <c r="B933" s="4">
        <v>7.6</v>
      </c>
      <c r="C933" s="23" t="s">
        <v>8730</v>
      </c>
    </row>
    <row r="934" spans="1:3" x14ac:dyDescent="0.3">
      <c r="A934" s="3" t="s">
        <v>2248</v>
      </c>
      <c r="B934" s="3">
        <v>7.1</v>
      </c>
      <c r="C934" s="22" t="s">
        <v>8731</v>
      </c>
    </row>
    <row r="935" spans="1:3" x14ac:dyDescent="0.3">
      <c r="A935" s="4" t="s">
        <v>2250</v>
      </c>
      <c r="B935" s="4">
        <v>5</v>
      </c>
      <c r="C935" s="23" t="s">
        <v>8732</v>
      </c>
    </row>
    <row r="936" spans="1:3" x14ac:dyDescent="0.3">
      <c r="A936" s="3" t="s">
        <v>2252</v>
      </c>
      <c r="B936" s="3">
        <v>7.1</v>
      </c>
      <c r="C936" s="22" t="s">
        <v>8589</v>
      </c>
    </row>
    <row r="937" spans="1:3" x14ac:dyDescent="0.3">
      <c r="A937" s="4" t="s">
        <v>2255</v>
      </c>
      <c r="B937" s="4">
        <v>6.2</v>
      </c>
      <c r="C937" s="23" t="s">
        <v>8398</v>
      </c>
    </row>
    <row r="938" spans="1:3" x14ac:dyDescent="0.3">
      <c r="A938" s="3" t="s">
        <v>2258</v>
      </c>
      <c r="B938" s="3">
        <v>5.6</v>
      </c>
      <c r="C938" s="22" t="s">
        <v>8697</v>
      </c>
    </row>
    <row r="939" spans="1:3" x14ac:dyDescent="0.3">
      <c r="A939" s="4" t="s">
        <v>2260</v>
      </c>
      <c r="B939" s="4">
        <v>5.4</v>
      </c>
      <c r="C939" s="23" t="s">
        <v>8733</v>
      </c>
    </row>
    <row r="940" spans="1:3" x14ac:dyDescent="0.3">
      <c r="A940" s="3" t="s">
        <v>2262</v>
      </c>
      <c r="B940" s="3">
        <v>7.4</v>
      </c>
      <c r="C940" s="22" t="s">
        <v>8623</v>
      </c>
    </row>
    <row r="941" spans="1:3" x14ac:dyDescent="0.3">
      <c r="A941" s="4" t="s">
        <v>2264</v>
      </c>
      <c r="B941" s="4">
        <v>5</v>
      </c>
      <c r="C941" s="23" t="s">
        <v>8734</v>
      </c>
    </row>
    <row r="942" spans="1:3" x14ac:dyDescent="0.3">
      <c r="A942" s="3" t="s">
        <v>2266</v>
      </c>
      <c r="B942" s="3">
        <v>5.2</v>
      </c>
      <c r="C942" s="22" t="s">
        <v>8735</v>
      </c>
    </row>
    <row r="943" spans="1:3" x14ac:dyDescent="0.3">
      <c r="A943" s="4" t="s">
        <v>2268</v>
      </c>
      <c r="B943" s="4">
        <v>7.6</v>
      </c>
      <c r="C943" s="23" t="s">
        <v>8736</v>
      </c>
    </row>
    <row r="944" spans="1:3" x14ac:dyDescent="0.3">
      <c r="A944" s="3" t="s">
        <v>2270</v>
      </c>
      <c r="B944" s="3">
        <v>6.6</v>
      </c>
      <c r="C944" s="22" t="s">
        <v>8366</v>
      </c>
    </row>
    <row r="945" spans="1:3" x14ac:dyDescent="0.3">
      <c r="A945" s="4" t="s">
        <v>2273</v>
      </c>
      <c r="B945" s="4">
        <v>7</v>
      </c>
      <c r="C945" s="23" t="s">
        <v>8737</v>
      </c>
    </row>
    <row r="946" spans="1:3" x14ac:dyDescent="0.3">
      <c r="A946" s="3" t="s">
        <v>2275</v>
      </c>
      <c r="B946" s="3">
        <v>5.7</v>
      </c>
      <c r="C946" s="22" t="s">
        <v>8738</v>
      </c>
    </row>
    <row r="947" spans="1:3" x14ac:dyDescent="0.3">
      <c r="A947" s="4" t="s">
        <v>2277</v>
      </c>
      <c r="B947" s="4">
        <v>8.1999999999999993</v>
      </c>
      <c r="C947" s="23" t="s">
        <v>8739</v>
      </c>
    </row>
    <row r="948" spans="1:3" x14ac:dyDescent="0.3">
      <c r="A948" s="3" t="s">
        <v>2280</v>
      </c>
      <c r="B948" s="3">
        <v>6.2</v>
      </c>
      <c r="C948" s="22" t="s">
        <v>8721</v>
      </c>
    </row>
    <row r="949" spans="1:3" x14ac:dyDescent="0.3">
      <c r="A949" s="4" t="s">
        <v>2282</v>
      </c>
      <c r="B949" s="4">
        <v>6.6</v>
      </c>
      <c r="C949" s="23" t="s">
        <v>8740</v>
      </c>
    </row>
    <row r="950" spans="1:3" x14ac:dyDescent="0.3">
      <c r="A950" s="3" t="s">
        <v>2285</v>
      </c>
      <c r="B950" s="3">
        <v>4.7</v>
      </c>
      <c r="C950" s="22" t="s">
        <v>8741</v>
      </c>
    </row>
    <row r="951" spans="1:3" x14ac:dyDescent="0.3">
      <c r="A951" s="4" t="s">
        <v>2287</v>
      </c>
      <c r="B951" s="4">
        <v>6.3</v>
      </c>
      <c r="C951" s="23" t="s">
        <v>8742</v>
      </c>
    </row>
    <row r="952" spans="1:3" x14ac:dyDescent="0.3">
      <c r="A952" s="3" t="s">
        <v>2289</v>
      </c>
      <c r="B952" s="3">
        <v>6.1</v>
      </c>
      <c r="C952" s="22" t="s">
        <v>8743</v>
      </c>
    </row>
    <row r="953" spans="1:3" x14ac:dyDescent="0.3">
      <c r="A953" s="4" t="s">
        <v>2291</v>
      </c>
      <c r="B953" s="4">
        <v>6.7</v>
      </c>
      <c r="C953" s="23" t="s">
        <v>8744</v>
      </c>
    </row>
    <row r="954" spans="1:3" x14ac:dyDescent="0.3">
      <c r="A954" s="3" t="s">
        <v>2293</v>
      </c>
      <c r="B954" s="3">
        <v>6.1</v>
      </c>
      <c r="C954" s="22" t="s">
        <v>8533</v>
      </c>
    </row>
    <row r="955" spans="1:3" x14ac:dyDescent="0.3">
      <c r="A955" s="4" t="s">
        <v>2295</v>
      </c>
      <c r="B955" s="4">
        <v>7</v>
      </c>
      <c r="C955" s="23" t="s">
        <v>8745</v>
      </c>
    </row>
    <row r="956" spans="1:3" x14ac:dyDescent="0.3">
      <c r="A956" s="3" t="s">
        <v>2297</v>
      </c>
      <c r="B956" s="3">
        <v>7.4</v>
      </c>
      <c r="C956" s="22" t="s">
        <v>8321</v>
      </c>
    </row>
    <row r="957" spans="1:3" x14ac:dyDescent="0.3">
      <c r="A957" s="4" t="s">
        <v>2300</v>
      </c>
      <c r="B957" s="4">
        <v>7.3</v>
      </c>
      <c r="C957" s="23" t="s">
        <v>8746</v>
      </c>
    </row>
    <row r="958" spans="1:3" x14ac:dyDescent="0.3">
      <c r="A958" s="3" t="s">
        <v>2302</v>
      </c>
      <c r="B958" s="3">
        <v>5.8</v>
      </c>
      <c r="C958" s="22" t="s">
        <v>8747</v>
      </c>
    </row>
    <row r="959" spans="1:3" x14ac:dyDescent="0.3">
      <c r="A959" s="4" t="s">
        <v>2304</v>
      </c>
      <c r="B959" s="4">
        <v>6.7</v>
      </c>
      <c r="C959" s="23" t="s">
        <v>8619</v>
      </c>
    </row>
    <row r="960" spans="1:3" x14ac:dyDescent="0.3">
      <c r="A960" s="3" t="s">
        <v>2306</v>
      </c>
      <c r="B960" s="3">
        <v>5.8</v>
      </c>
      <c r="C960" s="22" t="s">
        <v>8312</v>
      </c>
    </row>
    <row r="961" spans="1:3" x14ac:dyDescent="0.3">
      <c r="A961" s="4" t="s">
        <v>2310</v>
      </c>
      <c r="B961" s="4">
        <v>7.8</v>
      </c>
      <c r="C961" s="23" t="s">
        <v>8362</v>
      </c>
    </row>
    <row r="962" spans="1:3" x14ac:dyDescent="0.3">
      <c r="A962" s="3" t="s">
        <v>2313</v>
      </c>
      <c r="B962" s="3">
        <v>6.6</v>
      </c>
      <c r="C962" s="22" t="s">
        <v>8748</v>
      </c>
    </row>
    <row r="963" spans="1:3" x14ac:dyDescent="0.3">
      <c r="A963" s="4" t="s">
        <v>2315</v>
      </c>
      <c r="B963" s="4">
        <v>6.5</v>
      </c>
      <c r="C963" s="23" t="s">
        <v>8749</v>
      </c>
    </row>
    <row r="964" spans="1:3" x14ac:dyDescent="0.3">
      <c r="A964" s="3" t="s">
        <v>2318</v>
      </c>
      <c r="B964" s="3">
        <v>6.7</v>
      </c>
      <c r="C964" s="22" t="s">
        <v>8750</v>
      </c>
    </row>
    <row r="965" spans="1:3" x14ac:dyDescent="0.3">
      <c r="A965" s="4" t="s">
        <v>2320</v>
      </c>
      <c r="B965" s="4">
        <v>7.3</v>
      </c>
      <c r="C965" s="23" t="s">
        <v>8566</v>
      </c>
    </row>
    <row r="966" spans="1:3" x14ac:dyDescent="0.3">
      <c r="A966" s="3" t="s">
        <v>2322</v>
      </c>
      <c r="B966" s="3">
        <v>5.8</v>
      </c>
      <c r="C966" s="22" t="s">
        <v>8751</v>
      </c>
    </row>
    <row r="967" spans="1:3" x14ac:dyDescent="0.3">
      <c r="A967" s="4" t="s">
        <v>2326</v>
      </c>
      <c r="B967" s="4">
        <v>5.5</v>
      </c>
      <c r="C967" s="23" t="s">
        <v>8752</v>
      </c>
    </row>
    <row r="968" spans="1:3" x14ac:dyDescent="0.3">
      <c r="A968" s="3" t="s">
        <v>2328</v>
      </c>
      <c r="B968" s="3">
        <v>6.3</v>
      </c>
      <c r="C968" s="22" t="s">
        <v>8552</v>
      </c>
    </row>
    <row r="969" spans="1:3" x14ac:dyDescent="0.3">
      <c r="A969" s="4" t="s">
        <v>2331</v>
      </c>
      <c r="B969" s="4">
        <v>7.4</v>
      </c>
      <c r="C969" s="23" t="s">
        <v>8721</v>
      </c>
    </row>
    <row r="970" spans="1:3" x14ac:dyDescent="0.3">
      <c r="A970" s="3" t="s">
        <v>2334</v>
      </c>
      <c r="B970" s="3">
        <v>5.9</v>
      </c>
      <c r="C970" s="22" t="s">
        <v>8530</v>
      </c>
    </row>
    <row r="971" spans="1:3" x14ac:dyDescent="0.3">
      <c r="A971" s="4" t="s">
        <v>2336</v>
      </c>
      <c r="B971" s="4">
        <v>6.2</v>
      </c>
      <c r="C971" s="23" t="s">
        <v>8753</v>
      </c>
    </row>
    <row r="972" spans="1:3" x14ac:dyDescent="0.3">
      <c r="A972" s="3" t="s">
        <v>2338</v>
      </c>
      <c r="B972" s="3">
        <v>5.9</v>
      </c>
      <c r="C972" s="22" t="s">
        <v>8754</v>
      </c>
    </row>
    <row r="973" spans="1:3" x14ac:dyDescent="0.3">
      <c r="A973" s="4" t="s">
        <v>2341</v>
      </c>
      <c r="B973" s="4">
        <v>6.5</v>
      </c>
      <c r="C973" s="23" t="s">
        <v>8755</v>
      </c>
    </row>
    <row r="974" spans="1:3" x14ac:dyDescent="0.3">
      <c r="A974" s="3" t="s">
        <v>2344</v>
      </c>
      <c r="B974" s="3">
        <v>4.4000000000000004</v>
      </c>
      <c r="C974" s="22" t="s">
        <v>8756</v>
      </c>
    </row>
    <row r="975" spans="1:3" x14ac:dyDescent="0.3">
      <c r="A975" s="4" t="s">
        <v>2346</v>
      </c>
      <c r="B975" s="4">
        <v>3.5</v>
      </c>
      <c r="C975" s="23" t="s">
        <v>8716</v>
      </c>
    </row>
    <row r="976" spans="1:3" x14ac:dyDescent="0.3">
      <c r="A976" s="3" t="s">
        <v>2348</v>
      </c>
      <c r="B976" s="3">
        <v>6.6</v>
      </c>
      <c r="C976" s="22" t="s">
        <v>8757</v>
      </c>
    </row>
    <row r="977" spans="1:3" x14ac:dyDescent="0.3">
      <c r="A977" s="4" t="s">
        <v>2351</v>
      </c>
      <c r="B977" s="4">
        <v>6</v>
      </c>
      <c r="C977" s="23" t="s">
        <v>8586</v>
      </c>
    </row>
    <row r="978" spans="1:3" x14ac:dyDescent="0.3">
      <c r="A978" s="3" t="s">
        <v>2357</v>
      </c>
      <c r="B978" s="3">
        <v>6.4</v>
      </c>
      <c r="C978" s="22" t="s">
        <v>8739</v>
      </c>
    </row>
    <row r="979" spans="1:3" x14ac:dyDescent="0.3">
      <c r="A979" s="4" t="s">
        <v>2360</v>
      </c>
      <c r="B979" s="4">
        <v>6.5</v>
      </c>
      <c r="C979" s="23" t="s">
        <v>8300</v>
      </c>
    </row>
    <row r="980" spans="1:3" x14ac:dyDescent="0.3">
      <c r="A980" s="3" t="s">
        <v>2363</v>
      </c>
      <c r="B980" s="3">
        <v>4.3</v>
      </c>
      <c r="C980" s="22" t="s">
        <v>8758</v>
      </c>
    </row>
    <row r="981" spans="1:3" x14ac:dyDescent="0.3">
      <c r="A981" s="4" t="s">
        <v>2365</v>
      </c>
      <c r="B981" s="4">
        <v>4.2</v>
      </c>
      <c r="C981" s="23" t="s">
        <v>8697</v>
      </c>
    </row>
    <row r="982" spans="1:3" x14ac:dyDescent="0.3">
      <c r="A982" s="3" t="s">
        <v>2367</v>
      </c>
      <c r="B982" s="3">
        <v>6.5</v>
      </c>
      <c r="C982" s="22" t="s">
        <v>8619</v>
      </c>
    </row>
    <row r="983" spans="1:3" x14ac:dyDescent="0.3">
      <c r="A983" s="4" t="s">
        <v>2369</v>
      </c>
      <c r="B983" s="4">
        <v>6.1</v>
      </c>
      <c r="C983" s="23" t="s">
        <v>8759</v>
      </c>
    </row>
    <row r="984" spans="1:3" x14ac:dyDescent="0.3">
      <c r="A984" s="3" t="s">
        <v>2371</v>
      </c>
      <c r="B984" s="3">
        <v>6.3</v>
      </c>
      <c r="C984" s="22" t="s">
        <v>8399</v>
      </c>
    </row>
    <row r="985" spans="1:3" x14ac:dyDescent="0.3">
      <c r="A985" s="4" t="s">
        <v>2374</v>
      </c>
      <c r="B985" s="4">
        <v>6.2</v>
      </c>
      <c r="C985" s="23" t="s">
        <v>8760</v>
      </c>
    </row>
    <row r="986" spans="1:3" x14ac:dyDescent="0.3">
      <c r="A986" s="3" t="s">
        <v>2377</v>
      </c>
      <c r="B986" s="3">
        <v>5.9</v>
      </c>
      <c r="C986" s="22" t="s">
        <v>8633</v>
      </c>
    </row>
    <row r="987" spans="1:3" x14ac:dyDescent="0.3">
      <c r="A987" s="4" t="s">
        <v>2380</v>
      </c>
      <c r="B987" s="4">
        <v>5.9</v>
      </c>
      <c r="C987" s="23" t="s">
        <v>8761</v>
      </c>
    </row>
    <row r="988" spans="1:3" x14ac:dyDescent="0.3">
      <c r="A988" s="3" t="s">
        <v>2382</v>
      </c>
      <c r="B988" s="3">
        <v>6.5</v>
      </c>
      <c r="C988" s="22" t="s">
        <v>8424</v>
      </c>
    </row>
    <row r="989" spans="1:3" x14ac:dyDescent="0.3">
      <c r="A989" s="4" t="s">
        <v>2385</v>
      </c>
      <c r="B989" s="4">
        <v>6.4</v>
      </c>
      <c r="C989" s="23" t="s">
        <v>8619</v>
      </c>
    </row>
    <row r="990" spans="1:3" x14ac:dyDescent="0.3">
      <c r="A990" s="3" t="s">
        <v>2388</v>
      </c>
      <c r="B990" s="3">
        <v>6.5</v>
      </c>
      <c r="C990" s="22" t="s">
        <v>8471</v>
      </c>
    </row>
    <row r="991" spans="1:3" x14ac:dyDescent="0.3">
      <c r="A991" s="4" t="s">
        <v>2390</v>
      </c>
      <c r="B991" s="4">
        <v>5.7</v>
      </c>
      <c r="C991" s="23" t="s">
        <v>8762</v>
      </c>
    </row>
    <row r="992" spans="1:3" x14ac:dyDescent="0.3">
      <c r="A992" s="3" t="s">
        <v>2393</v>
      </c>
      <c r="B992" s="3">
        <v>8</v>
      </c>
      <c r="C992" s="22" t="s">
        <v>8355</v>
      </c>
    </row>
    <row r="993" spans="1:3" x14ac:dyDescent="0.3">
      <c r="A993" s="4" t="s">
        <v>2396</v>
      </c>
      <c r="B993" s="4">
        <v>7.3</v>
      </c>
      <c r="C993" s="23" t="s">
        <v>8763</v>
      </c>
    </row>
    <row r="994" spans="1:3" x14ac:dyDescent="0.3">
      <c r="A994" s="3" t="s">
        <v>2398</v>
      </c>
      <c r="B994" s="3">
        <v>6.7</v>
      </c>
      <c r="C994" s="22" t="s">
        <v>8508</v>
      </c>
    </row>
    <row r="995" spans="1:3" x14ac:dyDescent="0.3">
      <c r="A995" s="4" t="s">
        <v>2400</v>
      </c>
      <c r="B995" s="4">
        <v>7.5</v>
      </c>
      <c r="C995" s="23" t="s">
        <v>8699</v>
      </c>
    </row>
    <row r="996" spans="1:3" x14ac:dyDescent="0.3">
      <c r="A996" s="3" t="s">
        <v>2402</v>
      </c>
      <c r="B996" s="3">
        <v>5.4</v>
      </c>
      <c r="C996" s="22" t="s">
        <v>8685</v>
      </c>
    </row>
    <row r="997" spans="1:3" x14ac:dyDescent="0.3">
      <c r="A997" s="4" t="s">
        <v>2404</v>
      </c>
      <c r="B997" s="4">
        <v>6.6</v>
      </c>
      <c r="C997" s="23" t="s">
        <v>8737</v>
      </c>
    </row>
    <row r="998" spans="1:3" x14ac:dyDescent="0.3">
      <c r="A998" s="3" t="s">
        <v>2406</v>
      </c>
      <c r="B998" s="3">
        <v>7.7</v>
      </c>
      <c r="C998" s="22" t="s">
        <v>8764</v>
      </c>
    </row>
    <row r="999" spans="1:3" x14ac:dyDescent="0.3">
      <c r="A999" s="4" t="s">
        <v>2408</v>
      </c>
      <c r="B999" s="4">
        <v>5.8</v>
      </c>
      <c r="C999" s="23" t="s">
        <v>8765</v>
      </c>
    </row>
    <row r="1000" spans="1:3" x14ac:dyDescent="0.3">
      <c r="A1000" s="3" t="s">
        <v>2410</v>
      </c>
      <c r="B1000" s="3">
        <v>6.4</v>
      </c>
      <c r="C1000" s="22" t="s">
        <v>8484</v>
      </c>
    </row>
    <row r="1001" spans="1:3" x14ac:dyDescent="0.3">
      <c r="A1001" s="4" t="s">
        <v>2412</v>
      </c>
      <c r="B1001" s="4">
        <v>5.6</v>
      </c>
      <c r="C1001" s="23" t="s">
        <v>8766</v>
      </c>
    </row>
    <row r="1002" spans="1:3" x14ac:dyDescent="0.3">
      <c r="A1002" s="3" t="s">
        <v>2414</v>
      </c>
      <c r="B1002" s="3">
        <v>6</v>
      </c>
      <c r="C1002" s="22" t="s">
        <v>8767</v>
      </c>
    </row>
    <row r="1003" spans="1:3" x14ac:dyDescent="0.3">
      <c r="A1003" s="4" t="s">
        <v>2416</v>
      </c>
      <c r="B1003" s="4">
        <v>6.2</v>
      </c>
      <c r="C1003" s="23" t="s">
        <v>8768</v>
      </c>
    </row>
    <row r="1004" spans="1:3" x14ac:dyDescent="0.3">
      <c r="A1004" s="3" t="s">
        <v>2419</v>
      </c>
      <c r="B1004" s="3">
        <v>5.9</v>
      </c>
      <c r="C1004" s="22" t="s">
        <v>8769</v>
      </c>
    </row>
    <row r="1005" spans="1:3" x14ac:dyDescent="0.3">
      <c r="A1005" s="4" t="s">
        <v>2422</v>
      </c>
      <c r="B1005" s="4">
        <v>5.0999999999999996</v>
      </c>
      <c r="C1005" s="23" t="s">
        <v>8352</v>
      </c>
    </row>
    <row r="1006" spans="1:3" x14ac:dyDescent="0.3">
      <c r="A1006" s="3" t="s">
        <v>2424</v>
      </c>
      <c r="B1006" s="3">
        <v>6.8</v>
      </c>
      <c r="C1006" s="22" t="s">
        <v>8346</v>
      </c>
    </row>
    <row r="1007" spans="1:3" x14ac:dyDescent="0.3">
      <c r="A1007" s="4" t="s">
        <v>2427</v>
      </c>
      <c r="B1007" s="4">
        <v>6</v>
      </c>
      <c r="C1007" s="23" t="s">
        <v>8458</v>
      </c>
    </row>
    <row r="1008" spans="1:3" x14ac:dyDescent="0.3">
      <c r="A1008" s="3" t="s">
        <v>2430</v>
      </c>
      <c r="B1008" s="3">
        <v>5.0999999999999996</v>
      </c>
      <c r="C1008" s="22" t="s">
        <v>8703</v>
      </c>
    </row>
    <row r="1009" spans="1:3" x14ac:dyDescent="0.3">
      <c r="A1009" s="4" t="s">
        <v>2432</v>
      </c>
      <c r="B1009" s="4">
        <v>5.8</v>
      </c>
      <c r="C1009" s="23" t="s">
        <v>8689</v>
      </c>
    </row>
    <row r="1010" spans="1:3" x14ac:dyDescent="0.3">
      <c r="A1010" s="3" t="s">
        <v>2434</v>
      </c>
      <c r="B1010" s="3">
        <v>6.2</v>
      </c>
      <c r="C1010" s="22" t="s">
        <v>8770</v>
      </c>
    </row>
    <row r="1011" spans="1:3" x14ac:dyDescent="0.3">
      <c r="A1011" s="4" t="s">
        <v>2436</v>
      </c>
      <c r="B1011" s="4">
        <v>6.4</v>
      </c>
      <c r="C1011" s="23" t="s">
        <v>8771</v>
      </c>
    </row>
    <row r="1012" spans="1:3" x14ac:dyDescent="0.3">
      <c r="A1012" s="3" t="s">
        <v>2439</v>
      </c>
      <c r="B1012" s="3">
        <v>4.8</v>
      </c>
      <c r="C1012" s="22" t="s">
        <v>8495</v>
      </c>
    </row>
    <row r="1013" spans="1:3" x14ac:dyDescent="0.3">
      <c r="A1013" s="4" t="s">
        <v>2442</v>
      </c>
      <c r="B1013" s="4">
        <v>4.9000000000000004</v>
      </c>
      <c r="C1013" s="23" t="s">
        <v>8772</v>
      </c>
    </row>
    <row r="1014" spans="1:3" x14ac:dyDescent="0.3">
      <c r="A1014" s="3" t="s">
        <v>2445</v>
      </c>
      <c r="B1014" s="3">
        <v>5.6</v>
      </c>
      <c r="C1014" s="22" t="s">
        <v>8565</v>
      </c>
    </row>
    <row r="1015" spans="1:3" x14ac:dyDescent="0.3">
      <c r="A1015" s="4" t="s">
        <v>2447</v>
      </c>
      <c r="B1015" s="4">
        <v>5.5</v>
      </c>
      <c r="C1015" s="23" t="s">
        <v>8773</v>
      </c>
    </row>
    <row r="1016" spans="1:3" x14ac:dyDescent="0.3">
      <c r="A1016" s="3" t="s">
        <v>2449</v>
      </c>
      <c r="B1016" s="3">
        <v>3.7</v>
      </c>
      <c r="C1016" s="22" t="s">
        <v>8594</v>
      </c>
    </row>
    <row r="1017" spans="1:3" x14ac:dyDescent="0.3">
      <c r="A1017" s="4" t="s">
        <v>2451</v>
      </c>
      <c r="B1017" s="4">
        <v>5.9</v>
      </c>
      <c r="C1017" s="23" t="s">
        <v>8774</v>
      </c>
    </row>
    <row r="1018" spans="1:3" x14ac:dyDescent="0.3">
      <c r="A1018" s="3" t="s">
        <v>2453</v>
      </c>
      <c r="B1018" s="3">
        <v>6.3</v>
      </c>
      <c r="C1018" s="22" t="s">
        <v>8493</v>
      </c>
    </row>
    <row r="1019" spans="1:3" x14ac:dyDescent="0.3">
      <c r="A1019" s="4" t="s">
        <v>2455</v>
      </c>
      <c r="B1019" s="4">
        <v>7.4</v>
      </c>
      <c r="C1019" s="23" t="s">
        <v>8775</v>
      </c>
    </row>
    <row r="1020" spans="1:3" x14ac:dyDescent="0.3">
      <c r="A1020" s="3" t="s">
        <v>2458</v>
      </c>
      <c r="B1020" s="3">
        <v>7.6</v>
      </c>
      <c r="C1020" s="22" t="s">
        <v>8444</v>
      </c>
    </row>
    <row r="1021" spans="1:3" x14ac:dyDescent="0.3">
      <c r="A1021" s="4" t="s">
        <v>2460</v>
      </c>
      <c r="B1021" s="4">
        <v>8.3000000000000007</v>
      </c>
      <c r="C1021" s="23" t="s">
        <v>8332</v>
      </c>
    </row>
    <row r="1022" spans="1:3" x14ac:dyDescent="0.3">
      <c r="A1022" s="3" t="s">
        <v>2462</v>
      </c>
      <c r="B1022" s="3">
        <v>6.6</v>
      </c>
      <c r="C1022" s="22" t="s">
        <v>8390</v>
      </c>
    </row>
    <row r="1023" spans="1:3" x14ac:dyDescent="0.3">
      <c r="A1023" s="4" t="s">
        <v>2464</v>
      </c>
      <c r="B1023" s="4">
        <v>6.9</v>
      </c>
      <c r="C1023" s="23" t="s">
        <v>8430</v>
      </c>
    </row>
    <row r="1024" spans="1:3" x14ac:dyDescent="0.3">
      <c r="A1024" s="3" t="s">
        <v>2466</v>
      </c>
      <c r="B1024" s="3">
        <v>6.7</v>
      </c>
      <c r="C1024" s="22" t="s">
        <v>8413</v>
      </c>
    </row>
    <row r="1025" spans="1:3" x14ac:dyDescent="0.3">
      <c r="A1025" s="4" t="s">
        <v>2468</v>
      </c>
      <c r="B1025" s="4">
        <v>6.8</v>
      </c>
      <c r="C1025" s="23" t="s">
        <v>8362</v>
      </c>
    </row>
    <row r="1026" spans="1:3" x14ac:dyDescent="0.3">
      <c r="A1026" s="3" t="s">
        <v>2471</v>
      </c>
      <c r="B1026" s="3">
        <v>4.5999999999999996</v>
      </c>
      <c r="C1026" s="22" t="s">
        <v>8776</v>
      </c>
    </row>
    <row r="1027" spans="1:3" x14ac:dyDescent="0.3">
      <c r="A1027" s="4" t="s">
        <v>2473</v>
      </c>
      <c r="B1027" s="4">
        <v>7.1</v>
      </c>
      <c r="C1027" s="23" t="s">
        <v>8656</v>
      </c>
    </row>
    <row r="1028" spans="1:3" x14ac:dyDescent="0.3">
      <c r="A1028" s="3" t="s">
        <v>2475</v>
      </c>
      <c r="B1028" s="3">
        <v>6.4</v>
      </c>
      <c r="C1028" s="22" t="s">
        <v>8512</v>
      </c>
    </row>
    <row r="1029" spans="1:3" x14ac:dyDescent="0.3">
      <c r="A1029" s="4" t="s">
        <v>2477</v>
      </c>
      <c r="B1029" s="4">
        <v>6.4</v>
      </c>
      <c r="C1029" s="23" t="s">
        <v>8571</v>
      </c>
    </row>
    <row r="1030" spans="1:3" x14ac:dyDescent="0.3">
      <c r="A1030" s="3" t="s">
        <v>2479</v>
      </c>
      <c r="B1030" s="3">
        <v>7.4</v>
      </c>
      <c r="C1030" s="22" t="s">
        <v>8679</v>
      </c>
    </row>
    <row r="1031" spans="1:3" x14ac:dyDescent="0.3">
      <c r="A1031" s="4" t="s">
        <v>2481</v>
      </c>
      <c r="B1031" s="4">
        <v>6.4</v>
      </c>
      <c r="C1031" s="23" t="s">
        <v>8434</v>
      </c>
    </row>
    <row r="1032" spans="1:3" x14ac:dyDescent="0.3">
      <c r="A1032" s="3" t="s">
        <v>2484</v>
      </c>
      <c r="B1032" s="3">
        <v>6</v>
      </c>
      <c r="C1032" s="22" t="s">
        <v>8663</v>
      </c>
    </row>
    <row r="1033" spans="1:3" x14ac:dyDescent="0.3">
      <c r="A1033" s="4" t="s">
        <v>2486</v>
      </c>
      <c r="B1033" s="4">
        <v>6.5</v>
      </c>
      <c r="C1033" s="23" t="s">
        <v>8713</v>
      </c>
    </row>
    <row r="1034" spans="1:3" x14ac:dyDescent="0.3">
      <c r="A1034" s="3" t="s">
        <v>2489</v>
      </c>
      <c r="B1034" s="3">
        <v>7.8</v>
      </c>
      <c r="C1034" s="22" t="s">
        <v>8434</v>
      </c>
    </row>
    <row r="1035" spans="1:3" x14ac:dyDescent="0.3">
      <c r="A1035" s="4" t="s">
        <v>2491</v>
      </c>
      <c r="B1035" s="4">
        <v>6</v>
      </c>
      <c r="C1035" s="23" t="s">
        <v>8777</v>
      </c>
    </row>
    <row r="1036" spans="1:3" x14ac:dyDescent="0.3">
      <c r="A1036" s="3" t="s">
        <v>2493</v>
      </c>
      <c r="B1036" s="3">
        <v>7</v>
      </c>
      <c r="C1036" s="22" t="s">
        <v>8444</v>
      </c>
    </row>
    <row r="1037" spans="1:3" x14ac:dyDescent="0.3">
      <c r="A1037" s="4" t="s">
        <v>2496</v>
      </c>
      <c r="B1037" s="4">
        <v>6</v>
      </c>
      <c r="C1037" s="23" t="s">
        <v>8495</v>
      </c>
    </row>
    <row r="1038" spans="1:3" x14ac:dyDescent="0.3">
      <c r="A1038" s="3" t="s">
        <v>2498</v>
      </c>
      <c r="B1038" s="3">
        <v>7.8</v>
      </c>
      <c r="C1038" s="22" t="s">
        <v>8778</v>
      </c>
    </row>
    <row r="1039" spans="1:3" x14ac:dyDescent="0.3">
      <c r="A1039" s="4" t="s">
        <v>2500</v>
      </c>
      <c r="B1039" s="4">
        <v>6.1</v>
      </c>
      <c r="C1039" s="23" t="s">
        <v>8779</v>
      </c>
    </row>
    <row r="1040" spans="1:3" x14ac:dyDescent="0.3">
      <c r="A1040" s="3" t="s">
        <v>2503</v>
      </c>
      <c r="B1040" s="3">
        <v>6.8</v>
      </c>
      <c r="C1040" s="22" t="s">
        <v>8424</v>
      </c>
    </row>
    <row r="1041" spans="1:3" x14ac:dyDescent="0.3">
      <c r="A1041" s="4" t="s">
        <v>2505</v>
      </c>
      <c r="B1041" s="4">
        <v>6.4</v>
      </c>
      <c r="C1041" s="23" t="s">
        <v>8780</v>
      </c>
    </row>
    <row r="1042" spans="1:3" x14ac:dyDescent="0.3">
      <c r="A1042" s="3" t="s">
        <v>2507</v>
      </c>
      <c r="B1042" s="3">
        <v>7.7</v>
      </c>
      <c r="C1042" s="22" t="s">
        <v>8781</v>
      </c>
    </row>
    <row r="1043" spans="1:3" x14ac:dyDescent="0.3">
      <c r="A1043" s="4" t="s">
        <v>2510</v>
      </c>
      <c r="B1043" s="4">
        <v>8.1</v>
      </c>
      <c r="C1043" s="23" t="s">
        <v>8782</v>
      </c>
    </row>
    <row r="1044" spans="1:3" x14ac:dyDescent="0.3">
      <c r="A1044" s="3" t="s">
        <v>2512</v>
      </c>
      <c r="B1044" s="3">
        <v>4.5</v>
      </c>
      <c r="C1044" s="22" t="s">
        <v>8783</v>
      </c>
    </row>
    <row r="1045" spans="1:3" x14ac:dyDescent="0.3">
      <c r="A1045" s="4" t="s">
        <v>2515</v>
      </c>
      <c r="B1045" s="4">
        <v>5.8</v>
      </c>
      <c r="C1045" s="23" t="s">
        <v>8784</v>
      </c>
    </row>
    <row r="1046" spans="1:3" x14ac:dyDescent="0.3">
      <c r="A1046" s="3" t="s">
        <v>2517</v>
      </c>
      <c r="B1046" s="3">
        <v>6.3</v>
      </c>
      <c r="C1046" s="22" t="s">
        <v>8785</v>
      </c>
    </row>
    <row r="1047" spans="1:3" x14ac:dyDescent="0.3">
      <c r="A1047" s="4" t="s">
        <v>2520</v>
      </c>
      <c r="B1047" s="4">
        <v>5.7</v>
      </c>
      <c r="C1047" s="23" t="s">
        <v>8735</v>
      </c>
    </row>
    <row r="1048" spans="1:3" x14ac:dyDescent="0.3">
      <c r="A1048" s="3" t="s">
        <v>2523</v>
      </c>
      <c r="B1048" s="3">
        <v>7.2</v>
      </c>
      <c r="C1048" s="22" t="s">
        <v>8297</v>
      </c>
    </row>
    <row r="1049" spans="1:3" x14ac:dyDescent="0.3">
      <c r="A1049" s="4" t="s">
        <v>2525</v>
      </c>
      <c r="B1049" s="4">
        <v>7.6</v>
      </c>
      <c r="C1049" s="23" t="s">
        <v>8591</v>
      </c>
    </row>
    <row r="1050" spans="1:3" x14ac:dyDescent="0.3">
      <c r="A1050" s="3" t="s">
        <v>2527</v>
      </c>
      <c r="B1050" s="3">
        <v>4.7</v>
      </c>
      <c r="C1050" s="22" t="s">
        <v>8698</v>
      </c>
    </row>
    <row r="1051" spans="1:3" x14ac:dyDescent="0.3">
      <c r="A1051" s="4" t="s">
        <v>2529</v>
      </c>
      <c r="B1051" s="4">
        <v>6.6</v>
      </c>
      <c r="C1051" s="23" t="s">
        <v>8397</v>
      </c>
    </row>
    <row r="1052" spans="1:3" x14ac:dyDescent="0.3">
      <c r="A1052" s="3" t="s">
        <v>2531</v>
      </c>
      <c r="B1052" s="3">
        <v>6.8</v>
      </c>
      <c r="C1052" s="22" t="s">
        <v>8345</v>
      </c>
    </row>
    <row r="1053" spans="1:3" x14ac:dyDescent="0.3">
      <c r="A1053" s="4" t="s">
        <v>2534</v>
      </c>
      <c r="B1053" s="4">
        <v>7.3</v>
      </c>
      <c r="C1053" s="23" t="s">
        <v>8786</v>
      </c>
    </row>
    <row r="1054" spans="1:3" x14ac:dyDescent="0.3">
      <c r="A1054" s="3" t="s">
        <v>2537</v>
      </c>
      <c r="B1054" s="3">
        <v>2.7</v>
      </c>
      <c r="C1054" s="22" t="s">
        <v>8787</v>
      </c>
    </row>
    <row r="1055" spans="1:3" x14ac:dyDescent="0.3">
      <c r="A1055" s="4" t="s">
        <v>2539</v>
      </c>
      <c r="B1055" s="4">
        <v>4.8</v>
      </c>
      <c r="C1055" s="23" t="s">
        <v>8649</v>
      </c>
    </row>
    <row r="1056" spans="1:3" x14ac:dyDescent="0.3">
      <c r="A1056" s="3" t="s">
        <v>2541</v>
      </c>
      <c r="B1056" s="3">
        <v>6.3</v>
      </c>
      <c r="C1056" s="22" t="s">
        <v>8777</v>
      </c>
    </row>
    <row r="1057" spans="1:3" x14ac:dyDescent="0.3">
      <c r="A1057" s="4" t="s">
        <v>2543</v>
      </c>
      <c r="B1057" s="4">
        <v>5.5</v>
      </c>
      <c r="C1057" s="23" t="s">
        <v>8788</v>
      </c>
    </row>
    <row r="1058" spans="1:3" x14ac:dyDescent="0.3">
      <c r="A1058" s="3" t="s">
        <v>2545</v>
      </c>
      <c r="B1058" s="3">
        <v>6.2</v>
      </c>
      <c r="C1058" s="22" t="s">
        <v>8665</v>
      </c>
    </row>
    <row r="1059" spans="1:3" x14ac:dyDescent="0.3">
      <c r="A1059" s="4" t="s">
        <v>2547</v>
      </c>
      <c r="B1059" s="4">
        <v>5.8</v>
      </c>
      <c r="C1059" s="23" t="s">
        <v>8540</v>
      </c>
    </row>
    <row r="1060" spans="1:3" x14ac:dyDescent="0.3">
      <c r="A1060" s="3" t="s">
        <v>2549</v>
      </c>
      <c r="B1060" s="3">
        <v>5.7</v>
      </c>
      <c r="C1060" s="22" t="s">
        <v>8586</v>
      </c>
    </row>
    <row r="1061" spans="1:3" x14ac:dyDescent="0.3">
      <c r="A1061" s="4" t="s">
        <v>2551</v>
      </c>
      <c r="B1061" s="4">
        <v>6.5</v>
      </c>
      <c r="C1061" s="23" t="s">
        <v>8504</v>
      </c>
    </row>
    <row r="1062" spans="1:3" x14ac:dyDescent="0.3">
      <c r="A1062" s="3" t="s">
        <v>2553</v>
      </c>
      <c r="B1062" s="3">
        <v>6.7</v>
      </c>
      <c r="C1062" s="22" t="s">
        <v>8426</v>
      </c>
    </row>
    <row r="1063" spans="1:3" x14ac:dyDescent="0.3">
      <c r="A1063" s="4" t="s">
        <v>2555</v>
      </c>
      <c r="B1063" s="4">
        <v>7.4</v>
      </c>
      <c r="C1063" s="23" t="s">
        <v>8633</v>
      </c>
    </row>
    <row r="1064" spans="1:3" x14ac:dyDescent="0.3">
      <c r="A1064" s="3" t="s">
        <v>2557</v>
      </c>
      <c r="B1064" s="3">
        <v>6.9</v>
      </c>
      <c r="C1064" s="22" t="s">
        <v>8413</v>
      </c>
    </row>
    <row r="1065" spans="1:3" x14ac:dyDescent="0.3">
      <c r="A1065" s="4" t="s">
        <v>2559</v>
      </c>
      <c r="B1065" s="4">
        <v>5.5</v>
      </c>
      <c r="C1065" s="23" t="s">
        <v>8568</v>
      </c>
    </row>
    <row r="1066" spans="1:3" x14ac:dyDescent="0.3">
      <c r="A1066" s="3" t="s">
        <v>2561</v>
      </c>
      <c r="B1066" s="3">
        <v>8.1</v>
      </c>
      <c r="C1066" s="22" t="s">
        <v>8789</v>
      </c>
    </row>
    <row r="1067" spans="1:3" x14ac:dyDescent="0.3">
      <c r="A1067" s="4" t="s">
        <v>2563</v>
      </c>
      <c r="B1067" s="4">
        <v>7.7</v>
      </c>
      <c r="C1067" s="23" t="s">
        <v>8567</v>
      </c>
    </row>
    <row r="1068" spans="1:3" x14ac:dyDescent="0.3">
      <c r="A1068" s="3" t="s">
        <v>2565</v>
      </c>
      <c r="B1068" s="3">
        <v>7.3</v>
      </c>
      <c r="C1068" s="22" t="s">
        <v>8396</v>
      </c>
    </row>
    <row r="1069" spans="1:3" x14ac:dyDescent="0.3">
      <c r="A1069" s="4" t="s">
        <v>2567</v>
      </c>
      <c r="B1069" s="4">
        <v>5.2</v>
      </c>
      <c r="C1069" s="23" t="s">
        <v>8632</v>
      </c>
    </row>
    <row r="1070" spans="1:3" x14ac:dyDescent="0.3">
      <c r="A1070" s="3" t="s">
        <v>2570</v>
      </c>
      <c r="B1070" s="3">
        <v>7.1</v>
      </c>
      <c r="C1070" s="22" t="s">
        <v>8367</v>
      </c>
    </row>
    <row r="1071" spans="1:3" x14ac:dyDescent="0.3">
      <c r="A1071" s="4" t="s">
        <v>2572</v>
      </c>
      <c r="B1071" s="4">
        <v>7.1</v>
      </c>
      <c r="C1071" s="23" t="s">
        <v>8562</v>
      </c>
    </row>
    <row r="1072" spans="1:3" x14ac:dyDescent="0.3">
      <c r="A1072" s="3" t="s">
        <v>2574</v>
      </c>
      <c r="B1072" s="3">
        <v>7.2</v>
      </c>
      <c r="C1072" s="22" t="s">
        <v>8790</v>
      </c>
    </row>
    <row r="1073" spans="1:3" x14ac:dyDescent="0.3">
      <c r="A1073" s="4" t="s">
        <v>2576</v>
      </c>
      <c r="B1073" s="4">
        <v>6.5</v>
      </c>
      <c r="C1073" s="23" t="s">
        <v>8791</v>
      </c>
    </row>
    <row r="1074" spans="1:3" x14ac:dyDescent="0.3">
      <c r="A1074" s="3" t="s">
        <v>2579</v>
      </c>
      <c r="B1074" s="3">
        <v>4.5999999999999996</v>
      </c>
      <c r="C1074" s="22" t="s">
        <v>8792</v>
      </c>
    </row>
    <row r="1075" spans="1:3" x14ac:dyDescent="0.3">
      <c r="A1075" s="4" t="s">
        <v>2581</v>
      </c>
      <c r="B1075" s="4">
        <v>5.6</v>
      </c>
      <c r="C1075" s="23" t="s">
        <v>8647</v>
      </c>
    </row>
    <row r="1076" spans="1:3" x14ac:dyDescent="0.3">
      <c r="A1076" s="3" t="s">
        <v>2583</v>
      </c>
      <c r="B1076" s="3">
        <v>7.7</v>
      </c>
      <c r="C1076" s="22" t="s">
        <v>8775</v>
      </c>
    </row>
    <row r="1077" spans="1:3" x14ac:dyDescent="0.3">
      <c r="A1077" s="4" t="s">
        <v>2585</v>
      </c>
      <c r="B1077" s="4">
        <v>7.2</v>
      </c>
      <c r="C1077" s="23" t="s">
        <v>8323</v>
      </c>
    </row>
    <row r="1078" spans="1:3" x14ac:dyDescent="0.3">
      <c r="A1078" s="3" t="s">
        <v>2587</v>
      </c>
      <c r="B1078" s="3">
        <v>6.8</v>
      </c>
      <c r="C1078" s="22" t="s">
        <v>8535</v>
      </c>
    </row>
    <row r="1079" spans="1:3" x14ac:dyDescent="0.3">
      <c r="A1079" s="4" t="s">
        <v>2589</v>
      </c>
      <c r="B1079" s="4">
        <v>5.4</v>
      </c>
      <c r="C1079" s="23" t="s">
        <v>8792</v>
      </c>
    </row>
    <row r="1080" spans="1:3" x14ac:dyDescent="0.3">
      <c r="A1080" s="3" t="s">
        <v>2591</v>
      </c>
      <c r="B1080" s="3">
        <v>6.3</v>
      </c>
      <c r="C1080" s="22" t="s">
        <v>8575</v>
      </c>
    </row>
    <row r="1081" spans="1:3" x14ac:dyDescent="0.3">
      <c r="A1081" s="4" t="s">
        <v>2593</v>
      </c>
      <c r="B1081" s="4">
        <v>7.2</v>
      </c>
      <c r="C1081" s="23" t="s">
        <v>8793</v>
      </c>
    </row>
    <row r="1082" spans="1:3" x14ac:dyDescent="0.3">
      <c r="A1082" s="3" t="s">
        <v>2595</v>
      </c>
      <c r="B1082" s="3">
        <v>5.6</v>
      </c>
      <c r="C1082" s="22" t="s">
        <v>8694</v>
      </c>
    </row>
    <row r="1083" spans="1:3" x14ac:dyDescent="0.3">
      <c r="A1083" s="4" t="s">
        <v>2597</v>
      </c>
      <c r="B1083" s="4">
        <v>6.8</v>
      </c>
      <c r="C1083" s="23" t="s">
        <v>8794</v>
      </c>
    </row>
    <row r="1084" spans="1:3" x14ac:dyDescent="0.3">
      <c r="A1084" s="3" t="s">
        <v>2600</v>
      </c>
      <c r="B1084" s="3">
        <v>4.3</v>
      </c>
      <c r="C1084" s="22" t="s">
        <v>8795</v>
      </c>
    </row>
    <row r="1085" spans="1:3" x14ac:dyDescent="0.3">
      <c r="A1085" s="4" t="s">
        <v>2603</v>
      </c>
      <c r="B1085" s="4">
        <v>6.3</v>
      </c>
      <c r="C1085" s="23" t="s">
        <v>8796</v>
      </c>
    </row>
    <row r="1086" spans="1:3" x14ac:dyDescent="0.3">
      <c r="A1086" s="3" t="s">
        <v>2606</v>
      </c>
      <c r="B1086" s="3">
        <v>6.5</v>
      </c>
      <c r="C1086" s="22" t="s">
        <v>8451</v>
      </c>
    </row>
    <row r="1087" spans="1:3" x14ac:dyDescent="0.3">
      <c r="A1087" s="4" t="s">
        <v>2608</v>
      </c>
      <c r="B1087" s="4">
        <v>6.4</v>
      </c>
      <c r="C1087" s="23" t="s">
        <v>8695</v>
      </c>
    </row>
    <row r="1088" spans="1:3" x14ac:dyDescent="0.3">
      <c r="A1088" s="3" t="s">
        <v>2610</v>
      </c>
      <c r="B1088" s="3">
        <v>6.3</v>
      </c>
      <c r="C1088" s="22" t="s">
        <v>8717</v>
      </c>
    </row>
    <row r="1089" spans="1:3" x14ac:dyDescent="0.3">
      <c r="A1089" s="4" t="s">
        <v>2612</v>
      </c>
      <c r="B1089" s="4">
        <v>5.9</v>
      </c>
      <c r="C1089" s="23" t="s">
        <v>8482</v>
      </c>
    </row>
    <row r="1090" spans="1:3" x14ac:dyDescent="0.3">
      <c r="A1090" s="3" t="s">
        <v>2614</v>
      </c>
      <c r="B1090" s="3">
        <v>6.5</v>
      </c>
      <c r="C1090" s="22" t="s">
        <v>8372</v>
      </c>
    </row>
    <row r="1091" spans="1:3" x14ac:dyDescent="0.3">
      <c r="A1091" s="4" t="s">
        <v>2616</v>
      </c>
      <c r="B1091" s="4">
        <v>6.5</v>
      </c>
      <c r="C1091" s="23" t="s">
        <v>8797</v>
      </c>
    </row>
    <row r="1092" spans="1:3" x14ac:dyDescent="0.3">
      <c r="A1092" s="3" t="s">
        <v>2619</v>
      </c>
      <c r="B1092" s="3">
        <v>6.1</v>
      </c>
      <c r="C1092" s="22" t="s">
        <v>8798</v>
      </c>
    </row>
    <row r="1093" spans="1:3" x14ac:dyDescent="0.3">
      <c r="A1093" s="4" t="s">
        <v>2621</v>
      </c>
      <c r="B1093" s="4">
        <v>5.9</v>
      </c>
      <c r="C1093" s="23" t="s">
        <v>8799</v>
      </c>
    </row>
    <row r="1094" spans="1:3" x14ac:dyDescent="0.3">
      <c r="A1094" s="3" t="s">
        <v>2623</v>
      </c>
      <c r="B1094" s="3">
        <v>6.6</v>
      </c>
      <c r="C1094" s="22" t="s">
        <v>8800</v>
      </c>
    </row>
    <row r="1095" spans="1:3" x14ac:dyDescent="0.3">
      <c r="A1095" s="4" t="s">
        <v>2625</v>
      </c>
      <c r="B1095" s="4">
        <v>7.4</v>
      </c>
      <c r="C1095" s="23" t="s">
        <v>8801</v>
      </c>
    </row>
    <row r="1096" spans="1:3" x14ac:dyDescent="0.3">
      <c r="A1096" s="3" t="s">
        <v>2627</v>
      </c>
      <c r="B1096" s="3">
        <v>7.3</v>
      </c>
      <c r="C1096" s="22" t="s">
        <v>8296</v>
      </c>
    </row>
    <row r="1097" spans="1:3" x14ac:dyDescent="0.3">
      <c r="A1097" s="4" t="s">
        <v>2629</v>
      </c>
      <c r="B1097" s="4">
        <v>6.6</v>
      </c>
      <c r="C1097" s="23" t="s">
        <v>8399</v>
      </c>
    </row>
    <row r="1098" spans="1:3" x14ac:dyDescent="0.3">
      <c r="A1098" s="3" t="s">
        <v>2631</v>
      </c>
      <c r="B1098" s="3">
        <v>5.6</v>
      </c>
      <c r="C1098" s="22" t="s">
        <v>8802</v>
      </c>
    </row>
    <row r="1099" spans="1:3" x14ac:dyDescent="0.3">
      <c r="A1099" s="4" t="s">
        <v>2633</v>
      </c>
      <c r="B1099" s="4">
        <v>5.3</v>
      </c>
      <c r="C1099" s="23" t="s">
        <v>8803</v>
      </c>
    </row>
    <row r="1100" spans="1:3" x14ac:dyDescent="0.3">
      <c r="A1100" s="3" t="s">
        <v>2635</v>
      </c>
      <c r="B1100" s="3">
        <v>6</v>
      </c>
      <c r="C1100" s="22" t="s">
        <v>8663</v>
      </c>
    </row>
    <row r="1101" spans="1:3" x14ac:dyDescent="0.3">
      <c r="A1101" s="4" t="s">
        <v>2637</v>
      </c>
      <c r="B1101" s="4">
        <v>5.4</v>
      </c>
      <c r="C1101" s="23" t="s">
        <v>8804</v>
      </c>
    </row>
    <row r="1102" spans="1:3" x14ac:dyDescent="0.3">
      <c r="A1102" s="3" t="s">
        <v>2640</v>
      </c>
      <c r="B1102" s="3">
        <v>6.8</v>
      </c>
      <c r="C1102" s="22" t="s">
        <v>8805</v>
      </c>
    </row>
    <row r="1103" spans="1:3" x14ac:dyDescent="0.3">
      <c r="A1103" s="4" t="s">
        <v>2643</v>
      </c>
      <c r="B1103" s="4">
        <v>6.4</v>
      </c>
      <c r="C1103" s="23" t="s">
        <v>8806</v>
      </c>
    </row>
    <row r="1104" spans="1:3" x14ac:dyDescent="0.3">
      <c r="A1104" s="3" t="s">
        <v>2645</v>
      </c>
      <c r="B1104" s="3">
        <v>7.1</v>
      </c>
      <c r="C1104" s="22" t="s">
        <v>8525</v>
      </c>
    </row>
    <row r="1105" spans="1:3" x14ac:dyDescent="0.3">
      <c r="A1105" s="4" t="s">
        <v>2647</v>
      </c>
      <c r="B1105" s="4">
        <v>4.9000000000000004</v>
      </c>
      <c r="C1105" s="23" t="s">
        <v>8807</v>
      </c>
    </row>
    <row r="1106" spans="1:3" x14ac:dyDescent="0.3">
      <c r="A1106" s="3" t="s">
        <v>2649</v>
      </c>
      <c r="B1106" s="3">
        <v>5.8</v>
      </c>
      <c r="C1106" s="22" t="s">
        <v>8808</v>
      </c>
    </row>
    <row r="1107" spans="1:3" x14ac:dyDescent="0.3">
      <c r="A1107" s="4" t="s">
        <v>2651</v>
      </c>
      <c r="B1107" s="4">
        <v>7.1</v>
      </c>
      <c r="C1107" s="23" t="s">
        <v>8372</v>
      </c>
    </row>
    <row r="1108" spans="1:3" x14ac:dyDescent="0.3">
      <c r="A1108" s="3" t="s">
        <v>2653</v>
      </c>
      <c r="B1108" s="3">
        <v>7.2</v>
      </c>
      <c r="C1108" s="22" t="s">
        <v>8628</v>
      </c>
    </row>
    <row r="1109" spans="1:3" x14ac:dyDescent="0.3">
      <c r="A1109" s="4" t="s">
        <v>2656</v>
      </c>
      <c r="B1109" s="4">
        <v>6</v>
      </c>
      <c r="C1109" s="23" t="s">
        <v>8348</v>
      </c>
    </row>
    <row r="1110" spans="1:3" x14ac:dyDescent="0.3">
      <c r="A1110" s="3" t="s">
        <v>2658</v>
      </c>
      <c r="B1110" s="3">
        <v>6</v>
      </c>
      <c r="C1110" s="22" t="s">
        <v>8730</v>
      </c>
    </row>
    <row r="1111" spans="1:3" x14ac:dyDescent="0.3">
      <c r="A1111" s="4" t="s">
        <v>2661</v>
      </c>
      <c r="B1111" s="4">
        <v>7</v>
      </c>
      <c r="C1111" s="23" t="s">
        <v>8480</v>
      </c>
    </row>
    <row r="1112" spans="1:3" x14ac:dyDescent="0.3">
      <c r="A1112" s="3" t="s">
        <v>2664</v>
      </c>
      <c r="B1112" s="3">
        <v>5.4</v>
      </c>
      <c r="C1112" s="22" t="s">
        <v>8809</v>
      </c>
    </row>
    <row r="1113" spans="1:3" x14ac:dyDescent="0.3">
      <c r="A1113" s="4" t="s">
        <v>2666</v>
      </c>
      <c r="B1113" s="4">
        <v>6.5</v>
      </c>
      <c r="C1113" s="23" t="s">
        <v>8309</v>
      </c>
    </row>
    <row r="1114" spans="1:3" x14ac:dyDescent="0.3">
      <c r="A1114" s="3" t="s">
        <v>2668</v>
      </c>
      <c r="B1114" s="3">
        <v>6.4</v>
      </c>
      <c r="C1114" s="22" t="s">
        <v>8330</v>
      </c>
    </row>
    <row r="1115" spans="1:3" x14ac:dyDescent="0.3">
      <c r="A1115" s="4" t="s">
        <v>2670</v>
      </c>
      <c r="B1115" s="4">
        <v>4.9000000000000004</v>
      </c>
      <c r="C1115" s="23" t="s">
        <v>8810</v>
      </c>
    </row>
    <row r="1116" spans="1:3" x14ac:dyDescent="0.3">
      <c r="A1116" s="3" t="s">
        <v>2672</v>
      </c>
      <c r="B1116" s="3">
        <v>6.3</v>
      </c>
      <c r="C1116" s="22" t="s">
        <v>8811</v>
      </c>
    </row>
    <row r="1117" spans="1:3" x14ac:dyDescent="0.3">
      <c r="A1117" s="4" t="s">
        <v>2674</v>
      </c>
      <c r="B1117" s="4">
        <v>1.7</v>
      </c>
      <c r="C1117" s="23" t="s">
        <v>8812</v>
      </c>
    </row>
    <row r="1118" spans="1:3" x14ac:dyDescent="0.3">
      <c r="A1118" s="3" t="s">
        <v>2677</v>
      </c>
      <c r="B1118" s="3">
        <v>7.7</v>
      </c>
      <c r="C1118" s="22" t="s">
        <v>8813</v>
      </c>
    </row>
    <row r="1119" spans="1:3" x14ac:dyDescent="0.3">
      <c r="A1119" s="4" t="s">
        <v>2679</v>
      </c>
      <c r="B1119" s="4">
        <v>7.8</v>
      </c>
      <c r="C1119" s="23" t="s">
        <v>8519</v>
      </c>
    </row>
    <row r="1120" spans="1:3" x14ac:dyDescent="0.3">
      <c r="A1120" s="3" t="s">
        <v>2681</v>
      </c>
      <c r="B1120" s="3">
        <v>5.5</v>
      </c>
      <c r="C1120" s="22" t="s">
        <v>8572</v>
      </c>
    </row>
    <row r="1121" spans="1:3" x14ac:dyDescent="0.3">
      <c r="A1121" s="4" t="s">
        <v>2683</v>
      </c>
      <c r="B1121" s="4">
        <v>7.5</v>
      </c>
      <c r="C1121" s="23" t="s">
        <v>8570</v>
      </c>
    </row>
    <row r="1122" spans="1:3" x14ac:dyDescent="0.3">
      <c r="A1122" s="3" t="s">
        <v>2685</v>
      </c>
      <c r="B1122" s="3">
        <v>6.4</v>
      </c>
      <c r="C1122" s="22" t="s">
        <v>8810</v>
      </c>
    </row>
    <row r="1123" spans="1:3" x14ac:dyDescent="0.3">
      <c r="A1123" s="4" t="s">
        <v>2687</v>
      </c>
      <c r="B1123" s="4">
        <v>5.6</v>
      </c>
      <c r="C1123" s="23" t="s">
        <v>8814</v>
      </c>
    </row>
    <row r="1124" spans="1:3" x14ac:dyDescent="0.3">
      <c r="A1124" s="3" t="s">
        <v>2689</v>
      </c>
      <c r="B1124" s="3">
        <v>7.5</v>
      </c>
      <c r="C1124" s="22" t="s">
        <v>8815</v>
      </c>
    </row>
    <row r="1125" spans="1:3" x14ac:dyDescent="0.3">
      <c r="A1125" s="4" t="s">
        <v>2691</v>
      </c>
      <c r="B1125" s="4">
        <v>6.8</v>
      </c>
      <c r="C1125" s="23" t="s">
        <v>8816</v>
      </c>
    </row>
    <row r="1126" spans="1:3" x14ac:dyDescent="0.3">
      <c r="A1126" s="3" t="s">
        <v>2694</v>
      </c>
      <c r="B1126" s="3">
        <v>6.8</v>
      </c>
      <c r="C1126" s="22" t="s">
        <v>8450</v>
      </c>
    </row>
    <row r="1127" spans="1:3" x14ac:dyDescent="0.3">
      <c r="A1127" s="4" t="s">
        <v>2697</v>
      </c>
      <c r="B1127" s="4">
        <v>6</v>
      </c>
      <c r="C1127" s="23" t="s">
        <v>8817</v>
      </c>
    </row>
    <row r="1128" spans="1:3" x14ac:dyDescent="0.3">
      <c r="A1128" s="3" t="s">
        <v>2699</v>
      </c>
      <c r="B1128" s="3">
        <v>7.3</v>
      </c>
      <c r="C1128" s="22" t="s">
        <v>8818</v>
      </c>
    </row>
    <row r="1129" spans="1:3" x14ac:dyDescent="0.3">
      <c r="A1129" s="4" t="s">
        <v>2702</v>
      </c>
      <c r="B1129" s="4">
        <v>6</v>
      </c>
      <c r="C1129" s="23" t="s">
        <v>8585</v>
      </c>
    </row>
    <row r="1130" spans="1:3" x14ac:dyDescent="0.3">
      <c r="A1130" s="3" t="s">
        <v>2704</v>
      </c>
      <c r="B1130" s="3">
        <v>7</v>
      </c>
      <c r="C1130" s="22" t="s">
        <v>8406</v>
      </c>
    </row>
    <row r="1131" spans="1:3" x14ac:dyDescent="0.3">
      <c r="A1131" s="4" t="s">
        <v>2706</v>
      </c>
      <c r="B1131" s="4">
        <v>5.0999999999999996</v>
      </c>
      <c r="C1131" s="23" t="s">
        <v>8819</v>
      </c>
    </row>
    <row r="1132" spans="1:3" x14ac:dyDescent="0.3">
      <c r="A1132" s="3" t="s">
        <v>2709</v>
      </c>
      <c r="B1132" s="3">
        <v>6.8</v>
      </c>
      <c r="C1132" s="22" t="s">
        <v>8500</v>
      </c>
    </row>
    <row r="1133" spans="1:3" x14ac:dyDescent="0.3">
      <c r="A1133" s="4" t="s">
        <v>2711</v>
      </c>
      <c r="B1133" s="4">
        <v>6.5</v>
      </c>
      <c r="C1133" s="23" t="s">
        <v>8820</v>
      </c>
    </row>
    <row r="1134" spans="1:3" x14ac:dyDescent="0.3">
      <c r="A1134" s="3" t="s">
        <v>2713</v>
      </c>
      <c r="B1134" s="3">
        <v>6.6</v>
      </c>
      <c r="C1134" s="22" t="s">
        <v>8465</v>
      </c>
    </row>
    <row r="1135" spans="1:3" x14ac:dyDescent="0.3">
      <c r="A1135" s="4" t="s">
        <v>2716</v>
      </c>
      <c r="B1135" s="4">
        <v>7.2</v>
      </c>
      <c r="C1135" s="23" t="s">
        <v>8494</v>
      </c>
    </row>
    <row r="1136" spans="1:3" x14ac:dyDescent="0.3">
      <c r="A1136" s="3" t="s">
        <v>2718</v>
      </c>
      <c r="B1136" s="3">
        <v>7</v>
      </c>
      <c r="C1136" s="22" t="s">
        <v>8791</v>
      </c>
    </row>
    <row r="1137" spans="1:3" x14ac:dyDescent="0.3">
      <c r="A1137" s="4" t="s">
        <v>2720</v>
      </c>
      <c r="B1137" s="4">
        <v>7</v>
      </c>
      <c r="C1137" s="23" t="s">
        <v>8705</v>
      </c>
    </row>
    <row r="1138" spans="1:3" x14ac:dyDescent="0.3">
      <c r="A1138" s="3" t="s">
        <v>2722</v>
      </c>
      <c r="B1138" s="3">
        <v>5.9</v>
      </c>
      <c r="C1138" s="22" t="s">
        <v>8821</v>
      </c>
    </row>
    <row r="1139" spans="1:3" x14ac:dyDescent="0.3">
      <c r="A1139" s="4" t="s">
        <v>2724</v>
      </c>
      <c r="B1139" s="4">
        <v>5.4</v>
      </c>
      <c r="C1139" s="23" t="s">
        <v>8822</v>
      </c>
    </row>
    <row r="1140" spans="1:3" x14ac:dyDescent="0.3">
      <c r="A1140" s="3" t="s">
        <v>2726</v>
      </c>
      <c r="B1140" s="3">
        <v>6.6</v>
      </c>
      <c r="C1140" s="22" t="s">
        <v>8393</v>
      </c>
    </row>
    <row r="1141" spans="1:3" x14ac:dyDescent="0.3">
      <c r="A1141" s="4" t="s">
        <v>2728</v>
      </c>
      <c r="B1141" s="4">
        <v>7</v>
      </c>
      <c r="C1141" s="23" t="s">
        <v>8823</v>
      </c>
    </row>
    <row r="1142" spans="1:3" x14ac:dyDescent="0.3">
      <c r="A1142" s="3" t="s">
        <v>2731</v>
      </c>
      <c r="B1142" s="3">
        <v>6.5</v>
      </c>
      <c r="C1142" s="22" t="s">
        <v>8451</v>
      </c>
    </row>
    <row r="1143" spans="1:3" x14ac:dyDescent="0.3">
      <c r="A1143" s="4" t="s">
        <v>2733</v>
      </c>
      <c r="B1143" s="4">
        <v>6.3</v>
      </c>
      <c r="C1143" s="23" t="s">
        <v>8755</v>
      </c>
    </row>
    <row r="1144" spans="1:3" x14ac:dyDescent="0.3">
      <c r="A1144" s="3" t="s">
        <v>2735</v>
      </c>
      <c r="B1144" s="3">
        <v>6.5</v>
      </c>
      <c r="C1144" s="22" t="s">
        <v>8824</v>
      </c>
    </row>
    <row r="1145" spans="1:3" x14ac:dyDescent="0.3">
      <c r="A1145" s="4" t="s">
        <v>2737</v>
      </c>
      <c r="B1145" s="4">
        <v>6.5</v>
      </c>
      <c r="C1145" s="23" t="s">
        <v>8825</v>
      </c>
    </row>
    <row r="1146" spans="1:3" x14ac:dyDescent="0.3">
      <c r="A1146" s="3" t="s">
        <v>2739</v>
      </c>
      <c r="B1146" s="3">
        <v>5.8</v>
      </c>
      <c r="C1146" s="22" t="s">
        <v>8620</v>
      </c>
    </row>
    <row r="1147" spans="1:3" x14ac:dyDescent="0.3">
      <c r="A1147" s="4" t="s">
        <v>2741</v>
      </c>
      <c r="B1147" s="4">
        <v>6.6</v>
      </c>
      <c r="C1147" s="23" t="s">
        <v>8826</v>
      </c>
    </row>
    <row r="1148" spans="1:3" x14ac:dyDescent="0.3">
      <c r="A1148" s="3" t="s">
        <v>2743</v>
      </c>
      <c r="B1148" s="3">
        <v>5.4</v>
      </c>
      <c r="C1148" s="22" t="s">
        <v>8827</v>
      </c>
    </row>
    <row r="1149" spans="1:3" x14ac:dyDescent="0.3">
      <c r="A1149" s="4" t="s">
        <v>2745</v>
      </c>
      <c r="B1149" s="4">
        <v>6.1</v>
      </c>
      <c r="C1149" s="23" t="s">
        <v>8828</v>
      </c>
    </row>
    <row r="1150" spans="1:3" x14ac:dyDescent="0.3">
      <c r="A1150" s="3" t="s">
        <v>2748</v>
      </c>
      <c r="B1150" s="3">
        <v>4</v>
      </c>
      <c r="C1150" s="22" t="s">
        <v>8829</v>
      </c>
    </row>
    <row r="1151" spans="1:3" x14ac:dyDescent="0.3">
      <c r="A1151" s="4" t="s">
        <v>2750</v>
      </c>
      <c r="B1151" s="4">
        <v>7.6</v>
      </c>
      <c r="C1151" s="23" t="s">
        <v>8761</v>
      </c>
    </row>
    <row r="1152" spans="1:3" x14ac:dyDescent="0.3">
      <c r="A1152" s="3" t="s">
        <v>2752</v>
      </c>
      <c r="B1152" s="3">
        <v>7.9</v>
      </c>
      <c r="C1152" s="22" t="s">
        <v>8480</v>
      </c>
    </row>
    <row r="1153" spans="1:3" x14ac:dyDescent="0.3">
      <c r="A1153" s="4" t="s">
        <v>2755</v>
      </c>
      <c r="B1153" s="4">
        <v>5.3</v>
      </c>
      <c r="C1153" s="23" t="s">
        <v>8830</v>
      </c>
    </row>
    <row r="1154" spans="1:3" x14ac:dyDescent="0.3">
      <c r="A1154" s="3" t="s">
        <v>2757</v>
      </c>
      <c r="B1154" s="3">
        <v>6.6</v>
      </c>
      <c r="C1154" s="22" t="s">
        <v>8831</v>
      </c>
    </row>
    <row r="1155" spans="1:3" x14ac:dyDescent="0.3">
      <c r="A1155" s="4" t="s">
        <v>2759</v>
      </c>
      <c r="B1155" s="4">
        <v>6.3</v>
      </c>
      <c r="C1155" s="23" t="s">
        <v>8832</v>
      </c>
    </row>
    <row r="1156" spans="1:3" x14ac:dyDescent="0.3">
      <c r="A1156" s="3" t="s">
        <v>2761</v>
      </c>
      <c r="B1156" s="3">
        <v>7.2</v>
      </c>
      <c r="C1156" s="22" t="s">
        <v>8658</v>
      </c>
    </row>
    <row r="1157" spans="1:3" x14ac:dyDescent="0.3">
      <c r="A1157" s="4" t="s">
        <v>2764</v>
      </c>
      <c r="B1157" s="4">
        <v>7</v>
      </c>
      <c r="C1157" s="23" t="s">
        <v>8717</v>
      </c>
    </row>
    <row r="1158" spans="1:3" x14ac:dyDescent="0.3">
      <c r="A1158" s="3" t="s">
        <v>2766</v>
      </c>
      <c r="B1158" s="3">
        <v>4.9000000000000004</v>
      </c>
      <c r="C1158" s="22" t="s">
        <v>8833</v>
      </c>
    </row>
    <row r="1159" spans="1:3" x14ac:dyDescent="0.3">
      <c r="A1159" s="4" t="s">
        <v>2768</v>
      </c>
      <c r="B1159" s="4">
        <v>6.9</v>
      </c>
      <c r="C1159" s="23" t="s">
        <v>8731</v>
      </c>
    </row>
    <row r="1160" spans="1:3" x14ac:dyDescent="0.3">
      <c r="A1160" s="3" t="s">
        <v>2770</v>
      </c>
      <c r="B1160" s="3">
        <v>5.2</v>
      </c>
      <c r="C1160" s="22" t="s">
        <v>8834</v>
      </c>
    </row>
    <row r="1161" spans="1:3" x14ac:dyDescent="0.3">
      <c r="A1161" s="4" t="s">
        <v>2772</v>
      </c>
      <c r="B1161" s="4">
        <v>8.1</v>
      </c>
      <c r="C1161" s="23" t="s">
        <v>8387</v>
      </c>
    </row>
    <row r="1162" spans="1:3" x14ac:dyDescent="0.3">
      <c r="A1162" s="3" t="s">
        <v>2774</v>
      </c>
      <c r="B1162" s="3">
        <v>6.6</v>
      </c>
      <c r="C1162" s="22" t="s">
        <v>8835</v>
      </c>
    </row>
    <row r="1163" spans="1:3" x14ac:dyDescent="0.3">
      <c r="A1163" s="4" t="s">
        <v>2776</v>
      </c>
      <c r="B1163" s="4">
        <v>6.2</v>
      </c>
      <c r="C1163" s="23" t="s">
        <v>8638</v>
      </c>
    </row>
    <row r="1164" spans="1:3" x14ac:dyDescent="0.3">
      <c r="A1164" s="3" t="s">
        <v>2778</v>
      </c>
      <c r="B1164" s="3">
        <v>7.2</v>
      </c>
      <c r="C1164" s="22" t="s">
        <v>8836</v>
      </c>
    </row>
    <row r="1165" spans="1:3" x14ac:dyDescent="0.3">
      <c r="A1165" s="4" t="s">
        <v>2780</v>
      </c>
      <c r="B1165" s="4">
        <v>7.3</v>
      </c>
      <c r="C1165" s="23" t="s">
        <v>8656</v>
      </c>
    </row>
    <row r="1166" spans="1:3" x14ac:dyDescent="0.3">
      <c r="A1166" s="3" t="s">
        <v>2782</v>
      </c>
      <c r="B1166" s="3">
        <v>6.7</v>
      </c>
      <c r="C1166" s="22" t="s">
        <v>8837</v>
      </c>
    </row>
    <row r="1167" spans="1:3" x14ac:dyDescent="0.3">
      <c r="A1167" s="4" t="s">
        <v>2784</v>
      </c>
      <c r="B1167" s="4">
        <v>6.4</v>
      </c>
      <c r="C1167" s="23" t="s">
        <v>8838</v>
      </c>
    </row>
    <row r="1168" spans="1:3" x14ac:dyDescent="0.3">
      <c r="A1168" s="3" t="s">
        <v>2786</v>
      </c>
      <c r="B1168" s="3">
        <v>7.8</v>
      </c>
      <c r="C1168" s="22" t="s">
        <v>8337</v>
      </c>
    </row>
    <row r="1169" spans="1:3" x14ac:dyDescent="0.3">
      <c r="A1169" s="4" t="s">
        <v>2788</v>
      </c>
      <c r="B1169" s="4">
        <v>6.4</v>
      </c>
      <c r="C1169" s="23" t="s">
        <v>8484</v>
      </c>
    </row>
    <row r="1170" spans="1:3" x14ac:dyDescent="0.3">
      <c r="A1170" s="3" t="s">
        <v>2791</v>
      </c>
      <c r="B1170" s="3">
        <v>4.0999999999999996</v>
      </c>
      <c r="C1170" s="22" t="s">
        <v>8839</v>
      </c>
    </row>
    <row r="1171" spans="1:3" x14ac:dyDescent="0.3">
      <c r="A1171" s="4" t="s">
        <v>2794</v>
      </c>
      <c r="B1171" s="4">
        <v>4.0999999999999996</v>
      </c>
      <c r="C1171" s="23" t="s">
        <v>8716</v>
      </c>
    </row>
    <row r="1172" spans="1:3" x14ac:dyDescent="0.3">
      <c r="A1172" s="3" t="s">
        <v>2796</v>
      </c>
      <c r="B1172" s="3">
        <v>7.4</v>
      </c>
      <c r="C1172" s="22" t="s">
        <v>8426</v>
      </c>
    </row>
    <row r="1173" spans="1:3" x14ac:dyDescent="0.3">
      <c r="A1173" s="4" t="s">
        <v>2799</v>
      </c>
      <c r="B1173" s="4">
        <v>5.8</v>
      </c>
      <c r="C1173" s="23" t="s">
        <v>8374</v>
      </c>
    </row>
    <row r="1174" spans="1:3" x14ac:dyDescent="0.3">
      <c r="A1174" s="3" t="s">
        <v>2801</v>
      </c>
      <c r="B1174" s="3">
        <v>7.6</v>
      </c>
      <c r="C1174" s="22" t="s">
        <v>8315</v>
      </c>
    </row>
    <row r="1175" spans="1:3" x14ac:dyDescent="0.3">
      <c r="A1175" s="4" t="s">
        <v>2803</v>
      </c>
      <c r="B1175" s="4">
        <v>7.2</v>
      </c>
      <c r="C1175" s="23" t="s">
        <v>8780</v>
      </c>
    </row>
    <row r="1176" spans="1:3" x14ac:dyDescent="0.3">
      <c r="A1176" s="3" t="s">
        <v>2806</v>
      </c>
      <c r="B1176" s="3">
        <v>7.8</v>
      </c>
      <c r="C1176" s="22" t="s">
        <v>8327</v>
      </c>
    </row>
    <row r="1177" spans="1:3" x14ac:dyDescent="0.3">
      <c r="A1177" s="4" t="s">
        <v>2808</v>
      </c>
      <c r="B1177" s="4">
        <v>7.7</v>
      </c>
      <c r="C1177" s="23" t="s">
        <v>8362</v>
      </c>
    </row>
    <row r="1178" spans="1:3" x14ac:dyDescent="0.3">
      <c r="A1178" s="3" t="s">
        <v>2810</v>
      </c>
      <c r="B1178" s="3">
        <v>6.4</v>
      </c>
      <c r="C1178" s="22" t="s">
        <v>8840</v>
      </c>
    </row>
    <row r="1179" spans="1:3" x14ac:dyDescent="0.3">
      <c r="A1179" s="4" t="s">
        <v>2812</v>
      </c>
      <c r="B1179" s="4">
        <v>5.0999999999999996</v>
      </c>
      <c r="C1179" s="23" t="s">
        <v>8788</v>
      </c>
    </row>
    <row r="1180" spans="1:3" x14ac:dyDescent="0.3">
      <c r="A1180" s="3" t="s">
        <v>2814</v>
      </c>
      <c r="B1180" s="3">
        <v>5.5</v>
      </c>
      <c r="C1180" s="22" t="s">
        <v>8841</v>
      </c>
    </row>
    <row r="1181" spans="1:3" x14ac:dyDescent="0.3">
      <c r="A1181" s="4" t="s">
        <v>2816</v>
      </c>
      <c r="B1181" s="4">
        <v>7.4</v>
      </c>
      <c r="C1181" s="23" t="s">
        <v>8337</v>
      </c>
    </row>
    <row r="1182" spans="1:3" x14ac:dyDescent="0.3">
      <c r="A1182" s="3" t="s">
        <v>2818</v>
      </c>
      <c r="B1182" s="3">
        <v>6</v>
      </c>
      <c r="C1182" s="22" t="s">
        <v>8842</v>
      </c>
    </row>
    <row r="1183" spans="1:3" x14ac:dyDescent="0.3">
      <c r="A1183" s="4" t="s">
        <v>2820</v>
      </c>
      <c r="B1183" s="4">
        <v>7.5</v>
      </c>
      <c r="C1183" s="23" t="s">
        <v>8713</v>
      </c>
    </row>
    <row r="1184" spans="1:3" x14ac:dyDescent="0.3">
      <c r="A1184" s="3" t="s">
        <v>2822</v>
      </c>
      <c r="B1184" s="3">
        <v>7</v>
      </c>
      <c r="C1184" s="22" t="s">
        <v>8617</v>
      </c>
    </row>
    <row r="1185" spans="1:3" x14ac:dyDescent="0.3">
      <c r="A1185" s="4" t="s">
        <v>2824</v>
      </c>
      <c r="B1185" s="4">
        <v>7.5</v>
      </c>
      <c r="C1185" s="23" t="s">
        <v>8731</v>
      </c>
    </row>
    <row r="1186" spans="1:3" x14ac:dyDescent="0.3">
      <c r="A1186" s="3" t="s">
        <v>2827</v>
      </c>
      <c r="B1186" s="3">
        <v>7.3</v>
      </c>
      <c r="C1186" s="22" t="s">
        <v>8534</v>
      </c>
    </row>
    <row r="1187" spans="1:3" x14ac:dyDescent="0.3">
      <c r="A1187" s="4" t="s">
        <v>2829</v>
      </c>
      <c r="B1187" s="4">
        <v>5.7</v>
      </c>
      <c r="C1187" s="23" t="s">
        <v>8600</v>
      </c>
    </row>
    <row r="1188" spans="1:3" x14ac:dyDescent="0.3">
      <c r="A1188" s="3" t="s">
        <v>2831</v>
      </c>
      <c r="B1188" s="3">
        <v>7.3</v>
      </c>
      <c r="C1188" s="22" t="s">
        <v>8732</v>
      </c>
    </row>
    <row r="1189" spans="1:3" x14ac:dyDescent="0.3">
      <c r="A1189" s="4" t="s">
        <v>2833</v>
      </c>
      <c r="B1189" s="4">
        <v>7.2</v>
      </c>
      <c r="C1189" s="23" t="s">
        <v>8513</v>
      </c>
    </row>
    <row r="1190" spans="1:3" x14ac:dyDescent="0.3">
      <c r="A1190" s="3" t="s">
        <v>2835</v>
      </c>
      <c r="B1190" s="3">
        <v>5.9</v>
      </c>
      <c r="C1190" s="22" t="s">
        <v>8428</v>
      </c>
    </row>
    <row r="1191" spans="1:3" x14ac:dyDescent="0.3">
      <c r="A1191" s="4" t="s">
        <v>2837</v>
      </c>
      <c r="B1191" s="4">
        <v>7.8</v>
      </c>
      <c r="C1191" s="23" t="s">
        <v>8452</v>
      </c>
    </row>
    <row r="1192" spans="1:3" x14ac:dyDescent="0.3">
      <c r="A1192" s="3" t="s">
        <v>2839</v>
      </c>
      <c r="B1192" s="3">
        <v>7.7</v>
      </c>
      <c r="C1192" s="22" t="s">
        <v>8625</v>
      </c>
    </row>
    <row r="1193" spans="1:3" x14ac:dyDescent="0.3">
      <c r="A1193" s="4" t="s">
        <v>2841</v>
      </c>
      <c r="B1193" s="4">
        <v>8.1</v>
      </c>
      <c r="C1193" s="23" t="s">
        <v>8629</v>
      </c>
    </row>
    <row r="1194" spans="1:3" x14ac:dyDescent="0.3">
      <c r="A1194" s="3" t="s">
        <v>2843</v>
      </c>
      <c r="B1194" s="3">
        <v>6.6</v>
      </c>
      <c r="C1194" s="22" t="s">
        <v>8525</v>
      </c>
    </row>
    <row r="1195" spans="1:3" x14ac:dyDescent="0.3">
      <c r="A1195" s="4" t="s">
        <v>2845</v>
      </c>
      <c r="B1195" s="4">
        <v>7.1</v>
      </c>
      <c r="C1195" s="23" t="s">
        <v>8821</v>
      </c>
    </row>
    <row r="1196" spans="1:3" x14ac:dyDescent="0.3">
      <c r="A1196" s="3" t="s">
        <v>2848</v>
      </c>
      <c r="B1196" s="3">
        <v>5.9</v>
      </c>
      <c r="C1196" s="22" t="s">
        <v>8600</v>
      </c>
    </row>
    <row r="1197" spans="1:3" x14ac:dyDescent="0.3">
      <c r="A1197" s="4" t="s">
        <v>2851</v>
      </c>
      <c r="B1197" s="4">
        <v>8</v>
      </c>
      <c r="C1197" s="23" t="s">
        <v>8372</v>
      </c>
    </row>
    <row r="1198" spans="1:3" x14ac:dyDescent="0.3">
      <c r="A1198" s="3" t="s">
        <v>2853</v>
      </c>
      <c r="B1198" s="3">
        <v>4.5999999999999996</v>
      </c>
      <c r="C1198" s="22" t="s">
        <v>8726</v>
      </c>
    </row>
    <row r="1199" spans="1:3" x14ac:dyDescent="0.3">
      <c r="A1199" s="4" t="s">
        <v>2856</v>
      </c>
      <c r="B1199" s="4">
        <v>6.1</v>
      </c>
      <c r="C1199" s="23" t="s">
        <v>8295</v>
      </c>
    </row>
    <row r="1200" spans="1:3" x14ac:dyDescent="0.3">
      <c r="A1200" s="3" t="s">
        <v>2858</v>
      </c>
      <c r="B1200" s="3">
        <v>7.2</v>
      </c>
      <c r="C1200" s="22" t="s">
        <v>8618</v>
      </c>
    </row>
    <row r="1201" spans="1:3" x14ac:dyDescent="0.3">
      <c r="A1201" s="4" t="s">
        <v>2861</v>
      </c>
      <c r="B1201" s="4">
        <v>6.4</v>
      </c>
      <c r="C1201" s="23" t="s">
        <v>8820</v>
      </c>
    </row>
    <row r="1202" spans="1:3" x14ac:dyDescent="0.3">
      <c r="A1202" s="3" t="s">
        <v>2863</v>
      </c>
      <c r="B1202" s="3">
        <v>6</v>
      </c>
      <c r="C1202" s="22" t="s">
        <v>8843</v>
      </c>
    </row>
    <row r="1203" spans="1:3" x14ac:dyDescent="0.3">
      <c r="A1203" s="4" t="s">
        <v>2865</v>
      </c>
      <c r="B1203" s="4">
        <v>5.2</v>
      </c>
      <c r="C1203" s="23" t="s">
        <v>8797</v>
      </c>
    </row>
    <row r="1204" spans="1:3" x14ac:dyDescent="0.3">
      <c r="A1204" s="3" t="s">
        <v>2867</v>
      </c>
      <c r="B1204" s="3">
        <v>7.6</v>
      </c>
      <c r="C1204" s="22" t="s">
        <v>8332</v>
      </c>
    </row>
    <row r="1205" spans="1:3" x14ac:dyDescent="0.3">
      <c r="A1205" s="4" t="s">
        <v>2870</v>
      </c>
      <c r="B1205" s="4">
        <v>6.4</v>
      </c>
      <c r="C1205" s="23" t="s">
        <v>8491</v>
      </c>
    </row>
    <row r="1206" spans="1:3" x14ac:dyDescent="0.3">
      <c r="A1206" s="3" t="s">
        <v>2872</v>
      </c>
      <c r="B1206" s="3">
        <v>6.4</v>
      </c>
      <c r="C1206" s="22" t="s">
        <v>8844</v>
      </c>
    </row>
    <row r="1207" spans="1:3" x14ac:dyDescent="0.3">
      <c r="A1207" s="4" t="s">
        <v>2874</v>
      </c>
      <c r="B1207" s="4">
        <v>6.1</v>
      </c>
      <c r="C1207" s="23" t="s">
        <v>8456</v>
      </c>
    </row>
    <row r="1208" spans="1:3" x14ac:dyDescent="0.3">
      <c r="A1208" s="3" t="s">
        <v>2876</v>
      </c>
      <c r="B1208" s="3">
        <v>6.1</v>
      </c>
      <c r="C1208" s="22" t="s">
        <v>8552</v>
      </c>
    </row>
    <row r="1209" spans="1:3" x14ac:dyDescent="0.3">
      <c r="A1209" s="4" t="s">
        <v>2878</v>
      </c>
      <c r="B1209" s="4">
        <v>5.2</v>
      </c>
      <c r="C1209" s="23" t="s">
        <v>8845</v>
      </c>
    </row>
    <row r="1210" spans="1:3" x14ac:dyDescent="0.3">
      <c r="A1210" s="3" t="s">
        <v>2881</v>
      </c>
      <c r="B1210" s="3">
        <v>7.7</v>
      </c>
      <c r="C1210" s="22" t="s">
        <v>8347</v>
      </c>
    </row>
    <row r="1211" spans="1:3" x14ac:dyDescent="0.3">
      <c r="A1211" s="4" t="s">
        <v>2883</v>
      </c>
      <c r="B1211" s="4">
        <v>7.3</v>
      </c>
      <c r="C1211" s="23" t="s">
        <v>8786</v>
      </c>
    </row>
    <row r="1212" spans="1:3" x14ac:dyDescent="0.3">
      <c r="A1212" s="3" t="s">
        <v>2885</v>
      </c>
      <c r="B1212" s="3">
        <v>6.9</v>
      </c>
      <c r="C1212" s="22" t="s">
        <v>8737</v>
      </c>
    </row>
    <row r="1213" spans="1:3" x14ac:dyDescent="0.3">
      <c r="A1213" s="4" t="s">
        <v>2888</v>
      </c>
      <c r="B1213" s="4">
        <v>8.5</v>
      </c>
      <c r="C1213" s="23" t="s">
        <v>8297</v>
      </c>
    </row>
    <row r="1214" spans="1:3" x14ac:dyDescent="0.3">
      <c r="A1214" s="3" t="s">
        <v>2890</v>
      </c>
      <c r="B1214" s="3">
        <v>6.3</v>
      </c>
      <c r="C1214" s="22" t="s">
        <v>8688</v>
      </c>
    </row>
    <row r="1215" spans="1:3" x14ac:dyDescent="0.3">
      <c r="A1215" s="4" t="s">
        <v>2892</v>
      </c>
      <c r="B1215" s="4">
        <v>5.9</v>
      </c>
      <c r="C1215" s="23" t="s">
        <v>8846</v>
      </c>
    </row>
    <row r="1216" spans="1:3" x14ac:dyDescent="0.3">
      <c r="A1216" s="3" t="s">
        <v>2895</v>
      </c>
      <c r="B1216" s="3">
        <v>7.8</v>
      </c>
      <c r="C1216" s="22" t="s">
        <v>8582</v>
      </c>
    </row>
    <row r="1217" spans="1:3" x14ac:dyDescent="0.3">
      <c r="A1217" s="4" t="s">
        <v>2897</v>
      </c>
      <c r="B1217" s="4">
        <v>6.7</v>
      </c>
      <c r="C1217" s="23" t="s">
        <v>8826</v>
      </c>
    </row>
    <row r="1218" spans="1:3" x14ac:dyDescent="0.3">
      <c r="A1218" s="3" t="s">
        <v>2900</v>
      </c>
      <c r="B1218" s="3">
        <v>6.4</v>
      </c>
      <c r="C1218" s="22" t="s">
        <v>8847</v>
      </c>
    </row>
    <row r="1219" spans="1:3" x14ac:dyDescent="0.3">
      <c r="A1219" s="4" t="s">
        <v>2902</v>
      </c>
      <c r="B1219" s="4">
        <v>5.9</v>
      </c>
      <c r="C1219" s="23" t="s">
        <v>8539</v>
      </c>
    </row>
    <row r="1220" spans="1:3" x14ac:dyDescent="0.3">
      <c r="A1220" s="3" t="s">
        <v>2904</v>
      </c>
      <c r="B1220" s="3">
        <v>6.6</v>
      </c>
      <c r="C1220" s="22" t="s">
        <v>8680</v>
      </c>
    </row>
    <row r="1221" spans="1:3" x14ac:dyDescent="0.3">
      <c r="A1221" s="4" t="s">
        <v>2907</v>
      </c>
      <c r="B1221" s="4">
        <v>6.8</v>
      </c>
      <c r="C1221" s="23" t="s">
        <v>8848</v>
      </c>
    </row>
    <row r="1222" spans="1:3" x14ac:dyDescent="0.3">
      <c r="A1222" s="3" t="s">
        <v>2909</v>
      </c>
      <c r="B1222" s="3">
        <v>6.5</v>
      </c>
      <c r="C1222" s="22" t="s">
        <v>8679</v>
      </c>
    </row>
    <row r="1223" spans="1:3" x14ac:dyDescent="0.3">
      <c r="A1223" s="4" t="s">
        <v>2911</v>
      </c>
      <c r="B1223" s="4">
        <v>6.6</v>
      </c>
      <c r="C1223" s="23" t="s">
        <v>8849</v>
      </c>
    </row>
    <row r="1224" spans="1:3" x14ac:dyDescent="0.3">
      <c r="A1224" s="3" t="s">
        <v>2913</v>
      </c>
      <c r="B1224" s="3">
        <v>5.8</v>
      </c>
      <c r="C1224" s="22" t="s">
        <v>8850</v>
      </c>
    </row>
    <row r="1225" spans="1:3" x14ac:dyDescent="0.3">
      <c r="A1225" s="4" t="s">
        <v>2916</v>
      </c>
      <c r="B1225" s="4">
        <v>6.9</v>
      </c>
      <c r="C1225" s="23" t="s">
        <v>8619</v>
      </c>
    </row>
    <row r="1226" spans="1:3" x14ac:dyDescent="0.3">
      <c r="A1226" s="3" t="s">
        <v>2919</v>
      </c>
      <c r="B1226" s="3">
        <v>7.1</v>
      </c>
      <c r="C1226" s="22" t="s">
        <v>8713</v>
      </c>
    </row>
    <row r="1227" spans="1:3" x14ac:dyDescent="0.3">
      <c r="A1227" s="4" t="s">
        <v>2922</v>
      </c>
      <c r="B1227" s="4">
        <v>5.8</v>
      </c>
      <c r="C1227" s="23" t="s">
        <v>8802</v>
      </c>
    </row>
    <row r="1228" spans="1:3" x14ac:dyDescent="0.3">
      <c r="A1228" s="3" t="s">
        <v>2926</v>
      </c>
      <c r="B1228" s="3">
        <v>7.2</v>
      </c>
      <c r="C1228" s="22" t="s">
        <v>8332</v>
      </c>
    </row>
    <row r="1229" spans="1:3" x14ac:dyDescent="0.3">
      <c r="A1229" s="4" t="s">
        <v>2929</v>
      </c>
      <c r="B1229" s="4">
        <v>6</v>
      </c>
      <c r="C1229" s="23" t="s">
        <v>8424</v>
      </c>
    </row>
    <row r="1230" spans="1:3" x14ac:dyDescent="0.3">
      <c r="A1230" s="3" t="s">
        <v>2931</v>
      </c>
      <c r="B1230" s="3">
        <v>4.7</v>
      </c>
      <c r="C1230" s="22" t="s">
        <v>8851</v>
      </c>
    </row>
    <row r="1231" spans="1:3" x14ac:dyDescent="0.3">
      <c r="A1231" s="4" t="s">
        <v>2934</v>
      </c>
      <c r="B1231" s="4">
        <v>5.2</v>
      </c>
      <c r="C1231" s="23" t="s">
        <v>8665</v>
      </c>
    </row>
    <row r="1232" spans="1:3" x14ac:dyDescent="0.3">
      <c r="A1232" s="3" t="s">
        <v>2936</v>
      </c>
      <c r="B1232" s="3">
        <v>5.5</v>
      </c>
      <c r="C1232" s="22" t="s">
        <v>8852</v>
      </c>
    </row>
    <row r="1233" spans="1:3" x14ac:dyDescent="0.3">
      <c r="A1233" s="4" t="s">
        <v>2938</v>
      </c>
      <c r="B1233" s="4">
        <v>6.5</v>
      </c>
      <c r="C1233" s="23" t="s">
        <v>8640</v>
      </c>
    </row>
    <row r="1234" spans="1:3" x14ac:dyDescent="0.3">
      <c r="A1234" s="3" t="s">
        <v>2940</v>
      </c>
      <c r="B1234" s="3">
        <v>7</v>
      </c>
      <c r="C1234" s="22" t="s">
        <v>8853</v>
      </c>
    </row>
    <row r="1235" spans="1:3" x14ac:dyDescent="0.3">
      <c r="A1235" s="4" t="s">
        <v>2942</v>
      </c>
      <c r="B1235" s="4">
        <v>5.8</v>
      </c>
      <c r="C1235" s="23" t="s">
        <v>8837</v>
      </c>
    </row>
    <row r="1236" spans="1:3" x14ac:dyDescent="0.3">
      <c r="A1236" s="3" t="s">
        <v>2944</v>
      </c>
      <c r="B1236" s="3">
        <v>6.2</v>
      </c>
      <c r="C1236" s="22" t="s">
        <v>8841</v>
      </c>
    </row>
    <row r="1237" spans="1:3" x14ac:dyDescent="0.3">
      <c r="A1237" s="4" t="s">
        <v>2946</v>
      </c>
      <c r="B1237" s="4">
        <v>6.5</v>
      </c>
      <c r="C1237" s="23" t="s">
        <v>8426</v>
      </c>
    </row>
    <row r="1238" spans="1:3" x14ac:dyDescent="0.3">
      <c r="A1238" s="3" t="s">
        <v>2948</v>
      </c>
      <c r="B1238" s="3">
        <v>7.2</v>
      </c>
      <c r="C1238" s="22" t="s">
        <v>8372</v>
      </c>
    </row>
    <row r="1239" spans="1:3" x14ac:dyDescent="0.3">
      <c r="A1239" s="4" t="s">
        <v>2950</v>
      </c>
      <c r="B1239" s="4">
        <v>5.0999999999999996</v>
      </c>
      <c r="C1239" s="23" t="s">
        <v>8854</v>
      </c>
    </row>
    <row r="1240" spans="1:3" x14ac:dyDescent="0.3">
      <c r="A1240" s="3" t="s">
        <v>2953</v>
      </c>
      <c r="B1240" s="3">
        <v>4.7</v>
      </c>
      <c r="C1240" s="22" t="s">
        <v>8855</v>
      </c>
    </row>
    <row r="1241" spans="1:3" x14ac:dyDescent="0.3">
      <c r="A1241" s="4" t="s">
        <v>2955</v>
      </c>
      <c r="B1241" s="4">
        <v>5.9</v>
      </c>
      <c r="C1241" s="23" t="s">
        <v>8751</v>
      </c>
    </row>
    <row r="1242" spans="1:3" x14ac:dyDescent="0.3">
      <c r="A1242" s="3" t="s">
        <v>2957</v>
      </c>
      <c r="B1242" s="3">
        <v>5.8</v>
      </c>
      <c r="C1242" s="22" t="s">
        <v>8856</v>
      </c>
    </row>
    <row r="1243" spans="1:3" x14ac:dyDescent="0.3">
      <c r="A1243" s="4" t="s">
        <v>2959</v>
      </c>
      <c r="B1243" s="4">
        <v>7.2</v>
      </c>
      <c r="C1243" s="23" t="s">
        <v>8530</v>
      </c>
    </row>
    <row r="1244" spans="1:3" x14ac:dyDescent="0.3">
      <c r="A1244" s="3" t="s">
        <v>2961</v>
      </c>
      <c r="B1244" s="3">
        <v>6.2</v>
      </c>
      <c r="C1244" s="22" t="s">
        <v>8600</v>
      </c>
    </row>
    <row r="1245" spans="1:3" x14ac:dyDescent="0.3">
      <c r="A1245" s="4" t="s">
        <v>2963</v>
      </c>
      <c r="B1245" s="4">
        <v>5.7</v>
      </c>
      <c r="C1245" s="23" t="s">
        <v>8547</v>
      </c>
    </row>
    <row r="1246" spans="1:3" x14ac:dyDescent="0.3">
      <c r="A1246" s="3" t="s">
        <v>2965</v>
      </c>
      <c r="B1246" s="3">
        <v>6.1</v>
      </c>
      <c r="C1246" s="22" t="s">
        <v>8607</v>
      </c>
    </row>
    <row r="1247" spans="1:3" x14ac:dyDescent="0.3">
      <c r="A1247" s="4" t="s">
        <v>2967</v>
      </c>
      <c r="B1247" s="4">
        <v>6</v>
      </c>
      <c r="C1247" s="23" t="s">
        <v>8796</v>
      </c>
    </row>
    <row r="1248" spans="1:3" x14ac:dyDescent="0.3">
      <c r="A1248" s="3" t="s">
        <v>2969</v>
      </c>
      <c r="B1248" s="3">
        <v>6.9</v>
      </c>
      <c r="C1248" s="22" t="s">
        <v>8857</v>
      </c>
    </row>
    <row r="1249" spans="1:3" x14ac:dyDescent="0.3">
      <c r="A1249" s="4" t="s">
        <v>2971</v>
      </c>
      <c r="B1249" s="4">
        <v>6.5</v>
      </c>
      <c r="C1249" s="23" t="s">
        <v>8791</v>
      </c>
    </row>
    <row r="1250" spans="1:3" x14ac:dyDescent="0.3">
      <c r="A1250" s="3" t="s">
        <v>2973</v>
      </c>
      <c r="B1250" s="3">
        <v>5</v>
      </c>
      <c r="C1250" s="22" t="s">
        <v>8767</v>
      </c>
    </row>
    <row r="1251" spans="1:3" x14ac:dyDescent="0.3">
      <c r="A1251" s="4" t="s">
        <v>2976</v>
      </c>
      <c r="B1251" s="4">
        <v>5.7</v>
      </c>
      <c r="C1251" s="23" t="s">
        <v>8858</v>
      </c>
    </row>
    <row r="1252" spans="1:3" x14ac:dyDescent="0.3">
      <c r="A1252" s="3" t="s">
        <v>2979</v>
      </c>
      <c r="B1252" s="3">
        <v>7</v>
      </c>
      <c r="C1252" s="22" t="s">
        <v>8419</v>
      </c>
    </row>
    <row r="1253" spans="1:3" x14ac:dyDescent="0.3">
      <c r="A1253" s="4" t="s">
        <v>2981</v>
      </c>
      <c r="B1253" s="4">
        <v>5.0999999999999996</v>
      </c>
      <c r="C1253" s="23" t="s">
        <v>8461</v>
      </c>
    </row>
    <row r="1254" spans="1:3" x14ac:dyDescent="0.3">
      <c r="A1254" s="3" t="s">
        <v>2983</v>
      </c>
      <c r="B1254" s="3">
        <v>5.3</v>
      </c>
      <c r="C1254" s="22" t="s">
        <v>8693</v>
      </c>
    </row>
    <row r="1255" spans="1:3" x14ac:dyDescent="0.3">
      <c r="A1255" s="4" t="s">
        <v>2986</v>
      </c>
      <c r="B1255" s="4">
        <v>4.4000000000000004</v>
      </c>
      <c r="C1255" s="23" t="s">
        <v>8700</v>
      </c>
    </row>
    <row r="1256" spans="1:3" x14ac:dyDescent="0.3">
      <c r="A1256" s="3" t="s">
        <v>2989</v>
      </c>
      <c r="B1256" s="3">
        <v>4.7</v>
      </c>
      <c r="C1256" s="22" t="s">
        <v>8470</v>
      </c>
    </row>
    <row r="1257" spans="1:3" x14ac:dyDescent="0.3">
      <c r="A1257" s="4" t="s">
        <v>2991</v>
      </c>
      <c r="B1257" s="4">
        <v>6.7</v>
      </c>
      <c r="C1257" s="23" t="s">
        <v>8859</v>
      </c>
    </row>
    <row r="1258" spans="1:3" x14ac:dyDescent="0.3">
      <c r="A1258" s="3" t="s">
        <v>2994</v>
      </c>
      <c r="B1258" s="3">
        <v>6.7</v>
      </c>
      <c r="C1258" s="22" t="s">
        <v>8860</v>
      </c>
    </row>
    <row r="1259" spans="1:3" x14ac:dyDescent="0.3">
      <c r="A1259" s="4" t="s">
        <v>2996</v>
      </c>
      <c r="B1259" s="4">
        <v>5.7</v>
      </c>
      <c r="C1259" s="23" t="s">
        <v>8542</v>
      </c>
    </row>
    <row r="1260" spans="1:3" x14ac:dyDescent="0.3">
      <c r="A1260" s="3" t="s">
        <v>2998</v>
      </c>
      <c r="B1260" s="3">
        <v>7.4</v>
      </c>
      <c r="C1260" s="22" t="s">
        <v>8342</v>
      </c>
    </row>
    <row r="1261" spans="1:3" x14ac:dyDescent="0.3">
      <c r="A1261" s="4" t="s">
        <v>3000</v>
      </c>
      <c r="B1261" s="4">
        <v>6.1</v>
      </c>
      <c r="C1261" s="23" t="s">
        <v>8780</v>
      </c>
    </row>
    <row r="1262" spans="1:3" x14ac:dyDescent="0.3">
      <c r="A1262" s="3" t="s">
        <v>3002</v>
      </c>
      <c r="B1262" s="3">
        <v>6.4</v>
      </c>
      <c r="C1262" s="22" t="s">
        <v>8777</v>
      </c>
    </row>
    <row r="1263" spans="1:3" x14ac:dyDescent="0.3">
      <c r="A1263" s="4" t="s">
        <v>3004</v>
      </c>
      <c r="B1263" s="4">
        <v>6.2</v>
      </c>
      <c r="C1263" s="23" t="s">
        <v>8861</v>
      </c>
    </row>
    <row r="1264" spans="1:3" x14ac:dyDescent="0.3">
      <c r="A1264" s="3" t="s">
        <v>3006</v>
      </c>
      <c r="B1264" s="3">
        <v>6.2</v>
      </c>
      <c r="C1264" s="22" t="s">
        <v>8602</v>
      </c>
    </row>
    <row r="1265" spans="1:3" x14ac:dyDescent="0.3">
      <c r="A1265" s="4" t="s">
        <v>3009</v>
      </c>
      <c r="B1265" s="4">
        <v>5.9</v>
      </c>
      <c r="C1265" s="23" t="s">
        <v>8862</v>
      </c>
    </row>
    <row r="1266" spans="1:3" x14ac:dyDescent="0.3">
      <c r="A1266" s="3" t="s">
        <v>3011</v>
      </c>
      <c r="B1266" s="3">
        <v>4</v>
      </c>
      <c r="C1266" s="22" t="s">
        <v>8863</v>
      </c>
    </row>
    <row r="1267" spans="1:3" x14ac:dyDescent="0.3">
      <c r="A1267" s="4" t="s">
        <v>3013</v>
      </c>
      <c r="B1267" s="4">
        <v>6.2</v>
      </c>
      <c r="C1267" s="23" t="s">
        <v>8670</v>
      </c>
    </row>
    <row r="1268" spans="1:3" x14ac:dyDescent="0.3">
      <c r="A1268" s="3" t="s">
        <v>3015</v>
      </c>
      <c r="B1268" s="3">
        <v>4.5999999999999996</v>
      </c>
      <c r="C1268" s="22" t="s">
        <v>8423</v>
      </c>
    </row>
    <row r="1269" spans="1:3" x14ac:dyDescent="0.3">
      <c r="A1269" s="4" t="s">
        <v>3018</v>
      </c>
      <c r="B1269" s="4">
        <v>6.4</v>
      </c>
      <c r="C1269" s="23" t="s">
        <v>8864</v>
      </c>
    </row>
    <row r="1270" spans="1:3" x14ac:dyDescent="0.3">
      <c r="A1270" s="3" t="s">
        <v>3020</v>
      </c>
      <c r="B1270" s="3">
        <v>5.9</v>
      </c>
      <c r="C1270" s="22" t="s">
        <v>8759</v>
      </c>
    </row>
    <row r="1271" spans="1:3" x14ac:dyDescent="0.3">
      <c r="A1271" s="4" t="s">
        <v>3022</v>
      </c>
      <c r="B1271" s="4">
        <v>5.0999999999999996</v>
      </c>
      <c r="C1271" s="23" t="s">
        <v>8865</v>
      </c>
    </row>
    <row r="1272" spans="1:3" x14ac:dyDescent="0.3">
      <c r="A1272" s="3" t="s">
        <v>3024</v>
      </c>
      <c r="B1272" s="3">
        <v>7.6</v>
      </c>
      <c r="C1272" s="22" t="s">
        <v>8866</v>
      </c>
    </row>
    <row r="1273" spans="1:3" x14ac:dyDescent="0.3">
      <c r="A1273" s="4" t="s">
        <v>3026</v>
      </c>
      <c r="B1273" s="4">
        <v>4.2</v>
      </c>
      <c r="C1273" s="23" t="s">
        <v>8867</v>
      </c>
    </row>
    <row r="1274" spans="1:3" x14ac:dyDescent="0.3">
      <c r="A1274" s="3" t="s">
        <v>3029</v>
      </c>
      <c r="B1274" s="3">
        <v>7.8</v>
      </c>
      <c r="C1274" s="22" t="s">
        <v>8763</v>
      </c>
    </row>
    <row r="1275" spans="1:3" x14ac:dyDescent="0.3">
      <c r="A1275" s="4" t="s">
        <v>3031</v>
      </c>
      <c r="B1275" s="4">
        <v>5.8</v>
      </c>
      <c r="C1275" s="23" t="s">
        <v>8685</v>
      </c>
    </row>
    <row r="1276" spans="1:3" x14ac:dyDescent="0.3">
      <c r="A1276" s="3" t="s">
        <v>3033</v>
      </c>
      <c r="B1276" s="3">
        <v>5.9</v>
      </c>
      <c r="C1276" s="22" t="s">
        <v>8762</v>
      </c>
    </row>
    <row r="1277" spans="1:3" x14ac:dyDescent="0.3">
      <c r="A1277" s="4" t="s">
        <v>3035</v>
      </c>
      <c r="B1277" s="4">
        <v>8.4</v>
      </c>
      <c r="C1277" s="23" t="s">
        <v>8658</v>
      </c>
    </row>
    <row r="1278" spans="1:3" x14ac:dyDescent="0.3">
      <c r="A1278" s="3" t="s">
        <v>3038</v>
      </c>
      <c r="B1278" s="3">
        <v>4.8</v>
      </c>
      <c r="C1278" s="22" t="s">
        <v>8868</v>
      </c>
    </row>
    <row r="1279" spans="1:3" x14ac:dyDescent="0.3">
      <c r="A1279" s="4" t="s">
        <v>3040</v>
      </c>
      <c r="B1279" s="4">
        <v>6.2</v>
      </c>
      <c r="C1279" s="23" t="s">
        <v>8869</v>
      </c>
    </row>
    <row r="1280" spans="1:3" x14ac:dyDescent="0.3">
      <c r="A1280" s="3" t="s">
        <v>3042</v>
      </c>
      <c r="B1280" s="3">
        <v>6.5</v>
      </c>
      <c r="C1280" s="22" t="s">
        <v>8840</v>
      </c>
    </row>
    <row r="1281" spans="1:3" x14ac:dyDescent="0.3">
      <c r="A1281" s="4" t="s">
        <v>3044</v>
      </c>
      <c r="B1281" s="4">
        <v>6.3</v>
      </c>
      <c r="C1281" s="23" t="s">
        <v>8870</v>
      </c>
    </row>
    <row r="1282" spans="1:3" x14ac:dyDescent="0.3">
      <c r="A1282" s="3" t="s">
        <v>3046</v>
      </c>
      <c r="B1282" s="3">
        <v>3.3</v>
      </c>
      <c r="C1282" s="22" t="s">
        <v>8871</v>
      </c>
    </row>
    <row r="1283" spans="1:3" x14ac:dyDescent="0.3">
      <c r="A1283" s="4" t="s">
        <v>3048</v>
      </c>
      <c r="B1283" s="4">
        <v>5.9</v>
      </c>
      <c r="C1283" s="23" t="s">
        <v>8459</v>
      </c>
    </row>
    <row r="1284" spans="1:3" x14ac:dyDescent="0.3">
      <c r="A1284" s="3" t="s">
        <v>3050</v>
      </c>
      <c r="B1284" s="3">
        <v>6</v>
      </c>
      <c r="C1284" s="22" t="s">
        <v>8817</v>
      </c>
    </row>
    <row r="1285" spans="1:3" x14ac:dyDescent="0.3">
      <c r="A1285" s="4" t="s">
        <v>3053</v>
      </c>
      <c r="B1285" s="4">
        <v>5.8</v>
      </c>
      <c r="C1285" s="23" t="s">
        <v>8771</v>
      </c>
    </row>
    <row r="1286" spans="1:3" x14ac:dyDescent="0.3">
      <c r="A1286" s="3" t="s">
        <v>3055</v>
      </c>
      <c r="B1286" s="3">
        <v>6.5</v>
      </c>
      <c r="C1286" s="22" t="s">
        <v>8872</v>
      </c>
    </row>
    <row r="1287" spans="1:3" x14ac:dyDescent="0.3">
      <c r="A1287" s="4" t="s">
        <v>3057</v>
      </c>
      <c r="B1287" s="4">
        <v>4.7</v>
      </c>
      <c r="C1287" s="23" t="s">
        <v>8873</v>
      </c>
    </row>
    <row r="1288" spans="1:3" x14ac:dyDescent="0.3">
      <c r="A1288" s="3" t="s">
        <v>3059</v>
      </c>
      <c r="B1288" s="3">
        <v>4.0999999999999996</v>
      </c>
      <c r="C1288" s="22" t="s">
        <v>8874</v>
      </c>
    </row>
    <row r="1289" spans="1:3" x14ac:dyDescent="0.3">
      <c r="A1289" s="4" t="s">
        <v>3062</v>
      </c>
      <c r="B1289" s="4">
        <v>6.8</v>
      </c>
      <c r="C1289" s="23" t="s">
        <v>8875</v>
      </c>
    </row>
    <row r="1290" spans="1:3" x14ac:dyDescent="0.3">
      <c r="A1290" s="3" t="s">
        <v>3065</v>
      </c>
      <c r="B1290" s="3">
        <v>6.2</v>
      </c>
      <c r="C1290" s="22" t="s">
        <v>8742</v>
      </c>
    </row>
    <row r="1291" spans="1:3" x14ac:dyDescent="0.3">
      <c r="A1291" s="4" t="s">
        <v>3067</v>
      </c>
      <c r="B1291" s="4">
        <v>4.5</v>
      </c>
      <c r="C1291" s="23" t="s">
        <v>8858</v>
      </c>
    </row>
    <row r="1292" spans="1:3" x14ac:dyDescent="0.3">
      <c r="A1292" s="3" t="s">
        <v>3070</v>
      </c>
      <c r="B1292" s="3">
        <v>5.8</v>
      </c>
      <c r="C1292" s="22" t="s">
        <v>8876</v>
      </c>
    </row>
    <row r="1293" spans="1:3" x14ac:dyDescent="0.3">
      <c r="A1293" s="4" t="s">
        <v>3072</v>
      </c>
      <c r="B1293" s="4">
        <v>7.3</v>
      </c>
      <c r="C1293" s="23" t="s">
        <v>8757</v>
      </c>
    </row>
    <row r="1294" spans="1:3" x14ac:dyDescent="0.3">
      <c r="A1294" s="3" t="s">
        <v>3074</v>
      </c>
      <c r="B1294" s="3">
        <v>5.9</v>
      </c>
      <c r="C1294" s="22" t="s">
        <v>8648</v>
      </c>
    </row>
    <row r="1295" spans="1:3" x14ac:dyDescent="0.3">
      <c r="A1295" s="4" t="s">
        <v>3076</v>
      </c>
      <c r="B1295" s="4">
        <v>4.4000000000000004</v>
      </c>
      <c r="C1295" s="23" t="s">
        <v>8877</v>
      </c>
    </row>
    <row r="1296" spans="1:3" x14ac:dyDescent="0.3">
      <c r="A1296" s="3" t="s">
        <v>3078</v>
      </c>
      <c r="B1296" s="3">
        <v>5.8</v>
      </c>
      <c r="C1296" s="22" t="s">
        <v>8723</v>
      </c>
    </row>
    <row r="1297" spans="1:3" x14ac:dyDescent="0.3">
      <c r="A1297" s="4" t="s">
        <v>3080</v>
      </c>
      <c r="B1297" s="4">
        <v>5.0999999999999996</v>
      </c>
      <c r="C1297" s="23" t="s">
        <v>8878</v>
      </c>
    </row>
    <row r="1298" spans="1:3" x14ac:dyDescent="0.3">
      <c r="A1298" s="3" t="s">
        <v>3082</v>
      </c>
      <c r="B1298" s="3">
        <v>6.9</v>
      </c>
      <c r="C1298" s="22" t="s">
        <v>8533</v>
      </c>
    </row>
    <row r="1299" spans="1:3" x14ac:dyDescent="0.3">
      <c r="A1299" s="4" t="s">
        <v>3084</v>
      </c>
      <c r="B1299" s="4">
        <v>6.2</v>
      </c>
      <c r="C1299" s="23" t="s">
        <v>8679</v>
      </c>
    </row>
    <row r="1300" spans="1:3" x14ac:dyDescent="0.3">
      <c r="A1300" s="3" t="s">
        <v>3086</v>
      </c>
      <c r="B1300" s="3">
        <v>6.9</v>
      </c>
      <c r="C1300" s="22" t="s">
        <v>8879</v>
      </c>
    </row>
    <row r="1301" spans="1:3" x14ac:dyDescent="0.3">
      <c r="A1301" s="4" t="s">
        <v>3088</v>
      </c>
      <c r="B1301" s="4">
        <v>7.3</v>
      </c>
      <c r="C1301" s="23" t="s">
        <v>8668</v>
      </c>
    </row>
    <row r="1302" spans="1:3" x14ac:dyDescent="0.3">
      <c r="A1302" s="3" t="s">
        <v>3090</v>
      </c>
      <c r="B1302" s="3">
        <v>7.1</v>
      </c>
      <c r="C1302" s="22" t="s">
        <v>8880</v>
      </c>
    </row>
    <row r="1303" spans="1:3" x14ac:dyDescent="0.3">
      <c r="A1303" s="4" t="s">
        <v>3092</v>
      </c>
      <c r="B1303" s="4">
        <v>6</v>
      </c>
      <c r="C1303" s="23" t="s">
        <v>8487</v>
      </c>
    </row>
    <row r="1304" spans="1:3" x14ac:dyDescent="0.3">
      <c r="A1304" s="3" t="s">
        <v>3094</v>
      </c>
      <c r="B1304" s="3">
        <v>7</v>
      </c>
      <c r="C1304" s="22" t="s">
        <v>8881</v>
      </c>
    </row>
    <row r="1305" spans="1:3" x14ac:dyDescent="0.3">
      <c r="A1305" s="4" t="s">
        <v>3096</v>
      </c>
      <c r="B1305" s="4">
        <v>6.8</v>
      </c>
      <c r="C1305" s="23" t="s">
        <v>8486</v>
      </c>
    </row>
    <row r="1306" spans="1:3" x14ac:dyDescent="0.3">
      <c r="A1306" s="3" t="s">
        <v>3098</v>
      </c>
      <c r="B1306" s="3">
        <v>5.7</v>
      </c>
      <c r="C1306" s="22" t="s">
        <v>8882</v>
      </c>
    </row>
    <row r="1307" spans="1:3" x14ac:dyDescent="0.3">
      <c r="A1307" s="4" t="s">
        <v>3101</v>
      </c>
      <c r="B1307" s="4">
        <v>7.6</v>
      </c>
      <c r="C1307" s="23" t="s">
        <v>8398</v>
      </c>
    </row>
    <row r="1308" spans="1:3" x14ac:dyDescent="0.3">
      <c r="A1308" s="3" t="s">
        <v>3103</v>
      </c>
      <c r="B1308" s="3">
        <v>8.4</v>
      </c>
      <c r="C1308" s="22" t="s">
        <v>8883</v>
      </c>
    </row>
    <row r="1309" spans="1:3" x14ac:dyDescent="0.3">
      <c r="A1309" s="4" t="s">
        <v>3105</v>
      </c>
      <c r="B1309" s="4">
        <v>7.1</v>
      </c>
      <c r="C1309" s="23" t="s">
        <v>8420</v>
      </c>
    </row>
    <row r="1310" spans="1:3" x14ac:dyDescent="0.3">
      <c r="A1310" s="3" t="s">
        <v>3107</v>
      </c>
      <c r="B1310" s="3">
        <v>5.6</v>
      </c>
      <c r="C1310" s="22" t="s">
        <v>8626</v>
      </c>
    </row>
    <row r="1311" spans="1:3" x14ac:dyDescent="0.3">
      <c r="A1311" s="4" t="s">
        <v>3109</v>
      </c>
      <c r="B1311" s="4">
        <v>6.7</v>
      </c>
      <c r="C1311" s="23" t="s">
        <v>8343</v>
      </c>
    </row>
    <row r="1312" spans="1:3" x14ac:dyDescent="0.3">
      <c r="A1312" s="3" t="s">
        <v>3111</v>
      </c>
      <c r="B1312" s="3">
        <v>7</v>
      </c>
      <c r="C1312" s="22" t="s">
        <v>8318</v>
      </c>
    </row>
    <row r="1313" spans="1:3" x14ac:dyDescent="0.3">
      <c r="A1313" s="4" t="s">
        <v>3114</v>
      </c>
      <c r="B1313" s="4">
        <v>8</v>
      </c>
      <c r="C1313" s="23" t="s">
        <v>8302</v>
      </c>
    </row>
    <row r="1314" spans="1:3" x14ac:dyDescent="0.3">
      <c r="A1314" s="3" t="s">
        <v>3116</v>
      </c>
      <c r="B1314" s="3">
        <v>5.3</v>
      </c>
      <c r="C1314" s="22" t="s">
        <v>8884</v>
      </c>
    </row>
    <row r="1315" spans="1:3" x14ac:dyDescent="0.3">
      <c r="A1315" s="4" t="s">
        <v>3118</v>
      </c>
      <c r="B1315" s="4">
        <v>4.9000000000000004</v>
      </c>
      <c r="C1315" s="23" t="s">
        <v>8714</v>
      </c>
    </row>
    <row r="1316" spans="1:3" x14ac:dyDescent="0.3">
      <c r="A1316" s="3" t="s">
        <v>3120</v>
      </c>
      <c r="B1316" s="3">
        <v>6.4</v>
      </c>
      <c r="C1316" s="22" t="s">
        <v>8524</v>
      </c>
    </row>
    <row r="1317" spans="1:3" x14ac:dyDescent="0.3">
      <c r="A1317" s="4" t="s">
        <v>3122</v>
      </c>
      <c r="B1317" s="4">
        <v>7.4</v>
      </c>
      <c r="C1317" s="23" t="s">
        <v>8427</v>
      </c>
    </row>
    <row r="1318" spans="1:3" x14ac:dyDescent="0.3">
      <c r="A1318" s="3" t="s">
        <v>3125</v>
      </c>
      <c r="B1318" s="3">
        <v>6.1</v>
      </c>
      <c r="C1318" s="22" t="s">
        <v>8572</v>
      </c>
    </row>
    <row r="1319" spans="1:3" x14ac:dyDescent="0.3">
      <c r="A1319" s="4" t="s">
        <v>3127</v>
      </c>
      <c r="B1319" s="4">
        <v>6.5</v>
      </c>
      <c r="C1319" s="23" t="s">
        <v>8568</v>
      </c>
    </row>
    <row r="1320" spans="1:3" x14ac:dyDescent="0.3">
      <c r="A1320" s="3" t="s">
        <v>3129</v>
      </c>
      <c r="B1320" s="3">
        <v>5.7</v>
      </c>
      <c r="C1320" s="22" t="s">
        <v>8885</v>
      </c>
    </row>
    <row r="1321" spans="1:3" x14ac:dyDescent="0.3">
      <c r="A1321" s="4" t="s">
        <v>3131</v>
      </c>
      <c r="B1321" s="4">
        <v>5.0999999999999996</v>
      </c>
      <c r="C1321" s="23" t="s">
        <v>8716</v>
      </c>
    </row>
    <row r="1322" spans="1:3" x14ac:dyDescent="0.3">
      <c r="A1322" s="3" t="s">
        <v>3133</v>
      </c>
      <c r="B1322" s="3">
        <v>6.6</v>
      </c>
      <c r="C1322" s="22" t="s">
        <v>8886</v>
      </c>
    </row>
    <row r="1323" spans="1:3" x14ac:dyDescent="0.3">
      <c r="A1323" s="4" t="s">
        <v>3135</v>
      </c>
      <c r="B1323" s="4">
        <v>6.5</v>
      </c>
      <c r="C1323" s="23" t="s">
        <v>8887</v>
      </c>
    </row>
    <row r="1324" spans="1:3" x14ac:dyDescent="0.3">
      <c r="A1324" s="3" t="s">
        <v>3137</v>
      </c>
      <c r="B1324" s="3">
        <v>6.9</v>
      </c>
      <c r="C1324" s="22" t="s">
        <v>8364</v>
      </c>
    </row>
    <row r="1325" spans="1:3" x14ac:dyDescent="0.3">
      <c r="A1325" s="4" t="s">
        <v>3139</v>
      </c>
      <c r="B1325" s="4">
        <v>6.4</v>
      </c>
      <c r="C1325" s="23" t="s">
        <v>8888</v>
      </c>
    </row>
    <row r="1326" spans="1:3" x14ac:dyDescent="0.3">
      <c r="A1326" s="3" t="s">
        <v>3141</v>
      </c>
      <c r="B1326" s="3">
        <v>7.6</v>
      </c>
      <c r="C1326" s="22" t="s">
        <v>8889</v>
      </c>
    </row>
    <row r="1327" spans="1:3" x14ac:dyDescent="0.3">
      <c r="A1327" s="4" t="s">
        <v>3144</v>
      </c>
      <c r="B1327" s="4">
        <v>5.6</v>
      </c>
      <c r="C1327" s="23" t="s">
        <v>8371</v>
      </c>
    </row>
    <row r="1328" spans="1:3" x14ac:dyDescent="0.3">
      <c r="A1328" s="3" t="s">
        <v>3146</v>
      </c>
      <c r="B1328" s="3">
        <v>6.2</v>
      </c>
      <c r="C1328" s="22" t="s">
        <v>8890</v>
      </c>
    </row>
    <row r="1329" spans="1:3" x14ac:dyDescent="0.3">
      <c r="A1329" s="4" t="s">
        <v>3148</v>
      </c>
      <c r="B1329" s="4">
        <v>4.4000000000000004</v>
      </c>
      <c r="C1329" s="23" t="s">
        <v>8738</v>
      </c>
    </row>
    <row r="1330" spans="1:3" x14ac:dyDescent="0.3">
      <c r="A1330" s="3" t="s">
        <v>3150</v>
      </c>
      <c r="B1330" s="3">
        <v>5.6</v>
      </c>
      <c r="C1330" s="22" t="s">
        <v>8891</v>
      </c>
    </row>
    <row r="1331" spans="1:3" x14ac:dyDescent="0.3">
      <c r="A1331" s="4" t="s">
        <v>3152</v>
      </c>
      <c r="B1331" s="4">
        <v>5.5</v>
      </c>
      <c r="C1331" s="23" t="s">
        <v>8661</v>
      </c>
    </row>
    <row r="1332" spans="1:3" x14ac:dyDescent="0.3">
      <c r="A1332" s="3" t="s">
        <v>3154</v>
      </c>
      <c r="B1332" s="3">
        <v>6.7</v>
      </c>
      <c r="C1332" s="22" t="s">
        <v>8628</v>
      </c>
    </row>
    <row r="1333" spans="1:3" x14ac:dyDescent="0.3">
      <c r="A1333" s="4" t="s">
        <v>3156</v>
      </c>
      <c r="B1333" s="4">
        <v>6.1</v>
      </c>
      <c r="C1333" s="23" t="s">
        <v>8371</v>
      </c>
    </row>
    <row r="1334" spans="1:3" x14ac:dyDescent="0.3">
      <c r="A1334" s="3" t="s">
        <v>3159</v>
      </c>
      <c r="B1334" s="3">
        <v>6.2</v>
      </c>
      <c r="C1334" s="22" t="s">
        <v>8685</v>
      </c>
    </row>
    <row r="1335" spans="1:3" x14ac:dyDescent="0.3">
      <c r="A1335" s="4" t="s">
        <v>3161</v>
      </c>
      <c r="B1335" s="4">
        <v>7.3</v>
      </c>
      <c r="C1335" s="23" t="s">
        <v>8892</v>
      </c>
    </row>
    <row r="1336" spans="1:3" x14ac:dyDescent="0.3">
      <c r="A1336" s="3" t="s">
        <v>3163</v>
      </c>
      <c r="B1336" s="3">
        <v>6.6</v>
      </c>
      <c r="C1336" s="22" t="s">
        <v>8312</v>
      </c>
    </row>
    <row r="1337" spans="1:3" x14ac:dyDescent="0.3">
      <c r="A1337" s="4" t="s">
        <v>3165</v>
      </c>
      <c r="B1337" s="4">
        <v>8.1999999999999993</v>
      </c>
      <c r="C1337" s="23" t="s">
        <v>8762</v>
      </c>
    </row>
    <row r="1338" spans="1:3" x14ac:dyDescent="0.3">
      <c r="A1338" s="3" t="s">
        <v>3167</v>
      </c>
      <c r="B1338" s="3">
        <v>6.4</v>
      </c>
      <c r="C1338" s="22" t="s">
        <v>8431</v>
      </c>
    </row>
    <row r="1339" spans="1:3" x14ac:dyDescent="0.3">
      <c r="A1339" s="4" t="s">
        <v>3169</v>
      </c>
      <c r="B1339" s="4">
        <v>6.4</v>
      </c>
      <c r="C1339" s="23" t="s">
        <v>8893</v>
      </c>
    </row>
    <row r="1340" spans="1:3" x14ac:dyDescent="0.3">
      <c r="A1340" s="3" t="s">
        <v>3171</v>
      </c>
      <c r="B1340" s="3">
        <v>5.2</v>
      </c>
      <c r="C1340" s="22" t="s">
        <v>8894</v>
      </c>
    </row>
    <row r="1341" spans="1:3" x14ac:dyDescent="0.3">
      <c r="A1341" s="4" t="s">
        <v>3173</v>
      </c>
      <c r="B1341" s="4">
        <v>6.5</v>
      </c>
      <c r="C1341" s="23" t="s">
        <v>8569</v>
      </c>
    </row>
    <row r="1342" spans="1:3" x14ac:dyDescent="0.3">
      <c r="A1342" s="3" t="s">
        <v>3175</v>
      </c>
      <c r="B1342" s="3">
        <v>7.1</v>
      </c>
      <c r="C1342" s="22" t="s">
        <v>8895</v>
      </c>
    </row>
    <row r="1343" spans="1:3" x14ac:dyDescent="0.3">
      <c r="A1343" s="4" t="s">
        <v>3177</v>
      </c>
      <c r="B1343" s="4">
        <v>4.8</v>
      </c>
      <c r="C1343" s="23" t="s">
        <v>8896</v>
      </c>
    </row>
    <row r="1344" spans="1:3" x14ac:dyDescent="0.3">
      <c r="A1344" s="3" t="s">
        <v>3180</v>
      </c>
      <c r="B1344" s="3">
        <v>7.3</v>
      </c>
      <c r="C1344" s="22" t="s">
        <v>8742</v>
      </c>
    </row>
    <row r="1345" spans="1:3" x14ac:dyDescent="0.3">
      <c r="A1345" s="4" t="s">
        <v>3182</v>
      </c>
      <c r="B1345" s="4">
        <v>5.2</v>
      </c>
      <c r="C1345" s="23" t="s">
        <v>8897</v>
      </c>
    </row>
    <row r="1346" spans="1:3" x14ac:dyDescent="0.3">
      <c r="A1346" s="3" t="s">
        <v>3184</v>
      </c>
      <c r="B1346" s="3">
        <v>7.7</v>
      </c>
      <c r="C1346" s="22" t="s">
        <v>8898</v>
      </c>
    </row>
    <row r="1347" spans="1:3" x14ac:dyDescent="0.3">
      <c r="A1347" s="4" t="s">
        <v>3186</v>
      </c>
      <c r="B1347" s="4">
        <v>7.6</v>
      </c>
      <c r="C1347" s="23" t="s">
        <v>8813</v>
      </c>
    </row>
    <row r="1348" spans="1:3" x14ac:dyDescent="0.3">
      <c r="A1348" s="3" t="s">
        <v>3188</v>
      </c>
      <c r="B1348" s="3">
        <v>5.7</v>
      </c>
      <c r="C1348" s="22" t="s">
        <v>8899</v>
      </c>
    </row>
    <row r="1349" spans="1:3" x14ac:dyDescent="0.3">
      <c r="A1349" s="4" t="s">
        <v>3190</v>
      </c>
      <c r="B1349" s="4">
        <v>7</v>
      </c>
      <c r="C1349" s="23" t="s">
        <v>8900</v>
      </c>
    </row>
    <row r="1350" spans="1:3" x14ac:dyDescent="0.3">
      <c r="A1350" s="3" t="s">
        <v>3192</v>
      </c>
      <c r="B1350" s="3">
        <v>6</v>
      </c>
      <c r="C1350" s="22" t="s">
        <v>8901</v>
      </c>
    </row>
    <row r="1351" spans="1:3" x14ac:dyDescent="0.3">
      <c r="A1351" s="4" t="s">
        <v>3194</v>
      </c>
      <c r="B1351" s="4">
        <v>8.1</v>
      </c>
      <c r="C1351" s="23" t="s">
        <v>8378</v>
      </c>
    </row>
    <row r="1352" spans="1:3" x14ac:dyDescent="0.3">
      <c r="A1352" s="3" t="s">
        <v>3196</v>
      </c>
      <c r="B1352" s="3">
        <v>8</v>
      </c>
      <c r="C1352" s="22" t="s">
        <v>8895</v>
      </c>
    </row>
    <row r="1353" spans="1:3" x14ac:dyDescent="0.3">
      <c r="A1353" s="4" t="s">
        <v>3198</v>
      </c>
      <c r="B1353" s="4">
        <v>5.6</v>
      </c>
      <c r="C1353" s="23" t="s">
        <v>8902</v>
      </c>
    </row>
    <row r="1354" spans="1:3" x14ac:dyDescent="0.3">
      <c r="A1354" s="3" t="s">
        <v>3201</v>
      </c>
      <c r="B1354" s="3">
        <v>6.1</v>
      </c>
      <c r="C1354" s="22" t="s">
        <v>8903</v>
      </c>
    </row>
    <row r="1355" spans="1:3" x14ac:dyDescent="0.3">
      <c r="A1355" s="4" t="s">
        <v>3203</v>
      </c>
      <c r="B1355" s="4">
        <v>6.9</v>
      </c>
      <c r="C1355" s="23" t="s">
        <v>8904</v>
      </c>
    </row>
    <row r="1356" spans="1:3" x14ac:dyDescent="0.3">
      <c r="A1356" s="3" t="s">
        <v>3206</v>
      </c>
      <c r="B1356" s="3">
        <v>5.2</v>
      </c>
      <c r="C1356" s="22" t="s">
        <v>8827</v>
      </c>
    </row>
    <row r="1357" spans="1:3" x14ac:dyDescent="0.3">
      <c r="A1357" s="4" t="s">
        <v>3208</v>
      </c>
      <c r="B1357" s="4">
        <v>7</v>
      </c>
      <c r="C1357" s="23" t="s">
        <v>8843</v>
      </c>
    </row>
    <row r="1358" spans="1:3" x14ac:dyDescent="0.3">
      <c r="A1358" s="3" t="s">
        <v>3211</v>
      </c>
      <c r="B1358" s="3">
        <v>6.3</v>
      </c>
      <c r="C1358" s="22" t="s">
        <v>8536</v>
      </c>
    </row>
    <row r="1359" spans="1:3" x14ac:dyDescent="0.3">
      <c r="A1359" s="4" t="s">
        <v>3213</v>
      </c>
      <c r="B1359" s="4">
        <v>7</v>
      </c>
      <c r="C1359" s="23" t="s">
        <v>8729</v>
      </c>
    </row>
    <row r="1360" spans="1:3" x14ac:dyDescent="0.3">
      <c r="A1360" s="3" t="s">
        <v>3215</v>
      </c>
      <c r="B1360" s="3">
        <v>5.3</v>
      </c>
      <c r="C1360" s="22" t="s">
        <v>8905</v>
      </c>
    </row>
    <row r="1361" spans="1:3" x14ac:dyDescent="0.3">
      <c r="A1361" s="4" t="s">
        <v>3217</v>
      </c>
      <c r="B1361" s="4">
        <v>6.9</v>
      </c>
      <c r="C1361" s="23" t="s">
        <v>8359</v>
      </c>
    </row>
    <row r="1362" spans="1:3" x14ac:dyDescent="0.3">
      <c r="A1362" s="3" t="s">
        <v>3219</v>
      </c>
      <c r="B1362" s="3">
        <v>6.2</v>
      </c>
      <c r="C1362" s="22" t="s">
        <v>8906</v>
      </c>
    </row>
    <row r="1363" spans="1:3" x14ac:dyDescent="0.3">
      <c r="A1363" s="4" t="s">
        <v>3221</v>
      </c>
      <c r="B1363" s="4">
        <v>6.4</v>
      </c>
      <c r="C1363" s="23" t="s">
        <v>8907</v>
      </c>
    </row>
    <row r="1364" spans="1:3" x14ac:dyDescent="0.3">
      <c r="A1364" s="3" t="s">
        <v>3223</v>
      </c>
      <c r="B1364" s="3">
        <v>6.4</v>
      </c>
      <c r="C1364" s="22" t="s">
        <v>8904</v>
      </c>
    </row>
    <row r="1365" spans="1:3" x14ac:dyDescent="0.3">
      <c r="A1365" s="4" t="s">
        <v>3226</v>
      </c>
      <c r="B1365" s="4">
        <v>5.7</v>
      </c>
      <c r="C1365" s="23" t="s">
        <v>8700</v>
      </c>
    </row>
    <row r="1366" spans="1:3" x14ac:dyDescent="0.3">
      <c r="A1366" s="3" t="s">
        <v>3228</v>
      </c>
      <c r="B1366" s="3">
        <v>6.1</v>
      </c>
      <c r="C1366" s="22" t="s">
        <v>8566</v>
      </c>
    </row>
    <row r="1367" spans="1:3" x14ac:dyDescent="0.3">
      <c r="A1367" s="4" t="s">
        <v>3230</v>
      </c>
      <c r="B1367" s="4">
        <v>5.4</v>
      </c>
      <c r="C1367" s="23" t="s">
        <v>8589</v>
      </c>
    </row>
    <row r="1368" spans="1:3" x14ac:dyDescent="0.3">
      <c r="A1368" s="3" t="s">
        <v>3232</v>
      </c>
      <c r="B1368" s="3">
        <v>6.7</v>
      </c>
      <c r="C1368" s="22" t="s">
        <v>8633</v>
      </c>
    </row>
    <row r="1369" spans="1:3" x14ac:dyDescent="0.3">
      <c r="A1369" s="4" t="s">
        <v>3235</v>
      </c>
      <c r="B1369" s="4">
        <v>6.8</v>
      </c>
      <c r="C1369" s="23" t="s">
        <v>8908</v>
      </c>
    </row>
    <row r="1370" spans="1:3" x14ac:dyDescent="0.3">
      <c r="A1370" s="3" t="s">
        <v>3237</v>
      </c>
      <c r="B1370" s="3">
        <v>6</v>
      </c>
      <c r="C1370" s="22" t="s">
        <v>8603</v>
      </c>
    </row>
    <row r="1371" spans="1:3" x14ac:dyDescent="0.3">
      <c r="A1371" s="4" t="s">
        <v>3239</v>
      </c>
      <c r="B1371" s="4">
        <v>7.8</v>
      </c>
      <c r="C1371" s="23" t="s">
        <v>8761</v>
      </c>
    </row>
    <row r="1372" spans="1:3" x14ac:dyDescent="0.3">
      <c r="A1372" s="3" t="s">
        <v>3241</v>
      </c>
      <c r="B1372" s="3">
        <v>5.3</v>
      </c>
      <c r="C1372" s="22" t="s">
        <v>8758</v>
      </c>
    </row>
    <row r="1373" spans="1:3" x14ac:dyDescent="0.3">
      <c r="A1373" s="4" t="s">
        <v>3243</v>
      </c>
      <c r="B1373" s="4">
        <v>4.5</v>
      </c>
      <c r="C1373" s="23" t="s">
        <v>8436</v>
      </c>
    </row>
    <row r="1374" spans="1:3" x14ac:dyDescent="0.3">
      <c r="A1374" s="3" t="s">
        <v>3246</v>
      </c>
      <c r="B1374" s="3">
        <v>5.4</v>
      </c>
      <c r="C1374" s="22" t="s">
        <v>8909</v>
      </c>
    </row>
    <row r="1375" spans="1:3" x14ac:dyDescent="0.3">
      <c r="A1375" s="4" t="s">
        <v>3248</v>
      </c>
      <c r="B1375" s="4">
        <v>7.8</v>
      </c>
      <c r="C1375" s="23" t="s">
        <v>8528</v>
      </c>
    </row>
    <row r="1376" spans="1:3" x14ac:dyDescent="0.3">
      <c r="A1376" s="3" t="s">
        <v>3250</v>
      </c>
      <c r="B1376" s="3">
        <v>7.2</v>
      </c>
      <c r="C1376" s="22" t="s">
        <v>8910</v>
      </c>
    </row>
    <row r="1377" spans="1:3" x14ac:dyDescent="0.3">
      <c r="A1377" s="4" t="s">
        <v>3253</v>
      </c>
      <c r="B1377" s="4">
        <v>6.6</v>
      </c>
      <c r="C1377" s="23" t="s">
        <v>8483</v>
      </c>
    </row>
    <row r="1378" spans="1:3" x14ac:dyDescent="0.3">
      <c r="A1378" s="3" t="s">
        <v>3256</v>
      </c>
      <c r="B1378" s="3">
        <v>7.6</v>
      </c>
      <c r="C1378" s="22" t="s">
        <v>8318</v>
      </c>
    </row>
    <row r="1379" spans="1:3" x14ac:dyDescent="0.3">
      <c r="A1379" s="4" t="s">
        <v>3258</v>
      </c>
      <c r="B1379" s="4">
        <v>5.9</v>
      </c>
      <c r="C1379" s="23" t="s">
        <v>8352</v>
      </c>
    </row>
    <row r="1380" spans="1:3" x14ac:dyDescent="0.3">
      <c r="A1380" s="3" t="s">
        <v>3260</v>
      </c>
      <c r="B1380" s="3">
        <v>6.7</v>
      </c>
      <c r="C1380" s="22" t="s">
        <v>8399</v>
      </c>
    </row>
    <row r="1381" spans="1:3" x14ac:dyDescent="0.3">
      <c r="A1381" s="4" t="s">
        <v>3262</v>
      </c>
      <c r="B1381" s="4">
        <v>7.7</v>
      </c>
      <c r="C1381" s="23" t="s">
        <v>8492</v>
      </c>
    </row>
    <row r="1382" spans="1:3" x14ac:dyDescent="0.3">
      <c r="A1382" s="3" t="s">
        <v>3264</v>
      </c>
      <c r="B1382" s="3">
        <v>5.4</v>
      </c>
      <c r="C1382" s="22" t="s">
        <v>8716</v>
      </c>
    </row>
    <row r="1383" spans="1:3" x14ac:dyDescent="0.3">
      <c r="A1383" s="4" t="s">
        <v>3267</v>
      </c>
      <c r="B1383" s="4">
        <v>6.9</v>
      </c>
      <c r="C1383" s="23" t="s">
        <v>8531</v>
      </c>
    </row>
    <row r="1384" spans="1:3" x14ac:dyDescent="0.3">
      <c r="A1384" s="3" t="s">
        <v>3270</v>
      </c>
      <c r="B1384" s="3">
        <v>7.7</v>
      </c>
      <c r="C1384" s="22" t="s">
        <v>8900</v>
      </c>
    </row>
    <row r="1385" spans="1:3" x14ac:dyDescent="0.3">
      <c r="A1385" s="4" t="s">
        <v>3272</v>
      </c>
      <c r="B1385" s="4">
        <v>6.8</v>
      </c>
      <c r="C1385" s="23" t="s">
        <v>8638</v>
      </c>
    </row>
    <row r="1386" spans="1:3" x14ac:dyDescent="0.3">
      <c r="A1386" s="3" t="s">
        <v>3274</v>
      </c>
      <c r="B1386" s="3">
        <v>6.4</v>
      </c>
      <c r="C1386" s="22" t="s">
        <v>8911</v>
      </c>
    </row>
    <row r="1387" spans="1:3" x14ac:dyDescent="0.3">
      <c r="A1387" s="4" t="s">
        <v>3276</v>
      </c>
      <c r="B1387" s="4">
        <v>5.7</v>
      </c>
      <c r="C1387" s="23" t="s">
        <v>8531</v>
      </c>
    </row>
    <row r="1388" spans="1:3" x14ac:dyDescent="0.3">
      <c r="A1388" s="3" t="s">
        <v>3278</v>
      </c>
      <c r="B1388" s="3">
        <v>7.3</v>
      </c>
      <c r="C1388" s="22" t="s">
        <v>8342</v>
      </c>
    </row>
    <row r="1389" spans="1:3" x14ac:dyDescent="0.3">
      <c r="A1389" s="4" t="s">
        <v>3281</v>
      </c>
      <c r="B1389" s="4">
        <v>6.8</v>
      </c>
      <c r="C1389" s="23" t="s">
        <v>8568</v>
      </c>
    </row>
    <row r="1390" spans="1:3" x14ac:dyDescent="0.3">
      <c r="A1390" s="3" t="s">
        <v>3283</v>
      </c>
      <c r="B1390" s="3">
        <v>6.3</v>
      </c>
      <c r="C1390" s="22" t="s">
        <v>8580</v>
      </c>
    </row>
    <row r="1391" spans="1:3" x14ac:dyDescent="0.3">
      <c r="A1391" s="4" t="s">
        <v>3285</v>
      </c>
      <c r="B1391" s="4">
        <v>5.9</v>
      </c>
      <c r="C1391" s="23" t="s">
        <v>8912</v>
      </c>
    </row>
    <row r="1392" spans="1:3" x14ac:dyDescent="0.3">
      <c r="A1392" s="3" t="s">
        <v>3287</v>
      </c>
      <c r="B1392" s="3">
        <v>7.4</v>
      </c>
      <c r="C1392" s="22" t="s">
        <v>8534</v>
      </c>
    </row>
    <row r="1393" spans="1:3" x14ac:dyDescent="0.3">
      <c r="A1393" s="4" t="s">
        <v>3289</v>
      </c>
      <c r="B1393" s="4">
        <v>8.3000000000000007</v>
      </c>
      <c r="C1393" s="23" t="s">
        <v>8717</v>
      </c>
    </row>
    <row r="1394" spans="1:3" x14ac:dyDescent="0.3">
      <c r="A1394" s="3" t="s">
        <v>3291</v>
      </c>
      <c r="B1394" s="3">
        <v>6.2</v>
      </c>
      <c r="C1394" s="22" t="s">
        <v>8354</v>
      </c>
    </row>
    <row r="1395" spans="1:3" x14ac:dyDescent="0.3">
      <c r="A1395" s="4" t="s">
        <v>3293</v>
      </c>
      <c r="B1395" s="4">
        <v>6.3</v>
      </c>
      <c r="C1395" s="23" t="s">
        <v>8482</v>
      </c>
    </row>
    <row r="1396" spans="1:3" x14ac:dyDescent="0.3">
      <c r="A1396" s="3" t="s">
        <v>3295</v>
      </c>
      <c r="B1396" s="3">
        <v>5.8</v>
      </c>
      <c r="C1396" s="22" t="s">
        <v>8439</v>
      </c>
    </row>
    <row r="1397" spans="1:3" x14ac:dyDescent="0.3">
      <c r="A1397" s="4" t="s">
        <v>3297</v>
      </c>
      <c r="B1397" s="4">
        <v>7.5</v>
      </c>
      <c r="C1397" s="23" t="s">
        <v>8841</v>
      </c>
    </row>
    <row r="1398" spans="1:3" x14ac:dyDescent="0.3">
      <c r="A1398" s="3" t="s">
        <v>3299</v>
      </c>
      <c r="B1398" s="3">
        <v>6.3</v>
      </c>
      <c r="C1398" s="22" t="s">
        <v>8521</v>
      </c>
    </row>
    <row r="1399" spans="1:3" x14ac:dyDescent="0.3">
      <c r="A1399" s="4" t="s">
        <v>3301</v>
      </c>
      <c r="B1399" s="4">
        <v>6.4</v>
      </c>
      <c r="C1399" s="23" t="s">
        <v>8590</v>
      </c>
    </row>
    <row r="1400" spans="1:3" x14ac:dyDescent="0.3">
      <c r="A1400" s="3" t="s">
        <v>3303</v>
      </c>
      <c r="B1400" s="3">
        <v>7.2</v>
      </c>
      <c r="C1400" s="22" t="s">
        <v>8590</v>
      </c>
    </row>
    <row r="1401" spans="1:3" x14ac:dyDescent="0.3">
      <c r="A1401" s="4" t="s">
        <v>3305</v>
      </c>
      <c r="B1401" s="4">
        <v>6.3</v>
      </c>
      <c r="C1401" s="23" t="s">
        <v>8913</v>
      </c>
    </row>
    <row r="1402" spans="1:3" x14ac:dyDescent="0.3">
      <c r="A1402" s="3" t="s">
        <v>3308</v>
      </c>
      <c r="B1402" s="3">
        <v>6.9</v>
      </c>
      <c r="C1402" s="22" t="s">
        <v>8914</v>
      </c>
    </row>
    <row r="1403" spans="1:3" x14ac:dyDescent="0.3">
      <c r="A1403" s="4" t="s">
        <v>3311</v>
      </c>
      <c r="B1403" s="4">
        <v>6.6</v>
      </c>
      <c r="C1403" s="23" t="s">
        <v>8622</v>
      </c>
    </row>
    <row r="1404" spans="1:3" x14ac:dyDescent="0.3">
      <c r="A1404" s="3" t="s">
        <v>3313</v>
      </c>
      <c r="B1404" s="3">
        <v>6</v>
      </c>
      <c r="C1404" s="22" t="s">
        <v>8844</v>
      </c>
    </row>
    <row r="1405" spans="1:3" x14ac:dyDescent="0.3">
      <c r="A1405" s="4" t="s">
        <v>3315</v>
      </c>
      <c r="B1405" s="4">
        <v>7.5</v>
      </c>
      <c r="C1405" s="23" t="s">
        <v>8492</v>
      </c>
    </row>
    <row r="1406" spans="1:3" x14ac:dyDescent="0.3">
      <c r="A1406" s="3" t="s">
        <v>3317</v>
      </c>
      <c r="B1406" s="3">
        <v>7.7</v>
      </c>
      <c r="C1406" s="22" t="s">
        <v>8730</v>
      </c>
    </row>
    <row r="1407" spans="1:3" x14ac:dyDescent="0.3">
      <c r="A1407" s="4" t="s">
        <v>3319</v>
      </c>
      <c r="B1407" s="4">
        <v>6.2</v>
      </c>
      <c r="C1407" s="23" t="s">
        <v>8580</v>
      </c>
    </row>
    <row r="1408" spans="1:3" x14ac:dyDescent="0.3">
      <c r="A1408" s="3" t="s">
        <v>3321</v>
      </c>
      <c r="B1408" s="3">
        <v>5.4</v>
      </c>
      <c r="C1408" s="22" t="s">
        <v>8498</v>
      </c>
    </row>
    <row r="1409" spans="1:3" x14ac:dyDescent="0.3">
      <c r="A1409" s="4" t="s">
        <v>3323</v>
      </c>
      <c r="B1409" s="4">
        <v>6.6</v>
      </c>
      <c r="C1409" s="23" t="s">
        <v>8915</v>
      </c>
    </row>
    <row r="1410" spans="1:3" x14ac:dyDescent="0.3">
      <c r="A1410" s="3" t="s">
        <v>3325</v>
      </c>
      <c r="B1410" s="3">
        <v>5.3</v>
      </c>
      <c r="C1410" s="22" t="s">
        <v>8840</v>
      </c>
    </row>
    <row r="1411" spans="1:3" x14ac:dyDescent="0.3">
      <c r="A1411" s="4" t="s">
        <v>3327</v>
      </c>
      <c r="B1411" s="4">
        <v>5.6</v>
      </c>
      <c r="C1411" s="23" t="s">
        <v>8499</v>
      </c>
    </row>
    <row r="1412" spans="1:3" x14ac:dyDescent="0.3">
      <c r="A1412" s="3" t="s">
        <v>3329</v>
      </c>
      <c r="B1412" s="3">
        <v>5.9</v>
      </c>
      <c r="C1412" s="22" t="s">
        <v>8916</v>
      </c>
    </row>
    <row r="1413" spans="1:3" x14ac:dyDescent="0.3">
      <c r="A1413" s="4" t="s">
        <v>3331</v>
      </c>
      <c r="B1413" s="4">
        <v>7.8</v>
      </c>
      <c r="C1413" s="23" t="s">
        <v>8330</v>
      </c>
    </row>
    <row r="1414" spans="1:3" x14ac:dyDescent="0.3">
      <c r="A1414" s="3" t="s">
        <v>3334</v>
      </c>
      <c r="B1414" s="3">
        <v>6.7</v>
      </c>
      <c r="C1414" s="22" t="s">
        <v>8509</v>
      </c>
    </row>
    <row r="1415" spans="1:3" x14ac:dyDescent="0.3">
      <c r="A1415" s="4" t="s">
        <v>3337</v>
      </c>
      <c r="B1415" s="4">
        <v>7.4</v>
      </c>
      <c r="C1415" s="23" t="s">
        <v>8917</v>
      </c>
    </row>
    <row r="1416" spans="1:3" x14ac:dyDescent="0.3">
      <c r="A1416" s="3" t="s">
        <v>3340</v>
      </c>
      <c r="B1416" s="3">
        <v>6.2</v>
      </c>
      <c r="C1416" s="22" t="s">
        <v>8900</v>
      </c>
    </row>
    <row r="1417" spans="1:3" x14ac:dyDescent="0.3">
      <c r="A1417" s="4" t="s">
        <v>3342</v>
      </c>
      <c r="B1417" s="4">
        <v>5.4</v>
      </c>
      <c r="C1417" s="23" t="s">
        <v>8491</v>
      </c>
    </row>
    <row r="1418" spans="1:3" x14ac:dyDescent="0.3">
      <c r="A1418" s="3" t="s">
        <v>3344</v>
      </c>
      <c r="B1418" s="3">
        <v>6.7</v>
      </c>
      <c r="C1418" s="22" t="s">
        <v>8761</v>
      </c>
    </row>
    <row r="1419" spans="1:3" x14ac:dyDescent="0.3">
      <c r="A1419" s="4" t="s">
        <v>3346</v>
      </c>
      <c r="B1419" s="4">
        <v>5.3</v>
      </c>
      <c r="C1419" s="23" t="s">
        <v>8918</v>
      </c>
    </row>
    <row r="1420" spans="1:3" x14ac:dyDescent="0.3">
      <c r="A1420" s="3" t="s">
        <v>3348</v>
      </c>
      <c r="B1420" s="3">
        <v>5.9</v>
      </c>
      <c r="C1420" s="22" t="s">
        <v>8919</v>
      </c>
    </row>
    <row r="1421" spans="1:3" x14ac:dyDescent="0.3">
      <c r="A1421" s="4" t="s">
        <v>3350</v>
      </c>
      <c r="B1421" s="4">
        <v>4.8</v>
      </c>
      <c r="C1421" s="23" t="s">
        <v>8920</v>
      </c>
    </row>
    <row r="1422" spans="1:3" x14ac:dyDescent="0.3">
      <c r="A1422" s="3" t="s">
        <v>3352</v>
      </c>
      <c r="B1422" s="3">
        <v>7.3</v>
      </c>
      <c r="C1422" s="22" t="s">
        <v>8921</v>
      </c>
    </row>
    <row r="1423" spans="1:3" x14ac:dyDescent="0.3">
      <c r="A1423" s="4" t="s">
        <v>3354</v>
      </c>
      <c r="B1423" s="4">
        <v>3.8</v>
      </c>
      <c r="C1423" s="23" t="s">
        <v>8922</v>
      </c>
    </row>
    <row r="1424" spans="1:3" x14ac:dyDescent="0.3">
      <c r="A1424" s="3" t="s">
        <v>3356</v>
      </c>
      <c r="B1424" s="3">
        <v>8.5</v>
      </c>
      <c r="C1424" s="22" t="s">
        <v>8628</v>
      </c>
    </row>
    <row r="1425" spans="1:3" x14ac:dyDescent="0.3">
      <c r="A1425" s="4" t="s">
        <v>3358</v>
      </c>
      <c r="B1425" s="4">
        <v>6.8</v>
      </c>
      <c r="C1425" s="23" t="s">
        <v>8535</v>
      </c>
    </row>
    <row r="1426" spans="1:3" x14ac:dyDescent="0.3">
      <c r="A1426" s="3" t="s">
        <v>3361</v>
      </c>
      <c r="B1426" s="3">
        <v>6.8</v>
      </c>
      <c r="C1426" s="22" t="s">
        <v>8827</v>
      </c>
    </row>
    <row r="1427" spans="1:3" x14ac:dyDescent="0.3">
      <c r="A1427" s="4" t="s">
        <v>3365</v>
      </c>
      <c r="B1427" s="4">
        <v>5.3</v>
      </c>
      <c r="C1427" s="23" t="s">
        <v>8737</v>
      </c>
    </row>
    <row r="1428" spans="1:3" x14ac:dyDescent="0.3">
      <c r="A1428" s="3" t="s">
        <v>3367</v>
      </c>
      <c r="B1428" s="3">
        <v>7.3</v>
      </c>
      <c r="C1428" s="22" t="s">
        <v>8565</v>
      </c>
    </row>
    <row r="1429" spans="1:3" x14ac:dyDescent="0.3">
      <c r="A1429" s="4" t="s">
        <v>3369</v>
      </c>
      <c r="B1429" s="4">
        <v>6.6</v>
      </c>
      <c r="C1429" s="23" t="s">
        <v>8619</v>
      </c>
    </row>
    <row r="1430" spans="1:3" x14ac:dyDescent="0.3">
      <c r="A1430" s="3" t="s">
        <v>3372</v>
      </c>
      <c r="B1430" s="3">
        <v>6.2</v>
      </c>
      <c r="C1430" s="22" t="s">
        <v>8923</v>
      </c>
    </row>
    <row r="1431" spans="1:3" x14ac:dyDescent="0.3">
      <c r="A1431" s="4" t="s">
        <v>3374</v>
      </c>
      <c r="B1431" s="4">
        <v>5.2</v>
      </c>
      <c r="C1431" s="23" t="s">
        <v>8924</v>
      </c>
    </row>
    <row r="1432" spans="1:3" x14ac:dyDescent="0.3">
      <c r="A1432" s="3" t="s">
        <v>3377</v>
      </c>
      <c r="B1432" s="3">
        <v>6.2</v>
      </c>
      <c r="C1432" s="22" t="s">
        <v>8542</v>
      </c>
    </row>
    <row r="1433" spans="1:3" x14ac:dyDescent="0.3">
      <c r="A1433" s="4" t="s">
        <v>3379</v>
      </c>
      <c r="B1433" s="4">
        <v>6.2</v>
      </c>
      <c r="C1433" s="23" t="s">
        <v>8596</v>
      </c>
    </row>
    <row r="1434" spans="1:3" x14ac:dyDescent="0.3">
      <c r="A1434" s="3" t="s">
        <v>3382</v>
      </c>
      <c r="B1434" s="3">
        <v>6.6</v>
      </c>
      <c r="C1434" s="22" t="s">
        <v>8925</v>
      </c>
    </row>
    <row r="1435" spans="1:3" x14ac:dyDescent="0.3">
      <c r="A1435" s="4" t="s">
        <v>3384</v>
      </c>
      <c r="B1435" s="4">
        <v>6.4</v>
      </c>
      <c r="C1435" s="23" t="s">
        <v>8926</v>
      </c>
    </row>
    <row r="1436" spans="1:3" x14ac:dyDescent="0.3">
      <c r="A1436" s="3" t="s">
        <v>3386</v>
      </c>
      <c r="B1436" s="3">
        <v>6.2</v>
      </c>
      <c r="C1436" s="22" t="s">
        <v>8902</v>
      </c>
    </row>
    <row r="1437" spans="1:3" x14ac:dyDescent="0.3">
      <c r="A1437" s="4" t="s">
        <v>3389</v>
      </c>
      <c r="B1437" s="4">
        <v>5.0999999999999996</v>
      </c>
      <c r="C1437" s="23" t="s">
        <v>8343</v>
      </c>
    </row>
    <row r="1438" spans="1:3" x14ac:dyDescent="0.3">
      <c r="A1438" s="3" t="s">
        <v>3391</v>
      </c>
      <c r="B1438" s="3">
        <v>6.6</v>
      </c>
      <c r="C1438" s="22" t="s">
        <v>8619</v>
      </c>
    </row>
    <row r="1439" spans="1:3" x14ac:dyDescent="0.3">
      <c r="A1439" s="4" t="s">
        <v>3393</v>
      </c>
      <c r="B1439" s="4">
        <v>6.1</v>
      </c>
      <c r="C1439" s="23" t="s">
        <v>8927</v>
      </c>
    </row>
    <row r="1440" spans="1:3" x14ac:dyDescent="0.3">
      <c r="A1440" s="3" t="s">
        <v>3395</v>
      </c>
      <c r="B1440" s="3">
        <v>6.1</v>
      </c>
      <c r="C1440" s="22" t="s">
        <v>8928</v>
      </c>
    </row>
    <row r="1441" spans="1:3" x14ac:dyDescent="0.3">
      <c r="A1441" s="4" t="s">
        <v>3397</v>
      </c>
      <c r="B1441" s="4">
        <v>6.6</v>
      </c>
      <c r="C1441" s="23" t="s">
        <v>8771</v>
      </c>
    </row>
    <row r="1442" spans="1:3" x14ac:dyDescent="0.3">
      <c r="A1442" s="3" t="s">
        <v>3399</v>
      </c>
      <c r="B1442" s="3">
        <v>5.9</v>
      </c>
      <c r="C1442" s="22" t="s">
        <v>8929</v>
      </c>
    </row>
    <row r="1443" spans="1:3" x14ac:dyDescent="0.3">
      <c r="A1443" s="4" t="s">
        <v>3402</v>
      </c>
      <c r="B1443" s="4">
        <v>6.3</v>
      </c>
      <c r="C1443" s="23" t="s">
        <v>8930</v>
      </c>
    </row>
    <row r="1444" spans="1:3" x14ac:dyDescent="0.3">
      <c r="A1444" s="3" t="s">
        <v>3404</v>
      </c>
      <c r="B1444" s="3">
        <v>7.1</v>
      </c>
      <c r="C1444" s="22" t="s">
        <v>8931</v>
      </c>
    </row>
    <row r="1445" spans="1:3" x14ac:dyDescent="0.3">
      <c r="A1445" s="4" t="s">
        <v>3406</v>
      </c>
      <c r="B1445" s="4">
        <v>5</v>
      </c>
      <c r="C1445" s="23" t="s">
        <v>8558</v>
      </c>
    </row>
    <row r="1446" spans="1:3" x14ac:dyDescent="0.3">
      <c r="A1446" s="3" t="s">
        <v>3408</v>
      </c>
      <c r="B1446" s="3">
        <v>5.6</v>
      </c>
      <c r="C1446" s="22" t="s">
        <v>8932</v>
      </c>
    </row>
    <row r="1447" spans="1:3" x14ac:dyDescent="0.3">
      <c r="A1447" s="4" t="s">
        <v>3411</v>
      </c>
      <c r="B1447" s="4">
        <v>7.4</v>
      </c>
      <c r="C1447" s="23" t="s">
        <v>8717</v>
      </c>
    </row>
    <row r="1448" spans="1:3" x14ac:dyDescent="0.3">
      <c r="A1448" s="3" t="s">
        <v>3414</v>
      </c>
      <c r="B1448" s="3">
        <v>4.5</v>
      </c>
      <c r="C1448" s="22" t="s">
        <v>8933</v>
      </c>
    </row>
    <row r="1449" spans="1:3" x14ac:dyDescent="0.3">
      <c r="A1449" s="4" t="s">
        <v>3417</v>
      </c>
      <c r="B1449" s="4">
        <v>6.2</v>
      </c>
      <c r="C1449" s="23" t="s">
        <v>8934</v>
      </c>
    </row>
    <row r="1450" spans="1:3" x14ac:dyDescent="0.3">
      <c r="A1450" s="3" t="s">
        <v>3420</v>
      </c>
      <c r="B1450" s="3">
        <v>5</v>
      </c>
      <c r="C1450" s="22" t="s">
        <v>8841</v>
      </c>
    </row>
    <row r="1451" spans="1:3" x14ac:dyDescent="0.3">
      <c r="A1451" s="4" t="s">
        <v>3422</v>
      </c>
      <c r="B1451" s="4">
        <v>6.5</v>
      </c>
      <c r="C1451" s="23" t="s">
        <v>8680</v>
      </c>
    </row>
    <row r="1452" spans="1:3" x14ac:dyDescent="0.3">
      <c r="A1452" s="3" t="s">
        <v>3424</v>
      </c>
      <c r="B1452" s="3">
        <v>5.0999999999999996</v>
      </c>
      <c r="C1452" s="22" t="s">
        <v>8837</v>
      </c>
    </row>
    <row r="1453" spans="1:3" x14ac:dyDescent="0.3">
      <c r="A1453" s="4" t="s">
        <v>3427</v>
      </c>
      <c r="B1453" s="4">
        <v>6.5</v>
      </c>
      <c r="C1453" s="23" t="s">
        <v>8706</v>
      </c>
    </row>
    <row r="1454" spans="1:3" x14ac:dyDescent="0.3">
      <c r="A1454" s="3" t="s">
        <v>3429</v>
      </c>
      <c r="B1454" s="3">
        <v>6.2</v>
      </c>
      <c r="C1454" s="22" t="s">
        <v>8625</v>
      </c>
    </row>
    <row r="1455" spans="1:3" x14ac:dyDescent="0.3">
      <c r="A1455" s="4" t="s">
        <v>3431</v>
      </c>
      <c r="B1455" s="4">
        <v>6.3</v>
      </c>
      <c r="C1455" s="23" t="s">
        <v>8747</v>
      </c>
    </row>
    <row r="1456" spans="1:3" x14ac:dyDescent="0.3">
      <c r="A1456" s="3" t="s">
        <v>3433</v>
      </c>
      <c r="B1456" s="3">
        <v>3.8</v>
      </c>
      <c r="C1456" s="22" t="s">
        <v>8819</v>
      </c>
    </row>
    <row r="1457" spans="1:3" x14ac:dyDescent="0.3">
      <c r="A1457" s="4" t="s">
        <v>3435</v>
      </c>
      <c r="B1457" s="4">
        <v>5.2</v>
      </c>
      <c r="C1457" s="23" t="s">
        <v>8935</v>
      </c>
    </row>
    <row r="1458" spans="1:3" x14ac:dyDescent="0.3">
      <c r="A1458" s="3" t="s">
        <v>3437</v>
      </c>
      <c r="B1458" s="3">
        <v>6</v>
      </c>
      <c r="C1458" s="22" t="s">
        <v>8936</v>
      </c>
    </row>
    <row r="1459" spans="1:3" x14ac:dyDescent="0.3">
      <c r="A1459" s="4" t="s">
        <v>3439</v>
      </c>
      <c r="B1459" s="4">
        <v>6.2</v>
      </c>
      <c r="C1459" s="23" t="s">
        <v>8644</v>
      </c>
    </row>
    <row r="1460" spans="1:3" x14ac:dyDescent="0.3">
      <c r="A1460" s="3" t="s">
        <v>3441</v>
      </c>
      <c r="B1460" s="3">
        <v>5.7</v>
      </c>
      <c r="C1460" s="22" t="s">
        <v>8506</v>
      </c>
    </row>
    <row r="1461" spans="1:3" x14ac:dyDescent="0.3">
      <c r="A1461" s="4" t="s">
        <v>3443</v>
      </c>
      <c r="B1461" s="4">
        <v>6.7</v>
      </c>
      <c r="C1461" s="23" t="s">
        <v>8854</v>
      </c>
    </row>
    <row r="1462" spans="1:3" x14ac:dyDescent="0.3">
      <c r="A1462" s="3" t="s">
        <v>3445</v>
      </c>
      <c r="B1462" s="3">
        <v>6.8</v>
      </c>
      <c r="C1462" s="22" t="s">
        <v>8937</v>
      </c>
    </row>
    <row r="1463" spans="1:3" x14ac:dyDescent="0.3">
      <c r="A1463" s="4" t="s">
        <v>3447</v>
      </c>
      <c r="B1463" s="4">
        <v>6</v>
      </c>
      <c r="C1463" s="23" t="s">
        <v>8536</v>
      </c>
    </row>
    <row r="1464" spans="1:3" x14ac:dyDescent="0.3">
      <c r="A1464" s="3" t="s">
        <v>3449</v>
      </c>
      <c r="B1464" s="3">
        <v>7.3</v>
      </c>
      <c r="C1464" s="22" t="s">
        <v>8938</v>
      </c>
    </row>
    <row r="1465" spans="1:3" x14ac:dyDescent="0.3">
      <c r="A1465" s="4" t="s">
        <v>3451</v>
      </c>
      <c r="B1465" s="4">
        <v>5.5</v>
      </c>
      <c r="C1465" s="23" t="s">
        <v>8457</v>
      </c>
    </row>
    <row r="1466" spans="1:3" x14ac:dyDescent="0.3">
      <c r="A1466" s="3" t="s">
        <v>3453</v>
      </c>
      <c r="B1466" s="3">
        <v>6.7</v>
      </c>
      <c r="C1466" s="22" t="s">
        <v>8720</v>
      </c>
    </row>
    <row r="1467" spans="1:3" x14ac:dyDescent="0.3">
      <c r="A1467" s="4" t="s">
        <v>3455</v>
      </c>
      <c r="B1467" s="4">
        <v>4.8</v>
      </c>
      <c r="C1467" s="23" t="s">
        <v>8939</v>
      </c>
    </row>
    <row r="1468" spans="1:3" x14ac:dyDescent="0.3">
      <c r="A1468" s="3" t="s">
        <v>3457</v>
      </c>
      <c r="B1468" s="3">
        <v>5.7</v>
      </c>
      <c r="C1468" s="22" t="s">
        <v>8344</v>
      </c>
    </row>
    <row r="1469" spans="1:3" x14ac:dyDescent="0.3">
      <c r="A1469" s="4" t="s">
        <v>3459</v>
      </c>
      <c r="B1469" s="4">
        <v>5.0999999999999996</v>
      </c>
      <c r="C1469" s="23" t="s">
        <v>8731</v>
      </c>
    </row>
    <row r="1470" spans="1:3" x14ac:dyDescent="0.3">
      <c r="A1470" s="3" t="s">
        <v>3462</v>
      </c>
      <c r="B1470" s="3">
        <v>6</v>
      </c>
      <c r="C1470" s="22" t="s">
        <v>8940</v>
      </c>
    </row>
    <row r="1471" spans="1:3" x14ac:dyDescent="0.3">
      <c r="A1471" s="4" t="s">
        <v>3464</v>
      </c>
      <c r="B1471" s="4">
        <v>4.2</v>
      </c>
      <c r="C1471" s="23" t="s">
        <v>8734</v>
      </c>
    </row>
    <row r="1472" spans="1:3" x14ac:dyDescent="0.3">
      <c r="A1472" s="3" t="s">
        <v>3466</v>
      </c>
      <c r="B1472" s="3">
        <v>7.4</v>
      </c>
      <c r="C1472" s="22" t="s">
        <v>8337</v>
      </c>
    </row>
    <row r="1473" spans="1:3" x14ac:dyDescent="0.3">
      <c r="A1473" s="4" t="s">
        <v>3468</v>
      </c>
      <c r="B1473" s="4">
        <v>4.5999999999999996</v>
      </c>
      <c r="C1473" s="23" t="s">
        <v>8941</v>
      </c>
    </row>
    <row r="1474" spans="1:3" x14ac:dyDescent="0.3">
      <c r="A1474" s="3" t="s">
        <v>3470</v>
      </c>
      <c r="B1474" s="3">
        <v>6.9</v>
      </c>
      <c r="C1474" s="22" t="s">
        <v>8312</v>
      </c>
    </row>
    <row r="1475" spans="1:3" x14ac:dyDescent="0.3">
      <c r="A1475" s="4" t="s">
        <v>3473</v>
      </c>
      <c r="B1475" s="4">
        <v>6.9</v>
      </c>
      <c r="C1475" s="23" t="s">
        <v>8399</v>
      </c>
    </row>
    <row r="1476" spans="1:3" x14ac:dyDescent="0.3">
      <c r="A1476" s="3" t="s">
        <v>3475</v>
      </c>
      <c r="B1476" s="3">
        <v>8</v>
      </c>
      <c r="C1476" s="22" t="s">
        <v>8625</v>
      </c>
    </row>
    <row r="1477" spans="1:3" x14ac:dyDescent="0.3">
      <c r="A1477" s="4" t="s">
        <v>3477</v>
      </c>
      <c r="B1477" s="4">
        <v>6.4</v>
      </c>
      <c r="C1477" s="23" t="s">
        <v>8942</v>
      </c>
    </row>
    <row r="1478" spans="1:3" x14ac:dyDescent="0.3">
      <c r="A1478" s="3" t="s">
        <v>3479</v>
      </c>
      <c r="B1478" s="3">
        <v>6.3</v>
      </c>
      <c r="C1478" s="22" t="s">
        <v>8502</v>
      </c>
    </row>
    <row r="1479" spans="1:3" x14ac:dyDescent="0.3">
      <c r="A1479" s="4" t="s">
        <v>3481</v>
      </c>
      <c r="B1479" s="4">
        <v>8.4</v>
      </c>
      <c r="C1479" s="23" t="s">
        <v>8943</v>
      </c>
    </row>
    <row r="1480" spans="1:3" x14ac:dyDescent="0.3">
      <c r="A1480" s="3" t="s">
        <v>3483</v>
      </c>
      <c r="B1480" s="3">
        <v>7.1</v>
      </c>
      <c r="C1480" s="22" t="s">
        <v>8944</v>
      </c>
    </row>
    <row r="1481" spans="1:3" x14ac:dyDescent="0.3">
      <c r="A1481" s="4" t="s">
        <v>3486</v>
      </c>
      <c r="B1481" s="4">
        <v>6.8</v>
      </c>
      <c r="C1481" s="23" t="s">
        <v>8400</v>
      </c>
    </row>
    <row r="1482" spans="1:3" x14ac:dyDescent="0.3">
      <c r="A1482" s="3" t="s">
        <v>3488</v>
      </c>
      <c r="B1482" s="3">
        <v>7.5</v>
      </c>
      <c r="C1482" s="22" t="s">
        <v>8407</v>
      </c>
    </row>
    <row r="1483" spans="1:3" x14ac:dyDescent="0.3">
      <c r="A1483" s="4" t="s">
        <v>3490</v>
      </c>
      <c r="B1483" s="4">
        <v>4.5</v>
      </c>
      <c r="C1483" s="23" t="s">
        <v>8352</v>
      </c>
    </row>
    <row r="1484" spans="1:3" x14ac:dyDescent="0.3">
      <c r="A1484" s="3" t="s">
        <v>3492</v>
      </c>
      <c r="B1484" s="3">
        <v>5.7</v>
      </c>
      <c r="C1484" s="22" t="s">
        <v>8945</v>
      </c>
    </row>
    <row r="1485" spans="1:3" x14ac:dyDescent="0.3">
      <c r="A1485" s="4" t="s">
        <v>3494</v>
      </c>
      <c r="B1485" s="4">
        <v>7.2</v>
      </c>
      <c r="C1485" s="23" t="s">
        <v>8946</v>
      </c>
    </row>
    <row r="1486" spans="1:3" x14ac:dyDescent="0.3">
      <c r="A1486" s="3" t="s">
        <v>3496</v>
      </c>
      <c r="B1486" s="3">
        <v>6.8</v>
      </c>
      <c r="C1486" s="22" t="s">
        <v>8642</v>
      </c>
    </row>
    <row r="1487" spans="1:3" x14ac:dyDescent="0.3">
      <c r="A1487" s="4" t="s">
        <v>3498</v>
      </c>
      <c r="B1487" s="4">
        <v>5.4</v>
      </c>
      <c r="C1487" s="23" t="s">
        <v>8947</v>
      </c>
    </row>
    <row r="1488" spans="1:3" x14ac:dyDescent="0.3">
      <c r="A1488" s="3" t="s">
        <v>3500</v>
      </c>
      <c r="B1488" s="3">
        <v>7.2</v>
      </c>
      <c r="C1488" s="22" t="s">
        <v>8342</v>
      </c>
    </row>
    <row r="1489" spans="1:3" x14ac:dyDescent="0.3">
      <c r="A1489" s="4" t="s">
        <v>3502</v>
      </c>
      <c r="B1489" s="4">
        <v>7.3</v>
      </c>
      <c r="C1489" s="23" t="s">
        <v>8414</v>
      </c>
    </row>
    <row r="1490" spans="1:3" x14ac:dyDescent="0.3">
      <c r="A1490" s="3" t="s">
        <v>3504</v>
      </c>
      <c r="B1490" s="3">
        <v>5.2</v>
      </c>
      <c r="C1490" s="22" t="s">
        <v>8948</v>
      </c>
    </row>
    <row r="1491" spans="1:3" x14ac:dyDescent="0.3">
      <c r="A1491" s="4" t="s">
        <v>3506</v>
      </c>
      <c r="B1491" s="4">
        <v>5.5</v>
      </c>
      <c r="C1491" s="23" t="s">
        <v>8465</v>
      </c>
    </row>
    <row r="1492" spans="1:3" x14ac:dyDescent="0.3">
      <c r="A1492" s="3" t="s">
        <v>3508</v>
      </c>
      <c r="B1492" s="3">
        <v>7.7</v>
      </c>
      <c r="C1492" s="22" t="s">
        <v>8949</v>
      </c>
    </row>
    <row r="1493" spans="1:3" x14ac:dyDescent="0.3">
      <c r="A1493" s="4" t="s">
        <v>3510</v>
      </c>
      <c r="B1493" s="4">
        <v>7.1</v>
      </c>
      <c r="C1493" s="23" t="s">
        <v>8950</v>
      </c>
    </row>
    <row r="1494" spans="1:3" x14ac:dyDescent="0.3">
      <c r="A1494" s="3" t="s">
        <v>3512</v>
      </c>
      <c r="B1494" s="3">
        <v>5.3</v>
      </c>
      <c r="C1494" s="22" t="s">
        <v>8951</v>
      </c>
    </row>
    <row r="1495" spans="1:3" x14ac:dyDescent="0.3">
      <c r="A1495" s="4" t="s">
        <v>3514</v>
      </c>
      <c r="B1495" s="4">
        <v>5.6</v>
      </c>
      <c r="C1495" s="23" t="s">
        <v>8952</v>
      </c>
    </row>
    <row r="1496" spans="1:3" x14ac:dyDescent="0.3">
      <c r="A1496" s="3" t="s">
        <v>3516</v>
      </c>
      <c r="B1496" s="3">
        <v>5.7</v>
      </c>
      <c r="C1496" s="22" t="s">
        <v>8696</v>
      </c>
    </row>
    <row r="1497" spans="1:3" x14ac:dyDescent="0.3">
      <c r="A1497" s="4" t="s">
        <v>3518</v>
      </c>
      <c r="B1497" s="4">
        <v>7.1</v>
      </c>
      <c r="C1497" s="23" t="s">
        <v>8859</v>
      </c>
    </row>
    <row r="1498" spans="1:3" x14ac:dyDescent="0.3">
      <c r="A1498" s="3" t="s">
        <v>3521</v>
      </c>
      <c r="B1498" s="3">
        <v>7.5</v>
      </c>
      <c r="C1498" s="22" t="s">
        <v>8779</v>
      </c>
    </row>
    <row r="1499" spans="1:3" x14ac:dyDescent="0.3">
      <c r="A1499" s="4" t="s">
        <v>3523</v>
      </c>
      <c r="B1499" s="4">
        <v>7.6</v>
      </c>
      <c r="C1499" s="23" t="s">
        <v>8633</v>
      </c>
    </row>
    <row r="1500" spans="1:3" x14ac:dyDescent="0.3">
      <c r="A1500" s="3" t="s">
        <v>3525</v>
      </c>
      <c r="B1500" s="3">
        <v>5.5</v>
      </c>
      <c r="C1500" s="22" t="s">
        <v>8594</v>
      </c>
    </row>
    <row r="1501" spans="1:3" x14ac:dyDescent="0.3">
      <c r="A1501" s="4" t="s">
        <v>3528</v>
      </c>
      <c r="B1501" s="4">
        <v>5.0999999999999996</v>
      </c>
      <c r="C1501" s="23" t="s">
        <v>8447</v>
      </c>
    </row>
    <row r="1502" spans="1:3" x14ac:dyDescent="0.3">
      <c r="A1502" s="3" t="s">
        <v>3530</v>
      </c>
      <c r="B1502" s="3">
        <v>6.3</v>
      </c>
      <c r="C1502" s="22" t="s">
        <v>8953</v>
      </c>
    </row>
    <row r="1503" spans="1:3" x14ac:dyDescent="0.3">
      <c r="A1503" s="4" t="s">
        <v>3532</v>
      </c>
      <c r="B1503" s="4">
        <v>4.9000000000000004</v>
      </c>
      <c r="C1503" s="23" t="s">
        <v>8954</v>
      </c>
    </row>
    <row r="1504" spans="1:3" x14ac:dyDescent="0.3">
      <c r="A1504" s="3" t="s">
        <v>3534</v>
      </c>
      <c r="B1504" s="3">
        <v>6.5</v>
      </c>
      <c r="C1504" s="22" t="s">
        <v>8955</v>
      </c>
    </row>
    <row r="1505" spans="1:3" x14ac:dyDescent="0.3">
      <c r="A1505" s="4" t="s">
        <v>3536</v>
      </c>
      <c r="B1505" s="4">
        <v>5.6</v>
      </c>
      <c r="C1505" s="23" t="s">
        <v>8797</v>
      </c>
    </row>
    <row r="1506" spans="1:3" x14ac:dyDescent="0.3">
      <c r="A1506" s="3" t="s">
        <v>3539</v>
      </c>
      <c r="B1506" s="3">
        <v>5.3</v>
      </c>
      <c r="C1506" s="22" t="s">
        <v>8956</v>
      </c>
    </row>
    <row r="1507" spans="1:3" x14ac:dyDescent="0.3">
      <c r="A1507" s="4" t="s">
        <v>3541</v>
      </c>
      <c r="B1507" s="4">
        <v>6.5</v>
      </c>
      <c r="C1507" s="23" t="s">
        <v>8957</v>
      </c>
    </row>
    <row r="1508" spans="1:3" x14ac:dyDescent="0.3">
      <c r="A1508" s="3" t="s">
        <v>3543</v>
      </c>
      <c r="B1508" s="3">
        <v>6.8</v>
      </c>
      <c r="C1508" s="22" t="s">
        <v>8958</v>
      </c>
    </row>
    <row r="1509" spans="1:3" x14ac:dyDescent="0.3">
      <c r="A1509" s="4" t="s">
        <v>3545</v>
      </c>
      <c r="B1509" s="4">
        <v>6.5</v>
      </c>
      <c r="C1509" s="23" t="s">
        <v>8959</v>
      </c>
    </row>
    <row r="1510" spans="1:3" x14ac:dyDescent="0.3">
      <c r="A1510" s="3" t="s">
        <v>3547</v>
      </c>
      <c r="B1510" s="3">
        <v>6</v>
      </c>
      <c r="C1510" s="22" t="s">
        <v>8330</v>
      </c>
    </row>
    <row r="1511" spans="1:3" x14ac:dyDescent="0.3">
      <c r="A1511" s="4" t="s">
        <v>3549</v>
      </c>
      <c r="B1511" s="4">
        <v>8.4</v>
      </c>
      <c r="C1511" s="23" t="s">
        <v>8960</v>
      </c>
    </row>
    <row r="1512" spans="1:3" x14ac:dyDescent="0.3">
      <c r="A1512" s="3" t="s">
        <v>3551</v>
      </c>
      <c r="B1512" s="3">
        <v>6</v>
      </c>
      <c r="C1512" s="22" t="s">
        <v>8961</v>
      </c>
    </row>
    <row r="1513" spans="1:3" x14ac:dyDescent="0.3">
      <c r="A1513" s="4" t="s">
        <v>3553</v>
      </c>
      <c r="B1513" s="4">
        <v>7.6</v>
      </c>
      <c r="C1513" s="23" t="s">
        <v>8857</v>
      </c>
    </row>
    <row r="1514" spans="1:3" x14ac:dyDescent="0.3">
      <c r="A1514" s="3" t="s">
        <v>3555</v>
      </c>
      <c r="B1514" s="3">
        <v>5.6</v>
      </c>
      <c r="C1514" s="22" t="s">
        <v>8962</v>
      </c>
    </row>
    <row r="1515" spans="1:3" x14ac:dyDescent="0.3">
      <c r="A1515" s="4" t="s">
        <v>3557</v>
      </c>
      <c r="B1515" s="4">
        <v>6.9</v>
      </c>
      <c r="C1515" s="23" t="s">
        <v>8341</v>
      </c>
    </row>
    <row r="1516" spans="1:3" x14ac:dyDescent="0.3">
      <c r="A1516" s="3" t="s">
        <v>3559</v>
      </c>
      <c r="B1516" s="3">
        <v>6.4</v>
      </c>
      <c r="C1516" s="22" t="s">
        <v>8365</v>
      </c>
    </row>
    <row r="1517" spans="1:3" x14ac:dyDescent="0.3">
      <c r="A1517" s="4" t="s">
        <v>3561</v>
      </c>
      <c r="B1517" s="4">
        <v>5.0999999999999996</v>
      </c>
      <c r="C1517" s="23" t="s">
        <v>8649</v>
      </c>
    </row>
    <row r="1518" spans="1:3" x14ac:dyDescent="0.3">
      <c r="A1518" s="3" t="s">
        <v>3563</v>
      </c>
      <c r="B1518" s="3">
        <v>7</v>
      </c>
      <c r="C1518" s="22" t="s">
        <v>8399</v>
      </c>
    </row>
    <row r="1519" spans="1:3" x14ac:dyDescent="0.3">
      <c r="A1519" s="4" t="s">
        <v>3565</v>
      </c>
      <c r="B1519" s="4">
        <v>5.7</v>
      </c>
      <c r="C1519" s="23" t="s">
        <v>8963</v>
      </c>
    </row>
    <row r="1520" spans="1:3" x14ac:dyDescent="0.3">
      <c r="A1520" s="3" t="s">
        <v>3568</v>
      </c>
      <c r="B1520" s="3">
        <v>6.8</v>
      </c>
      <c r="C1520" s="22" t="s">
        <v>8393</v>
      </c>
    </row>
    <row r="1521" spans="1:3" x14ac:dyDescent="0.3">
      <c r="A1521" s="4" t="s">
        <v>3570</v>
      </c>
      <c r="B1521" s="4">
        <v>6.7</v>
      </c>
      <c r="C1521" s="23" t="s">
        <v>8831</v>
      </c>
    </row>
    <row r="1522" spans="1:3" x14ac:dyDescent="0.3">
      <c r="A1522" s="3" t="s">
        <v>3572</v>
      </c>
      <c r="B1522" s="3">
        <v>6.2</v>
      </c>
      <c r="C1522" s="22" t="s">
        <v>8964</v>
      </c>
    </row>
    <row r="1523" spans="1:3" x14ac:dyDescent="0.3">
      <c r="A1523" s="4" t="s">
        <v>3574</v>
      </c>
      <c r="B1523" s="4">
        <v>7.2</v>
      </c>
      <c r="C1523" s="23" t="s">
        <v>8950</v>
      </c>
    </row>
    <row r="1524" spans="1:3" x14ac:dyDescent="0.3">
      <c r="A1524" s="3" t="s">
        <v>3576</v>
      </c>
      <c r="B1524" s="3">
        <v>6.2</v>
      </c>
      <c r="C1524" s="22" t="s">
        <v>8965</v>
      </c>
    </row>
    <row r="1525" spans="1:3" x14ac:dyDescent="0.3">
      <c r="A1525" s="4" t="s">
        <v>3578</v>
      </c>
      <c r="B1525" s="4">
        <v>5.6</v>
      </c>
      <c r="C1525" s="23" t="s">
        <v>8966</v>
      </c>
    </row>
    <row r="1526" spans="1:3" x14ac:dyDescent="0.3">
      <c r="A1526" s="3" t="s">
        <v>3581</v>
      </c>
      <c r="B1526" s="3">
        <v>4.4000000000000004</v>
      </c>
      <c r="C1526" s="22" t="s">
        <v>8726</v>
      </c>
    </row>
    <row r="1527" spans="1:3" x14ac:dyDescent="0.3">
      <c r="A1527" s="4" t="s">
        <v>3583</v>
      </c>
      <c r="B1527" s="4">
        <v>7.5</v>
      </c>
      <c r="C1527" s="23" t="s">
        <v>8369</v>
      </c>
    </row>
    <row r="1528" spans="1:3" x14ac:dyDescent="0.3">
      <c r="A1528" s="3" t="s">
        <v>3586</v>
      </c>
      <c r="B1528" s="3">
        <v>7.1</v>
      </c>
      <c r="C1528" s="22" t="s">
        <v>8732</v>
      </c>
    </row>
    <row r="1529" spans="1:3" x14ac:dyDescent="0.3">
      <c r="A1529" s="4" t="s">
        <v>3588</v>
      </c>
      <c r="B1529" s="4">
        <v>6.4</v>
      </c>
      <c r="C1529" s="23" t="s">
        <v>8426</v>
      </c>
    </row>
    <row r="1530" spans="1:3" x14ac:dyDescent="0.3">
      <c r="A1530" s="3" t="s">
        <v>3590</v>
      </c>
      <c r="B1530" s="3">
        <v>7.1</v>
      </c>
      <c r="C1530" s="22" t="s">
        <v>8658</v>
      </c>
    </row>
    <row r="1531" spans="1:3" x14ac:dyDescent="0.3">
      <c r="A1531" s="4" t="s">
        <v>3592</v>
      </c>
      <c r="B1531" s="4">
        <v>5.9</v>
      </c>
      <c r="C1531" s="23" t="s">
        <v>8332</v>
      </c>
    </row>
    <row r="1532" spans="1:3" x14ac:dyDescent="0.3">
      <c r="A1532" s="3" t="s">
        <v>3594</v>
      </c>
      <c r="B1532" s="3">
        <v>6.9</v>
      </c>
      <c r="C1532" s="22" t="s">
        <v>8967</v>
      </c>
    </row>
    <row r="1533" spans="1:3" x14ac:dyDescent="0.3">
      <c r="A1533" s="4" t="s">
        <v>3596</v>
      </c>
      <c r="B1533" s="4">
        <v>7.5</v>
      </c>
      <c r="C1533" s="23" t="s">
        <v>8764</v>
      </c>
    </row>
    <row r="1534" spans="1:3" x14ac:dyDescent="0.3">
      <c r="A1534" s="3" t="s">
        <v>3598</v>
      </c>
      <c r="B1534" s="3">
        <v>6.3</v>
      </c>
      <c r="C1534" s="22" t="s">
        <v>8406</v>
      </c>
    </row>
    <row r="1535" spans="1:3" x14ac:dyDescent="0.3">
      <c r="A1535" s="4" t="s">
        <v>3600</v>
      </c>
      <c r="B1535" s="4">
        <v>6.4</v>
      </c>
      <c r="C1535" s="23" t="s">
        <v>8300</v>
      </c>
    </row>
    <row r="1536" spans="1:3" x14ac:dyDescent="0.3">
      <c r="A1536" s="3" t="s">
        <v>3602</v>
      </c>
      <c r="B1536" s="3">
        <v>5.9</v>
      </c>
      <c r="C1536" s="22" t="s">
        <v>8798</v>
      </c>
    </row>
    <row r="1537" spans="1:3" x14ac:dyDescent="0.3">
      <c r="A1537" s="4" t="s">
        <v>3604</v>
      </c>
      <c r="B1537" s="4">
        <v>6.8</v>
      </c>
      <c r="C1537" s="23" t="s">
        <v>8342</v>
      </c>
    </row>
    <row r="1538" spans="1:3" x14ac:dyDescent="0.3">
      <c r="A1538" s="3" t="s">
        <v>3606</v>
      </c>
      <c r="B1538" s="3">
        <v>6.3</v>
      </c>
      <c r="C1538" s="22" t="s">
        <v>8968</v>
      </c>
    </row>
    <row r="1539" spans="1:3" x14ac:dyDescent="0.3">
      <c r="A1539" s="4" t="s">
        <v>3608</v>
      </c>
      <c r="B1539" s="4">
        <v>3.6</v>
      </c>
      <c r="C1539" s="23" t="s">
        <v>8969</v>
      </c>
    </row>
    <row r="1540" spans="1:3" x14ac:dyDescent="0.3">
      <c r="A1540" s="3" t="s">
        <v>3610</v>
      </c>
      <c r="B1540" s="3">
        <v>5.3</v>
      </c>
      <c r="C1540" s="22" t="s">
        <v>8889</v>
      </c>
    </row>
    <row r="1541" spans="1:3" x14ac:dyDescent="0.3">
      <c r="A1541" s="4" t="s">
        <v>3612</v>
      </c>
      <c r="B1541" s="4">
        <v>5.9</v>
      </c>
      <c r="C1541" s="23" t="s">
        <v>8970</v>
      </c>
    </row>
    <row r="1542" spans="1:3" x14ac:dyDescent="0.3">
      <c r="A1542" s="3" t="s">
        <v>3614</v>
      </c>
      <c r="B1542" s="3">
        <v>6.9</v>
      </c>
      <c r="C1542" s="22" t="s">
        <v>8464</v>
      </c>
    </row>
    <row r="1543" spans="1:3" x14ac:dyDescent="0.3">
      <c r="A1543" s="4" t="s">
        <v>3616</v>
      </c>
      <c r="B1543" s="4">
        <v>6.9</v>
      </c>
      <c r="C1543" s="23" t="s">
        <v>8971</v>
      </c>
    </row>
    <row r="1544" spans="1:3" x14ac:dyDescent="0.3">
      <c r="A1544" s="3" t="s">
        <v>3618</v>
      </c>
      <c r="B1544" s="3">
        <v>6.1</v>
      </c>
      <c r="C1544" s="22" t="s">
        <v>8444</v>
      </c>
    </row>
    <row r="1545" spans="1:3" x14ac:dyDescent="0.3">
      <c r="A1545" s="4" t="s">
        <v>3620</v>
      </c>
      <c r="B1545" s="4">
        <v>5.7</v>
      </c>
      <c r="C1545" s="23" t="s">
        <v>8972</v>
      </c>
    </row>
    <row r="1546" spans="1:3" x14ac:dyDescent="0.3">
      <c r="A1546" s="3" t="s">
        <v>3623</v>
      </c>
      <c r="B1546" s="3">
        <v>8.5</v>
      </c>
      <c r="C1546" s="22" t="s">
        <v>8713</v>
      </c>
    </row>
    <row r="1547" spans="1:3" x14ac:dyDescent="0.3">
      <c r="A1547" s="4" t="s">
        <v>3626</v>
      </c>
      <c r="B1547" s="4">
        <v>6.3</v>
      </c>
      <c r="C1547" s="23" t="s">
        <v>8973</v>
      </c>
    </row>
    <row r="1548" spans="1:3" x14ac:dyDescent="0.3">
      <c r="A1548" s="3" t="s">
        <v>3628</v>
      </c>
      <c r="B1548" s="3">
        <v>7.3</v>
      </c>
      <c r="C1548" s="22" t="s">
        <v>8685</v>
      </c>
    </row>
    <row r="1549" spans="1:3" x14ac:dyDescent="0.3">
      <c r="A1549" s="4" t="s">
        <v>3630</v>
      </c>
      <c r="B1549" s="4">
        <v>6.3</v>
      </c>
      <c r="C1549" s="23" t="s">
        <v>8974</v>
      </c>
    </row>
    <row r="1550" spans="1:3" x14ac:dyDescent="0.3">
      <c r="A1550" s="3" t="s">
        <v>3632</v>
      </c>
      <c r="B1550" s="3">
        <v>7.2</v>
      </c>
      <c r="C1550" s="22" t="s">
        <v>8500</v>
      </c>
    </row>
    <row r="1551" spans="1:3" x14ac:dyDescent="0.3">
      <c r="A1551" s="4" t="s">
        <v>3634</v>
      </c>
      <c r="B1551" s="4">
        <v>7.3</v>
      </c>
      <c r="C1551" s="23" t="s">
        <v>8337</v>
      </c>
    </row>
    <row r="1552" spans="1:3" x14ac:dyDescent="0.3">
      <c r="A1552" s="3" t="s">
        <v>3636</v>
      </c>
      <c r="B1552" s="3">
        <v>6.3</v>
      </c>
      <c r="C1552" s="22" t="s">
        <v>8975</v>
      </c>
    </row>
    <row r="1553" spans="1:3" x14ac:dyDescent="0.3">
      <c r="A1553" s="4" t="s">
        <v>3638</v>
      </c>
      <c r="B1553" s="4">
        <v>8.1</v>
      </c>
      <c r="C1553" s="23" t="s">
        <v>8763</v>
      </c>
    </row>
    <row r="1554" spans="1:3" x14ac:dyDescent="0.3">
      <c r="A1554" s="3" t="s">
        <v>3640</v>
      </c>
      <c r="B1554" s="3">
        <v>6.9</v>
      </c>
      <c r="C1554" s="22" t="s">
        <v>8908</v>
      </c>
    </row>
    <row r="1555" spans="1:3" x14ac:dyDescent="0.3">
      <c r="A1555" s="4" t="s">
        <v>3643</v>
      </c>
      <c r="B1555" s="4">
        <v>6.3</v>
      </c>
      <c r="C1555" s="23" t="s">
        <v>8732</v>
      </c>
    </row>
    <row r="1556" spans="1:3" x14ac:dyDescent="0.3">
      <c r="A1556" s="3" t="s">
        <v>3645</v>
      </c>
      <c r="B1556" s="3">
        <v>7.3</v>
      </c>
      <c r="C1556" s="22" t="s">
        <v>8596</v>
      </c>
    </row>
    <row r="1557" spans="1:3" x14ac:dyDescent="0.3">
      <c r="A1557" s="4" t="s">
        <v>3647</v>
      </c>
      <c r="B1557" s="4">
        <v>5.5</v>
      </c>
      <c r="C1557" s="23" t="s">
        <v>8393</v>
      </c>
    </row>
    <row r="1558" spans="1:3" x14ac:dyDescent="0.3">
      <c r="A1558" s="3" t="s">
        <v>3649</v>
      </c>
      <c r="B1558" s="3">
        <v>6.1</v>
      </c>
      <c r="C1558" s="22" t="s">
        <v>8976</v>
      </c>
    </row>
    <row r="1559" spans="1:3" x14ac:dyDescent="0.3">
      <c r="A1559" s="4" t="s">
        <v>3651</v>
      </c>
      <c r="B1559" s="4">
        <v>6.9</v>
      </c>
      <c r="C1559" s="23" t="s">
        <v>8309</v>
      </c>
    </row>
    <row r="1560" spans="1:3" x14ac:dyDescent="0.3">
      <c r="A1560" s="3" t="s">
        <v>3653</v>
      </c>
      <c r="B1560" s="3">
        <v>7.2</v>
      </c>
      <c r="C1560" s="22" t="s">
        <v>8308</v>
      </c>
    </row>
    <row r="1561" spans="1:3" x14ac:dyDescent="0.3">
      <c r="A1561" s="4" t="s">
        <v>3655</v>
      </c>
      <c r="B1561" s="4">
        <v>6.4</v>
      </c>
      <c r="C1561" s="23" t="s">
        <v>8499</v>
      </c>
    </row>
    <row r="1562" spans="1:3" x14ac:dyDescent="0.3">
      <c r="A1562" s="3" t="s">
        <v>3657</v>
      </c>
      <c r="B1562" s="3">
        <v>6.4</v>
      </c>
      <c r="C1562" s="22" t="s">
        <v>8977</v>
      </c>
    </row>
    <row r="1563" spans="1:3" x14ac:dyDescent="0.3">
      <c r="A1563" s="4" t="s">
        <v>3659</v>
      </c>
      <c r="B1563" s="4">
        <v>8.3000000000000007</v>
      </c>
      <c r="C1563" s="23" t="s">
        <v>8323</v>
      </c>
    </row>
    <row r="1564" spans="1:3" x14ac:dyDescent="0.3">
      <c r="A1564" s="3" t="s">
        <v>3661</v>
      </c>
      <c r="B1564" s="3">
        <v>7.2</v>
      </c>
      <c r="C1564" s="22" t="s">
        <v>8449</v>
      </c>
    </row>
    <row r="1565" spans="1:3" x14ac:dyDescent="0.3">
      <c r="A1565" s="4" t="s">
        <v>3663</v>
      </c>
      <c r="B1565" s="4">
        <v>6.8</v>
      </c>
      <c r="C1565" s="23" t="s">
        <v>8978</v>
      </c>
    </row>
    <row r="1566" spans="1:3" x14ac:dyDescent="0.3">
      <c r="A1566" s="3" t="s">
        <v>3665</v>
      </c>
      <c r="B1566" s="3">
        <v>6.5</v>
      </c>
      <c r="C1566" s="22" t="s">
        <v>8979</v>
      </c>
    </row>
    <row r="1567" spans="1:3" x14ac:dyDescent="0.3">
      <c r="A1567" s="4" t="s">
        <v>3667</v>
      </c>
      <c r="B1567" s="4">
        <v>7.8</v>
      </c>
      <c r="C1567" s="23" t="s">
        <v>8959</v>
      </c>
    </row>
    <row r="1568" spans="1:3" x14ac:dyDescent="0.3">
      <c r="A1568" s="3" t="s">
        <v>3670</v>
      </c>
      <c r="B1568" s="3">
        <v>7.6</v>
      </c>
      <c r="C1568" s="22" t="s">
        <v>8424</v>
      </c>
    </row>
    <row r="1569" spans="1:3" x14ac:dyDescent="0.3">
      <c r="A1569" s="4" t="s">
        <v>3674</v>
      </c>
      <c r="B1569" s="4">
        <v>7.2</v>
      </c>
      <c r="C1569" s="23" t="s">
        <v>8892</v>
      </c>
    </row>
    <row r="1570" spans="1:3" x14ac:dyDescent="0.3">
      <c r="A1570" s="3" t="s">
        <v>3676</v>
      </c>
      <c r="B1570" s="3">
        <v>6.7</v>
      </c>
      <c r="C1570" s="22" t="s">
        <v>8729</v>
      </c>
    </row>
    <row r="1571" spans="1:3" x14ac:dyDescent="0.3">
      <c r="A1571" s="4" t="s">
        <v>3678</v>
      </c>
      <c r="B1571" s="4">
        <v>6.8</v>
      </c>
      <c r="C1571" s="23" t="s">
        <v>8309</v>
      </c>
    </row>
    <row r="1572" spans="1:3" x14ac:dyDescent="0.3">
      <c r="A1572" s="3" t="s">
        <v>3680</v>
      </c>
      <c r="B1572" s="3">
        <v>6.3</v>
      </c>
      <c r="C1572" s="22" t="s">
        <v>8725</v>
      </c>
    </row>
    <row r="1573" spans="1:3" x14ac:dyDescent="0.3">
      <c r="A1573" s="4" t="s">
        <v>3682</v>
      </c>
      <c r="B1573" s="4">
        <v>6.2</v>
      </c>
      <c r="C1573" s="23" t="s">
        <v>8586</v>
      </c>
    </row>
    <row r="1574" spans="1:3" x14ac:dyDescent="0.3">
      <c r="A1574" s="3" t="s">
        <v>3684</v>
      </c>
      <c r="B1574" s="3">
        <v>6.2</v>
      </c>
      <c r="C1574" s="22" t="s">
        <v>8925</v>
      </c>
    </row>
    <row r="1575" spans="1:3" x14ac:dyDescent="0.3">
      <c r="A1575" s="4" t="s">
        <v>3686</v>
      </c>
      <c r="B1575" s="4">
        <v>8.6</v>
      </c>
      <c r="C1575" s="23" t="s">
        <v>8362</v>
      </c>
    </row>
    <row r="1576" spans="1:3" x14ac:dyDescent="0.3">
      <c r="A1576" s="3" t="s">
        <v>3688</v>
      </c>
      <c r="B1576" s="3">
        <v>8</v>
      </c>
      <c r="C1576" s="22" t="s">
        <v>8430</v>
      </c>
    </row>
    <row r="1577" spans="1:3" x14ac:dyDescent="0.3">
      <c r="A1577" s="4" t="s">
        <v>3690</v>
      </c>
      <c r="B1577" s="4">
        <v>7</v>
      </c>
      <c r="C1577" s="23" t="s">
        <v>8980</v>
      </c>
    </row>
    <row r="1578" spans="1:3" x14ac:dyDescent="0.3">
      <c r="A1578" s="3" t="s">
        <v>3692</v>
      </c>
      <c r="B1578" s="3">
        <v>8</v>
      </c>
      <c r="C1578" s="22" t="s">
        <v>8619</v>
      </c>
    </row>
    <row r="1579" spans="1:3" x14ac:dyDescent="0.3">
      <c r="A1579" s="4" t="s">
        <v>3695</v>
      </c>
      <c r="B1579" s="4">
        <v>8.1</v>
      </c>
      <c r="C1579" s="23" t="s">
        <v>8619</v>
      </c>
    </row>
    <row r="1580" spans="1:3" x14ac:dyDescent="0.3">
      <c r="A1580" s="3" t="s">
        <v>3697</v>
      </c>
      <c r="B1580" s="3">
        <v>6.7</v>
      </c>
      <c r="C1580" s="22" t="s">
        <v>8663</v>
      </c>
    </row>
    <row r="1581" spans="1:3" x14ac:dyDescent="0.3">
      <c r="A1581" s="4" t="s">
        <v>3700</v>
      </c>
      <c r="B1581" s="4">
        <v>7.9</v>
      </c>
      <c r="C1581" s="23" t="s">
        <v>8843</v>
      </c>
    </row>
    <row r="1582" spans="1:3" x14ac:dyDescent="0.3">
      <c r="A1582" s="3" t="s">
        <v>3704</v>
      </c>
      <c r="B1582" s="3">
        <v>6.1</v>
      </c>
      <c r="C1582" s="22" t="s">
        <v>8837</v>
      </c>
    </row>
    <row r="1583" spans="1:3" x14ac:dyDescent="0.3">
      <c r="A1583" s="4" t="s">
        <v>3707</v>
      </c>
      <c r="B1583" s="4">
        <v>4.2</v>
      </c>
      <c r="C1583" s="23" t="s">
        <v>8456</v>
      </c>
    </row>
    <row r="1584" spans="1:3" x14ac:dyDescent="0.3">
      <c r="A1584" s="3" t="s">
        <v>3709</v>
      </c>
      <c r="B1584" s="3">
        <v>6.1</v>
      </c>
      <c r="C1584" s="22" t="s">
        <v>8981</v>
      </c>
    </row>
    <row r="1585" spans="1:3" x14ac:dyDescent="0.3">
      <c r="A1585" s="4" t="s">
        <v>3711</v>
      </c>
      <c r="B1585" s="4">
        <v>6.6</v>
      </c>
      <c r="C1585" s="23" t="s">
        <v>8824</v>
      </c>
    </row>
    <row r="1586" spans="1:3" x14ac:dyDescent="0.3">
      <c r="A1586" s="3" t="s">
        <v>3713</v>
      </c>
      <c r="B1586" s="3">
        <v>7.5</v>
      </c>
      <c r="C1586" s="22" t="s">
        <v>8397</v>
      </c>
    </row>
    <row r="1587" spans="1:3" x14ac:dyDescent="0.3">
      <c r="A1587" s="4" t="s">
        <v>3715</v>
      </c>
      <c r="B1587" s="4">
        <v>7.4</v>
      </c>
      <c r="C1587" s="23" t="s">
        <v>8982</v>
      </c>
    </row>
    <row r="1588" spans="1:3" x14ac:dyDescent="0.3">
      <c r="A1588" s="3" t="s">
        <v>3717</v>
      </c>
      <c r="B1588" s="3">
        <v>7.2</v>
      </c>
      <c r="C1588" s="22" t="s">
        <v>8983</v>
      </c>
    </row>
    <row r="1589" spans="1:3" x14ac:dyDescent="0.3">
      <c r="A1589" s="4" t="s">
        <v>3719</v>
      </c>
      <c r="B1589" s="4">
        <v>6.9</v>
      </c>
      <c r="C1589" s="23" t="s">
        <v>8984</v>
      </c>
    </row>
    <row r="1590" spans="1:3" x14ac:dyDescent="0.3">
      <c r="A1590" s="3" t="s">
        <v>3721</v>
      </c>
      <c r="B1590" s="3">
        <v>7.4</v>
      </c>
      <c r="C1590" s="22" t="s">
        <v>8985</v>
      </c>
    </row>
    <row r="1591" spans="1:3" x14ac:dyDescent="0.3">
      <c r="A1591" s="4" t="s">
        <v>3723</v>
      </c>
      <c r="B1591" s="4">
        <v>5.4</v>
      </c>
      <c r="C1591" s="23" t="s">
        <v>8313</v>
      </c>
    </row>
    <row r="1592" spans="1:3" x14ac:dyDescent="0.3">
      <c r="A1592" s="3" t="s">
        <v>3726</v>
      </c>
      <c r="B1592" s="3">
        <v>6.8</v>
      </c>
      <c r="C1592" s="22" t="s">
        <v>8986</v>
      </c>
    </row>
    <row r="1593" spans="1:3" x14ac:dyDescent="0.3">
      <c r="A1593" s="4" t="s">
        <v>3728</v>
      </c>
      <c r="B1593" s="4">
        <v>6.3</v>
      </c>
      <c r="C1593" s="23" t="s">
        <v>8638</v>
      </c>
    </row>
    <row r="1594" spans="1:3" x14ac:dyDescent="0.3">
      <c r="A1594" s="3" t="s">
        <v>3731</v>
      </c>
      <c r="B1594" s="3">
        <v>7.2</v>
      </c>
      <c r="C1594" s="22" t="s">
        <v>8844</v>
      </c>
    </row>
    <row r="1595" spans="1:3" x14ac:dyDescent="0.3">
      <c r="A1595" s="4" t="s">
        <v>3734</v>
      </c>
      <c r="B1595" s="4">
        <v>6.9</v>
      </c>
      <c r="C1595" s="23" t="s">
        <v>8558</v>
      </c>
    </row>
    <row r="1596" spans="1:3" x14ac:dyDescent="0.3">
      <c r="A1596" s="3" t="s">
        <v>3736</v>
      </c>
      <c r="B1596" s="3">
        <v>6</v>
      </c>
      <c r="C1596" s="22" t="s">
        <v>8987</v>
      </c>
    </row>
    <row r="1597" spans="1:3" x14ac:dyDescent="0.3">
      <c r="A1597" s="4" t="s">
        <v>3738</v>
      </c>
      <c r="B1597" s="4">
        <v>5.9</v>
      </c>
      <c r="C1597" s="23" t="s">
        <v>8988</v>
      </c>
    </row>
    <row r="1598" spans="1:3" x14ac:dyDescent="0.3">
      <c r="A1598" s="3" t="s">
        <v>3740</v>
      </c>
      <c r="B1598" s="3">
        <v>5.4</v>
      </c>
      <c r="C1598" s="22" t="s">
        <v>8529</v>
      </c>
    </row>
    <row r="1599" spans="1:3" x14ac:dyDescent="0.3">
      <c r="A1599" s="4" t="s">
        <v>3742</v>
      </c>
      <c r="B1599" s="4">
        <v>5.9</v>
      </c>
      <c r="C1599" s="23" t="s">
        <v>8547</v>
      </c>
    </row>
    <row r="1600" spans="1:3" x14ac:dyDescent="0.3">
      <c r="A1600" s="3" t="s">
        <v>3744</v>
      </c>
      <c r="B1600" s="3">
        <v>6.1</v>
      </c>
      <c r="C1600" s="22" t="s">
        <v>8529</v>
      </c>
    </row>
    <row r="1601" spans="1:3" x14ac:dyDescent="0.3">
      <c r="A1601" s="4" t="s">
        <v>3746</v>
      </c>
      <c r="B1601" s="4">
        <v>7.7</v>
      </c>
      <c r="C1601" s="23" t="s">
        <v>8989</v>
      </c>
    </row>
    <row r="1602" spans="1:3" x14ac:dyDescent="0.3">
      <c r="A1602" s="3" t="s">
        <v>3748</v>
      </c>
      <c r="B1602" s="3">
        <v>5.8</v>
      </c>
      <c r="C1602" s="22" t="s">
        <v>8990</v>
      </c>
    </row>
    <row r="1603" spans="1:3" x14ac:dyDescent="0.3">
      <c r="A1603" s="4" t="s">
        <v>3750</v>
      </c>
      <c r="B1603" s="4">
        <v>7.6</v>
      </c>
      <c r="C1603" s="23" t="s">
        <v>8991</v>
      </c>
    </row>
    <row r="1604" spans="1:3" x14ac:dyDescent="0.3">
      <c r="A1604" s="3" t="s">
        <v>3752</v>
      </c>
      <c r="B1604" s="3">
        <v>6.1</v>
      </c>
      <c r="C1604" s="22" t="s">
        <v>8891</v>
      </c>
    </row>
    <row r="1605" spans="1:3" x14ac:dyDescent="0.3">
      <c r="A1605" s="4" t="s">
        <v>3754</v>
      </c>
      <c r="B1605" s="4">
        <v>5.4</v>
      </c>
      <c r="C1605" s="23" t="s">
        <v>8992</v>
      </c>
    </row>
    <row r="1606" spans="1:3" x14ac:dyDescent="0.3">
      <c r="A1606" s="3" t="s">
        <v>3756</v>
      </c>
      <c r="B1606" s="3">
        <v>5.0999999999999996</v>
      </c>
      <c r="C1606" s="22" t="s">
        <v>8804</v>
      </c>
    </row>
    <row r="1607" spans="1:3" x14ac:dyDescent="0.3">
      <c r="A1607" s="4" t="s">
        <v>3758</v>
      </c>
      <c r="B1607" s="4">
        <v>6.4</v>
      </c>
      <c r="C1607" s="23" t="s">
        <v>8524</v>
      </c>
    </row>
    <row r="1608" spans="1:3" x14ac:dyDescent="0.3">
      <c r="A1608" s="3" t="s">
        <v>3760</v>
      </c>
      <c r="B1608" s="3">
        <v>6.3</v>
      </c>
      <c r="C1608" s="22" t="s">
        <v>8826</v>
      </c>
    </row>
    <row r="1609" spans="1:3" x14ac:dyDescent="0.3">
      <c r="A1609" s="4" t="s">
        <v>3762</v>
      </c>
      <c r="B1609" s="4">
        <v>7.5</v>
      </c>
      <c r="C1609" s="23" t="s">
        <v>8993</v>
      </c>
    </row>
    <row r="1610" spans="1:3" x14ac:dyDescent="0.3">
      <c r="A1610" s="3" t="s">
        <v>3764</v>
      </c>
      <c r="B1610" s="3">
        <v>7.1</v>
      </c>
      <c r="C1610" s="22" t="s">
        <v>8770</v>
      </c>
    </row>
    <row r="1611" spans="1:3" x14ac:dyDescent="0.3">
      <c r="A1611" s="4" t="s">
        <v>3766</v>
      </c>
      <c r="B1611" s="4">
        <v>5.2</v>
      </c>
      <c r="C1611" s="23" t="s">
        <v>8861</v>
      </c>
    </row>
    <row r="1612" spans="1:3" x14ac:dyDescent="0.3">
      <c r="A1612" s="3" t="s">
        <v>3769</v>
      </c>
      <c r="B1612" s="3">
        <v>7.8</v>
      </c>
      <c r="C1612" s="22" t="s">
        <v>8390</v>
      </c>
    </row>
    <row r="1613" spans="1:3" x14ac:dyDescent="0.3">
      <c r="A1613" s="4" t="s">
        <v>3771</v>
      </c>
      <c r="B1613" s="4">
        <v>6.5</v>
      </c>
      <c r="C1613" s="23" t="s">
        <v>8529</v>
      </c>
    </row>
    <row r="1614" spans="1:3" x14ac:dyDescent="0.3">
      <c r="A1614" s="3" t="s">
        <v>3773</v>
      </c>
      <c r="B1614" s="3">
        <v>6.6</v>
      </c>
      <c r="C1614" s="22" t="s">
        <v>8312</v>
      </c>
    </row>
    <row r="1615" spans="1:3" x14ac:dyDescent="0.3">
      <c r="A1615" s="4" t="s">
        <v>3775</v>
      </c>
      <c r="B1615" s="4">
        <v>5.0999999999999996</v>
      </c>
      <c r="C1615" s="23" t="s">
        <v>8600</v>
      </c>
    </row>
    <row r="1616" spans="1:3" x14ac:dyDescent="0.3">
      <c r="A1616" s="3" t="s">
        <v>3777</v>
      </c>
      <c r="B1616" s="3">
        <v>7.4</v>
      </c>
      <c r="C1616" s="22" t="s">
        <v>8318</v>
      </c>
    </row>
    <row r="1617" spans="1:3" x14ac:dyDescent="0.3">
      <c r="A1617" s="4" t="s">
        <v>3780</v>
      </c>
      <c r="B1617" s="4">
        <v>7.2</v>
      </c>
      <c r="C1617" s="23" t="s">
        <v>8994</v>
      </c>
    </row>
    <row r="1618" spans="1:3" x14ac:dyDescent="0.3">
      <c r="A1618" s="3" t="s">
        <v>3782</v>
      </c>
      <c r="B1618" s="3">
        <v>7.6</v>
      </c>
      <c r="C1618" s="22" t="s">
        <v>8789</v>
      </c>
    </row>
    <row r="1619" spans="1:3" x14ac:dyDescent="0.3">
      <c r="A1619" s="4" t="s">
        <v>3784</v>
      </c>
      <c r="B1619" s="4">
        <v>7.5</v>
      </c>
      <c r="C1619" s="23" t="s">
        <v>8567</v>
      </c>
    </row>
    <row r="1620" spans="1:3" x14ac:dyDescent="0.3">
      <c r="A1620" s="3" t="s">
        <v>3786</v>
      </c>
      <c r="B1620" s="3">
        <v>6.6</v>
      </c>
      <c r="C1620" s="22" t="s">
        <v>8300</v>
      </c>
    </row>
    <row r="1621" spans="1:3" x14ac:dyDescent="0.3">
      <c r="A1621" s="4" t="s">
        <v>3789</v>
      </c>
      <c r="B1621" s="4">
        <v>7.2</v>
      </c>
      <c r="C1621" s="23" t="s">
        <v>8995</v>
      </c>
    </row>
    <row r="1622" spans="1:3" x14ac:dyDescent="0.3">
      <c r="A1622" s="3" t="s">
        <v>3791</v>
      </c>
      <c r="B1622" s="3">
        <v>7.6</v>
      </c>
      <c r="C1622" s="22" t="s">
        <v>8996</v>
      </c>
    </row>
    <row r="1623" spans="1:3" x14ac:dyDescent="0.3">
      <c r="A1623" s="4" t="s">
        <v>3793</v>
      </c>
      <c r="B1623" s="4">
        <v>6.2</v>
      </c>
      <c r="C1623" s="23" t="s">
        <v>8401</v>
      </c>
    </row>
    <row r="1624" spans="1:3" x14ac:dyDescent="0.3">
      <c r="A1624" s="3" t="s">
        <v>3795</v>
      </c>
      <c r="B1624" s="3">
        <v>5.6</v>
      </c>
      <c r="C1624" s="22" t="s">
        <v>8765</v>
      </c>
    </row>
    <row r="1625" spans="1:3" x14ac:dyDescent="0.3">
      <c r="A1625" s="4" t="s">
        <v>3797</v>
      </c>
      <c r="B1625" s="4">
        <v>7.6</v>
      </c>
      <c r="C1625" s="23" t="s">
        <v>8306</v>
      </c>
    </row>
    <row r="1626" spans="1:3" x14ac:dyDescent="0.3">
      <c r="A1626" s="3" t="s">
        <v>3799</v>
      </c>
      <c r="B1626" s="3">
        <v>6.6</v>
      </c>
      <c r="C1626" s="22" t="s">
        <v>8605</v>
      </c>
    </row>
    <row r="1627" spans="1:3" x14ac:dyDescent="0.3">
      <c r="A1627" s="4" t="s">
        <v>3801</v>
      </c>
      <c r="B1627" s="4">
        <v>7</v>
      </c>
      <c r="C1627" s="23" t="s">
        <v>8997</v>
      </c>
    </row>
    <row r="1628" spans="1:3" x14ac:dyDescent="0.3">
      <c r="A1628" s="3" t="s">
        <v>3804</v>
      </c>
      <c r="B1628" s="3">
        <v>2.7</v>
      </c>
      <c r="C1628" s="22" t="s">
        <v>8998</v>
      </c>
    </row>
    <row r="1629" spans="1:3" x14ac:dyDescent="0.3">
      <c r="A1629" s="4" t="s">
        <v>3806</v>
      </c>
      <c r="B1629" s="4">
        <v>7.6</v>
      </c>
      <c r="C1629" s="23" t="s">
        <v>8518</v>
      </c>
    </row>
    <row r="1630" spans="1:3" x14ac:dyDescent="0.3">
      <c r="A1630" s="3" t="s">
        <v>3808</v>
      </c>
      <c r="B1630" s="3">
        <v>6.6</v>
      </c>
      <c r="C1630" s="22" t="s">
        <v>8999</v>
      </c>
    </row>
    <row r="1631" spans="1:3" x14ac:dyDescent="0.3">
      <c r="A1631" s="4" t="s">
        <v>3810</v>
      </c>
      <c r="B1631" s="4">
        <v>6.9</v>
      </c>
      <c r="C1631" s="23" t="s">
        <v>8482</v>
      </c>
    </row>
    <row r="1632" spans="1:3" x14ac:dyDescent="0.3">
      <c r="A1632" s="3" t="s">
        <v>3813</v>
      </c>
      <c r="B1632" s="3">
        <v>6.8</v>
      </c>
      <c r="C1632" s="22" t="s">
        <v>8390</v>
      </c>
    </row>
    <row r="1633" spans="1:3" x14ac:dyDescent="0.3">
      <c r="A1633" s="4" t="s">
        <v>3815</v>
      </c>
      <c r="B1633" s="4">
        <v>3.7</v>
      </c>
      <c r="C1633" s="23" t="s">
        <v>9000</v>
      </c>
    </row>
    <row r="1634" spans="1:3" x14ac:dyDescent="0.3">
      <c r="A1634" s="3" t="s">
        <v>3817</v>
      </c>
      <c r="B1634" s="3">
        <v>6.1</v>
      </c>
      <c r="C1634" s="22" t="s">
        <v>9001</v>
      </c>
    </row>
    <row r="1635" spans="1:3" x14ac:dyDescent="0.3">
      <c r="A1635" s="4" t="s">
        <v>3819</v>
      </c>
      <c r="B1635" s="4">
        <v>5.9</v>
      </c>
      <c r="C1635" s="23" t="s">
        <v>9002</v>
      </c>
    </row>
    <row r="1636" spans="1:3" x14ac:dyDescent="0.3">
      <c r="A1636" s="3" t="s">
        <v>3821</v>
      </c>
      <c r="B1636" s="3">
        <v>6.7</v>
      </c>
      <c r="C1636" s="22" t="s">
        <v>9003</v>
      </c>
    </row>
    <row r="1637" spans="1:3" x14ac:dyDescent="0.3">
      <c r="A1637" s="4" t="s">
        <v>3823</v>
      </c>
      <c r="B1637" s="4">
        <v>6.9</v>
      </c>
      <c r="C1637" s="23" t="s">
        <v>9004</v>
      </c>
    </row>
    <row r="1638" spans="1:3" x14ac:dyDescent="0.3">
      <c r="A1638" s="3" t="s">
        <v>3825</v>
      </c>
      <c r="B1638" s="3">
        <v>5.5</v>
      </c>
      <c r="C1638" s="22" t="s">
        <v>8693</v>
      </c>
    </row>
    <row r="1639" spans="1:3" x14ac:dyDescent="0.3">
      <c r="A1639" s="4" t="s">
        <v>3827</v>
      </c>
      <c r="B1639" s="4">
        <v>7.1</v>
      </c>
      <c r="C1639" s="23" t="s">
        <v>9005</v>
      </c>
    </row>
    <row r="1640" spans="1:3" x14ac:dyDescent="0.3">
      <c r="A1640" s="3" t="s">
        <v>3829</v>
      </c>
      <c r="B1640" s="3">
        <v>7.1</v>
      </c>
      <c r="C1640" s="22" t="s">
        <v>8444</v>
      </c>
    </row>
    <row r="1641" spans="1:3" x14ac:dyDescent="0.3">
      <c r="A1641" s="4" t="s">
        <v>3831</v>
      </c>
      <c r="B1641" s="4">
        <v>5.9</v>
      </c>
      <c r="C1641" s="23" t="s">
        <v>9006</v>
      </c>
    </row>
    <row r="1642" spans="1:3" x14ac:dyDescent="0.3">
      <c r="A1642" s="3" t="s">
        <v>3833</v>
      </c>
      <c r="B1642" s="3">
        <v>7.3</v>
      </c>
      <c r="C1642" s="22" t="s">
        <v>9007</v>
      </c>
    </row>
    <row r="1643" spans="1:3" x14ac:dyDescent="0.3">
      <c r="A1643" s="4" t="s">
        <v>3835</v>
      </c>
      <c r="B1643" s="4">
        <v>3.4</v>
      </c>
      <c r="C1643" s="23" t="s">
        <v>9008</v>
      </c>
    </row>
    <row r="1644" spans="1:3" x14ac:dyDescent="0.3">
      <c r="A1644" s="3" t="s">
        <v>3837</v>
      </c>
      <c r="B1644" s="3">
        <v>6.8</v>
      </c>
      <c r="C1644" s="22" t="s">
        <v>8779</v>
      </c>
    </row>
    <row r="1645" spans="1:3" x14ac:dyDescent="0.3">
      <c r="A1645" s="4" t="s">
        <v>3840</v>
      </c>
      <c r="B1645" s="4">
        <v>6.9</v>
      </c>
      <c r="C1645" s="23" t="s">
        <v>9009</v>
      </c>
    </row>
    <row r="1646" spans="1:3" x14ac:dyDescent="0.3">
      <c r="A1646" s="3" t="s">
        <v>3843</v>
      </c>
      <c r="B1646" s="3">
        <v>7</v>
      </c>
      <c r="C1646" s="22" t="s">
        <v>8755</v>
      </c>
    </row>
    <row r="1647" spans="1:3" x14ac:dyDescent="0.3">
      <c r="A1647" s="4" t="s">
        <v>3845</v>
      </c>
      <c r="B1647" s="4">
        <v>5.5</v>
      </c>
      <c r="C1647" s="23" t="s">
        <v>9010</v>
      </c>
    </row>
    <row r="1648" spans="1:3" x14ac:dyDescent="0.3">
      <c r="A1648" s="3" t="s">
        <v>3847</v>
      </c>
      <c r="B1648" s="3">
        <v>5.0999999999999996</v>
      </c>
      <c r="C1648" s="22" t="s">
        <v>8539</v>
      </c>
    </row>
    <row r="1649" spans="1:3" x14ac:dyDescent="0.3">
      <c r="A1649" s="4" t="s">
        <v>3849</v>
      </c>
      <c r="B1649" s="4">
        <v>6.2</v>
      </c>
      <c r="C1649" s="23" t="s">
        <v>8538</v>
      </c>
    </row>
    <row r="1650" spans="1:3" x14ac:dyDescent="0.3">
      <c r="A1650" s="3" t="s">
        <v>3851</v>
      </c>
      <c r="B1650" s="3">
        <v>5.9</v>
      </c>
      <c r="C1650" s="22" t="s">
        <v>9011</v>
      </c>
    </row>
    <row r="1651" spans="1:3" x14ac:dyDescent="0.3">
      <c r="A1651" s="4" t="s">
        <v>3853</v>
      </c>
      <c r="B1651" s="4">
        <v>5.2</v>
      </c>
      <c r="C1651" s="23" t="s">
        <v>9012</v>
      </c>
    </row>
    <row r="1652" spans="1:3" x14ac:dyDescent="0.3">
      <c r="A1652" s="3" t="s">
        <v>3857</v>
      </c>
      <c r="B1652" s="3">
        <v>6.2</v>
      </c>
      <c r="C1652" s="22" t="s">
        <v>8844</v>
      </c>
    </row>
    <row r="1653" spans="1:3" x14ac:dyDescent="0.3">
      <c r="A1653" s="4" t="s">
        <v>3859</v>
      </c>
      <c r="B1653" s="4">
        <v>5.5</v>
      </c>
      <c r="C1653" s="23" t="s">
        <v>9013</v>
      </c>
    </row>
    <row r="1654" spans="1:3" x14ac:dyDescent="0.3">
      <c r="A1654" s="3" t="s">
        <v>3862</v>
      </c>
      <c r="B1654" s="3">
        <v>7.4</v>
      </c>
      <c r="C1654" s="22" t="s">
        <v>9014</v>
      </c>
    </row>
    <row r="1655" spans="1:3" x14ac:dyDescent="0.3">
      <c r="A1655" s="4" t="s">
        <v>3864</v>
      </c>
      <c r="B1655" s="4">
        <v>4.4000000000000004</v>
      </c>
      <c r="C1655" s="23" t="s">
        <v>9015</v>
      </c>
    </row>
    <row r="1656" spans="1:3" x14ac:dyDescent="0.3">
      <c r="A1656" s="3" t="s">
        <v>3866</v>
      </c>
      <c r="B1656" s="3">
        <v>6.3</v>
      </c>
      <c r="C1656" s="22" t="s">
        <v>9016</v>
      </c>
    </row>
    <row r="1657" spans="1:3" x14ac:dyDescent="0.3">
      <c r="A1657" s="4" t="s">
        <v>3868</v>
      </c>
      <c r="B1657" s="4">
        <v>6.1</v>
      </c>
      <c r="C1657" s="23" t="s">
        <v>8567</v>
      </c>
    </row>
    <row r="1658" spans="1:3" x14ac:dyDescent="0.3">
      <c r="A1658" s="3" t="s">
        <v>3870</v>
      </c>
      <c r="B1658" s="3">
        <v>5.3</v>
      </c>
      <c r="C1658" s="22" t="s">
        <v>9017</v>
      </c>
    </row>
    <row r="1659" spans="1:3" x14ac:dyDescent="0.3">
      <c r="A1659" s="4" t="s">
        <v>3872</v>
      </c>
      <c r="B1659" s="4">
        <v>5.4</v>
      </c>
      <c r="C1659" s="23" t="s">
        <v>9018</v>
      </c>
    </row>
    <row r="1660" spans="1:3" x14ac:dyDescent="0.3">
      <c r="A1660" s="3" t="s">
        <v>3874</v>
      </c>
      <c r="B1660" s="3">
        <v>6.7</v>
      </c>
      <c r="C1660" s="22" t="s">
        <v>8397</v>
      </c>
    </row>
    <row r="1661" spans="1:3" x14ac:dyDescent="0.3">
      <c r="A1661" s="4" t="s">
        <v>3877</v>
      </c>
      <c r="B1661" s="4">
        <v>5.9</v>
      </c>
      <c r="C1661" s="23" t="s">
        <v>8652</v>
      </c>
    </row>
    <row r="1662" spans="1:3" x14ac:dyDescent="0.3">
      <c r="A1662" s="3" t="s">
        <v>3879</v>
      </c>
      <c r="B1662" s="3">
        <v>7.3</v>
      </c>
      <c r="C1662" s="22" t="s">
        <v>9019</v>
      </c>
    </row>
    <row r="1663" spans="1:3" x14ac:dyDescent="0.3">
      <c r="A1663" s="4" t="s">
        <v>3881</v>
      </c>
      <c r="B1663" s="4">
        <v>5.5</v>
      </c>
      <c r="C1663" s="23" t="s">
        <v>8749</v>
      </c>
    </row>
    <row r="1664" spans="1:3" x14ac:dyDescent="0.3">
      <c r="A1664" s="3" t="s">
        <v>3883</v>
      </c>
      <c r="B1664" s="3">
        <v>5.8</v>
      </c>
      <c r="C1664" s="22" t="s">
        <v>9020</v>
      </c>
    </row>
    <row r="1665" spans="1:3" x14ac:dyDescent="0.3">
      <c r="A1665" s="4" t="s">
        <v>3885</v>
      </c>
      <c r="B1665" s="4">
        <v>4.5999999999999996</v>
      </c>
      <c r="C1665" s="23" t="s">
        <v>9021</v>
      </c>
    </row>
    <row r="1666" spans="1:3" x14ac:dyDescent="0.3">
      <c r="A1666" s="3" t="s">
        <v>3888</v>
      </c>
      <c r="B1666" s="3">
        <v>6.7</v>
      </c>
      <c r="C1666" s="22" t="s">
        <v>9022</v>
      </c>
    </row>
    <row r="1667" spans="1:3" x14ac:dyDescent="0.3">
      <c r="A1667" s="4" t="s">
        <v>3890</v>
      </c>
      <c r="B1667" s="4">
        <v>5.0999999999999996</v>
      </c>
      <c r="C1667" s="23" t="s">
        <v>9023</v>
      </c>
    </row>
    <row r="1668" spans="1:3" x14ac:dyDescent="0.3">
      <c r="A1668" s="3" t="s">
        <v>3892</v>
      </c>
      <c r="B1668" s="3">
        <v>5.6</v>
      </c>
      <c r="C1668" s="22" t="s">
        <v>8633</v>
      </c>
    </row>
    <row r="1669" spans="1:3" x14ac:dyDescent="0.3">
      <c r="A1669" s="4" t="s">
        <v>3894</v>
      </c>
      <c r="B1669" s="4">
        <v>7</v>
      </c>
      <c r="C1669" s="23" t="s">
        <v>8817</v>
      </c>
    </row>
    <row r="1670" spans="1:3" x14ac:dyDescent="0.3">
      <c r="A1670" s="3" t="s">
        <v>3896</v>
      </c>
      <c r="B1670" s="3">
        <v>6.4</v>
      </c>
      <c r="C1670" s="22" t="s">
        <v>8610</v>
      </c>
    </row>
    <row r="1671" spans="1:3" x14ac:dyDescent="0.3">
      <c r="A1671" s="4" t="s">
        <v>3898</v>
      </c>
      <c r="B1671" s="4">
        <v>6.7</v>
      </c>
      <c r="C1671" s="23" t="s">
        <v>8720</v>
      </c>
    </row>
    <row r="1672" spans="1:3" x14ac:dyDescent="0.3">
      <c r="A1672" s="3" t="s">
        <v>3900</v>
      </c>
      <c r="B1672" s="3">
        <v>4.0999999999999996</v>
      </c>
      <c r="C1672" s="22" t="s">
        <v>9024</v>
      </c>
    </row>
    <row r="1673" spans="1:3" x14ac:dyDescent="0.3">
      <c r="A1673" s="4" t="s">
        <v>3902</v>
      </c>
      <c r="B1673" s="4">
        <v>5.5</v>
      </c>
      <c r="C1673" s="23" t="s">
        <v>8728</v>
      </c>
    </row>
    <row r="1674" spans="1:3" x14ac:dyDescent="0.3">
      <c r="A1674" s="3" t="s">
        <v>3904</v>
      </c>
      <c r="B1674" s="3">
        <v>2.7</v>
      </c>
      <c r="C1674" s="22" t="s">
        <v>8774</v>
      </c>
    </row>
    <row r="1675" spans="1:3" x14ac:dyDescent="0.3">
      <c r="A1675" s="4" t="s">
        <v>3906</v>
      </c>
      <c r="B1675" s="4">
        <v>6.4</v>
      </c>
      <c r="C1675" s="23" t="s">
        <v>9025</v>
      </c>
    </row>
    <row r="1676" spans="1:3" x14ac:dyDescent="0.3">
      <c r="A1676" s="3" t="s">
        <v>3908</v>
      </c>
      <c r="B1676" s="3">
        <v>4.8</v>
      </c>
      <c r="C1676" s="22" t="s">
        <v>9026</v>
      </c>
    </row>
    <row r="1677" spans="1:3" x14ac:dyDescent="0.3">
      <c r="A1677" s="4" t="s">
        <v>3910</v>
      </c>
      <c r="B1677" s="4">
        <v>6.1</v>
      </c>
      <c r="C1677" s="23" t="s">
        <v>9027</v>
      </c>
    </row>
    <row r="1678" spans="1:3" x14ac:dyDescent="0.3">
      <c r="A1678" s="3" t="s">
        <v>3913</v>
      </c>
      <c r="B1678" s="3">
        <v>4.8</v>
      </c>
      <c r="C1678" s="22" t="s">
        <v>9028</v>
      </c>
    </row>
    <row r="1679" spans="1:3" x14ac:dyDescent="0.3">
      <c r="A1679" s="4" t="s">
        <v>3915</v>
      </c>
      <c r="B1679" s="4">
        <v>7</v>
      </c>
      <c r="C1679" s="23" t="s">
        <v>8937</v>
      </c>
    </row>
    <row r="1680" spans="1:3" x14ac:dyDescent="0.3">
      <c r="A1680" s="3" t="s">
        <v>3917</v>
      </c>
      <c r="B1680" s="3">
        <v>6.8</v>
      </c>
      <c r="C1680" s="22" t="s">
        <v>8548</v>
      </c>
    </row>
    <row r="1681" spans="1:3" x14ac:dyDescent="0.3">
      <c r="A1681" s="4" t="s">
        <v>3919</v>
      </c>
      <c r="B1681" s="4">
        <v>7.3</v>
      </c>
      <c r="C1681" s="23" t="s">
        <v>9029</v>
      </c>
    </row>
    <row r="1682" spans="1:3" x14ac:dyDescent="0.3">
      <c r="A1682" s="3" t="s">
        <v>3922</v>
      </c>
      <c r="B1682" s="3">
        <v>5.6</v>
      </c>
      <c r="C1682" s="22" t="s">
        <v>8786</v>
      </c>
    </row>
    <row r="1683" spans="1:3" x14ac:dyDescent="0.3">
      <c r="A1683" s="4" t="s">
        <v>3924</v>
      </c>
      <c r="B1683" s="4">
        <v>6.1</v>
      </c>
      <c r="C1683" s="23" t="s">
        <v>8798</v>
      </c>
    </row>
    <row r="1684" spans="1:3" x14ac:dyDescent="0.3">
      <c r="A1684" s="3" t="s">
        <v>3927</v>
      </c>
      <c r="B1684" s="3">
        <v>7.9</v>
      </c>
      <c r="C1684" s="22" t="s">
        <v>8397</v>
      </c>
    </row>
    <row r="1685" spans="1:3" x14ac:dyDescent="0.3">
      <c r="A1685" s="4" t="s">
        <v>3929</v>
      </c>
      <c r="B1685" s="4">
        <v>8.4</v>
      </c>
      <c r="C1685" s="23" t="s">
        <v>9030</v>
      </c>
    </row>
    <row r="1686" spans="1:3" x14ac:dyDescent="0.3">
      <c r="A1686" s="3" t="s">
        <v>3931</v>
      </c>
      <c r="B1686" s="3">
        <v>6.5</v>
      </c>
      <c r="C1686" s="22" t="s">
        <v>9031</v>
      </c>
    </row>
    <row r="1687" spans="1:3" x14ac:dyDescent="0.3">
      <c r="A1687" s="4" t="s">
        <v>3933</v>
      </c>
      <c r="B1687" s="4">
        <v>7.1</v>
      </c>
      <c r="C1687" s="23" t="s">
        <v>9032</v>
      </c>
    </row>
    <row r="1688" spans="1:3" x14ac:dyDescent="0.3">
      <c r="A1688" s="3" t="s">
        <v>3935</v>
      </c>
      <c r="B1688" s="3">
        <v>6.6</v>
      </c>
      <c r="C1688" s="22" t="s">
        <v>8728</v>
      </c>
    </row>
    <row r="1689" spans="1:3" x14ac:dyDescent="0.3">
      <c r="A1689" s="4" t="s">
        <v>3938</v>
      </c>
      <c r="B1689" s="4">
        <v>4</v>
      </c>
      <c r="C1689" s="23" t="s">
        <v>9033</v>
      </c>
    </row>
    <row r="1690" spans="1:3" x14ac:dyDescent="0.3">
      <c r="A1690" s="3" t="s">
        <v>3940</v>
      </c>
      <c r="B1690" s="3">
        <v>7</v>
      </c>
      <c r="C1690" s="22" t="s">
        <v>8986</v>
      </c>
    </row>
    <row r="1691" spans="1:3" x14ac:dyDescent="0.3">
      <c r="A1691" s="4" t="s">
        <v>3943</v>
      </c>
      <c r="B1691" s="4">
        <v>5.6</v>
      </c>
      <c r="C1691" s="23" t="s">
        <v>9034</v>
      </c>
    </row>
    <row r="1692" spans="1:3" x14ac:dyDescent="0.3">
      <c r="A1692" s="3" t="s">
        <v>3946</v>
      </c>
      <c r="B1692" s="3">
        <v>4.8</v>
      </c>
      <c r="C1692" s="22" t="s">
        <v>9035</v>
      </c>
    </row>
    <row r="1693" spans="1:3" x14ac:dyDescent="0.3">
      <c r="A1693" s="4" t="s">
        <v>3948</v>
      </c>
      <c r="B1693" s="4">
        <v>7.5</v>
      </c>
      <c r="C1693" s="23" t="s">
        <v>9036</v>
      </c>
    </row>
    <row r="1694" spans="1:3" x14ac:dyDescent="0.3">
      <c r="A1694" s="3" t="s">
        <v>3950</v>
      </c>
      <c r="B1694" s="3">
        <v>6</v>
      </c>
      <c r="C1694" s="22" t="s">
        <v>9037</v>
      </c>
    </row>
    <row r="1695" spans="1:3" x14ac:dyDescent="0.3">
      <c r="A1695" s="4" t="s">
        <v>3952</v>
      </c>
      <c r="B1695" s="4">
        <v>7.2</v>
      </c>
      <c r="C1695" s="23" t="s">
        <v>9038</v>
      </c>
    </row>
    <row r="1696" spans="1:3" x14ac:dyDescent="0.3">
      <c r="A1696" s="3" t="s">
        <v>3955</v>
      </c>
      <c r="B1696" s="3">
        <v>5.6</v>
      </c>
      <c r="C1696" s="22" t="s">
        <v>8465</v>
      </c>
    </row>
    <row r="1697" spans="1:3" x14ac:dyDescent="0.3">
      <c r="A1697" s="4" t="s">
        <v>3957</v>
      </c>
      <c r="B1697" s="4">
        <v>6.8</v>
      </c>
      <c r="C1697" s="23" t="s">
        <v>8306</v>
      </c>
    </row>
    <row r="1698" spans="1:3" x14ac:dyDescent="0.3">
      <c r="A1698" s="3" t="s">
        <v>3959</v>
      </c>
      <c r="B1698" s="3">
        <v>4.9000000000000004</v>
      </c>
      <c r="C1698" s="22" t="s">
        <v>9039</v>
      </c>
    </row>
    <row r="1699" spans="1:3" x14ac:dyDescent="0.3">
      <c r="A1699" s="4" t="s">
        <v>3961</v>
      </c>
      <c r="B1699" s="4">
        <v>7.1</v>
      </c>
      <c r="C1699" s="23" t="s">
        <v>8942</v>
      </c>
    </row>
    <row r="1700" spans="1:3" x14ac:dyDescent="0.3">
      <c r="A1700" s="3" t="s">
        <v>3963</v>
      </c>
      <c r="B1700" s="3">
        <v>2</v>
      </c>
      <c r="C1700" s="22" t="s">
        <v>9040</v>
      </c>
    </row>
    <row r="1701" spans="1:3" x14ac:dyDescent="0.3">
      <c r="A1701" s="4" t="s">
        <v>3965</v>
      </c>
      <c r="B1701" s="4">
        <v>5.7</v>
      </c>
      <c r="C1701" s="23" t="s">
        <v>9041</v>
      </c>
    </row>
    <row r="1702" spans="1:3" x14ac:dyDescent="0.3">
      <c r="A1702" s="3" t="s">
        <v>3968</v>
      </c>
      <c r="B1702" s="3">
        <v>4.0999999999999996</v>
      </c>
      <c r="C1702" s="22" t="s">
        <v>9042</v>
      </c>
    </row>
    <row r="1703" spans="1:3" x14ac:dyDescent="0.3">
      <c r="A1703" s="4" t="s">
        <v>3970</v>
      </c>
      <c r="B1703" s="4">
        <v>6.7</v>
      </c>
      <c r="C1703" s="23" t="s">
        <v>9043</v>
      </c>
    </row>
    <row r="1704" spans="1:3" x14ac:dyDescent="0.3">
      <c r="A1704" s="3" t="s">
        <v>3972</v>
      </c>
      <c r="B1704" s="3">
        <v>7.5</v>
      </c>
      <c r="C1704" s="22" t="s">
        <v>9044</v>
      </c>
    </row>
    <row r="1705" spans="1:3" x14ac:dyDescent="0.3">
      <c r="A1705" s="4" t="s">
        <v>3974</v>
      </c>
      <c r="B1705" s="4">
        <v>6.5</v>
      </c>
      <c r="C1705" s="23" t="s">
        <v>9045</v>
      </c>
    </row>
    <row r="1706" spans="1:3" x14ac:dyDescent="0.3">
      <c r="A1706" s="3" t="s">
        <v>3977</v>
      </c>
      <c r="B1706" s="3">
        <v>7.9</v>
      </c>
      <c r="C1706" s="22" t="s">
        <v>8434</v>
      </c>
    </row>
    <row r="1707" spans="1:3" x14ac:dyDescent="0.3">
      <c r="A1707" s="4" t="s">
        <v>3980</v>
      </c>
      <c r="B1707" s="4">
        <v>6.4</v>
      </c>
      <c r="C1707" s="23" t="s">
        <v>9046</v>
      </c>
    </row>
    <row r="1708" spans="1:3" x14ac:dyDescent="0.3">
      <c r="A1708" s="3" t="s">
        <v>3982</v>
      </c>
      <c r="B1708" s="3">
        <v>5.8</v>
      </c>
      <c r="C1708" s="22" t="s">
        <v>8734</v>
      </c>
    </row>
    <row r="1709" spans="1:3" x14ac:dyDescent="0.3">
      <c r="A1709" s="4" t="s">
        <v>3984</v>
      </c>
      <c r="B1709" s="4">
        <v>7.7</v>
      </c>
      <c r="C1709" s="23" t="s">
        <v>8378</v>
      </c>
    </row>
    <row r="1710" spans="1:3" x14ac:dyDescent="0.3">
      <c r="A1710" s="3" t="s">
        <v>3986</v>
      </c>
      <c r="B1710" s="3">
        <v>7.1</v>
      </c>
      <c r="C1710" s="22" t="s">
        <v>8592</v>
      </c>
    </row>
    <row r="1711" spans="1:3" x14ac:dyDescent="0.3">
      <c r="A1711" s="4" t="s">
        <v>3988</v>
      </c>
      <c r="B1711" s="4">
        <v>5.3</v>
      </c>
      <c r="C1711" s="23" t="s">
        <v>8822</v>
      </c>
    </row>
    <row r="1712" spans="1:3" x14ac:dyDescent="0.3">
      <c r="A1712" s="3" t="s">
        <v>3990</v>
      </c>
      <c r="B1712" s="3">
        <v>5.3</v>
      </c>
      <c r="C1712" s="22" t="s">
        <v>9047</v>
      </c>
    </row>
    <row r="1713" spans="1:3" x14ac:dyDescent="0.3">
      <c r="A1713" s="4" t="s">
        <v>3992</v>
      </c>
      <c r="B1713" s="4">
        <v>7.5</v>
      </c>
      <c r="C1713" s="23" t="s">
        <v>9048</v>
      </c>
    </row>
    <row r="1714" spans="1:3" x14ac:dyDescent="0.3">
      <c r="A1714" s="3" t="s">
        <v>3994</v>
      </c>
      <c r="B1714" s="3">
        <v>6.9</v>
      </c>
      <c r="C1714" s="22" t="s">
        <v>8614</v>
      </c>
    </row>
    <row r="1715" spans="1:3" x14ac:dyDescent="0.3">
      <c r="A1715" s="4" t="s">
        <v>3996</v>
      </c>
      <c r="B1715" s="4">
        <v>4.9000000000000004</v>
      </c>
      <c r="C1715" s="23" t="s">
        <v>9049</v>
      </c>
    </row>
    <row r="1716" spans="1:3" x14ac:dyDescent="0.3">
      <c r="A1716" s="3" t="s">
        <v>3998</v>
      </c>
      <c r="B1716" s="3">
        <v>7.1</v>
      </c>
      <c r="C1716" s="22" t="s">
        <v>9050</v>
      </c>
    </row>
    <row r="1717" spans="1:3" x14ac:dyDescent="0.3">
      <c r="A1717" s="4" t="s">
        <v>4000</v>
      </c>
      <c r="B1717" s="4">
        <v>8</v>
      </c>
      <c r="C1717" s="23" t="s">
        <v>8454</v>
      </c>
    </row>
    <row r="1718" spans="1:3" x14ac:dyDescent="0.3">
      <c r="A1718" s="3" t="s">
        <v>4003</v>
      </c>
      <c r="B1718" s="3">
        <v>7.9</v>
      </c>
      <c r="C1718" s="22" t="s">
        <v>8566</v>
      </c>
    </row>
    <row r="1719" spans="1:3" x14ac:dyDescent="0.3">
      <c r="A1719" s="4" t="s">
        <v>4005</v>
      </c>
      <c r="B1719" s="4">
        <v>7.6</v>
      </c>
      <c r="C1719" s="23" t="s">
        <v>8332</v>
      </c>
    </row>
    <row r="1720" spans="1:3" x14ac:dyDescent="0.3">
      <c r="A1720" s="3" t="s">
        <v>4007</v>
      </c>
      <c r="B1720" s="3">
        <v>5.9</v>
      </c>
      <c r="C1720" s="22" t="s">
        <v>9051</v>
      </c>
    </row>
    <row r="1721" spans="1:3" x14ac:dyDescent="0.3">
      <c r="A1721" s="4" t="s">
        <v>4009</v>
      </c>
      <c r="B1721" s="4">
        <v>6.3</v>
      </c>
      <c r="C1721" s="23" t="s">
        <v>8392</v>
      </c>
    </row>
    <row r="1722" spans="1:3" x14ac:dyDescent="0.3">
      <c r="A1722" s="3" t="s">
        <v>4011</v>
      </c>
      <c r="B1722" s="3">
        <v>7.1</v>
      </c>
      <c r="C1722" s="22" t="s">
        <v>8784</v>
      </c>
    </row>
    <row r="1723" spans="1:3" x14ac:dyDescent="0.3">
      <c r="A1723" s="4" t="s">
        <v>4014</v>
      </c>
      <c r="B1723" s="4">
        <v>6.4</v>
      </c>
      <c r="C1723" s="23" t="s">
        <v>8716</v>
      </c>
    </row>
    <row r="1724" spans="1:3" x14ac:dyDescent="0.3">
      <c r="A1724" s="3" t="s">
        <v>4016</v>
      </c>
      <c r="B1724" s="3">
        <v>8.1999999999999993</v>
      </c>
      <c r="C1724" s="22" t="s">
        <v>8424</v>
      </c>
    </row>
    <row r="1725" spans="1:3" x14ac:dyDescent="0.3">
      <c r="A1725" s="4" t="s">
        <v>4018</v>
      </c>
      <c r="B1725" s="4">
        <v>6.9</v>
      </c>
      <c r="C1725" s="23" t="s">
        <v>8962</v>
      </c>
    </row>
    <row r="1726" spans="1:3" x14ac:dyDescent="0.3">
      <c r="A1726" s="3" t="s">
        <v>4020</v>
      </c>
      <c r="B1726" s="3">
        <v>7.8</v>
      </c>
      <c r="C1726" s="22" t="s">
        <v>8460</v>
      </c>
    </row>
    <row r="1727" spans="1:3" x14ac:dyDescent="0.3">
      <c r="A1727" s="4" t="s">
        <v>4022</v>
      </c>
      <c r="B1727" s="4">
        <v>6.7</v>
      </c>
      <c r="C1727" s="23" t="s">
        <v>8400</v>
      </c>
    </row>
    <row r="1728" spans="1:3" x14ac:dyDescent="0.3">
      <c r="A1728" s="3" t="s">
        <v>4024</v>
      </c>
      <c r="B1728" s="3">
        <v>7.5</v>
      </c>
      <c r="C1728" s="22" t="s">
        <v>9022</v>
      </c>
    </row>
    <row r="1729" spans="1:3" x14ac:dyDescent="0.3">
      <c r="A1729" s="4" t="s">
        <v>4027</v>
      </c>
      <c r="B1729" s="4">
        <v>7.4</v>
      </c>
      <c r="C1729" s="23" t="s">
        <v>8304</v>
      </c>
    </row>
    <row r="1730" spans="1:3" x14ac:dyDescent="0.3">
      <c r="A1730" s="3" t="s">
        <v>4029</v>
      </c>
      <c r="B1730" s="3">
        <v>5.2</v>
      </c>
      <c r="C1730" s="22" t="s">
        <v>8532</v>
      </c>
    </row>
    <row r="1731" spans="1:3" x14ac:dyDescent="0.3">
      <c r="A1731" s="4" t="s">
        <v>4031</v>
      </c>
      <c r="B1731" s="4">
        <v>6.5</v>
      </c>
      <c r="C1731" s="23" t="s">
        <v>9052</v>
      </c>
    </row>
    <row r="1732" spans="1:3" x14ac:dyDescent="0.3">
      <c r="A1732" s="3" t="s">
        <v>4033</v>
      </c>
      <c r="B1732" s="3">
        <v>7.6</v>
      </c>
      <c r="C1732" s="22" t="s">
        <v>8763</v>
      </c>
    </row>
    <row r="1733" spans="1:3" x14ac:dyDescent="0.3">
      <c r="A1733" s="4" t="s">
        <v>4035</v>
      </c>
      <c r="B1733" s="4">
        <v>7.3</v>
      </c>
      <c r="C1733" s="23" t="s">
        <v>8434</v>
      </c>
    </row>
    <row r="1734" spans="1:3" x14ac:dyDescent="0.3">
      <c r="A1734" s="3" t="s">
        <v>4037</v>
      </c>
      <c r="B1734" s="3">
        <v>6.6</v>
      </c>
      <c r="C1734" s="22" t="s">
        <v>8365</v>
      </c>
    </row>
    <row r="1735" spans="1:3" x14ac:dyDescent="0.3">
      <c r="A1735" s="4" t="s">
        <v>4039</v>
      </c>
      <c r="B1735" s="4">
        <v>6.8</v>
      </c>
      <c r="C1735" s="23" t="s">
        <v>8826</v>
      </c>
    </row>
    <row r="1736" spans="1:3" x14ac:dyDescent="0.3">
      <c r="A1736" s="3" t="s">
        <v>4041</v>
      </c>
      <c r="B1736" s="3">
        <v>6.9</v>
      </c>
      <c r="C1736" s="22" t="s">
        <v>8456</v>
      </c>
    </row>
    <row r="1737" spans="1:3" x14ac:dyDescent="0.3">
      <c r="A1737" s="4" t="s">
        <v>4043</v>
      </c>
      <c r="B1737" s="4">
        <v>5.8</v>
      </c>
      <c r="C1737" s="23" t="s">
        <v>8470</v>
      </c>
    </row>
    <row r="1738" spans="1:3" x14ac:dyDescent="0.3">
      <c r="A1738" s="3" t="s">
        <v>4045</v>
      </c>
      <c r="B1738" s="3">
        <v>6.6</v>
      </c>
      <c r="C1738" s="22" t="s">
        <v>8495</v>
      </c>
    </row>
    <row r="1739" spans="1:3" x14ac:dyDescent="0.3">
      <c r="A1739" s="4" t="s">
        <v>4047</v>
      </c>
      <c r="B1739" s="4">
        <v>6.7</v>
      </c>
      <c r="C1739" s="23" t="s">
        <v>8937</v>
      </c>
    </row>
    <row r="1740" spans="1:3" x14ac:dyDescent="0.3">
      <c r="A1740" s="3" t="s">
        <v>4049</v>
      </c>
      <c r="B1740" s="3">
        <v>6.7</v>
      </c>
      <c r="C1740" s="22" t="s">
        <v>8646</v>
      </c>
    </row>
    <row r="1741" spans="1:3" x14ac:dyDescent="0.3">
      <c r="A1741" s="4" t="s">
        <v>4051</v>
      </c>
      <c r="B1741" s="4">
        <v>6.3</v>
      </c>
      <c r="C1741" s="23" t="s">
        <v>8908</v>
      </c>
    </row>
    <row r="1742" spans="1:3" x14ac:dyDescent="0.3">
      <c r="A1742" s="3" t="s">
        <v>4053</v>
      </c>
      <c r="B1742" s="3">
        <v>7.7</v>
      </c>
      <c r="C1742" s="22" t="s">
        <v>8363</v>
      </c>
    </row>
    <row r="1743" spans="1:3" x14ac:dyDescent="0.3">
      <c r="A1743" s="4" t="s">
        <v>4055</v>
      </c>
      <c r="B1743" s="4">
        <v>6.1</v>
      </c>
      <c r="C1743" s="23" t="s">
        <v>8662</v>
      </c>
    </row>
    <row r="1744" spans="1:3" x14ac:dyDescent="0.3">
      <c r="A1744" s="3" t="s">
        <v>4057</v>
      </c>
      <c r="B1744" s="3">
        <v>4.9000000000000004</v>
      </c>
      <c r="C1744" s="22" t="s">
        <v>8773</v>
      </c>
    </row>
    <row r="1745" spans="1:3" x14ac:dyDescent="0.3">
      <c r="A1745" s="4" t="s">
        <v>4059</v>
      </c>
      <c r="B1745" s="4">
        <v>6.2</v>
      </c>
      <c r="C1745" s="23" t="s">
        <v>9053</v>
      </c>
    </row>
    <row r="1746" spans="1:3" x14ac:dyDescent="0.3">
      <c r="A1746" s="3" t="s">
        <v>4061</v>
      </c>
      <c r="B1746" s="3">
        <v>7.8</v>
      </c>
      <c r="C1746" s="22" t="s">
        <v>8390</v>
      </c>
    </row>
    <row r="1747" spans="1:3" x14ac:dyDescent="0.3">
      <c r="A1747" s="4" t="s">
        <v>4063</v>
      </c>
      <c r="B1747" s="4">
        <v>8.1999999999999993</v>
      </c>
      <c r="C1747" s="23" t="s">
        <v>8312</v>
      </c>
    </row>
    <row r="1748" spans="1:3" x14ac:dyDescent="0.3">
      <c r="A1748" s="3" t="s">
        <v>4065</v>
      </c>
      <c r="B1748" s="3">
        <v>6.9</v>
      </c>
      <c r="C1748" s="22" t="s">
        <v>8602</v>
      </c>
    </row>
    <row r="1749" spans="1:3" x14ac:dyDescent="0.3">
      <c r="A1749" s="4" t="s">
        <v>4067</v>
      </c>
      <c r="B1749" s="4">
        <v>6.2</v>
      </c>
      <c r="C1749" s="23" t="s">
        <v>8326</v>
      </c>
    </row>
    <row r="1750" spans="1:3" x14ac:dyDescent="0.3">
      <c r="A1750" s="3" t="s">
        <v>4069</v>
      </c>
      <c r="B1750" s="3">
        <v>6.9</v>
      </c>
      <c r="C1750" s="22" t="s">
        <v>9054</v>
      </c>
    </row>
    <row r="1751" spans="1:3" x14ac:dyDescent="0.3">
      <c r="A1751" s="4" t="s">
        <v>4071</v>
      </c>
      <c r="B1751" s="4">
        <v>4.8</v>
      </c>
      <c r="C1751" s="23" t="s">
        <v>9055</v>
      </c>
    </row>
    <row r="1752" spans="1:3" x14ac:dyDescent="0.3">
      <c r="A1752" s="3" t="s">
        <v>4073</v>
      </c>
      <c r="B1752" s="3">
        <v>8</v>
      </c>
      <c r="C1752" s="22" t="s">
        <v>8555</v>
      </c>
    </row>
    <row r="1753" spans="1:3" x14ac:dyDescent="0.3">
      <c r="A1753" s="4" t="s">
        <v>4075</v>
      </c>
      <c r="B1753" s="4">
        <v>5.3</v>
      </c>
      <c r="C1753" s="23" t="s">
        <v>8665</v>
      </c>
    </row>
    <row r="1754" spans="1:3" x14ac:dyDescent="0.3">
      <c r="A1754" s="3" t="s">
        <v>4077</v>
      </c>
      <c r="B1754" s="3">
        <v>6.7</v>
      </c>
      <c r="C1754" s="22" t="s">
        <v>8483</v>
      </c>
    </row>
    <row r="1755" spans="1:3" x14ac:dyDescent="0.3">
      <c r="A1755" s="4" t="s">
        <v>4079</v>
      </c>
      <c r="B1755" s="4">
        <v>5.4</v>
      </c>
      <c r="C1755" s="23" t="s">
        <v>8649</v>
      </c>
    </row>
    <row r="1756" spans="1:3" x14ac:dyDescent="0.3">
      <c r="A1756" s="3" t="s">
        <v>4082</v>
      </c>
      <c r="B1756" s="3">
        <v>5.4</v>
      </c>
      <c r="C1756" s="22" t="s">
        <v>8921</v>
      </c>
    </row>
    <row r="1757" spans="1:3" x14ac:dyDescent="0.3">
      <c r="A1757" s="4" t="s">
        <v>4084</v>
      </c>
      <c r="B1757" s="4">
        <v>4.9000000000000004</v>
      </c>
      <c r="C1757" s="23" t="s">
        <v>8762</v>
      </c>
    </row>
    <row r="1758" spans="1:3" x14ac:dyDescent="0.3">
      <c r="A1758" s="3" t="s">
        <v>4087</v>
      </c>
      <c r="B1758" s="3">
        <v>6.1</v>
      </c>
      <c r="C1758" s="22" t="s">
        <v>8766</v>
      </c>
    </row>
    <row r="1759" spans="1:3" x14ac:dyDescent="0.3">
      <c r="A1759" s="4" t="s">
        <v>4090</v>
      </c>
      <c r="B1759" s="4">
        <v>5.8</v>
      </c>
      <c r="C1759" s="23" t="s">
        <v>8820</v>
      </c>
    </row>
    <row r="1760" spans="1:3" x14ac:dyDescent="0.3">
      <c r="A1760" s="3" t="s">
        <v>4092</v>
      </c>
      <c r="B1760" s="3">
        <v>7</v>
      </c>
      <c r="C1760" s="22" t="s">
        <v>8342</v>
      </c>
    </row>
    <row r="1761" spans="1:3" x14ac:dyDescent="0.3">
      <c r="A1761" s="4" t="s">
        <v>4095</v>
      </c>
      <c r="B1761" s="4">
        <v>6.5</v>
      </c>
      <c r="C1761" s="23" t="s">
        <v>9056</v>
      </c>
    </row>
    <row r="1762" spans="1:3" x14ac:dyDescent="0.3">
      <c r="A1762" s="3" t="s">
        <v>4097</v>
      </c>
      <c r="B1762" s="3">
        <v>6.6</v>
      </c>
      <c r="C1762" s="22" t="s">
        <v>9057</v>
      </c>
    </row>
    <row r="1763" spans="1:3" x14ac:dyDescent="0.3">
      <c r="A1763" s="4" t="s">
        <v>4099</v>
      </c>
      <c r="B1763" s="4">
        <v>6.1</v>
      </c>
      <c r="C1763" s="23" t="s">
        <v>9058</v>
      </c>
    </row>
    <row r="1764" spans="1:3" x14ac:dyDescent="0.3">
      <c r="A1764" s="3" t="s">
        <v>4101</v>
      </c>
      <c r="B1764" s="3">
        <v>5.7</v>
      </c>
      <c r="C1764" s="22" t="s">
        <v>9059</v>
      </c>
    </row>
    <row r="1765" spans="1:3" x14ac:dyDescent="0.3">
      <c r="A1765" s="4" t="s">
        <v>4103</v>
      </c>
      <c r="B1765" s="4">
        <v>6.6</v>
      </c>
      <c r="C1765" s="23" t="s">
        <v>8826</v>
      </c>
    </row>
    <row r="1766" spans="1:3" x14ac:dyDescent="0.3">
      <c r="A1766" s="3" t="s">
        <v>4106</v>
      </c>
      <c r="B1766" s="3">
        <v>7</v>
      </c>
      <c r="C1766" s="22" t="s">
        <v>8580</v>
      </c>
    </row>
    <row r="1767" spans="1:3" x14ac:dyDescent="0.3">
      <c r="A1767" s="4" t="s">
        <v>4108</v>
      </c>
      <c r="B1767" s="4">
        <v>7.4</v>
      </c>
      <c r="C1767" s="23" t="s">
        <v>8843</v>
      </c>
    </row>
    <row r="1768" spans="1:3" x14ac:dyDescent="0.3">
      <c r="A1768" s="3" t="s">
        <v>4110</v>
      </c>
      <c r="B1768" s="3">
        <v>5.3</v>
      </c>
      <c r="C1768" s="22" t="s">
        <v>8872</v>
      </c>
    </row>
    <row r="1769" spans="1:3" x14ac:dyDescent="0.3">
      <c r="A1769" s="4" t="s">
        <v>4112</v>
      </c>
      <c r="B1769" s="4">
        <v>7.4</v>
      </c>
      <c r="C1769" s="23" t="s">
        <v>9060</v>
      </c>
    </row>
    <row r="1770" spans="1:3" x14ac:dyDescent="0.3">
      <c r="A1770" s="3" t="s">
        <v>4114</v>
      </c>
      <c r="B1770" s="3">
        <v>7.4</v>
      </c>
      <c r="C1770" s="22" t="s">
        <v>9061</v>
      </c>
    </row>
    <row r="1771" spans="1:3" x14ac:dyDescent="0.3">
      <c r="A1771" s="4" t="s">
        <v>4117</v>
      </c>
      <c r="B1771" s="4">
        <v>6.8</v>
      </c>
      <c r="C1771" s="23" t="s">
        <v>8375</v>
      </c>
    </row>
    <row r="1772" spans="1:3" x14ac:dyDescent="0.3">
      <c r="A1772" s="3" t="s">
        <v>4120</v>
      </c>
      <c r="B1772" s="3">
        <v>7.2</v>
      </c>
      <c r="C1772" s="22" t="s">
        <v>9062</v>
      </c>
    </row>
    <row r="1773" spans="1:3" x14ac:dyDescent="0.3">
      <c r="A1773" s="4" t="s">
        <v>4122</v>
      </c>
      <c r="B1773" s="4">
        <v>6</v>
      </c>
      <c r="C1773" s="23" t="s">
        <v>9063</v>
      </c>
    </row>
    <row r="1774" spans="1:3" x14ac:dyDescent="0.3">
      <c r="A1774" s="3" t="s">
        <v>4124</v>
      </c>
      <c r="B1774" s="3">
        <v>7.8</v>
      </c>
      <c r="C1774" s="22" t="s">
        <v>8341</v>
      </c>
    </row>
    <row r="1775" spans="1:3" x14ac:dyDescent="0.3">
      <c r="A1775" s="4" t="s">
        <v>4127</v>
      </c>
      <c r="B1775" s="4">
        <v>6.6</v>
      </c>
      <c r="C1775" s="23" t="s">
        <v>8742</v>
      </c>
    </row>
    <row r="1776" spans="1:3" x14ac:dyDescent="0.3">
      <c r="A1776" s="3" t="s">
        <v>4129</v>
      </c>
      <c r="B1776" s="3">
        <v>7.9</v>
      </c>
      <c r="C1776" s="22" t="s">
        <v>8752</v>
      </c>
    </row>
    <row r="1777" spans="1:3" x14ac:dyDescent="0.3">
      <c r="A1777" s="4" t="s">
        <v>4132</v>
      </c>
      <c r="B1777" s="4">
        <v>6.2</v>
      </c>
      <c r="C1777" s="23" t="s">
        <v>9064</v>
      </c>
    </row>
    <row r="1778" spans="1:3" x14ac:dyDescent="0.3">
      <c r="A1778" s="3" t="s">
        <v>4135</v>
      </c>
      <c r="B1778" s="3">
        <v>5.7</v>
      </c>
      <c r="C1778" s="22" t="s">
        <v>9065</v>
      </c>
    </row>
    <row r="1779" spans="1:3" x14ac:dyDescent="0.3">
      <c r="A1779" s="4" t="s">
        <v>4137</v>
      </c>
      <c r="B1779" s="4">
        <v>7.1</v>
      </c>
      <c r="C1779" s="23" t="s">
        <v>8313</v>
      </c>
    </row>
    <row r="1780" spans="1:3" x14ac:dyDescent="0.3">
      <c r="A1780" s="3" t="s">
        <v>4139</v>
      </c>
      <c r="B1780" s="3">
        <v>5.6</v>
      </c>
      <c r="C1780" s="22" t="s">
        <v>8894</v>
      </c>
    </row>
    <row r="1781" spans="1:3" x14ac:dyDescent="0.3">
      <c r="A1781" s="4" t="s">
        <v>4141</v>
      </c>
      <c r="B1781" s="4">
        <v>7.8</v>
      </c>
      <c r="C1781" s="23" t="s">
        <v>8817</v>
      </c>
    </row>
    <row r="1782" spans="1:3" x14ac:dyDescent="0.3">
      <c r="A1782" s="3" t="s">
        <v>4143</v>
      </c>
      <c r="B1782" s="3">
        <v>7.9</v>
      </c>
      <c r="C1782" s="22" t="s">
        <v>9066</v>
      </c>
    </row>
    <row r="1783" spans="1:3" x14ac:dyDescent="0.3">
      <c r="A1783" s="4" t="s">
        <v>4145</v>
      </c>
      <c r="B1783" s="4">
        <v>6.9</v>
      </c>
      <c r="C1783" s="23" t="s">
        <v>8336</v>
      </c>
    </row>
    <row r="1784" spans="1:3" x14ac:dyDescent="0.3">
      <c r="A1784" s="3" t="s">
        <v>4147</v>
      </c>
      <c r="B1784" s="3">
        <v>7.4</v>
      </c>
      <c r="C1784" s="22" t="s">
        <v>8366</v>
      </c>
    </row>
    <row r="1785" spans="1:3" x14ac:dyDescent="0.3">
      <c r="A1785" s="4" t="s">
        <v>4150</v>
      </c>
      <c r="B1785" s="4">
        <v>7.7</v>
      </c>
      <c r="C1785" s="23" t="s">
        <v>8398</v>
      </c>
    </row>
    <row r="1786" spans="1:3" x14ac:dyDescent="0.3">
      <c r="A1786" s="3" t="s">
        <v>4152</v>
      </c>
      <c r="B1786" s="3">
        <v>6.9</v>
      </c>
      <c r="C1786" s="22" t="s">
        <v>9067</v>
      </c>
    </row>
    <row r="1787" spans="1:3" x14ac:dyDescent="0.3">
      <c r="A1787" s="4" t="s">
        <v>4154</v>
      </c>
      <c r="B1787" s="4">
        <v>6.7</v>
      </c>
      <c r="C1787" s="23" t="s">
        <v>9068</v>
      </c>
    </row>
    <row r="1788" spans="1:3" x14ac:dyDescent="0.3">
      <c r="A1788" s="3" t="s">
        <v>4157</v>
      </c>
      <c r="B1788" s="3">
        <v>6</v>
      </c>
      <c r="C1788" s="22" t="s">
        <v>9069</v>
      </c>
    </row>
    <row r="1789" spans="1:3" x14ac:dyDescent="0.3">
      <c r="A1789" s="4" t="s">
        <v>4159</v>
      </c>
      <c r="B1789" s="4">
        <v>6.2</v>
      </c>
      <c r="C1789" s="23" t="s">
        <v>8875</v>
      </c>
    </row>
    <row r="1790" spans="1:3" x14ac:dyDescent="0.3">
      <c r="A1790" s="3" t="s">
        <v>4161</v>
      </c>
      <c r="B1790" s="3">
        <v>5.9</v>
      </c>
      <c r="C1790" s="22" t="s">
        <v>9070</v>
      </c>
    </row>
    <row r="1791" spans="1:3" x14ac:dyDescent="0.3">
      <c r="A1791" s="4" t="s">
        <v>4164</v>
      </c>
      <c r="B1791" s="4">
        <v>6.8</v>
      </c>
      <c r="C1791" s="23" t="s">
        <v>9071</v>
      </c>
    </row>
    <row r="1792" spans="1:3" x14ac:dyDescent="0.3">
      <c r="A1792" s="3" t="s">
        <v>4166</v>
      </c>
      <c r="B1792" s="3">
        <v>3.6</v>
      </c>
      <c r="C1792" s="22" t="s">
        <v>8716</v>
      </c>
    </row>
    <row r="1793" spans="1:3" x14ac:dyDescent="0.3">
      <c r="A1793" s="4" t="s">
        <v>4169</v>
      </c>
      <c r="B1793" s="4">
        <v>6.7</v>
      </c>
      <c r="C1793" s="23" t="s">
        <v>9072</v>
      </c>
    </row>
    <row r="1794" spans="1:3" x14ac:dyDescent="0.3">
      <c r="A1794" s="3" t="s">
        <v>4171</v>
      </c>
      <c r="B1794" s="3">
        <v>6.3</v>
      </c>
      <c r="C1794" s="22" t="s">
        <v>8941</v>
      </c>
    </row>
    <row r="1795" spans="1:3" x14ac:dyDescent="0.3">
      <c r="A1795" s="4" t="s">
        <v>4173</v>
      </c>
      <c r="B1795" s="4">
        <v>6.4</v>
      </c>
      <c r="C1795" s="23" t="s">
        <v>8426</v>
      </c>
    </row>
    <row r="1796" spans="1:3" x14ac:dyDescent="0.3">
      <c r="A1796" s="3" t="s">
        <v>4176</v>
      </c>
      <c r="B1796" s="3">
        <v>6.4</v>
      </c>
      <c r="C1796" s="22" t="s">
        <v>8493</v>
      </c>
    </row>
    <row r="1797" spans="1:3" x14ac:dyDescent="0.3">
      <c r="A1797" s="4" t="s">
        <v>4178</v>
      </c>
      <c r="B1797" s="4">
        <v>5.7</v>
      </c>
      <c r="C1797" s="23" t="s">
        <v>8570</v>
      </c>
    </row>
    <row r="1798" spans="1:3" x14ac:dyDescent="0.3">
      <c r="A1798" s="3" t="s">
        <v>4180</v>
      </c>
      <c r="B1798" s="3">
        <v>6.2</v>
      </c>
      <c r="C1798" s="22" t="s">
        <v>8889</v>
      </c>
    </row>
    <row r="1799" spans="1:3" x14ac:dyDescent="0.3">
      <c r="A1799" s="4" t="s">
        <v>4182</v>
      </c>
      <c r="B1799" s="4">
        <v>6.6</v>
      </c>
      <c r="C1799" s="23" t="s">
        <v>8379</v>
      </c>
    </row>
    <row r="1800" spans="1:3" x14ac:dyDescent="0.3">
      <c r="A1800" s="3" t="s">
        <v>4184</v>
      </c>
      <c r="B1800" s="3">
        <v>5.2</v>
      </c>
      <c r="C1800" s="22" t="s">
        <v>8581</v>
      </c>
    </row>
    <row r="1801" spans="1:3" x14ac:dyDescent="0.3">
      <c r="A1801" s="4" t="s">
        <v>4186</v>
      </c>
      <c r="B1801" s="4">
        <v>6.1</v>
      </c>
      <c r="C1801" s="23" t="s">
        <v>8490</v>
      </c>
    </row>
    <row r="1802" spans="1:3" x14ac:dyDescent="0.3">
      <c r="A1802" s="3" t="s">
        <v>4188</v>
      </c>
      <c r="B1802" s="3">
        <v>7.1</v>
      </c>
      <c r="C1802" s="22" t="s">
        <v>8580</v>
      </c>
    </row>
    <row r="1803" spans="1:3" x14ac:dyDescent="0.3">
      <c r="A1803" s="4" t="s">
        <v>4190</v>
      </c>
      <c r="B1803" s="4">
        <v>7.2</v>
      </c>
      <c r="C1803" s="23" t="s">
        <v>8690</v>
      </c>
    </row>
    <row r="1804" spans="1:3" x14ac:dyDescent="0.3">
      <c r="A1804" s="3" t="s">
        <v>4192</v>
      </c>
      <c r="B1804" s="3">
        <v>6.5</v>
      </c>
      <c r="C1804" s="22" t="s">
        <v>9073</v>
      </c>
    </row>
    <row r="1805" spans="1:3" x14ac:dyDescent="0.3">
      <c r="A1805" s="4" t="s">
        <v>4194</v>
      </c>
      <c r="B1805" s="4">
        <v>6</v>
      </c>
      <c r="C1805" s="23" t="s">
        <v>8539</v>
      </c>
    </row>
    <row r="1806" spans="1:3" x14ac:dyDescent="0.3">
      <c r="A1806" s="3" t="s">
        <v>4196</v>
      </c>
      <c r="B1806" s="3">
        <v>7</v>
      </c>
      <c r="C1806" s="22" t="s">
        <v>8766</v>
      </c>
    </row>
    <row r="1807" spans="1:3" x14ac:dyDescent="0.3">
      <c r="A1807" s="4" t="s">
        <v>4198</v>
      </c>
      <c r="B1807" s="4">
        <v>7</v>
      </c>
      <c r="C1807" s="23" t="s">
        <v>8572</v>
      </c>
    </row>
    <row r="1808" spans="1:3" x14ac:dyDescent="0.3">
      <c r="A1808" s="3" t="s">
        <v>4200</v>
      </c>
      <c r="B1808" s="3">
        <v>7.5</v>
      </c>
      <c r="C1808" s="22" t="s">
        <v>8553</v>
      </c>
    </row>
    <row r="1809" spans="1:3" x14ac:dyDescent="0.3">
      <c r="A1809" s="4" t="s">
        <v>4202</v>
      </c>
      <c r="B1809" s="4">
        <v>6.6</v>
      </c>
      <c r="C1809" s="23" t="s">
        <v>8426</v>
      </c>
    </row>
    <row r="1810" spans="1:3" x14ac:dyDescent="0.3">
      <c r="A1810" s="3" t="s">
        <v>4204</v>
      </c>
      <c r="B1810" s="3">
        <v>7.4</v>
      </c>
      <c r="C1810" s="22" t="s">
        <v>9048</v>
      </c>
    </row>
    <row r="1811" spans="1:3" x14ac:dyDescent="0.3">
      <c r="A1811" s="4" t="s">
        <v>4206</v>
      </c>
      <c r="B1811" s="4">
        <v>6.5</v>
      </c>
      <c r="C1811" s="23" t="s">
        <v>8841</v>
      </c>
    </row>
    <row r="1812" spans="1:3" x14ac:dyDescent="0.3">
      <c r="A1812" s="3" t="s">
        <v>4208</v>
      </c>
      <c r="B1812" s="3">
        <v>6.2</v>
      </c>
      <c r="C1812" s="22" t="s">
        <v>8797</v>
      </c>
    </row>
    <row r="1813" spans="1:3" x14ac:dyDescent="0.3">
      <c r="A1813" s="4" t="s">
        <v>4211</v>
      </c>
      <c r="B1813" s="4">
        <v>7.8</v>
      </c>
      <c r="C1813" s="23" t="s">
        <v>8668</v>
      </c>
    </row>
    <row r="1814" spans="1:3" x14ac:dyDescent="0.3">
      <c r="A1814" s="3" t="s">
        <v>4213</v>
      </c>
      <c r="B1814" s="3">
        <v>5.2</v>
      </c>
      <c r="C1814" s="22" t="s">
        <v>8671</v>
      </c>
    </row>
    <row r="1815" spans="1:3" x14ac:dyDescent="0.3">
      <c r="A1815" s="4" t="s">
        <v>4215</v>
      </c>
      <c r="B1815" s="4">
        <v>6.5</v>
      </c>
      <c r="C1815" s="23" t="s">
        <v>8321</v>
      </c>
    </row>
    <row r="1816" spans="1:3" x14ac:dyDescent="0.3">
      <c r="A1816" s="3" t="s">
        <v>4217</v>
      </c>
      <c r="B1816" s="3">
        <v>6.5</v>
      </c>
      <c r="C1816" s="22" t="s">
        <v>8459</v>
      </c>
    </row>
    <row r="1817" spans="1:3" x14ac:dyDescent="0.3">
      <c r="A1817" s="4" t="s">
        <v>4219</v>
      </c>
      <c r="B1817" s="4">
        <v>5.2</v>
      </c>
      <c r="C1817" s="23" t="s">
        <v>8591</v>
      </c>
    </row>
    <row r="1818" spans="1:3" x14ac:dyDescent="0.3">
      <c r="A1818" s="3" t="s">
        <v>4221</v>
      </c>
      <c r="B1818" s="3">
        <v>7.2</v>
      </c>
      <c r="C1818" s="22" t="s">
        <v>8614</v>
      </c>
    </row>
    <row r="1819" spans="1:3" x14ac:dyDescent="0.3">
      <c r="A1819" s="4" t="s">
        <v>4223</v>
      </c>
      <c r="B1819" s="4">
        <v>7.1</v>
      </c>
      <c r="C1819" s="23" t="s">
        <v>8767</v>
      </c>
    </row>
    <row r="1820" spans="1:3" x14ac:dyDescent="0.3">
      <c r="A1820" s="3" t="s">
        <v>4225</v>
      </c>
      <c r="B1820" s="3">
        <v>4.5</v>
      </c>
      <c r="C1820" s="22" t="s">
        <v>9074</v>
      </c>
    </row>
    <row r="1821" spans="1:3" x14ac:dyDescent="0.3">
      <c r="A1821" s="4" t="s">
        <v>4227</v>
      </c>
      <c r="B1821" s="4">
        <v>5.7</v>
      </c>
      <c r="C1821" s="23" t="s">
        <v>8586</v>
      </c>
    </row>
    <row r="1822" spans="1:3" x14ac:dyDescent="0.3">
      <c r="A1822" s="3" t="s">
        <v>4229</v>
      </c>
      <c r="B1822" s="3">
        <v>6</v>
      </c>
      <c r="C1822" s="22" t="s">
        <v>9075</v>
      </c>
    </row>
    <row r="1823" spans="1:3" x14ac:dyDescent="0.3">
      <c r="A1823" s="4" t="s">
        <v>4231</v>
      </c>
      <c r="B1823" s="4">
        <v>6.4</v>
      </c>
      <c r="C1823" s="23" t="s">
        <v>8739</v>
      </c>
    </row>
    <row r="1824" spans="1:3" x14ac:dyDescent="0.3">
      <c r="A1824" s="3" t="s">
        <v>4234</v>
      </c>
      <c r="B1824" s="3">
        <v>5.2</v>
      </c>
      <c r="C1824" s="22" t="s">
        <v>8665</v>
      </c>
    </row>
    <row r="1825" spans="1:3" x14ac:dyDescent="0.3">
      <c r="A1825" s="4" t="s">
        <v>4236</v>
      </c>
      <c r="B1825" s="4">
        <v>4.3</v>
      </c>
      <c r="C1825" s="23" t="s">
        <v>9076</v>
      </c>
    </row>
    <row r="1826" spans="1:3" x14ac:dyDescent="0.3">
      <c r="A1826" s="3" t="s">
        <v>4238</v>
      </c>
      <c r="B1826" s="3">
        <v>6.1</v>
      </c>
      <c r="C1826" s="22" t="s">
        <v>9077</v>
      </c>
    </row>
    <row r="1827" spans="1:3" x14ac:dyDescent="0.3">
      <c r="A1827" s="4" t="s">
        <v>4240</v>
      </c>
      <c r="B1827" s="4">
        <v>6.3</v>
      </c>
      <c r="C1827" s="23" t="s">
        <v>9078</v>
      </c>
    </row>
    <row r="1828" spans="1:3" x14ac:dyDescent="0.3">
      <c r="A1828" s="3" t="s">
        <v>4242</v>
      </c>
      <c r="B1828" s="3">
        <v>6.8</v>
      </c>
      <c r="C1828" s="22" t="s">
        <v>8989</v>
      </c>
    </row>
    <row r="1829" spans="1:3" x14ac:dyDescent="0.3">
      <c r="A1829" s="4" t="s">
        <v>4244</v>
      </c>
      <c r="B1829" s="4">
        <v>4</v>
      </c>
      <c r="C1829" s="23" t="s">
        <v>8656</v>
      </c>
    </row>
    <row r="1830" spans="1:3" x14ac:dyDescent="0.3">
      <c r="A1830" s="3" t="s">
        <v>4246</v>
      </c>
      <c r="B1830" s="3">
        <v>5.2</v>
      </c>
      <c r="C1830" s="22" t="s">
        <v>9079</v>
      </c>
    </row>
    <row r="1831" spans="1:3" x14ac:dyDescent="0.3">
      <c r="A1831" s="4" t="s">
        <v>4248</v>
      </c>
      <c r="B1831" s="4">
        <v>6.5</v>
      </c>
      <c r="C1831" s="23" t="s">
        <v>8521</v>
      </c>
    </row>
    <row r="1832" spans="1:3" x14ac:dyDescent="0.3">
      <c r="A1832" s="3" t="s">
        <v>4250</v>
      </c>
      <c r="B1832" s="3">
        <v>7.5</v>
      </c>
      <c r="C1832" s="22" t="s">
        <v>9080</v>
      </c>
    </row>
    <row r="1833" spans="1:3" x14ac:dyDescent="0.3">
      <c r="A1833" s="4" t="s">
        <v>4252</v>
      </c>
      <c r="B1833" s="4">
        <v>7.1</v>
      </c>
      <c r="C1833" s="23" t="s">
        <v>8582</v>
      </c>
    </row>
    <row r="1834" spans="1:3" x14ac:dyDescent="0.3">
      <c r="A1834" s="3" t="s">
        <v>4254</v>
      </c>
      <c r="B1834" s="3">
        <v>6.9</v>
      </c>
      <c r="C1834" s="22" t="s">
        <v>8419</v>
      </c>
    </row>
    <row r="1835" spans="1:3" x14ac:dyDescent="0.3">
      <c r="A1835" s="4" t="s">
        <v>4256</v>
      </c>
      <c r="B1835" s="4">
        <v>8</v>
      </c>
      <c r="C1835" s="23" t="s">
        <v>8570</v>
      </c>
    </row>
    <row r="1836" spans="1:3" x14ac:dyDescent="0.3">
      <c r="A1836" s="3" t="s">
        <v>4258</v>
      </c>
      <c r="B1836" s="3">
        <v>8.1999999999999993</v>
      </c>
      <c r="C1836" s="22" t="s">
        <v>8619</v>
      </c>
    </row>
    <row r="1837" spans="1:3" x14ac:dyDescent="0.3">
      <c r="A1837" s="4" t="s">
        <v>4260</v>
      </c>
      <c r="B1837" s="4">
        <v>6.4</v>
      </c>
      <c r="C1837" s="23" t="s">
        <v>8372</v>
      </c>
    </row>
    <row r="1838" spans="1:3" x14ac:dyDescent="0.3">
      <c r="A1838" s="3" t="s">
        <v>4263</v>
      </c>
      <c r="B1838" s="3">
        <v>7.9</v>
      </c>
      <c r="C1838" s="22" t="s">
        <v>8723</v>
      </c>
    </row>
    <row r="1839" spans="1:3" x14ac:dyDescent="0.3">
      <c r="A1839" s="4" t="s">
        <v>4266</v>
      </c>
      <c r="B1839" s="4">
        <v>6.7</v>
      </c>
      <c r="C1839" s="23" t="s">
        <v>9081</v>
      </c>
    </row>
    <row r="1840" spans="1:3" x14ac:dyDescent="0.3">
      <c r="A1840" s="3" t="s">
        <v>4268</v>
      </c>
      <c r="B1840" s="3">
        <v>6.1</v>
      </c>
      <c r="C1840" s="22" t="s">
        <v>8503</v>
      </c>
    </row>
    <row r="1841" spans="1:3" x14ac:dyDescent="0.3">
      <c r="A1841" s="4" t="s">
        <v>4270</v>
      </c>
      <c r="B1841" s="4">
        <v>8.9</v>
      </c>
      <c r="C1841" s="23" t="s">
        <v>8332</v>
      </c>
    </row>
    <row r="1842" spans="1:3" x14ac:dyDescent="0.3">
      <c r="A1842" s="3" t="s">
        <v>4272</v>
      </c>
      <c r="B1842" s="3">
        <v>8.1</v>
      </c>
      <c r="C1842" s="22" t="s">
        <v>9009</v>
      </c>
    </row>
    <row r="1843" spans="1:3" x14ac:dyDescent="0.3">
      <c r="A1843" s="4" t="s">
        <v>4274</v>
      </c>
      <c r="B1843" s="4">
        <v>6.2</v>
      </c>
      <c r="C1843" s="23" t="s">
        <v>8405</v>
      </c>
    </row>
    <row r="1844" spans="1:3" x14ac:dyDescent="0.3">
      <c r="A1844" s="3" t="s">
        <v>4276</v>
      </c>
      <c r="B1844" s="3">
        <v>4.9000000000000004</v>
      </c>
      <c r="C1844" s="22" t="s">
        <v>8447</v>
      </c>
    </row>
    <row r="1845" spans="1:3" x14ac:dyDescent="0.3">
      <c r="A1845" s="4" t="s">
        <v>4278</v>
      </c>
      <c r="B1845" s="4">
        <v>5.4</v>
      </c>
      <c r="C1845" s="23" t="s">
        <v>9082</v>
      </c>
    </row>
    <row r="1846" spans="1:3" x14ac:dyDescent="0.3">
      <c r="A1846" s="3" t="s">
        <v>4281</v>
      </c>
      <c r="B1846" s="3">
        <v>5.8</v>
      </c>
      <c r="C1846" s="22" t="s">
        <v>8941</v>
      </c>
    </row>
    <row r="1847" spans="1:3" x14ac:dyDescent="0.3">
      <c r="A1847" s="4" t="s">
        <v>4283</v>
      </c>
      <c r="B1847" s="4">
        <v>4.7</v>
      </c>
      <c r="C1847" s="23" t="s">
        <v>9083</v>
      </c>
    </row>
    <row r="1848" spans="1:3" x14ac:dyDescent="0.3">
      <c r="A1848" s="3" t="s">
        <v>4285</v>
      </c>
      <c r="B1848" s="3">
        <v>6</v>
      </c>
      <c r="C1848" s="22" t="s">
        <v>8799</v>
      </c>
    </row>
    <row r="1849" spans="1:3" x14ac:dyDescent="0.3">
      <c r="A1849" s="4" t="s">
        <v>4287</v>
      </c>
      <c r="B1849" s="4">
        <v>7</v>
      </c>
      <c r="C1849" s="23" t="s">
        <v>8351</v>
      </c>
    </row>
    <row r="1850" spans="1:3" x14ac:dyDescent="0.3">
      <c r="A1850" s="3" t="s">
        <v>4290</v>
      </c>
      <c r="B1850" s="3">
        <v>6</v>
      </c>
      <c r="C1850" s="22" t="s">
        <v>9084</v>
      </c>
    </row>
    <row r="1851" spans="1:3" x14ac:dyDescent="0.3">
      <c r="A1851" s="4" t="s">
        <v>4292</v>
      </c>
      <c r="B1851" s="4">
        <v>7.9</v>
      </c>
      <c r="C1851" s="23" t="s">
        <v>8502</v>
      </c>
    </row>
    <row r="1852" spans="1:3" x14ac:dyDescent="0.3">
      <c r="A1852" s="3" t="s">
        <v>4294</v>
      </c>
      <c r="B1852" s="3">
        <v>8.1</v>
      </c>
      <c r="C1852" s="22" t="s">
        <v>8900</v>
      </c>
    </row>
    <row r="1853" spans="1:3" x14ac:dyDescent="0.3">
      <c r="A1853" s="4" t="s">
        <v>4296</v>
      </c>
      <c r="B1853" s="4">
        <v>6.2</v>
      </c>
      <c r="C1853" s="23" t="s">
        <v>8428</v>
      </c>
    </row>
    <row r="1854" spans="1:3" x14ac:dyDescent="0.3">
      <c r="A1854" s="3" t="s">
        <v>4298</v>
      </c>
      <c r="B1854" s="3">
        <v>6.7</v>
      </c>
      <c r="C1854" s="22" t="s">
        <v>9085</v>
      </c>
    </row>
    <row r="1855" spans="1:3" x14ac:dyDescent="0.3">
      <c r="A1855" s="4" t="s">
        <v>4300</v>
      </c>
      <c r="B1855" s="4">
        <v>7.3</v>
      </c>
      <c r="C1855" s="23" t="s">
        <v>8937</v>
      </c>
    </row>
    <row r="1856" spans="1:3" x14ac:dyDescent="0.3">
      <c r="A1856" s="3" t="s">
        <v>4302</v>
      </c>
      <c r="B1856" s="3">
        <v>4.5999999999999996</v>
      </c>
      <c r="C1856" s="22" t="s">
        <v>9086</v>
      </c>
    </row>
    <row r="1857" spans="1:3" x14ac:dyDescent="0.3">
      <c r="A1857" s="4" t="s">
        <v>4305</v>
      </c>
      <c r="B1857" s="4">
        <v>6.1</v>
      </c>
      <c r="C1857" s="23" t="s">
        <v>8738</v>
      </c>
    </row>
    <row r="1858" spans="1:3" x14ac:dyDescent="0.3">
      <c r="A1858" s="3" t="s">
        <v>4307</v>
      </c>
      <c r="B1858" s="3">
        <v>6.2</v>
      </c>
      <c r="C1858" s="22" t="s">
        <v>8539</v>
      </c>
    </row>
    <row r="1859" spans="1:3" x14ac:dyDescent="0.3">
      <c r="A1859" s="4" t="s">
        <v>4309</v>
      </c>
      <c r="B1859" s="4">
        <v>7.8</v>
      </c>
      <c r="C1859" s="23" t="s">
        <v>8810</v>
      </c>
    </row>
    <row r="1860" spans="1:3" x14ac:dyDescent="0.3">
      <c r="A1860" s="3" t="s">
        <v>4311</v>
      </c>
      <c r="B1860" s="3">
        <v>6.1</v>
      </c>
      <c r="C1860" s="22" t="s">
        <v>8594</v>
      </c>
    </row>
    <row r="1861" spans="1:3" x14ac:dyDescent="0.3">
      <c r="A1861" s="4" t="s">
        <v>4313</v>
      </c>
      <c r="B1861" s="4">
        <v>7.6</v>
      </c>
      <c r="C1861" s="23" t="s">
        <v>8399</v>
      </c>
    </row>
    <row r="1862" spans="1:3" x14ac:dyDescent="0.3">
      <c r="A1862" s="3" t="s">
        <v>4315</v>
      </c>
      <c r="B1862" s="3">
        <v>5.8</v>
      </c>
      <c r="C1862" s="22" t="s">
        <v>8774</v>
      </c>
    </row>
    <row r="1863" spans="1:3" x14ac:dyDescent="0.3">
      <c r="A1863" s="4" t="s">
        <v>4317</v>
      </c>
      <c r="B1863" s="4">
        <v>6.5</v>
      </c>
      <c r="C1863" s="23" t="s">
        <v>8908</v>
      </c>
    </row>
    <row r="1864" spans="1:3" x14ac:dyDescent="0.3">
      <c r="A1864" s="3" t="s">
        <v>4319</v>
      </c>
      <c r="B1864" s="3">
        <v>7.2</v>
      </c>
      <c r="C1864" s="22" t="s">
        <v>9087</v>
      </c>
    </row>
    <row r="1865" spans="1:3" x14ac:dyDescent="0.3">
      <c r="A1865" s="4" t="s">
        <v>4321</v>
      </c>
      <c r="B1865" s="4">
        <v>7.8</v>
      </c>
      <c r="C1865" s="23" t="s">
        <v>8306</v>
      </c>
    </row>
    <row r="1866" spans="1:3" x14ac:dyDescent="0.3">
      <c r="A1866" s="3" t="s">
        <v>4323</v>
      </c>
      <c r="B1866" s="3">
        <v>4.7</v>
      </c>
      <c r="C1866" s="22" t="s">
        <v>9088</v>
      </c>
    </row>
    <row r="1867" spans="1:3" x14ac:dyDescent="0.3">
      <c r="A1867" s="4" t="s">
        <v>4326</v>
      </c>
      <c r="B1867" s="4">
        <v>6.8</v>
      </c>
      <c r="C1867" s="23" t="s">
        <v>9089</v>
      </c>
    </row>
    <row r="1868" spans="1:3" x14ac:dyDescent="0.3">
      <c r="A1868" s="3" t="s">
        <v>4328</v>
      </c>
      <c r="B1868" s="3">
        <v>5.9</v>
      </c>
      <c r="C1868" s="22" t="s">
        <v>9090</v>
      </c>
    </row>
    <row r="1869" spans="1:3" x14ac:dyDescent="0.3">
      <c r="A1869" s="4" t="s">
        <v>4331</v>
      </c>
      <c r="B1869" s="4">
        <v>7.2</v>
      </c>
      <c r="C1869" s="23" t="s">
        <v>8460</v>
      </c>
    </row>
    <row r="1870" spans="1:3" x14ac:dyDescent="0.3">
      <c r="A1870" s="3" t="s">
        <v>4333</v>
      </c>
      <c r="B1870" s="3">
        <v>8.6999999999999993</v>
      </c>
      <c r="C1870" s="22" t="s">
        <v>8342</v>
      </c>
    </row>
    <row r="1871" spans="1:3" x14ac:dyDescent="0.3">
      <c r="A1871" s="4" t="s">
        <v>4335</v>
      </c>
      <c r="B1871" s="4">
        <v>5</v>
      </c>
      <c r="C1871" s="23" t="s">
        <v>8677</v>
      </c>
    </row>
    <row r="1872" spans="1:3" x14ac:dyDescent="0.3">
      <c r="A1872" s="3" t="s">
        <v>4337</v>
      </c>
      <c r="B1872" s="3">
        <v>6.6</v>
      </c>
      <c r="C1872" s="22" t="s">
        <v>8899</v>
      </c>
    </row>
    <row r="1873" spans="1:3" x14ac:dyDescent="0.3">
      <c r="A1873" s="4" t="s">
        <v>4339</v>
      </c>
      <c r="B1873" s="4">
        <v>8.3000000000000007</v>
      </c>
      <c r="C1873" s="23" t="s">
        <v>8502</v>
      </c>
    </row>
    <row r="1874" spans="1:3" x14ac:dyDescent="0.3">
      <c r="A1874" s="3" t="s">
        <v>4341</v>
      </c>
      <c r="B1874" s="3">
        <v>6.7</v>
      </c>
      <c r="C1874" s="22" t="s">
        <v>8725</v>
      </c>
    </row>
    <row r="1875" spans="1:3" x14ac:dyDescent="0.3">
      <c r="A1875" s="4" t="s">
        <v>4343</v>
      </c>
      <c r="B1875" s="4">
        <v>7.8</v>
      </c>
      <c r="C1875" s="23" t="s">
        <v>9091</v>
      </c>
    </row>
    <row r="1876" spans="1:3" x14ac:dyDescent="0.3">
      <c r="A1876" s="3" t="s">
        <v>4346</v>
      </c>
      <c r="B1876" s="3">
        <v>6.5</v>
      </c>
      <c r="C1876" s="22" t="s">
        <v>8630</v>
      </c>
    </row>
    <row r="1877" spans="1:3" x14ac:dyDescent="0.3">
      <c r="A1877" s="4" t="s">
        <v>4348</v>
      </c>
      <c r="B1877" s="4">
        <v>6.1</v>
      </c>
      <c r="C1877" s="23" t="s">
        <v>8319</v>
      </c>
    </row>
    <row r="1878" spans="1:3" x14ac:dyDescent="0.3">
      <c r="A1878" s="3" t="s">
        <v>4350</v>
      </c>
      <c r="B1878" s="3">
        <v>8.1</v>
      </c>
      <c r="C1878" s="22" t="s">
        <v>8895</v>
      </c>
    </row>
    <row r="1879" spans="1:3" x14ac:dyDescent="0.3">
      <c r="A1879" s="4" t="s">
        <v>4352</v>
      </c>
      <c r="B1879" s="4">
        <v>5.2</v>
      </c>
      <c r="C1879" s="23" t="s">
        <v>9092</v>
      </c>
    </row>
    <row r="1880" spans="1:3" x14ac:dyDescent="0.3">
      <c r="A1880" s="3" t="s">
        <v>4354</v>
      </c>
      <c r="B1880" s="3">
        <v>5.6</v>
      </c>
      <c r="C1880" s="22" t="s">
        <v>9093</v>
      </c>
    </row>
    <row r="1881" spans="1:3" x14ac:dyDescent="0.3">
      <c r="A1881" s="4" t="s">
        <v>4356</v>
      </c>
      <c r="B1881" s="4">
        <v>5.8</v>
      </c>
      <c r="C1881" s="23" t="s">
        <v>8872</v>
      </c>
    </row>
    <row r="1882" spans="1:3" x14ac:dyDescent="0.3">
      <c r="A1882" s="3" t="s">
        <v>4358</v>
      </c>
      <c r="B1882" s="3">
        <v>6.6</v>
      </c>
      <c r="C1882" s="22" t="s">
        <v>8840</v>
      </c>
    </row>
    <row r="1883" spans="1:3" x14ac:dyDescent="0.3">
      <c r="A1883" s="4" t="s">
        <v>4360</v>
      </c>
      <c r="B1883" s="4">
        <v>6.6</v>
      </c>
      <c r="C1883" s="23" t="s">
        <v>9094</v>
      </c>
    </row>
    <row r="1884" spans="1:3" x14ac:dyDescent="0.3">
      <c r="A1884" s="3" t="s">
        <v>4362</v>
      </c>
      <c r="B1884" s="3">
        <v>5.5</v>
      </c>
      <c r="C1884" s="22" t="s">
        <v>9095</v>
      </c>
    </row>
    <row r="1885" spans="1:3" x14ac:dyDescent="0.3">
      <c r="A1885" s="4" t="s">
        <v>4364</v>
      </c>
      <c r="B1885" s="4">
        <v>5.5</v>
      </c>
      <c r="C1885" s="23" t="s">
        <v>9096</v>
      </c>
    </row>
    <row r="1886" spans="1:3" x14ac:dyDescent="0.3">
      <c r="A1886" s="3" t="s">
        <v>4366</v>
      </c>
      <c r="B1886" s="3">
        <v>7</v>
      </c>
      <c r="C1886" s="22" t="s">
        <v>8610</v>
      </c>
    </row>
    <row r="1887" spans="1:3" x14ac:dyDescent="0.3">
      <c r="A1887" s="4" t="s">
        <v>4368</v>
      </c>
      <c r="B1887" s="4">
        <v>6.5</v>
      </c>
      <c r="C1887" s="23" t="s">
        <v>8413</v>
      </c>
    </row>
    <row r="1888" spans="1:3" x14ac:dyDescent="0.3">
      <c r="A1888" s="3" t="s">
        <v>4370</v>
      </c>
      <c r="B1888" s="3">
        <v>5.8</v>
      </c>
      <c r="C1888" s="22" t="s">
        <v>8868</v>
      </c>
    </row>
    <row r="1889" spans="1:3" x14ac:dyDescent="0.3">
      <c r="A1889" s="4" t="s">
        <v>4372</v>
      </c>
      <c r="B1889" s="4">
        <v>5.6</v>
      </c>
      <c r="C1889" s="23" t="s">
        <v>9097</v>
      </c>
    </row>
    <row r="1890" spans="1:3" x14ac:dyDescent="0.3">
      <c r="A1890" s="3" t="s">
        <v>4374</v>
      </c>
      <c r="B1890" s="3">
        <v>5.6</v>
      </c>
      <c r="C1890" s="22" t="s">
        <v>9098</v>
      </c>
    </row>
    <row r="1891" spans="1:3" x14ac:dyDescent="0.3">
      <c r="A1891" s="4" t="s">
        <v>4376</v>
      </c>
      <c r="B1891" s="4">
        <v>5.8</v>
      </c>
      <c r="C1891" s="23" t="s">
        <v>8594</v>
      </c>
    </row>
    <row r="1892" spans="1:3" x14ac:dyDescent="0.3">
      <c r="A1892" s="3" t="s">
        <v>4378</v>
      </c>
      <c r="B1892" s="3">
        <v>7.6</v>
      </c>
      <c r="C1892" s="22" t="s">
        <v>8857</v>
      </c>
    </row>
    <row r="1893" spans="1:3" x14ac:dyDescent="0.3">
      <c r="A1893" s="4" t="s">
        <v>4381</v>
      </c>
      <c r="B1893" s="4">
        <v>6.4</v>
      </c>
      <c r="C1893" s="23" t="s">
        <v>8738</v>
      </c>
    </row>
    <row r="1894" spans="1:3" x14ac:dyDescent="0.3">
      <c r="A1894" s="3" t="s">
        <v>4383</v>
      </c>
      <c r="B1894" s="3">
        <v>6.3</v>
      </c>
      <c r="C1894" s="22" t="s">
        <v>9099</v>
      </c>
    </row>
    <row r="1895" spans="1:3" x14ac:dyDescent="0.3">
      <c r="A1895" s="4" t="s">
        <v>4385</v>
      </c>
      <c r="B1895" s="4">
        <v>4.5999999999999996</v>
      </c>
      <c r="C1895" s="23" t="s">
        <v>9100</v>
      </c>
    </row>
    <row r="1896" spans="1:3" x14ac:dyDescent="0.3">
      <c r="A1896" s="3" t="s">
        <v>4387</v>
      </c>
      <c r="B1896" s="3">
        <v>6.5</v>
      </c>
      <c r="C1896" s="22" t="s">
        <v>9101</v>
      </c>
    </row>
    <row r="1897" spans="1:3" x14ac:dyDescent="0.3">
      <c r="A1897" s="4" t="s">
        <v>4389</v>
      </c>
      <c r="B1897" s="4">
        <v>7.5</v>
      </c>
      <c r="C1897" s="23" t="s">
        <v>9102</v>
      </c>
    </row>
    <row r="1898" spans="1:3" x14ac:dyDescent="0.3">
      <c r="A1898" s="3" t="s">
        <v>4392</v>
      </c>
      <c r="B1898" s="3">
        <v>7.5</v>
      </c>
      <c r="C1898" s="22" t="s">
        <v>8706</v>
      </c>
    </row>
    <row r="1899" spans="1:3" x14ac:dyDescent="0.3">
      <c r="A1899" s="4" t="s">
        <v>4394</v>
      </c>
      <c r="B1899" s="4">
        <v>5.3</v>
      </c>
      <c r="C1899" s="23" t="s">
        <v>8941</v>
      </c>
    </row>
    <row r="1900" spans="1:3" x14ac:dyDescent="0.3">
      <c r="A1900" s="3" t="s">
        <v>4396</v>
      </c>
      <c r="B1900" s="3">
        <v>7.5</v>
      </c>
      <c r="C1900" s="22" t="s">
        <v>9103</v>
      </c>
    </row>
    <row r="1901" spans="1:3" x14ac:dyDescent="0.3">
      <c r="A1901" s="4" t="s">
        <v>4398</v>
      </c>
      <c r="B1901" s="4">
        <v>3.3</v>
      </c>
      <c r="C1901" s="23" t="s">
        <v>9104</v>
      </c>
    </row>
    <row r="1902" spans="1:3" x14ac:dyDescent="0.3">
      <c r="A1902" s="3" t="s">
        <v>4400</v>
      </c>
      <c r="B1902" s="3">
        <v>5.7</v>
      </c>
      <c r="C1902" s="22" t="s">
        <v>8766</v>
      </c>
    </row>
    <row r="1903" spans="1:3" x14ac:dyDescent="0.3">
      <c r="A1903" s="4" t="s">
        <v>4402</v>
      </c>
      <c r="B1903" s="4">
        <v>3.5</v>
      </c>
      <c r="C1903" s="23" t="s">
        <v>9105</v>
      </c>
    </row>
    <row r="1904" spans="1:3" x14ac:dyDescent="0.3">
      <c r="A1904" s="3" t="s">
        <v>4404</v>
      </c>
      <c r="B1904" s="3">
        <v>9.3000000000000007</v>
      </c>
      <c r="C1904" s="22" t="s">
        <v>8584</v>
      </c>
    </row>
    <row r="1905" spans="1:3" x14ac:dyDescent="0.3">
      <c r="A1905" s="4" t="s">
        <v>4407</v>
      </c>
      <c r="B1905" s="4">
        <v>4.8</v>
      </c>
      <c r="C1905" s="23" t="s">
        <v>8807</v>
      </c>
    </row>
    <row r="1906" spans="1:3" x14ac:dyDescent="0.3">
      <c r="A1906" s="3" t="s">
        <v>4409</v>
      </c>
      <c r="B1906" s="3">
        <v>6.9</v>
      </c>
      <c r="C1906" s="22" t="s">
        <v>8600</v>
      </c>
    </row>
    <row r="1907" spans="1:3" x14ac:dyDescent="0.3">
      <c r="A1907" s="4" t="s">
        <v>4411</v>
      </c>
      <c r="B1907" s="4">
        <v>6</v>
      </c>
      <c r="C1907" s="23" t="s">
        <v>8489</v>
      </c>
    </row>
    <row r="1908" spans="1:3" x14ac:dyDescent="0.3">
      <c r="A1908" s="3" t="s">
        <v>4413</v>
      </c>
      <c r="B1908" s="3">
        <v>7.3</v>
      </c>
      <c r="C1908" s="22" t="s">
        <v>9106</v>
      </c>
    </row>
    <row r="1909" spans="1:3" x14ac:dyDescent="0.3">
      <c r="A1909" s="4" t="s">
        <v>4418</v>
      </c>
      <c r="B1909" s="4">
        <v>6</v>
      </c>
      <c r="C1909" s="23" t="s">
        <v>9107</v>
      </c>
    </row>
    <row r="1910" spans="1:3" x14ac:dyDescent="0.3">
      <c r="A1910" s="3" t="s">
        <v>4420</v>
      </c>
      <c r="B1910" s="3">
        <v>6.6</v>
      </c>
      <c r="C1910" s="22" t="s">
        <v>9108</v>
      </c>
    </row>
    <row r="1911" spans="1:3" x14ac:dyDescent="0.3">
      <c r="A1911" s="4" t="s">
        <v>4422</v>
      </c>
      <c r="B1911" s="4">
        <v>7.5</v>
      </c>
      <c r="C1911" s="23" t="s">
        <v>9109</v>
      </c>
    </row>
    <row r="1912" spans="1:3" x14ac:dyDescent="0.3">
      <c r="A1912" s="3" t="s">
        <v>4424</v>
      </c>
      <c r="B1912" s="3">
        <v>6.9</v>
      </c>
      <c r="C1912" s="22" t="s">
        <v>8730</v>
      </c>
    </row>
    <row r="1913" spans="1:3" x14ac:dyDescent="0.3">
      <c r="A1913" s="4" t="s">
        <v>4426</v>
      </c>
      <c r="B1913" s="4">
        <v>6.8</v>
      </c>
      <c r="C1913" s="23" t="s">
        <v>9110</v>
      </c>
    </row>
    <row r="1914" spans="1:3" x14ac:dyDescent="0.3">
      <c r="A1914" s="3" t="s">
        <v>4428</v>
      </c>
      <c r="B1914" s="3">
        <v>6.3</v>
      </c>
      <c r="C1914" s="22" t="s">
        <v>8937</v>
      </c>
    </row>
    <row r="1915" spans="1:3" x14ac:dyDescent="0.3">
      <c r="A1915" s="4" t="s">
        <v>4430</v>
      </c>
      <c r="B1915" s="4">
        <v>6.4</v>
      </c>
      <c r="C1915" s="23" t="s">
        <v>9111</v>
      </c>
    </row>
    <row r="1916" spans="1:3" x14ac:dyDescent="0.3">
      <c r="A1916" s="3" t="s">
        <v>4432</v>
      </c>
      <c r="B1916" s="3">
        <v>5.6</v>
      </c>
      <c r="C1916" s="22" t="s">
        <v>9112</v>
      </c>
    </row>
    <row r="1917" spans="1:3" x14ac:dyDescent="0.3">
      <c r="A1917" s="4" t="s">
        <v>4434</v>
      </c>
      <c r="B1917" s="4">
        <v>6.3</v>
      </c>
      <c r="C1917" s="23" t="s">
        <v>9113</v>
      </c>
    </row>
    <row r="1918" spans="1:3" x14ac:dyDescent="0.3">
      <c r="A1918" s="3" t="s">
        <v>4436</v>
      </c>
      <c r="B1918" s="3">
        <v>7.3</v>
      </c>
      <c r="C1918" s="22" t="s">
        <v>8895</v>
      </c>
    </row>
    <row r="1919" spans="1:3" x14ac:dyDescent="0.3">
      <c r="A1919" s="4" t="s">
        <v>4438</v>
      </c>
      <c r="B1919" s="4">
        <v>6.6</v>
      </c>
      <c r="C1919" s="23" t="s">
        <v>9114</v>
      </c>
    </row>
    <row r="1920" spans="1:3" x14ac:dyDescent="0.3">
      <c r="A1920" s="3" t="s">
        <v>4441</v>
      </c>
      <c r="B1920" s="3">
        <v>4.5999999999999996</v>
      </c>
      <c r="C1920" s="22" t="s">
        <v>9115</v>
      </c>
    </row>
    <row r="1921" spans="1:3" x14ac:dyDescent="0.3">
      <c r="A1921" s="4" t="s">
        <v>4443</v>
      </c>
      <c r="B1921" s="4">
        <v>5.0999999999999996</v>
      </c>
      <c r="C1921" s="23" t="s">
        <v>8393</v>
      </c>
    </row>
    <row r="1922" spans="1:3" x14ac:dyDescent="0.3">
      <c r="A1922" s="3" t="s">
        <v>4445</v>
      </c>
      <c r="B1922" s="3">
        <v>5.6</v>
      </c>
      <c r="C1922" s="22" t="s">
        <v>9116</v>
      </c>
    </row>
    <row r="1923" spans="1:3" x14ac:dyDescent="0.3">
      <c r="A1923" s="4" t="s">
        <v>4447</v>
      </c>
      <c r="B1923" s="4">
        <v>5.3</v>
      </c>
      <c r="C1923" s="23" t="s">
        <v>9117</v>
      </c>
    </row>
    <row r="1924" spans="1:3" x14ac:dyDescent="0.3">
      <c r="A1924" s="3" t="s">
        <v>4449</v>
      </c>
      <c r="B1924" s="3">
        <v>7.5</v>
      </c>
      <c r="C1924" s="22" t="s">
        <v>9118</v>
      </c>
    </row>
    <row r="1925" spans="1:3" x14ac:dyDescent="0.3">
      <c r="A1925" s="4" t="s">
        <v>4451</v>
      </c>
      <c r="B1925" s="4">
        <v>5.6</v>
      </c>
      <c r="C1925" s="23" t="s">
        <v>9119</v>
      </c>
    </row>
    <row r="1926" spans="1:3" x14ac:dyDescent="0.3">
      <c r="A1926" s="3" t="s">
        <v>4453</v>
      </c>
      <c r="B1926" s="3">
        <v>5.9</v>
      </c>
      <c r="C1926" s="22" t="s">
        <v>9120</v>
      </c>
    </row>
    <row r="1927" spans="1:3" x14ac:dyDescent="0.3">
      <c r="A1927" s="4" t="s">
        <v>4455</v>
      </c>
      <c r="B1927" s="4">
        <v>4.7</v>
      </c>
      <c r="C1927" s="23" t="s">
        <v>9121</v>
      </c>
    </row>
    <row r="1928" spans="1:3" x14ac:dyDescent="0.3">
      <c r="A1928" s="3" t="s">
        <v>4457</v>
      </c>
      <c r="B1928" s="3">
        <v>4.8</v>
      </c>
      <c r="C1928" s="22" t="s">
        <v>8841</v>
      </c>
    </row>
    <row r="1929" spans="1:3" x14ac:dyDescent="0.3">
      <c r="A1929" s="4" t="s">
        <v>4459</v>
      </c>
      <c r="B1929" s="4">
        <v>6.8</v>
      </c>
      <c r="C1929" s="23" t="s">
        <v>8919</v>
      </c>
    </row>
    <row r="1930" spans="1:3" x14ac:dyDescent="0.3">
      <c r="A1930" s="3" t="s">
        <v>4461</v>
      </c>
      <c r="B1930" s="3">
        <v>5.4</v>
      </c>
      <c r="C1930" s="22" t="s">
        <v>9122</v>
      </c>
    </row>
    <row r="1931" spans="1:3" x14ac:dyDescent="0.3">
      <c r="A1931" s="4" t="s">
        <v>4463</v>
      </c>
      <c r="B1931" s="4">
        <v>5.0999999999999996</v>
      </c>
      <c r="C1931" s="23" t="s">
        <v>9123</v>
      </c>
    </row>
    <row r="1932" spans="1:3" x14ac:dyDescent="0.3">
      <c r="A1932" s="3" t="s">
        <v>4465</v>
      </c>
      <c r="B1932" s="3">
        <v>7</v>
      </c>
      <c r="C1932" s="22" t="s">
        <v>8731</v>
      </c>
    </row>
    <row r="1933" spans="1:3" x14ac:dyDescent="0.3">
      <c r="A1933" s="4" t="s">
        <v>4467</v>
      </c>
      <c r="B1933" s="4">
        <v>6.7</v>
      </c>
      <c r="C1933" s="23" t="s">
        <v>8702</v>
      </c>
    </row>
    <row r="1934" spans="1:3" x14ac:dyDescent="0.3">
      <c r="A1934" s="3" t="s">
        <v>4469</v>
      </c>
      <c r="B1934" s="3">
        <v>4</v>
      </c>
      <c r="C1934" s="22" t="s">
        <v>8797</v>
      </c>
    </row>
    <row r="1935" spans="1:3" x14ac:dyDescent="0.3">
      <c r="A1935" s="4" t="s">
        <v>4471</v>
      </c>
      <c r="B1935" s="4">
        <v>7.3</v>
      </c>
      <c r="C1935" s="23" t="s">
        <v>8699</v>
      </c>
    </row>
    <row r="1936" spans="1:3" x14ac:dyDescent="0.3">
      <c r="A1936" s="3" t="s">
        <v>4473</v>
      </c>
      <c r="B1936" s="3">
        <v>6.8</v>
      </c>
      <c r="C1936" s="22" t="s">
        <v>8539</v>
      </c>
    </row>
    <row r="1937" spans="1:3" x14ac:dyDescent="0.3">
      <c r="A1937" s="4" t="s">
        <v>4475</v>
      </c>
      <c r="B1937" s="4">
        <v>6.1</v>
      </c>
      <c r="C1937" s="23" t="s">
        <v>8917</v>
      </c>
    </row>
    <row r="1938" spans="1:3" x14ac:dyDescent="0.3">
      <c r="A1938" s="3" t="s">
        <v>4477</v>
      </c>
      <c r="B1938" s="3">
        <v>7</v>
      </c>
      <c r="C1938" s="22" t="s">
        <v>8644</v>
      </c>
    </row>
    <row r="1939" spans="1:3" x14ac:dyDescent="0.3">
      <c r="A1939" s="4" t="s">
        <v>4479</v>
      </c>
      <c r="B1939" s="4">
        <v>7.1</v>
      </c>
      <c r="C1939" s="23" t="s">
        <v>8827</v>
      </c>
    </row>
    <row r="1940" spans="1:3" x14ac:dyDescent="0.3">
      <c r="A1940" s="3" t="s">
        <v>4481</v>
      </c>
      <c r="B1940" s="3">
        <v>6.9</v>
      </c>
      <c r="C1940" s="22" t="s">
        <v>9124</v>
      </c>
    </row>
    <row r="1941" spans="1:3" x14ac:dyDescent="0.3">
      <c r="A1941" s="4" t="s">
        <v>4483</v>
      </c>
      <c r="B1941" s="4">
        <v>7.3</v>
      </c>
      <c r="C1941" s="23" t="s">
        <v>8762</v>
      </c>
    </row>
    <row r="1942" spans="1:3" x14ac:dyDescent="0.3">
      <c r="A1942" s="3" t="s">
        <v>4485</v>
      </c>
      <c r="B1942" s="3">
        <v>6.3</v>
      </c>
      <c r="C1942" s="22" t="s">
        <v>9125</v>
      </c>
    </row>
    <row r="1943" spans="1:3" x14ac:dyDescent="0.3">
      <c r="A1943" s="4" t="s">
        <v>4487</v>
      </c>
      <c r="B1943" s="4">
        <v>8.1999999999999993</v>
      </c>
      <c r="C1943" s="23" t="s">
        <v>9022</v>
      </c>
    </row>
    <row r="1944" spans="1:3" x14ac:dyDescent="0.3">
      <c r="A1944" s="3" t="s">
        <v>4490</v>
      </c>
      <c r="B1944" s="3">
        <v>7.1</v>
      </c>
      <c r="C1944" s="22" t="s">
        <v>8728</v>
      </c>
    </row>
    <row r="1945" spans="1:3" x14ac:dyDescent="0.3">
      <c r="A1945" s="4" t="s">
        <v>4492</v>
      </c>
      <c r="B1945" s="4">
        <v>7.7</v>
      </c>
      <c r="C1945" s="23" t="s">
        <v>8708</v>
      </c>
    </row>
    <row r="1946" spans="1:3" x14ac:dyDescent="0.3">
      <c r="A1946" s="3" t="s">
        <v>4495</v>
      </c>
      <c r="B1946" s="3">
        <v>6.5</v>
      </c>
      <c r="C1946" s="22" t="s">
        <v>9002</v>
      </c>
    </row>
    <row r="1947" spans="1:3" x14ac:dyDescent="0.3">
      <c r="A1947" s="4" t="s">
        <v>4497</v>
      </c>
      <c r="B1947" s="4">
        <v>4.9000000000000004</v>
      </c>
      <c r="C1947" s="23" t="s">
        <v>8745</v>
      </c>
    </row>
    <row r="1948" spans="1:3" x14ac:dyDescent="0.3">
      <c r="A1948" s="3" t="s">
        <v>4499</v>
      </c>
      <c r="B1948" s="3">
        <v>6.4</v>
      </c>
      <c r="C1948" s="22" t="s">
        <v>9126</v>
      </c>
    </row>
    <row r="1949" spans="1:3" x14ac:dyDescent="0.3">
      <c r="A1949" s="4" t="s">
        <v>4501</v>
      </c>
      <c r="B1949" s="4">
        <v>5.9</v>
      </c>
      <c r="C1949" s="23" t="s">
        <v>9127</v>
      </c>
    </row>
    <row r="1950" spans="1:3" x14ac:dyDescent="0.3">
      <c r="A1950" s="3" t="s">
        <v>4503</v>
      </c>
      <c r="B1950" s="3">
        <v>6.2</v>
      </c>
      <c r="C1950" s="22" t="s">
        <v>9128</v>
      </c>
    </row>
    <row r="1951" spans="1:3" x14ac:dyDescent="0.3">
      <c r="A1951" s="4" t="s">
        <v>4505</v>
      </c>
      <c r="B1951" s="4">
        <v>5.8</v>
      </c>
      <c r="C1951" s="23" t="s">
        <v>8674</v>
      </c>
    </row>
    <row r="1952" spans="1:3" x14ac:dyDescent="0.3">
      <c r="A1952" s="3" t="s">
        <v>4507</v>
      </c>
      <c r="B1952" s="3">
        <v>6.7</v>
      </c>
      <c r="C1952" s="22" t="s">
        <v>8937</v>
      </c>
    </row>
    <row r="1953" spans="1:3" x14ac:dyDescent="0.3">
      <c r="A1953" s="4" t="s">
        <v>4509</v>
      </c>
      <c r="B1953" s="4">
        <v>5.9</v>
      </c>
      <c r="C1953" s="23" t="s">
        <v>9129</v>
      </c>
    </row>
    <row r="1954" spans="1:3" x14ac:dyDescent="0.3">
      <c r="A1954" s="3" t="s">
        <v>4512</v>
      </c>
      <c r="B1954" s="3">
        <v>7.3</v>
      </c>
      <c r="C1954" s="22" t="s">
        <v>9130</v>
      </c>
    </row>
    <row r="1955" spans="1:3" x14ac:dyDescent="0.3">
      <c r="A1955" s="4" t="s">
        <v>4515</v>
      </c>
      <c r="B1955" s="4">
        <v>4.8</v>
      </c>
      <c r="C1955" s="23" t="s">
        <v>9131</v>
      </c>
    </row>
    <row r="1956" spans="1:3" x14ac:dyDescent="0.3">
      <c r="A1956" s="3" t="s">
        <v>4517</v>
      </c>
      <c r="B1956" s="3">
        <v>4.0999999999999996</v>
      </c>
      <c r="C1956" s="22" t="s">
        <v>9132</v>
      </c>
    </row>
    <row r="1957" spans="1:3" x14ac:dyDescent="0.3">
      <c r="A1957" s="4" t="s">
        <v>4519</v>
      </c>
      <c r="B1957" s="4">
        <v>4.9000000000000004</v>
      </c>
      <c r="C1957" s="23" t="s">
        <v>8977</v>
      </c>
    </row>
    <row r="1958" spans="1:3" x14ac:dyDescent="0.3">
      <c r="A1958" s="3" t="s">
        <v>4521</v>
      </c>
      <c r="B1958" s="3">
        <v>7.9</v>
      </c>
      <c r="C1958" s="22" t="s">
        <v>8439</v>
      </c>
    </row>
    <row r="1959" spans="1:3" x14ac:dyDescent="0.3">
      <c r="A1959" s="4" t="s">
        <v>4524</v>
      </c>
      <c r="B1959" s="4">
        <v>5.6</v>
      </c>
      <c r="C1959" s="23" t="s">
        <v>8797</v>
      </c>
    </row>
    <row r="1960" spans="1:3" x14ac:dyDescent="0.3">
      <c r="A1960" s="3" t="s">
        <v>4526</v>
      </c>
      <c r="B1960" s="3">
        <v>5.2</v>
      </c>
      <c r="C1960" s="22" t="s">
        <v>9133</v>
      </c>
    </row>
    <row r="1961" spans="1:3" x14ac:dyDescent="0.3">
      <c r="A1961" s="4" t="s">
        <v>4528</v>
      </c>
      <c r="B1961" s="4">
        <v>4.0999999999999996</v>
      </c>
      <c r="C1961" s="23" t="s">
        <v>9134</v>
      </c>
    </row>
    <row r="1962" spans="1:3" x14ac:dyDescent="0.3">
      <c r="A1962" s="3" t="s">
        <v>4530</v>
      </c>
      <c r="B1962" s="3">
        <v>6.6</v>
      </c>
      <c r="C1962" s="22" t="s">
        <v>9080</v>
      </c>
    </row>
    <row r="1963" spans="1:3" x14ac:dyDescent="0.3">
      <c r="A1963" s="4" t="s">
        <v>4532</v>
      </c>
      <c r="B1963" s="4">
        <v>2.9</v>
      </c>
      <c r="C1963" s="23" t="s">
        <v>8681</v>
      </c>
    </row>
    <row r="1964" spans="1:3" x14ac:dyDescent="0.3">
      <c r="A1964" s="3" t="s">
        <v>4534</v>
      </c>
      <c r="B1964" s="3">
        <v>7.2</v>
      </c>
      <c r="C1964" s="22" t="s">
        <v>8628</v>
      </c>
    </row>
    <row r="1965" spans="1:3" x14ac:dyDescent="0.3">
      <c r="A1965" s="4" t="s">
        <v>4536</v>
      </c>
      <c r="B1965" s="4">
        <v>6.5</v>
      </c>
      <c r="C1965" s="23" t="s">
        <v>9135</v>
      </c>
    </row>
    <row r="1966" spans="1:3" x14ac:dyDescent="0.3">
      <c r="A1966" s="3" t="s">
        <v>4539</v>
      </c>
      <c r="B1966" s="3">
        <v>6.8</v>
      </c>
      <c r="C1966" s="22" t="s">
        <v>8307</v>
      </c>
    </row>
    <row r="1967" spans="1:3" x14ac:dyDescent="0.3">
      <c r="A1967" s="4" t="s">
        <v>4541</v>
      </c>
      <c r="B1967" s="4">
        <v>7.2</v>
      </c>
      <c r="C1967" s="23" t="s">
        <v>9136</v>
      </c>
    </row>
    <row r="1968" spans="1:3" x14ac:dyDescent="0.3">
      <c r="A1968" s="3" t="s">
        <v>4543</v>
      </c>
      <c r="B1968" s="3">
        <v>6.8</v>
      </c>
      <c r="C1968" s="22" t="s">
        <v>9069</v>
      </c>
    </row>
    <row r="1969" spans="1:3" x14ac:dyDescent="0.3">
      <c r="A1969" s="4" t="s">
        <v>4546</v>
      </c>
      <c r="B1969" s="4">
        <v>7.8</v>
      </c>
      <c r="C1969" s="23" t="s">
        <v>9137</v>
      </c>
    </row>
    <row r="1970" spans="1:3" x14ac:dyDescent="0.3">
      <c r="A1970" s="3" t="s">
        <v>4548</v>
      </c>
      <c r="B1970" s="3">
        <v>6.7</v>
      </c>
      <c r="C1970" s="22" t="s">
        <v>9138</v>
      </c>
    </row>
    <row r="1971" spans="1:3" x14ac:dyDescent="0.3">
      <c r="A1971" s="4" t="s">
        <v>4550</v>
      </c>
      <c r="B1971" s="4">
        <v>6.1</v>
      </c>
      <c r="C1971" s="23" t="s">
        <v>9139</v>
      </c>
    </row>
    <row r="1972" spans="1:3" x14ac:dyDescent="0.3">
      <c r="A1972" s="3" t="s">
        <v>4553</v>
      </c>
      <c r="B1972" s="3">
        <v>7.1</v>
      </c>
      <c r="C1972" s="22" t="s">
        <v>9101</v>
      </c>
    </row>
    <row r="1973" spans="1:3" x14ac:dyDescent="0.3">
      <c r="A1973" s="4" t="s">
        <v>4555</v>
      </c>
      <c r="B1973" s="4">
        <v>5.7</v>
      </c>
      <c r="C1973" s="23" t="s">
        <v>8625</v>
      </c>
    </row>
    <row r="1974" spans="1:3" x14ac:dyDescent="0.3">
      <c r="A1974" s="3" t="s">
        <v>4557</v>
      </c>
      <c r="B1974" s="3">
        <v>2.9</v>
      </c>
      <c r="C1974" s="22" t="s">
        <v>9140</v>
      </c>
    </row>
    <row r="1975" spans="1:3" x14ac:dyDescent="0.3">
      <c r="A1975" s="4" t="s">
        <v>4559</v>
      </c>
      <c r="B1975" s="4">
        <v>5.2</v>
      </c>
      <c r="C1975" s="23" t="s">
        <v>9141</v>
      </c>
    </row>
    <row r="1976" spans="1:3" x14ac:dyDescent="0.3">
      <c r="A1976" s="3" t="s">
        <v>4562</v>
      </c>
      <c r="B1976" s="3">
        <v>5.3</v>
      </c>
      <c r="C1976" s="22" t="s">
        <v>8312</v>
      </c>
    </row>
    <row r="1977" spans="1:3" x14ac:dyDescent="0.3">
      <c r="A1977" s="4" t="s">
        <v>4564</v>
      </c>
      <c r="B1977" s="4">
        <v>6.2</v>
      </c>
      <c r="C1977" s="23" t="s">
        <v>9142</v>
      </c>
    </row>
    <row r="1978" spans="1:3" x14ac:dyDescent="0.3">
      <c r="A1978" s="3" t="s">
        <v>4566</v>
      </c>
      <c r="B1978" s="3">
        <v>7.3</v>
      </c>
      <c r="C1978" s="22" t="s">
        <v>9143</v>
      </c>
    </row>
    <row r="1979" spans="1:3" x14ac:dyDescent="0.3">
      <c r="A1979" s="4" t="s">
        <v>4568</v>
      </c>
      <c r="B1979" s="4">
        <v>6.5</v>
      </c>
      <c r="C1979" s="23" t="s">
        <v>9144</v>
      </c>
    </row>
    <row r="1980" spans="1:3" x14ac:dyDescent="0.3">
      <c r="A1980" s="3" t="s">
        <v>4570</v>
      </c>
      <c r="B1980" s="3">
        <v>4.0999999999999996</v>
      </c>
      <c r="C1980" s="22" t="s">
        <v>9145</v>
      </c>
    </row>
    <row r="1981" spans="1:3" x14ac:dyDescent="0.3">
      <c r="A1981" s="4" t="s">
        <v>4572</v>
      </c>
      <c r="B1981" s="4">
        <v>7.7</v>
      </c>
      <c r="C1981" s="23" t="s">
        <v>8784</v>
      </c>
    </row>
    <row r="1982" spans="1:3" x14ac:dyDescent="0.3">
      <c r="A1982" s="3" t="s">
        <v>4574</v>
      </c>
      <c r="B1982" s="3">
        <v>6.1</v>
      </c>
      <c r="C1982" s="22" t="s">
        <v>8678</v>
      </c>
    </row>
    <row r="1983" spans="1:3" x14ac:dyDescent="0.3">
      <c r="A1983" s="4" t="s">
        <v>4576</v>
      </c>
      <c r="B1983" s="4">
        <v>7.3</v>
      </c>
      <c r="C1983" s="23" t="s">
        <v>9146</v>
      </c>
    </row>
    <row r="1984" spans="1:3" x14ac:dyDescent="0.3">
      <c r="A1984" s="3" t="s">
        <v>4578</v>
      </c>
      <c r="B1984" s="3">
        <v>7.2</v>
      </c>
      <c r="C1984" s="22" t="s">
        <v>8527</v>
      </c>
    </row>
    <row r="1985" spans="1:3" x14ac:dyDescent="0.3">
      <c r="A1985" s="4" t="s">
        <v>4580</v>
      </c>
      <c r="B1985" s="4">
        <v>5.3</v>
      </c>
      <c r="C1985" s="23" t="s">
        <v>8475</v>
      </c>
    </row>
    <row r="1986" spans="1:3" x14ac:dyDescent="0.3">
      <c r="A1986" s="3" t="s">
        <v>4582</v>
      </c>
      <c r="B1986" s="3">
        <v>6.1</v>
      </c>
      <c r="C1986" s="22" t="s">
        <v>8841</v>
      </c>
    </row>
    <row r="1987" spans="1:3" x14ac:dyDescent="0.3">
      <c r="A1987" s="4" t="s">
        <v>4584</v>
      </c>
      <c r="B1987" s="4">
        <v>5.8</v>
      </c>
      <c r="C1987" s="23" t="s">
        <v>9022</v>
      </c>
    </row>
    <row r="1988" spans="1:3" x14ac:dyDescent="0.3">
      <c r="A1988" s="3" t="s">
        <v>4586</v>
      </c>
      <c r="B1988" s="3">
        <v>5.7</v>
      </c>
      <c r="C1988" s="22" t="s">
        <v>8428</v>
      </c>
    </row>
    <row r="1989" spans="1:3" x14ac:dyDescent="0.3">
      <c r="A1989" s="4" t="s">
        <v>4589</v>
      </c>
      <c r="B1989" s="4">
        <v>6.7</v>
      </c>
      <c r="C1989" s="23" t="s">
        <v>8885</v>
      </c>
    </row>
    <row r="1990" spans="1:3" x14ac:dyDescent="0.3">
      <c r="A1990" s="3" t="s">
        <v>4591</v>
      </c>
      <c r="B1990" s="3">
        <v>6.5</v>
      </c>
      <c r="C1990" s="22" t="s">
        <v>9147</v>
      </c>
    </row>
    <row r="1991" spans="1:3" x14ac:dyDescent="0.3">
      <c r="A1991" s="4" t="s">
        <v>4593</v>
      </c>
      <c r="B1991" s="4">
        <v>7.2</v>
      </c>
      <c r="C1991" s="23" t="s">
        <v>8528</v>
      </c>
    </row>
    <row r="1992" spans="1:3" x14ac:dyDescent="0.3">
      <c r="A1992" s="3" t="s">
        <v>4595</v>
      </c>
      <c r="B1992" s="3">
        <v>7.6</v>
      </c>
      <c r="C1992" s="22" t="s">
        <v>8548</v>
      </c>
    </row>
    <row r="1993" spans="1:3" x14ac:dyDescent="0.3">
      <c r="A1993" s="4" t="s">
        <v>4597</v>
      </c>
      <c r="B1993" s="4">
        <v>4.5999999999999996</v>
      </c>
      <c r="C1993" s="23" t="s">
        <v>8958</v>
      </c>
    </row>
    <row r="1994" spans="1:3" x14ac:dyDescent="0.3">
      <c r="A1994" s="3" t="s">
        <v>4599</v>
      </c>
      <c r="B1994" s="3">
        <v>6.9</v>
      </c>
      <c r="C1994" s="22" t="s">
        <v>9148</v>
      </c>
    </row>
    <row r="1995" spans="1:3" x14ac:dyDescent="0.3">
      <c r="A1995" s="4" t="s">
        <v>4601</v>
      </c>
      <c r="B1995" s="4">
        <v>6.6</v>
      </c>
      <c r="C1995" s="23" t="s">
        <v>8902</v>
      </c>
    </row>
    <row r="1996" spans="1:3" x14ac:dyDescent="0.3">
      <c r="A1996" s="3" t="s">
        <v>4603</v>
      </c>
      <c r="B1996" s="3">
        <v>6.3</v>
      </c>
      <c r="C1996" s="22" t="s">
        <v>9149</v>
      </c>
    </row>
    <row r="1997" spans="1:3" x14ac:dyDescent="0.3">
      <c r="A1997" s="4" t="s">
        <v>4605</v>
      </c>
      <c r="B1997" s="4">
        <v>6.2</v>
      </c>
      <c r="C1997" s="23" t="s">
        <v>9150</v>
      </c>
    </row>
    <row r="1998" spans="1:3" x14ac:dyDescent="0.3">
      <c r="A1998" s="3" t="s">
        <v>4607</v>
      </c>
      <c r="B1998" s="3">
        <v>5.3</v>
      </c>
      <c r="C1998" s="22" t="s">
        <v>9151</v>
      </c>
    </row>
    <row r="1999" spans="1:3" x14ac:dyDescent="0.3">
      <c r="A1999" s="4" t="s">
        <v>4609</v>
      </c>
      <c r="B1999" s="4">
        <v>7.3</v>
      </c>
      <c r="C1999" s="23" t="s">
        <v>8434</v>
      </c>
    </row>
    <row r="2000" spans="1:3" x14ac:dyDescent="0.3">
      <c r="A2000" s="3" t="s">
        <v>4611</v>
      </c>
      <c r="B2000" s="3">
        <v>5.6</v>
      </c>
      <c r="C2000" s="22" t="s">
        <v>8568</v>
      </c>
    </row>
    <row r="2001" spans="1:3" x14ac:dyDescent="0.3">
      <c r="A2001" s="4" t="s">
        <v>4613</v>
      </c>
      <c r="B2001" s="4">
        <v>6.2</v>
      </c>
      <c r="C2001" s="23" t="s">
        <v>8637</v>
      </c>
    </row>
    <row r="2002" spans="1:3" x14ac:dyDescent="0.3">
      <c r="A2002" s="3" t="s">
        <v>4616</v>
      </c>
      <c r="B2002" s="3">
        <v>5.2</v>
      </c>
      <c r="C2002" s="22" t="s">
        <v>9152</v>
      </c>
    </row>
    <row r="2003" spans="1:3" x14ac:dyDescent="0.3">
      <c r="A2003" s="4" t="s">
        <v>4618</v>
      </c>
      <c r="B2003" s="4">
        <v>5.3</v>
      </c>
      <c r="C2003" s="23" t="s">
        <v>8648</v>
      </c>
    </row>
    <row r="2004" spans="1:3" x14ac:dyDescent="0.3">
      <c r="A2004" s="3" t="s">
        <v>4620</v>
      </c>
      <c r="B2004" s="3">
        <v>5.4</v>
      </c>
      <c r="C2004" s="22" t="s">
        <v>8575</v>
      </c>
    </row>
    <row r="2005" spans="1:3" x14ac:dyDescent="0.3">
      <c r="A2005" s="4" t="s">
        <v>4622</v>
      </c>
      <c r="B2005" s="4">
        <v>4.9000000000000004</v>
      </c>
      <c r="C2005" s="23" t="s">
        <v>9153</v>
      </c>
    </row>
    <row r="2006" spans="1:3" x14ac:dyDescent="0.3">
      <c r="A2006" s="3" t="s">
        <v>4625</v>
      </c>
      <c r="B2006" s="3">
        <v>5.5</v>
      </c>
      <c r="C2006" s="22" t="s">
        <v>8923</v>
      </c>
    </row>
    <row r="2007" spans="1:3" x14ac:dyDescent="0.3">
      <c r="A2007" s="4" t="s">
        <v>4628</v>
      </c>
      <c r="B2007" s="4">
        <v>6.7</v>
      </c>
      <c r="C2007" s="23" t="s">
        <v>9154</v>
      </c>
    </row>
    <row r="2008" spans="1:3" x14ac:dyDescent="0.3">
      <c r="A2008" s="3" t="s">
        <v>4630</v>
      </c>
      <c r="B2008" s="3">
        <v>3.9</v>
      </c>
      <c r="C2008" s="22" t="s">
        <v>9033</v>
      </c>
    </row>
    <row r="2009" spans="1:3" x14ac:dyDescent="0.3">
      <c r="A2009" s="4" t="s">
        <v>4632</v>
      </c>
      <c r="B2009" s="4">
        <v>7.2</v>
      </c>
      <c r="C2009" s="23" t="s">
        <v>9155</v>
      </c>
    </row>
    <row r="2010" spans="1:3" x14ac:dyDescent="0.3">
      <c r="A2010" s="3" t="s">
        <v>4634</v>
      </c>
      <c r="B2010" s="3">
        <v>5.0999999999999996</v>
      </c>
      <c r="C2010" s="22" t="s">
        <v>9156</v>
      </c>
    </row>
    <row r="2011" spans="1:3" x14ac:dyDescent="0.3">
      <c r="A2011" s="4" t="s">
        <v>4636</v>
      </c>
      <c r="B2011" s="4">
        <v>6.5</v>
      </c>
      <c r="C2011" s="23" t="s">
        <v>8950</v>
      </c>
    </row>
    <row r="2012" spans="1:3" x14ac:dyDescent="0.3">
      <c r="A2012" s="3" t="s">
        <v>4639</v>
      </c>
      <c r="B2012" s="3">
        <v>8.1999999999999993</v>
      </c>
      <c r="C2012" s="22" t="s">
        <v>8949</v>
      </c>
    </row>
    <row r="2013" spans="1:3" x14ac:dyDescent="0.3">
      <c r="A2013" s="4" t="s">
        <v>4642</v>
      </c>
      <c r="B2013" s="4">
        <v>7.7</v>
      </c>
      <c r="C2013" s="23" t="s">
        <v>8662</v>
      </c>
    </row>
    <row r="2014" spans="1:3" x14ac:dyDescent="0.3">
      <c r="A2014" s="3" t="s">
        <v>4644</v>
      </c>
      <c r="B2014" s="3">
        <v>7.2</v>
      </c>
      <c r="C2014" s="22" t="s">
        <v>8310</v>
      </c>
    </row>
    <row r="2015" spans="1:3" x14ac:dyDescent="0.3">
      <c r="A2015" s="4" t="s">
        <v>4646</v>
      </c>
      <c r="B2015" s="4">
        <v>6.1</v>
      </c>
      <c r="C2015" s="23" t="s">
        <v>8451</v>
      </c>
    </row>
    <row r="2016" spans="1:3" x14ac:dyDescent="0.3">
      <c r="A2016" s="3" t="s">
        <v>4648</v>
      </c>
      <c r="B2016" s="3">
        <v>8.8000000000000007</v>
      </c>
      <c r="C2016" s="22" t="s">
        <v>8906</v>
      </c>
    </row>
    <row r="2017" spans="1:3" x14ac:dyDescent="0.3">
      <c r="A2017" s="4" t="s">
        <v>4650</v>
      </c>
      <c r="B2017" s="4">
        <v>6.8</v>
      </c>
      <c r="C2017" s="23" t="s">
        <v>8321</v>
      </c>
    </row>
    <row r="2018" spans="1:3" x14ac:dyDescent="0.3">
      <c r="A2018" s="3" t="s">
        <v>4652</v>
      </c>
      <c r="B2018" s="3">
        <v>6.8</v>
      </c>
      <c r="C2018" s="22" t="s">
        <v>8788</v>
      </c>
    </row>
    <row r="2019" spans="1:3" x14ac:dyDescent="0.3">
      <c r="A2019" s="4" t="s">
        <v>4655</v>
      </c>
      <c r="B2019" s="4">
        <v>6.7</v>
      </c>
      <c r="C2019" s="23" t="s">
        <v>8774</v>
      </c>
    </row>
    <row r="2020" spans="1:3" x14ac:dyDescent="0.3">
      <c r="A2020" s="3" t="s">
        <v>4657</v>
      </c>
      <c r="B2020" s="3">
        <v>7.1</v>
      </c>
      <c r="C2020" s="22" t="s">
        <v>8592</v>
      </c>
    </row>
    <row r="2021" spans="1:3" x14ac:dyDescent="0.3">
      <c r="A2021" s="4" t="s">
        <v>4660</v>
      </c>
      <c r="B2021" s="4">
        <v>7.1</v>
      </c>
      <c r="C2021" s="23" t="s">
        <v>8431</v>
      </c>
    </row>
    <row r="2022" spans="1:3" x14ac:dyDescent="0.3">
      <c r="A2022" s="3" t="s">
        <v>4662</v>
      </c>
      <c r="B2022" s="3">
        <v>6.1</v>
      </c>
      <c r="C2022" s="22" t="s">
        <v>9157</v>
      </c>
    </row>
    <row r="2023" spans="1:3" x14ac:dyDescent="0.3">
      <c r="A2023" s="4" t="s">
        <v>4665</v>
      </c>
      <c r="B2023" s="4">
        <v>8</v>
      </c>
      <c r="C2023" s="23" t="s">
        <v>8467</v>
      </c>
    </row>
    <row r="2024" spans="1:3" x14ac:dyDescent="0.3">
      <c r="A2024" s="3" t="s">
        <v>4668</v>
      </c>
      <c r="B2024" s="3">
        <v>7.5</v>
      </c>
      <c r="C2024" s="22" t="s">
        <v>9109</v>
      </c>
    </row>
    <row r="2025" spans="1:3" x14ac:dyDescent="0.3">
      <c r="A2025" s="4" t="s">
        <v>4671</v>
      </c>
      <c r="B2025" s="4">
        <v>6.6</v>
      </c>
      <c r="C2025" s="23" t="s">
        <v>8683</v>
      </c>
    </row>
    <row r="2026" spans="1:3" x14ac:dyDescent="0.3">
      <c r="A2026" s="3" t="s">
        <v>4673</v>
      </c>
      <c r="B2026" s="3">
        <v>5.4</v>
      </c>
      <c r="C2026" s="22" t="s">
        <v>9158</v>
      </c>
    </row>
    <row r="2027" spans="1:3" x14ac:dyDescent="0.3">
      <c r="A2027" s="4" t="s">
        <v>4676</v>
      </c>
      <c r="B2027" s="4">
        <v>6.1</v>
      </c>
      <c r="C2027" s="23" t="s">
        <v>8695</v>
      </c>
    </row>
    <row r="2028" spans="1:3" x14ac:dyDescent="0.3">
      <c r="A2028" s="3" t="s">
        <v>4679</v>
      </c>
      <c r="B2028" s="3">
        <v>6.1</v>
      </c>
      <c r="C2028" s="22" t="s">
        <v>9027</v>
      </c>
    </row>
    <row r="2029" spans="1:3" x14ac:dyDescent="0.3">
      <c r="A2029" s="4" t="s">
        <v>4681</v>
      </c>
      <c r="B2029" s="4">
        <v>5.6</v>
      </c>
      <c r="C2029" s="23" t="s">
        <v>9159</v>
      </c>
    </row>
    <row r="2030" spans="1:3" x14ac:dyDescent="0.3">
      <c r="A2030" s="3" t="s">
        <v>4684</v>
      </c>
      <c r="B2030" s="3">
        <v>5.8</v>
      </c>
      <c r="C2030" s="22" t="s">
        <v>8444</v>
      </c>
    </row>
    <row r="2031" spans="1:3" x14ac:dyDescent="0.3">
      <c r="A2031" s="4" t="s">
        <v>4686</v>
      </c>
      <c r="B2031" s="4">
        <v>2.8</v>
      </c>
      <c r="C2031" s="23" t="s">
        <v>9160</v>
      </c>
    </row>
    <row r="2032" spans="1:3" x14ac:dyDescent="0.3">
      <c r="A2032" s="3" t="s">
        <v>4688</v>
      </c>
      <c r="B2032" s="3">
        <v>6.7</v>
      </c>
      <c r="C2032" s="22" t="s">
        <v>9161</v>
      </c>
    </row>
    <row r="2033" spans="1:3" x14ac:dyDescent="0.3">
      <c r="A2033" s="4" t="s">
        <v>4690</v>
      </c>
      <c r="B2033" s="4">
        <v>5.0999999999999996</v>
      </c>
      <c r="C2033" s="23" t="s">
        <v>9162</v>
      </c>
    </row>
    <row r="2034" spans="1:3" x14ac:dyDescent="0.3">
      <c r="A2034" s="3" t="s">
        <v>4692</v>
      </c>
      <c r="B2034" s="3">
        <v>7.2</v>
      </c>
      <c r="C2034" s="22" t="s">
        <v>8728</v>
      </c>
    </row>
    <row r="2035" spans="1:3" x14ac:dyDescent="0.3">
      <c r="A2035" s="4" t="s">
        <v>4694</v>
      </c>
      <c r="B2035" s="4">
        <v>6</v>
      </c>
      <c r="C2035" s="23" t="s">
        <v>8807</v>
      </c>
    </row>
    <row r="2036" spans="1:3" x14ac:dyDescent="0.3">
      <c r="A2036" s="3" t="s">
        <v>4696</v>
      </c>
      <c r="B2036" s="3">
        <v>7.2</v>
      </c>
      <c r="C2036" s="22" t="s">
        <v>9014</v>
      </c>
    </row>
    <row r="2037" spans="1:3" x14ac:dyDescent="0.3">
      <c r="A2037" s="4" t="s">
        <v>4698</v>
      </c>
      <c r="B2037" s="4">
        <v>6.7</v>
      </c>
      <c r="C2037" s="23" t="s">
        <v>9163</v>
      </c>
    </row>
    <row r="2038" spans="1:3" x14ac:dyDescent="0.3">
      <c r="A2038" s="3" t="s">
        <v>4700</v>
      </c>
      <c r="B2038" s="3">
        <v>6.3</v>
      </c>
      <c r="C2038" s="22" t="s">
        <v>9164</v>
      </c>
    </row>
    <row r="2039" spans="1:3" x14ac:dyDescent="0.3">
      <c r="A2039" s="4" t="s">
        <v>4702</v>
      </c>
      <c r="B2039" s="4">
        <v>6.2</v>
      </c>
      <c r="C2039" s="23" t="s">
        <v>8784</v>
      </c>
    </row>
    <row r="2040" spans="1:3" x14ac:dyDescent="0.3">
      <c r="A2040" s="3" t="s">
        <v>4704</v>
      </c>
      <c r="B2040" s="3">
        <v>6.2</v>
      </c>
      <c r="C2040" s="22" t="s">
        <v>9165</v>
      </c>
    </row>
    <row r="2041" spans="1:3" x14ac:dyDescent="0.3">
      <c r="A2041" s="4" t="s">
        <v>4706</v>
      </c>
      <c r="B2041" s="4">
        <v>6.9</v>
      </c>
      <c r="C2041" s="23" t="s">
        <v>9144</v>
      </c>
    </row>
    <row r="2042" spans="1:3" x14ac:dyDescent="0.3">
      <c r="A2042" s="3" t="s">
        <v>4708</v>
      </c>
      <c r="B2042" s="3">
        <v>6.8</v>
      </c>
      <c r="C2042" s="22" t="s">
        <v>8603</v>
      </c>
    </row>
    <row r="2043" spans="1:3" x14ac:dyDescent="0.3">
      <c r="A2043" s="4" t="s">
        <v>4711</v>
      </c>
      <c r="B2043" s="4">
        <v>7.1</v>
      </c>
      <c r="C2043" s="23" t="s">
        <v>9166</v>
      </c>
    </row>
    <row r="2044" spans="1:3" x14ac:dyDescent="0.3">
      <c r="A2044" s="3" t="s">
        <v>4713</v>
      </c>
      <c r="B2044" s="3">
        <v>7.1</v>
      </c>
      <c r="C2044" s="22" t="s">
        <v>9167</v>
      </c>
    </row>
    <row r="2045" spans="1:3" x14ac:dyDescent="0.3">
      <c r="A2045" s="4" t="s">
        <v>4716</v>
      </c>
      <c r="B2045" s="4">
        <v>7</v>
      </c>
      <c r="C2045" s="23" t="s">
        <v>8571</v>
      </c>
    </row>
    <row r="2046" spans="1:3" x14ac:dyDescent="0.3">
      <c r="A2046" s="3" t="s">
        <v>4718</v>
      </c>
      <c r="B2046" s="3">
        <v>7.1</v>
      </c>
      <c r="C2046" s="22" t="s">
        <v>8600</v>
      </c>
    </row>
    <row r="2047" spans="1:3" x14ac:dyDescent="0.3">
      <c r="A2047" s="4" t="s">
        <v>4720</v>
      </c>
      <c r="B2047" s="4">
        <v>6.4</v>
      </c>
      <c r="C2047" s="23" t="s">
        <v>8661</v>
      </c>
    </row>
    <row r="2048" spans="1:3" x14ac:dyDescent="0.3">
      <c r="A2048" s="3" t="s">
        <v>4722</v>
      </c>
      <c r="B2048" s="3">
        <v>7</v>
      </c>
      <c r="C2048" s="22" t="s">
        <v>8492</v>
      </c>
    </row>
    <row r="2049" spans="1:3" x14ac:dyDescent="0.3">
      <c r="A2049" s="4" t="s">
        <v>4724</v>
      </c>
      <c r="B2049" s="4">
        <v>6.2</v>
      </c>
      <c r="C2049" s="23" t="s">
        <v>8738</v>
      </c>
    </row>
    <row r="2050" spans="1:3" x14ac:dyDescent="0.3">
      <c r="A2050" s="3" t="s">
        <v>4726</v>
      </c>
      <c r="B2050" s="3">
        <v>7.5</v>
      </c>
      <c r="C2050" s="22" t="s">
        <v>8619</v>
      </c>
    </row>
    <row r="2051" spans="1:3" x14ac:dyDescent="0.3">
      <c r="A2051" s="4" t="s">
        <v>4729</v>
      </c>
      <c r="B2051" s="4">
        <v>4.8</v>
      </c>
      <c r="C2051" s="23" t="s">
        <v>8919</v>
      </c>
    </row>
    <row r="2052" spans="1:3" x14ac:dyDescent="0.3">
      <c r="A2052" s="3" t="s">
        <v>4731</v>
      </c>
      <c r="B2052" s="3">
        <v>8.1</v>
      </c>
      <c r="C2052" s="22" t="s">
        <v>9048</v>
      </c>
    </row>
    <row r="2053" spans="1:3" x14ac:dyDescent="0.3">
      <c r="A2053" s="4" t="s">
        <v>4733</v>
      </c>
      <c r="B2053" s="4">
        <v>7.3</v>
      </c>
      <c r="C2053" s="23" t="s">
        <v>8937</v>
      </c>
    </row>
    <row r="2054" spans="1:3" x14ac:dyDescent="0.3">
      <c r="A2054" s="3" t="s">
        <v>4735</v>
      </c>
      <c r="B2054" s="3">
        <v>5.8</v>
      </c>
      <c r="C2054" s="22" t="s">
        <v>8862</v>
      </c>
    </row>
    <row r="2055" spans="1:3" x14ac:dyDescent="0.3">
      <c r="A2055" s="4" t="s">
        <v>4737</v>
      </c>
      <c r="B2055" s="4">
        <v>7.6</v>
      </c>
      <c r="C2055" s="23" t="s">
        <v>9168</v>
      </c>
    </row>
    <row r="2056" spans="1:3" x14ac:dyDescent="0.3">
      <c r="A2056" s="3" t="s">
        <v>4739</v>
      </c>
      <c r="B2056" s="3">
        <v>5.6</v>
      </c>
      <c r="C2056" s="22" t="s">
        <v>9169</v>
      </c>
    </row>
    <row r="2057" spans="1:3" x14ac:dyDescent="0.3">
      <c r="A2057" s="4" t="s">
        <v>4742</v>
      </c>
      <c r="B2057" s="4">
        <v>7</v>
      </c>
      <c r="C2057" s="23" t="s">
        <v>8450</v>
      </c>
    </row>
    <row r="2058" spans="1:3" x14ac:dyDescent="0.3">
      <c r="A2058" s="3" t="s">
        <v>4744</v>
      </c>
      <c r="B2058" s="3">
        <v>6.6</v>
      </c>
      <c r="C2058" s="22" t="s">
        <v>8603</v>
      </c>
    </row>
    <row r="2059" spans="1:3" x14ac:dyDescent="0.3">
      <c r="A2059" s="4" t="s">
        <v>4746</v>
      </c>
      <c r="B2059" s="4">
        <v>6.5</v>
      </c>
      <c r="C2059" s="23" t="s">
        <v>8444</v>
      </c>
    </row>
    <row r="2060" spans="1:3" x14ac:dyDescent="0.3">
      <c r="A2060" s="3" t="s">
        <v>4748</v>
      </c>
      <c r="B2060" s="3">
        <v>7.4</v>
      </c>
      <c r="C2060" s="22" t="s">
        <v>9048</v>
      </c>
    </row>
    <row r="2061" spans="1:3" x14ac:dyDescent="0.3">
      <c r="A2061" s="4" t="s">
        <v>4750</v>
      </c>
      <c r="B2061" s="4">
        <v>4.5999999999999996</v>
      </c>
      <c r="C2061" s="23" t="s">
        <v>9170</v>
      </c>
    </row>
    <row r="2062" spans="1:3" x14ac:dyDescent="0.3">
      <c r="A2062" s="3" t="s">
        <v>4752</v>
      </c>
      <c r="B2062" s="3">
        <v>6.4</v>
      </c>
      <c r="C2062" s="22" t="s">
        <v>8947</v>
      </c>
    </row>
    <row r="2063" spans="1:3" x14ac:dyDescent="0.3">
      <c r="A2063" s="4" t="s">
        <v>4754</v>
      </c>
      <c r="B2063" s="4">
        <v>6</v>
      </c>
      <c r="C2063" s="23" t="s">
        <v>8817</v>
      </c>
    </row>
    <row r="2064" spans="1:3" x14ac:dyDescent="0.3">
      <c r="A2064" s="3" t="s">
        <v>4757</v>
      </c>
      <c r="B2064" s="3">
        <v>6.4</v>
      </c>
      <c r="C2064" s="22" t="s">
        <v>8928</v>
      </c>
    </row>
    <row r="2065" spans="1:3" x14ac:dyDescent="0.3">
      <c r="A2065" s="4" t="s">
        <v>4759</v>
      </c>
      <c r="B2065" s="4">
        <v>5.9</v>
      </c>
      <c r="C2065" s="23" t="s">
        <v>8499</v>
      </c>
    </row>
    <row r="2066" spans="1:3" x14ac:dyDescent="0.3">
      <c r="A2066" s="3" t="s">
        <v>4761</v>
      </c>
      <c r="B2066" s="3">
        <v>6.4</v>
      </c>
      <c r="C2066" s="22" t="s">
        <v>8389</v>
      </c>
    </row>
    <row r="2067" spans="1:3" x14ac:dyDescent="0.3">
      <c r="A2067" s="4" t="s">
        <v>4763</v>
      </c>
      <c r="B2067" s="4">
        <v>6.6</v>
      </c>
      <c r="C2067" s="23" t="s">
        <v>8730</v>
      </c>
    </row>
    <row r="2068" spans="1:3" x14ac:dyDescent="0.3">
      <c r="A2068" s="3" t="s">
        <v>4765</v>
      </c>
      <c r="B2068" s="3">
        <v>6.9</v>
      </c>
      <c r="C2068" s="22" t="s">
        <v>8902</v>
      </c>
    </row>
    <row r="2069" spans="1:3" x14ac:dyDescent="0.3">
      <c r="A2069" s="4" t="s">
        <v>4767</v>
      </c>
      <c r="B2069" s="4">
        <v>6.9</v>
      </c>
      <c r="C2069" s="23" t="s">
        <v>8321</v>
      </c>
    </row>
    <row r="2070" spans="1:3" x14ac:dyDescent="0.3">
      <c r="A2070" s="3" t="s">
        <v>4769</v>
      </c>
      <c r="B2070" s="3">
        <v>5.8</v>
      </c>
      <c r="C2070" s="22" t="s">
        <v>9171</v>
      </c>
    </row>
    <row r="2071" spans="1:3" x14ac:dyDescent="0.3">
      <c r="A2071" s="4" t="s">
        <v>4772</v>
      </c>
      <c r="B2071" s="4">
        <v>6.4</v>
      </c>
      <c r="C2071" s="23" t="s">
        <v>8900</v>
      </c>
    </row>
    <row r="2072" spans="1:3" x14ac:dyDescent="0.3">
      <c r="A2072" s="3" t="s">
        <v>4774</v>
      </c>
      <c r="B2072" s="3">
        <v>5.3</v>
      </c>
      <c r="C2072" s="22" t="s">
        <v>9172</v>
      </c>
    </row>
    <row r="2073" spans="1:3" x14ac:dyDescent="0.3">
      <c r="A2073" s="4" t="s">
        <v>4776</v>
      </c>
      <c r="B2073" s="4">
        <v>6.5</v>
      </c>
      <c r="C2073" s="23" t="s">
        <v>8742</v>
      </c>
    </row>
    <row r="2074" spans="1:3" x14ac:dyDescent="0.3">
      <c r="A2074" s="3" t="s">
        <v>4779</v>
      </c>
      <c r="B2074" s="3">
        <v>5.7</v>
      </c>
      <c r="C2074" s="22" t="s">
        <v>9173</v>
      </c>
    </row>
    <row r="2075" spans="1:3" x14ac:dyDescent="0.3">
      <c r="A2075" s="4" t="s">
        <v>4781</v>
      </c>
      <c r="B2075" s="4">
        <v>6.7</v>
      </c>
      <c r="C2075" s="23" t="s">
        <v>8656</v>
      </c>
    </row>
    <row r="2076" spans="1:3" x14ac:dyDescent="0.3">
      <c r="A2076" s="3" t="s">
        <v>4783</v>
      </c>
      <c r="B2076" s="3">
        <v>3.9</v>
      </c>
      <c r="C2076" s="22" t="s">
        <v>9174</v>
      </c>
    </row>
    <row r="2077" spans="1:3" x14ac:dyDescent="0.3">
      <c r="A2077" s="4" t="s">
        <v>4785</v>
      </c>
      <c r="B2077" s="4">
        <v>4.0999999999999996</v>
      </c>
      <c r="C2077" s="23" t="s">
        <v>9175</v>
      </c>
    </row>
    <row r="2078" spans="1:3" x14ac:dyDescent="0.3">
      <c r="A2078" s="3" t="s">
        <v>4787</v>
      </c>
      <c r="B2078" s="3">
        <v>6.2</v>
      </c>
      <c r="C2078" s="22" t="s">
        <v>9176</v>
      </c>
    </row>
    <row r="2079" spans="1:3" x14ac:dyDescent="0.3">
      <c r="A2079" s="4" t="s">
        <v>4789</v>
      </c>
      <c r="B2079" s="4">
        <v>3.8</v>
      </c>
      <c r="C2079" s="23" t="s">
        <v>8925</v>
      </c>
    </row>
    <row r="2080" spans="1:3" x14ac:dyDescent="0.3">
      <c r="A2080" s="3" t="s">
        <v>4791</v>
      </c>
      <c r="B2080" s="3">
        <v>5.0999999999999996</v>
      </c>
      <c r="C2080" s="22" t="s">
        <v>9059</v>
      </c>
    </row>
    <row r="2081" spans="1:3" x14ac:dyDescent="0.3">
      <c r="A2081" s="4" t="s">
        <v>4793</v>
      </c>
      <c r="B2081" s="4">
        <v>6.4</v>
      </c>
      <c r="C2081" s="23" t="s">
        <v>9177</v>
      </c>
    </row>
    <row r="2082" spans="1:3" x14ac:dyDescent="0.3">
      <c r="A2082" s="3" t="s">
        <v>4795</v>
      </c>
      <c r="B2082" s="3">
        <v>7.8</v>
      </c>
      <c r="C2082" s="22" t="s">
        <v>8423</v>
      </c>
    </row>
    <row r="2083" spans="1:3" x14ac:dyDescent="0.3">
      <c r="A2083" s="4" t="s">
        <v>4798</v>
      </c>
      <c r="B2083" s="4">
        <v>7.8</v>
      </c>
      <c r="C2083" s="23" t="s">
        <v>9178</v>
      </c>
    </row>
    <row r="2084" spans="1:3" x14ac:dyDescent="0.3">
      <c r="A2084" s="3" t="s">
        <v>4800</v>
      </c>
      <c r="B2084" s="3">
        <v>6.1</v>
      </c>
      <c r="C2084" s="22" t="s">
        <v>9179</v>
      </c>
    </row>
    <row r="2085" spans="1:3" x14ac:dyDescent="0.3">
      <c r="A2085" s="4" t="s">
        <v>4802</v>
      </c>
      <c r="B2085" s="4">
        <v>5.8</v>
      </c>
      <c r="C2085" s="23" t="s">
        <v>9063</v>
      </c>
    </row>
    <row r="2086" spans="1:3" x14ac:dyDescent="0.3">
      <c r="A2086" s="3" t="s">
        <v>4805</v>
      </c>
      <c r="B2086" s="3">
        <v>6.3</v>
      </c>
      <c r="C2086" s="22" t="s">
        <v>9180</v>
      </c>
    </row>
    <row r="2087" spans="1:3" x14ac:dyDescent="0.3">
      <c r="A2087" s="4" t="s">
        <v>4808</v>
      </c>
      <c r="B2087" s="4">
        <v>7.7</v>
      </c>
      <c r="C2087" s="23" t="s">
        <v>8703</v>
      </c>
    </row>
    <row r="2088" spans="1:3" x14ac:dyDescent="0.3">
      <c r="A2088" s="3" t="s">
        <v>4810</v>
      </c>
      <c r="B2088" s="3">
        <v>5.4</v>
      </c>
      <c r="C2088" s="22" t="s">
        <v>9181</v>
      </c>
    </row>
    <row r="2089" spans="1:3" x14ac:dyDescent="0.3">
      <c r="A2089" s="4" t="s">
        <v>4812</v>
      </c>
      <c r="B2089" s="4">
        <v>7.3</v>
      </c>
      <c r="C2089" s="23" t="s">
        <v>9038</v>
      </c>
    </row>
    <row r="2090" spans="1:3" x14ac:dyDescent="0.3">
      <c r="A2090" s="3" t="s">
        <v>4814</v>
      </c>
      <c r="B2090" s="3">
        <v>6.8</v>
      </c>
      <c r="C2090" s="22" t="s">
        <v>8715</v>
      </c>
    </row>
    <row r="2091" spans="1:3" x14ac:dyDescent="0.3">
      <c r="A2091" s="4" t="s">
        <v>4816</v>
      </c>
      <c r="B2091" s="4">
        <v>7.3</v>
      </c>
      <c r="C2091" s="23" t="s">
        <v>8425</v>
      </c>
    </row>
    <row r="2092" spans="1:3" x14ac:dyDescent="0.3">
      <c r="A2092" s="3" t="s">
        <v>4818</v>
      </c>
      <c r="B2092" s="3">
        <v>6.5</v>
      </c>
      <c r="C2092" s="22" t="s">
        <v>8524</v>
      </c>
    </row>
    <row r="2093" spans="1:3" x14ac:dyDescent="0.3">
      <c r="A2093" s="4" t="s">
        <v>4820</v>
      </c>
      <c r="B2093" s="4">
        <v>7.2</v>
      </c>
      <c r="C2093" s="23" t="s">
        <v>8825</v>
      </c>
    </row>
    <row r="2094" spans="1:3" x14ac:dyDescent="0.3">
      <c r="A2094" s="3" t="s">
        <v>4822</v>
      </c>
      <c r="B2094" s="3">
        <v>6.7</v>
      </c>
      <c r="C2094" s="22" t="s">
        <v>9182</v>
      </c>
    </row>
    <row r="2095" spans="1:3" x14ac:dyDescent="0.3">
      <c r="A2095" s="4" t="s">
        <v>4824</v>
      </c>
      <c r="B2095" s="4">
        <v>6.3</v>
      </c>
      <c r="C2095" s="23" t="s">
        <v>8989</v>
      </c>
    </row>
    <row r="2096" spans="1:3" x14ac:dyDescent="0.3">
      <c r="A2096" s="3" t="s">
        <v>4827</v>
      </c>
      <c r="B2096" s="3">
        <v>5.9</v>
      </c>
      <c r="C2096" s="22" t="s">
        <v>8619</v>
      </c>
    </row>
    <row r="2097" spans="1:3" x14ac:dyDescent="0.3">
      <c r="A2097" s="4" t="s">
        <v>4829</v>
      </c>
      <c r="B2097" s="4">
        <v>7.8</v>
      </c>
      <c r="C2097" s="23" t="s">
        <v>9183</v>
      </c>
    </row>
    <row r="2098" spans="1:3" x14ac:dyDescent="0.3">
      <c r="A2098" s="3" t="s">
        <v>4831</v>
      </c>
      <c r="B2098" s="3">
        <v>7.4</v>
      </c>
      <c r="C2098" s="22" t="s">
        <v>8482</v>
      </c>
    </row>
    <row r="2099" spans="1:3" x14ac:dyDescent="0.3">
      <c r="A2099" s="4" t="s">
        <v>4834</v>
      </c>
      <c r="B2099" s="4">
        <v>4.8</v>
      </c>
      <c r="C2099" s="23" t="s">
        <v>9184</v>
      </c>
    </row>
    <row r="2100" spans="1:3" x14ac:dyDescent="0.3">
      <c r="A2100" s="3" t="s">
        <v>4837</v>
      </c>
      <c r="B2100" s="3">
        <v>6.3</v>
      </c>
      <c r="C2100" s="22" t="s">
        <v>8648</v>
      </c>
    </row>
    <row r="2101" spans="1:3" x14ac:dyDescent="0.3">
      <c r="A2101" s="4" t="s">
        <v>4839</v>
      </c>
      <c r="B2101" s="4">
        <v>7.8</v>
      </c>
      <c r="C2101" s="23" t="s">
        <v>8656</v>
      </c>
    </row>
    <row r="2102" spans="1:3" x14ac:dyDescent="0.3">
      <c r="A2102" s="3" t="s">
        <v>4841</v>
      </c>
      <c r="B2102" s="3">
        <v>7.5</v>
      </c>
      <c r="C2102" s="22" t="s">
        <v>8770</v>
      </c>
    </row>
    <row r="2103" spans="1:3" x14ac:dyDescent="0.3">
      <c r="A2103" s="4" t="s">
        <v>4844</v>
      </c>
      <c r="B2103" s="4">
        <v>6</v>
      </c>
      <c r="C2103" s="23" t="s">
        <v>9088</v>
      </c>
    </row>
    <row r="2104" spans="1:3" x14ac:dyDescent="0.3">
      <c r="A2104" s="3" t="s">
        <v>4846</v>
      </c>
      <c r="B2104" s="3">
        <v>6.8</v>
      </c>
      <c r="C2104" s="22" t="s">
        <v>8406</v>
      </c>
    </row>
    <row r="2105" spans="1:3" x14ac:dyDescent="0.3">
      <c r="A2105" s="4" t="s">
        <v>4848</v>
      </c>
      <c r="B2105" s="4">
        <v>6.6</v>
      </c>
      <c r="C2105" s="23" t="s">
        <v>9057</v>
      </c>
    </row>
    <row r="2106" spans="1:3" x14ac:dyDescent="0.3">
      <c r="A2106" s="3" t="s">
        <v>4850</v>
      </c>
      <c r="B2106" s="3">
        <v>4.5999999999999996</v>
      </c>
      <c r="C2106" s="22" t="s">
        <v>9185</v>
      </c>
    </row>
    <row r="2107" spans="1:3" x14ac:dyDescent="0.3">
      <c r="A2107" s="4" t="s">
        <v>4852</v>
      </c>
      <c r="B2107" s="4">
        <v>7.1</v>
      </c>
      <c r="C2107" s="23" t="s">
        <v>8296</v>
      </c>
    </row>
    <row r="2108" spans="1:3" x14ac:dyDescent="0.3">
      <c r="A2108" s="3" t="s">
        <v>4854</v>
      </c>
      <c r="B2108" s="3">
        <v>6.1</v>
      </c>
      <c r="C2108" s="22" t="s">
        <v>9186</v>
      </c>
    </row>
    <row r="2109" spans="1:3" x14ac:dyDescent="0.3">
      <c r="A2109" s="4" t="s">
        <v>4856</v>
      </c>
      <c r="B2109" s="4">
        <v>6.7</v>
      </c>
      <c r="C2109" s="23" t="s">
        <v>8473</v>
      </c>
    </row>
    <row r="2110" spans="1:3" x14ac:dyDescent="0.3">
      <c r="A2110" s="3" t="s">
        <v>4859</v>
      </c>
      <c r="B2110" s="3">
        <v>7.1</v>
      </c>
      <c r="C2110" s="22" t="s">
        <v>9187</v>
      </c>
    </row>
    <row r="2111" spans="1:3" x14ac:dyDescent="0.3">
      <c r="A2111" s="4" t="s">
        <v>4861</v>
      </c>
      <c r="B2111" s="4">
        <v>5.8</v>
      </c>
      <c r="C2111" s="23" t="s">
        <v>9188</v>
      </c>
    </row>
    <row r="2112" spans="1:3" x14ac:dyDescent="0.3">
      <c r="A2112" s="3" t="s">
        <v>4863</v>
      </c>
      <c r="B2112" s="3">
        <v>6.7</v>
      </c>
      <c r="C2112" s="22" t="s">
        <v>9072</v>
      </c>
    </row>
    <row r="2113" spans="1:3" x14ac:dyDescent="0.3">
      <c r="A2113" s="4" t="s">
        <v>4865</v>
      </c>
      <c r="B2113" s="4">
        <v>5.8</v>
      </c>
      <c r="C2113" s="23" t="s">
        <v>9189</v>
      </c>
    </row>
    <row r="2114" spans="1:3" x14ac:dyDescent="0.3">
      <c r="A2114" s="3" t="s">
        <v>4867</v>
      </c>
      <c r="B2114" s="3">
        <v>6.8</v>
      </c>
      <c r="C2114" s="22" t="s">
        <v>8764</v>
      </c>
    </row>
    <row r="2115" spans="1:3" x14ac:dyDescent="0.3">
      <c r="A2115" s="4" t="s">
        <v>4869</v>
      </c>
      <c r="B2115" s="4">
        <v>8.5</v>
      </c>
      <c r="C2115" s="23" t="s">
        <v>8332</v>
      </c>
    </row>
    <row r="2116" spans="1:3" x14ac:dyDescent="0.3">
      <c r="A2116" s="3" t="s">
        <v>4871</v>
      </c>
      <c r="B2116" s="3">
        <v>6.6</v>
      </c>
      <c r="C2116" s="22" t="s">
        <v>8419</v>
      </c>
    </row>
    <row r="2117" spans="1:3" x14ac:dyDescent="0.3">
      <c r="A2117" s="4" t="s">
        <v>4873</v>
      </c>
      <c r="B2117" s="4">
        <v>7.7</v>
      </c>
      <c r="C2117" s="23" t="s">
        <v>8332</v>
      </c>
    </row>
    <row r="2118" spans="1:3" x14ac:dyDescent="0.3">
      <c r="A2118" s="3" t="s">
        <v>4875</v>
      </c>
      <c r="B2118" s="3">
        <v>4.7</v>
      </c>
      <c r="C2118" s="22" t="s">
        <v>9190</v>
      </c>
    </row>
    <row r="2119" spans="1:3" x14ac:dyDescent="0.3">
      <c r="A2119" s="4" t="s">
        <v>4877</v>
      </c>
      <c r="B2119" s="4">
        <v>6.4</v>
      </c>
      <c r="C2119" s="23" t="s">
        <v>8458</v>
      </c>
    </row>
    <row r="2120" spans="1:3" x14ac:dyDescent="0.3">
      <c r="A2120" s="3" t="s">
        <v>4879</v>
      </c>
      <c r="B2120" s="3">
        <v>5.5</v>
      </c>
      <c r="C2120" s="22" t="s">
        <v>8532</v>
      </c>
    </row>
    <row r="2121" spans="1:3" x14ac:dyDescent="0.3">
      <c r="A2121" s="4" t="s">
        <v>4882</v>
      </c>
      <c r="B2121" s="4">
        <v>8.6</v>
      </c>
      <c r="C2121" s="23" t="s">
        <v>8543</v>
      </c>
    </row>
    <row r="2122" spans="1:3" x14ac:dyDescent="0.3">
      <c r="A2122" s="3" t="s">
        <v>4884</v>
      </c>
      <c r="B2122" s="3">
        <v>7</v>
      </c>
      <c r="C2122" s="22" t="s">
        <v>9191</v>
      </c>
    </row>
    <row r="2123" spans="1:3" x14ac:dyDescent="0.3">
      <c r="A2123" s="4" t="s">
        <v>4886</v>
      </c>
      <c r="B2123" s="4">
        <v>7.1</v>
      </c>
      <c r="C2123" s="23" t="s">
        <v>9192</v>
      </c>
    </row>
    <row r="2124" spans="1:3" x14ac:dyDescent="0.3">
      <c r="A2124" s="3" t="s">
        <v>4889</v>
      </c>
      <c r="B2124" s="3">
        <v>5.7</v>
      </c>
      <c r="C2124" s="22" t="s">
        <v>9193</v>
      </c>
    </row>
    <row r="2125" spans="1:3" x14ac:dyDescent="0.3">
      <c r="A2125" s="4" t="s">
        <v>4892</v>
      </c>
      <c r="B2125" s="4">
        <v>3.7</v>
      </c>
      <c r="C2125" s="23" t="s">
        <v>8447</v>
      </c>
    </row>
    <row r="2126" spans="1:3" x14ac:dyDescent="0.3">
      <c r="A2126" s="3" t="s">
        <v>4895</v>
      </c>
      <c r="B2126" s="3">
        <v>7.5</v>
      </c>
      <c r="C2126" s="22" t="s">
        <v>8327</v>
      </c>
    </row>
    <row r="2127" spans="1:3" x14ac:dyDescent="0.3">
      <c r="A2127" s="4" t="s">
        <v>4897</v>
      </c>
      <c r="B2127" s="4">
        <v>4.5999999999999996</v>
      </c>
      <c r="C2127" s="23" t="s">
        <v>8649</v>
      </c>
    </row>
    <row r="2128" spans="1:3" x14ac:dyDescent="0.3">
      <c r="A2128" s="3" t="s">
        <v>4899</v>
      </c>
      <c r="B2128" s="3">
        <v>4.9000000000000004</v>
      </c>
      <c r="C2128" s="22" t="s">
        <v>9047</v>
      </c>
    </row>
    <row r="2129" spans="1:3" x14ac:dyDescent="0.3">
      <c r="A2129" s="4" t="s">
        <v>4901</v>
      </c>
      <c r="B2129" s="4">
        <v>6.9</v>
      </c>
      <c r="C2129" s="23" t="s">
        <v>8533</v>
      </c>
    </row>
    <row r="2130" spans="1:3" x14ac:dyDescent="0.3">
      <c r="A2130" s="3" t="s">
        <v>4903</v>
      </c>
      <c r="B2130" s="3">
        <v>7.1</v>
      </c>
      <c r="C2130" s="22" t="s">
        <v>9069</v>
      </c>
    </row>
    <row r="2131" spans="1:3" x14ac:dyDescent="0.3">
      <c r="A2131" s="4" t="s">
        <v>4905</v>
      </c>
      <c r="B2131" s="4">
        <v>5.8</v>
      </c>
      <c r="C2131" s="23" t="s">
        <v>8509</v>
      </c>
    </row>
    <row r="2132" spans="1:3" x14ac:dyDescent="0.3">
      <c r="A2132" s="3" t="s">
        <v>4907</v>
      </c>
      <c r="B2132" s="3">
        <v>7</v>
      </c>
      <c r="C2132" s="22" t="s">
        <v>8817</v>
      </c>
    </row>
    <row r="2133" spans="1:3" x14ac:dyDescent="0.3">
      <c r="A2133" s="4" t="s">
        <v>4909</v>
      </c>
      <c r="B2133" s="4">
        <v>5.4</v>
      </c>
      <c r="C2133" s="23" t="s">
        <v>8632</v>
      </c>
    </row>
    <row r="2134" spans="1:3" x14ac:dyDescent="0.3">
      <c r="A2134" s="3" t="s">
        <v>4911</v>
      </c>
      <c r="B2134" s="3">
        <v>7.3</v>
      </c>
      <c r="C2134" s="22" t="s">
        <v>8983</v>
      </c>
    </row>
    <row r="2135" spans="1:3" x14ac:dyDescent="0.3">
      <c r="A2135" s="4" t="s">
        <v>4913</v>
      </c>
      <c r="B2135" s="4">
        <v>7.1</v>
      </c>
      <c r="C2135" s="23" t="s">
        <v>8519</v>
      </c>
    </row>
    <row r="2136" spans="1:3" x14ac:dyDescent="0.3">
      <c r="A2136" s="3" t="s">
        <v>4915</v>
      </c>
      <c r="B2136" s="3">
        <v>5.8</v>
      </c>
      <c r="C2136" s="22" t="s">
        <v>8830</v>
      </c>
    </row>
    <row r="2137" spans="1:3" x14ac:dyDescent="0.3">
      <c r="A2137" s="4" t="s">
        <v>4917</v>
      </c>
      <c r="B2137" s="4">
        <v>8.1</v>
      </c>
      <c r="C2137" s="23" t="s">
        <v>9194</v>
      </c>
    </row>
    <row r="2138" spans="1:3" x14ac:dyDescent="0.3">
      <c r="A2138" s="3" t="s">
        <v>4919</v>
      </c>
      <c r="B2138" s="3">
        <v>5.7</v>
      </c>
      <c r="C2138" s="22" t="s">
        <v>9013</v>
      </c>
    </row>
    <row r="2139" spans="1:3" x14ac:dyDescent="0.3">
      <c r="A2139" s="4" t="s">
        <v>4922</v>
      </c>
      <c r="B2139" s="4">
        <v>4.4000000000000004</v>
      </c>
      <c r="C2139" s="23" t="s">
        <v>9088</v>
      </c>
    </row>
    <row r="2140" spans="1:3" x14ac:dyDescent="0.3">
      <c r="A2140" s="3" t="s">
        <v>4924</v>
      </c>
      <c r="B2140" s="3">
        <v>7.9</v>
      </c>
      <c r="C2140" s="22" t="s">
        <v>8318</v>
      </c>
    </row>
    <row r="2141" spans="1:3" x14ac:dyDescent="0.3">
      <c r="A2141" s="4" t="s">
        <v>4926</v>
      </c>
      <c r="B2141" s="4">
        <v>7.6</v>
      </c>
      <c r="C2141" s="23" t="s">
        <v>9195</v>
      </c>
    </row>
    <row r="2142" spans="1:3" x14ac:dyDescent="0.3">
      <c r="A2142" s="3" t="s">
        <v>4928</v>
      </c>
      <c r="B2142" s="3">
        <v>4.8</v>
      </c>
      <c r="C2142" s="22" t="s">
        <v>9088</v>
      </c>
    </row>
    <row r="2143" spans="1:3" x14ac:dyDescent="0.3">
      <c r="A2143" s="4" t="s">
        <v>4930</v>
      </c>
      <c r="B2143" s="4">
        <v>7.8</v>
      </c>
      <c r="C2143" s="23" t="s">
        <v>8703</v>
      </c>
    </row>
    <row r="2144" spans="1:3" x14ac:dyDescent="0.3">
      <c r="A2144" s="3" t="s">
        <v>4932</v>
      </c>
      <c r="B2144" s="3">
        <v>6.7</v>
      </c>
      <c r="C2144" s="22" t="s">
        <v>9196</v>
      </c>
    </row>
    <row r="2145" spans="1:3" x14ac:dyDescent="0.3">
      <c r="A2145" s="4" t="s">
        <v>4934</v>
      </c>
      <c r="B2145" s="4">
        <v>2.7</v>
      </c>
      <c r="C2145" s="23" t="s">
        <v>9197</v>
      </c>
    </row>
    <row r="2146" spans="1:3" x14ac:dyDescent="0.3">
      <c r="A2146" s="3" t="s">
        <v>4936</v>
      </c>
      <c r="B2146" s="3">
        <v>5.8</v>
      </c>
      <c r="C2146" s="22" t="s">
        <v>9198</v>
      </c>
    </row>
    <row r="2147" spans="1:3" x14ac:dyDescent="0.3">
      <c r="A2147" s="4" t="s">
        <v>4939</v>
      </c>
      <c r="B2147" s="4">
        <v>7.5</v>
      </c>
      <c r="C2147" s="23" t="s">
        <v>9199</v>
      </c>
    </row>
    <row r="2148" spans="1:3" x14ac:dyDescent="0.3">
      <c r="A2148" s="3" t="s">
        <v>4941</v>
      </c>
      <c r="B2148" s="3">
        <v>5.4</v>
      </c>
      <c r="C2148" s="22" t="s">
        <v>9200</v>
      </c>
    </row>
    <row r="2149" spans="1:3" x14ac:dyDescent="0.3">
      <c r="A2149" s="4" t="s">
        <v>4943</v>
      </c>
      <c r="B2149" s="4">
        <v>4.0999999999999996</v>
      </c>
      <c r="C2149" s="23" t="s">
        <v>8865</v>
      </c>
    </row>
    <row r="2150" spans="1:3" x14ac:dyDescent="0.3">
      <c r="A2150" s="3" t="s">
        <v>4945</v>
      </c>
      <c r="B2150" s="3">
        <v>5.9</v>
      </c>
      <c r="C2150" s="22" t="s">
        <v>9201</v>
      </c>
    </row>
    <row r="2151" spans="1:3" x14ac:dyDescent="0.3">
      <c r="A2151" s="4" t="s">
        <v>4947</v>
      </c>
      <c r="B2151" s="4">
        <v>6.3</v>
      </c>
      <c r="C2151" s="23" t="s">
        <v>9202</v>
      </c>
    </row>
    <row r="2152" spans="1:3" x14ac:dyDescent="0.3">
      <c r="A2152" s="3" t="s">
        <v>4949</v>
      </c>
      <c r="B2152" s="3">
        <v>7</v>
      </c>
      <c r="C2152" s="22" t="s">
        <v>8737</v>
      </c>
    </row>
    <row r="2153" spans="1:3" x14ac:dyDescent="0.3">
      <c r="A2153" s="4" t="s">
        <v>4951</v>
      </c>
      <c r="B2153" s="4">
        <v>6.8</v>
      </c>
      <c r="C2153" s="23" t="s">
        <v>8959</v>
      </c>
    </row>
    <row r="2154" spans="1:3" x14ac:dyDescent="0.3">
      <c r="A2154" s="3" t="s">
        <v>4953</v>
      </c>
      <c r="B2154" s="3">
        <v>2.2999999999999998</v>
      </c>
      <c r="C2154" s="22" t="s">
        <v>8998</v>
      </c>
    </row>
    <row r="2155" spans="1:3" x14ac:dyDescent="0.3">
      <c r="A2155" s="4" t="s">
        <v>4955</v>
      </c>
      <c r="B2155" s="4">
        <v>6.9</v>
      </c>
      <c r="C2155" s="23" t="s">
        <v>8506</v>
      </c>
    </row>
    <row r="2156" spans="1:3" x14ac:dyDescent="0.3">
      <c r="A2156" s="3" t="s">
        <v>4957</v>
      </c>
      <c r="B2156" s="3">
        <v>8.1</v>
      </c>
      <c r="C2156" s="22" t="s">
        <v>9203</v>
      </c>
    </row>
    <row r="2157" spans="1:3" x14ac:dyDescent="0.3">
      <c r="A2157" s="4" t="s">
        <v>4959</v>
      </c>
      <c r="B2157" s="4">
        <v>6.1</v>
      </c>
      <c r="C2157" s="23" t="s">
        <v>9149</v>
      </c>
    </row>
    <row r="2158" spans="1:3" x14ac:dyDescent="0.3">
      <c r="A2158" s="3" t="s">
        <v>4962</v>
      </c>
      <c r="B2158" s="3">
        <v>5</v>
      </c>
      <c r="C2158" s="22" t="s">
        <v>9204</v>
      </c>
    </row>
    <row r="2159" spans="1:3" x14ac:dyDescent="0.3">
      <c r="A2159" s="4" t="s">
        <v>4965</v>
      </c>
      <c r="B2159" s="4">
        <v>5.5</v>
      </c>
      <c r="C2159" s="23" t="s">
        <v>8912</v>
      </c>
    </row>
    <row r="2160" spans="1:3" x14ac:dyDescent="0.3">
      <c r="A2160" s="3" t="s">
        <v>4967</v>
      </c>
      <c r="B2160" s="3">
        <v>6.2</v>
      </c>
      <c r="C2160" s="22" t="s">
        <v>8734</v>
      </c>
    </row>
    <row r="2161" spans="1:3" x14ac:dyDescent="0.3">
      <c r="A2161" s="4" t="s">
        <v>4969</v>
      </c>
      <c r="B2161" s="4">
        <v>6.2</v>
      </c>
      <c r="C2161" s="23" t="s">
        <v>8570</v>
      </c>
    </row>
    <row r="2162" spans="1:3" x14ac:dyDescent="0.3">
      <c r="A2162" s="3" t="s">
        <v>4971</v>
      </c>
      <c r="B2162" s="3">
        <v>5.9</v>
      </c>
      <c r="C2162" s="22" t="s">
        <v>9205</v>
      </c>
    </row>
    <row r="2163" spans="1:3" x14ac:dyDescent="0.3">
      <c r="A2163" s="4" t="s">
        <v>4973</v>
      </c>
      <c r="B2163" s="4">
        <v>6.3</v>
      </c>
      <c r="C2163" s="23" t="s">
        <v>9206</v>
      </c>
    </row>
    <row r="2164" spans="1:3" x14ac:dyDescent="0.3">
      <c r="A2164" s="3" t="s">
        <v>4975</v>
      </c>
      <c r="B2164" s="3">
        <v>6.7</v>
      </c>
      <c r="C2164" s="22" t="s">
        <v>9207</v>
      </c>
    </row>
    <row r="2165" spans="1:3" x14ac:dyDescent="0.3">
      <c r="A2165" s="4" t="s">
        <v>4977</v>
      </c>
      <c r="B2165" s="4">
        <v>3.5</v>
      </c>
      <c r="C2165" s="23" t="s">
        <v>8998</v>
      </c>
    </row>
    <row r="2166" spans="1:3" x14ac:dyDescent="0.3">
      <c r="A2166" s="3" t="s">
        <v>4979</v>
      </c>
      <c r="B2166" s="3">
        <v>7.5</v>
      </c>
      <c r="C2166" s="22" t="s">
        <v>8407</v>
      </c>
    </row>
    <row r="2167" spans="1:3" x14ac:dyDescent="0.3">
      <c r="A2167" s="4" t="s">
        <v>4981</v>
      </c>
      <c r="B2167" s="4">
        <v>6.6</v>
      </c>
      <c r="C2167" s="23" t="s">
        <v>8374</v>
      </c>
    </row>
    <row r="2168" spans="1:3" x14ac:dyDescent="0.3">
      <c r="A2168" s="3" t="s">
        <v>4983</v>
      </c>
      <c r="B2168" s="3">
        <v>7.5</v>
      </c>
      <c r="C2168" s="22" t="s">
        <v>9208</v>
      </c>
    </row>
    <row r="2169" spans="1:3" x14ac:dyDescent="0.3">
      <c r="A2169" s="4" t="s">
        <v>4985</v>
      </c>
      <c r="B2169" s="4">
        <v>7.2</v>
      </c>
      <c r="C2169" s="23" t="s">
        <v>9183</v>
      </c>
    </row>
    <row r="2170" spans="1:3" x14ac:dyDescent="0.3">
      <c r="A2170" s="3" t="s">
        <v>4987</v>
      </c>
      <c r="B2170" s="3">
        <v>4.8</v>
      </c>
      <c r="C2170" s="22" t="s">
        <v>8965</v>
      </c>
    </row>
    <row r="2171" spans="1:3" x14ac:dyDescent="0.3">
      <c r="A2171" s="4" t="s">
        <v>4989</v>
      </c>
      <c r="B2171" s="4">
        <v>6.6</v>
      </c>
      <c r="C2171" s="23" t="s">
        <v>8523</v>
      </c>
    </row>
    <row r="2172" spans="1:3" x14ac:dyDescent="0.3">
      <c r="A2172" s="3" t="s">
        <v>4991</v>
      </c>
      <c r="B2172" s="3">
        <v>3.5</v>
      </c>
      <c r="C2172" s="22" t="s">
        <v>8872</v>
      </c>
    </row>
    <row r="2173" spans="1:3" x14ac:dyDescent="0.3">
      <c r="A2173" s="4" t="s">
        <v>4993</v>
      </c>
      <c r="B2173" s="4">
        <v>6.7</v>
      </c>
      <c r="C2173" s="23" t="s">
        <v>9209</v>
      </c>
    </row>
    <row r="2174" spans="1:3" x14ac:dyDescent="0.3">
      <c r="A2174" s="3" t="s">
        <v>4995</v>
      </c>
      <c r="B2174" s="3">
        <v>7.6</v>
      </c>
      <c r="C2174" s="22" t="s">
        <v>8818</v>
      </c>
    </row>
    <row r="2175" spans="1:3" x14ac:dyDescent="0.3">
      <c r="A2175" s="4" t="s">
        <v>4997</v>
      </c>
      <c r="B2175" s="4">
        <v>6.3</v>
      </c>
      <c r="C2175" s="23" t="s">
        <v>8347</v>
      </c>
    </row>
    <row r="2176" spans="1:3" x14ac:dyDescent="0.3">
      <c r="A2176" s="3" t="s">
        <v>4999</v>
      </c>
      <c r="B2176" s="3">
        <v>5.5</v>
      </c>
      <c r="C2176" s="22" t="s">
        <v>9210</v>
      </c>
    </row>
    <row r="2177" spans="1:3" x14ac:dyDescent="0.3">
      <c r="A2177" s="4" t="s">
        <v>5001</v>
      </c>
      <c r="B2177" s="4">
        <v>6.3</v>
      </c>
      <c r="C2177" s="23" t="s">
        <v>9211</v>
      </c>
    </row>
    <row r="2178" spans="1:3" x14ac:dyDescent="0.3">
      <c r="A2178" s="3" t="s">
        <v>5003</v>
      </c>
      <c r="B2178" s="3">
        <v>6.5</v>
      </c>
      <c r="C2178" s="22" t="s">
        <v>9212</v>
      </c>
    </row>
    <row r="2179" spans="1:3" x14ac:dyDescent="0.3">
      <c r="A2179" s="4" t="s">
        <v>5005</v>
      </c>
      <c r="B2179" s="4">
        <v>5.6</v>
      </c>
      <c r="C2179" s="23" t="s">
        <v>9213</v>
      </c>
    </row>
    <row r="2180" spans="1:3" x14ac:dyDescent="0.3">
      <c r="A2180" s="3" t="s">
        <v>5007</v>
      </c>
      <c r="B2180" s="3">
        <v>6.9</v>
      </c>
      <c r="C2180" s="22" t="s">
        <v>8690</v>
      </c>
    </row>
    <row r="2181" spans="1:3" x14ac:dyDescent="0.3">
      <c r="A2181" s="4" t="s">
        <v>5009</v>
      </c>
      <c r="B2181" s="4">
        <v>7.6</v>
      </c>
      <c r="C2181" s="23" t="s">
        <v>8784</v>
      </c>
    </row>
    <row r="2182" spans="1:3" x14ac:dyDescent="0.3">
      <c r="A2182" s="3" t="s">
        <v>5011</v>
      </c>
      <c r="B2182" s="3">
        <v>3.9</v>
      </c>
      <c r="C2182" s="22" t="s">
        <v>9214</v>
      </c>
    </row>
    <row r="2183" spans="1:3" x14ac:dyDescent="0.3">
      <c r="A2183" s="4" t="s">
        <v>5013</v>
      </c>
      <c r="B2183" s="4">
        <v>6.1</v>
      </c>
      <c r="C2183" s="23" t="s">
        <v>9121</v>
      </c>
    </row>
    <row r="2184" spans="1:3" x14ac:dyDescent="0.3">
      <c r="A2184" s="3" t="s">
        <v>5015</v>
      </c>
      <c r="B2184" s="3">
        <v>7.3</v>
      </c>
      <c r="C2184" s="22" t="s">
        <v>8439</v>
      </c>
    </row>
    <row r="2185" spans="1:3" x14ac:dyDescent="0.3">
      <c r="A2185" s="4" t="s">
        <v>5017</v>
      </c>
      <c r="B2185" s="4">
        <v>8.3000000000000007</v>
      </c>
      <c r="C2185" s="23" t="s">
        <v>8445</v>
      </c>
    </row>
    <row r="2186" spans="1:3" x14ac:dyDescent="0.3">
      <c r="A2186" s="3" t="s">
        <v>5019</v>
      </c>
      <c r="B2186" s="3">
        <v>5.8</v>
      </c>
      <c r="C2186" s="22" t="s">
        <v>8738</v>
      </c>
    </row>
    <row r="2187" spans="1:3" x14ac:dyDescent="0.3">
      <c r="A2187" s="4" t="s">
        <v>5022</v>
      </c>
      <c r="B2187" s="4">
        <v>6.8</v>
      </c>
      <c r="C2187" s="23" t="s">
        <v>8344</v>
      </c>
    </row>
    <row r="2188" spans="1:3" x14ac:dyDescent="0.3">
      <c r="A2188" s="3" t="s">
        <v>5024</v>
      </c>
      <c r="B2188" s="3">
        <v>7</v>
      </c>
      <c r="C2188" s="22" t="s">
        <v>8522</v>
      </c>
    </row>
    <row r="2189" spans="1:3" x14ac:dyDescent="0.3">
      <c r="A2189" s="4" t="s">
        <v>5026</v>
      </c>
      <c r="B2189" s="4">
        <v>5.9</v>
      </c>
      <c r="C2189" s="23" t="s">
        <v>9215</v>
      </c>
    </row>
    <row r="2190" spans="1:3" x14ac:dyDescent="0.3">
      <c r="A2190" s="3" t="s">
        <v>5028</v>
      </c>
      <c r="B2190" s="3">
        <v>6.5</v>
      </c>
      <c r="C2190" s="22" t="s">
        <v>9216</v>
      </c>
    </row>
    <row r="2191" spans="1:3" x14ac:dyDescent="0.3">
      <c r="A2191" s="4" t="s">
        <v>5031</v>
      </c>
      <c r="B2191" s="4">
        <v>6.4</v>
      </c>
      <c r="C2191" s="23" t="s">
        <v>9217</v>
      </c>
    </row>
    <row r="2192" spans="1:3" x14ac:dyDescent="0.3">
      <c r="A2192" s="3" t="s">
        <v>5034</v>
      </c>
      <c r="B2192" s="3">
        <v>5.8</v>
      </c>
      <c r="C2192" s="22" t="s">
        <v>9218</v>
      </c>
    </row>
    <row r="2193" spans="1:3" x14ac:dyDescent="0.3">
      <c r="A2193" s="4" t="s">
        <v>5036</v>
      </c>
      <c r="B2193" s="4">
        <v>5.0999999999999996</v>
      </c>
      <c r="C2193" s="23" t="s">
        <v>9219</v>
      </c>
    </row>
    <row r="2194" spans="1:3" x14ac:dyDescent="0.3">
      <c r="A2194" s="3" t="s">
        <v>5039</v>
      </c>
      <c r="B2194" s="3">
        <v>6.8</v>
      </c>
      <c r="C2194" s="22" t="s">
        <v>8807</v>
      </c>
    </row>
    <row r="2195" spans="1:3" x14ac:dyDescent="0.3">
      <c r="A2195" s="4" t="s">
        <v>5041</v>
      </c>
      <c r="B2195" s="4">
        <v>5.3</v>
      </c>
      <c r="C2195" s="23" t="s">
        <v>9220</v>
      </c>
    </row>
    <row r="2196" spans="1:3" x14ac:dyDescent="0.3">
      <c r="A2196" s="3" t="s">
        <v>5045</v>
      </c>
      <c r="B2196" s="3">
        <v>5.3</v>
      </c>
      <c r="C2196" s="22" t="s">
        <v>8493</v>
      </c>
    </row>
    <row r="2197" spans="1:3" x14ac:dyDescent="0.3">
      <c r="A2197" s="4" t="s">
        <v>5048</v>
      </c>
      <c r="B2197" s="4">
        <v>6.4</v>
      </c>
      <c r="C2197" s="23" t="s">
        <v>9221</v>
      </c>
    </row>
    <row r="2198" spans="1:3" x14ac:dyDescent="0.3">
      <c r="A2198" s="3" t="s">
        <v>5050</v>
      </c>
      <c r="B2198" s="3">
        <v>4.9000000000000004</v>
      </c>
      <c r="C2198" s="22" t="s">
        <v>8716</v>
      </c>
    </row>
    <row r="2199" spans="1:3" x14ac:dyDescent="0.3">
      <c r="A2199" s="4" t="s">
        <v>5052</v>
      </c>
      <c r="B2199" s="4">
        <v>6.8</v>
      </c>
      <c r="C2199" s="23" t="s">
        <v>8818</v>
      </c>
    </row>
    <row r="2200" spans="1:3" x14ac:dyDescent="0.3">
      <c r="A2200" s="3" t="s">
        <v>5055</v>
      </c>
      <c r="B2200" s="3">
        <v>7.1</v>
      </c>
      <c r="C2200" s="22" t="s">
        <v>9222</v>
      </c>
    </row>
    <row r="2201" spans="1:3" x14ac:dyDescent="0.3">
      <c r="A2201" s="4" t="s">
        <v>5057</v>
      </c>
      <c r="B2201" s="4">
        <v>6.8</v>
      </c>
      <c r="C2201" s="23" t="s">
        <v>9223</v>
      </c>
    </row>
    <row r="2202" spans="1:3" x14ac:dyDescent="0.3">
      <c r="A2202" s="3" t="s">
        <v>5059</v>
      </c>
      <c r="B2202" s="3">
        <v>6.1</v>
      </c>
      <c r="C2202" s="22" t="s">
        <v>8762</v>
      </c>
    </row>
    <row r="2203" spans="1:3" x14ac:dyDescent="0.3">
      <c r="A2203" s="4" t="s">
        <v>5061</v>
      </c>
      <c r="B2203" s="4">
        <v>8.5</v>
      </c>
      <c r="C2203" s="23" t="s">
        <v>9224</v>
      </c>
    </row>
    <row r="2204" spans="1:3" x14ac:dyDescent="0.3">
      <c r="A2204" s="3" t="s">
        <v>5063</v>
      </c>
      <c r="B2204" s="3">
        <v>5.9</v>
      </c>
      <c r="C2204" s="22" t="s">
        <v>8749</v>
      </c>
    </row>
    <row r="2205" spans="1:3" x14ac:dyDescent="0.3">
      <c r="A2205" s="4" t="s">
        <v>5065</v>
      </c>
      <c r="B2205" s="4">
        <v>6.3</v>
      </c>
      <c r="C2205" s="23" t="s">
        <v>9225</v>
      </c>
    </row>
    <row r="2206" spans="1:3" x14ac:dyDescent="0.3">
      <c r="A2206" s="3" t="s">
        <v>5068</v>
      </c>
      <c r="B2206" s="3">
        <v>5.9</v>
      </c>
      <c r="C2206" s="22" t="s">
        <v>8586</v>
      </c>
    </row>
    <row r="2207" spans="1:3" x14ac:dyDescent="0.3">
      <c r="A2207" s="4" t="s">
        <v>5070</v>
      </c>
      <c r="B2207" s="4">
        <v>5.4</v>
      </c>
      <c r="C2207" s="23" t="s">
        <v>9226</v>
      </c>
    </row>
    <row r="2208" spans="1:3" x14ac:dyDescent="0.3">
      <c r="A2208" s="3" t="s">
        <v>5072</v>
      </c>
      <c r="B2208" s="3">
        <v>7</v>
      </c>
      <c r="C2208" s="22" t="s">
        <v>8399</v>
      </c>
    </row>
    <row r="2209" spans="1:3" x14ac:dyDescent="0.3">
      <c r="A2209" s="4" t="s">
        <v>5074</v>
      </c>
      <c r="B2209" s="4">
        <v>6.9</v>
      </c>
      <c r="C2209" s="23" t="s">
        <v>8429</v>
      </c>
    </row>
    <row r="2210" spans="1:3" x14ac:dyDescent="0.3">
      <c r="A2210" s="3" t="s">
        <v>5076</v>
      </c>
      <c r="B2210" s="3">
        <v>7.5</v>
      </c>
      <c r="C2210" s="22" t="s">
        <v>9227</v>
      </c>
    </row>
    <row r="2211" spans="1:3" x14ac:dyDescent="0.3">
      <c r="A2211" s="4" t="s">
        <v>5078</v>
      </c>
      <c r="B2211" s="4">
        <v>8.1999999999999993</v>
      </c>
      <c r="C2211" s="23" t="s">
        <v>8805</v>
      </c>
    </row>
    <row r="2212" spans="1:3" x14ac:dyDescent="0.3">
      <c r="A2212" s="3" t="s">
        <v>5081</v>
      </c>
      <c r="B2212" s="3">
        <v>5.9</v>
      </c>
      <c r="C2212" s="22" t="s">
        <v>8528</v>
      </c>
    </row>
    <row r="2213" spans="1:3" x14ac:dyDescent="0.3">
      <c r="A2213" s="4" t="s">
        <v>5083</v>
      </c>
      <c r="B2213" s="4">
        <v>5</v>
      </c>
      <c r="C2213" s="23" t="s">
        <v>9228</v>
      </c>
    </row>
    <row r="2214" spans="1:3" x14ac:dyDescent="0.3">
      <c r="A2214" s="3" t="s">
        <v>5085</v>
      </c>
      <c r="B2214" s="3">
        <v>7.3</v>
      </c>
      <c r="C2214" s="22" t="s">
        <v>8716</v>
      </c>
    </row>
    <row r="2215" spans="1:3" x14ac:dyDescent="0.3">
      <c r="A2215" s="4" t="s">
        <v>5087</v>
      </c>
      <c r="B2215" s="4">
        <v>6.4</v>
      </c>
      <c r="C2215" s="23" t="s">
        <v>9229</v>
      </c>
    </row>
    <row r="2216" spans="1:3" x14ac:dyDescent="0.3">
      <c r="A2216" s="3" t="s">
        <v>5089</v>
      </c>
      <c r="B2216" s="3">
        <v>6.6</v>
      </c>
      <c r="C2216" s="22" t="s">
        <v>9072</v>
      </c>
    </row>
    <row r="2217" spans="1:3" x14ac:dyDescent="0.3">
      <c r="A2217" s="4" t="s">
        <v>5091</v>
      </c>
      <c r="B2217" s="4">
        <v>7.8</v>
      </c>
      <c r="C2217" s="23" t="s">
        <v>9230</v>
      </c>
    </row>
    <row r="2218" spans="1:3" x14ac:dyDescent="0.3">
      <c r="A2218" s="3" t="s">
        <v>5093</v>
      </c>
      <c r="B2218" s="3">
        <v>4</v>
      </c>
      <c r="C2218" s="22" t="s">
        <v>9231</v>
      </c>
    </row>
    <row r="2219" spans="1:3" x14ac:dyDescent="0.3">
      <c r="A2219" s="4" t="s">
        <v>5095</v>
      </c>
      <c r="B2219" s="4">
        <v>7.6</v>
      </c>
      <c r="C2219" s="23" t="s">
        <v>8306</v>
      </c>
    </row>
    <row r="2220" spans="1:3" x14ac:dyDescent="0.3">
      <c r="A2220" s="3" t="s">
        <v>5097</v>
      </c>
      <c r="B2220" s="3">
        <v>7.7</v>
      </c>
      <c r="C2220" s="22" t="s">
        <v>8407</v>
      </c>
    </row>
    <row r="2221" spans="1:3" x14ac:dyDescent="0.3">
      <c r="A2221" s="4" t="s">
        <v>5099</v>
      </c>
      <c r="B2221" s="4">
        <v>5.8</v>
      </c>
      <c r="C2221" s="23" t="s">
        <v>9232</v>
      </c>
    </row>
    <row r="2222" spans="1:3" x14ac:dyDescent="0.3">
      <c r="A2222" s="3" t="s">
        <v>5101</v>
      </c>
      <c r="B2222" s="3">
        <v>5.2</v>
      </c>
      <c r="C2222" s="22" t="s">
        <v>8827</v>
      </c>
    </row>
    <row r="2223" spans="1:3" x14ac:dyDescent="0.3">
      <c r="A2223" s="4" t="s">
        <v>5103</v>
      </c>
      <c r="B2223" s="4">
        <v>5.6</v>
      </c>
      <c r="C2223" s="23" t="s">
        <v>9233</v>
      </c>
    </row>
    <row r="2224" spans="1:3" x14ac:dyDescent="0.3">
      <c r="A2224" s="3" t="s">
        <v>5105</v>
      </c>
      <c r="B2224" s="3">
        <v>5.3</v>
      </c>
      <c r="C2224" s="22" t="s">
        <v>9234</v>
      </c>
    </row>
    <row r="2225" spans="1:3" x14ac:dyDescent="0.3">
      <c r="A2225" s="4" t="s">
        <v>5107</v>
      </c>
      <c r="B2225" s="4">
        <v>7.4</v>
      </c>
      <c r="C2225" s="23" t="s">
        <v>9235</v>
      </c>
    </row>
    <row r="2226" spans="1:3" x14ac:dyDescent="0.3">
      <c r="A2226" s="3" t="s">
        <v>5110</v>
      </c>
      <c r="B2226" s="3">
        <v>6.6</v>
      </c>
      <c r="C2226" s="22" t="s">
        <v>9236</v>
      </c>
    </row>
    <row r="2227" spans="1:3" x14ac:dyDescent="0.3">
      <c r="A2227" s="4" t="s">
        <v>5112</v>
      </c>
      <c r="B2227" s="4">
        <v>6.2</v>
      </c>
      <c r="C2227" s="23" t="s">
        <v>9237</v>
      </c>
    </row>
    <row r="2228" spans="1:3" x14ac:dyDescent="0.3">
      <c r="A2228" s="3" t="s">
        <v>5114</v>
      </c>
      <c r="B2228" s="3">
        <v>1.9</v>
      </c>
      <c r="C2228" s="22" t="s">
        <v>8998</v>
      </c>
    </row>
    <row r="2229" spans="1:3" x14ac:dyDescent="0.3">
      <c r="A2229" s="4" t="s">
        <v>5116</v>
      </c>
      <c r="B2229" s="4">
        <v>5.7</v>
      </c>
      <c r="C2229" s="23" t="s">
        <v>8847</v>
      </c>
    </row>
    <row r="2230" spans="1:3" x14ac:dyDescent="0.3">
      <c r="A2230" s="3" t="s">
        <v>5118</v>
      </c>
      <c r="B2230" s="3">
        <v>6.6</v>
      </c>
      <c r="C2230" s="22" t="s">
        <v>8523</v>
      </c>
    </row>
    <row r="2231" spans="1:3" x14ac:dyDescent="0.3">
      <c r="A2231" s="4" t="s">
        <v>5120</v>
      </c>
      <c r="B2231" s="4">
        <v>6</v>
      </c>
      <c r="C2231" s="23" t="s">
        <v>9238</v>
      </c>
    </row>
    <row r="2232" spans="1:3" x14ac:dyDescent="0.3">
      <c r="A2232" s="3" t="s">
        <v>5122</v>
      </c>
      <c r="B2232" s="3">
        <v>6.1</v>
      </c>
      <c r="C2232" s="22" t="s">
        <v>9239</v>
      </c>
    </row>
    <row r="2233" spans="1:3" x14ac:dyDescent="0.3">
      <c r="A2233" s="4" t="s">
        <v>5125</v>
      </c>
      <c r="B2233" s="4">
        <v>4.8</v>
      </c>
      <c r="C2233" s="23" t="s">
        <v>8570</v>
      </c>
    </row>
    <row r="2234" spans="1:3" x14ac:dyDescent="0.3">
      <c r="A2234" s="3" t="s">
        <v>5127</v>
      </c>
      <c r="B2234" s="3">
        <v>6.2</v>
      </c>
      <c r="C2234" s="22" t="s">
        <v>8689</v>
      </c>
    </row>
    <row r="2235" spans="1:3" x14ac:dyDescent="0.3">
      <c r="A2235" s="4" t="s">
        <v>5129</v>
      </c>
      <c r="B2235" s="4">
        <v>7.5</v>
      </c>
      <c r="C2235" s="23" t="s">
        <v>8989</v>
      </c>
    </row>
    <row r="2236" spans="1:3" x14ac:dyDescent="0.3">
      <c r="A2236" s="3" t="s">
        <v>5131</v>
      </c>
      <c r="B2236" s="3">
        <v>6.3</v>
      </c>
      <c r="C2236" s="22" t="s">
        <v>9240</v>
      </c>
    </row>
    <row r="2237" spans="1:3" x14ac:dyDescent="0.3">
      <c r="A2237" s="4" t="s">
        <v>5133</v>
      </c>
      <c r="B2237" s="4">
        <v>7.1</v>
      </c>
      <c r="C2237" s="23" t="s">
        <v>8413</v>
      </c>
    </row>
    <row r="2238" spans="1:3" x14ac:dyDescent="0.3">
      <c r="A2238" s="3" t="s">
        <v>5136</v>
      </c>
      <c r="B2238" s="3">
        <v>6.6</v>
      </c>
      <c r="C2238" s="22" t="s">
        <v>8295</v>
      </c>
    </row>
    <row r="2239" spans="1:3" x14ac:dyDescent="0.3">
      <c r="A2239" s="4" t="s">
        <v>5139</v>
      </c>
      <c r="B2239" s="4">
        <v>6.1</v>
      </c>
      <c r="C2239" s="23" t="s">
        <v>8675</v>
      </c>
    </row>
    <row r="2240" spans="1:3" x14ac:dyDescent="0.3">
      <c r="A2240" s="3" t="s">
        <v>5141</v>
      </c>
      <c r="B2240" s="3">
        <v>6.7</v>
      </c>
      <c r="C2240" s="22" t="s">
        <v>8680</v>
      </c>
    </row>
    <row r="2241" spans="1:3" x14ac:dyDescent="0.3">
      <c r="A2241" s="4" t="s">
        <v>5143</v>
      </c>
      <c r="B2241" s="4">
        <v>5.6</v>
      </c>
      <c r="C2241" s="23" t="s">
        <v>8493</v>
      </c>
    </row>
    <row r="2242" spans="1:3" x14ac:dyDescent="0.3">
      <c r="A2242" s="3" t="s">
        <v>5145</v>
      </c>
      <c r="B2242" s="3">
        <v>7.2</v>
      </c>
      <c r="C2242" s="22" t="s">
        <v>8351</v>
      </c>
    </row>
    <row r="2243" spans="1:3" x14ac:dyDescent="0.3">
      <c r="A2243" s="4" t="s">
        <v>5147</v>
      </c>
      <c r="B2243" s="4">
        <v>4.3</v>
      </c>
      <c r="C2243" s="23" t="s">
        <v>9241</v>
      </c>
    </row>
    <row r="2244" spans="1:3" x14ac:dyDescent="0.3">
      <c r="A2244" s="3" t="s">
        <v>5149</v>
      </c>
      <c r="B2244" s="3">
        <v>6.4</v>
      </c>
      <c r="C2244" s="22" t="s">
        <v>8445</v>
      </c>
    </row>
    <row r="2245" spans="1:3" x14ac:dyDescent="0.3">
      <c r="A2245" s="4" t="s">
        <v>5151</v>
      </c>
      <c r="B2245" s="4">
        <v>7.1</v>
      </c>
      <c r="C2245" s="23" t="s">
        <v>8784</v>
      </c>
    </row>
    <row r="2246" spans="1:3" x14ac:dyDescent="0.3">
      <c r="A2246" s="3" t="s">
        <v>5153</v>
      </c>
      <c r="B2246" s="3">
        <v>6.3</v>
      </c>
      <c r="C2246" s="22" t="s">
        <v>9130</v>
      </c>
    </row>
    <row r="2247" spans="1:3" x14ac:dyDescent="0.3">
      <c r="A2247" s="4" t="s">
        <v>5155</v>
      </c>
      <c r="B2247" s="4">
        <v>7.4</v>
      </c>
      <c r="C2247" s="23" t="s">
        <v>8989</v>
      </c>
    </row>
    <row r="2248" spans="1:3" x14ac:dyDescent="0.3">
      <c r="A2248" s="3" t="s">
        <v>5157</v>
      </c>
      <c r="B2248" s="3">
        <v>6.1</v>
      </c>
      <c r="C2248" s="22" t="s">
        <v>9242</v>
      </c>
    </row>
    <row r="2249" spans="1:3" x14ac:dyDescent="0.3">
      <c r="A2249" s="4" t="s">
        <v>5159</v>
      </c>
      <c r="B2249" s="4">
        <v>6.6</v>
      </c>
      <c r="C2249" s="23" t="s">
        <v>9106</v>
      </c>
    </row>
    <row r="2250" spans="1:3" x14ac:dyDescent="0.3">
      <c r="A2250" s="3" t="s">
        <v>5161</v>
      </c>
      <c r="B2250" s="3">
        <v>6</v>
      </c>
      <c r="C2250" s="22" t="s">
        <v>8728</v>
      </c>
    </row>
    <row r="2251" spans="1:3" x14ac:dyDescent="0.3">
      <c r="A2251" s="4" t="s">
        <v>5163</v>
      </c>
      <c r="B2251" s="4">
        <v>6.8</v>
      </c>
      <c r="C2251" s="23" t="s">
        <v>8989</v>
      </c>
    </row>
    <row r="2252" spans="1:3" x14ac:dyDescent="0.3">
      <c r="A2252" s="3" t="s">
        <v>5165</v>
      </c>
      <c r="B2252" s="3">
        <v>7.4</v>
      </c>
      <c r="C2252" s="22" t="s">
        <v>8482</v>
      </c>
    </row>
    <row r="2253" spans="1:3" x14ac:dyDescent="0.3">
      <c r="A2253" s="4" t="s">
        <v>5167</v>
      </c>
      <c r="B2253" s="4">
        <v>6.8</v>
      </c>
      <c r="C2253" s="23" t="s">
        <v>8327</v>
      </c>
    </row>
    <row r="2254" spans="1:3" x14ac:dyDescent="0.3">
      <c r="A2254" s="3" t="s">
        <v>5169</v>
      </c>
      <c r="B2254" s="3">
        <v>7.2</v>
      </c>
      <c r="C2254" s="22" t="s">
        <v>8899</v>
      </c>
    </row>
    <row r="2255" spans="1:3" x14ac:dyDescent="0.3">
      <c r="A2255" s="4" t="s">
        <v>5171</v>
      </c>
      <c r="B2255" s="4">
        <v>1.9</v>
      </c>
      <c r="C2255" s="23" t="s">
        <v>9243</v>
      </c>
    </row>
    <row r="2256" spans="1:3" x14ac:dyDescent="0.3">
      <c r="A2256" s="3" t="s">
        <v>5173</v>
      </c>
      <c r="B2256" s="3">
        <v>5.5</v>
      </c>
      <c r="C2256" s="22" t="s">
        <v>8536</v>
      </c>
    </row>
    <row r="2257" spans="1:3" x14ac:dyDescent="0.3">
      <c r="A2257" s="4" t="s">
        <v>5175</v>
      </c>
      <c r="B2257" s="4">
        <v>4.5</v>
      </c>
      <c r="C2257" s="23" t="s">
        <v>8536</v>
      </c>
    </row>
    <row r="2258" spans="1:3" x14ac:dyDescent="0.3">
      <c r="A2258" s="3" t="s">
        <v>5177</v>
      </c>
      <c r="B2258" s="3">
        <v>6.3</v>
      </c>
      <c r="C2258" s="22" t="s">
        <v>8615</v>
      </c>
    </row>
    <row r="2259" spans="1:3" x14ac:dyDescent="0.3">
      <c r="A2259" s="4" t="s">
        <v>5180</v>
      </c>
      <c r="B2259" s="4">
        <v>7</v>
      </c>
      <c r="C2259" s="23" t="s">
        <v>8520</v>
      </c>
    </row>
    <row r="2260" spans="1:3" x14ac:dyDescent="0.3">
      <c r="A2260" s="3" t="s">
        <v>5183</v>
      </c>
      <c r="B2260" s="3">
        <v>6.7</v>
      </c>
      <c r="C2260" s="22" t="s">
        <v>8895</v>
      </c>
    </row>
    <row r="2261" spans="1:3" x14ac:dyDescent="0.3">
      <c r="A2261" s="4" t="s">
        <v>5185</v>
      </c>
      <c r="B2261" s="4">
        <v>2.8</v>
      </c>
      <c r="C2261" s="23" t="s">
        <v>9244</v>
      </c>
    </row>
    <row r="2262" spans="1:3" x14ac:dyDescent="0.3">
      <c r="A2262" s="3" t="s">
        <v>5187</v>
      </c>
      <c r="B2262" s="3">
        <v>5</v>
      </c>
      <c r="C2262" s="22" t="s">
        <v>9245</v>
      </c>
    </row>
    <row r="2263" spans="1:3" x14ac:dyDescent="0.3">
      <c r="A2263" s="4" t="s">
        <v>5189</v>
      </c>
      <c r="B2263" s="4">
        <v>4.3</v>
      </c>
      <c r="C2263" s="23" t="s">
        <v>8788</v>
      </c>
    </row>
    <row r="2264" spans="1:3" x14ac:dyDescent="0.3">
      <c r="A2264" s="3" t="s">
        <v>5192</v>
      </c>
      <c r="B2264" s="3">
        <v>5.6</v>
      </c>
      <c r="C2264" s="22" t="s">
        <v>8716</v>
      </c>
    </row>
    <row r="2265" spans="1:3" x14ac:dyDescent="0.3">
      <c r="A2265" s="4" t="s">
        <v>5194</v>
      </c>
      <c r="B2265" s="4">
        <v>6.2</v>
      </c>
      <c r="C2265" s="23" t="s">
        <v>9246</v>
      </c>
    </row>
    <row r="2266" spans="1:3" x14ac:dyDescent="0.3">
      <c r="A2266" s="3" t="s">
        <v>5196</v>
      </c>
      <c r="B2266" s="3">
        <v>5.3</v>
      </c>
      <c r="C2266" s="22" t="s">
        <v>9095</v>
      </c>
    </row>
    <row r="2267" spans="1:3" x14ac:dyDescent="0.3">
      <c r="A2267" s="4" t="s">
        <v>5200</v>
      </c>
      <c r="B2267" s="4">
        <v>7.4</v>
      </c>
      <c r="C2267" s="23" t="s">
        <v>9247</v>
      </c>
    </row>
    <row r="2268" spans="1:3" x14ac:dyDescent="0.3">
      <c r="A2268" s="3" t="s">
        <v>5202</v>
      </c>
      <c r="B2268" s="3">
        <v>7.4</v>
      </c>
      <c r="C2268" s="22" t="s">
        <v>9248</v>
      </c>
    </row>
    <row r="2269" spans="1:3" x14ac:dyDescent="0.3">
      <c r="A2269" s="4" t="s">
        <v>5204</v>
      </c>
      <c r="B2269" s="4">
        <v>6.5</v>
      </c>
      <c r="C2269" s="23" t="s">
        <v>8764</v>
      </c>
    </row>
    <row r="2270" spans="1:3" x14ac:dyDescent="0.3">
      <c r="A2270" s="3" t="s">
        <v>5207</v>
      </c>
      <c r="B2270" s="3">
        <v>7.1</v>
      </c>
      <c r="C2270" s="22" t="s">
        <v>9069</v>
      </c>
    </row>
    <row r="2271" spans="1:3" x14ac:dyDescent="0.3">
      <c r="A2271" s="4" t="s">
        <v>5209</v>
      </c>
      <c r="B2271" s="4">
        <v>7.2</v>
      </c>
      <c r="C2271" s="23" t="s">
        <v>8371</v>
      </c>
    </row>
    <row r="2272" spans="1:3" x14ac:dyDescent="0.3">
      <c r="A2272" s="3" t="s">
        <v>5211</v>
      </c>
      <c r="B2272" s="3">
        <v>2.2999999999999998</v>
      </c>
      <c r="C2272" s="22" t="s">
        <v>8681</v>
      </c>
    </row>
    <row r="2273" spans="1:3" x14ac:dyDescent="0.3">
      <c r="A2273" s="4" t="s">
        <v>5213</v>
      </c>
      <c r="B2273" s="4">
        <v>6.4</v>
      </c>
      <c r="C2273" s="23" t="s">
        <v>9065</v>
      </c>
    </row>
    <row r="2274" spans="1:3" x14ac:dyDescent="0.3">
      <c r="A2274" s="3" t="s">
        <v>5215</v>
      </c>
      <c r="B2274" s="3">
        <v>6.1</v>
      </c>
      <c r="C2274" s="22" t="s">
        <v>9249</v>
      </c>
    </row>
    <row r="2275" spans="1:3" x14ac:dyDescent="0.3">
      <c r="A2275" s="4" t="s">
        <v>5217</v>
      </c>
      <c r="B2275" s="4">
        <v>7</v>
      </c>
      <c r="C2275" s="23" t="s">
        <v>9250</v>
      </c>
    </row>
    <row r="2276" spans="1:3" x14ac:dyDescent="0.3">
      <c r="A2276" s="3" t="s">
        <v>5219</v>
      </c>
      <c r="B2276" s="3">
        <v>6.5</v>
      </c>
      <c r="C2276" s="22" t="s">
        <v>9251</v>
      </c>
    </row>
    <row r="2277" spans="1:3" x14ac:dyDescent="0.3">
      <c r="A2277" s="4" t="s">
        <v>5221</v>
      </c>
      <c r="B2277" s="4">
        <v>7</v>
      </c>
      <c r="C2277" s="23" t="s">
        <v>9252</v>
      </c>
    </row>
    <row r="2278" spans="1:3" x14ac:dyDescent="0.3">
      <c r="A2278" s="3" t="s">
        <v>5223</v>
      </c>
      <c r="B2278" s="3">
        <v>7</v>
      </c>
      <c r="C2278" s="22" t="s">
        <v>9253</v>
      </c>
    </row>
    <row r="2279" spans="1:3" x14ac:dyDescent="0.3">
      <c r="A2279" s="4" t="s">
        <v>5225</v>
      </c>
      <c r="B2279" s="4">
        <v>4.9000000000000004</v>
      </c>
      <c r="C2279" s="23" t="s">
        <v>9254</v>
      </c>
    </row>
    <row r="2280" spans="1:3" x14ac:dyDescent="0.3">
      <c r="A2280" s="3" t="s">
        <v>5227</v>
      </c>
      <c r="B2280" s="3">
        <v>6.9</v>
      </c>
      <c r="C2280" s="22" t="s">
        <v>8985</v>
      </c>
    </row>
    <row r="2281" spans="1:3" x14ac:dyDescent="0.3">
      <c r="A2281" s="4" t="s">
        <v>5229</v>
      </c>
      <c r="B2281" s="4">
        <v>7.5</v>
      </c>
      <c r="C2281" s="23" t="s">
        <v>9255</v>
      </c>
    </row>
    <row r="2282" spans="1:3" x14ac:dyDescent="0.3">
      <c r="A2282" s="3" t="s">
        <v>5232</v>
      </c>
      <c r="B2282" s="3">
        <v>8.4</v>
      </c>
      <c r="C2282" s="22" t="s">
        <v>8949</v>
      </c>
    </row>
    <row r="2283" spans="1:3" x14ac:dyDescent="0.3">
      <c r="A2283" s="4" t="s">
        <v>5234</v>
      </c>
      <c r="B2283" s="4">
        <v>6.9</v>
      </c>
      <c r="C2283" s="23" t="s">
        <v>8944</v>
      </c>
    </row>
    <row r="2284" spans="1:3" x14ac:dyDescent="0.3">
      <c r="A2284" s="3" t="s">
        <v>5236</v>
      </c>
      <c r="B2284" s="3">
        <v>4.5</v>
      </c>
      <c r="C2284" s="22" t="s">
        <v>9256</v>
      </c>
    </row>
    <row r="2285" spans="1:3" x14ac:dyDescent="0.3">
      <c r="A2285" s="4" t="s">
        <v>5238</v>
      </c>
      <c r="B2285" s="4">
        <v>7.4</v>
      </c>
      <c r="C2285" s="23" t="s">
        <v>9130</v>
      </c>
    </row>
    <row r="2286" spans="1:3" x14ac:dyDescent="0.3">
      <c r="A2286" s="3" t="s">
        <v>5240</v>
      </c>
      <c r="B2286" s="3">
        <v>7</v>
      </c>
      <c r="C2286" s="22" t="s">
        <v>9257</v>
      </c>
    </row>
    <row r="2287" spans="1:3" x14ac:dyDescent="0.3">
      <c r="A2287" s="4" t="s">
        <v>5242</v>
      </c>
      <c r="B2287" s="4">
        <v>2.8</v>
      </c>
      <c r="C2287" s="23" t="s">
        <v>9128</v>
      </c>
    </row>
    <row r="2288" spans="1:3" x14ac:dyDescent="0.3">
      <c r="A2288" s="3" t="s">
        <v>5244</v>
      </c>
      <c r="B2288" s="3">
        <v>7.5</v>
      </c>
      <c r="C2288" s="22" t="s">
        <v>9015</v>
      </c>
    </row>
    <row r="2289" spans="1:3" x14ac:dyDescent="0.3">
      <c r="A2289" s="4" t="s">
        <v>5246</v>
      </c>
      <c r="B2289" s="4">
        <v>7.1</v>
      </c>
      <c r="C2289" s="23" t="s">
        <v>8443</v>
      </c>
    </row>
    <row r="2290" spans="1:3" x14ac:dyDescent="0.3">
      <c r="A2290" s="3" t="s">
        <v>5248</v>
      </c>
      <c r="B2290" s="3">
        <v>6.4</v>
      </c>
      <c r="C2290" s="22" t="s">
        <v>9054</v>
      </c>
    </row>
    <row r="2291" spans="1:3" x14ac:dyDescent="0.3">
      <c r="A2291" s="4" t="s">
        <v>5250</v>
      </c>
      <c r="B2291" s="4">
        <v>6.7</v>
      </c>
      <c r="C2291" s="23" t="s">
        <v>9258</v>
      </c>
    </row>
    <row r="2292" spans="1:3" x14ac:dyDescent="0.3">
      <c r="A2292" s="3" t="s">
        <v>5253</v>
      </c>
      <c r="B2292" s="3">
        <v>5.3</v>
      </c>
      <c r="C2292" s="22" t="s">
        <v>8618</v>
      </c>
    </row>
    <row r="2293" spans="1:3" x14ac:dyDescent="0.3">
      <c r="A2293" s="4" t="s">
        <v>5255</v>
      </c>
      <c r="B2293" s="4">
        <v>6.9</v>
      </c>
      <c r="C2293" s="23" t="s">
        <v>9259</v>
      </c>
    </row>
    <row r="2294" spans="1:3" x14ac:dyDescent="0.3">
      <c r="A2294" s="3" t="s">
        <v>5258</v>
      </c>
      <c r="B2294" s="3">
        <v>6.2</v>
      </c>
      <c r="C2294" s="22" t="s">
        <v>9260</v>
      </c>
    </row>
    <row r="2295" spans="1:3" x14ac:dyDescent="0.3">
      <c r="A2295" s="4" t="s">
        <v>5260</v>
      </c>
      <c r="B2295" s="4">
        <v>6.3</v>
      </c>
      <c r="C2295" s="23" t="s">
        <v>9261</v>
      </c>
    </row>
    <row r="2296" spans="1:3" x14ac:dyDescent="0.3">
      <c r="A2296" s="3" t="s">
        <v>5262</v>
      </c>
      <c r="B2296" s="3">
        <v>6.4</v>
      </c>
      <c r="C2296" s="22" t="s">
        <v>8347</v>
      </c>
    </row>
    <row r="2297" spans="1:3" x14ac:dyDescent="0.3">
      <c r="A2297" s="4" t="s">
        <v>5264</v>
      </c>
      <c r="B2297" s="4">
        <v>6.5</v>
      </c>
      <c r="C2297" s="23" t="s">
        <v>9230</v>
      </c>
    </row>
    <row r="2298" spans="1:3" x14ac:dyDescent="0.3">
      <c r="A2298" s="3" t="s">
        <v>5266</v>
      </c>
      <c r="B2298" s="3">
        <v>6</v>
      </c>
      <c r="C2298" s="22" t="s">
        <v>8876</v>
      </c>
    </row>
    <row r="2299" spans="1:3" x14ac:dyDescent="0.3">
      <c r="A2299" s="4" t="s">
        <v>5268</v>
      </c>
      <c r="B2299" s="4">
        <v>5.0999999999999996</v>
      </c>
      <c r="C2299" s="23" t="s">
        <v>8913</v>
      </c>
    </row>
    <row r="2300" spans="1:3" x14ac:dyDescent="0.3">
      <c r="A2300" s="3" t="s">
        <v>5270</v>
      </c>
      <c r="B2300" s="3">
        <v>5.5</v>
      </c>
      <c r="C2300" s="22" t="s">
        <v>9262</v>
      </c>
    </row>
    <row r="2301" spans="1:3" x14ac:dyDescent="0.3">
      <c r="A2301" s="4" t="s">
        <v>5273</v>
      </c>
      <c r="B2301" s="4">
        <v>5.4</v>
      </c>
      <c r="C2301" s="23" t="s">
        <v>8801</v>
      </c>
    </row>
    <row r="2302" spans="1:3" x14ac:dyDescent="0.3">
      <c r="A2302" s="3" t="s">
        <v>5275</v>
      </c>
      <c r="B2302" s="3">
        <v>5.7</v>
      </c>
      <c r="C2302" s="22" t="s">
        <v>8608</v>
      </c>
    </row>
    <row r="2303" spans="1:3" x14ac:dyDescent="0.3">
      <c r="A2303" s="4" t="s">
        <v>5277</v>
      </c>
      <c r="B2303" s="4">
        <v>5.2</v>
      </c>
      <c r="C2303" s="23" t="s">
        <v>9263</v>
      </c>
    </row>
    <row r="2304" spans="1:3" x14ac:dyDescent="0.3">
      <c r="A2304" s="3" t="s">
        <v>5279</v>
      </c>
      <c r="B2304" s="3">
        <v>6.2</v>
      </c>
      <c r="C2304" s="22" t="s">
        <v>8631</v>
      </c>
    </row>
    <row r="2305" spans="1:3" x14ac:dyDescent="0.3">
      <c r="A2305" s="4" t="s">
        <v>5283</v>
      </c>
      <c r="B2305" s="4">
        <v>6.7</v>
      </c>
      <c r="C2305" s="23" t="s">
        <v>9264</v>
      </c>
    </row>
    <row r="2306" spans="1:3" x14ac:dyDescent="0.3">
      <c r="A2306" s="3" t="s">
        <v>5285</v>
      </c>
      <c r="B2306" s="3">
        <v>5.8</v>
      </c>
      <c r="C2306" s="22" t="s">
        <v>9265</v>
      </c>
    </row>
    <row r="2307" spans="1:3" x14ac:dyDescent="0.3">
      <c r="A2307" s="4" t="s">
        <v>5287</v>
      </c>
      <c r="B2307" s="4">
        <v>7</v>
      </c>
      <c r="C2307" s="23" t="s">
        <v>9266</v>
      </c>
    </row>
    <row r="2308" spans="1:3" x14ac:dyDescent="0.3">
      <c r="A2308" s="3" t="s">
        <v>5289</v>
      </c>
      <c r="B2308" s="3">
        <v>4.8</v>
      </c>
      <c r="C2308" s="22" t="s">
        <v>9267</v>
      </c>
    </row>
    <row r="2309" spans="1:3" x14ac:dyDescent="0.3">
      <c r="A2309" s="4" t="s">
        <v>5291</v>
      </c>
      <c r="B2309" s="4">
        <v>7.2</v>
      </c>
      <c r="C2309" s="23" t="s">
        <v>9268</v>
      </c>
    </row>
    <row r="2310" spans="1:3" x14ac:dyDescent="0.3">
      <c r="A2310" s="3" t="s">
        <v>5293</v>
      </c>
      <c r="B2310" s="3">
        <v>5.6</v>
      </c>
      <c r="C2310" s="22" t="s">
        <v>8739</v>
      </c>
    </row>
    <row r="2311" spans="1:3" x14ac:dyDescent="0.3">
      <c r="A2311" s="4" t="s">
        <v>5295</v>
      </c>
      <c r="B2311" s="4">
        <v>6.4</v>
      </c>
      <c r="C2311" s="23" t="s">
        <v>9269</v>
      </c>
    </row>
    <row r="2312" spans="1:3" x14ac:dyDescent="0.3">
      <c r="A2312" s="3" t="s">
        <v>5297</v>
      </c>
      <c r="B2312" s="3">
        <v>7.5</v>
      </c>
      <c r="C2312" s="22" t="s">
        <v>9181</v>
      </c>
    </row>
    <row r="2313" spans="1:3" x14ac:dyDescent="0.3">
      <c r="A2313" s="4" t="s">
        <v>5299</v>
      </c>
      <c r="B2313" s="4">
        <v>7.4</v>
      </c>
      <c r="C2313" s="23" t="s">
        <v>9173</v>
      </c>
    </row>
    <row r="2314" spans="1:3" x14ac:dyDescent="0.3">
      <c r="A2314" s="3" t="s">
        <v>5302</v>
      </c>
      <c r="B2314" s="3">
        <v>8</v>
      </c>
      <c r="C2314" s="22" t="s">
        <v>8553</v>
      </c>
    </row>
    <row r="2315" spans="1:3" x14ac:dyDescent="0.3">
      <c r="A2315" s="4" t="s">
        <v>5304</v>
      </c>
      <c r="B2315" s="4">
        <v>5.7</v>
      </c>
      <c r="C2315" s="23" t="s">
        <v>8854</v>
      </c>
    </row>
    <row r="2316" spans="1:3" x14ac:dyDescent="0.3">
      <c r="A2316" s="3" t="s">
        <v>5306</v>
      </c>
      <c r="B2316" s="3">
        <v>6.8</v>
      </c>
      <c r="C2316" s="22" t="s">
        <v>8670</v>
      </c>
    </row>
    <row r="2317" spans="1:3" x14ac:dyDescent="0.3">
      <c r="A2317" s="4" t="s">
        <v>5308</v>
      </c>
      <c r="B2317" s="4">
        <v>5.9</v>
      </c>
      <c r="C2317" s="23" t="s">
        <v>9270</v>
      </c>
    </row>
    <row r="2318" spans="1:3" x14ac:dyDescent="0.3">
      <c r="A2318" s="3" t="s">
        <v>5310</v>
      </c>
      <c r="B2318" s="3">
        <v>7.2</v>
      </c>
      <c r="C2318" s="22" t="s">
        <v>8841</v>
      </c>
    </row>
    <row r="2319" spans="1:3" x14ac:dyDescent="0.3">
      <c r="A2319" s="4" t="s">
        <v>5313</v>
      </c>
      <c r="B2319" s="4">
        <v>5.5</v>
      </c>
      <c r="C2319" s="23" t="s">
        <v>9210</v>
      </c>
    </row>
    <row r="2320" spans="1:3" x14ac:dyDescent="0.3">
      <c r="A2320" s="3" t="s">
        <v>5315</v>
      </c>
      <c r="B2320" s="3">
        <v>8.4</v>
      </c>
      <c r="C2320" s="22" t="s">
        <v>8621</v>
      </c>
    </row>
    <row r="2321" spans="1:3" x14ac:dyDescent="0.3">
      <c r="A2321" s="4" t="s">
        <v>5317</v>
      </c>
      <c r="B2321" s="4">
        <v>8.5</v>
      </c>
      <c r="C2321" s="23" t="s">
        <v>8337</v>
      </c>
    </row>
    <row r="2322" spans="1:3" x14ac:dyDescent="0.3">
      <c r="A2322" s="3" t="s">
        <v>5319</v>
      </c>
      <c r="B2322" s="3">
        <v>5.6</v>
      </c>
      <c r="C2322" s="22" t="s">
        <v>8871</v>
      </c>
    </row>
    <row r="2323" spans="1:3" x14ac:dyDescent="0.3">
      <c r="A2323" s="4" t="s">
        <v>5321</v>
      </c>
      <c r="B2323" s="4">
        <v>4.0999999999999996</v>
      </c>
      <c r="C2323" s="23" t="s">
        <v>9088</v>
      </c>
    </row>
    <row r="2324" spans="1:3" x14ac:dyDescent="0.3">
      <c r="A2324" s="3" t="s">
        <v>5323</v>
      </c>
      <c r="B2324" s="3">
        <v>5</v>
      </c>
      <c r="C2324" s="22" t="s">
        <v>9271</v>
      </c>
    </row>
    <row r="2325" spans="1:3" x14ac:dyDescent="0.3">
      <c r="A2325" s="4" t="s">
        <v>5325</v>
      </c>
      <c r="B2325" s="4">
        <v>6.1</v>
      </c>
      <c r="C2325" s="23" t="s">
        <v>8636</v>
      </c>
    </row>
    <row r="2326" spans="1:3" x14ac:dyDescent="0.3">
      <c r="A2326" s="3" t="s">
        <v>5327</v>
      </c>
      <c r="B2326" s="3">
        <v>5.4</v>
      </c>
      <c r="C2326" s="22" t="s">
        <v>8374</v>
      </c>
    </row>
    <row r="2327" spans="1:3" x14ac:dyDescent="0.3">
      <c r="A2327" s="4" t="s">
        <v>5329</v>
      </c>
      <c r="B2327" s="4">
        <v>7.1</v>
      </c>
      <c r="C2327" s="23" t="s">
        <v>8392</v>
      </c>
    </row>
    <row r="2328" spans="1:3" x14ac:dyDescent="0.3">
      <c r="A2328" s="3" t="s">
        <v>5331</v>
      </c>
      <c r="B2328" s="3">
        <v>3.6</v>
      </c>
      <c r="C2328" s="22" t="s">
        <v>9272</v>
      </c>
    </row>
    <row r="2329" spans="1:3" x14ac:dyDescent="0.3">
      <c r="A2329" s="4" t="s">
        <v>5333</v>
      </c>
      <c r="B2329" s="4">
        <v>6.5</v>
      </c>
      <c r="C2329" s="23" t="s">
        <v>8402</v>
      </c>
    </row>
    <row r="2330" spans="1:3" x14ac:dyDescent="0.3">
      <c r="A2330" s="3" t="s">
        <v>5335</v>
      </c>
      <c r="B2330" s="3">
        <v>8.6</v>
      </c>
      <c r="C2330" s="22" t="s">
        <v>8949</v>
      </c>
    </row>
    <row r="2331" spans="1:3" x14ac:dyDescent="0.3">
      <c r="A2331" s="4" t="s">
        <v>5337</v>
      </c>
      <c r="B2331" s="4">
        <v>6.2</v>
      </c>
      <c r="C2331" s="23" t="s">
        <v>9273</v>
      </c>
    </row>
    <row r="2332" spans="1:3" x14ac:dyDescent="0.3">
      <c r="A2332" s="3" t="s">
        <v>5339</v>
      </c>
      <c r="B2332" s="3">
        <v>7</v>
      </c>
      <c r="C2332" s="22" t="s">
        <v>8439</v>
      </c>
    </row>
    <row r="2333" spans="1:3" x14ac:dyDescent="0.3">
      <c r="A2333" s="4" t="s">
        <v>5341</v>
      </c>
      <c r="B2333" s="4">
        <v>7.6</v>
      </c>
      <c r="C2333" s="23" t="s">
        <v>9274</v>
      </c>
    </row>
    <row r="2334" spans="1:3" x14ac:dyDescent="0.3">
      <c r="A2334" s="3" t="s">
        <v>5344</v>
      </c>
      <c r="B2334" s="3">
        <v>6.5</v>
      </c>
      <c r="C2334" s="22" t="s">
        <v>8688</v>
      </c>
    </row>
    <row r="2335" spans="1:3" x14ac:dyDescent="0.3">
      <c r="A2335" s="4" t="s">
        <v>5346</v>
      </c>
      <c r="B2335" s="4">
        <v>6.4</v>
      </c>
      <c r="C2335" s="23" t="s">
        <v>9275</v>
      </c>
    </row>
    <row r="2336" spans="1:3" x14ac:dyDescent="0.3">
      <c r="A2336" s="3" t="s">
        <v>5348</v>
      </c>
      <c r="B2336" s="3">
        <v>6.7</v>
      </c>
      <c r="C2336" s="22" t="s">
        <v>9276</v>
      </c>
    </row>
    <row r="2337" spans="1:3" x14ac:dyDescent="0.3">
      <c r="A2337" s="4" t="s">
        <v>5350</v>
      </c>
      <c r="B2337" s="4">
        <v>6.3</v>
      </c>
      <c r="C2337" s="23" t="s">
        <v>9277</v>
      </c>
    </row>
    <row r="2338" spans="1:3" x14ac:dyDescent="0.3">
      <c r="A2338" s="3" t="s">
        <v>5353</v>
      </c>
      <c r="B2338" s="3">
        <v>6.4</v>
      </c>
      <c r="C2338" s="22" t="s">
        <v>9278</v>
      </c>
    </row>
    <row r="2339" spans="1:3" x14ac:dyDescent="0.3">
      <c r="A2339" s="4" t="s">
        <v>5355</v>
      </c>
      <c r="B2339" s="4">
        <v>5.7</v>
      </c>
      <c r="C2339" s="23" t="s">
        <v>9279</v>
      </c>
    </row>
    <row r="2340" spans="1:3" x14ac:dyDescent="0.3">
      <c r="A2340" s="3" t="s">
        <v>5357</v>
      </c>
      <c r="B2340" s="3">
        <v>6.3</v>
      </c>
      <c r="C2340" s="22" t="s">
        <v>9280</v>
      </c>
    </row>
    <row r="2341" spans="1:3" x14ac:dyDescent="0.3">
      <c r="A2341" s="4" t="s">
        <v>5359</v>
      </c>
      <c r="B2341" s="4">
        <v>7.8</v>
      </c>
      <c r="C2341" s="23" t="s">
        <v>9281</v>
      </c>
    </row>
    <row r="2342" spans="1:3" x14ac:dyDescent="0.3">
      <c r="A2342" s="3" t="s">
        <v>5361</v>
      </c>
      <c r="B2342" s="3">
        <v>6</v>
      </c>
      <c r="C2342" s="22" t="s">
        <v>9282</v>
      </c>
    </row>
    <row r="2343" spans="1:3" x14ac:dyDescent="0.3">
      <c r="A2343" s="4" t="s">
        <v>5363</v>
      </c>
      <c r="B2343" s="4">
        <v>7.7</v>
      </c>
      <c r="C2343" s="23" t="s">
        <v>8467</v>
      </c>
    </row>
    <row r="2344" spans="1:3" x14ac:dyDescent="0.3">
      <c r="A2344" s="3" t="s">
        <v>5365</v>
      </c>
      <c r="B2344" s="3">
        <v>6.2</v>
      </c>
      <c r="C2344" s="22" t="s">
        <v>8526</v>
      </c>
    </row>
    <row r="2345" spans="1:3" x14ac:dyDescent="0.3">
      <c r="A2345" s="4" t="s">
        <v>5367</v>
      </c>
      <c r="B2345" s="4">
        <v>5.7</v>
      </c>
      <c r="C2345" s="23" t="s">
        <v>8809</v>
      </c>
    </row>
    <row r="2346" spans="1:3" x14ac:dyDescent="0.3">
      <c r="A2346" s="3" t="s">
        <v>5370</v>
      </c>
      <c r="B2346" s="3">
        <v>7.7</v>
      </c>
      <c r="C2346" s="22" t="s">
        <v>8548</v>
      </c>
    </row>
    <row r="2347" spans="1:3" x14ac:dyDescent="0.3">
      <c r="A2347" s="4" t="s">
        <v>5372</v>
      </c>
      <c r="B2347" s="4">
        <v>6.4</v>
      </c>
      <c r="C2347" s="23" t="s">
        <v>9283</v>
      </c>
    </row>
    <row r="2348" spans="1:3" x14ac:dyDescent="0.3">
      <c r="A2348" s="3" t="s">
        <v>5374</v>
      </c>
      <c r="B2348" s="3">
        <v>6.4</v>
      </c>
      <c r="C2348" s="22" t="s">
        <v>8844</v>
      </c>
    </row>
    <row r="2349" spans="1:3" x14ac:dyDescent="0.3">
      <c r="A2349" s="4" t="s">
        <v>5376</v>
      </c>
      <c r="B2349" s="4">
        <v>6.9</v>
      </c>
      <c r="C2349" s="23" t="s">
        <v>8461</v>
      </c>
    </row>
    <row r="2350" spans="1:3" x14ac:dyDescent="0.3">
      <c r="A2350" s="3" t="s">
        <v>5378</v>
      </c>
      <c r="B2350" s="3">
        <v>7.3</v>
      </c>
      <c r="C2350" s="22" t="s">
        <v>8780</v>
      </c>
    </row>
    <row r="2351" spans="1:3" x14ac:dyDescent="0.3">
      <c r="A2351" s="4" t="s">
        <v>5380</v>
      </c>
      <c r="B2351" s="4">
        <v>7.3</v>
      </c>
      <c r="C2351" s="23" t="s">
        <v>8620</v>
      </c>
    </row>
    <row r="2352" spans="1:3" x14ac:dyDescent="0.3">
      <c r="A2352" s="3" t="s">
        <v>5382</v>
      </c>
      <c r="B2352" s="3">
        <v>6.2</v>
      </c>
      <c r="C2352" s="22" t="s">
        <v>8568</v>
      </c>
    </row>
    <row r="2353" spans="1:3" x14ac:dyDescent="0.3">
      <c r="A2353" s="4" t="s">
        <v>5384</v>
      </c>
      <c r="B2353" s="4">
        <v>6.6</v>
      </c>
      <c r="C2353" s="23" t="s">
        <v>9146</v>
      </c>
    </row>
    <row r="2354" spans="1:3" x14ac:dyDescent="0.3">
      <c r="A2354" s="3" t="s">
        <v>5386</v>
      </c>
      <c r="B2354" s="3">
        <v>6.7</v>
      </c>
      <c r="C2354" s="22" t="s">
        <v>8538</v>
      </c>
    </row>
    <row r="2355" spans="1:3" x14ac:dyDescent="0.3">
      <c r="A2355" s="4" t="s">
        <v>5388</v>
      </c>
      <c r="B2355" s="4">
        <v>5.7</v>
      </c>
      <c r="C2355" s="23" t="s">
        <v>8354</v>
      </c>
    </row>
    <row r="2356" spans="1:3" x14ac:dyDescent="0.3">
      <c r="A2356" s="3" t="s">
        <v>5390</v>
      </c>
      <c r="B2356" s="3">
        <v>3.1</v>
      </c>
      <c r="C2356" s="22" t="s">
        <v>9284</v>
      </c>
    </row>
    <row r="2357" spans="1:3" x14ac:dyDescent="0.3">
      <c r="A2357" s="4" t="s">
        <v>5392</v>
      </c>
      <c r="B2357" s="4">
        <v>6.3</v>
      </c>
      <c r="C2357" s="23" t="s">
        <v>9218</v>
      </c>
    </row>
    <row r="2358" spans="1:3" x14ac:dyDescent="0.3">
      <c r="A2358" s="3" t="s">
        <v>5394</v>
      </c>
      <c r="B2358" s="3">
        <v>5.7</v>
      </c>
      <c r="C2358" s="22" t="s">
        <v>8912</v>
      </c>
    </row>
    <row r="2359" spans="1:3" x14ac:dyDescent="0.3">
      <c r="A2359" s="4" t="s">
        <v>5396</v>
      </c>
      <c r="B2359" s="4">
        <v>7.1</v>
      </c>
      <c r="C2359" s="23" t="s">
        <v>9285</v>
      </c>
    </row>
    <row r="2360" spans="1:3" x14ac:dyDescent="0.3">
      <c r="A2360" s="3" t="s">
        <v>5399</v>
      </c>
      <c r="B2360" s="3">
        <v>7</v>
      </c>
      <c r="C2360" s="22" t="s">
        <v>8483</v>
      </c>
    </row>
    <row r="2361" spans="1:3" x14ac:dyDescent="0.3">
      <c r="A2361" s="4" t="s">
        <v>5401</v>
      </c>
      <c r="B2361" s="4">
        <v>6.1</v>
      </c>
      <c r="C2361" s="23" t="s">
        <v>8899</v>
      </c>
    </row>
    <row r="2362" spans="1:3" x14ac:dyDescent="0.3">
      <c r="A2362" s="3" t="s">
        <v>5403</v>
      </c>
      <c r="B2362" s="3">
        <v>6.6</v>
      </c>
      <c r="C2362" s="22" t="s">
        <v>8389</v>
      </c>
    </row>
    <row r="2363" spans="1:3" x14ac:dyDescent="0.3">
      <c r="A2363" s="4" t="s">
        <v>5405</v>
      </c>
      <c r="B2363" s="4">
        <v>7.8</v>
      </c>
      <c r="C2363" s="23" t="s">
        <v>8424</v>
      </c>
    </row>
    <row r="2364" spans="1:3" x14ac:dyDescent="0.3">
      <c r="A2364" s="3" t="s">
        <v>5407</v>
      </c>
      <c r="B2364" s="3">
        <v>8.3000000000000007</v>
      </c>
      <c r="C2364" s="22" t="s">
        <v>8722</v>
      </c>
    </row>
    <row r="2365" spans="1:3" x14ac:dyDescent="0.3">
      <c r="A2365" s="4" t="s">
        <v>5409</v>
      </c>
      <c r="B2365" s="4">
        <v>3.9</v>
      </c>
      <c r="C2365" s="23" t="s">
        <v>9213</v>
      </c>
    </row>
    <row r="2366" spans="1:3" x14ac:dyDescent="0.3">
      <c r="A2366" s="3" t="s">
        <v>5411</v>
      </c>
      <c r="B2366" s="3">
        <v>7</v>
      </c>
      <c r="C2366" s="22" t="s">
        <v>8490</v>
      </c>
    </row>
    <row r="2367" spans="1:3" x14ac:dyDescent="0.3">
      <c r="A2367" s="4" t="s">
        <v>5413</v>
      </c>
      <c r="B2367" s="4">
        <v>6.7</v>
      </c>
      <c r="C2367" s="23" t="s">
        <v>9286</v>
      </c>
    </row>
    <row r="2368" spans="1:3" x14ac:dyDescent="0.3">
      <c r="A2368" s="3" t="s">
        <v>5415</v>
      </c>
      <c r="B2368" s="3">
        <v>7.3</v>
      </c>
      <c r="C2368" s="22" t="s">
        <v>9280</v>
      </c>
    </row>
    <row r="2369" spans="1:3" x14ac:dyDescent="0.3">
      <c r="A2369" s="4" t="s">
        <v>5417</v>
      </c>
      <c r="B2369" s="4">
        <v>6.3</v>
      </c>
      <c r="C2369" s="23" t="s">
        <v>8713</v>
      </c>
    </row>
    <row r="2370" spans="1:3" x14ac:dyDescent="0.3">
      <c r="A2370" s="3" t="s">
        <v>5420</v>
      </c>
      <c r="B2370" s="3">
        <v>7.8</v>
      </c>
      <c r="C2370" s="22" t="s">
        <v>8407</v>
      </c>
    </row>
    <row r="2371" spans="1:3" x14ac:dyDescent="0.3">
      <c r="A2371" s="4" t="s">
        <v>5422</v>
      </c>
      <c r="B2371" s="4">
        <v>7.3</v>
      </c>
      <c r="C2371" s="23" t="s">
        <v>8989</v>
      </c>
    </row>
    <row r="2372" spans="1:3" x14ac:dyDescent="0.3">
      <c r="A2372" s="3" t="s">
        <v>5424</v>
      </c>
      <c r="B2372" s="3">
        <v>7.6</v>
      </c>
      <c r="C2372" s="22" t="s">
        <v>8409</v>
      </c>
    </row>
    <row r="2373" spans="1:3" x14ac:dyDescent="0.3">
      <c r="A2373" s="4" t="s">
        <v>5426</v>
      </c>
      <c r="B2373" s="4">
        <v>5.3</v>
      </c>
      <c r="C2373" s="23" t="s">
        <v>9096</v>
      </c>
    </row>
    <row r="2374" spans="1:3" x14ac:dyDescent="0.3">
      <c r="A2374" s="3" t="s">
        <v>5428</v>
      </c>
      <c r="B2374" s="3">
        <v>7.9</v>
      </c>
      <c r="C2374" s="22" t="s">
        <v>8397</v>
      </c>
    </row>
    <row r="2375" spans="1:3" x14ac:dyDescent="0.3">
      <c r="A2375" s="4" t="s">
        <v>5430</v>
      </c>
      <c r="B2375" s="4">
        <v>5.3</v>
      </c>
      <c r="C2375" s="23" t="s">
        <v>9287</v>
      </c>
    </row>
    <row r="2376" spans="1:3" x14ac:dyDescent="0.3">
      <c r="A2376" s="3" t="s">
        <v>5432</v>
      </c>
      <c r="B2376" s="3">
        <v>6.8</v>
      </c>
      <c r="C2376" s="22" t="s">
        <v>8762</v>
      </c>
    </row>
    <row r="2377" spans="1:3" x14ac:dyDescent="0.3">
      <c r="A2377" s="4" t="s">
        <v>5434</v>
      </c>
      <c r="B2377" s="4">
        <v>7.1</v>
      </c>
      <c r="C2377" s="23" t="s">
        <v>9288</v>
      </c>
    </row>
    <row r="2378" spans="1:3" x14ac:dyDescent="0.3">
      <c r="A2378" s="3" t="s">
        <v>5436</v>
      </c>
      <c r="B2378" s="3">
        <v>7.2</v>
      </c>
      <c r="C2378" s="22" t="s">
        <v>8565</v>
      </c>
    </row>
    <row r="2379" spans="1:3" x14ac:dyDescent="0.3">
      <c r="A2379" s="4" t="s">
        <v>5438</v>
      </c>
      <c r="B2379" s="4">
        <v>5.8</v>
      </c>
      <c r="C2379" s="23" t="s">
        <v>9289</v>
      </c>
    </row>
    <row r="2380" spans="1:3" x14ac:dyDescent="0.3">
      <c r="A2380" s="3" t="s">
        <v>5440</v>
      </c>
      <c r="B2380" s="3">
        <v>5.8</v>
      </c>
      <c r="C2380" s="22" t="s">
        <v>9103</v>
      </c>
    </row>
    <row r="2381" spans="1:3" x14ac:dyDescent="0.3">
      <c r="A2381" s="4" t="s">
        <v>5442</v>
      </c>
      <c r="B2381" s="4">
        <v>8.3000000000000007</v>
      </c>
      <c r="C2381" s="23" t="s">
        <v>8342</v>
      </c>
    </row>
    <row r="2382" spans="1:3" x14ac:dyDescent="0.3">
      <c r="A2382" s="3" t="s">
        <v>5445</v>
      </c>
      <c r="B2382" s="3">
        <v>5.6</v>
      </c>
      <c r="C2382" s="22" t="s">
        <v>9290</v>
      </c>
    </row>
    <row r="2383" spans="1:3" x14ac:dyDescent="0.3">
      <c r="A2383" s="4" t="s">
        <v>5447</v>
      </c>
      <c r="B2383" s="4">
        <v>6.8</v>
      </c>
      <c r="C2383" s="23" t="s">
        <v>8570</v>
      </c>
    </row>
    <row r="2384" spans="1:3" x14ac:dyDescent="0.3">
      <c r="A2384" s="3" t="s">
        <v>5449</v>
      </c>
      <c r="B2384" s="3">
        <v>5</v>
      </c>
      <c r="C2384" s="22" t="s">
        <v>9291</v>
      </c>
    </row>
    <row r="2385" spans="1:3" x14ac:dyDescent="0.3">
      <c r="A2385" s="4" t="s">
        <v>5451</v>
      </c>
      <c r="B2385" s="4">
        <v>7.6</v>
      </c>
      <c r="C2385" s="23" t="s">
        <v>8757</v>
      </c>
    </row>
    <row r="2386" spans="1:3" x14ac:dyDescent="0.3">
      <c r="A2386" s="3" t="s">
        <v>5454</v>
      </c>
      <c r="B2386" s="3">
        <v>6.7</v>
      </c>
      <c r="C2386" s="22" t="s">
        <v>8989</v>
      </c>
    </row>
    <row r="2387" spans="1:3" x14ac:dyDescent="0.3">
      <c r="A2387" s="4" t="s">
        <v>5456</v>
      </c>
      <c r="B2387" s="4">
        <v>6.7</v>
      </c>
      <c r="C2387" s="23" t="s">
        <v>9292</v>
      </c>
    </row>
    <row r="2388" spans="1:3" x14ac:dyDescent="0.3">
      <c r="A2388" s="3" t="s">
        <v>5458</v>
      </c>
      <c r="B2388" s="3">
        <v>5.7</v>
      </c>
      <c r="C2388" s="22" t="s">
        <v>9168</v>
      </c>
    </row>
    <row r="2389" spans="1:3" x14ac:dyDescent="0.3">
      <c r="A2389" s="4" t="s">
        <v>5460</v>
      </c>
      <c r="B2389" s="4">
        <v>5.2</v>
      </c>
      <c r="C2389" s="23" t="s">
        <v>9293</v>
      </c>
    </row>
    <row r="2390" spans="1:3" x14ac:dyDescent="0.3">
      <c r="A2390" s="3" t="s">
        <v>5462</v>
      </c>
      <c r="B2390" s="3">
        <v>7.5</v>
      </c>
      <c r="C2390" s="22" t="s">
        <v>8862</v>
      </c>
    </row>
    <row r="2391" spans="1:3" x14ac:dyDescent="0.3">
      <c r="A2391" s="4" t="s">
        <v>5464</v>
      </c>
      <c r="B2391" s="4">
        <v>7.2</v>
      </c>
      <c r="C2391" s="23" t="s">
        <v>8757</v>
      </c>
    </row>
    <row r="2392" spans="1:3" x14ac:dyDescent="0.3">
      <c r="A2392" s="3" t="s">
        <v>5466</v>
      </c>
      <c r="B2392" s="3">
        <v>5.3</v>
      </c>
      <c r="C2392" s="22" t="s">
        <v>8419</v>
      </c>
    </row>
    <row r="2393" spans="1:3" x14ac:dyDescent="0.3">
      <c r="A2393" s="4" t="s">
        <v>5468</v>
      </c>
      <c r="B2393" s="4">
        <v>6.5</v>
      </c>
      <c r="C2393" s="23" t="s">
        <v>9053</v>
      </c>
    </row>
    <row r="2394" spans="1:3" x14ac:dyDescent="0.3">
      <c r="A2394" s="3" t="s">
        <v>5470</v>
      </c>
      <c r="B2394" s="3">
        <v>5</v>
      </c>
      <c r="C2394" s="22" t="s">
        <v>9294</v>
      </c>
    </row>
    <row r="2395" spans="1:3" x14ac:dyDescent="0.3">
      <c r="A2395" s="4" t="s">
        <v>5472</v>
      </c>
      <c r="B2395" s="4">
        <v>6.1</v>
      </c>
      <c r="C2395" s="23" t="s">
        <v>9295</v>
      </c>
    </row>
    <row r="2396" spans="1:3" x14ac:dyDescent="0.3">
      <c r="A2396" s="3" t="s">
        <v>5474</v>
      </c>
      <c r="B2396" s="3">
        <v>7.4</v>
      </c>
      <c r="C2396" s="22" t="s">
        <v>8502</v>
      </c>
    </row>
    <row r="2397" spans="1:3" x14ac:dyDescent="0.3">
      <c r="A2397" s="4" t="s">
        <v>5476</v>
      </c>
      <c r="B2397" s="4">
        <v>4.4000000000000004</v>
      </c>
      <c r="C2397" s="23" t="s">
        <v>9296</v>
      </c>
    </row>
    <row r="2398" spans="1:3" x14ac:dyDescent="0.3">
      <c r="A2398" s="3" t="s">
        <v>5479</v>
      </c>
      <c r="B2398" s="3">
        <v>7.5</v>
      </c>
      <c r="C2398" s="22" t="s">
        <v>8400</v>
      </c>
    </row>
    <row r="2399" spans="1:3" x14ac:dyDescent="0.3">
      <c r="A2399" s="4" t="s">
        <v>5481</v>
      </c>
      <c r="B2399" s="4">
        <v>5.7</v>
      </c>
      <c r="C2399" s="23" t="s">
        <v>8633</v>
      </c>
    </row>
    <row r="2400" spans="1:3" x14ac:dyDescent="0.3">
      <c r="A2400" s="3" t="s">
        <v>5483</v>
      </c>
      <c r="B2400" s="3">
        <v>5.5</v>
      </c>
      <c r="C2400" s="22" t="s">
        <v>9297</v>
      </c>
    </row>
    <row r="2401" spans="1:3" x14ac:dyDescent="0.3">
      <c r="A2401" s="4" t="s">
        <v>5485</v>
      </c>
      <c r="B2401" s="4">
        <v>7.1</v>
      </c>
      <c r="C2401" s="23" t="s">
        <v>9298</v>
      </c>
    </row>
    <row r="2402" spans="1:3" x14ac:dyDescent="0.3">
      <c r="A2402" s="3" t="s">
        <v>5487</v>
      </c>
      <c r="B2402" s="3">
        <v>5.9</v>
      </c>
      <c r="C2402" s="22" t="s">
        <v>8744</v>
      </c>
    </row>
    <row r="2403" spans="1:3" x14ac:dyDescent="0.3">
      <c r="A2403" s="4" t="s">
        <v>5489</v>
      </c>
      <c r="B2403" s="4">
        <v>6.7</v>
      </c>
      <c r="C2403" s="23" t="s">
        <v>9299</v>
      </c>
    </row>
    <row r="2404" spans="1:3" x14ac:dyDescent="0.3">
      <c r="A2404" s="3" t="s">
        <v>5491</v>
      </c>
      <c r="B2404" s="3">
        <v>7</v>
      </c>
      <c r="C2404" s="22" t="s">
        <v>9081</v>
      </c>
    </row>
    <row r="2405" spans="1:3" x14ac:dyDescent="0.3">
      <c r="A2405" s="4" t="s">
        <v>5493</v>
      </c>
      <c r="B2405" s="4">
        <v>7.9</v>
      </c>
      <c r="C2405" s="23" t="s">
        <v>8318</v>
      </c>
    </row>
    <row r="2406" spans="1:3" x14ac:dyDescent="0.3">
      <c r="A2406" s="3" t="s">
        <v>5495</v>
      </c>
      <c r="B2406" s="3">
        <v>6.9</v>
      </c>
      <c r="C2406" s="22" t="s">
        <v>8982</v>
      </c>
    </row>
    <row r="2407" spans="1:3" x14ac:dyDescent="0.3">
      <c r="A2407" s="4" t="s">
        <v>5497</v>
      </c>
      <c r="B2407" s="4">
        <v>7.3</v>
      </c>
      <c r="C2407" s="23" t="s">
        <v>8487</v>
      </c>
    </row>
    <row r="2408" spans="1:3" x14ac:dyDescent="0.3">
      <c r="A2408" s="3" t="s">
        <v>5499</v>
      </c>
      <c r="B2408" s="3">
        <v>7.3</v>
      </c>
      <c r="C2408" s="22" t="s">
        <v>8422</v>
      </c>
    </row>
    <row r="2409" spans="1:3" x14ac:dyDescent="0.3">
      <c r="A2409" s="4" t="s">
        <v>5501</v>
      </c>
      <c r="B2409" s="4">
        <v>3.5</v>
      </c>
      <c r="C2409" s="23" t="s">
        <v>9300</v>
      </c>
    </row>
    <row r="2410" spans="1:3" x14ac:dyDescent="0.3">
      <c r="A2410" s="3" t="s">
        <v>5503</v>
      </c>
      <c r="B2410" s="3">
        <v>7.8</v>
      </c>
      <c r="C2410" s="22" t="s">
        <v>8379</v>
      </c>
    </row>
    <row r="2411" spans="1:3" x14ac:dyDescent="0.3">
      <c r="A2411" s="4" t="s">
        <v>5505</v>
      </c>
      <c r="B2411" s="4">
        <v>7.4</v>
      </c>
      <c r="C2411" s="23" t="s">
        <v>8838</v>
      </c>
    </row>
    <row r="2412" spans="1:3" x14ac:dyDescent="0.3">
      <c r="A2412" s="3" t="s">
        <v>5507</v>
      </c>
      <c r="B2412" s="3">
        <v>6.7</v>
      </c>
      <c r="C2412" s="22" t="s">
        <v>9301</v>
      </c>
    </row>
    <row r="2413" spans="1:3" x14ac:dyDescent="0.3">
      <c r="A2413" s="4" t="s">
        <v>5510</v>
      </c>
      <c r="B2413" s="4">
        <v>6.4</v>
      </c>
      <c r="C2413" s="23" t="s">
        <v>8989</v>
      </c>
    </row>
    <row r="2414" spans="1:3" x14ac:dyDescent="0.3">
      <c r="A2414" s="3" t="s">
        <v>5512</v>
      </c>
      <c r="B2414" s="3">
        <v>7.1</v>
      </c>
      <c r="C2414" s="22" t="s">
        <v>9302</v>
      </c>
    </row>
    <row r="2415" spans="1:3" x14ac:dyDescent="0.3">
      <c r="A2415" s="4" t="s">
        <v>5516</v>
      </c>
      <c r="B2415" s="4">
        <v>7.8</v>
      </c>
      <c r="C2415" s="23" t="s">
        <v>9303</v>
      </c>
    </row>
    <row r="2416" spans="1:3" x14ac:dyDescent="0.3">
      <c r="A2416" s="3" t="s">
        <v>5519</v>
      </c>
      <c r="B2416" s="3">
        <v>4</v>
      </c>
      <c r="C2416" s="22" t="s">
        <v>9304</v>
      </c>
    </row>
    <row r="2417" spans="1:3" x14ac:dyDescent="0.3">
      <c r="A2417" s="4" t="s">
        <v>5522</v>
      </c>
      <c r="B2417" s="4">
        <v>5.9</v>
      </c>
      <c r="C2417" s="23" t="s">
        <v>9305</v>
      </c>
    </row>
    <row r="2418" spans="1:3" x14ac:dyDescent="0.3">
      <c r="A2418" s="3" t="s">
        <v>5525</v>
      </c>
      <c r="B2418" s="3">
        <v>7.2</v>
      </c>
      <c r="C2418" s="22" t="s">
        <v>8533</v>
      </c>
    </row>
    <row r="2419" spans="1:3" x14ac:dyDescent="0.3">
      <c r="A2419" s="4" t="s">
        <v>5527</v>
      </c>
      <c r="B2419" s="4">
        <v>7.2</v>
      </c>
      <c r="C2419" s="23" t="s">
        <v>8847</v>
      </c>
    </row>
    <row r="2420" spans="1:3" x14ac:dyDescent="0.3">
      <c r="A2420" s="3" t="s">
        <v>5529</v>
      </c>
      <c r="B2420" s="3">
        <v>5.0999999999999996</v>
      </c>
      <c r="C2420" s="22" t="s">
        <v>9306</v>
      </c>
    </row>
    <row r="2421" spans="1:3" x14ac:dyDescent="0.3">
      <c r="A2421" s="4" t="s">
        <v>5531</v>
      </c>
      <c r="B2421" s="4">
        <v>5.5</v>
      </c>
      <c r="C2421" s="23" t="s">
        <v>9307</v>
      </c>
    </row>
    <row r="2422" spans="1:3" x14ac:dyDescent="0.3">
      <c r="A2422" s="3" t="s">
        <v>5533</v>
      </c>
      <c r="B2422" s="3">
        <v>6.2</v>
      </c>
      <c r="C2422" s="22" t="s">
        <v>9308</v>
      </c>
    </row>
    <row r="2423" spans="1:3" x14ac:dyDescent="0.3">
      <c r="A2423" s="4" t="s">
        <v>5535</v>
      </c>
      <c r="B2423" s="4">
        <v>7.2</v>
      </c>
      <c r="C2423" s="23" t="s">
        <v>8526</v>
      </c>
    </row>
    <row r="2424" spans="1:3" x14ac:dyDescent="0.3">
      <c r="A2424" s="3" t="s">
        <v>5537</v>
      </c>
      <c r="B2424" s="3">
        <v>5.2</v>
      </c>
      <c r="C2424" s="22" t="s">
        <v>8461</v>
      </c>
    </row>
    <row r="2425" spans="1:3" x14ac:dyDescent="0.3">
      <c r="A2425" s="4" t="s">
        <v>5539</v>
      </c>
      <c r="B2425" s="4">
        <v>6.7</v>
      </c>
      <c r="C2425" s="23" t="s">
        <v>9309</v>
      </c>
    </row>
    <row r="2426" spans="1:3" x14ac:dyDescent="0.3">
      <c r="A2426" s="3" t="s">
        <v>5541</v>
      </c>
      <c r="B2426" s="3">
        <v>6.3</v>
      </c>
      <c r="C2426" s="22" t="s">
        <v>9164</v>
      </c>
    </row>
    <row r="2427" spans="1:3" x14ac:dyDescent="0.3">
      <c r="A2427" s="4" t="s">
        <v>5543</v>
      </c>
      <c r="B2427" s="4">
        <v>5</v>
      </c>
      <c r="C2427" s="23" t="s">
        <v>9103</v>
      </c>
    </row>
    <row r="2428" spans="1:3" x14ac:dyDescent="0.3">
      <c r="A2428" s="3" t="s">
        <v>5545</v>
      </c>
      <c r="B2428" s="3">
        <v>6.2</v>
      </c>
      <c r="C2428" s="22" t="s">
        <v>9310</v>
      </c>
    </row>
    <row r="2429" spans="1:3" x14ac:dyDescent="0.3">
      <c r="A2429" s="4" t="s">
        <v>5547</v>
      </c>
      <c r="B2429" s="4">
        <v>7.6</v>
      </c>
      <c r="C2429" s="23" t="s">
        <v>8853</v>
      </c>
    </row>
    <row r="2430" spans="1:3" x14ac:dyDescent="0.3">
      <c r="A2430" s="3" t="s">
        <v>5549</v>
      </c>
      <c r="B2430" s="3">
        <v>4.0999999999999996</v>
      </c>
      <c r="C2430" s="22" t="s">
        <v>9088</v>
      </c>
    </row>
    <row r="2431" spans="1:3" x14ac:dyDescent="0.3">
      <c r="A2431" s="4" t="s">
        <v>5551</v>
      </c>
      <c r="B2431" s="4">
        <v>5.3</v>
      </c>
      <c r="C2431" s="23" t="s">
        <v>9311</v>
      </c>
    </row>
    <row r="2432" spans="1:3" x14ac:dyDescent="0.3">
      <c r="A2432" s="3" t="s">
        <v>5553</v>
      </c>
      <c r="B2432" s="3">
        <v>6.2</v>
      </c>
      <c r="C2432" s="22" t="s">
        <v>8401</v>
      </c>
    </row>
    <row r="2433" spans="1:3" x14ac:dyDescent="0.3">
      <c r="A2433" s="4" t="s">
        <v>5555</v>
      </c>
      <c r="B2433" s="4">
        <v>6.5</v>
      </c>
      <c r="C2433" s="23" t="s">
        <v>9312</v>
      </c>
    </row>
    <row r="2434" spans="1:3" x14ac:dyDescent="0.3">
      <c r="A2434" s="3" t="s">
        <v>5557</v>
      </c>
      <c r="B2434" s="3">
        <v>8.1</v>
      </c>
      <c r="C2434" s="22" t="s">
        <v>9313</v>
      </c>
    </row>
    <row r="2435" spans="1:3" x14ac:dyDescent="0.3">
      <c r="A2435" s="4" t="s">
        <v>5559</v>
      </c>
      <c r="B2435" s="4">
        <v>6.3</v>
      </c>
      <c r="C2435" s="23" t="s">
        <v>9314</v>
      </c>
    </row>
    <row r="2436" spans="1:3" x14ac:dyDescent="0.3">
      <c r="A2436" s="3" t="s">
        <v>5561</v>
      </c>
      <c r="B2436" s="3">
        <v>4.4000000000000004</v>
      </c>
      <c r="C2436" s="22" t="s">
        <v>9315</v>
      </c>
    </row>
    <row r="2437" spans="1:3" x14ac:dyDescent="0.3">
      <c r="A2437" s="4" t="s">
        <v>5563</v>
      </c>
      <c r="B2437" s="4">
        <v>4.5999999999999996</v>
      </c>
      <c r="C2437" s="23" t="s">
        <v>9316</v>
      </c>
    </row>
    <row r="2438" spans="1:3" x14ac:dyDescent="0.3">
      <c r="A2438" s="3" t="s">
        <v>5565</v>
      </c>
      <c r="B2438" s="3">
        <v>6</v>
      </c>
      <c r="C2438" s="22" t="s">
        <v>9317</v>
      </c>
    </row>
    <row r="2439" spans="1:3" x14ac:dyDescent="0.3">
      <c r="A2439" s="4" t="s">
        <v>5567</v>
      </c>
      <c r="B2439" s="4">
        <v>7.6</v>
      </c>
      <c r="C2439" s="23" t="s">
        <v>8608</v>
      </c>
    </row>
    <row r="2440" spans="1:3" x14ac:dyDescent="0.3">
      <c r="A2440" s="3" t="s">
        <v>5569</v>
      </c>
      <c r="B2440" s="3">
        <v>8.4</v>
      </c>
      <c r="C2440" s="22" t="s">
        <v>8294</v>
      </c>
    </row>
    <row r="2441" spans="1:3" x14ac:dyDescent="0.3">
      <c r="A2441" s="4" t="s">
        <v>5571</v>
      </c>
      <c r="B2441" s="4">
        <v>7.9</v>
      </c>
      <c r="C2441" s="23" t="s">
        <v>9318</v>
      </c>
    </row>
    <row r="2442" spans="1:3" x14ac:dyDescent="0.3">
      <c r="A2442" s="3" t="s">
        <v>5574</v>
      </c>
      <c r="B2442" s="3">
        <v>5.6</v>
      </c>
      <c r="C2442" s="22" t="s">
        <v>8712</v>
      </c>
    </row>
    <row r="2443" spans="1:3" x14ac:dyDescent="0.3">
      <c r="A2443" s="4" t="s">
        <v>5576</v>
      </c>
      <c r="B2443" s="4">
        <v>6.5</v>
      </c>
      <c r="C2443" s="23" t="s">
        <v>8919</v>
      </c>
    </row>
    <row r="2444" spans="1:3" x14ac:dyDescent="0.3">
      <c r="A2444" s="3" t="s">
        <v>5578</v>
      </c>
      <c r="B2444" s="3">
        <v>7.5</v>
      </c>
      <c r="C2444" s="22" t="s">
        <v>8983</v>
      </c>
    </row>
    <row r="2445" spans="1:3" x14ac:dyDescent="0.3">
      <c r="A2445" s="4" t="s">
        <v>5580</v>
      </c>
      <c r="B2445" s="4">
        <v>6.3</v>
      </c>
      <c r="C2445" s="23" t="s">
        <v>8719</v>
      </c>
    </row>
    <row r="2446" spans="1:3" x14ac:dyDescent="0.3">
      <c r="A2446" s="3" t="s">
        <v>5582</v>
      </c>
      <c r="B2446" s="3">
        <v>7.9</v>
      </c>
      <c r="C2446" s="22" t="s">
        <v>8762</v>
      </c>
    </row>
    <row r="2447" spans="1:3" x14ac:dyDescent="0.3">
      <c r="A2447" s="4" t="s">
        <v>5584</v>
      </c>
      <c r="B2447" s="4">
        <v>7.9</v>
      </c>
      <c r="C2447" s="23" t="s">
        <v>8480</v>
      </c>
    </row>
    <row r="2448" spans="1:3" x14ac:dyDescent="0.3">
      <c r="A2448" s="3" t="s">
        <v>5586</v>
      </c>
      <c r="B2448" s="3">
        <v>5.0999999999999996</v>
      </c>
      <c r="C2448" s="22" t="s">
        <v>9319</v>
      </c>
    </row>
    <row r="2449" spans="1:3" x14ac:dyDescent="0.3">
      <c r="A2449" s="4" t="s">
        <v>5588</v>
      </c>
      <c r="B2449" s="4">
        <v>6.7</v>
      </c>
      <c r="C2449" s="23" t="s">
        <v>8872</v>
      </c>
    </row>
    <row r="2450" spans="1:3" x14ac:dyDescent="0.3">
      <c r="A2450" s="3" t="s">
        <v>5591</v>
      </c>
      <c r="B2450" s="3">
        <v>6.7</v>
      </c>
      <c r="C2450" s="22" t="s">
        <v>9089</v>
      </c>
    </row>
    <row r="2451" spans="1:3" x14ac:dyDescent="0.3">
      <c r="A2451" s="4" t="s">
        <v>5593</v>
      </c>
      <c r="B2451" s="4">
        <v>5.6</v>
      </c>
      <c r="C2451" s="23" t="s">
        <v>9320</v>
      </c>
    </row>
    <row r="2452" spans="1:3" x14ac:dyDescent="0.3">
      <c r="A2452" s="3" t="s">
        <v>5595</v>
      </c>
      <c r="B2452" s="3">
        <v>5.6</v>
      </c>
      <c r="C2452" s="22" t="s">
        <v>8626</v>
      </c>
    </row>
    <row r="2453" spans="1:3" x14ac:dyDescent="0.3">
      <c r="A2453" s="4" t="s">
        <v>5597</v>
      </c>
      <c r="B2453" s="4">
        <v>6.8</v>
      </c>
      <c r="C2453" s="23" t="s">
        <v>8322</v>
      </c>
    </row>
    <row r="2454" spans="1:3" x14ac:dyDescent="0.3">
      <c r="A2454" s="3" t="s">
        <v>5599</v>
      </c>
      <c r="B2454" s="3">
        <v>6.2</v>
      </c>
      <c r="C2454" s="22" t="s">
        <v>9321</v>
      </c>
    </row>
    <row r="2455" spans="1:3" x14ac:dyDescent="0.3">
      <c r="A2455" s="4" t="s">
        <v>5601</v>
      </c>
      <c r="B2455" s="4">
        <v>5.6</v>
      </c>
      <c r="C2455" s="23" t="s">
        <v>9278</v>
      </c>
    </row>
    <row r="2456" spans="1:3" x14ac:dyDescent="0.3">
      <c r="A2456" s="3" t="s">
        <v>5603</v>
      </c>
      <c r="B2456" s="3">
        <v>6.4</v>
      </c>
      <c r="C2456" s="22" t="s">
        <v>8923</v>
      </c>
    </row>
    <row r="2457" spans="1:3" x14ac:dyDescent="0.3">
      <c r="A2457" s="4" t="s">
        <v>5605</v>
      </c>
      <c r="B2457" s="4">
        <v>5.6</v>
      </c>
      <c r="C2457" s="23" t="s">
        <v>8693</v>
      </c>
    </row>
    <row r="2458" spans="1:3" x14ac:dyDescent="0.3">
      <c r="A2458" s="3" t="s">
        <v>5607</v>
      </c>
      <c r="B2458" s="3">
        <v>7.4</v>
      </c>
      <c r="C2458" s="22" t="s">
        <v>9019</v>
      </c>
    </row>
    <row r="2459" spans="1:3" x14ac:dyDescent="0.3">
      <c r="A2459" s="4" t="s">
        <v>5610</v>
      </c>
      <c r="B2459" s="4">
        <v>4.9000000000000004</v>
      </c>
      <c r="C2459" s="23" t="s">
        <v>9322</v>
      </c>
    </row>
    <row r="2460" spans="1:3" x14ac:dyDescent="0.3">
      <c r="A2460" s="3" t="s">
        <v>5613</v>
      </c>
      <c r="B2460" s="3">
        <v>6</v>
      </c>
      <c r="C2460" s="22" t="s">
        <v>9323</v>
      </c>
    </row>
    <row r="2461" spans="1:3" x14ac:dyDescent="0.3">
      <c r="A2461" s="4" t="s">
        <v>5615</v>
      </c>
      <c r="B2461" s="4">
        <v>7.2</v>
      </c>
      <c r="C2461" s="23" t="s">
        <v>9324</v>
      </c>
    </row>
    <row r="2462" spans="1:3" x14ac:dyDescent="0.3">
      <c r="A2462" s="3" t="s">
        <v>5617</v>
      </c>
      <c r="B2462" s="3">
        <v>4.9000000000000004</v>
      </c>
      <c r="C2462" s="22" t="s">
        <v>8914</v>
      </c>
    </row>
    <row r="2463" spans="1:3" x14ac:dyDescent="0.3">
      <c r="A2463" s="4" t="s">
        <v>5619</v>
      </c>
      <c r="B2463" s="4">
        <v>7.5</v>
      </c>
      <c r="C2463" s="23" t="s">
        <v>8300</v>
      </c>
    </row>
    <row r="2464" spans="1:3" x14ac:dyDescent="0.3">
      <c r="A2464" s="3" t="s">
        <v>5621</v>
      </c>
      <c r="B2464" s="3">
        <v>4.8</v>
      </c>
      <c r="C2464" s="22" t="s">
        <v>9325</v>
      </c>
    </row>
    <row r="2465" spans="1:3" x14ac:dyDescent="0.3">
      <c r="A2465" s="4" t="s">
        <v>5623</v>
      </c>
      <c r="B2465" s="4">
        <v>3.1</v>
      </c>
      <c r="C2465" s="23" t="s">
        <v>9326</v>
      </c>
    </row>
    <row r="2466" spans="1:3" x14ac:dyDescent="0.3">
      <c r="A2466" s="3" t="s">
        <v>5625</v>
      </c>
      <c r="B2466" s="3">
        <v>5.8</v>
      </c>
      <c r="C2466" s="22" t="s">
        <v>9327</v>
      </c>
    </row>
    <row r="2467" spans="1:3" x14ac:dyDescent="0.3">
      <c r="A2467" s="4" t="s">
        <v>5627</v>
      </c>
      <c r="B2467" s="4">
        <v>6.7</v>
      </c>
      <c r="C2467" s="23" t="s">
        <v>8567</v>
      </c>
    </row>
    <row r="2468" spans="1:3" x14ac:dyDescent="0.3">
      <c r="A2468" s="3" t="s">
        <v>5630</v>
      </c>
      <c r="B2468" s="3">
        <v>6.8</v>
      </c>
      <c r="C2468" s="22" t="s">
        <v>9328</v>
      </c>
    </row>
    <row r="2469" spans="1:3" x14ac:dyDescent="0.3">
      <c r="A2469" s="4" t="s">
        <v>5632</v>
      </c>
      <c r="B2469" s="4">
        <v>6.5</v>
      </c>
      <c r="C2469" s="23" t="s">
        <v>9329</v>
      </c>
    </row>
    <row r="2470" spans="1:3" x14ac:dyDescent="0.3">
      <c r="A2470" s="3" t="s">
        <v>5634</v>
      </c>
      <c r="B2470" s="3">
        <v>5.9</v>
      </c>
      <c r="C2470" s="22" t="s">
        <v>8665</v>
      </c>
    </row>
    <row r="2471" spans="1:3" x14ac:dyDescent="0.3">
      <c r="A2471" s="4" t="s">
        <v>5636</v>
      </c>
      <c r="B2471" s="4">
        <v>5.5</v>
      </c>
      <c r="C2471" s="23" t="s">
        <v>8459</v>
      </c>
    </row>
    <row r="2472" spans="1:3" x14ac:dyDescent="0.3">
      <c r="A2472" s="3" t="s">
        <v>5639</v>
      </c>
      <c r="B2472" s="3">
        <v>3.6</v>
      </c>
      <c r="C2472" s="22" t="s">
        <v>9330</v>
      </c>
    </row>
    <row r="2473" spans="1:3" x14ac:dyDescent="0.3">
      <c r="A2473" s="4" t="s">
        <v>5641</v>
      </c>
      <c r="B2473" s="4">
        <v>3.3</v>
      </c>
      <c r="C2473" s="23" t="s">
        <v>9331</v>
      </c>
    </row>
    <row r="2474" spans="1:3" x14ac:dyDescent="0.3">
      <c r="A2474" s="3" t="s">
        <v>5643</v>
      </c>
      <c r="B2474" s="3">
        <v>7.4</v>
      </c>
      <c r="C2474" s="22" t="s">
        <v>9332</v>
      </c>
    </row>
    <row r="2475" spans="1:3" x14ac:dyDescent="0.3">
      <c r="A2475" s="4" t="s">
        <v>5645</v>
      </c>
      <c r="B2475" s="4">
        <v>6.7</v>
      </c>
      <c r="C2475" s="23" t="s">
        <v>9333</v>
      </c>
    </row>
    <row r="2476" spans="1:3" x14ac:dyDescent="0.3">
      <c r="A2476" s="3" t="s">
        <v>5647</v>
      </c>
      <c r="B2476" s="3">
        <v>3</v>
      </c>
      <c r="C2476" s="22" t="s">
        <v>9334</v>
      </c>
    </row>
    <row r="2477" spans="1:3" x14ac:dyDescent="0.3">
      <c r="A2477" s="4" t="s">
        <v>5649</v>
      </c>
      <c r="B2477" s="4">
        <v>7.6</v>
      </c>
      <c r="C2477" s="23" t="s">
        <v>8515</v>
      </c>
    </row>
    <row r="2478" spans="1:3" x14ac:dyDescent="0.3">
      <c r="A2478" s="3" t="s">
        <v>5651</v>
      </c>
      <c r="B2478" s="3">
        <v>6.4</v>
      </c>
      <c r="C2478" s="22" t="s">
        <v>9335</v>
      </c>
    </row>
    <row r="2479" spans="1:3" x14ac:dyDescent="0.3">
      <c r="A2479" s="4" t="s">
        <v>5653</v>
      </c>
      <c r="B2479" s="4">
        <v>6.9</v>
      </c>
      <c r="C2479" s="23" t="s">
        <v>8426</v>
      </c>
    </row>
    <row r="2480" spans="1:3" x14ac:dyDescent="0.3">
      <c r="A2480" s="3" t="s">
        <v>5655</v>
      </c>
      <c r="B2480" s="3">
        <v>6.6</v>
      </c>
      <c r="C2480" s="22" t="s">
        <v>9336</v>
      </c>
    </row>
    <row r="2481" spans="1:3" x14ac:dyDescent="0.3">
      <c r="A2481" s="4" t="s">
        <v>5657</v>
      </c>
      <c r="B2481" s="4">
        <v>5.5</v>
      </c>
      <c r="C2481" s="23" t="s">
        <v>9119</v>
      </c>
    </row>
    <row r="2482" spans="1:3" x14ac:dyDescent="0.3">
      <c r="A2482" s="3" t="s">
        <v>5659</v>
      </c>
      <c r="B2482" s="3">
        <v>6.6</v>
      </c>
      <c r="C2482" s="22" t="s">
        <v>9337</v>
      </c>
    </row>
    <row r="2483" spans="1:3" x14ac:dyDescent="0.3">
      <c r="A2483" s="4" t="s">
        <v>5661</v>
      </c>
      <c r="B2483" s="4">
        <v>5.2</v>
      </c>
      <c r="C2483" s="23" t="s">
        <v>9338</v>
      </c>
    </row>
    <row r="2484" spans="1:3" x14ac:dyDescent="0.3">
      <c r="A2484" s="3" t="s">
        <v>5663</v>
      </c>
      <c r="B2484" s="3">
        <v>4.0999999999999996</v>
      </c>
      <c r="C2484" s="22" t="s">
        <v>9339</v>
      </c>
    </row>
    <row r="2485" spans="1:3" x14ac:dyDescent="0.3">
      <c r="A2485" s="4" t="s">
        <v>5665</v>
      </c>
      <c r="B2485" s="4">
        <v>6.8</v>
      </c>
      <c r="C2485" s="23" t="s">
        <v>9340</v>
      </c>
    </row>
    <row r="2486" spans="1:3" x14ac:dyDescent="0.3">
      <c r="A2486" s="3" t="s">
        <v>5667</v>
      </c>
      <c r="B2486" s="3">
        <v>6.5</v>
      </c>
      <c r="C2486" s="22" t="s">
        <v>9341</v>
      </c>
    </row>
    <row r="2487" spans="1:3" x14ac:dyDescent="0.3">
      <c r="A2487" s="4" t="s">
        <v>5669</v>
      </c>
      <c r="B2487" s="4">
        <v>7.6</v>
      </c>
      <c r="C2487" s="23" t="s">
        <v>8515</v>
      </c>
    </row>
    <row r="2488" spans="1:3" x14ac:dyDescent="0.3">
      <c r="A2488" s="3" t="s">
        <v>5671</v>
      </c>
      <c r="B2488" s="3">
        <v>7.4</v>
      </c>
      <c r="C2488" s="22" t="s">
        <v>8372</v>
      </c>
    </row>
    <row r="2489" spans="1:3" x14ac:dyDescent="0.3">
      <c r="A2489" s="4" t="s">
        <v>5673</v>
      </c>
      <c r="B2489" s="4">
        <v>7.7</v>
      </c>
      <c r="C2489" s="23" t="s">
        <v>8400</v>
      </c>
    </row>
    <row r="2490" spans="1:3" x14ac:dyDescent="0.3">
      <c r="A2490" s="3" t="s">
        <v>5675</v>
      </c>
      <c r="B2490" s="3">
        <v>7.1</v>
      </c>
      <c r="C2490" s="22" t="s">
        <v>9342</v>
      </c>
    </row>
    <row r="2491" spans="1:3" x14ac:dyDescent="0.3">
      <c r="A2491" s="4" t="s">
        <v>5678</v>
      </c>
      <c r="B2491" s="4">
        <v>6.3</v>
      </c>
      <c r="C2491" s="23" t="s">
        <v>9343</v>
      </c>
    </row>
    <row r="2492" spans="1:3" x14ac:dyDescent="0.3">
      <c r="A2492" s="3" t="s">
        <v>5680</v>
      </c>
      <c r="B2492" s="3">
        <v>7.6</v>
      </c>
      <c r="C2492" s="22" t="s">
        <v>9344</v>
      </c>
    </row>
    <row r="2493" spans="1:3" x14ac:dyDescent="0.3">
      <c r="A2493" s="4" t="s">
        <v>5682</v>
      </c>
      <c r="B2493" s="4">
        <v>8</v>
      </c>
      <c r="C2493" s="23" t="s">
        <v>8404</v>
      </c>
    </row>
    <row r="2494" spans="1:3" x14ac:dyDescent="0.3">
      <c r="A2494" s="3" t="s">
        <v>5684</v>
      </c>
      <c r="B2494" s="3">
        <v>7.3</v>
      </c>
      <c r="C2494" s="22" t="s">
        <v>9345</v>
      </c>
    </row>
    <row r="2495" spans="1:3" x14ac:dyDescent="0.3">
      <c r="A2495" s="4" t="s">
        <v>5686</v>
      </c>
      <c r="B2495" s="4">
        <v>7.6</v>
      </c>
      <c r="C2495" s="23" t="s">
        <v>8633</v>
      </c>
    </row>
    <row r="2496" spans="1:3" x14ac:dyDescent="0.3">
      <c r="A2496" s="3" t="s">
        <v>5688</v>
      </c>
      <c r="B2496" s="3">
        <v>7.8</v>
      </c>
      <c r="C2496" s="22" t="s">
        <v>9152</v>
      </c>
    </row>
    <row r="2497" spans="1:3" x14ac:dyDescent="0.3">
      <c r="A2497" s="4" t="s">
        <v>5690</v>
      </c>
      <c r="B2497" s="4">
        <v>6.5</v>
      </c>
      <c r="C2497" s="23" t="s">
        <v>8528</v>
      </c>
    </row>
    <row r="2498" spans="1:3" x14ac:dyDescent="0.3">
      <c r="A2498" s="3" t="s">
        <v>5692</v>
      </c>
      <c r="B2498" s="3">
        <v>6.4</v>
      </c>
      <c r="C2498" s="22" t="s">
        <v>8648</v>
      </c>
    </row>
    <row r="2499" spans="1:3" x14ac:dyDescent="0.3">
      <c r="A2499" s="4" t="s">
        <v>5694</v>
      </c>
      <c r="B2499" s="4">
        <v>8</v>
      </c>
      <c r="C2499" s="23" t="s">
        <v>9346</v>
      </c>
    </row>
    <row r="2500" spans="1:3" x14ac:dyDescent="0.3">
      <c r="A2500" s="3" t="s">
        <v>5697</v>
      </c>
      <c r="B2500" s="3">
        <v>4.8</v>
      </c>
      <c r="C2500" s="22" t="s">
        <v>8624</v>
      </c>
    </row>
    <row r="2501" spans="1:3" x14ac:dyDescent="0.3">
      <c r="A2501" s="4" t="s">
        <v>5699</v>
      </c>
      <c r="B2501" s="4">
        <v>7.8</v>
      </c>
      <c r="C2501" s="23" t="s">
        <v>8763</v>
      </c>
    </row>
    <row r="2502" spans="1:3" x14ac:dyDescent="0.3">
      <c r="A2502" s="3" t="s">
        <v>5701</v>
      </c>
      <c r="B2502" s="3">
        <v>5.9</v>
      </c>
      <c r="C2502" s="22" t="s">
        <v>8382</v>
      </c>
    </row>
    <row r="2503" spans="1:3" x14ac:dyDescent="0.3">
      <c r="A2503" s="4" t="s">
        <v>5703</v>
      </c>
      <c r="B2503" s="4">
        <v>5.4</v>
      </c>
      <c r="C2503" s="23" t="s">
        <v>9347</v>
      </c>
    </row>
    <row r="2504" spans="1:3" x14ac:dyDescent="0.3">
      <c r="A2504" s="3" t="s">
        <v>5705</v>
      </c>
      <c r="B2504" s="3">
        <v>3.3</v>
      </c>
      <c r="C2504" s="22" t="s">
        <v>9348</v>
      </c>
    </row>
    <row r="2505" spans="1:3" x14ac:dyDescent="0.3">
      <c r="A2505" s="4" t="s">
        <v>5707</v>
      </c>
      <c r="B2505" s="4">
        <v>8.1999999999999993</v>
      </c>
      <c r="C2505" s="23" t="s">
        <v>8331</v>
      </c>
    </row>
    <row r="2506" spans="1:3" x14ac:dyDescent="0.3">
      <c r="A2506" s="3" t="s">
        <v>5709</v>
      </c>
      <c r="B2506" s="3">
        <v>5.4</v>
      </c>
      <c r="C2506" s="22" t="s">
        <v>8726</v>
      </c>
    </row>
    <row r="2507" spans="1:3" x14ac:dyDescent="0.3">
      <c r="A2507" s="4" t="s">
        <v>5711</v>
      </c>
      <c r="B2507" s="4">
        <v>6.4</v>
      </c>
      <c r="C2507" s="23" t="s">
        <v>8558</v>
      </c>
    </row>
    <row r="2508" spans="1:3" x14ac:dyDescent="0.3">
      <c r="A2508" s="3" t="s">
        <v>5713</v>
      </c>
      <c r="B2508" s="3">
        <v>4.8</v>
      </c>
      <c r="C2508" s="22" t="s">
        <v>9349</v>
      </c>
    </row>
    <row r="2509" spans="1:3" x14ac:dyDescent="0.3">
      <c r="A2509" s="4" t="s">
        <v>5715</v>
      </c>
      <c r="B2509" s="4">
        <v>5.9</v>
      </c>
      <c r="C2509" s="23" t="s">
        <v>8868</v>
      </c>
    </row>
    <row r="2510" spans="1:3" x14ac:dyDescent="0.3">
      <c r="A2510" s="3" t="s">
        <v>5718</v>
      </c>
      <c r="B2510" s="3">
        <v>5.5</v>
      </c>
      <c r="C2510" s="22" t="s">
        <v>9350</v>
      </c>
    </row>
    <row r="2511" spans="1:3" x14ac:dyDescent="0.3">
      <c r="A2511" s="4" t="s">
        <v>5720</v>
      </c>
      <c r="B2511" s="4">
        <v>7.9</v>
      </c>
      <c r="C2511" s="23" t="s">
        <v>8522</v>
      </c>
    </row>
    <row r="2512" spans="1:3" x14ac:dyDescent="0.3">
      <c r="A2512" s="3" t="s">
        <v>5722</v>
      </c>
      <c r="B2512" s="3">
        <v>4.9000000000000004</v>
      </c>
      <c r="C2512" s="22" t="s">
        <v>9351</v>
      </c>
    </row>
    <row r="2513" spans="1:3" x14ac:dyDescent="0.3">
      <c r="A2513" s="4" t="s">
        <v>5724</v>
      </c>
      <c r="B2513" s="4">
        <v>7.2</v>
      </c>
      <c r="C2513" s="23" t="s">
        <v>8989</v>
      </c>
    </row>
    <row r="2514" spans="1:3" x14ac:dyDescent="0.3">
      <c r="A2514" s="3" t="s">
        <v>5726</v>
      </c>
      <c r="B2514" s="3">
        <v>6.6</v>
      </c>
      <c r="C2514" s="22" t="s">
        <v>9352</v>
      </c>
    </row>
    <row r="2515" spans="1:3" x14ac:dyDescent="0.3">
      <c r="A2515" s="4" t="s">
        <v>5728</v>
      </c>
      <c r="B2515" s="4">
        <v>6.7</v>
      </c>
      <c r="C2515" s="23" t="s">
        <v>9196</v>
      </c>
    </row>
    <row r="2516" spans="1:3" x14ac:dyDescent="0.3">
      <c r="A2516" s="3" t="s">
        <v>5730</v>
      </c>
      <c r="B2516" s="3">
        <v>5.3</v>
      </c>
      <c r="C2516" s="22" t="s">
        <v>9353</v>
      </c>
    </row>
    <row r="2517" spans="1:3" x14ac:dyDescent="0.3">
      <c r="A2517" s="4" t="s">
        <v>5732</v>
      </c>
      <c r="B2517" s="4">
        <v>7.2</v>
      </c>
      <c r="C2517" s="23" t="s">
        <v>9354</v>
      </c>
    </row>
    <row r="2518" spans="1:3" x14ac:dyDescent="0.3">
      <c r="A2518" s="3" t="s">
        <v>5734</v>
      </c>
      <c r="B2518" s="3">
        <v>5.0999999999999996</v>
      </c>
      <c r="C2518" s="22" t="s">
        <v>8707</v>
      </c>
    </row>
    <row r="2519" spans="1:3" x14ac:dyDescent="0.3">
      <c r="A2519" s="4" t="s">
        <v>5736</v>
      </c>
      <c r="B2519" s="4">
        <v>5.6</v>
      </c>
      <c r="C2519" s="23" t="s">
        <v>9355</v>
      </c>
    </row>
    <row r="2520" spans="1:3" x14ac:dyDescent="0.3">
      <c r="A2520" s="3" t="s">
        <v>5738</v>
      </c>
      <c r="B2520" s="3">
        <v>7.6</v>
      </c>
      <c r="C2520" s="22" t="s">
        <v>8989</v>
      </c>
    </row>
    <row r="2521" spans="1:3" x14ac:dyDescent="0.3">
      <c r="A2521" s="4" t="s">
        <v>5740</v>
      </c>
      <c r="B2521" s="4">
        <v>3.1</v>
      </c>
      <c r="C2521" s="23" t="s">
        <v>9284</v>
      </c>
    </row>
    <row r="2522" spans="1:3" x14ac:dyDescent="0.3">
      <c r="A2522" s="3" t="s">
        <v>5742</v>
      </c>
      <c r="B2522" s="3">
        <v>7.2</v>
      </c>
      <c r="C2522" s="22" t="s">
        <v>9356</v>
      </c>
    </row>
    <row r="2523" spans="1:3" x14ac:dyDescent="0.3">
      <c r="A2523" s="4" t="s">
        <v>5744</v>
      </c>
      <c r="B2523" s="4">
        <v>5.7</v>
      </c>
      <c r="C2523" s="23" t="s">
        <v>9357</v>
      </c>
    </row>
    <row r="2524" spans="1:3" x14ac:dyDescent="0.3">
      <c r="A2524" s="3" t="s">
        <v>5746</v>
      </c>
      <c r="B2524" s="3">
        <v>5.2</v>
      </c>
      <c r="C2524" s="22" t="s">
        <v>9128</v>
      </c>
    </row>
    <row r="2525" spans="1:3" x14ac:dyDescent="0.3">
      <c r="A2525" s="4" t="s">
        <v>5748</v>
      </c>
      <c r="B2525" s="4">
        <v>7.7</v>
      </c>
      <c r="C2525" s="23" t="s">
        <v>8543</v>
      </c>
    </row>
    <row r="2526" spans="1:3" x14ac:dyDescent="0.3">
      <c r="A2526" s="3" t="s">
        <v>5750</v>
      </c>
      <c r="B2526" s="3">
        <v>7</v>
      </c>
      <c r="C2526" s="22" t="s">
        <v>9358</v>
      </c>
    </row>
    <row r="2527" spans="1:3" x14ac:dyDescent="0.3">
      <c r="A2527" s="4" t="s">
        <v>5753</v>
      </c>
      <c r="B2527" s="4">
        <v>3.6</v>
      </c>
      <c r="C2527" s="23" t="s">
        <v>9359</v>
      </c>
    </row>
    <row r="2528" spans="1:3" x14ac:dyDescent="0.3">
      <c r="A2528" s="3" t="s">
        <v>5755</v>
      </c>
      <c r="B2528" s="3">
        <v>4.9000000000000004</v>
      </c>
      <c r="C2528" s="22" t="s">
        <v>9360</v>
      </c>
    </row>
    <row r="2529" spans="1:3" x14ac:dyDescent="0.3">
      <c r="A2529" s="4" t="s">
        <v>5758</v>
      </c>
      <c r="B2529" s="4">
        <v>6</v>
      </c>
      <c r="C2529" s="23" t="s">
        <v>9361</v>
      </c>
    </row>
    <row r="2530" spans="1:3" x14ac:dyDescent="0.3">
      <c r="A2530" s="3" t="s">
        <v>5761</v>
      </c>
      <c r="B2530" s="3">
        <v>6.6</v>
      </c>
      <c r="C2530" s="22" t="s">
        <v>8989</v>
      </c>
    </row>
    <row r="2531" spans="1:3" x14ac:dyDescent="0.3">
      <c r="A2531" s="4" t="s">
        <v>5764</v>
      </c>
      <c r="B2531" s="4">
        <v>6.8</v>
      </c>
      <c r="C2531" s="23" t="s">
        <v>9362</v>
      </c>
    </row>
    <row r="2532" spans="1:3" x14ac:dyDescent="0.3">
      <c r="A2532" s="3" t="s">
        <v>5766</v>
      </c>
      <c r="B2532" s="3">
        <v>7.2</v>
      </c>
      <c r="C2532" s="22" t="s">
        <v>8796</v>
      </c>
    </row>
    <row r="2533" spans="1:3" x14ac:dyDescent="0.3">
      <c r="A2533" s="4" t="s">
        <v>5768</v>
      </c>
      <c r="B2533" s="4">
        <v>7.2</v>
      </c>
      <c r="C2533" s="23" t="s">
        <v>9363</v>
      </c>
    </row>
    <row r="2534" spans="1:3" x14ac:dyDescent="0.3">
      <c r="A2534" s="3" t="s">
        <v>5770</v>
      </c>
      <c r="B2534" s="3">
        <v>2.8</v>
      </c>
      <c r="C2534" s="22" t="s">
        <v>9364</v>
      </c>
    </row>
    <row r="2535" spans="1:3" x14ac:dyDescent="0.3">
      <c r="A2535" s="4" t="s">
        <v>5772</v>
      </c>
      <c r="B2535" s="4">
        <v>6.6</v>
      </c>
      <c r="C2535" s="23" t="s">
        <v>9054</v>
      </c>
    </row>
    <row r="2536" spans="1:3" x14ac:dyDescent="0.3">
      <c r="A2536" s="3" t="s">
        <v>5774</v>
      </c>
      <c r="B2536" s="3">
        <v>6.7</v>
      </c>
      <c r="C2536" s="22" t="s">
        <v>9365</v>
      </c>
    </row>
    <row r="2537" spans="1:3" x14ac:dyDescent="0.3">
      <c r="A2537" s="4" t="s">
        <v>5776</v>
      </c>
      <c r="B2537" s="4">
        <v>7</v>
      </c>
      <c r="C2537" s="23" t="s">
        <v>8757</v>
      </c>
    </row>
    <row r="2538" spans="1:3" x14ac:dyDescent="0.3">
      <c r="A2538" s="3" t="s">
        <v>5778</v>
      </c>
      <c r="B2538" s="3">
        <v>4.4000000000000004</v>
      </c>
      <c r="C2538" s="22" t="s">
        <v>9366</v>
      </c>
    </row>
    <row r="2539" spans="1:3" x14ac:dyDescent="0.3">
      <c r="A2539" s="4" t="s">
        <v>5781</v>
      </c>
      <c r="B2539" s="4">
        <v>7.1</v>
      </c>
      <c r="C2539" s="23" t="s">
        <v>9367</v>
      </c>
    </row>
    <row r="2540" spans="1:3" x14ac:dyDescent="0.3">
      <c r="A2540" s="3" t="s">
        <v>5783</v>
      </c>
      <c r="B2540" s="3">
        <v>6.2</v>
      </c>
      <c r="C2540" s="22" t="s">
        <v>9368</v>
      </c>
    </row>
    <row r="2541" spans="1:3" x14ac:dyDescent="0.3">
      <c r="A2541" s="4" t="s">
        <v>5785</v>
      </c>
      <c r="B2541" s="4">
        <v>7.3</v>
      </c>
      <c r="C2541" s="23" t="s">
        <v>9369</v>
      </c>
    </row>
    <row r="2542" spans="1:3" x14ac:dyDescent="0.3">
      <c r="A2542" s="3" t="s">
        <v>5787</v>
      </c>
      <c r="B2542" s="3">
        <v>5.0999999999999996</v>
      </c>
      <c r="C2542" s="22" t="s">
        <v>9234</v>
      </c>
    </row>
    <row r="2543" spans="1:3" x14ac:dyDescent="0.3">
      <c r="A2543" s="4" t="s">
        <v>5789</v>
      </c>
      <c r="B2543" s="4">
        <v>8.1</v>
      </c>
      <c r="C2543" s="23" t="s">
        <v>8937</v>
      </c>
    </row>
    <row r="2544" spans="1:3" x14ac:dyDescent="0.3">
      <c r="A2544" s="3" t="s">
        <v>5791</v>
      </c>
      <c r="B2544" s="3">
        <v>6.7</v>
      </c>
      <c r="C2544" s="22" t="s">
        <v>9370</v>
      </c>
    </row>
    <row r="2545" spans="1:3" x14ac:dyDescent="0.3">
      <c r="A2545" s="4" t="s">
        <v>5793</v>
      </c>
      <c r="B2545" s="4">
        <v>6.6</v>
      </c>
      <c r="C2545" s="23" t="s">
        <v>9371</v>
      </c>
    </row>
    <row r="2546" spans="1:3" x14ac:dyDescent="0.3">
      <c r="A2546" s="3" t="s">
        <v>5795</v>
      </c>
      <c r="B2546" s="3">
        <v>4.5</v>
      </c>
      <c r="C2546" s="22" t="s">
        <v>9372</v>
      </c>
    </row>
    <row r="2547" spans="1:3" x14ac:dyDescent="0.3">
      <c r="A2547" s="4" t="s">
        <v>5797</v>
      </c>
      <c r="B2547" s="4">
        <v>6.6</v>
      </c>
      <c r="C2547" s="23" t="s">
        <v>9135</v>
      </c>
    </row>
    <row r="2548" spans="1:3" x14ac:dyDescent="0.3">
      <c r="A2548" s="3" t="s">
        <v>5799</v>
      </c>
      <c r="B2548" s="3">
        <v>6.5</v>
      </c>
      <c r="C2548" s="22" t="s">
        <v>9373</v>
      </c>
    </row>
    <row r="2549" spans="1:3" x14ac:dyDescent="0.3">
      <c r="A2549" s="4" t="s">
        <v>5801</v>
      </c>
      <c r="B2549" s="4">
        <v>5.9</v>
      </c>
      <c r="C2549" s="23" t="s">
        <v>9374</v>
      </c>
    </row>
    <row r="2550" spans="1:3" x14ac:dyDescent="0.3">
      <c r="A2550" s="3" t="s">
        <v>5804</v>
      </c>
      <c r="B2550" s="3">
        <v>6.6</v>
      </c>
      <c r="C2550" s="22" t="s">
        <v>9375</v>
      </c>
    </row>
    <row r="2551" spans="1:3" x14ac:dyDescent="0.3">
      <c r="A2551" s="4" t="s">
        <v>5807</v>
      </c>
      <c r="B2551" s="4">
        <v>6.5</v>
      </c>
      <c r="C2551" s="23" t="s">
        <v>8360</v>
      </c>
    </row>
    <row r="2552" spans="1:3" x14ac:dyDescent="0.3">
      <c r="A2552" s="3" t="s">
        <v>5809</v>
      </c>
      <c r="B2552" s="3">
        <v>7.3</v>
      </c>
      <c r="C2552" s="22" t="s">
        <v>8518</v>
      </c>
    </row>
    <row r="2553" spans="1:3" x14ac:dyDescent="0.3">
      <c r="A2553" s="4" t="s">
        <v>5811</v>
      </c>
      <c r="B2553" s="4">
        <v>7.5</v>
      </c>
      <c r="C2553" s="23" t="s">
        <v>8419</v>
      </c>
    </row>
    <row r="2554" spans="1:3" x14ac:dyDescent="0.3">
      <c r="A2554" s="3" t="s">
        <v>5813</v>
      </c>
      <c r="B2554" s="3">
        <v>5.9</v>
      </c>
      <c r="C2554" s="22" t="s">
        <v>9146</v>
      </c>
    </row>
    <row r="2555" spans="1:3" x14ac:dyDescent="0.3">
      <c r="A2555" s="4" t="s">
        <v>5815</v>
      </c>
      <c r="B2555" s="4">
        <v>7.4</v>
      </c>
      <c r="C2555" s="23" t="s">
        <v>8500</v>
      </c>
    </row>
    <row r="2556" spans="1:3" x14ac:dyDescent="0.3">
      <c r="A2556" s="3" t="s">
        <v>5817</v>
      </c>
      <c r="B2556" s="3">
        <v>6.9</v>
      </c>
      <c r="C2556" s="22" t="s">
        <v>8458</v>
      </c>
    </row>
    <row r="2557" spans="1:3" x14ac:dyDescent="0.3">
      <c r="A2557" s="4" t="s">
        <v>5819</v>
      </c>
      <c r="B2557" s="4">
        <v>7.9</v>
      </c>
      <c r="C2557" s="23" t="s">
        <v>8400</v>
      </c>
    </row>
    <row r="2558" spans="1:3" x14ac:dyDescent="0.3">
      <c r="A2558" s="3" t="s">
        <v>5822</v>
      </c>
      <c r="B2558" s="3">
        <v>8.4</v>
      </c>
      <c r="C2558" s="22" t="s">
        <v>8296</v>
      </c>
    </row>
    <row r="2559" spans="1:3" x14ac:dyDescent="0.3">
      <c r="A2559" s="4" t="s">
        <v>5825</v>
      </c>
      <c r="B2559" s="4">
        <v>8</v>
      </c>
      <c r="C2559" s="23" t="s">
        <v>8616</v>
      </c>
    </row>
    <row r="2560" spans="1:3" x14ac:dyDescent="0.3">
      <c r="A2560" s="3" t="s">
        <v>5828</v>
      </c>
      <c r="B2560" s="3">
        <v>6</v>
      </c>
      <c r="C2560" s="22" t="s">
        <v>8539</v>
      </c>
    </row>
    <row r="2561" spans="1:3" x14ac:dyDescent="0.3">
      <c r="A2561" s="4" t="s">
        <v>5830</v>
      </c>
      <c r="B2561" s="4">
        <v>6.8</v>
      </c>
      <c r="C2561" s="23" t="s">
        <v>9376</v>
      </c>
    </row>
    <row r="2562" spans="1:3" x14ac:dyDescent="0.3">
      <c r="A2562" s="3" t="s">
        <v>5832</v>
      </c>
      <c r="B2562" s="3">
        <v>7.8</v>
      </c>
      <c r="C2562" s="22" t="s">
        <v>8332</v>
      </c>
    </row>
    <row r="2563" spans="1:3" x14ac:dyDescent="0.3">
      <c r="A2563" s="4" t="s">
        <v>5834</v>
      </c>
      <c r="B2563" s="4">
        <v>5.7</v>
      </c>
      <c r="C2563" s="23" t="s">
        <v>9377</v>
      </c>
    </row>
    <row r="2564" spans="1:3" x14ac:dyDescent="0.3">
      <c r="A2564" s="3" t="s">
        <v>5837</v>
      </c>
      <c r="B2564" s="3">
        <v>6.1</v>
      </c>
      <c r="C2564" s="22" t="s">
        <v>8497</v>
      </c>
    </row>
    <row r="2565" spans="1:3" x14ac:dyDescent="0.3">
      <c r="A2565" s="4" t="s">
        <v>5839</v>
      </c>
      <c r="B2565" s="4">
        <v>8.1</v>
      </c>
      <c r="C2565" s="23" t="s">
        <v>9378</v>
      </c>
    </row>
    <row r="2566" spans="1:3" x14ac:dyDescent="0.3">
      <c r="A2566" s="3" t="s">
        <v>5841</v>
      </c>
      <c r="B2566" s="3">
        <v>6.1</v>
      </c>
      <c r="C2566" s="22" t="s">
        <v>9340</v>
      </c>
    </row>
    <row r="2567" spans="1:3" x14ac:dyDescent="0.3">
      <c r="A2567" s="4" t="s">
        <v>5843</v>
      </c>
      <c r="B2567" s="4">
        <v>7.5</v>
      </c>
      <c r="C2567" s="23" t="s">
        <v>8371</v>
      </c>
    </row>
    <row r="2568" spans="1:3" x14ac:dyDescent="0.3">
      <c r="A2568" s="3" t="s">
        <v>5845</v>
      </c>
      <c r="B2568" s="3">
        <v>6.2</v>
      </c>
      <c r="C2568" s="22" t="s">
        <v>8501</v>
      </c>
    </row>
    <row r="2569" spans="1:3" x14ac:dyDescent="0.3">
      <c r="A2569" s="4" t="s">
        <v>5847</v>
      </c>
      <c r="B2569" s="4">
        <v>6.2</v>
      </c>
      <c r="C2569" s="23" t="s">
        <v>9379</v>
      </c>
    </row>
    <row r="2570" spans="1:3" x14ac:dyDescent="0.3">
      <c r="A2570" s="3" t="s">
        <v>5849</v>
      </c>
      <c r="B2570" s="3">
        <v>7.9</v>
      </c>
      <c r="C2570" s="22" t="s">
        <v>8762</v>
      </c>
    </row>
    <row r="2571" spans="1:3" x14ac:dyDescent="0.3">
      <c r="A2571" s="4" t="s">
        <v>5851</v>
      </c>
      <c r="B2571" s="4">
        <v>7.4</v>
      </c>
      <c r="C2571" s="23" t="s">
        <v>8663</v>
      </c>
    </row>
    <row r="2572" spans="1:3" x14ac:dyDescent="0.3">
      <c r="A2572" s="3" t="s">
        <v>5854</v>
      </c>
      <c r="B2572" s="3">
        <v>6.6</v>
      </c>
      <c r="C2572" s="22" t="s">
        <v>9192</v>
      </c>
    </row>
    <row r="2573" spans="1:3" x14ac:dyDescent="0.3">
      <c r="A2573" s="4" t="s">
        <v>5856</v>
      </c>
      <c r="B2573" s="4">
        <v>7.3</v>
      </c>
      <c r="C2573" s="23" t="s">
        <v>8784</v>
      </c>
    </row>
    <row r="2574" spans="1:3" x14ac:dyDescent="0.3">
      <c r="A2574" s="3" t="s">
        <v>5858</v>
      </c>
      <c r="B2574" s="3">
        <v>7.5</v>
      </c>
      <c r="C2574" s="22" t="s">
        <v>8318</v>
      </c>
    </row>
    <row r="2575" spans="1:3" x14ac:dyDescent="0.3">
      <c r="A2575" s="4" t="s">
        <v>5860</v>
      </c>
      <c r="B2575" s="4">
        <v>5.6</v>
      </c>
      <c r="C2575" s="23" t="s">
        <v>9088</v>
      </c>
    </row>
    <row r="2576" spans="1:3" x14ac:dyDescent="0.3">
      <c r="A2576" s="3" t="s">
        <v>5862</v>
      </c>
      <c r="B2576" s="3">
        <v>7.3</v>
      </c>
      <c r="C2576" s="22" t="s">
        <v>9380</v>
      </c>
    </row>
    <row r="2577" spans="1:3" x14ac:dyDescent="0.3">
      <c r="A2577" s="4" t="s">
        <v>5864</v>
      </c>
      <c r="B2577" s="4">
        <v>6.4</v>
      </c>
      <c r="C2577" s="23" t="s">
        <v>9381</v>
      </c>
    </row>
    <row r="2578" spans="1:3" x14ac:dyDescent="0.3">
      <c r="A2578" s="3" t="s">
        <v>5866</v>
      </c>
      <c r="B2578" s="3">
        <v>5</v>
      </c>
      <c r="C2578" s="22" t="s">
        <v>8465</v>
      </c>
    </row>
    <row r="2579" spans="1:3" x14ac:dyDescent="0.3">
      <c r="A2579" s="4" t="s">
        <v>5868</v>
      </c>
      <c r="B2579" s="4">
        <v>5.4</v>
      </c>
      <c r="C2579" s="23" t="s">
        <v>8374</v>
      </c>
    </row>
    <row r="2580" spans="1:3" x14ac:dyDescent="0.3">
      <c r="A2580" s="3" t="s">
        <v>5870</v>
      </c>
      <c r="B2580" s="3">
        <v>8.1999999999999993</v>
      </c>
      <c r="C2580" s="22" t="s">
        <v>8816</v>
      </c>
    </row>
    <row r="2581" spans="1:3" x14ac:dyDescent="0.3">
      <c r="A2581" s="4" t="s">
        <v>5872</v>
      </c>
      <c r="B2581" s="4">
        <v>7.1</v>
      </c>
      <c r="C2581" s="23" t="s">
        <v>8570</v>
      </c>
    </row>
    <row r="2582" spans="1:3" x14ac:dyDescent="0.3">
      <c r="A2582" s="3" t="s">
        <v>5874</v>
      </c>
      <c r="B2582" s="3">
        <v>5.3</v>
      </c>
      <c r="C2582" s="22" t="s">
        <v>9382</v>
      </c>
    </row>
    <row r="2583" spans="1:3" x14ac:dyDescent="0.3">
      <c r="A2583" s="4" t="s">
        <v>5876</v>
      </c>
      <c r="B2583" s="4">
        <v>6.5</v>
      </c>
      <c r="C2583" s="23" t="s">
        <v>9383</v>
      </c>
    </row>
    <row r="2584" spans="1:3" x14ac:dyDescent="0.3">
      <c r="A2584" s="3" t="s">
        <v>5878</v>
      </c>
      <c r="B2584" s="3">
        <v>6.2</v>
      </c>
      <c r="C2584" s="22" t="s">
        <v>9384</v>
      </c>
    </row>
    <row r="2585" spans="1:3" x14ac:dyDescent="0.3">
      <c r="A2585" s="4" t="s">
        <v>5881</v>
      </c>
      <c r="B2585" s="4">
        <v>6.4</v>
      </c>
      <c r="C2585" s="23" t="s">
        <v>8716</v>
      </c>
    </row>
    <row r="2586" spans="1:3" x14ac:dyDescent="0.3">
      <c r="A2586" s="3" t="s">
        <v>5883</v>
      </c>
      <c r="B2586" s="3">
        <v>7.2</v>
      </c>
      <c r="C2586" s="22" t="s">
        <v>8814</v>
      </c>
    </row>
    <row r="2587" spans="1:3" x14ac:dyDescent="0.3">
      <c r="A2587" s="4" t="s">
        <v>5885</v>
      </c>
      <c r="B2587" s="4">
        <v>6.9</v>
      </c>
      <c r="C2587" s="23" t="s">
        <v>8434</v>
      </c>
    </row>
    <row r="2588" spans="1:3" x14ac:dyDescent="0.3">
      <c r="A2588" s="3" t="s">
        <v>5887</v>
      </c>
      <c r="B2588" s="3">
        <v>5.7</v>
      </c>
      <c r="C2588" s="22" t="s">
        <v>9385</v>
      </c>
    </row>
    <row r="2589" spans="1:3" x14ac:dyDescent="0.3">
      <c r="A2589" s="4" t="s">
        <v>5890</v>
      </c>
      <c r="B2589" s="4">
        <v>7.7</v>
      </c>
      <c r="C2589" s="23" t="s">
        <v>8344</v>
      </c>
    </row>
    <row r="2590" spans="1:3" x14ac:dyDescent="0.3">
      <c r="A2590" s="3" t="s">
        <v>5892</v>
      </c>
      <c r="B2590" s="3">
        <v>5.4</v>
      </c>
      <c r="C2590" s="22" t="s">
        <v>8589</v>
      </c>
    </row>
    <row r="2591" spans="1:3" x14ac:dyDescent="0.3">
      <c r="A2591" s="4" t="s">
        <v>5894</v>
      </c>
      <c r="B2591" s="4">
        <v>5.6</v>
      </c>
      <c r="C2591" s="23" t="s">
        <v>8343</v>
      </c>
    </row>
    <row r="2592" spans="1:3" x14ac:dyDescent="0.3">
      <c r="A2592" s="3" t="s">
        <v>5896</v>
      </c>
      <c r="B2592" s="3">
        <v>7.7</v>
      </c>
      <c r="C2592" s="22" t="s">
        <v>9386</v>
      </c>
    </row>
    <row r="2593" spans="1:3" x14ac:dyDescent="0.3">
      <c r="A2593" s="4" t="s">
        <v>5898</v>
      </c>
      <c r="B2593" s="4">
        <v>5.0999999999999996</v>
      </c>
      <c r="C2593" s="23" t="s">
        <v>8726</v>
      </c>
    </row>
    <row r="2594" spans="1:3" x14ac:dyDescent="0.3">
      <c r="A2594" s="3" t="s">
        <v>5900</v>
      </c>
      <c r="B2594" s="3">
        <v>6.8</v>
      </c>
      <c r="C2594" s="22" t="s">
        <v>9387</v>
      </c>
    </row>
    <row r="2595" spans="1:3" x14ac:dyDescent="0.3">
      <c r="A2595" s="4" t="s">
        <v>5902</v>
      </c>
      <c r="B2595" s="4">
        <v>8.4</v>
      </c>
      <c r="C2595" s="23" t="s">
        <v>9060</v>
      </c>
    </row>
    <row r="2596" spans="1:3" x14ac:dyDescent="0.3">
      <c r="A2596" s="3" t="s">
        <v>5904</v>
      </c>
      <c r="B2596" s="3">
        <v>4.9000000000000004</v>
      </c>
      <c r="C2596" s="22" t="s">
        <v>9388</v>
      </c>
    </row>
    <row r="2597" spans="1:3" x14ac:dyDescent="0.3">
      <c r="A2597" s="4" t="s">
        <v>5906</v>
      </c>
      <c r="B2597" s="4">
        <v>7.1</v>
      </c>
      <c r="C2597" s="23" t="s">
        <v>8938</v>
      </c>
    </row>
    <row r="2598" spans="1:3" x14ac:dyDescent="0.3">
      <c r="A2598" s="3" t="s">
        <v>5908</v>
      </c>
      <c r="B2598" s="3">
        <v>6.6</v>
      </c>
      <c r="C2598" s="22" t="s">
        <v>9389</v>
      </c>
    </row>
    <row r="2599" spans="1:3" x14ac:dyDescent="0.3">
      <c r="A2599" s="4" t="s">
        <v>5910</v>
      </c>
      <c r="B2599" s="4">
        <v>6.1</v>
      </c>
      <c r="C2599" s="23" t="s">
        <v>9357</v>
      </c>
    </row>
    <row r="2600" spans="1:3" x14ac:dyDescent="0.3">
      <c r="A2600" s="3" t="s">
        <v>5912</v>
      </c>
      <c r="B2600" s="3">
        <v>4.0999999999999996</v>
      </c>
      <c r="C2600" s="22" t="s">
        <v>9390</v>
      </c>
    </row>
    <row r="2601" spans="1:3" x14ac:dyDescent="0.3">
      <c r="A2601" s="4" t="s">
        <v>5914</v>
      </c>
      <c r="B2601" s="4">
        <v>5.8</v>
      </c>
      <c r="C2601" s="23" t="s">
        <v>8406</v>
      </c>
    </row>
    <row r="2602" spans="1:3" x14ac:dyDescent="0.3">
      <c r="A2602" s="3" t="s">
        <v>5916</v>
      </c>
      <c r="B2602" s="3">
        <v>8.1</v>
      </c>
      <c r="C2602" s="22" t="s">
        <v>8633</v>
      </c>
    </row>
    <row r="2603" spans="1:3" x14ac:dyDescent="0.3">
      <c r="A2603" s="4" t="s">
        <v>5918</v>
      </c>
      <c r="B2603" s="4">
        <v>7.6</v>
      </c>
      <c r="C2603" s="23" t="s">
        <v>9391</v>
      </c>
    </row>
    <row r="2604" spans="1:3" x14ac:dyDescent="0.3">
      <c r="A2604" s="3" t="s">
        <v>5920</v>
      </c>
      <c r="B2604" s="3">
        <v>7.8</v>
      </c>
      <c r="C2604" s="22" t="s">
        <v>9392</v>
      </c>
    </row>
    <row r="2605" spans="1:3" x14ac:dyDescent="0.3">
      <c r="A2605" s="4" t="s">
        <v>5922</v>
      </c>
      <c r="B2605" s="4">
        <v>4.5999999999999996</v>
      </c>
      <c r="C2605" s="23" t="s">
        <v>9393</v>
      </c>
    </row>
    <row r="2606" spans="1:3" x14ac:dyDescent="0.3">
      <c r="A2606" s="3" t="s">
        <v>2242</v>
      </c>
      <c r="B2606" s="3">
        <v>6</v>
      </c>
      <c r="C2606" s="22" t="s">
        <v>9292</v>
      </c>
    </row>
    <row r="2607" spans="1:3" x14ac:dyDescent="0.3">
      <c r="A2607" s="4" t="s">
        <v>5926</v>
      </c>
      <c r="B2607" s="4">
        <v>7</v>
      </c>
      <c r="C2607" s="23" t="s">
        <v>9394</v>
      </c>
    </row>
    <row r="2608" spans="1:3" x14ac:dyDescent="0.3">
      <c r="A2608" s="3" t="s">
        <v>5928</v>
      </c>
      <c r="B2608" s="3">
        <v>6.7</v>
      </c>
      <c r="C2608" s="22" t="s">
        <v>8790</v>
      </c>
    </row>
    <row r="2609" spans="1:3" x14ac:dyDescent="0.3">
      <c r="A2609" s="4" t="s">
        <v>5930</v>
      </c>
      <c r="B2609" s="4">
        <v>6.4</v>
      </c>
      <c r="C2609" s="23" t="s">
        <v>8695</v>
      </c>
    </row>
    <row r="2610" spans="1:3" x14ac:dyDescent="0.3">
      <c r="A2610" s="3" t="s">
        <v>5932</v>
      </c>
      <c r="B2610" s="3">
        <v>7.2</v>
      </c>
      <c r="C2610" s="22" t="s">
        <v>9395</v>
      </c>
    </row>
    <row r="2611" spans="1:3" x14ac:dyDescent="0.3">
      <c r="A2611" s="4" t="s">
        <v>5934</v>
      </c>
      <c r="B2611" s="4">
        <v>7.4</v>
      </c>
      <c r="C2611" s="23" t="s">
        <v>8772</v>
      </c>
    </row>
    <row r="2612" spans="1:3" x14ac:dyDescent="0.3">
      <c r="A2612" s="3" t="s">
        <v>5936</v>
      </c>
      <c r="B2612" s="3">
        <v>4.8</v>
      </c>
      <c r="C2612" s="22" t="s">
        <v>9396</v>
      </c>
    </row>
    <row r="2613" spans="1:3" x14ac:dyDescent="0.3">
      <c r="A2613" s="4" t="s">
        <v>5938</v>
      </c>
      <c r="B2613" s="4">
        <v>4</v>
      </c>
      <c r="C2613" s="23" t="s">
        <v>9397</v>
      </c>
    </row>
    <row r="2614" spans="1:3" x14ac:dyDescent="0.3">
      <c r="A2614" s="3" t="s">
        <v>5940</v>
      </c>
      <c r="B2614" s="3">
        <v>6.2</v>
      </c>
      <c r="C2614" s="22" t="s">
        <v>9215</v>
      </c>
    </row>
    <row r="2615" spans="1:3" x14ac:dyDescent="0.3">
      <c r="A2615" s="4" t="s">
        <v>5942</v>
      </c>
      <c r="B2615" s="4">
        <v>7.7</v>
      </c>
      <c r="C2615" s="23" t="s">
        <v>8989</v>
      </c>
    </row>
    <row r="2616" spans="1:3" x14ac:dyDescent="0.3">
      <c r="A2616" s="3" t="s">
        <v>5944</v>
      </c>
      <c r="B2616" s="3">
        <v>6.7</v>
      </c>
      <c r="C2616" s="22" t="s">
        <v>9398</v>
      </c>
    </row>
    <row r="2617" spans="1:3" x14ac:dyDescent="0.3">
      <c r="A2617" s="4" t="s">
        <v>5946</v>
      </c>
      <c r="B2617" s="4">
        <v>7.9</v>
      </c>
      <c r="C2617" s="23" t="s">
        <v>9365</v>
      </c>
    </row>
    <row r="2618" spans="1:3" x14ac:dyDescent="0.3">
      <c r="A2618" s="3" t="s">
        <v>5948</v>
      </c>
      <c r="B2618" s="3">
        <v>7.9</v>
      </c>
      <c r="C2618" s="22" t="s">
        <v>8895</v>
      </c>
    </row>
    <row r="2619" spans="1:3" x14ac:dyDescent="0.3">
      <c r="A2619" s="4" t="s">
        <v>5950</v>
      </c>
      <c r="B2619" s="4">
        <v>5.5</v>
      </c>
      <c r="C2619" s="23" t="s">
        <v>9325</v>
      </c>
    </row>
    <row r="2620" spans="1:3" x14ac:dyDescent="0.3">
      <c r="A2620" s="3" t="s">
        <v>5952</v>
      </c>
      <c r="B2620" s="3">
        <v>6.2</v>
      </c>
      <c r="C2620" s="22" t="s">
        <v>9399</v>
      </c>
    </row>
    <row r="2621" spans="1:3" x14ac:dyDescent="0.3">
      <c r="A2621" s="4" t="s">
        <v>5954</v>
      </c>
      <c r="B2621" s="4">
        <v>5.0999999999999996</v>
      </c>
      <c r="C2621" s="23" t="s">
        <v>9400</v>
      </c>
    </row>
    <row r="2622" spans="1:3" x14ac:dyDescent="0.3">
      <c r="A2622" s="3" t="s">
        <v>5957</v>
      </c>
      <c r="B2622" s="3">
        <v>4.0999999999999996</v>
      </c>
      <c r="C2622" s="22" t="s">
        <v>9401</v>
      </c>
    </row>
    <row r="2623" spans="1:3" x14ac:dyDescent="0.3">
      <c r="A2623" s="4" t="s">
        <v>5959</v>
      </c>
      <c r="B2623" s="4">
        <v>6.7</v>
      </c>
      <c r="C2623" s="23" t="s">
        <v>8645</v>
      </c>
    </row>
    <row r="2624" spans="1:3" x14ac:dyDescent="0.3">
      <c r="A2624" s="3" t="s">
        <v>5961</v>
      </c>
      <c r="B2624" s="3">
        <v>4.7</v>
      </c>
      <c r="C2624" s="22" t="s">
        <v>9402</v>
      </c>
    </row>
    <row r="2625" spans="1:3" x14ac:dyDescent="0.3">
      <c r="A2625" s="4" t="s">
        <v>5964</v>
      </c>
      <c r="B2625" s="4">
        <v>6.4</v>
      </c>
      <c r="C2625" s="23" t="s">
        <v>9403</v>
      </c>
    </row>
    <row r="2626" spans="1:3" x14ac:dyDescent="0.3">
      <c r="A2626" s="3" t="s">
        <v>5966</v>
      </c>
      <c r="B2626" s="3">
        <v>6.3</v>
      </c>
      <c r="C2626" s="22" t="s">
        <v>9225</v>
      </c>
    </row>
    <row r="2627" spans="1:3" x14ac:dyDescent="0.3">
      <c r="A2627" s="4" t="s">
        <v>5968</v>
      </c>
      <c r="B2627" s="4">
        <v>5.5</v>
      </c>
      <c r="C2627" s="23" t="s">
        <v>9404</v>
      </c>
    </row>
    <row r="2628" spans="1:3" x14ac:dyDescent="0.3">
      <c r="A2628" s="3" t="s">
        <v>5970</v>
      </c>
      <c r="B2628" s="3">
        <v>7.3</v>
      </c>
      <c r="C2628" s="22" t="s">
        <v>9405</v>
      </c>
    </row>
    <row r="2629" spans="1:3" x14ac:dyDescent="0.3">
      <c r="A2629" s="4" t="s">
        <v>5972</v>
      </c>
      <c r="B2629" s="4">
        <v>6.3</v>
      </c>
      <c r="C2629" s="23" t="s">
        <v>8439</v>
      </c>
    </row>
    <row r="2630" spans="1:3" x14ac:dyDescent="0.3">
      <c r="A2630" s="3" t="s">
        <v>5974</v>
      </c>
      <c r="B2630" s="3">
        <v>4.9000000000000004</v>
      </c>
      <c r="C2630" s="22" t="s">
        <v>9406</v>
      </c>
    </row>
    <row r="2631" spans="1:3" x14ac:dyDescent="0.3">
      <c r="A2631" s="4" t="s">
        <v>5976</v>
      </c>
      <c r="B2631" s="4">
        <v>7.6</v>
      </c>
      <c r="C2631" s="23" t="s">
        <v>8505</v>
      </c>
    </row>
    <row r="2632" spans="1:3" x14ac:dyDescent="0.3">
      <c r="A2632" s="3" t="s">
        <v>5978</v>
      </c>
      <c r="B2632" s="3">
        <v>6</v>
      </c>
      <c r="C2632" s="22" t="s">
        <v>9407</v>
      </c>
    </row>
    <row r="2633" spans="1:3" x14ac:dyDescent="0.3">
      <c r="A2633" s="4" t="s">
        <v>5980</v>
      </c>
      <c r="B2633" s="4">
        <v>6.2</v>
      </c>
      <c r="C2633" s="23" t="s">
        <v>9036</v>
      </c>
    </row>
    <row r="2634" spans="1:3" x14ac:dyDescent="0.3">
      <c r="A2634" s="3" t="s">
        <v>5983</v>
      </c>
      <c r="B2634" s="3">
        <v>6.8</v>
      </c>
      <c r="C2634" s="22" t="s">
        <v>9206</v>
      </c>
    </row>
    <row r="2635" spans="1:3" x14ac:dyDescent="0.3">
      <c r="A2635" s="4" t="s">
        <v>5985</v>
      </c>
      <c r="B2635" s="4">
        <v>4.5</v>
      </c>
      <c r="C2635" s="23" t="s">
        <v>9408</v>
      </c>
    </row>
    <row r="2636" spans="1:3" x14ac:dyDescent="0.3">
      <c r="A2636" s="3" t="s">
        <v>5987</v>
      </c>
      <c r="B2636" s="3">
        <v>5.7</v>
      </c>
      <c r="C2636" s="22" t="s">
        <v>9409</v>
      </c>
    </row>
    <row r="2637" spans="1:3" x14ac:dyDescent="0.3">
      <c r="A2637" s="4" t="s">
        <v>5990</v>
      </c>
      <c r="B2637" s="4">
        <v>8.4</v>
      </c>
      <c r="C2637" s="23" t="s">
        <v>9410</v>
      </c>
    </row>
    <row r="2638" spans="1:3" x14ac:dyDescent="0.3">
      <c r="A2638" s="3" t="s">
        <v>5992</v>
      </c>
      <c r="B2638" s="3">
        <v>4.5999999999999996</v>
      </c>
      <c r="C2638" s="22" t="s">
        <v>9411</v>
      </c>
    </row>
    <row r="2639" spans="1:3" x14ac:dyDescent="0.3">
      <c r="A2639" s="4" t="s">
        <v>5994</v>
      </c>
      <c r="B2639" s="4">
        <v>6.2</v>
      </c>
      <c r="C2639" s="23" t="s">
        <v>9412</v>
      </c>
    </row>
    <row r="2640" spans="1:3" x14ac:dyDescent="0.3">
      <c r="A2640" s="3" t="s">
        <v>5996</v>
      </c>
      <c r="B2640" s="3">
        <v>7</v>
      </c>
      <c r="C2640" s="22" t="s">
        <v>9413</v>
      </c>
    </row>
    <row r="2641" spans="1:3" x14ac:dyDescent="0.3">
      <c r="A2641" s="4" t="s">
        <v>5998</v>
      </c>
      <c r="B2641" s="4">
        <v>6.9</v>
      </c>
      <c r="C2641" s="23" t="s">
        <v>9414</v>
      </c>
    </row>
    <row r="2642" spans="1:3" x14ac:dyDescent="0.3">
      <c r="A2642" s="3" t="s">
        <v>6000</v>
      </c>
      <c r="B2642" s="3">
        <v>6.1</v>
      </c>
      <c r="C2642" s="22" t="s">
        <v>9415</v>
      </c>
    </row>
    <row r="2643" spans="1:3" x14ac:dyDescent="0.3">
      <c r="A2643" s="4" t="s">
        <v>6002</v>
      </c>
      <c r="B2643" s="4">
        <v>6.7</v>
      </c>
      <c r="C2643" s="23" t="s">
        <v>9416</v>
      </c>
    </row>
    <row r="2644" spans="1:3" x14ac:dyDescent="0.3">
      <c r="A2644" s="3" t="s">
        <v>6004</v>
      </c>
      <c r="B2644" s="3">
        <v>5.6</v>
      </c>
      <c r="C2644" s="22" t="s">
        <v>9417</v>
      </c>
    </row>
    <row r="2645" spans="1:3" x14ac:dyDescent="0.3">
      <c r="A2645" s="4" t="s">
        <v>6006</v>
      </c>
      <c r="B2645" s="4">
        <v>6.6</v>
      </c>
      <c r="C2645" s="23" t="s">
        <v>8862</v>
      </c>
    </row>
    <row r="2646" spans="1:3" x14ac:dyDescent="0.3">
      <c r="A2646" s="3" t="s">
        <v>6008</v>
      </c>
      <c r="B2646" s="3">
        <v>6.4</v>
      </c>
      <c r="C2646" s="22" t="s">
        <v>8989</v>
      </c>
    </row>
    <row r="2647" spans="1:3" x14ac:dyDescent="0.3">
      <c r="A2647" s="4" t="s">
        <v>6010</v>
      </c>
      <c r="B2647" s="4">
        <v>2.8</v>
      </c>
      <c r="C2647" s="23" t="s">
        <v>9418</v>
      </c>
    </row>
    <row r="2648" spans="1:3" x14ac:dyDescent="0.3">
      <c r="A2648" s="3" t="s">
        <v>6012</v>
      </c>
      <c r="B2648" s="3">
        <v>5.4</v>
      </c>
      <c r="C2648" s="22" t="s">
        <v>9419</v>
      </c>
    </row>
    <row r="2649" spans="1:3" x14ac:dyDescent="0.3">
      <c r="A2649" s="4" t="s">
        <v>6014</v>
      </c>
      <c r="B2649" s="4">
        <v>5</v>
      </c>
      <c r="C2649" s="23" t="s">
        <v>8396</v>
      </c>
    </row>
    <row r="2650" spans="1:3" x14ac:dyDescent="0.3">
      <c r="A2650" s="3" t="s">
        <v>6016</v>
      </c>
      <c r="B2650" s="3">
        <v>5.0999999999999996</v>
      </c>
      <c r="C2650" s="22" t="s">
        <v>9420</v>
      </c>
    </row>
    <row r="2651" spans="1:3" x14ac:dyDescent="0.3">
      <c r="A2651" s="4" t="s">
        <v>6018</v>
      </c>
      <c r="B2651" s="4">
        <v>8</v>
      </c>
      <c r="C2651" s="23" t="s">
        <v>8548</v>
      </c>
    </row>
    <row r="2652" spans="1:3" x14ac:dyDescent="0.3">
      <c r="A2652" s="3" t="s">
        <v>6020</v>
      </c>
      <c r="B2652" s="3">
        <v>5.9</v>
      </c>
      <c r="C2652" s="22" t="s">
        <v>9288</v>
      </c>
    </row>
    <row r="2653" spans="1:3" x14ac:dyDescent="0.3">
      <c r="A2653" s="4" t="s">
        <v>6022</v>
      </c>
      <c r="B2653" s="4">
        <v>8.1999999999999993</v>
      </c>
      <c r="C2653" s="23" t="s">
        <v>8668</v>
      </c>
    </row>
    <row r="2654" spans="1:3" x14ac:dyDescent="0.3">
      <c r="A2654" s="3" t="s">
        <v>6024</v>
      </c>
      <c r="B2654" s="3">
        <v>7</v>
      </c>
      <c r="C2654" s="22" t="s">
        <v>9421</v>
      </c>
    </row>
    <row r="2655" spans="1:3" x14ac:dyDescent="0.3">
      <c r="A2655" s="4" t="s">
        <v>6026</v>
      </c>
      <c r="B2655" s="4">
        <v>6.6</v>
      </c>
      <c r="C2655" s="23" t="s">
        <v>8575</v>
      </c>
    </row>
    <row r="2656" spans="1:3" x14ac:dyDescent="0.3">
      <c r="A2656" s="3" t="s">
        <v>6028</v>
      </c>
      <c r="B2656" s="3">
        <v>6.7</v>
      </c>
      <c r="C2656" s="22" t="s">
        <v>9083</v>
      </c>
    </row>
    <row r="2657" spans="1:3" x14ac:dyDescent="0.3">
      <c r="A2657" s="4" t="s">
        <v>6030</v>
      </c>
      <c r="B2657" s="4">
        <v>5.5</v>
      </c>
      <c r="C2657" s="23" t="s">
        <v>9422</v>
      </c>
    </row>
    <row r="2658" spans="1:3" x14ac:dyDescent="0.3">
      <c r="A2658" s="3" t="s">
        <v>6032</v>
      </c>
      <c r="B2658" s="3">
        <v>4.9000000000000004</v>
      </c>
      <c r="C2658" s="22" t="s">
        <v>9423</v>
      </c>
    </row>
    <row r="2659" spans="1:3" x14ac:dyDescent="0.3">
      <c r="A2659" s="4" t="s">
        <v>6034</v>
      </c>
      <c r="B2659" s="4">
        <v>6.9</v>
      </c>
      <c r="C2659" s="23" t="s">
        <v>8811</v>
      </c>
    </row>
    <row r="2660" spans="1:3" x14ac:dyDescent="0.3">
      <c r="A2660" s="3" t="s">
        <v>6036</v>
      </c>
      <c r="B2660" s="3">
        <v>7.4</v>
      </c>
      <c r="C2660" s="22" t="s">
        <v>9424</v>
      </c>
    </row>
    <row r="2661" spans="1:3" x14ac:dyDescent="0.3">
      <c r="A2661" s="4" t="s">
        <v>6038</v>
      </c>
      <c r="B2661" s="4">
        <v>5.6</v>
      </c>
      <c r="C2661" s="23" t="s">
        <v>9425</v>
      </c>
    </row>
    <row r="2662" spans="1:3" x14ac:dyDescent="0.3">
      <c r="A2662" s="3" t="s">
        <v>6040</v>
      </c>
      <c r="B2662" s="3">
        <v>8</v>
      </c>
      <c r="C2662" s="22" t="s">
        <v>9426</v>
      </c>
    </row>
    <row r="2663" spans="1:3" x14ac:dyDescent="0.3">
      <c r="A2663" s="4" t="s">
        <v>6042</v>
      </c>
      <c r="B2663" s="4">
        <v>5.3</v>
      </c>
      <c r="C2663" s="23" t="s">
        <v>9427</v>
      </c>
    </row>
    <row r="2664" spans="1:3" x14ac:dyDescent="0.3">
      <c r="A2664" s="3" t="s">
        <v>6044</v>
      </c>
      <c r="B2664" s="3">
        <v>6.2</v>
      </c>
      <c r="C2664" s="22" t="s">
        <v>9428</v>
      </c>
    </row>
    <row r="2665" spans="1:3" x14ac:dyDescent="0.3">
      <c r="A2665" s="4" t="s">
        <v>6046</v>
      </c>
      <c r="B2665" s="4">
        <v>5.3</v>
      </c>
      <c r="C2665" s="23" t="s">
        <v>9429</v>
      </c>
    </row>
    <row r="2666" spans="1:3" x14ac:dyDescent="0.3">
      <c r="A2666" s="3" t="s">
        <v>6048</v>
      </c>
      <c r="B2666" s="3">
        <v>6.6</v>
      </c>
      <c r="C2666" s="22" t="s">
        <v>8818</v>
      </c>
    </row>
    <row r="2667" spans="1:3" x14ac:dyDescent="0.3">
      <c r="A2667" s="4" t="s">
        <v>6050</v>
      </c>
      <c r="B2667" s="4">
        <v>7.2</v>
      </c>
      <c r="C2667" s="23" t="s">
        <v>8989</v>
      </c>
    </row>
    <row r="2668" spans="1:3" x14ac:dyDescent="0.3">
      <c r="A2668" s="3" t="s">
        <v>6052</v>
      </c>
      <c r="B2668" s="3">
        <v>4.5999999999999996</v>
      </c>
      <c r="C2668" s="22" t="s">
        <v>9430</v>
      </c>
    </row>
    <row r="2669" spans="1:3" x14ac:dyDescent="0.3">
      <c r="A2669" s="4" t="s">
        <v>6054</v>
      </c>
      <c r="B2669" s="4">
        <v>7.5</v>
      </c>
      <c r="C2669" s="23" t="s">
        <v>9371</v>
      </c>
    </row>
    <row r="2670" spans="1:3" x14ac:dyDescent="0.3">
      <c r="A2670" s="3" t="s">
        <v>6056</v>
      </c>
      <c r="B2670" s="3">
        <v>6.5</v>
      </c>
      <c r="C2670" s="22" t="s">
        <v>9431</v>
      </c>
    </row>
    <row r="2671" spans="1:3" x14ac:dyDescent="0.3">
      <c r="A2671" s="4" t="s">
        <v>6058</v>
      </c>
      <c r="B2671" s="4">
        <v>7.6</v>
      </c>
      <c r="C2671" s="23" t="s">
        <v>8317</v>
      </c>
    </row>
    <row r="2672" spans="1:3" x14ac:dyDescent="0.3">
      <c r="A2672" s="3" t="s">
        <v>6060</v>
      </c>
      <c r="B2672" s="3">
        <v>6.2</v>
      </c>
      <c r="C2672" s="22" t="s">
        <v>9432</v>
      </c>
    </row>
    <row r="2673" spans="1:3" x14ac:dyDescent="0.3">
      <c r="A2673" s="4" t="s">
        <v>6063</v>
      </c>
      <c r="B2673" s="4">
        <v>8</v>
      </c>
      <c r="C2673" s="23" t="s">
        <v>8800</v>
      </c>
    </row>
    <row r="2674" spans="1:3" x14ac:dyDescent="0.3">
      <c r="A2674" s="3" t="s">
        <v>6065</v>
      </c>
      <c r="B2674" s="3">
        <v>5.5</v>
      </c>
      <c r="C2674" s="22" t="s">
        <v>9433</v>
      </c>
    </row>
    <row r="2675" spans="1:3" x14ac:dyDescent="0.3">
      <c r="A2675" s="4" t="s">
        <v>6067</v>
      </c>
      <c r="B2675" s="4">
        <v>6.3</v>
      </c>
      <c r="C2675" s="23" t="s">
        <v>8989</v>
      </c>
    </row>
    <row r="2676" spans="1:3" x14ac:dyDescent="0.3">
      <c r="A2676" s="3" t="s">
        <v>6069</v>
      </c>
      <c r="B2676" s="3">
        <v>7.2</v>
      </c>
      <c r="C2676" s="22" t="s">
        <v>9434</v>
      </c>
    </row>
    <row r="2677" spans="1:3" x14ac:dyDescent="0.3">
      <c r="A2677" s="4" t="s">
        <v>6071</v>
      </c>
      <c r="B2677" s="4">
        <v>6.7</v>
      </c>
      <c r="C2677" s="23" t="s">
        <v>9435</v>
      </c>
    </row>
    <row r="2678" spans="1:3" x14ac:dyDescent="0.3">
      <c r="A2678" s="3" t="s">
        <v>6073</v>
      </c>
      <c r="B2678" s="3">
        <v>5.3</v>
      </c>
      <c r="C2678" s="22" t="s">
        <v>9436</v>
      </c>
    </row>
    <row r="2679" spans="1:3" x14ac:dyDescent="0.3">
      <c r="A2679" s="4" t="s">
        <v>6075</v>
      </c>
      <c r="B2679" s="4">
        <v>6.3</v>
      </c>
      <c r="C2679" s="23" t="s">
        <v>9437</v>
      </c>
    </row>
    <row r="2680" spans="1:3" x14ac:dyDescent="0.3">
      <c r="A2680" s="3" t="s">
        <v>6077</v>
      </c>
      <c r="B2680" s="3">
        <v>6.5</v>
      </c>
      <c r="C2680" s="22" t="s">
        <v>9303</v>
      </c>
    </row>
    <row r="2681" spans="1:3" x14ac:dyDescent="0.3">
      <c r="A2681" s="4" t="s">
        <v>6079</v>
      </c>
      <c r="B2681" s="4">
        <v>5.6</v>
      </c>
      <c r="C2681" s="23" t="s">
        <v>9438</v>
      </c>
    </row>
    <row r="2682" spans="1:3" x14ac:dyDescent="0.3">
      <c r="A2682" s="3" t="s">
        <v>6081</v>
      </c>
      <c r="B2682" s="3">
        <v>7</v>
      </c>
      <c r="C2682" s="22" t="s">
        <v>9135</v>
      </c>
    </row>
    <row r="2683" spans="1:3" x14ac:dyDescent="0.3">
      <c r="A2683" s="4" t="s">
        <v>6083</v>
      </c>
      <c r="B2683" s="4">
        <v>8.3000000000000007</v>
      </c>
      <c r="C2683" s="23" t="s">
        <v>9439</v>
      </c>
    </row>
    <row r="2684" spans="1:3" x14ac:dyDescent="0.3">
      <c r="A2684" s="3" t="s">
        <v>6085</v>
      </c>
      <c r="B2684" s="3">
        <v>7.2</v>
      </c>
      <c r="C2684" s="22" t="s">
        <v>8723</v>
      </c>
    </row>
    <row r="2685" spans="1:3" x14ac:dyDescent="0.3">
      <c r="A2685" s="4" t="s">
        <v>6087</v>
      </c>
      <c r="B2685" s="4">
        <v>6.8</v>
      </c>
      <c r="C2685" s="23" t="s">
        <v>8742</v>
      </c>
    </row>
    <row r="2686" spans="1:3" x14ac:dyDescent="0.3">
      <c r="A2686" s="3" t="s">
        <v>6089</v>
      </c>
      <c r="B2686" s="3">
        <v>6.4</v>
      </c>
      <c r="C2686" s="22" t="s">
        <v>9440</v>
      </c>
    </row>
    <row r="2687" spans="1:3" x14ac:dyDescent="0.3">
      <c r="A2687" s="4" t="s">
        <v>6091</v>
      </c>
      <c r="B2687" s="4">
        <v>6.9</v>
      </c>
      <c r="C2687" s="23" t="s">
        <v>9306</v>
      </c>
    </row>
    <row r="2688" spans="1:3" x14ac:dyDescent="0.3">
      <c r="A2688" s="3" t="s">
        <v>6093</v>
      </c>
      <c r="B2688" s="3">
        <v>8</v>
      </c>
      <c r="C2688" s="22" t="s">
        <v>9441</v>
      </c>
    </row>
    <row r="2689" spans="1:3" x14ac:dyDescent="0.3">
      <c r="A2689" s="4" t="s">
        <v>6095</v>
      </c>
      <c r="B2689" s="4">
        <v>6.2</v>
      </c>
      <c r="C2689" s="23" t="s">
        <v>9442</v>
      </c>
    </row>
    <row r="2690" spans="1:3" x14ac:dyDescent="0.3">
      <c r="A2690" s="3" t="s">
        <v>6098</v>
      </c>
      <c r="B2690" s="3">
        <v>6.4</v>
      </c>
      <c r="C2690" s="22" t="s">
        <v>8961</v>
      </c>
    </row>
    <row r="2691" spans="1:3" x14ac:dyDescent="0.3">
      <c r="A2691" s="4" t="s">
        <v>6101</v>
      </c>
      <c r="B2691" s="4">
        <v>5.6</v>
      </c>
      <c r="C2691" s="23" t="s">
        <v>8796</v>
      </c>
    </row>
    <row r="2692" spans="1:3" x14ac:dyDescent="0.3">
      <c r="A2692" s="3" t="s">
        <v>6103</v>
      </c>
      <c r="B2692" s="3">
        <v>6.1</v>
      </c>
      <c r="C2692" s="22" t="s">
        <v>9443</v>
      </c>
    </row>
    <row r="2693" spans="1:3" x14ac:dyDescent="0.3">
      <c r="A2693" s="4" t="s">
        <v>6105</v>
      </c>
      <c r="B2693" s="4">
        <v>6</v>
      </c>
      <c r="C2693" s="23" t="s">
        <v>9444</v>
      </c>
    </row>
    <row r="2694" spans="1:3" x14ac:dyDescent="0.3">
      <c r="A2694" s="3" t="s">
        <v>6107</v>
      </c>
      <c r="B2694" s="3">
        <v>5.0999999999999996</v>
      </c>
      <c r="C2694" s="22" t="s">
        <v>9445</v>
      </c>
    </row>
    <row r="2695" spans="1:3" x14ac:dyDescent="0.3">
      <c r="A2695" s="4" t="s">
        <v>6109</v>
      </c>
      <c r="B2695" s="4">
        <v>4.5</v>
      </c>
      <c r="C2695" s="23" t="s">
        <v>9446</v>
      </c>
    </row>
    <row r="2696" spans="1:3" x14ac:dyDescent="0.3">
      <c r="A2696" s="3" t="s">
        <v>6111</v>
      </c>
      <c r="B2696" s="3">
        <v>5.9</v>
      </c>
      <c r="C2696" s="22" t="s">
        <v>9447</v>
      </c>
    </row>
    <row r="2697" spans="1:3" x14ac:dyDescent="0.3">
      <c r="A2697" s="4" t="s">
        <v>6113</v>
      </c>
      <c r="B2697" s="4">
        <v>6</v>
      </c>
      <c r="C2697" s="23" t="s">
        <v>9448</v>
      </c>
    </row>
    <row r="2698" spans="1:3" x14ac:dyDescent="0.3">
      <c r="A2698" s="3" t="s">
        <v>6115</v>
      </c>
      <c r="B2698" s="3">
        <v>5.8</v>
      </c>
      <c r="C2698" s="22" t="s">
        <v>9449</v>
      </c>
    </row>
    <row r="2699" spans="1:3" x14ac:dyDescent="0.3">
      <c r="A2699" s="4" t="s">
        <v>6118</v>
      </c>
      <c r="B2699" s="4">
        <v>6.1</v>
      </c>
      <c r="C2699" s="23" t="s">
        <v>9450</v>
      </c>
    </row>
    <row r="2700" spans="1:3" x14ac:dyDescent="0.3">
      <c r="A2700" s="3" t="s">
        <v>6120</v>
      </c>
      <c r="B2700" s="3">
        <v>4.9000000000000004</v>
      </c>
      <c r="C2700" s="22" t="s">
        <v>9451</v>
      </c>
    </row>
    <row r="2701" spans="1:3" x14ac:dyDescent="0.3">
      <c r="A2701" s="4" t="s">
        <v>6122</v>
      </c>
      <c r="B2701" s="4">
        <v>5.7</v>
      </c>
      <c r="C2701" s="23" t="s">
        <v>9452</v>
      </c>
    </row>
    <row r="2702" spans="1:3" x14ac:dyDescent="0.3">
      <c r="A2702" s="3" t="s">
        <v>6124</v>
      </c>
      <c r="B2702" s="3">
        <v>7.1</v>
      </c>
      <c r="C2702" s="22" t="s">
        <v>9453</v>
      </c>
    </row>
    <row r="2703" spans="1:3" x14ac:dyDescent="0.3">
      <c r="A2703" s="4" t="s">
        <v>6126</v>
      </c>
      <c r="B2703" s="4">
        <v>6.6</v>
      </c>
      <c r="C2703" s="23" t="s">
        <v>9454</v>
      </c>
    </row>
    <row r="2704" spans="1:3" x14ac:dyDescent="0.3">
      <c r="A2704" s="3" t="s">
        <v>6129</v>
      </c>
      <c r="B2704" s="3">
        <v>8.1</v>
      </c>
      <c r="C2704" s="22" t="s">
        <v>8663</v>
      </c>
    </row>
    <row r="2705" spans="1:12" x14ac:dyDescent="0.3">
      <c r="A2705" s="4" t="s">
        <v>6131</v>
      </c>
      <c r="B2705" s="4">
        <v>5.7</v>
      </c>
      <c r="C2705" s="23" t="s">
        <v>9455</v>
      </c>
    </row>
    <row r="2706" spans="1:12" x14ac:dyDescent="0.3">
      <c r="A2706" s="3" t="s">
        <v>6133</v>
      </c>
      <c r="B2706" s="3">
        <v>6.8</v>
      </c>
      <c r="C2706" s="22" t="s">
        <v>8329</v>
      </c>
    </row>
    <row r="2707" spans="1:12" x14ac:dyDescent="0.3">
      <c r="A2707" s="4" t="s">
        <v>6135</v>
      </c>
      <c r="B2707" s="4">
        <v>7.5</v>
      </c>
      <c r="C2707" s="23" t="s">
        <v>9456</v>
      </c>
    </row>
    <row r="2708" spans="1:12" x14ac:dyDescent="0.3">
      <c r="A2708" s="3" t="s">
        <v>6137</v>
      </c>
      <c r="B2708" s="3">
        <v>6.2</v>
      </c>
      <c r="C2708" s="22" t="s">
        <v>9457</v>
      </c>
    </row>
    <row r="2709" spans="1:12" x14ac:dyDescent="0.3">
      <c r="A2709" s="4" t="s">
        <v>6139</v>
      </c>
      <c r="B2709" s="4">
        <v>8.3000000000000007</v>
      </c>
      <c r="C2709" s="23" t="s">
        <v>8619</v>
      </c>
    </row>
    <row r="2710" spans="1:12" x14ac:dyDescent="0.3">
      <c r="A2710" s="3" t="s">
        <v>6141</v>
      </c>
      <c r="B2710" s="3">
        <v>7.4</v>
      </c>
      <c r="C2710" s="22" t="s">
        <v>9458</v>
      </c>
    </row>
    <row r="2711" spans="1:12" x14ac:dyDescent="0.3">
      <c r="A2711" s="4" t="s">
        <v>6143</v>
      </c>
      <c r="B2711" s="4">
        <v>8</v>
      </c>
      <c r="C2711" s="23" t="s">
        <v>8757</v>
      </c>
    </row>
    <row r="2712" spans="1:12" x14ac:dyDescent="0.3">
      <c r="A2712" s="3" t="s">
        <v>6145</v>
      </c>
      <c r="B2712" s="3">
        <v>6.9</v>
      </c>
      <c r="C2712" s="22" t="s">
        <v>8744</v>
      </c>
    </row>
    <row r="2713" spans="1:12" x14ac:dyDescent="0.3">
      <c r="A2713" s="4" t="s">
        <v>6147</v>
      </c>
      <c r="B2713" s="4">
        <v>6.9</v>
      </c>
      <c r="C2713" s="23" t="s">
        <v>8586</v>
      </c>
    </row>
    <row r="2714" spans="1:12" x14ac:dyDescent="0.3">
      <c r="A2714" s="3" t="s">
        <v>6149</v>
      </c>
      <c r="B2714" s="3">
        <v>9.5</v>
      </c>
      <c r="C2714" s="22" t="s">
        <v>9459</v>
      </c>
    </row>
    <row r="2715" spans="1:12" x14ac:dyDescent="0.3">
      <c r="A2715" s="4" t="s">
        <v>6151</v>
      </c>
      <c r="B2715" s="4">
        <v>5.5</v>
      </c>
      <c r="C2715" s="23" t="s">
        <v>9460</v>
      </c>
    </row>
    <row r="2716" spans="1:12" x14ac:dyDescent="0.3">
      <c r="A2716" s="3" t="s">
        <v>6153</v>
      </c>
      <c r="B2716" s="3">
        <v>5.7</v>
      </c>
      <c r="C2716" s="22" t="s">
        <v>9461</v>
      </c>
    </row>
    <row r="2717" spans="1:12" x14ac:dyDescent="0.3">
      <c r="A2717" s="4" t="s">
        <v>6155</v>
      </c>
      <c r="B2717" s="4">
        <v>7.2</v>
      </c>
      <c r="C2717" s="23" t="s">
        <v>8372</v>
      </c>
      <c r="K2717">
        <v>9</v>
      </c>
      <c r="L2717" s="22" t="s">
        <v>8297</v>
      </c>
    </row>
    <row r="2718" spans="1:12" x14ac:dyDescent="0.3">
      <c r="A2718" s="3" t="s">
        <v>6157</v>
      </c>
      <c r="B2718" s="3">
        <v>6.9</v>
      </c>
      <c r="C2718" s="22" t="s">
        <v>8365</v>
      </c>
    </row>
    <row r="2719" spans="1:12" x14ac:dyDescent="0.3">
      <c r="A2719" s="4" t="s">
        <v>6159</v>
      </c>
      <c r="B2719" s="4">
        <v>5.5</v>
      </c>
      <c r="C2719" s="23" t="s">
        <v>8773</v>
      </c>
    </row>
    <row r="2720" spans="1:12" x14ac:dyDescent="0.3">
      <c r="A2720" s="3" t="s">
        <v>6161</v>
      </c>
      <c r="B2720" s="3">
        <v>5.9</v>
      </c>
      <c r="C2720" s="22" t="s">
        <v>9127</v>
      </c>
    </row>
    <row r="2721" spans="1:3" x14ac:dyDescent="0.3">
      <c r="A2721" s="4" t="s">
        <v>6163</v>
      </c>
      <c r="B2721" s="4">
        <v>7.7</v>
      </c>
      <c r="C2721" s="23" t="s">
        <v>8781</v>
      </c>
    </row>
    <row r="2722" spans="1:3" x14ac:dyDescent="0.3">
      <c r="A2722" s="3" t="s">
        <v>6165</v>
      </c>
      <c r="B2722" s="3">
        <v>5.2</v>
      </c>
      <c r="C2722" s="22" t="s">
        <v>9111</v>
      </c>
    </row>
    <row r="2723" spans="1:3" x14ac:dyDescent="0.3">
      <c r="A2723" s="4" t="s">
        <v>6167</v>
      </c>
      <c r="B2723" s="4">
        <v>7.1</v>
      </c>
      <c r="C2723" s="23" t="s">
        <v>8975</v>
      </c>
    </row>
    <row r="2724" spans="1:3" x14ac:dyDescent="0.3">
      <c r="A2724" s="3" t="s">
        <v>6169</v>
      </c>
      <c r="B2724" s="3">
        <v>5.5</v>
      </c>
      <c r="C2724" s="22" t="s">
        <v>9462</v>
      </c>
    </row>
    <row r="2725" spans="1:3" x14ac:dyDescent="0.3">
      <c r="A2725" s="4" t="s">
        <v>6172</v>
      </c>
      <c r="B2725" s="4">
        <v>7.7</v>
      </c>
      <c r="C2725" s="23" t="s">
        <v>8784</v>
      </c>
    </row>
    <row r="2726" spans="1:3" x14ac:dyDescent="0.3">
      <c r="A2726" s="3" t="s">
        <v>6174</v>
      </c>
      <c r="B2726" s="3">
        <v>5.4</v>
      </c>
      <c r="C2726" s="22" t="s">
        <v>9088</v>
      </c>
    </row>
    <row r="2727" spans="1:3" x14ac:dyDescent="0.3">
      <c r="A2727" s="4" t="s">
        <v>6176</v>
      </c>
      <c r="B2727" s="4">
        <v>6.7</v>
      </c>
      <c r="C2727" s="23" t="s">
        <v>9463</v>
      </c>
    </row>
    <row r="2728" spans="1:3" x14ac:dyDescent="0.3">
      <c r="A2728" s="3" t="s">
        <v>6178</v>
      </c>
      <c r="B2728" s="3">
        <v>5</v>
      </c>
      <c r="C2728" s="22" t="s">
        <v>9123</v>
      </c>
    </row>
    <row r="2729" spans="1:3" x14ac:dyDescent="0.3">
      <c r="A2729" s="4" t="s">
        <v>6180</v>
      </c>
      <c r="B2729" s="4">
        <v>6.4</v>
      </c>
      <c r="C2729" s="23" t="s">
        <v>8718</v>
      </c>
    </row>
    <row r="2730" spans="1:3" x14ac:dyDescent="0.3">
      <c r="A2730" s="3" t="s">
        <v>6182</v>
      </c>
      <c r="B2730" s="3">
        <v>6.6</v>
      </c>
      <c r="C2730" s="22" t="s">
        <v>9409</v>
      </c>
    </row>
    <row r="2731" spans="1:3" x14ac:dyDescent="0.3">
      <c r="A2731" s="4" t="s">
        <v>6184</v>
      </c>
      <c r="B2731" s="4">
        <v>5.9</v>
      </c>
      <c r="C2731" s="23" t="s">
        <v>8558</v>
      </c>
    </row>
    <row r="2732" spans="1:3" x14ac:dyDescent="0.3">
      <c r="A2732" s="3" t="s">
        <v>6186</v>
      </c>
      <c r="B2732" s="3">
        <v>5.7</v>
      </c>
      <c r="C2732" s="22" t="s">
        <v>8691</v>
      </c>
    </row>
    <row r="2733" spans="1:3" x14ac:dyDescent="0.3">
      <c r="A2733" s="4" t="s">
        <v>6188</v>
      </c>
      <c r="B2733" s="4">
        <v>4.5</v>
      </c>
      <c r="C2733" s="23" t="s">
        <v>8841</v>
      </c>
    </row>
    <row r="2734" spans="1:3" x14ac:dyDescent="0.3">
      <c r="A2734" s="3" t="s">
        <v>6190</v>
      </c>
      <c r="B2734" s="3">
        <v>3.7</v>
      </c>
      <c r="C2734" s="22" t="s">
        <v>9295</v>
      </c>
    </row>
    <row r="2735" spans="1:3" x14ac:dyDescent="0.3">
      <c r="A2735" s="4" t="s">
        <v>6192</v>
      </c>
      <c r="B2735" s="4">
        <v>5</v>
      </c>
      <c r="C2735" s="23" t="s">
        <v>9296</v>
      </c>
    </row>
    <row r="2736" spans="1:3" x14ac:dyDescent="0.3">
      <c r="A2736" s="3" t="s">
        <v>6194</v>
      </c>
      <c r="B2736" s="3">
        <v>4.5999999999999996</v>
      </c>
      <c r="C2736" s="22" t="s">
        <v>8788</v>
      </c>
    </row>
    <row r="2737" spans="1:3" x14ac:dyDescent="0.3">
      <c r="A2737" s="4" t="s">
        <v>6197</v>
      </c>
      <c r="B2737" s="4">
        <v>6.5</v>
      </c>
      <c r="C2737" s="23" t="s">
        <v>8431</v>
      </c>
    </row>
    <row r="2738" spans="1:3" x14ac:dyDescent="0.3">
      <c r="A2738" s="3" t="s">
        <v>6200</v>
      </c>
      <c r="B2738" s="3">
        <v>4.9000000000000004</v>
      </c>
      <c r="C2738" s="22" t="s">
        <v>9464</v>
      </c>
    </row>
    <row r="2739" spans="1:3" x14ac:dyDescent="0.3">
      <c r="A2739" s="4" t="s">
        <v>6202</v>
      </c>
      <c r="B2739" s="4">
        <v>6</v>
      </c>
      <c r="C2739" s="23" t="s">
        <v>9465</v>
      </c>
    </row>
    <row r="2740" spans="1:3" x14ac:dyDescent="0.3">
      <c r="A2740" s="3" t="s">
        <v>6204</v>
      </c>
      <c r="B2740" s="3">
        <v>6.9</v>
      </c>
      <c r="C2740" s="22" t="s">
        <v>9466</v>
      </c>
    </row>
    <row r="2741" spans="1:3" x14ac:dyDescent="0.3">
      <c r="A2741" s="4" t="s">
        <v>6206</v>
      </c>
      <c r="B2741" s="4">
        <v>5.7</v>
      </c>
      <c r="C2741" s="23" t="s">
        <v>9467</v>
      </c>
    </row>
    <row r="2742" spans="1:3" x14ac:dyDescent="0.3">
      <c r="A2742" s="3" t="s">
        <v>6208</v>
      </c>
      <c r="B2742" s="3">
        <v>6.7</v>
      </c>
      <c r="C2742" s="22" t="s">
        <v>8342</v>
      </c>
    </row>
    <row r="2743" spans="1:3" x14ac:dyDescent="0.3">
      <c r="A2743" s="4" t="s">
        <v>6210</v>
      </c>
      <c r="B2743" s="4">
        <v>6.9</v>
      </c>
      <c r="C2743" s="23" t="s">
        <v>8730</v>
      </c>
    </row>
    <row r="2744" spans="1:3" x14ac:dyDescent="0.3">
      <c r="A2744" s="3" t="s">
        <v>6212</v>
      </c>
      <c r="B2744" s="3">
        <v>5.5</v>
      </c>
      <c r="C2744" s="22" t="s">
        <v>8909</v>
      </c>
    </row>
    <row r="2745" spans="1:3" x14ac:dyDescent="0.3">
      <c r="A2745" s="4" t="s">
        <v>6215</v>
      </c>
      <c r="B2745" s="4">
        <v>4.4000000000000004</v>
      </c>
      <c r="C2745" s="23" t="s">
        <v>9468</v>
      </c>
    </row>
    <row r="2746" spans="1:3" x14ac:dyDescent="0.3">
      <c r="A2746" s="3" t="s">
        <v>6217</v>
      </c>
      <c r="B2746" s="3">
        <v>5.4</v>
      </c>
      <c r="C2746" s="22" t="s">
        <v>8374</v>
      </c>
    </row>
    <row r="2747" spans="1:3" x14ac:dyDescent="0.3">
      <c r="A2747" s="4" t="s">
        <v>6219</v>
      </c>
      <c r="B2747" s="4">
        <v>7</v>
      </c>
      <c r="C2747" s="23" t="s">
        <v>9469</v>
      </c>
    </row>
    <row r="2748" spans="1:3" x14ac:dyDescent="0.3">
      <c r="A2748" s="3" t="s">
        <v>6221</v>
      </c>
      <c r="B2748" s="3">
        <v>5.4</v>
      </c>
      <c r="C2748" s="22" t="s">
        <v>8490</v>
      </c>
    </row>
    <row r="2749" spans="1:3" x14ac:dyDescent="0.3">
      <c r="A2749" s="4" t="s">
        <v>6224</v>
      </c>
      <c r="B2749" s="4">
        <v>5.4</v>
      </c>
      <c r="C2749" s="23" t="s">
        <v>9470</v>
      </c>
    </row>
    <row r="2750" spans="1:3" x14ac:dyDescent="0.3">
      <c r="A2750" s="3" t="s">
        <v>6226</v>
      </c>
      <c r="B2750" s="3">
        <v>8</v>
      </c>
      <c r="C2750" s="22" t="s">
        <v>9471</v>
      </c>
    </row>
    <row r="2751" spans="1:3" x14ac:dyDescent="0.3">
      <c r="A2751" s="4" t="s">
        <v>6229</v>
      </c>
      <c r="B2751" s="4">
        <v>7.6</v>
      </c>
      <c r="C2751" s="23" t="s">
        <v>9472</v>
      </c>
    </row>
    <row r="2752" spans="1:3" x14ac:dyDescent="0.3">
      <c r="A2752" s="3" t="s">
        <v>6231</v>
      </c>
      <c r="B2752" s="3">
        <v>5.9</v>
      </c>
      <c r="C2752" s="22" t="s">
        <v>9473</v>
      </c>
    </row>
    <row r="2753" spans="1:3" x14ac:dyDescent="0.3">
      <c r="A2753" s="4" t="s">
        <v>6233</v>
      </c>
      <c r="B2753" s="4">
        <v>6.6</v>
      </c>
      <c r="C2753" s="23" t="s">
        <v>9157</v>
      </c>
    </row>
    <row r="2754" spans="1:3" x14ac:dyDescent="0.3">
      <c r="A2754" s="3" t="s">
        <v>6235</v>
      </c>
      <c r="B2754" s="3">
        <v>6.7</v>
      </c>
      <c r="C2754" s="22" t="s">
        <v>8413</v>
      </c>
    </row>
    <row r="2755" spans="1:3" x14ac:dyDescent="0.3">
      <c r="A2755" s="4" t="s">
        <v>6238</v>
      </c>
      <c r="B2755" s="4">
        <v>3.9</v>
      </c>
      <c r="C2755" s="23" t="s">
        <v>9474</v>
      </c>
    </row>
    <row r="2756" spans="1:3" x14ac:dyDescent="0.3">
      <c r="A2756" s="3" t="s">
        <v>6240</v>
      </c>
      <c r="B2756" s="3">
        <v>5.7</v>
      </c>
      <c r="C2756" s="22" t="s">
        <v>9365</v>
      </c>
    </row>
    <row r="2757" spans="1:3" x14ac:dyDescent="0.3">
      <c r="A2757" s="4" t="s">
        <v>6242</v>
      </c>
      <c r="B2757" s="4">
        <v>6.7</v>
      </c>
      <c r="C2757" s="23" t="s">
        <v>9406</v>
      </c>
    </row>
    <row r="2758" spans="1:3" x14ac:dyDescent="0.3">
      <c r="A2758" s="3" t="s">
        <v>6244</v>
      </c>
      <c r="B2758" s="3">
        <v>6.5</v>
      </c>
      <c r="C2758" s="22" t="s">
        <v>9475</v>
      </c>
    </row>
    <row r="2759" spans="1:3" x14ac:dyDescent="0.3">
      <c r="A2759" s="4" t="s">
        <v>6246</v>
      </c>
      <c r="B2759" s="4">
        <v>6.8</v>
      </c>
      <c r="C2759" s="23" t="s">
        <v>9247</v>
      </c>
    </row>
    <row r="2760" spans="1:3" x14ac:dyDescent="0.3">
      <c r="A2760" s="3" t="s">
        <v>6248</v>
      </c>
      <c r="B2760" s="3">
        <v>6.3</v>
      </c>
      <c r="C2760" s="22" t="s">
        <v>9476</v>
      </c>
    </row>
    <row r="2761" spans="1:3" x14ac:dyDescent="0.3">
      <c r="A2761" s="4" t="s">
        <v>6250</v>
      </c>
      <c r="B2761" s="4">
        <v>7.3</v>
      </c>
      <c r="C2761" s="23" t="s">
        <v>8768</v>
      </c>
    </row>
    <row r="2762" spans="1:3" x14ac:dyDescent="0.3">
      <c r="A2762" s="3" t="s">
        <v>6252</v>
      </c>
      <c r="B2762" s="3">
        <v>6.9</v>
      </c>
      <c r="C2762" s="22" t="s">
        <v>9477</v>
      </c>
    </row>
    <row r="2763" spans="1:3" x14ac:dyDescent="0.3">
      <c r="A2763" s="4" t="s">
        <v>6254</v>
      </c>
      <c r="B2763" s="4">
        <v>7</v>
      </c>
      <c r="C2763" s="23" t="s">
        <v>8515</v>
      </c>
    </row>
    <row r="2764" spans="1:3" x14ac:dyDescent="0.3">
      <c r="A2764" s="3" t="s">
        <v>6256</v>
      </c>
      <c r="B2764" s="3">
        <v>6.5</v>
      </c>
      <c r="C2764" s="22" t="s">
        <v>9478</v>
      </c>
    </row>
    <row r="2765" spans="1:3" x14ac:dyDescent="0.3">
      <c r="A2765" s="4" t="s">
        <v>6258</v>
      </c>
      <c r="B2765" s="4">
        <v>3.6</v>
      </c>
      <c r="C2765" s="23" t="s">
        <v>9479</v>
      </c>
    </row>
    <row r="2766" spans="1:3" x14ac:dyDescent="0.3">
      <c r="A2766" s="3" t="s">
        <v>6260</v>
      </c>
      <c r="B2766" s="3">
        <v>7.7</v>
      </c>
      <c r="C2766" s="22" t="s">
        <v>8633</v>
      </c>
    </row>
    <row r="2767" spans="1:3" x14ac:dyDescent="0.3">
      <c r="A2767" s="4" t="s">
        <v>6262</v>
      </c>
      <c r="B2767" s="4">
        <v>7.7</v>
      </c>
      <c r="C2767" s="23" t="s">
        <v>8400</v>
      </c>
    </row>
    <row r="2768" spans="1:3" x14ac:dyDescent="0.3">
      <c r="A2768" s="3" t="s">
        <v>6264</v>
      </c>
      <c r="B2768" s="3">
        <v>5.9</v>
      </c>
      <c r="C2768" s="22" t="s">
        <v>8382</v>
      </c>
    </row>
    <row r="2769" spans="1:3" x14ac:dyDescent="0.3">
      <c r="A2769" s="4" t="s">
        <v>6266</v>
      </c>
      <c r="B2769" s="4">
        <v>6.8</v>
      </c>
      <c r="C2769" s="23" t="s">
        <v>9234</v>
      </c>
    </row>
    <row r="2770" spans="1:3" x14ac:dyDescent="0.3">
      <c r="A2770" s="3" t="s">
        <v>6268</v>
      </c>
      <c r="B2770" s="3">
        <v>7.4</v>
      </c>
      <c r="C2770" s="22" t="s">
        <v>9253</v>
      </c>
    </row>
    <row r="2771" spans="1:3" x14ac:dyDescent="0.3">
      <c r="A2771" s="4" t="s">
        <v>6270</v>
      </c>
      <c r="B2771" s="4">
        <v>5.0999999999999996</v>
      </c>
      <c r="C2771" s="23" t="s">
        <v>8907</v>
      </c>
    </row>
    <row r="2772" spans="1:3" x14ac:dyDescent="0.3">
      <c r="A2772" s="3" t="s">
        <v>6272</v>
      </c>
      <c r="B2772" s="3">
        <v>7.4</v>
      </c>
      <c r="C2772" s="22" t="s">
        <v>9066</v>
      </c>
    </row>
    <row r="2773" spans="1:3" x14ac:dyDescent="0.3">
      <c r="A2773" s="4" t="s">
        <v>6274</v>
      </c>
      <c r="B2773" s="4">
        <v>7.2</v>
      </c>
      <c r="C2773" s="23" t="s">
        <v>9426</v>
      </c>
    </row>
    <row r="2774" spans="1:3" x14ac:dyDescent="0.3">
      <c r="A2774" s="3" t="s">
        <v>6276</v>
      </c>
      <c r="B2774" s="3">
        <v>6</v>
      </c>
      <c r="C2774" s="22" t="s">
        <v>9315</v>
      </c>
    </row>
    <row r="2775" spans="1:3" x14ac:dyDescent="0.3">
      <c r="A2775" s="4" t="s">
        <v>6278</v>
      </c>
      <c r="B2775" s="4">
        <v>8.3000000000000007</v>
      </c>
      <c r="C2775" s="23" t="s">
        <v>8559</v>
      </c>
    </row>
    <row r="2776" spans="1:3" x14ac:dyDescent="0.3">
      <c r="A2776" s="3" t="s">
        <v>6280</v>
      </c>
      <c r="B2776" s="3">
        <v>8.1</v>
      </c>
      <c r="C2776" s="22" t="s">
        <v>8608</v>
      </c>
    </row>
    <row r="2777" spans="1:3" x14ac:dyDescent="0.3">
      <c r="A2777" s="4" t="s">
        <v>6282</v>
      </c>
      <c r="B2777" s="4">
        <v>6.3</v>
      </c>
      <c r="C2777" s="23" t="s">
        <v>9249</v>
      </c>
    </row>
    <row r="2778" spans="1:3" x14ac:dyDescent="0.3">
      <c r="A2778" s="3" t="s">
        <v>6284</v>
      </c>
      <c r="B2778" s="3">
        <v>7.3</v>
      </c>
      <c r="C2778" s="22" t="s">
        <v>8570</v>
      </c>
    </row>
    <row r="2779" spans="1:3" x14ac:dyDescent="0.3">
      <c r="A2779" s="4" t="s">
        <v>6286</v>
      </c>
      <c r="B2779" s="4">
        <v>3.6</v>
      </c>
      <c r="C2779" s="23" t="s">
        <v>8969</v>
      </c>
    </row>
    <row r="2780" spans="1:3" x14ac:dyDescent="0.3">
      <c r="A2780" s="3" t="s">
        <v>6288</v>
      </c>
      <c r="B2780" s="3">
        <v>1.6</v>
      </c>
      <c r="C2780" s="22" t="s">
        <v>8401</v>
      </c>
    </row>
    <row r="2781" spans="1:3" x14ac:dyDescent="0.3">
      <c r="A2781" s="4" t="s">
        <v>6290</v>
      </c>
      <c r="B2781" s="4">
        <v>8</v>
      </c>
      <c r="C2781" s="23" t="s">
        <v>8414</v>
      </c>
    </row>
    <row r="2782" spans="1:3" x14ac:dyDescent="0.3">
      <c r="A2782" s="3" t="s">
        <v>6292</v>
      </c>
      <c r="B2782" s="3">
        <v>6.2</v>
      </c>
      <c r="C2782" s="22" t="s">
        <v>8432</v>
      </c>
    </row>
    <row r="2783" spans="1:3" x14ac:dyDescent="0.3">
      <c r="A2783" s="4" t="s">
        <v>6294</v>
      </c>
      <c r="B2783" s="4">
        <v>9</v>
      </c>
      <c r="C2783" s="23" t="s">
        <v>8713</v>
      </c>
    </row>
    <row r="2784" spans="1:3" x14ac:dyDescent="0.3">
      <c r="A2784" s="3" t="s">
        <v>6296</v>
      </c>
      <c r="B2784" s="3">
        <v>6.1</v>
      </c>
      <c r="C2784" s="22" t="s">
        <v>8790</v>
      </c>
    </row>
    <row r="2785" spans="1:3" x14ac:dyDescent="0.3">
      <c r="A2785" s="4" t="s">
        <v>6298</v>
      </c>
      <c r="B2785" s="4">
        <v>5.7</v>
      </c>
      <c r="C2785" s="23" t="s">
        <v>8493</v>
      </c>
    </row>
    <row r="2786" spans="1:3" x14ac:dyDescent="0.3">
      <c r="A2786" s="3" t="s">
        <v>6300</v>
      </c>
      <c r="B2786" s="3">
        <v>6.8</v>
      </c>
      <c r="C2786" s="22" t="s">
        <v>9124</v>
      </c>
    </row>
    <row r="2787" spans="1:3" x14ac:dyDescent="0.3">
      <c r="A2787" s="4" t="s">
        <v>6303</v>
      </c>
      <c r="B2787" s="4">
        <v>5.5</v>
      </c>
      <c r="C2787" s="23" t="s">
        <v>9480</v>
      </c>
    </row>
    <row r="2788" spans="1:3" x14ac:dyDescent="0.3">
      <c r="A2788" s="3" t="s">
        <v>6305</v>
      </c>
      <c r="B2788" s="3">
        <v>6.8</v>
      </c>
      <c r="C2788" s="22" t="s">
        <v>9481</v>
      </c>
    </row>
    <row r="2789" spans="1:3" x14ac:dyDescent="0.3">
      <c r="A2789" s="4" t="s">
        <v>6307</v>
      </c>
      <c r="B2789" s="4">
        <v>7.3</v>
      </c>
      <c r="C2789" s="23" t="s">
        <v>9482</v>
      </c>
    </row>
    <row r="2790" spans="1:3" x14ac:dyDescent="0.3">
      <c r="A2790" s="3" t="s">
        <v>6309</v>
      </c>
      <c r="B2790" s="3">
        <v>6.1</v>
      </c>
      <c r="C2790" s="22" t="s">
        <v>8907</v>
      </c>
    </row>
    <row r="2791" spans="1:3" x14ac:dyDescent="0.3">
      <c r="A2791" s="4" t="s">
        <v>6311</v>
      </c>
      <c r="B2791" s="4">
        <v>7.2</v>
      </c>
      <c r="C2791" s="23" t="s">
        <v>8920</v>
      </c>
    </row>
    <row r="2792" spans="1:3" x14ac:dyDescent="0.3">
      <c r="A2792" s="3" t="s">
        <v>6313</v>
      </c>
      <c r="B2792" s="3">
        <v>5.9</v>
      </c>
      <c r="C2792" s="22" t="s">
        <v>9483</v>
      </c>
    </row>
    <row r="2793" spans="1:3" x14ac:dyDescent="0.3">
      <c r="A2793" s="4" t="s">
        <v>6315</v>
      </c>
      <c r="B2793" s="4">
        <v>6.1</v>
      </c>
      <c r="C2793" s="23" t="s">
        <v>9484</v>
      </c>
    </row>
    <row r="2794" spans="1:3" x14ac:dyDescent="0.3">
      <c r="A2794" s="3" t="s">
        <v>6317</v>
      </c>
      <c r="B2794" s="3">
        <v>6.8</v>
      </c>
      <c r="C2794" s="22" t="s">
        <v>8737</v>
      </c>
    </row>
    <row r="2795" spans="1:3" x14ac:dyDescent="0.3">
      <c r="A2795" s="4" t="s">
        <v>6319</v>
      </c>
      <c r="B2795" s="4">
        <v>7.7</v>
      </c>
      <c r="C2795" s="23" t="s">
        <v>9485</v>
      </c>
    </row>
    <row r="2796" spans="1:3" x14ac:dyDescent="0.3">
      <c r="A2796" s="3" t="s">
        <v>6321</v>
      </c>
      <c r="B2796" s="3">
        <v>4.9000000000000004</v>
      </c>
      <c r="C2796" s="22" t="s">
        <v>9233</v>
      </c>
    </row>
    <row r="2797" spans="1:3" x14ac:dyDescent="0.3">
      <c r="A2797" s="4" t="s">
        <v>6323</v>
      </c>
      <c r="B2797" s="4">
        <v>6.1</v>
      </c>
      <c r="C2797" s="23" t="s">
        <v>9486</v>
      </c>
    </row>
    <row r="2798" spans="1:3" x14ac:dyDescent="0.3">
      <c r="A2798" s="3" t="s">
        <v>6325</v>
      </c>
      <c r="B2798" s="3">
        <v>2.5</v>
      </c>
      <c r="C2798" s="22" t="s">
        <v>9243</v>
      </c>
    </row>
    <row r="2799" spans="1:3" x14ac:dyDescent="0.3">
      <c r="A2799" s="4" t="s">
        <v>6327</v>
      </c>
      <c r="B2799" s="4">
        <v>6.1</v>
      </c>
      <c r="C2799" s="23" t="s">
        <v>9487</v>
      </c>
    </row>
    <row r="2800" spans="1:3" x14ac:dyDescent="0.3">
      <c r="A2800" s="3" t="s">
        <v>6329</v>
      </c>
      <c r="B2800" s="3">
        <v>5.9</v>
      </c>
      <c r="C2800" s="22" t="s">
        <v>9488</v>
      </c>
    </row>
    <row r="2801" spans="1:3" x14ac:dyDescent="0.3">
      <c r="A2801" s="4" t="s">
        <v>6331</v>
      </c>
      <c r="B2801" s="4">
        <v>5.7</v>
      </c>
      <c r="C2801" s="23" t="s">
        <v>9489</v>
      </c>
    </row>
    <row r="2802" spans="1:3" x14ac:dyDescent="0.3">
      <c r="A2802" s="3" t="s">
        <v>6333</v>
      </c>
      <c r="B2802" s="3">
        <v>5.6</v>
      </c>
      <c r="C2802" s="22" t="s">
        <v>9490</v>
      </c>
    </row>
    <row r="2803" spans="1:3" x14ac:dyDescent="0.3">
      <c r="A2803" s="4" t="s">
        <v>6335</v>
      </c>
      <c r="B2803" s="4">
        <v>7.2</v>
      </c>
      <c r="C2803" s="23" t="s">
        <v>8584</v>
      </c>
    </row>
    <row r="2804" spans="1:3" x14ac:dyDescent="0.3">
      <c r="A2804" s="3" t="s">
        <v>6337</v>
      </c>
      <c r="B2804" s="3">
        <v>7.7</v>
      </c>
      <c r="C2804" s="22" t="s">
        <v>9491</v>
      </c>
    </row>
    <row r="2805" spans="1:3" x14ac:dyDescent="0.3">
      <c r="A2805" s="4" t="s">
        <v>6339</v>
      </c>
      <c r="B2805" s="4">
        <v>7.8</v>
      </c>
      <c r="C2805" s="23" t="s">
        <v>8467</v>
      </c>
    </row>
    <row r="2806" spans="1:3" x14ac:dyDescent="0.3">
      <c r="A2806" s="3" t="s">
        <v>6341</v>
      </c>
      <c r="B2806" s="3">
        <v>6.1</v>
      </c>
      <c r="C2806" s="22" t="s">
        <v>9492</v>
      </c>
    </row>
    <row r="2807" spans="1:3" x14ac:dyDescent="0.3">
      <c r="A2807" s="4" t="s">
        <v>6343</v>
      </c>
      <c r="B2807" s="4">
        <v>5.8</v>
      </c>
      <c r="C2807" s="23" t="s">
        <v>8440</v>
      </c>
    </row>
    <row r="2808" spans="1:3" x14ac:dyDescent="0.3">
      <c r="A2808" s="3" t="s">
        <v>6346</v>
      </c>
      <c r="B2808" s="3">
        <v>6.5</v>
      </c>
      <c r="C2808" s="22" t="s">
        <v>8765</v>
      </c>
    </row>
    <row r="2809" spans="1:3" x14ac:dyDescent="0.3">
      <c r="A2809" s="4" t="s">
        <v>6348</v>
      </c>
      <c r="B2809" s="4">
        <v>7.9</v>
      </c>
      <c r="C2809" s="23" t="s">
        <v>8619</v>
      </c>
    </row>
    <row r="2810" spans="1:3" x14ac:dyDescent="0.3">
      <c r="A2810" s="3" t="s">
        <v>6350</v>
      </c>
      <c r="B2810" s="3">
        <v>6.3</v>
      </c>
      <c r="C2810" s="22" t="s">
        <v>9493</v>
      </c>
    </row>
    <row r="2811" spans="1:3" x14ac:dyDescent="0.3">
      <c r="A2811" s="4" t="s">
        <v>6352</v>
      </c>
      <c r="B2811" s="4">
        <v>3.8</v>
      </c>
      <c r="C2811" s="23" t="s">
        <v>9494</v>
      </c>
    </row>
    <row r="2812" spans="1:3" x14ac:dyDescent="0.3">
      <c r="A2812" s="3" t="s">
        <v>6354</v>
      </c>
      <c r="B2812" s="3">
        <v>8.3000000000000007</v>
      </c>
      <c r="C2812" s="22" t="s">
        <v>9495</v>
      </c>
    </row>
    <row r="2813" spans="1:3" x14ac:dyDescent="0.3">
      <c r="A2813" s="4" t="s">
        <v>6356</v>
      </c>
      <c r="B2813" s="4">
        <v>6.4</v>
      </c>
      <c r="C2813" s="23" t="s">
        <v>9496</v>
      </c>
    </row>
    <row r="2814" spans="1:3" x14ac:dyDescent="0.3">
      <c r="A2814" s="3" t="s">
        <v>6358</v>
      </c>
      <c r="B2814" s="3">
        <v>6.7</v>
      </c>
      <c r="C2814" s="22" t="s">
        <v>9497</v>
      </c>
    </row>
    <row r="2815" spans="1:3" x14ac:dyDescent="0.3">
      <c r="A2815" s="4" t="s">
        <v>6360</v>
      </c>
      <c r="B2815" s="4">
        <v>6.1</v>
      </c>
      <c r="C2815" s="23" t="s">
        <v>9215</v>
      </c>
    </row>
    <row r="2816" spans="1:3" x14ac:dyDescent="0.3">
      <c r="A2816" s="3" t="s">
        <v>6362</v>
      </c>
      <c r="B2816" s="3">
        <v>8.1</v>
      </c>
      <c r="C2816" s="22" t="s">
        <v>9031</v>
      </c>
    </row>
    <row r="2817" spans="1:3" x14ac:dyDescent="0.3">
      <c r="A2817" s="4" t="s">
        <v>6364</v>
      </c>
      <c r="B2817" s="4">
        <v>6</v>
      </c>
      <c r="C2817" s="23" t="s">
        <v>9498</v>
      </c>
    </row>
    <row r="2818" spans="1:3" x14ac:dyDescent="0.3">
      <c r="A2818" s="3" t="s">
        <v>6366</v>
      </c>
      <c r="B2818" s="3">
        <v>5.8</v>
      </c>
      <c r="C2818" s="22" t="s">
        <v>9499</v>
      </c>
    </row>
    <row r="2819" spans="1:3" x14ac:dyDescent="0.3">
      <c r="A2819" s="4" t="s">
        <v>6368</v>
      </c>
      <c r="B2819" s="4">
        <v>5.6</v>
      </c>
      <c r="C2819" s="23" t="s">
        <v>9500</v>
      </c>
    </row>
    <row r="2820" spans="1:3" x14ac:dyDescent="0.3">
      <c r="A2820" s="3" t="s">
        <v>6370</v>
      </c>
      <c r="B2820" s="3">
        <v>6.1</v>
      </c>
      <c r="C2820" s="22" t="s">
        <v>9501</v>
      </c>
    </row>
    <row r="2821" spans="1:3" x14ac:dyDescent="0.3">
      <c r="A2821" s="4" t="s">
        <v>6372</v>
      </c>
      <c r="B2821" s="4">
        <v>5.9</v>
      </c>
      <c r="C2821" s="23" t="s">
        <v>9196</v>
      </c>
    </row>
    <row r="2822" spans="1:3" x14ac:dyDescent="0.3">
      <c r="A2822" s="3" t="s">
        <v>6374</v>
      </c>
      <c r="B2822" s="3">
        <v>7.3</v>
      </c>
      <c r="C2822" s="22" t="s">
        <v>9502</v>
      </c>
    </row>
    <row r="2823" spans="1:3" x14ac:dyDescent="0.3">
      <c r="A2823" s="4" t="s">
        <v>6376</v>
      </c>
      <c r="B2823" s="4">
        <v>6.8</v>
      </c>
      <c r="C2823" s="23" t="s">
        <v>8674</v>
      </c>
    </row>
    <row r="2824" spans="1:3" x14ac:dyDescent="0.3">
      <c r="A2824" s="3" t="s">
        <v>6378</v>
      </c>
      <c r="B2824" s="3">
        <v>5.7</v>
      </c>
      <c r="C2824" s="22" t="s">
        <v>8459</v>
      </c>
    </row>
    <row r="2825" spans="1:3" x14ac:dyDescent="0.3">
      <c r="A2825" s="4" t="s">
        <v>6380</v>
      </c>
      <c r="B2825" s="4">
        <v>7.3</v>
      </c>
      <c r="C2825" s="23" t="s">
        <v>9503</v>
      </c>
    </row>
    <row r="2826" spans="1:3" x14ac:dyDescent="0.3">
      <c r="A2826" s="3" t="s">
        <v>6383</v>
      </c>
      <c r="B2826" s="3">
        <v>6.3</v>
      </c>
      <c r="C2826" s="22" t="s">
        <v>9135</v>
      </c>
    </row>
    <row r="2827" spans="1:3" x14ac:dyDescent="0.3">
      <c r="A2827" s="4" t="s">
        <v>6385</v>
      </c>
      <c r="B2827" s="4">
        <v>5.9</v>
      </c>
      <c r="C2827" s="23" t="s">
        <v>9504</v>
      </c>
    </row>
    <row r="2828" spans="1:3" x14ac:dyDescent="0.3">
      <c r="A2828" s="3" t="s">
        <v>6387</v>
      </c>
      <c r="B2828" s="3">
        <v>7.1</v>
      </c>
      <c r="C2828" s="22" t="s">
        <v>8767</v>
      </c>
    </row>
    <row r="2829" spans="1:3" x14ac:dyDescent="0.3">
      <c r="A2829" s="4" t="s">
        <v>6389</v>
      </c>
      <c r="B2829" s="4">
        <v>7.1</v>
      </c>
      <c r="C2829" s="23" t="s">
        <v>9152</v>
      </c>
    </row>
    <row r="2830" spans="1:3" x14ac:dyDescent="0.3">
      <c r="A2830" s="3" t="s">
        <v>6391</v>
      </c>
      <c r="B2830" s="3">
        <v>8</v>
      </c>
      <c r="C2830" s="22" t="s">
        <v>9505</v>
      </c>
    </row>
    <row r="2831" spans="1:3" x14ac:dyDescent="0.3">
      <c r="A2831" s="4" t="s">
        <v>6393</v>
      </c>
      <c r="B2831" s="4">
        <v>5.0999999999999996</v>
      </c>
      <c r="C2831" s="23" t="s">
        <v>9506</v>
      </c>
    </row>
    <row r="2832" spans="1:3" x14ac:dyDescent="0.3">
      <c r="A2832" s="3" t="s">
        <v>6395</v>
      </c>
      <c r="B2832" s="3">
        <v>7.1</v>
      </c>
      <c r="C2832" s="22" t="s">
        <v>9153</v>
      </c>
    </row>
    <row r="2833" spans="1:3" x14ac:dyDescent="0.3">
      <c r="A2833" s="4" t="s">
        <v>6397</v>
      </c>
      <c r="B2833" s="4">
        <v>6.5</v>
      </c>
      <c r="C2833" s="23" t="s">
        <v>9083</v>
      </c>
    </row>
    <row r="2834" spans="1:3" x14ac:dyDescent="0.3">
      <c r="A2834" s="3" t="s">
        <v>6399</v>
      </c>
      <c r="B2834" s="3">
        <v>4.5</v>
      </c>
      <c r="C2834" s="22" t="s">
        <v>8689</v>
      </c>
    </row>
    <row r="2835" spans="1:3" x14ac:dyDescent="0.3">
      <c r="A2835" s="4" t="s">
        <v>6401</v>
      </c>
      <c r="B2835" s="4">
        <v>6.6</v>
      </c>
      <c r="C2835" s="23" t="s">
        <v>9507</v>
      </c>
    </row>
    <row r="2836" spans="1:3" x14ac:dyDescent="0.3">
      <c r="A2836" s="3" t="s">
        <v>6403</v>
      </c>
      <c r="B2836" s="3">
        <v>4.3</v>
      </c>
      <c r="C2836" s="22" t="s">
        <v>8618</v>
      </c>
    </row>
    <row r="2837" spans="1:3" x14ac:dyDescent="0.3">
      <c r="A2837" s="4" t="s">
        <v>6405</v>
      </c>
      <c r="B2837" s="4">
        <v>6.7</v>
      </c>
      <c r="C2837" s="23" t="s">
        <v>9435</v>
      </c>
    </row>
    <row r="2838" spans="1:3" x14ac:dyDescent="0.3">
      <c r="A2838" s="3" t="s">
        <v>6407</v>
      </c>
      <c r="B2838" s="3">
        <v>6.8</v>
      </c>
      <c r="C2838" s="22" t="s">
        <v>9508</v>
      </c>
    </row>
    <row r="2839" spans="1:3" x14ac:dyDescent="0.3">
      <c r="A2839" s="4" t="s">
        <v>6409</v>
      </c>
      <c r="B2839" s="4">
        <v>5.4</v>
      </c>
      <c r="C2839" s="23" t="s">
        <v>9509</v>
      </c>
    </row>
    <row r="2840" spans="1:3" x14ac:dyDescent="0.3">
      <c r="A2840" s="3" t="s">
        <v>6412</v>
      </c>
      <c r="B2840" s="3">
        <v>6.6</v>
      </c>
      <c r="C2840" s="22" t="s">
        <v>8623</v>
      </c>
    </row>
    <row r="2841" spans="1:3" x14ac:dyDescent="0.3">
      <c r="A2841" s="4" t="s">
        <v>6414</v>
      </c>
      <c r="B2841" s="4">
        <v>7.4</v>
      </c>
      <c r="C2841" s="23" t="s">
        <v>8516</v>
      </c>
    </row>
    <row r="2842" spans="1:3" x14ac:dyDescent="0.3">
      <c r="A2842" s="3" t="s">
        <v>6416</v>
      </c>
      <c r="B2842" s="3">
        <v>7.3</v>
      </c>
      <c r="C2842" s="22" t="s">
        <v>9391</v>
      </c>
    </row>
    <row r="2843" spans="1:3" x14ac:dyDescent="0.3">
      <c r="A2843" s="4" t="s">
        <v>6418</v>
      </c>
      <c r="B2843" s="4">
        <v>6.9</v>
      </c>
      <c r="C2843" s="23" t="s">
        <v>9081</v>
      </c>
    </row>
    <row r="2844" spans="1:3" x14ac:dyDescent="0.3">
      <c r="A2844" s="3" t="s">
        <v>6420</v>
      </c>
      <c r="B2844" s="3">
        <v>8</v>
      </c>
      <c r="C2844" s="22" t="s">
        <v>8458</v>
      </c>
    </row>
    <row r="2845" spans="1:3" x14ac:dyDescent="0.3">
      <c r="A2845" s="4" t="s">
        <v>6422</v>
      </c>
      <c r="B2845" s="4">
        <v>6.4</v>
      </c>
      <c r="C2845" s="23" t="s">
        <v>9510</v>
      </c>
    </row>
    <row r="2846" spans="1:3" x14ac:dyDescent="0.3">
      <c r="A2846" s="3" t="s">
        <v>6424</v>
      </c>
      <c r="B2846" s="3">
        <v>7.8</v>
      </c>
      <c r="C2846" s="22" t="s">
        <v>9416</v>
      </c>
    </row>
    <row r="2847" spans="1:3" x14ac:dyDescent="0.3">
      <c r="A2847" s="4" t="s">
        <v>6426</v>
      </c>
      <c r="B2847" s="4">
        <v>6.1</v>
      </c>
      <c r="C2847" s="23" t="s">
        <v>9083</v>
      </c>
    </row>
    <row r="2848" spans="1:3" x14ac:dyDescent="0.3">
      <c r="A2848" s="3" t="s">
        <v>6428</v>
      </c>
      <c r="B2848" s="3">
        <v>6.1</v>
      </c>
      <c r="C2848" s="22" t="s">
        <v>9511</v>
      </c>
    </row>
    <row r="2849" spans="1:3" x14ac:dyDescent="0.3">
      <c r="A2849" s="4" t="s">
        <v>6430</v>
      </c>
      <c r="B2849" s="4">
        <v>5.0999999999999996</v>
      </c>
      <c r="C2849" s="23" t="s">
        <v>9512</v>
      </c>
    </row>
    <row r="2850" spans="1:3" x14ac:dyDescent="0.3">
      <c r="A2850" s="3" t="s">
        <v>6432</v>
      </c>
      <c r="B2850" s="3">
        <v>7.8</v>
      </c>
      <c r="C2850" s="22" t="s">
        <v>9513</v>
      </c>
    </row>
    <row r="2851" spans="1:3" x14ac:dyDescent="0.3">
      <c r="A2851" s="4" t="s">
        <v>6434</v>
      </c>
      <c r="B2851" s="4">
        <v>7.4</v>
      </c>
      <c r="C2851" s="23" t="s">
        <v>8610</v>
      </c>
    </row>
    <row r="2852" spans="1:3" x14ac:dyDescent="0.3">
      <c r="A2852" s="3" t="s">
        <v>6436</v>
      </c>
      <c r="B2852" s="3">
        <v>7.8</v>
      </c>
      <c r="C2852" s="22" t="s">
        <v>9514</v>
      </c>
    </row>
    <row r="2853" spans="1:3" x14ac:dyDescent="0.3">
      <c r="A2853" s="4" t="s">
        <v>6438</v>
      </c>
      <c r="B2853" s="4">
        <v>8</v>
      </c>
      <c r="C2853" s="23" t="s">
        <v>9458</v>
      </c>
    </row>
    <row r="2854" spans="1:3" x14ac:dyDescent="0.3">
      <c r="A2854" s="3" t="s">
        <v>6441</v>
      </c>
      <c r="B2854" s="3">
        <v>6.7</v>
      </c>
      <c r="C2854" s="22" t="s">
        <v>9380</v>
      </c>
    </row>
    <row r="2855" spans="1:3" x14ac:dyDescent="0.3">
      <c r="A2855" s="4" t="s">
        <v>6444</v>
      </c>
      <c r="B2855" s="4">
        <v>6.6</v>
      </c>
      <c r="C2855" s="23" t="s">
        <v>9515</v>
      </c>
    </row>
    <row r="2856" spans="1:3" x14ac:dyDescent="0.3">
      <c r="A2856" s="3" t="s">
        <v>6446</v>
      </c>
      <c r="B2856" s="3">
        <v>6.4</v>
      </c>
      <c r="C2856" s="22" t="s">
        <v>9415</v>
      </c>
    </row>
    <row r="2857" spans="1:3" x14ac:dyDescent="0.3">
      <c r="A2857" s="4" t="s">
        <v>6448</v>
      </c>
      <c r="B2857" s="4">
        <v>6.7</v>
      </c>
      <c r="C2857" s="23" t="s">
        <v>9516</v>
      </c>
    </row>
    <row r="2858" spans="1:3" x14ac:dyDescent="0.3">
      <c r="A2858" s="3" t="s">
        <v>6451</v>
      </c>
      <c r="B2858" s="3">
        <v>6.2</v>
      </c>
      <c r="C2858" s="22" t="s">
        <v>9517</v>
      </c>
    </row>
    <row r="2859" spans="1:3" x14ac:dyDescent="0.3">
      <c r="A2859" s="4" t="s">
        <v>6453</v>
      </c>
      <c r="B2859" s="4">
        <v>7.3</v>
      </c>
      <c r="C2859" s="23" t="s">
        <v>8574</v>
      </c>
    </row>
    <row r="2860" spans="1:3" x14ac:dyDescent="0.3">
      <c r="A2860" s="3" t="s">
        <v>6455</v>
      </c>
      <c r="B2860" s="3">
        <v>8.1</v>
      </c>
      <c r="C2860" s="22" t="s">
        <v>9518</v>
      </c>
    </row>
    <row r="2861" spans="1:3" x14ac:dyDescent="0.3">
      <c r="A2861" s="4" t="s">
        <v>6457</v>
      </c>
      <c r="B2861" s="4">
        <v>7</v>
      </c>
      <c r="C2861" s="23" t="s">
        <v>9519</v>
      </c>
    </row>
    <row r="2862" spans="1:3" x14ac:dyDescent="0.3">
      <c r="A2862" s="3" t="s">
        <v>6459</v>
      </c>
      <c r="B2862" s="3">
        <v>8</v>
      </c>
      <c r="C2862" s="22" t="s">
        <v>8703</v>
      </c>
    </row>
    <row r="2863" spans="1:3" x14ac:dyDescent="0.3">
      <c r="A2863" s="4" t="s">
        <v>6461</v>
      </c>
      <c r="B2863" s="4">
        <v>8</v>
      </c>
      <c r="C2863" s="23" t="s">
        <v>8332</v>
      </c>
    </row>
    <row r="2864" spans="1:3" x14ac:dyDescent="0.3">
      <c r="A2864" s="3" t="s">
        <v>6463</v>
      </c>
      <c r="B2864" s="3">
        <v>7</v>
      </c>
      <c r="C2864" s="22" t="s">
        <v>8459</v>
      </c>
    </row>
    <row r="2865" spans="1:3" x14ac:dyDescent="0.3">
      <c r="A2865" s="4" t="s">
        <v>6465</v>
      </c>
      <c r="B2865" s="4">
        <v>7.9</v>
      </c>
      <c r="C2865" s="23" t="s">
        <v>9520</v>
      </c>
    </row>
    <row r="2866" spans="1:3" x14ac:dyDescent="0.3">
      <c r="A2866" s="3" t="s">
        <v>6468</v>
      </c>
      <c r="B2866" s="3">
        <v>5.9</v>
      </c>
      <c r="C2866" s="22" t="s">
        <v>8921</v>
      </c>
    </row>
    <row r="2867" spans="1:3" x14ac:dyDescent="0.3">
      <c r="A2867" s="4" t="s">
        <v>6470</v>
      </c>
      <c r="B2867" s="4">
        <v>6.6</v>
      </c>
      <c r="C2867" s="23" t="s">
        <v>8428</v>
      </c>
    </row>
    <row r="2868" spans="1:3" x14ac:dyDescent="0.3">
      <c r="A2868" s="3" t="s">
        <v>6472</v>
      </c>
      <c r="B2868" s="3">
        <v>6.3</v>
      </c>
      <c r="C2868" s="22" t="s">
        <v>8428</v>
      </c>
    </row>
    <row r="2869" spans="1:3" x14ac:dyDescent="0.3">
      <c r="A2869" s="4" t="s">
        <v>6474</v>
      </c>
      <c r="B2869" s="4">
        <v>7.7</v>
      </c>
      <c r="C2869" s="23" t="s">
        <v>9062</v>
      </c>
    </row>
    <row r="2870" spans="1:3" x14ac:dyDescent="0.3">
      <c r="A2870" s="3" t="s">
        <v>6476</v>
      </c>
      <c r="B2870" s="3">
        <v>6.9</v>
      </c>
      <c r="C2870" s="22" t="s">
        <v>8345</v>
      </c>
    </row>
    <row r="2871" spans="1:3" x14ac:dyDescent="0.3">
      <c r="A2871" s="4" t="s">
        <v>6478</v>
      </c>
      <c r="B2871" s="4">
        <v>7.1</v>
      </c>
      <c r="C2871" s="23" t="s">
        <v>9521</v>
      </c>
    </row>
    <row r="2872" spans="1:3" x14ac:dyDescent="0.3">
      <c r="A2872" s="3" t="s">
        <v>6480</v>
      </c>
      <c r="B2872" s="3">
        <v>7.4</v>
      </c>
      <c r="C2872" s="22" t="s">
        <v>8404</v>
      </c>
    </row>
    <row r="2873" spans="1:3" x14ac:dyDescent="0.3">
      <c r="A2873" s="4" t="s">
        <v>6482</v>
      </c>
      <c r="B2873" s="4">
        <v>6.5</v>
      </c>
      <c r="C2873" s="23" t="s">
        <v>9522</v>
      </c>
    </row>
    <row r="2874" spans="1:3" x14ac:dyDescent="0.3">
      <c r="A2874" s="3" t="s">
        <v>6484</v>
      </c>
      <c r="B2874" s="3">
        <v>6.5</v>
      </c>
      <c r="C2874" s="22" t="s">
        <v>8837</v>
      </c>
    </row>
    <row r="2875" spans="1:3" x14ac:dyDescent="0.3">
      <c r="A2875" s="4" t="s">
        <v>6486</v>
      </c>
      <c r="B2875" s="4">
        <v>6.8</v>
      </c>
      <c r="C2875" s="23" t="s">
        <v>9523</v>
      </c>
    </row>
    <row r="2876" spans="1:3" x14ac:dyDescent="0.3">
      <c r="A2876" s="3" t="s">
        <v>6488</v>
      </c>
      <c r="B2876" s="3">
        <v>7.5</v>
      </c>
      <c r="C2876" s="22" t="s">
        <v>8462</v>
      </c>
    </row>
    <row r="2877" spans="1:3" x14ac:dyDescent="0.3">
      <c r="A2877" s="4" t="s">
        <v>6490</v>
      </c>
      <c r="B2877" s="4">
        <v>6.6</v>
      </c>
      <c r="C2877" s="23" t="s">
        <v>8750</v>
      </c>
    </row>
    <row r="2878" spans="1:3" x14ac:dyDescent="0.3">
      <c r="A2878" s="3" t="s">
        <v>6492</v>
      </c>
      <c r="B2878" s="3">
        <v>7.1</v>
      </c>
      <c r="C2878" s="22" t="s">
        <v>8441</v>
      </c>
    </row>
    <row r="2879" spans="1:3" x14ac:dyDescent="0.3">
      <c r="A2879" s="4" t="s">
        <v>6494</v>
      </c>
      <c r="B2879" s="4">
        <v>6.6</v>
      </c>
      <c r="C2879" s="23" t="s">
        <v>8824</v>
      </c>
    </row>
    <row r="2880" spans="1:3" x14ac:dyDescent="0.3">
      <c r="A2880" s="3" t="s">
        <v>6496</v>
      </c>
      <c r="B2880" s="3">
        <v>7</v>
      </c>
      <c r="C2880" s="22" t="s">
        <v>8548</v>
      </c>
    </row>
    <row r="2881" spans="1:3" x14ac:dyDescent="0.3">
      <c r="A2881" s="4" t="s">
        <v>6498</v>
      </c>
      <c r="B2881" s="4">
        <v>3.3</v>
      </c>
      <c r="C2881" s="23" t="s">
        <v>9524</v>
      </c>
    </row>
    <row r="2882" spans="1:3" x14ac:dyDescent="0.3">
      <c r="A2882" s="3" t="s">
        <v>6500</v>
      </c>
      <c r="B2882" s="3">
        <v>6.7</v>
      </c>
      <c r="C2882" s="22" t="s">
        <v>9525</v>
      </c>
    </row>
    <row r="2883" spans="1:3" x14ac:dyDescent="0.3">
      <c r="A2883" s="4" t="s">
        <v>6502</v>
      </c>
      <c r="B2883" s="4">
        <v>8</v>
      </c>
      <c r="C2883" s="23" t="s">
        <v>9526</v>
      </c>
    </row>
    <row r="2884" spans="1:3" x14ac:dyDescent="0.3">
      <c r="A2884" s="3" t="s">
        <v>6504</v>
      </c>
      <c r="B2884" s="3">
        <v>6.8</v>
      </c>
      <c r="C2884" s="22" t="s">
        <v>9434</v>
      </c>
    </row>
    <row r="2885" spans="1:3" x14ac:dyDescent="0.3">
      <c r="A2885" s="4" t="s">
        <v>6507</v>
      </c>
      <c r="B2885" s="4">
        <v>6</v>
      </c>
      <c r="C2885" s="23" t="s">
        <v>9527</v>
      </c>
    </row>
    <row r="2886" spans="1:3" x14ac:dyDescent="0.3">
      <c r="A2886" s="3" t="s">
        <v>6509</v>
      </c>
      <c r="B2886" s="3">
        <v>5.4</v>
      </c>
      <c r="C2886" s="22" t="s">
        <v>9528</v>
      </c>
    </row>
    <row r="2887" spans="1:3" x14ac:dyDescent="0.3">
      <c r="A2887" s="4" t="s">
        <v>6512</v>
      </c>
      <c r="B2887" s="4">
        <v>4.3</v>
      </c>
      <c r="C2887" s="23" t="s">
        <v>9529</v>
      </c>
    </row>
    <row r="2888" spans="1:3" x14ac:dyDescent="0.3">
      <c r="A2888" s="3" t="s">
        <v>6514</v>
      </c>
      <c r="B2888" s="3">
        <v>6.2</v>
      </c>
      <c r="C2888" s="22" t="s">
        <v>8694</v>
      </c>
    </row>
    <row r="2889" spans="1:3" x14ac:dyDescent="0.3">
      <c r="A2889" s="4" t="s">
        <v>6516</v>
      </c>
      <c r="B2889" s="4">
        <v>7.7</v>
      </c>
      <c r="C2889" s="23" t="s">
        <v>9530</v>
      </c>
    </row>
    <row r="2890" spans="1:3" x14ac:dyDescent="0.3">
      <c r="A2890" s="3" t="s">
        <v>6518</v>
      </c>
      <c r="B2890" s="3">
        <v>8</v>
      </c>
      <c r="C2890" s="22" t="s">
        <v>8324</v>
      </c>
    </row>
    <row r="2891" spans="1:3" x14ac:dyDescent="0.3">
      <c r="A2891" s="4" t="s">
        <v>6520</v>
      </c>
      <c r="B2891" s="4">
        <v>7.4</v>
      </c>
      <c r="C2891" s="23" t="s">
        <v>8801</v>
      </c>
    </row>
    <row r="2892" spans="1:3" x14ac:dyDescent="0.3">
      <c r="A2892" s="3" t="s">
        <v>6522</v>
      </c>
      <c r="B2892" s="3">
        <v>5.9</v>
      </c>
      <c r="C2892" s="22" t="s">
        <v>9531</v>
      </c>
    </row>
    <row r="2893" spans="1:3" x14ac:dyDescent="0.3">
      <c r="A2893" s="4" t="s">
        <v>6524</v>
      </c>
      <c r="B2893" s="4">
        <v>7.8</v>
      </c>
      <c r="C2893" s="23" t="s">
        <v>9532</v>
      </c>
    </row>
    <row r="2894" spans="1:3" x14ac:dyDescent="0.3">
      <c r="A2894" s="3" t="s">
        <v>6526</v>
      </c>
      <c r="B2894" s="3">
        <v>7.4</v>
      </c>
      <c r="C2894" s="22" t="s">
        <v>8683</v>
      </c>
    </row>
    <row r="2895" spans="1:3" x14ac:dyDescent="0.3">
      <c r="A2895" s="4" t="s">
        <v>6528</v>
      </c>
      <c r="B2895" s="4">
        <v>6.5</v>
      </c>
      <c r="C2895" s="23" t="s">
        <v>8909</v>
      </c>
    </row>
    <row r="2896" spans="1:3" x14ac:dyDescent="0.3">
      <c r="A2896" s="3" t="s">
        <v>6530</v>
      </c>
      <c r="B2896" s="3">
        <v>5.4</v>
      </c>
      <c r="C2896" s="22" t="s">
        <v>8700</v>
      </c>
    </row>
    <row r="2897" spans="1:3" x14ac:dyDescent="0.3">
      <c r="A2897" s="4" t="s">
        <v>6532</v>
      </c>
      <c r="B2897" s="4">
        <v>7</v>
      </c>
      <c r="C2897" s="23" t="s">
        <v>8680</v>
      </c>
    </row>
    <row r="2898" spans="1:3" x14ac:dyDescent="0.3">
      <c r="A2898" s="3" t="s">
        <v>6534</v>
      </c>
      <c r="B2898" s="3">
        <v>7.6</v>
      </c>
      <c r="C2898" s="22" t="s">
        <v>8784</v>
      </c>
    </row>
    <row r="2899" spans="1:3" x14ac:dyDescent="0.3">
      <c r="A2899" s="4" t="s">
        <v>6536</v>
      </c>
      <c r="B2899" s="4">
        <v>6.9</v>
      </c>
      <c r="C2899" s="23" t="s">
        <v>9227</v>
      </c>
    </row>
    <row r="2900" spans="1:3" x14ac:dyDescent="0.3">
      <c r="A2900" s="3" t="s">
        <v>6538</v>
      </c>
      <c r="B2900" s="3">
        <v>7</v>
      </c>
      <c r="C2900" s="22" t="s">
        <v>9526</v>
      </c>
    </row>
    <row r="2901" spans="1:3" x14ac:dyDescent="0.3">
      <c r="A2901" s="4" t="s">
        <v>6540</v>
      </c>
      <c r="B2901" s="4">
        <v>5.3</v>
      </c>
      <c r="C2901" s="23" t="s">
        <v>9398</v>
      </c>
    </row>
    <row r="2902" spans="1:3" x14ac:dyDescent="0.3">
      <c r="A2902" s="3" t="s">
        <v>6542</v>
      </c>
      <c r="B2902" s="3">
        <v>6.4</v>
      </c>
      <c r="C2902" s="22" t="s">
        <v>9533</v>
      </c>
    </row>
    <row r="2903" spans="1:3" x14ac:dyDescent="0.3">
      <c r="A2903" s="4" t="s">
        <v>6544</v>
      </c>
      <c r="B2903" s="4">
        <v>4.5</v>
      </c>
      <c r="C2903" s="23" t="s">
        <v>9534</v>
      </c>
    </row>
    <row r="2904" spans="1:3" x14ac:dyDescent="0.3">
      <c r="A2904" s="3" t="s">
        <v>6546</v>
      </c>
      <c r="B2904" s="3">
        <v>7.8</v>
      </c>
      <c r="C2904" s="22" t="s">
        <v>8983</v>
      </c>
    </row>
    <row r="2905" spans="1:3" x14ac:dyDescent="0.3">
      <c r="A2905" s="4" t="s">
        <v>6549</v>
      </c>
      <c r="B2905" s="4">
        <v>6.7</v>
      </c>
      <c r="C2905" s="23" t="s">
        <v>9535</v>
      </c>
    </row>
    <row r="2906" spans="1:3" x14ac:dyDescent="0.3">
      <c r="A2906" s="3" t="s">
        <v>6551</v>
      </c>
      <c r="B2906" s="3">
        <v>5.3</v>
      </c>
      <c r="C2906" s="22" t="s">
        <v>8637</v>
      </c>
    </row>
    <row r="2907" spans="1:3" x14ac:dyDescent="0.3">
      <c r="A2907" s="4" t="s">
        <v>6553</v>
      </c>
      <c r="B2907" s="4">
        <v>6.3</v>
      </c>
      <c r="C2907" s="23" t="s">
        <v>8982</v>
      </c>
    </row>
    <row r="2908" spans="1:3" x14ac:dyDescent="0.3">
      <c r="A2908" s="3" t="s">
        <v>6555</v>
      </c>
      <c r="B2908" s="3">
        <v>7</v>
      </c>
      <c r="C2908" s="22" t="s">
        <v>8689</v>
      </c>
    </row>
    <row r="2909" spans="1:3" x14ac:dyDescent="0.3">
      <c r="A2909" s="4" t="s">
        <v>6557</v>
      </c>
      <c r="B2909" s="4">
        <v>5.3</v>
      </c>
      <c r="C2909" s="23" t="s">
        <v>9536</v>
      </c>
    </row>
    <row r="2910" spans="1:3" x14ac:dyDescent="0.3">
      <c r="A2910" s="3" t="s">
        <v>6559</v>
      </c>
      <c r="B2910" s="3">
        <v>6.6</v>
      </c>
      <c r="C2910" s="22" t="s">
        <v>8770</v>
      </c>
    </row>
    <row r="2911" spans="1:3" x14ac:dyDescent="0.3">
      <c r="A2911" s="4" t="s">
        <v>6561</v>
      </c>
      <c r="B2911" s="4">
        <v>5.8</v>
      </c>
      <c r="C2911" s="23" t="s">
        <v>9064</v>
      </c>
    </row>
    <row r="2912" spans="1:3" x14ac:dyDescent="0.3">
      <c r="A2912" s="3" t="s">
        <v>6563</v>
      </c>
      <c r="B2912" s="3">
        <v>6.7</v>
      </c>
      <c r="C2912" s="22" t="s">
        <v>8543</v>
      </c>
    </row>
    <row r="2913" spans="1:3" x14ac:dyDescent="0.3">
      <c r="A2913" s="4" t="s">
        <v>6565</v>
      </c>
      <c r="B2913" s="4">
        <v>6.6</v>
      </c>
      <c r="C2913" s="23" t="s">
        <v>9077</v>
      </c>
    </row>
    <row r="2914" spans="1:3" x14ac:dyDescent="0.3">
      <c r="A2914" s="3" t="s">
        <v>6567</v>
      </c>
      <c r="B2914" s="3">
        <v>7</v>
      </c>
      <c r="C2914" s="22" t="s">
        <v>8760</v>
      </c>
    </row>
    <row r="2915" spans="1:3" x14ac:dyDescent="0.3">
      <c r="A2915" s="4" t="s">
        <v>6569</v>
      </c>
      <c r="B2915" s="4">
        <v>8.4</v>
      </c>
      <c r="C2915" s="23" t="s">
        <v>8366</v>
      </c>
    </row>
    <row r="2916" spans="1:3" x14ac:dyDescent="0.3">
      <c r="A2916" s="3" t="s">
        <v>6571</v>
      </c>
      <c r="B2916" s="3">
        <v>6</v>
      </c>
      <c r="C2916" s="22" t="s">
        <v>8492</v>
      </c>
    </row>
    <row r="2917" spans="1:3" x14ac:dyDescent="0.3">
      <c r="A2917" s="4" t="s">
        <v>6573</v>
      </c>
      <c r="B2917" s="4">
        <v>5.4</v>
      </c>
      <c r="C2917" s="23" t="s">
        <v>9537</v>
      </c>
    </row>
    <row r="2918" spans="1:3" x14ac:dyDescent="0.3">
      <c r="A2918" s="3" t="s">
        <v>6575</v>
      </c>
      <c r="B2918" s="3">
        <v>7.8</v>
      </c>
      <c r="C2918" s="22" t="s">
        <v>8775</v>
      </c>
    </row>
    <row r="2919" spans="1:3" x14ac:dyDescent="0.3">
      <c r="A2919" s="4" t="s">
        <v>6577</v>
      </c>
      <c r="B2919" s="4">
        <v>7.6</v>
      </c>
      <c r="C2919" s="23" t="s">
        <v>8480</v>
      </c>
    </row>
    <row r="2920" spans="1:3" x14ac:dyDescent="0.3">
      <c r="A2920" s="3" t="s">
        <v>6579</v>
      </c>
      <c r="B2920" s="3">
        <v>6.6</v>
      </c>
      <c r="C2920" s="22" t="s">
        <v>9538</v>
      </c>
    </row>
    <row r="2921" spans="1:3" x14ac:dyDescent="0.3">
      <c r="A2921" s="4" t="s">
        <v>6582</v>
      </c>
      <c r="B2921" s="4">
        <v>6.4</v>
      </c>
      <c r="C2921" s="23" t="s">
        <v>9539</v>
      </c>
    </row>
    <row r="2922" spans="1:3" x14ac:dyDescent="0.3">
      <c r="A2922" s="3" t="s">
        <v>6584</v>
      </c>
      <c r="B2922" s="3">
        <v>7</v>
      </c>
      <c r="C2922" s="22" t="s">
        <v>9540</v>
      </c>
    </row>
    <row r="2923" spans="1:3" x14ac:dyDescent="0.3">
      <c r="A2923" s="4" t="s">
        <v>6586</v>
      </c>
      <c r="B2923" s="4">
        <v>5.7</v>
      </c>
      <c r="C2923" s="23" t="s">
        <v>9541</v>
      </c>
    </row>
    <row r="2924" spans="1:3" x14ac:dyDescent="0.3">
      <c r="A2924" s="3" t="s">
        <v>6589</v>
      </c>
      <c r="B2924" s="3">
        <v>5.9</v>
      </c>
      <c r="C2924" s="22" t="s">
        <v>9542</v>
      </c>
    </row>
    <row r="2925" spans="1:3" x14ac:dyDescent="0.3">
      <c r="A2925" s="4" t="s">
        <v>6591</v>
      </c>
      <c r="B2925" s="4">
        <v>6.3</v>
      </c>
      <c r="C2925" s="23" t="s">
        <v>9543</v>
      </c>
    </row>
    <row r="2926" spans="1:3" x14ac:dyDescent="0.3">
      <c r="A2926" s="3" t="s">
        <v>6593</v>
      </c>
      <c r="B2926" s="3">
        <v>6.3</v>
      </c>
      <c r="C2926" s="22" t="s">
        <v>8989</v>
      </c>
    </row>
    <row r="2927" spans="1:3" x14ac:dyDescent="0.3">
      <c r="A2927" s="4" t="s">
        <v>6595</v>
      </c>
      <c r="B2927" s="4">
        <v>6.2</v>
      </c>
      <c r="C2927" s="23" t="s">
        <v>8643</v>
      </c>
    </row>
    <row r="2928" spans="1:3" x14ac:dyDescent="0.3">
      <c r="A2928" s="3" t="s">
        <v>6597</v>
      </c>
      <c r="B2928" s="3">
        <v>2.1</v>
      </c>
      <c r="C2928" s="22" t="s">
        <v>9353</v>
      </c>
    </row>
    <row r="2929" spans="1:3" x14ac:dyDescent="0.3">
      <c r="A2929" s="4" t="s">
        <v>6599</v>
      </c>
      <c r="B2929" s="4">
        <v>5</v>
      </c>
      <c r="C2929" s="23" t="s">
        <v>8730</v>
      </c>
    </row>
    <row r="2930" spans="1:3" x14ac:dyDescent="0.3">
      <c r="A2930" s="3" t="s">
        <v>6601</v>
      </c>
      <c r="B2930" s="3">
        <v>5.3</v>
      </c>
      <c r="C2930" s="22" t="s">
        <v>9544</v>
      </c>
    </row>
    <row r="2931" spans="1:3" x14ac:dyDescent="0.3">
      <c r="A2931" s="4" t="s">
        <v>6603</v>
      </c>
      <c r="B2931" s="4">
        <v>7.1</v>
      </c>
      <c r="C2931" s="23" t="s">
        <v>9054</v>
      </c>
    </row>
    <row r="2932" spans="1:3" x14ac:dyDescent="0.3">
      <c r="A2932" s="3" t="s">
        <v>6605</v>
      </c>
      <c r="B2932" s="3">
        <v>7</v>
      </c>
      <c r="C2932" s="22" t="s">
        <v>9545</v>
      </c>
    </row>
    <row r="2933" spans="1:3" x14ac:dyDescent="0.3">
      <c r="A2933" s="4" t="s">
        <v>6607</v>
      </c>
      <c r="B2933" s="4">
        <v>7</v>
      </c>
      <c r="C2933" s="23" t="s">
        <v>8881</v>
      </c>
    </row>
    <row r="2934" spans="1:3" x14ac:dyDescent="0.3">
      <c r="A2934" s="3" t="s">
        <v>6609</v>
      </c>
      <c r="B2934" s="3">
        <v>5.7</v>
      </c>
      <c r="C2934" s="22" t="s">
        <v>8443</v>
      </c>
    </row>
    <row r="2935" spans="1:3" x14ac:dyDescent="0.3">
      <c r="A2935" s="4" t="s">
        <v>6611</v>
      </c>
      <c r="B2935" s="4">
        <v>7.1</v>
      </c>
      <c r="C2935" s="23" t="s">
        <v>9546</v>
      </c>
    </row>
    <row r="2936" spans="1:3" x14ac:dyDescent="0.3">
      <c r="A2936" s="3" t="s">
        <v>6613</v>
      </c>
      <c r="B2936" s="3">
        <v>7</v>
      </c>
      <c r="C2936" s="22" t="s">
        <v>9547</v>
      </c>
    </row>
    <row r="2937" spans="1:3" x14ac:dyDescent="0.3">
      <c r="A2937" s="4" t="s">
        <v>6615</v>
      </c>
      <c r="B2937" s="4">
        <v>7.7</v>
      </c>
      <c r="C2937" s="23" t="s">
        <v>9548</v>
      </c>
    </row>
    <row r="2938" spans="1:3" x14ac:dyDescent="0.3">
      <c r="A2938" s="3" t="s">
        <v>6617</v>
      </c>
      <c r="B2938" s="3">
        <v>7.1</v>
      </c>
      <c r="C2938" s="22" t="s">
        <v>9549</v>
      </c>
    </row>
    <row r="2939" spans="1:3" x14ac:dyDescent="0.3">
      <c r="A2939" s="4" t="s">
        <v>6619</v>
      </c>
      <c r="B2939" s="4">
        <v>6.8</v>
      </c>
      <c r="C2939" s="23" t="s">
        <v>9550</v>
      </c>
    </row>
    <row r="2940" spans="1:3" x14ac:dyDescent="0.3">
      <c r="A2940" s="3" t="s">
        <v>6621</v>
      </c>
      <c r="B2940" s="3">
        <v>7.5</v>
      </c>
      <c r="C2940" s="22" t="s">
        <v>8887</v>
      </c>
    </row>
    <row r="2941" spans="1:3" x14ac:dyDescent="0.3">
      <c r="A2941" s="4" t="s">
        <v>6623</v>
      </c>
      <c r="B2941" s="4">
        <v>6.3</v>
      </c>
      <c r="C2941" s="23" t="s">
        <v>9551</v>
      </c>
    </row>
    <row r="2942" spans="1:3" x14ac:dyDescent="0.3">
      <c r="A2942" s="3" t="s">
        <v>6625</v>
      </c>
      <c r="B2942" s="3">
        <v>7.3</v>
      </c>
      <c r="C2942" s="22" t="s">
        <v>9552</v>
      </c>
    </row>
    <row r="2943" spans="1:3" x14ac:dyDescent="0.3">
      <c r="A2943" s="4" t="s">
        <v>6627</v>
      </c>
      <c r="B2943" s="4">
        <v>6.8</v>
      </c>
      <c r="C2943" s="23" t="s">
        <v>8728</v>
      </c>
    </row>
    <row r="2944" spans="1:3" x14ac:dyDescent="0.3">
      <c r="A2944" s="3" t="s">
        <v>6629</v>
      </c>
      <c r="B2944" s="3">
        <v>7.2</v>
      </c>
      <c r="C2944" s="22" t="s">
        <v>9553</v>
      </c>
    </row>
    <row r="2945" spans="1:3" x14ac:dyDescent="0.3">
      <c r="A2945" s="4" t="s">
        <v>6631</v>
      </c>
      <c r="B2945" s="4">
        <v>6.4</v>
      </c>
      <c r="C2945" s="23" t="s">
        <v>8314</v>
      </c>
    </row>
    <row r="2946" spans="1:3" x14ac:dyDescent="0.3">
      <c r="A2946" s="3" t="s">
        <v>6634</v>
      </c>
      <c r="B2946" s="3">
        <v>6</v>
      </c>
      <c r="C2946" s="22" t="s">
        <v>9152</v>
      </c>
    </row>
    <row r="2947" spans="1:3" x14ac:dyDescent="0.3">
      <c r="A2947" s="4" t="s">
        <v>6636</v>
      </c>
      <c r="B2947" s="4">
        <v>6.4</v>
      </c>
      <c r="C2947" s="23" t="s">
        <v>9344</v>
      </c>
    </row>
    <row r="2948" spans="1:3" x14ac:dyDescent="0.3">
      <c r="A2948" s="3" t="s">
        <v>6639</v>
      </c>
      <c r="B2948" s="3">
        <v>5.0999999999999996</v>
      </c>
      <c r="C2948" s="22" t="s">
        <v>8614</v>
      </c>
    </row>
    <row r="2949" spans="1:3" x14ac:dyDescent="0.3">
      <c r="A2949" s="4" t="s">
        <v>6641</v>
      </c>
      <c r="B2949" s="4">
        <v>7.5</v>
      </c>
      <c r="C2949" s="23" t="s">
        <v>9554</v>
      </c>
    </row>
    <row r="2950" spans="1:3" x14ac:dyDescent="0.3">
      <c r="A2950" s="3" t="s">
        <v>6643</v>
      </c>
      <c r="B2950" s="3">
        <v>7.1</v>
      </c>
      <c r="C2950" s="22" t="s">
        <v>9555</v>
      </c>
    </row>
    <row r="2951" spans="1:3" x14ac:dyDescent="0.3">
      <c r="A2951" s="4" t="s">
        <v>6645</v>
      </c>
      <c r="B2951" s="4">
        <v>4.5999999999999996</v>
      </c>
      <c r="C2951" s="23" t="s">
        <v>9556</v>
      </c>
    </row>
    <row r="2952" spans="1:3" x14ac:dyDescent="0.3">
      <c r="A2952" s="3" t="s">
        <v>6647</v>
      </c>
      <c r="B2952" s="3">
        <v>5.7</v>
      </c>
      <c r="C2952" s="22" t="s">
        <v>8480</v>
      </c>
    </row>
    <row r="2953" spans="1:3" x14ac:dyDescent="0.3">
      <c r="A2953" s="4" t="s">
        <v>6649</v>
      </c>
      <c r="B2953" s="4">
        <v>6.8</v>
      </c>
      <c r="C2953" s="23" t="s">
        <v>9020</v>
      </c>
    </row>
    <row r="2954" spans="1:3" x14ac:dyDescent="0.3">
      <c r="A2954" s="3" t="s">
        <v>6651</v>
      </c>
      <c r="B2954" s="3">
        <v>7.7</v>
      </c>
      <c r="C2954" s="22" t="s">
        <v>9557</v>
      </c>
    </row>
    <row r="2955" spans="1:3" x14ac:dyDescent="0.3">
      <c r="A2955" s="4" t="s">
        <v>6653</v>
      </c>
      <c r="B2955" s="4">
        <v>6.7</v>
      </c>
      <c r="C2955" s="23" t="s">
        <v>8412</v>
      </c>
    </row>
    <row r="2956" spans="1:3" x14ac:dyDescent="0.3">
      <c r="A2956" s="3" t="s">
        <v>6655</v>
      </c>
      <c r="B2956" s="3">
        <v>3.2</v>
      </c>
      <c r="C2956" s="22" t="s">
        <v>9558</v>
      </c>
    </row>
    <row r="2957" spans="1:3" x14ac:dyDescent="0.3">
      <c r="A2957" s="4" t="s">
        <v>6657</v>
      </c>
      <c r="B2957" s="4">
        <v>6.1</v>
      </c>
      <c r="C2957" s="23" t="s">
        <v>9559</v>
      </c>
    </row>
    <row r="2958" spans="1:3" x14ac:dyDescent="0.3">
      <c r="A2958" s="3" t="s">
        <v>6659</v>
      </c>
      <c r="B2958" s="3">
        <v>5.6</v>
      </c>
      <c r="C2958" s="22" t="s">
        <v>8493</v>
      </c>
    </row>
    <row r="2959" spans="1:3" x14ac:dyDescent="0.3">
      <c r="A2959" s="4" t="s">
        <v>6661</v>
      </c>
      <c r="B2959" s="4">
        <v>6.9</v>
      </c>
      <c r="C2959" s="23" t="s">
        <v>9560</v>
      </c>
    </row>
    <row r="2960" spans="1:3" x14ac:dyDescent="0.3">
      <c r="A2960" s="3" t="s">
        <v>6664</v>
      </c>
      <c r="B2960" s="3">
        <v>7.5</v>
      </c>
      <c r="C2960" s="22" t="s">
        <v>9561</v>
      </c>
    </row>
    <row r="2961" spans="1:3" x14ac:dyDescent="0.3">
      <c r="A2961" s="4" t="s">
        <v>6666</v>
      </c>
      <c r="B2961" s="4">
        <v>5.8</v>
      </c>
      <c r="C2961" s="23" t="s">
        <v>8590</v>
      </c>
    </row>
    <row r="2962" spans="1:3" x14ac:dyDescent="0.3">
      <c r="A2962" s="3" t="s">
        <v>6669</v>
      </c>
      <c r="B2962" s="3">
        <v>8.3000000000000007</v>
      </c>
      <c r="C2962" s="22" t="s">
        <v>8422</v>
      </c>
    </row>
    <row r="2963" spans="1:3" x14ac:dyDescent="0.3">
      <c r="A2963" s="4" t="s">
        <v>6671</v>
      </c>
      <c r="B2963" s="4">
        <v>2.8</v>
      </c>
      <c r="C2963" s="23" t="s">
        <v>9562</v>
      </c>
    </row>
    <row r="2964" spans="1:3" x14ac:dyDescent="0.3">
      <c r="A2964" s="3" t="s">
        <v>6673</v>
      </c>
      <c r="B2964" s="3">
        <v>6.6</v>
      </c>
      <c r="C2964" s="22" t="s">
        <v>9430</v>
      </c>
    </row>
    <row r="2965" spans="1:3" x14ac:dyDescent="0.3">
      <c r="A2965" s="4" t="s">
        <v>6675</v>
      </c>
      <c r="B2965" s="4">
        <v>7.5</v>
      </c>
      <c r="C2965" s="23" t="s">
        <v>9563</v>
      </c>
    </row>
    <row r="2966" spans="1:3" x14ac:dyDescent="0.3">
      <c r="A2966" s="3" t="s">
        <v>6677</v>
      </c>
      <c r="B2966" s="3">
        <v>6</v>
      </c>
      <c r="C2966" s="22" t="s">
        <v>9564</v>
      </c>
    </row>
    <row r="2967" spans="1:3" x14ac:dyDescent="0.3">
      <c r="A2967" s="4" t="s">
        <v>6679</v>
      </c>
      <c r="B2967" s="4">
        <v>6.2</v>
      </c>
      <c r="C2967" s="23" t="s">
        <v>9565</v>
      </c>
    </row>
    <row r="2968" spans="1:3" x14ac:dyDescent="0.3">
      <c r="A2968" s="3" t="s">
        <v>6681</v>
      </c>
      <c r="B2968" s="3">
        <v>7.2</v>
      </c>
      <c r="C2968" s="22" t="s">
        <v>8552</v>
      </c>
    </row>
    <row r="2969" spans="1:3" x14ac:dyDescent="0.3">
      <c r="A2969" s="4" t="s">
        <v>6683</v>
      </c>
      <c r="B2969" s="4">
        <v>8.6999999999999993</v>
      </c>
      <c r="C2969" s="23" t="s">
        <v>8435</v>
      </c>
    </row>
    <row r="2970" spans="1:3" x14ac:dyDescent="0.3">
      <c r="A2970" s="3" t="s">
        <v>6685</v>
      </c>
      <c r="B2970" s="3">
        <v>6</v>
      </c>
      <c r="C2970" s="22" t="s">
        <v>9566</v>
      </c>
    </row>
    <row r="2971" spans="1:3" x14ac:dyDescent="0.3">
      <c r="A2971" s="4" t="s">
        <v>6687</v>
      </c>
      <c r="B2971" s="4">
        <v>8</v>
      </c>
      <c r="C2971" s="23" t="s">
        <v>9060</v>
      </c>
    </row>
    <row r="2972" spans="1:3" x14ac:dyDescent="0.3">
      <c r="A2972" s="3" t="s">
        <v>6689</v>
      </c>
      <c r="B2972" s="3">
        <v>7.2</v>
      </c>
      <c r="C2972" s="22" t="s">
        <v>8857</v>
      </c>
    </row>
    <row r="2973" spans="1:3" x14ac:dyDescent="0.3">
      <c r="A2973" s="4" t="s">
        <v>6691</v>
      </c>
      <c r="B2973" s="4">
        <v>4.5</v>
      </c>
      <c r="C2973" s="23" t="s">
        <v>8646</v>
      </c>
    </row>
    <row r="2974" spans="1:3" x14ac:dyDescent="0.3">
      <c r="A2974" s="3" t="s">
        <v>6693</v>
      </c>
      <c r="B2974" s="3">
        <v>7.9</v>
      </c>
      <c r="C2974" s="22" t="s">
        <v>8656</v>
      </c>
    </row>
    <row r="2975" spans="1:3" x14ac:dyDescent="0.3">
      <c r="A2975" s="4" t="s">
        <v>6695</v>
      </c>
      <c r="B2975" s="4">
        <v>7.1</v>
      </c>
      <c r="C2975" s="23" t="s">
        <v>9192</v>
      </c>
    </row>
    <row r="2976" spans="1:3" x14ac:dyDescent="0.3">
      <c r="A2976" s="3" t="s">
        <v>6697</v>
      </c>
      <c r="B2976" s="3">
        <v>7.5</v>
      </c>
      <c r="C2976" s="22" t="s">
        <v>8885</v>
      </c>
    </row>
    <row r="2977" spans="1:3" x14ac:dyDescent="0.3">
      <c r="A2977" s="4" t="s">
        <v>6699</v>
      </c>
      <c r="B2977" s="4">
        <v>6.8</v>
      </c>
      <c r="C2977" s="23" t="s">
        <v>9567</v>
      </c>
    </row>
    <row r="2978" spans="1:3" x14ac:dyDescent="0.3">
      <c r="A2978" s="3" t="s">
        <v>6701</v>
      </c>
      <c r="B2978" s="3">
        <v>4.3</v>
      </c>
      <c r="C2978" s="22" t="s">
        <v>9175</v>
      </c>
    </row>
    <row r="2979" spans="1:3" x14ac:dyDescent="0.3">
      <c r="A2979" s="4" t="s">
        <v>6703</v>
      </c>
      <c r="B2979" s="4">
        <v>7.2</v>
      </c>
      <c r="C2979" s="23" t="s">
        <v>9568</v>
      </c>
    </row>
    <row r="2980" spans="1:3" x14ac:dyDescent="0.3">
      <c r="A2980" s="3" t="s">
        <v>6705</v>
      </c>
      <c r="B2980" s="3">
        <v>5.8</v>
      </c>
      <c r="C2980" s="22" t="s">
        <v>8811</v>
      </c>
    </row>
    <row r="2981" spans="1:3" x14ac:dyDescent="0.3">
      <c r="A2981" s="4" t="s">
        <v>6707</v>
      </c>
      <c r="B2981" s="4">
        <v>7.1</v>
      </c>
      <c r="C2981" s="23" t="s">
        <v>8426</v>
      </c>
    </row>
    <row r="2982" spans="1:3" x14ac:dyDescent="0.3">
      <c r="A2982" s="3" t="s">
        <v>6709</v>
      </c>
      <c r="B2982" s="3">
        <v>7.4</v>
      </c>
      <c r="C2982" s="22" t="s">
        <v>8532</v>
      </c>
    </row>
    <row r="2983" spans="1:3" x14ac:dyDescent="0.3">
      <c r="A2983" s="4" t="s">
        <v>6711</v>
      </c>
      <c r="B2983" s="4">
        <v>7.6</v>
      </c>
      <c r="C2983" s="23" t="s">
        <v>8971</v>
      </c>
    </row>
    <row r="2984" spans="1:3" x14ac:dyDescent="0.3">
      <c r="A2984" s="3" t="s">
        <v>6713</v>
      </c>
      <c r="B2984" s="3">
        <v>6.9</v>
      </c>
      <c r="C2984" s="22" t="s">
        <v>8819</v>
      </c>
    </row>
    <row r="2985" spans="1:3" x14ac:dyDescent="0.3">
      <c r="A2985" s="4" t="s">
        <v>6715</v>
      </c>
      <c r="B2985" s="4">
        <v>6</v>
      </c>
      <c r="C2985" s="23" t="s">
        <v>9320</v>
      </c>
    </row>
    <row r="2986" spans="1:3" x14ac:dyDescent="0.3">
      <c r="A2986" s="3" t="s">
        <v>6717</v>
      </c>
      <c r="B2986" s="3">
        <v>6.9</v>
      </c>
      <c r="C2986" s="22" t="s">
        <v>9166</v>
      </c>
    </row>
    <row r="2987" spans="1:3" x14ac:dyDescent="0.3">
      <c r="A2987" s="4" t="s">
        <v>6719</v>
      </c>
      <c r="B2987" s="4">
        <v>7.3</v>
      </c>
      <c r="C2987" s="23" t="s">
        <v>9395</v>
      </c>
    </row>
    <row r="2988" spans="1:3" x14ac:dyDescent="0.3">
      <c r="A2988" s="3" t="s">
        <v>6721</v>
      </c>
      <c r="B2988" s="3">
        <v>4.5999999999999996</v>
      </c>
      <c r="C2988" s="22" t="s">
        <v>9569</v>
      </c>
    </row>
    <row r="2989" spans="1:3" x14ac:dyDescent="0.3">
      <c r="A2989" s="4" t="s">
        <v>6723</v>
      </c>
      <c r="B2989" s="4">
        <v>6</v>
      </c>
      <c r="C2989" s="23" t="s">
        <v>8502</v>
      </c>
    </row>
    <row r="2990" spans="1:3" x14ac:dyDescent="0.3">
      <c r="A2990" s="3" t="s">
        <v>6726</v>
      </c>
      <c r="B2990" s="3">
        <v>6.4</v>
      </c>
      <c r="C2990" s="22" t="s">
        <v>8889</v>
      </c>
    </row>
    <row r="2991" spans="1:3" x14ac:dyDescent="0.3">
      <c r="A2991" s="4" t="s">
        <v>6728</v>
      </c>
      <c r="B2991" s="4">
        <v>5.5</v>
      </c>
      <c r="C2991" s="23" t="s">
        <v>8917</v>
      </c>
    </row>
    <row r="2992" spans="1:3" x14ac:dyDescent="0.3">
      <c r="A2992" s="3" t="s">
        <v>6730</v>
      </c>
      <c r="B2992" s="3">
        <v>7.5</v>
      </c>
      <c r="C2992" s="22" t="s">
        <v>9570</v>
      </c>
    </row>
    <row r="2993" spans="1:3" x14ac:dyDescent="0.3">
      <c r="A2993" s="4" t="s">
        <v>6733</v>
      </c>
      <c r="B2993" s="4">
        <v>8.1</v>
      </c>
      <c r="C2993" s="23" t="s">
        <v>8621</v>
      </c>
    </row>
    <row r="2994" spans="1:3" x14ac:dyDescent="0.3">
      <c r="A2994" s="3" t="s">
        <v>6736</v>
      </c>
      <c r="B2994" s="3">
        <v>6.3</v>
      </c>
      <c r="C2994" s="22" t="s">
        <v>9571</v>
      </c>
    </row>
    <row r="2995" spans="1:3" x14ac:dyDescent="0.3">
      <c r="A2995" s="4" t="s">
        <v>6738</v>
      </c>
      <c r="B2995" s="4">
        <v>5.0999999999999996</v>
      </c>
      <c r="C2995" s="23" t="s">
        <v>8822</v>
      </c>
    </row>
    <row r="2996" spans="1:3" x14ac:dyDescent="0.3">
      <c r="A2996" s="3" t="s">
        <v>6740</v>
      </c>
      <c r="B2996" s="3">
        <v>6.8</v>
      </c>
      <c r="C2996" s="22" t="s">
        <v>9572</v>
      </c>
    </row>
    <row r="2997" spans="1:3" x14ac:dyDescent="0.3">
      <c r="A2997" s="4" t="s">
        <v>6743</v>
      </c>
      <c r="B2997" s="4">
        <v>5.3</v>
      </c>
      <c r="C2997" s="23" t="s">
        <v>9573</v>
      </c>
    </row>
    <row r="2998" spans="1:3" x14ac:dyDescent="0.3">
      <c r="A2998" s="3" t="s">
        <v>6746</v>
      </c>
      <c r="B2998" s="3">
        <v>7.3</v>
      </c>
      <c r="C2998" s="22" t="s">
        <v>9118</v>
      </c>
    </row>
    <row r="2999" spans="1:3" x14ac:dyDescent="0.3">
      <c r="A2999" s="4" t="s">
        <v>6748</v>
      </c>
      <c r="B2999" s="4">
        <v>7.3</v>
      </c>
      <c r="C2999" s="23" t="s">
        <v>9574</v>
      </c>
    </row>
    <row r="3000" spans="1:3" x14ac:dyDescent="0.3">
      <c r="A3000" s="3" t="s">
        <v>6750</v>
      </c>
      <c r="B3000" s="3">
        <v>7.1</v>
      </c>
      <c r="C3000" s="22" t="s">
        <v>8405</v>
      </c>
    </row>
    <row r="3001" spans="1:3" x14ac:dyDescent="0.3">
      <c r="A3001" s="4" t="s">
        <v>6752</v>
      </c>
      <c r="B3001" s="4">
        <v>7.6</v>
      </c>
      <c r="C3001" s="23" t="s">
        <v>8300</v>
      </c>
    </row>
    <row r="3002" spans="1:3" x14ac:dyDescent="0.3">
      <c r="A3002" s="3" t="s">
        <v>6754</v>
      </c>
      <c r="B3002" s="3">
        <v>5.3</v>
      </c>
      <c r="C3002" s="22" t="s">
        <v>9575</v>
      </c>
    </row>
    <row r="3003" spans="1:3" x14ac:dyDescent="0.3">
      <c r="A3003" s="4" t="s">
        <v>6756</v>
      </c>
      <c r="B3003" s="4">
        <v>7.8</v>
      </c>
      <c r="C3003" s="23" t="s">
        <v>8937</v>
      </c>
    </row>
    <row r="3004" spans="1:3" x14ac:dyDescent="0.3">
      <c r="A3004" s="3" t="s">
        <v>6758</v>
      </c>
      <c r="B3004" s="3">
        <v>7.7</v>
      </c>
      <c r="C3004" s="22" t="s">
        <v>9576</v>
      </c>
    </row>
    <row r="3005" spans="1:3" x14ac:dyDescent="0.3">
      <c r="A3005" s="4" t="s">
        <v>6760</v>
      </c>
      <c r="B3005" s="4">
        <v>7.7</v>
      </c>
      <c r="C3005" s="23" t="s">
        <v>9247</v>
      </c>
    </row>
    <row r="3006" spans="1:3" x14ac:dyDescent="0.3">
      <c r="A3006" s="3" t="s">
        <v>6762</v>
      </c>
      <c r="B3006" s="3">
        <v>5.4</v>
      </c>
      <c r="C3006" s="22" t="s">
        <v>9494</v>
      </c>
    </row>
    <row r="3007" spans="1:3" x14ac:dyDescent="0.3">
      <c r="A3007" s="4" t="s">
        <v>6764</v>
      </c>
      <c r="B3007" s="4">
        <v>6.2</v>
      </c>
      <c r="C3007" s="23" t="s">
        <v>9165</v>
      </c>
    </row>
    <row r="3008" spans="1:3" x14ac:dyDescent="0.3">
      <c r="A3008" s="3" t="s">
        <v>6766</v>
      </c>
      <c r="B3008" s="3">
        <v>7.4</v>
      </c>
      <c r="C3008" s="22" t="s">
        <v>8900</v>
      </c>
    </row>
    <row r="3009" spans="1:3" x14ac:dyDescent="0.3">
      <c r="A3009" s="4" t="s">
        <v>6768</v>
      </c>
      <c r="B3009" s="4">
        <v>6.2</v>
      </c>
      <c r="C3009" s="23" t="s">
        <v>9577</v>
      </c>
    </row>
    <row r="3010" spans="1:3" x14ac:dyDescent="0.3">
      <c r="A3010" s="3" t="s">
        <v>6770</v>
      </c>
      <c r="B3010" s="3">
        <v>5.0999999999999996</v>
      </c>
      <c r="C3010" s="22" t="s">
        <v>9578</v>
      </c>
    </row>
    <row r="3011" spans="1:3" x14ac:dyDescent="0.3">
      <c r="A3011" s="4" t="s">
        <v>6772</v>
      </c>
      <c r="B3011" s="4">
        <v>6.9</v>
      </c>
      <c r="C3011" s="23" t="s">
        <v>9579</v>
      </c>
    </row>
    <row r="3012" spans="1:3" x14ac:dyDescent="0.3">
      <c r="A3012" s="3" t="s">
        <v>6774</v>
      </c>
      <c r="B3012" s="3">
        <v>6.3</v>
      </c>
      <c r="C3012" s="22" t="s">
        <v>9580</v>
      </c>
    </row>
    <row r="3013" spans="1:3" x14ac:dyDescent="0.3">
      <c r="A3013" s="4" t="s">
        <v>6776</v>
      </c>
      <c r="B3013" s="4">
        <v>6.8</v>
      </c>
      <c r="C3013" s="23" t="s">
        <v>9581</v>
      </c>
    </row>
    <row r="3014" spans="1:3" x14ac:dyDescent="0.3">
      <c r="A3014" s="3" t="s">
        <v>6778</v>
      </c>
      <c r="B3014" s="3">
        <v>7.4</v>
      </c>
      <c r="C3014" s="22" t="s">
        <v>8917</v>
      </c>
    </row>
    <row r="3015" spans="1:3" x14ac:dyDescent="0.3">
      <c r="A3015" s="4" t="s">
        <v>6781</v>
      </c>
      <c r="B3015" s="4">
        <v>5.7</v>
      </c>
      <c r="C3015" s="23" t="s">
        <v>9180</v>
      </c>
    </row>
    <row r="3016" spans="1:3" x14ac:dyDescent="0.3">
      <c r="A3016" s="3" t="s">
        <v>6783</v>
      </c>
      <c r="B3016" s="3">
        <v>5.8</v>
      </c>
      <c r="C3016" s="22" t="s">
        <v>9582</v>
      </c>
    </row>
    <row r="3017" spans="1:3" x14ac:dyDescent="0.3">
      <c r="A3017" s="4" t="s">
        <v>6786</v>
      </c>
      <c r="B3017" s="4">
        <v>6.2</v>
      </c>
      <c r="C3017" s="23" t="s">
        <v>9583</v>
      </c>
    </row>
    <row r="3018" spans="1:3" x14ac:dyDescent="0.3">
      <c r="A3018" s="3" t="s">
        <v>6789</v>
      </c>
      <c r="B3018" s="3">
        <v>4.3</v>
      </c>
      <c r="C3018" s="22" t="s">
        <v>9584</v>
      </c>
    </row>
    <row r="3019" spans="1:3" x14ac:dyDescent="0.3">
      <c r="A3019" s="4" t="s">
        <v>6792</v>
      </c>
      <c r="B3019" s="4">
        <v>6.4</v>
      </c>
      <c r="C3019" s="23" t="s">
        <v>9585</v>
      </c>
    </row>
    <row r="3020" spans="1:3" x14ac:dyDescent="0.3">
      <c r="A3020" s="3" t="s">
        <v>6794</v>
      </c>
      <c r="B3020" s="3">
        <v>6</v>
      </c>
      <c r="C3020" s="22" t="s">
        <v>9586</v>
      </c>
    </row>
    <row r="3021" spans="1:3" x14ac:dyDescent="0.3">
      <c r="A3021" s="4" t="s">
        <v>6797</v>
      </c>
      <c r="B3021" s="4">
        <v>6.9</v>
      </c>
      <c r="C3021" s="23" t="s">
        <v>8811</v>
      </c>
    </row>
    <row r="3022" spans="1:3" x14ac:dyDescent="0.3">
      <c r="A3022" s="3" t="s">
        <v>6799</v>
      </c>
      <c r="B3022" s="3">
        <v>5.5</v>
      </c>
      <c r="C3022" s="22" t="s">
        <v>9587</v>
      </c>
    </row>
    <row r="3023" spans="1:3" x14ac:dyDescent="0.3">
      <c r="A3023" s="4" t="s">
        <v>6801</v>
      </c>
      <c r="B3023" s="4">
        <v>5.4</v>
      </c>
      <c r="C3023" s="23" t="s">
        <v>9588</v>
      </c>
    </row>
    <row r="3024" spans="1:3" x14ac:dyDescent="0.3">
      <c r="A3024" s="3" t="s">
        <v>6803</v>
      </c>
      <c r="B3024" s="3">
        <v>8.3000000000000007</v>
      </c>
      <c r="C3024" s="22" t="s">
        <v>8621</v>
      </c>
    </row>
    <row r="3025" spans="1:3" x14ac:dyDescent="0.3">
      <c r="A3025" s="4" t="s">
        <v>6805</v>
      </c>
      <c r="B3025" s="4">
        <v>7.9</v>
      </c>
      <c r="C3025" s="23" t="s">
        <v>8332</v>
      </c>
    </row>
    <row r="3026" spans="1:3" x14ac:dyDescent="0.3">
      <c r="A3026" s="3" t="s">
        <v>6808</v>
      </c>
      <c r="B3026" s="3">
        <v>6.5</v>
      </c>
      <c r="C3026" s="22" t="s">
        <v>9589</v>
      </c>
    </row>
    <row r="3027" spans="1:3" x14ac:dyDescent="0.3">
      <c r="A3027" s="4" t="s">
        <v>6810</v>
      </c>
      <c r="B3027" s="4">
        <v>6.3</v>
      </c>
      <c r="C3027" s="23" t="s">
        <v>9590</v>
      </c>
    </row>
    <row r="3028" spans="1:3" x14ac:dyDescent="0.3">
      <c r="A3028" s="3" t="s">
        <v>6812</v>
      </c>
      <c r="B3028" s="3">
        <v>6.4</v>
      </c>
      <c r="C3028" s="22" t="s">
        <v>9591</v>
      </c>
    </row>
    <row r="3029" spans="1:3" x14ac:dyDescent="0.3">
      <c r="A3029" s="4" t="s">
        <v>6814</v>
      </c>
      <c r="B3029" s="4">
        <v>5.3</v>
      </c>
      <c r="C3029" s="23" t="s">
        <v>9592</v>
      </c>
    </row>
    <row r="3030" spans="1:3" x14ac:dyDescent="0.3">
      <c r="A3030" s="3" t="s">
        <v>6816</v>
      </c>
      <c r="B3030" s="3">
        <v>5.8</v>
      </c>
      <c r="C3030" s="22" t="s">
        <v>9481</v>
      </c>
    </row>
    <row r="3031" spans="1:3" x14ac:dyDescent="0.3">
      <c r="A3031" s="4" t="s">
        <v>6818</v>
      </c>
      <c r="B3031" s="4">
        <v>6.6</v>
      </c>
      <c r="C3031" s="23" t="s">
        <v>9593</v>
      </c>
    </row>
    <row r="3032" spans="1:3" x14ac:dyDescent="0.3">
      <c r="A3032" s="3" t="s">
        <v>6820</v>
      </c>
      <c r="B3032" s="3">
        <v>7.4</v>
      </c>
      <c r="C3032" s="22" t="s">
        <v>9594</v>
      </c>
    </row>
    <row r="3033" spans="1:3" x14ac:dyDescent="0.3">
      <c r="A3033" s="4" t="s">
        <v>6822</v>
      </c>
      <c r="B3033" s="4">
        <v>8.3000000000000007</v>
      </c>
      <c r="C3033" s="23" t="s">
        <v>8818</v>
      </c>
    </row>
    <row r="3034" spans="1:3" x14ac:dyDescent="0.3">
      <c r="A3034" s="3" t="s">
        <v>6824</v>
      </c>
      <c r="B3034" s="3">
        <v>5.3</v>
      </c>
      <c r="C3034" s="22" t="s">
        <v>9595</v>
      </c>
    </row>
    <row r="3035" spans="1:3" x14ac:dyDescent="0.3">
      <c r="A3035" s="4" t="s">
        <v>6826</v>
      </c>
      <c r="B3035" s="4">
        <v>6.2</v>
      </c>
      <c r="C3035" s="23" t="s">
        <v>9596</v>
      </c>
    </row>
    <row r="3036" spans="1:3" x14ac:dyDescent="0.3">
      <c r="A3036" s="3" t="s">
        <v>6828</v>
      </c>
      <c r="B3036" s="3">
        <v>6.9</v>
      </c>
      <c r="C3036" s="22" t="s">
        <v>8539</v>
      </c>
    </row>
    <row r="3037" spans="1:3" x14ac:dyDescent="0.3">
      <c r="A3037" s="4" t="s">
        <v>6830</v>
      </c>
      <c r="B3037" s="4">
        <v>5.9</v>
      </c>
      <c r="C3037" s="23" t="s">
        <v>8411</v>
      </c>
    </row>
    <row r="3038" spans="1:3" x14ac:dyDescent="0.3">
      <c r="A3038" s="3" t="s">
        <v>6832</v>
      </c>
      <c r="B3038" s="3">
        <v>6.1</v>
      </c>
      <c r="C3038" s="22" t="s">
        <v>9597</v>
      </c>
    </row>
    <row r="3039" spans="1:3" x14ac:dyDescent="0.3">
      <c r="A3039" s="4" t="s">
        <v>6835</v>
      </c>
      <c r="B3039" s="4">
        <v>5.8</v>
      </c>
      <c r="C3039" s="23" t="s">
        <v>9353</v>
      </c>
    </row>
    <row r="3040" spans="1:3" x14ac:dyDescent="0.3">
      <c r="A3040" s="3" t="s">
        <v>6837</v>
      </c>
      <c r="B3040" s="3">
        <v>7.3</v>
      </c>
      <c r="C3040" s="22" t="s">
        <v>8892</v>
      </c>
    </row>
    <row r="3041" spans="1:3" x14ac:dyDescent="0.3">
      <c r="A3041" s="4" t="s">
        <v>6839</v>
      </c>
      <c r="B3041" s="4">
        <v>5.9</v>
      </c>
      <c r="C3041" s="23" t="s">
        <v>9596</v>
      </c>
    </row>
    <row r="3042" spans="1:3" x14ac:dyDescent="0.3">
      <c r="A3042" s="3" t="s">
        <v>6841</v>
      </c>
      <c r="B3042" s="3">
        <v>5.5</v>
      </c>
      <c r="C3042" s="22" t="s">
        <v>8878</v>
      </c>
    </row>
    <row r="3043" spans="1:3" x14ac:dyDescent="0.3">
      <c r="A3043" s="4" t="s">
        <v>6843</v>
      </c>
      <c r="B3043" s="4">
        <v>5</v>
      </c>
      <c r="C3043" s="23" t="s">
        <v>9088</v>
      </c>
    </row>
    <row r="3044" spans="1:3" x14ac:dyDescent="0.3">
      <c r="A3044" s="3" t="s">
        <v>6845</v>
      </c>
      <c r="B3044" s="3">
        <v>7</v>
      </c>
      <c r="C3044" s="22" t="s">
        <v>8342</v>
      </c>
    </row>
    <row r="3045" spans="1:3" x14ac:dyDescent="0.3">
      <c r="A3045" s="4" t="s">
        <v>6847</v>
      </c>
      <c r="B3045" s="4">
        <v>7.8</v>
      </c>
      <c r="C3045" s="23" t="s">
        <v>9598</v>
      </c>
    </row>
    <row r="3046" spans="1:3" x14ac:dyDescent="0.3">
      <c r="A3046" s="3" t="s">
        <v>6849</v>
      </c>
      <c r="B3046" s="3">
        <v>6.4</v>
      </c>
      <c r="C3046" s="22" t="s">
        <v>8685</v>
      </c>
    </row>
    <row r="3047" spans="1:3" x14ac:dyDescent="0.3">
      <c r="A3047" s="4" t="s">
        <v>6851</v>
      </c>
      <c r="B3047" s="4">
        <v>5.9</v>
      </c>
      <c r="C3047" s="23" t="s">
        <v>9204</v>
      </c>
    </row>
    <row r="3048" spans="1:3" x14ac:dyDescent="0.3">
      <c r="A3048" s="3" t="s">
        <v>6853</v>
      </c>
      <c r="B3048" s="3">
        <v>7</v>
      </c>
      <c r="C3048" s="22" t="s">
        <v>8499</v>
      </c>
    </row>
    <row r="3049" spans="1:3" x14ac:dyDescent="0.3">
      <c r="A3049" s="4" t="s">
        <v>6855</v>
      </c>
      <c r="B3049" s="4">
        <v>6.1</v>
      </c>
      <c r="C3049" s="23" t="s">
        <v>9097</v>
      </c>
    </row>
    <row r="3050" spans="1:3" x14ac:dyDescent="0.3">
      <c r="A3050" s="3" t="s">
        <v>6857</v>
      </c>
      <c r="B3050" s="3">
        <v>6.9</v>
      </c>
      <c r="C3050" s="22" t="s">
        <v>8685</v>
      </c>
    </row>
    <row r="3051" spans="1:3" x14ac:dyDescent="0.3">
      <c r="A3051" s="4" t="s">
        <v>6859</v>
      </c>
      <c r="B3051" s="4">
        <v>7.5</v>
      </c>
      <c r="C3051" s="23" t="s">
        <v>9599</v>
      </c>
    </row>
    <row r="3052" spans="1:3" x14ac:dyDescent="0.3">
      <c r="A3052" s="3" t="s">
        <v>6861</v>
      </c>
      <c r="B3052" s="3">
        <v>7.3</v>
      </c>
      <c r="C3052" s="22" t="s">
        <v>8690</v>
      </c>
    </row>
    <row r="3053" spans="1:3" x14ac:dyDescent="0.3">
      <c r="A3053" s="4" t="s">
        <v>6863</v>
      </c>
      <c r="B3053" s="4">
        <v>6.5</v>
      </c>
      <c r="C3053" s="23" t="s">
        <v>9600</v>
      </c>
    </row>
    <row r="3054" spans="1:3" x14ac:dyDescent="0.3">
      <c r="A3054" s="3" t="s">
        <v>6865</v>
      </c>
      <c r="B3054" s="3">
        <v>6.2</v>
      </c>
      <c r="C3054" s="22" t="s">
        <v>8377</v>
      </c>
    </row>
    <row r="3055" spans="1:3" x14ac:dyDescent="0.3">
      <c r="A3055" s="4" t="s">
        <v>6867</v>
      </c>
      <c r="B3055" s="4">
        <v>6.7</v>
      </c>
      <c r="C3055" s="23" t="s">
        <v>9407</v>
      </c>
    </row>
    <row r="3056" spans="1:3" x14ac:dyDescent="0.3">
      <c r="A3056" s="3" t="s">
        <v>6869</v>
      </c>
      <c r="B3056" s="3">
        <v>6</v>
      </c>
      <c r="C3056" s="22" t="s">
        <v>9219</v>
      </c>
    </row>
    <row r="3057" spans="1:3" x14ac:dyDescent="0.3">
      <c r="A3057" s="4" t="s">
        <v>6871</v>
      </c>
      <c r="B3057" s="4">
        <v>6.3</v>
      </c>
      <c r="C3057" s="23" t="s">
        <v>9527</v>
      </c>
    </row>
    <row r="3058" spans="1:3" x14ac:dyDescent="0.3">
      <c r="A3058" s="3" t="s">
        <v>6873</v>
      </c>
      <c r="B3058" s="3">
        <v>5.8</v>
      </c>
      <c r="C3058" s="22" t="s">
        <v>9601</v>
      </c>
    </row>
    <row r="3059" spans="1:3" x14ac:dyDescent="0.3">
      <c r="A3059" s="4" t="s">
        <v>6875</v>
      </c>
      <c r="B3059" s="4">
        <v>6.1</v>
      </c>
      <c r="C3059" s="23" t="s">
        <v>9602</v>
      </c>
    </row>
    <row r="3060" spans="1:3" x14ac:dyDescent="0.3">
      <c r="A3060" s="3" t="s">
        <v>6877</v>
      </c>
      <c r="B3060" s="3">
        <v>6.9</v>
      </c>
      <c r="C3060" s="22" t="s">
        <v>9603</v>
      </c>
    </row>
    <row r="3061" spans="1:3" x14ac:dyDescent="0.3">
      <c r="A3061" s="4" t="s">
        <v>6879</v>
      </c>
      <c r="B3061" s="4">
        <v>8.3000000000000007</v>
      </c>
      <c r="C3061" s="23" t="s">
        <v>8422</v>
      </c>
    </row>
    <row r="3062" spans="1:3" x14ac:dyDescent="0.3">
      <c r="A3062" s="3" t="s">
        <v>6881</v>
      </c>
      <c r="B3062" s="3">
        <v>5.4</v>
      </c>
      <c r="C3062" s="22" t="s">
        <v>9010</v>
      </c>
    </row>
    <row r="3063" spans="1:3" x14ac:dyDescent="0.3">
      <c r="A3063" s="4" t="s">
        <v>6883</v>
      </c>
      <c r="B3063" s="4">
        <v>6.7</v>
      </c>
      <c r="C3063" s="23" t="s">
        <v>9604</v>
      </c>
    </row>
    <row r="3064" spans="1:3" x14ac:dyDescent="0.3">
      <c r="A3064" s="3" t="s">
        <v>6885</v>
      </c>
      <c r="B3064" s="3">
        <v>7.4</v>
      </c>
      <c r="C3064" s="22" t="s">
        <v>8902</v>
      </c>
    </row>
    <row r="3065" spans="1:3" x14ac:dyDescent="0.3">
      <c r="A3065" s="4" t="s">
        <v>6887</v>
      </c>
      <c r="B3065" s="4">
        <v>5.6</v>
      </c>
      <c r="C3065" s="23" t="s">
        <v>9605</v>
      </c>
    </row>
    <row r="3066" spans="1:3" x14ac:dyDescent="0.3">
      <c r="A3066" s="3" t="s">
        <v>6889</v>
      </c>
      <c r="B3066" s="3">
        <v>6.5</v>
      </c>
      <c r="C3066" s="22" t="s">
        <v>8552</v>
      </c>
    </row>
    <row r="3067" spans="1:3" x14ac:dyDescent="0.3">
      <c r="A3067" s="4" t="s">
        <v>6891</v>
      </c>
      <c r="B3067" s="4">
        <v>6.5</v>
      </c>
      <c r="C3067" s="23" t="s">
        <v>9333</v>
      </c>
    </row>
    <row r="3068" spans="1:3" x14ac:dyDescent="0.3">
      <c r="A3068" s="3" t="s">
        <v>6893</v>
      </c>
      <c r="B3068" s="3">
        <v>5.8</v>
      </c>
      <c r="C3068" s="22" t="s">
        <v>8632</v>
      </c>
    </row>
    <row r="3069" spans="1:3" x14ac:dyDescent="0.3">
      <c r="A3069" s="4" t="s">
        <v>6895</v>
      </c>
      <c r="B3069" s="4">
        <v>5</v>
      </c>
      <c r="C3069" s="23" t="s">
        <v>9090</v>
      </c>
    </row>
    <row r="3070" spans="1:3" x14ac:dyDescent="0.3">
      <c r="A3070" s="3" t="s">
        <v>6898</v>
      </c>
      <c r="B3070" s="3">
        <v>5.5</v>
      </c>
      <c r="C3070" s="22" t="s">
        <v>9606</v>
      </c>
    </row>
    <row r="3071" spans="1:3" x14ac:dyDescent="0.3">
      <c r="A3071" s="4" t="s">
        <v>6900</v>
      </c>
      <c r="B3071" s="4">
        <v>6.5</v>
      </c>
      <c r="C3071" s="23" t="s">
        <v>9172</v>
      </c>
    </row>
    <row r="3072" spans="1:3" x14ac:dyDescent="0.3">
      <c r="A3072" s="3" t="s">
        <v>6903</v>
      </c>
      <c r="B3072" s="3">
        <v>7.2</v>
      </c>
      <c r="C3072" s="22" t="s">
        <v>8713</v>
      </c>
    </row>
    <row r="3073" spans="1:3" x14ac:dyDescent="0.3">
      <c r="A3073" s="4" t="s">
        <v>6905</v>
      </c>
      <c r="B3073" s="4">
        <v>7.3</v>
      </c>
      <c r="C3073" s="23" t="s">
        <v>9607</v>
      </c>
    </row>
    <row r="3074" spans="1:3" x14ac:dyDescent="0.3">
      <c r="A3074" s="3" t="s">
        <v>6907</v>
      </c>
      <c r="B3074" s="3">
        <v>7.2</v>
      </c>
      <c r="C3074" s="22" t="s">
        <v>8764</v>
      </c>
    </row>
    <row r="3075" spans="1:3" x14ac:dyDescent="0.3">
      <c r="A3075" s="4" t="s">
        <v>6909</v>
      </c>
      <c r="B3075" s="4">
        <v>5.2</v>
      </c>
      <c r="C3075" s="23" t="s">
        <v>9608</v>
      </c>
    </row>
    <row r="3076" spans="1:3" x14ac:dyDescent="0.3">
      <c r="A3076" s="3" t="s">
        <v>6911</v>
      </c>
      <c r="B3076" s="3">
        <v>5.7</v>
      </c>
      <c r="C3076" s="22" t="s">
        <v>9609</v>
      </c>
    </row>
    <row r="3077" spans="1:3" x14ac:dyDescent="0.3">
      <c r="A3077" s="4" t="s">
        <v>6913</v>
      </c>
      <c r="B3077" s="4">
        <v>4.7</v>
      </c>
      <c r="C3077" s="23" t="s">
        <v>9462</v>
      </c>
    </row>
    <row r="3078" spans="1:3" x14ac:dyDescent="0.3">
      <c r="A3078" s="3" t="s">
        <v>6915</v>
      </c>
      <c r="B3078" s="3">
        <v>5.9</v>
      </c>
      <c r="C3078" s="22" t="s">
        <v>9610</v>
      </c>
    </row>
    <row r="3079" spans="1:3" x14ac:dyDescent="0.3">
      <c r="A3079" s="4" t="s">
        <v>6917</v>
      </c>
      <c r="B3079" s="4">
        <v>6.8</v>
      </c>
      <c r="C3079" s="23" t="s">
        <v>9280</v>
      </c>
    </row>
    <row r="3080" spans="1:3" x14ac:dyDescent="0.3">
      <c r="A3080" s="3" t="s">
        <v>6919</v>
      </c>
      <c r="B3080" s="3">
        <v>5.9</v>
      </c>
      <c r="C3080" s="22" t="s">
        <v>9611</v>
      </c>
    </row>
    <row r="3081" spans="1:3" x14ac:dyDescent="0.3">
      <c r="A3081" s="4" t="s">
        <v>6921</v>
      </c>
      <c r="B3081" s="4">
        <v>5.3</v>
      </c>
      <c r="C3081" s="23" t="s">
        <v>9612</v>
      </c>
    </row>
    <row r="3082" spans="1:3" x14ac:dyDescent="0.3">
      <c r="A3082" s="3" t="s">
        <v>6923</v>
      </c>
      <c r="B3082" s="3">
        <v>6</v>
      </c>
      <c r="C3082" s="22" t="s">
        <v>8872</v>
      </c>
    </row>
    <row r="3083" spans="1:3" x14ac:dyDescent="0.3">
      <c r="A3083" s="4" t="s">
        <v>6925</v>
      </c>
      <c r="B3083" s="4">
        <v>7.7</v>
      </c>
      <c r="C3083" s="23" t="s">
        <v>8763</v>
      </c>
    </row>
    <row r="3084" spans="1:3" x14ac:dyDescent="0.3">
      <c r="A3084" s="3" t="s">
        <v>6927</v>
      </c>
      <c r="B3084" s="3">
        <v>4.4000000000000004</v>
      </c>
      <c r="C3084" s="22" t="s">
        <v>8851</v>
      </c>
    </row>
    <row r="3085" spans="1:3" x14ac:dyDescent="0.3">
      <c r="A3085" s="4" t="s">
        <v>6930</v>
      </c>
      <c r="B3085" s="4">
        <v>6.6</v>
      </c>
      <c r="C3085" s="23" t="s">
        <v>8690</v>
      </c>
    </row>
    <row r="3086" spans="1:3" x14ac:dyDescent="0.3">
      <c r="A3086" s="3" t="s">
        <v>6932</v>
      </c>
      <c r="B3086" s="3">
        <v>6.7</v>
      </c>
      <c r="C3086" s="22" t="s">
        <v>9613</v>
      </c>
    </row>
    <row r="3087" spans="1:3" x14ac:dyDescent="0.3">
      <c r="A3087" s="4" t="s">
        <v>6934</v>
      </c>
      <c r="B3087" s="4">
        <v>5.5</v>
      </c>
      <c r="C3087" s="23" t="s">
        <v>9270</v>
      </c>
    </row>
    <row r="3088" spans="1:3" x14ac:dyDescent="0.3">
      <c r="A3088" s="3" t="s">
        <v>6936</v>
      </c>
      <c r="B3088" s="3">
        <v>6.5</v>
      </c>
      <c r="C3088" s="22" t="s">
        <v>8730</v>
      </c>
    </row>
    <row r="3089" spans="1:3" x14ac:dyDescent="0.3">
      <c r="A3089" s="4" t="s">
        <v>6939</v>
      </c>
      <c r="B3089" s="4">
        <v>6.2</v>
      </c>
      <c r="C3089" s="23" t="s">
        <v>8725</v>
      </c>
    </row>
    <row r="3090" spans="1:3" x14ac:dyDescent="0.3">
      <c r="A3090" s="3" t="s">
        <v>6941</v>
      </c>
      <c r="B3090" s="3">
        <v>7.1</v>
      </c>
      <c r="C3090" s="22" t="s">
        <v>8477</v>
      </c>
    </row>
    <row r="3091" spans="1:3" x14ac:dyDescent="0.3">
      <c r="A3091" s="4" t="s">
        <v>6943</v>
      </c>
      <c r="B3091" s="4">
        <v>6.1</v>
      </c>
      <c r="C3091" s="23" t="s">
        <v>9614</v>
      </c>
    </row>
    <row r="3092" spans="1:3" x14ac:dyDescent="0.3">
      <c r="A3092" s="3" t="s">
        <v>6946</v>
      </c>
      <c r="B3092" s="3">
        <v>7.1</v>
      </c>
      <c r="C3092" s="22" t="s">
        <v>8675</v>
      </c>
    </row>
    <row r="3093" spans="1:3" x14ac:dyDescent="0.3">
      <c r="A3093" s="4" t="s">
        <v>6949</v>
      </c>
      <c r="B3093" s="4">
        <v>6</v>
      </c>
      <c r="C3093" s="23" t="s">
        <v>9416</v>
      </c>
    </row>
    <row r="3094" spans="1:3" x14ac:dyDescent="0.3">
      <c r="A3094" s="3" t="s">
        <v>6951</v>
      </c>
      <c r="B3094" s="3">
        <v>7.4</v>
      </c>
      <c r="C3094" s="22" t="s">
        <v>9301</v>
      </c>
    </row>
    <row r="3095" spans="1:3" x14ac:dyDescent="0.3">
      <c r="A3095" s="4" t="s">
        <v>6953</v>
      </c>
      <c r="B3095" s="4">
        <v>5.9</v>
      </c>
      <c r="C3095" s="23" t="s">
        <v>9615</v>
      </c>
    </row>
    <row r="3096" spans="1:3" x14ac:dyDescent="0.3">
      <c r="A3096" s="3" t="s">
        <v>6955</v>
      </c>
      <c r="B3096" s="3">
        <v>4.0999999999999996</v>
      </c>
      <c r="C3096" s="22" t="s">
        <v>9616</v>
      </c>
    </row>
    <row r="3097" spans="1:3" x14ac:dyDescent="0.3">
      <c r="A3097" s="4" t="s">
        <v>6957</v>
      </c>
      <c r="B3097" s="4">
        <v>5.8</v>
      </c>
      <c r="C3097" s="23" t="s">
        <v>9617</v>
      </c>
    </row>
    <row r="3098" spans="1:3" x14ac:dyDescent="0.3">
      <c r="A3098" s="3" t="s">
        <v>6959</v>
      </c>
      <c r="B3098" s="3">
        <v>5.9</v>
      </c>
      <c r="C3098" s="22" t="s">
        <v>9618</v>
      </c>
    </row>
    <row r="3099" spans="1:3" x14ac:dyDescent="0.3">
      <c r="A3099" s="4" t="s">
        <v>6961</v>
      </c>
      <c r="B3099" s="4">
        <v>7</v>
      </c>
      <c r="C3099" s="23" t="s">
        <v>9574</v>
      </c>
    </row>
    <row r="3100" spans="1:3" x14ac:dyDescent="0.3">
      <c r="A3100" s="3" t="s">
        <v>6963</v>
      </c>
      <c r="B3100" s="3">
        <v>6.8</v>
      </c>
      <c r="C3100" s="22" t="s">
        <v>8879</v>
      </c>
    </row>
    <row r="3101" spans="1:3" x14ac:dyDescent="0.3">
      <c r="A3101" s="4" t="s">
        <v>6965</v>
      </c>
      <c r="B3101" s="4">
        <v>7.4</v>
      </c>
      <c r="C3101" s="23" t="s">
        <v>9619</v>
      </c>
    </row>
    <row r="3102" spans="1:3" x14ac:dyDescent="0.3">
      <c r="A3102" s="3" t="s">
        <v>6967</v>
      </c>
      <c r="B3102" s="3">
        <v>7.1</v>
      </c>
      <c r="C3102" s="22" t="s">
        <v>9620</v>
      </c>
    </row>
    <row r="3103" spans="1:3" x14ac:dyDescent="0.3">
      <c r="A3103" s="4" t="s">
        <v>6969</v>
      </c>
      <c r="B3103" s="4">
        <v>7</v>
      </c>
      <c r="C3103" s="23" t="s">
        <v>9621</v>
      </c>
    </row>
    <row r="3104" spans="1:3" x14ac:dyDescent="0.3">
      <c r="A3104" s="3" t="s">
        <v>6971</v>
      </c>
      <c r="B3104" s="3">
        <v>5.8</v>
      </c>
      <c r="C3104" s="22" t="s">
        <v>8930</v>
      </c>
    </row>
    <row r="3105" spans="1:3" x14ac:dyDescent="0.3">
      <c r="A3105" s="4" t="s">
        <v>6973</v>
      </c>
      <c r="B3105" s="4">
        <v>7.8</v>
      </c>
      <c r="C3105" s="23" t="s">
        <v>9523</v>
      </c>
    </row>
    <row r="3106" spans="1:3" x14ac:dyDescent="0.3">
      <c r="A3106" s="3" t="s">
        <v>6975</v>
      </c>
      <c r="B3106" s="3">
        <v>6.5</v>
      </c>
      <c r="C3106" s="22" t="s">
        <v>9622</v>
      </c>
    </row>
    <row r="3107" spans="1:3" x14ac:dyDescent="0.3">
      <c r="A3107" s="4" t="s">
        <v>6977</v>
      </c>
      <c r="B3107" s="4">
        <v>7</v>
      </c>
      <c r="C3107" s="23" t="s">
        <v>8318</v>
      </c>
    </row>
    <row r="3108" spans="1:3" x14ac:dyDescent="0.3">
      <c r="A3108" s="3" t="s">
        <v>6979</v>
      </c>
      <c r="B3108" s="3">
        <v>6.3</v>
      </c>
      <c r="C3108" s="22" t="s">
        <v>8315</v>
      </c>
    </row>
    <row r="3109" spans="1:3" x14ac:dyDescent="0.3">
      <c r="A3109" s="4" t="s">
        <v>6981</v>
      </c>
      <c r="B3109" s="4">
        <v>5.3</v>
      </c>
      <c r="C3109" s="23" t="s">
        <v>9343</v>
      </c>
    </row>
    <row r="3110" spans="1:3" x14ac:dyDescent="0.3">
      <c r="A3110" s="3" t="s">
        <v>6983</v>
      </c>
      <c r="B3110" s="3">
        <v>6.8</v>
      </c>
      <c r="C3110" s="22" t="s">
        <v>8502</v>
      </c>
    </row>
    <row r="3111" spans="1:3" x14ac:dyDescent="0.3">
      <c r="A3111" s="4" t="s">
        <v>6985</v>
      </c>
      <c r="B3111" s="4">
        <v>5.5</v>
      </c>
      <c r="C3111" s="23" t="s">
        <v>9623</v>
      </c>
    </row>
    <row r="3112" spans="1:3" x14ac:dyDescent="0.3">
      <c r="A3112" s="3" t="s">
        <v>6987</v>
      </c>
      <c r="B3112" s="3">
        <v>7.4</v>
      </c>
      <c r="C3112" s="22" t="s">
        <v>8784</v>
      </c>
    </row>
    <row r="3113" spans="1:3" x14ac:dyDescent="0.3">
      <c r="A3113" s="4" t="s">
        <v>6989</v>
      </c>
      <c r="B3113" s="4">
        <v>4.3</v>
      </c>
      <c r="C3113" s="23" t="s">
        <v>9045</v>
      </c>
    </row>
    <row r="3114" spans="1:3" x14ac:dyDescent="0.3">
      <c r="A3114" s="3" t="s">
        <v>6991</v>
      </c>
      <c r="B3114" s="3">
        <v>6</v>
      </c>
      <c r="C3114" s="22" t="s">
        <v>8469</v>
      </c>
    </row>
    <row r="3115" spans="1:3" x14ac:dyDescent="0.3">
      <c r="A3115" s="4" t="s">
        <v>6993</v>
      </c>
      <c r="B3115" s="4">
        <v>5.2</v>
      </c>
      <c r="C3115" s="23" t="s">
        <v>9624</v>
      </c>
    </row>
    <row r="3116" spans="1:3" x14ac:dyDescent="0.3">
      <c r="A3116" s="3" t="s">
        <v>6995</v>
      </c>
      <c r="B3116" s="3">
        <v>6.7</v>
      </c>
      <c r="C3116" s="22" t="s">
        <v>9625</v>
      </c>
    </row>
    <row r="3117" spans="1:3" x14ac:dyDescent="0.3">
      <c r="A3117" s="4" t="s">
        <v>6997</v>
      </c>
      <c r="B3117" s="4">
        <v>6.3</v>
      </c>
      <c r="C3117" s="23" t="s">
        <v>9053</v>
      </c>
    </row>
    <row r="3118" spans="1:3" x14ac:dyDescent="0.3">
      <c r="A3118" s="3" t="s">
        <v>6999</v>
      </c>
      <c r="B3118" s="3">
        <v>8.6</v>
      </c>
      <c r="C3118" s="22" t="s">
        <v>8946</v>
      </c>
    </row>
    <row r="3119" spans="1:3" x14ac:dyDescent="0.3">
      <c r="A3119" s="4" t="s">
        <v>7002</v>
      </c>
      <c r="B3119" s="4">
        <v>6.1</v>
      </c>
      <c r="C3119" s="23" t="s">
        <v>9626</v>
      </c>
    </row>
    <row r="3120" spans="1:3" x14ac:dyDescent="0.3">
      <c r="A3120" s="3" t="s">
        <v>7004</v>
      </c>
      <c r="B3120" s="3">
        <v>5.8</v>
      </c>
      <c r="C3120" s="22" t="s">
        <v>9627</v>
      </c>
    </row>
    <row r="3121" spans="1:3" x14ac:dyDescent="0.3">
      <c r="A3121" s="4" t="s">
        <v>7006</v>
      </c>
      <c r="B3121" s="4">
        <v>7.7</v>
      </c>
      <c r="C3121" s="23" t="s">
        <v>9628</v>
      </c>
    </row>
    <row r="3122" spans="1:3" x14ac:dyDescent="0.3">
      <c r="A3122" s="3" t="s">
        <v>7008</v>
      </c>
      <c r="B3122" s="3">
        <v>8</v>
      </c>
      <c r="C3122" s="22" t="s">
        <v>8800</v>
      </c>
    </row>
    <row r="3123" spans="1:3" x14ac:dyDescent="0.3">
      <c r="A3123" s="4" t="s">
        <v>7010</v>
      </c>
      <c r="B3123" s="4">
        <v>5.6</v>
      </c>
      <c r="C3123" s="23" t="s">
        <v>9629</v>
      </c>
    </row>
    <row r="3124" spans="1:3" x14ac:dyDescent="0.3">
      <c r="A3124" s="3" t="s">
        <v>7012</v>
      </c>
      <c r="B3124" s="3">
        <v>6.7</v>
      </c>
      <c r="C3124" s="22" t="s">
        <v>9630</v>
      </c>
    </row>
    <row r="3125" spans="1:3" x14ac:dyDescent="0.3">
      <c r="A3125" s="4" t="s">
        <v>7014</v>
      </c>
      <c r="B3125" s="4">
        <v>6.6</v>
      </c>
      <c r="C3125" s="23" t="s">
        <v>9631</v>
      </c>
    </row>
    <row r="3126" spans="1:3" x14ac:dyDescent="0.3">
      <c r="A3126" s="3" t="s">
        <v>7016</v>
      </c>
      <c r="B3126" s="3">
        <v>4.2</v>
      </c>
      <c r="C3126" s="22" t="s">
        <v>9632</v>
      </c>
    </row>
    <row r="3127" spans="1:3" x14ac:dyDescent="0.3">
      <c r="A3127" s="4" t="s">
        <v>7018</v>
      </c>
      <c r="B3127" s="4">
        <v>6.6</v>
      </c>
      <c r="C3127" s="23" t="s">
        <v>9227</v>
      </c>
    </row>
    <row r="3128" spans="1:3" x14ac:dyDescent="0.3">
      <c r="A3128" s="3" t="s">
        <v>7020</v>
      </c>
      <c r="B3128" s="3">
        <v>4.0999999999999996</v>
      </c>
      <c r="C3128" s="22" t="s">
        <v>9633</v>
      </c>
    </row>
    <row r="3129" spans="1:3" x14ac:dyDescent="0.3">
      <c r="A3129" s="4" t="s">
        <v>7022</v>
      </c>
      <c r="B3129" s="4">
        <v>7.3</v>
      </c>
      <c r="C3129" s="23" t="s">
        <v>9138</v>
      </c>
    </row>
    <row r="3130" spans="1:3" x14ac:dyDescent="0.3">
      <c r="A3130" s="3" t="s">
        <v>7024</v>
      </c>
      <c r="B3130" s="3">
        <v>7.1</v>
      </c>
      <c r="C3130" s="22" t="s">
        <v>9634</v>
      </c>
    </row>
    <row r="3131" spans="1:3" x14ac:dyDescent="0.3">
      <c r="A3131" s="4" t="s">
        <v>7026</v>
      </c>
      <c r="B3131" s="4">
        <v>6.5</v>
      </c>
      <c r="C3131" s="23" t="s">
        <v>9635</v>
      </c>
    </row>
    <row r="3132" spans="1:3" x14ac:dyDescent="0.3">
      <c r="A3132" s="3" t="s">
        <v>7028</v>
      </c>
      <c r="B3132" s="3">
        <v>7</v>
      </c>
      <c r="C3132" s="22" t="s">
        <v>9636</v>
      </c>
    </row>
    <row r="3133" spans="1:3" x14ac:dyDescent="0.3">
      <c r="A3133" s="4" t="s">
        <v>7030</v>
      </c>
      <c r="B3133" s="4">
        <v>5.5</v>
      </c>
      <c r="C3133" s="23" t="s">
        <v>9637</v>
      </c>
    </row>
    <row r="3134" spans="1:3" x14ac:dyDescent="0.3">
      <c r="A3134" s="3" t="s">
        <v>7032</v>
      </c>
      <c r="B3134" s="3">
        <v>6.6</v>
      </c>
      <c r="C3134" s="22" t="s">
        <v>9638</v>
      </c>
    </row>
    <row r="3135" spans="1:3" x14ac:dyDescent="0.3">
      <c r="A3135" s="4" t="s">
        <v>7034</v>
      </c>
      <c r="B3135" s="4">
        <v>7.1</v>
      </c>
      <c r="C3135" s="23" t="s">
        <v>8444</v>
      </c>
    </row>
    <row r="3136" spans="1:3" x14ac:dyDescent="0.3">
      <c r="A3136" s="3" t="s">
        <v>7036</v>
      </c>
      <c r="B3136" s="3">
        <v>7.9</v>
      </c>
      <c r="C3136" s="22" t="s">
        <v>9014</v>
      </c>
    </row>
    <row r="3137" spans="1:3" x14ac:dyDescent="0.3">
      <c r="A3137" s="4" t="s">
        <v>7038</v>
      </c>
      <c r="B3137" s="4">
        <v>7.1</v>
      </c>
      <c r="C3137" s="23" t="s">
        <v>9639</v>
      </c>
    </row>
    <row r="3138" spans="1:3" x14ac:dyDescent="0.3">
      <c r="A3138" s="3" t="s">
        <v>7040</v>
      </c>
      <c r="B3138" s="3">
        <v>5.6</v>
      </c>
      <c r="C3138" s="22" t="s">
        <v>9640</v>
      </c>
    </row>
    <row r="3139" spans="1:3" x14ac:dyDescent="0.3">
      <c r="A3139" s="4" t="s">
        <v>7042</v>
      </c>
      <c r="B3139" s="4">
        <v>7.3</v>
      </c>
      <c r="C3139" s="23" t="s">
        <v>9097</v>
      </c>
    </row>
    <row r="3140" spans="1:3" x14ac:dyDescent="0.3">
      <c r="A3140" s="3" t="s">
        <v>7044</v>
      </c>
      <c r="B3140" s="3">
        <v>3.3</v>
      </c>
      <c r="C3140" s="22" t="s">
        <v>9641</v>
      </c>
    </row>
    <row r="3141" spans="1:3" x14ac:dyDescent="0.3">
      <c r="A3141" s="4" t="s">
        <v>7046</v>
      </c>
      <c r="B3141" s="4">
        <v>6.5</v>
      </c>
      <c r="C3141" s="23" t="s">
        <v>8730</v>
      </c>
    </row>
    <row r="3142" spans="1:3" x14ac:dyDescent="0.3">
      <c r="A3142" s="3" t="s">
        <v>7048</v>
      </c>
      <c r="B3142" s="3">
        <v>4.8</v>
      </c>
      <c r="C3142" s="22" t="s">
        <v>9642</v>
      </c>
    </row>
    <row r="3143" spans="1:3" x14ac:dyDescent="0.3">
      <c r="A3143" s="4" t="s">
        <v>7050</v>
      </c>
      <c r="B3143" s="4">
        <v>5.2</v>
      </c>
      <c r="C3143" s="23" t="s">
        <v>9526</v>
      </c>
    </row>
    <row r="3144" spans="1:3" x14ac:dyDescent="0.3">
      <c r="A3144" s="3" t="s">
        <v>7052</v>
      </c>
      <c r="B3144" s="3">
        <v>6.3</v>
      </c>
      <c r="C3144" s="22" t="s">
        <v>9643</v>
      </c>
    </row>
    <row r="3145" spans="1:3" x14ac:dyDescent="0.3">
      <c r="A3145" s="4" t="s">
        <v>7054</v>
      </c>
      <c r="B3145" s="4">
        <v>7.2</v>
      </c>
      <c r="C3145" s="23" t="s">
        <v>8313</v>
      </c>
    </row>
    <row r="3146" spans="1:3" x14ac:dyDescent="0.3">
      <c r="A3146" s="3" t="s">
        <v>7056</v>
      </c>
      <c r="B3146" s="3">
        <v>6.8</v>
      </c>
      <c r="C3146" s="22" t="s">
        <v>8764</v>
      </c>
    </row>
    <row r="3147" spans="1:3" x14ac:dyDescent="0.3">
      <c r="A3147" s="4" t="s">
        <v>7058</v>
      </c>
      <c r="B3147" s="4">
        <v>5.7</v>
      </c>
      <c r="C3147" s="23" t="s">
        <v>9644</v>
      </c>
    </row>
    <row r="3148" spans="1:3" x14ac:dyDescent="0.3">
      <c r="A3148" s="3" t="s">
        <v>7060</v>
      </c>
      <c r="B3148" s="3">
        <v>7.2</v>
      </c>
      <c r="C3148" s="22" t="s">
        <v>9153</v>
      </c>
    </row>
    <row r="3149" spans="1:3" x14ac:dyDescent="0.3">
      <c r="A3149" s="4" t="s">
        <v>7063</v>
      </c>
      <c r="B3149" s="4">
        <v>6.9</v>
      </c>
      <c r="C3149" s="23" t="s">
        <v>8974</v>
      </c>
    </row>
    <row r="3150" spans="1:3" x14ac:dyDescent="0.3">
      <c r="A3150" s="3" t="s">
        <v>7065</v>
      </c>
      <c r="B3150" s="3">
        <v>6.3</v>
      </c>
      <c r="C3150" s="22" t="s">
        <v>9645</v>
      </c>
    </row>
    <row r="3151" spans="1:3" x14ac:dyDescent="0.3">
      <c r="A3151" s="4" t="s">
        <v>7068</v>
      </c>
      <c r="B3151" s="4">
        <v>6.2</v>
      </c>
      <c r="C3151" s="23" t="s">
        <v>9497</v>
      </c>
    </row>
    <row r="3152" spans="1:3" x14ac:dyDescent="0.3">
      <c r="A3152" s="3" t="s">
        <v>7070</v>
      </c>
      <c r="B3152" s="3">
        <v>6.7</v>
      </c>
      <c r="C3152" s="22" t="s">
        <v>8703</v>
      </c>
    </row>
    <row r="3153" spans="1:3" x14ac:dyDescent="0.3">
      <c r="A3153" s="4" t="s">
        <v>7072</v>
      </c>
      <c r="B3153" s="4">
        <v>6.5</v>
      </c>
      <c r="C3153" s="23" t="s">
        <v>9646</v>
      </c>
    </row>
    <row r="3154" spans="1:3" x14ac:dyDescent="0.3">
      <c r="A3154" s="3" t="s">
        <v>7075</v>
      </c>
      <c r="B3154" s="3">
        <v>7.2</v>
      </c>
      <c r="C3154" s="22" t="s">
        <v>9647</v>
      </c>
    </row>
    <row r="3155" spans="1:3" x14ac:dyDescent="0.3">
      <c r="A3155" s="4" t="s">
        <v>7077</v>
      </c>
      <c r="B3155" s="4">
        <v>5.3</v>
      </c>
      <c r="C3155" s="23" t="s">
        <v>9648</v>
      </c>
    </row>
    <row r="3156" spans="1:3" x14ac:dyDescent="0.3">
      <c r="A3156" s="3" t="s">
        <v>7079</v>
      </c>
      <c r="B3156" s="3">
        <v>6.7</v>
      </c>
      <c r="C3156" s="22" t="s">
        <v>8887</v>
      </c>
    </row>
    <row r="3157" spans="1:3" x14ac:dyDescent="0.3">
      <c r="A3157" s="4" t="s">
        <v>7082</v>
      </c>
      <c r="B3157" s="4">
        <v>6.2</v>
      </c>
      <c r="C3157" s="23" t="s">
        <v>9580</v>
      </c>
    </row>
    <row r="3158" spans="1:3" x14ac:dyDescent="0.3">
      <c r="A3158" s="3" t="s">
        <v>7084</v>
      </c>
      <c r="B3158" s="3">
        <v>3.6</v>
      </c>
      <c r="C3158" s="22" t="s">
        <v>8422</v>
      </c>
    </row>
    <row r="3159" spans="1:3" x14ac:dyDescent="0.3">
      <c r="A3159" s="4" t="s">
        <v>7086</v>
      </c>
      <c r="B3159" s="4">
        <v>5.7</v>
      </c>
      <c r="C3159" s="23" t="s">
        <v>9649</v>
      </c>
    </row>
    <row r="3160" spans="1:3" x14ac:dyDescent="0.3">
      <c r="A3160" s="3" t="s">
        <v>7088</v>
      </c>
      <c r="B3160" s="3">
        <v>7.3</v>
      </c>
      <c r="C3160" s="22" t="s">
        <v>9230</v>
      </c>
    </row>
    <row r="3161" spans="1:3" x14ac:dyDescent="0.3">
      <c r="A3161" s="4" t="s">
        <v>7091</v>
      </c>
      <c r="B3161" s="4">
        <v>5</v>
      </c>
      <c r="C3161" s="23" t="s">
        <v>9650</v>
      </c>
    </row>
    <row r="3162" spans="1:3" x14ac:dyDescent="0.3">
      <c r="A3162" s="3" t="s">
        <v>7093</v>
      </c>
      <c r="B3162" s="3">
        <v>6.6</v>
      </c>
      <c r="C3162" s="22" t="s">
        <v>9651</v>
      </c>
    </row>
    <row r="3163" spans="1:3" x14ac:dyDescent="0.3">
      <c r="A3163" s="4" t="s">
        <v>7095</v>
      </c>
      <c r="B3163" s="4">
        <v>6.6</v>
      </c>
      <c r="C3163" s="23" t="s">
        <v>9652</v>
      </c>
    </row>
    <row r="3164" spans="1:3" x14ac:dyDescent="0.3">
      <c r="A3164" s="3" t="s">
        <v>7098</v>
      </c>
      <c r="B3164" s="3">
        <v>6.8</v>
      </c>
      <c r="C3164" s="22" t="s">
        <v>9653</v>
      </c>
    </row>
    <row r="3165" spans="1:3" x14ac:dyDescent="0.3">
      <c r="A3165" s="4" t="s">
        <v>7100</v>
      </c>
      <c r="B3165" s="4">
        <v>6.2</v>
      </c>
      <c r="C3165" s="23" t="s">
        <v>9654</v>
      </c>
    </row>
    <row r="3166" spans="1:3" x14ac:dyDescent="0.3">
      <c r="A3166" s="3" t="s">
        <v>7102</v>
      </c>
      <c r="B3166" s="3">
        <v>7.3</v>
      </c>
      <c r="C3166" s="22" t="s">
        <v>9655</v>
      </c>
    </row>
    <row r="3167" spans="1:3" x14ac:dyDescent="0.3">
      <c r="A3167" s="4" t="s">
        <v>7106</v>
      </c>
      <c r="B3167" s="4">
        <v>6.2</v>
      </c>
      <c r="C3167" s="23" t="s">
        <v>9656</v>
      </c>
    </row>
    <row r="3168" spans="1:3" x14ac:dyDescent="0.3">
      <c r="A3168" s="3" t="s">
        <v>7109</v>
      </c>
      <c r="B3168" s="3">
        <v>6.9</v>
      </c>
      <c r="C3168" s="22" t="s">
        <v>9657</v>
      </c>
    </row>
    <row r="3169" spans="1:3" x14ac:dyDescent="0.3">
      <c r="A3169" s="4" t="s">
        <v>7111</v>
      </c>
      <c r="B3169" s="4">
        <v>6.6</v>
      </c>
      <c r="C3169" s="23" t="s">
        <v>9560</v>
      </c>
    </row>
    <row r="3170" spans="1:3" x14ac:dyDescent="0.3">
      <c r="A3170" s="3" t="s">
        <v>7113</v>
      </c>
      <c r="B3170" s="3">
        <v>6.3</v>
      </c>
      <c r="C3170" s="22" t="s">
        <v>9542</v>
      </c>
    </row>
    <row r="3171" spans="1:3" x14ac:dyDescent="0.3">
      <c r="A3171" s="4" t="s">
        <v>7115</v>
      </c>
      <c r="B3171" s="4">
        <v>7</v>
      </c>
      <c r="C3171" s="23" t="s">
        <v>9658</v>
      </c>
    </row>
    <row r="3172" spans="1:3" x14ac:dyDescent="0.3">
      <c r="A3172" s="3" t="s">
        <v>7117</v>
      </c>
      <c r="B3172" s="3">
        <v>3.3</v>
      </c>
      <c r="C3172" s="22" t="s">
        <v>9659</v>
      </c>
    </row>
    <row r="3173" spans="1:3" x14ac:dyDescent="0.3">
      <c r="A3173" s="4" t="s">
        <v>7119</v>
      </c>
      <c r="B3173" s="4">
        <v>6.7</v>
      </c>
      <c r="C3173" s="23" t="s">
        <v>8893</v>
      </c>
    </row>
    <row r="3174" spans="1:3" x14ac:dyDescent="0.3">
      <c r="A3174" s="3" t="s">
        <v>7121</v>
      </c>
      <c r="B3174" s="3">
        <v>6.2</v>
      </c>
      <c r="C3174" s="22" t="s">
        <v>9660</v>
      </c>
    </row>
    <row r="3175" spans="1:3" x14ac:dyDescent="0.3">
      <c r="A3175" s="4" t="s">
        <v>7123</v>
      </c>
      <c r="B3175" s="4">
        <v>6.5</v>
      </c>
      <c r="C3175" s="23" t="s">
        <v>9032</v>
      </c>
    </row>
    <row r="3176" spans="1:3" x14ac:dyDescent="0.3">
      <c r="A3176" s="3" t="s">
        <v>7125</v>
      </c>
      <c r="B3176" s="3">
        <v>3.5</v>
      </c>
      <c r="C3176" s="22" t="s">
        <v>9661</v>
      </c>
    </row>
    <row r="3177" spans="1:3" x14ac:dyDescent="0.3">
      <c r="A3177" s="4" t="s">
        <v>7127</v>
      </c>
      <c r="B3177" s="4">
        <v>5.5</v>
      </c>
      <c r="C3177" s="23" t="s">
        <v>9662</v>
      </c>
    </row>
    <row r="3178" spans="1:3" x14ac:dyDescent="0.3">
      <c r="A3178" s="3" t="s">
        <v>7129</v>
      </c>
      <c r="B3178" s="3">
        <v>5.9</v>
      </c>
      <c r="C3178" s="22" t="s">
        <v>9663</v>
      </c>
    </row>
    <row r="3179" spans="1:3" x14ac:dyDescent="0.3">
      <c r="A3179" s="4" t="s">
        <v>7131</v>
      </c>
      <c r="B3179" s="4">
        <v>4.7</v>
      </c>
      <c r="C3179" s="23" t="s">
        <v>9664</v>
      </c>
    </row>
    <row r="3180" spans="1:3" x14ac:dyDescent="0.3">
      <c r="A3180" s="3" t="s">
        <v>7133</v>
      </c>
      <c r="B3180" s="3">
        <v>4.2</v>
      </c>
      <c r="C3180" s="22" t="s">
        <v>9519</v>
      </c>
    </row>
    <row r="3181" spans="1:3" x14ac:dyDescent="0.3">
      <c r="A3181" s="4" t="s">
        <v>7135</v>
      </c>
      <c r="B3181" s="4">
        <v>5.2</v>
      </c>
      <c r="C3181" s="23" t="s">
        <v>9665</v>
      </c>
    </row>
    <row r="3182" spans="1:3" x14ac:dyDescent="0.3">
      <c r="A3182" s="3" t="s">
        <v>7137</v>
      </c>
      <c r="B3182" s="3">
        <v>5.2</v>
      </c>
      <c r="C3182" s="22" t="s">
        <v>9601</v>
      </c>
    </row>
    <row r="3183" spans="1:3" x14ac:dyDescent="0.3">
      <c r="A3183" s="4" t="s">
        <v>7140</v>
      </c>
      <c r="B3183" s="4">
        <v>3.9</v>
      </c>
      <c r="C3183" s="23" t="s">
        <v>9666</v>
      </c>
    </row>
    <row r="3184" spans="1:3" x14ac:dyDescent="0.3">
      <c r="A3184" s="3" t="s">
        <v>7142</v>
      </c>
      <c r="B3184" s="3">
        <v>6.1</v>
      </c>
      <c r="C3184" s="22" t="s">
        <v>9667</v>
      </c>
    </row>
    <row r="3185" spans="1:3" x14ac:dyDescent="0.3">
      <c r="A3185" s="4" t="s">
        <v>7144</v>
      </c>
      <c r="B3185" s="4">
        <v>5.8</v>
      </c>
      <c r="C3185" s="23" t="s">
        <v>9668</v>
      </c>
    </row>
    <row r="3186" spans="1:3" x14ac:dyDescent="0.3">
      <c r="A3186" s="3" t="s">
        <v>7146</v>
      </c>
      <c r="B3186" s="3">
        <v>6.7</v>
      </c>
      <c r="C3186" s="22" t="s">
        <v>9669</v>
      </c>
    </row>
    <row r="3187" spans="1:3" x14ac:dyDescent="0.3">
      <c r="A3187" s="4" t="s">
        <v>7148</v>
      </c>
      <c r="B3187" s="4">
        <v>5.7</v>
      </c>
      <c r="C3187" s="23" t="s">
        <v>8773</v>
      </c>
    </row>
    <row r="3188" spans="1:3" x14ac:dyDescent="0.3">
      <c r="A3188" s="3" t="s">
        <v>7150</v>
      </c>
      <c r="B3188" s="3">
        <v>4.5</v>
      </c>
      <c r="C3188" s="22" t="s">
        <v>9670</v>
      </c>
    </row>
    <row r="3189" spans="1:3" x14ac:dyDescent="0.3">
      <c r="A3189" s="4" t="s">
        <v>7152</v>
      </c>
      <c r="B3189" s="4">
        <v>6.9</v>
      </c>
      <c r="C3189" s="23" t="s">
        <v>9671</v>
      </c>
    </row>
    <row r="3190" spans="1:3" x14ac:dyDescent="0.3">
      <c r="A3190" s="3" t="s">
        <v>7154</v>
      </c>
      <c r="B3190" s="3">
        <v>4.8</v>
      </c>
      <c r="C3190" s="22" t="s">
        <v>9672</v>
      </c>
    </row>
    <row r="3191" spans="1:3" x14ac:dyDescent="0.3">
      <c r="A3191" s="4" t="s">
        <v>7156</v>
      </c>
      <c r="B3191" s="4">
        <v>6.3</v>
      </c>
      <c r="C3191" s="23" t="s">
        <v>9511</v>
      </c>
    </row>
    <row r="3192" spans="1:3" x14ac:dyDescent="0.3">
      <c r="A3192" s="3" t="s">
        <v>7158</v>
      </c>
      <c r="B3192" s="3">
        <v>6.9</v>
      </c>
      <c r="C3192" s="22" t="s">
        <v>9673</v>
      </c>
    </row>
    <row r="3193" spans="1:3" x14ac:dyDescent="0.3">
      <c r="A3193" s="4" t="s">
        <v>7160</v>
      </c>
      <c r="B3193" s="4">
        <v>5.4</v>
      </c>
      <c r="C3193" s="23" t="s">
        <v>9674</v>
      </c>
    </row>
    <row r="3194" spans="1:3" x14ac:dyDescent="0.3">
      <c r="A3194" s="3" t="s">
        <v>7162</v>
      </c>
      <c r="B3194" s="3">
        <v>3.8</v>
      </c>
      <c r="C3194" s="22" t="s">
        <v>9675</v>
      </c>
    </row>
    <row r="3195" spans="1:3" x14ac:dyDescent="0.3">
      <c r="A3195" s="4" t="s">
        <v>7164</v>
      </c>
      <c r="B3195" s="4">
        <v>7</v>
      </c>
      <c r="C3195" s="23" t="s">
        <v>9676</v>
      </c>
    </row>
    <row r="3196" spans="1:3" x14ac:dyDescent="0.3">
      <c r="A3196" s="3" t="s">
        <v>7166</v>
      </c>
      <c r="B3196" s="3">
        <v>5.2</v>
      </c>
      <c r="C3196" s="22" t="s">
        <v>9677</v>
      </c>
    </row>
    <row r="3197" spans="1:3" x14ac:dyDescent="0.3">
      <c r="A3197" s="4" t="s">
        <v>7169</v>
      </c>
      <c r="B3197" s="4">
        <v>7.3</v>
      </c>
      <c r="C3197" s="23" t="s">
        <v>9025</v>
      </c>
    </row>
    <row r="3198" spans="1:3" x14ac:dyDescent="0.3">
      <c r="A3198" s="3" t="s">
        <v>7171</v>
      </c>
      <c r="B3198" s="3">
        <v>4.5999999999999996</v>
      </c>
      <c r="C3198" s="22" t="s">
        <v>9411</v>
      </c>
    </row>
    <row r="3199" spans="1:3" x14ac:dyDescent="0.3">
      <c r="A3199" s="4" t="s">
        <v>7173</v>
      </c>
      <c r="B3199" s="4">
        <v>6.5</v>
      </c>
      <c r="C3199" s="23" t="s">
        <v>9678</v>
      </c>
    </row>
    <row r="3200" spans="1:3" x14ac:dyDescent="0.3">
      <c r="A3200" s="3" t="s">
        <v>7175</v>
      </c>
      <c r="B3200" s="3">
        <v>6.8</v>
      </c>
      <c r="C3200" s="22" t="s">
        <v>8853</v>
      </c>
    </row>
    <row r="3201" spans="1:3" x14ac:dyDescent="0.3">
      <c r="A3201" s="4" t="s">
        <v>7177</v>
      </c>
      <c r="B3201" s="4">
        <v>6.7</v>
      </c>
      <c r="C3201" s="23" t="s">
        <v>9679</v>
      </c>
    </row>
    <row r="3202" spans="1:3" x14ac:dyDescent="0.3">
      <c r="A3202" s="3" t="s">
        <v>7179</v>
      </c>
      <c r="B3202" s="3">
        <v>6.1</v>
      </c>
      <c r="C3202" s="22" t="s">
        <v>8581</v>
      </c>
    </row>
    <row r="3203" spans="1:3" x14ac:dyDescent="0.3">
      <c r="A3203" s="4" t="s">
        <v>7181</v>
      </c>
      <c r="B3203" s="4">
        <v>5.2</v>
      </c>
      <c r="C3203" s="23" t="s">
        <v>9680</v>
      </c>
    </row>
    <row r="3204" spans="1:3" x14ac:dyDescent="0.3">
      <c r="A3204" s="3" t="s">
        <v>7183</v>
      </c>
      <c r="B3204" s="3">
        <v>6.9</v>
      </c>
      <c r="C3204" s="22" t="s">
        <v>8975</v>
      </c>
    </row>
    <row r="3205" spans="1:3" x14ac:dyDescent="0.3">
      <c r="A3205" s="4" t="s">
        <v>7185</v>
      </c>
      <c r="B3205" s="4">
        <v>6</v>
      </c>
      <c r="C3205" s="23" t="s">
        <v>9681</v>
      </c>
    </row>
    <row r="3206" spans="1:3" x14ac:dyDescent="0.3">
      <c r="A3206" s="3" t="s">
        <v>7187</v>
      </c>
      <c r="B3206" s="3">
        <v>7.9</v>
      </c>
      <c r="C3206" s="22" t="s">
        <v>9303</v>
      </c>
    </row>
    <row r="3207" spans="1:3" x14ac:dyDescent="0.3">
      <c r="A3207" s="4" t="s">
        <v>7189</v>
      </c>
      <c r="B3207" s="4">
        <v>4.5</v>
      </c>
      <c r="C3207" s="23" t="s">
        <v>9682</v>
      </c>
    </row>
    <row r="3208" spans="1:3" x14ac:dyDescent="0.3">
      <c r="A3208" s="3" t="s">
        <v>7191</v>
      </c>
      <c r="B3208" s="3">
        <v>5.0999999999999996</v>
      </c>
      <c r="C3208" s="22" t="s">
        <v>9683</v>
      </c>
    </row>
    <row r="3209" spans="1:3" x14ac:dyDescent="0.3">
      <c r="A3209" s="4" t="s">
        <v>7193</v>
      </c>
      <c r="B3209" s="4">
        <v>7.6</v>
      </c>
      <c r="C3209" s="23" t="s">
        <v>9684</v>
      </c>
    </row>
    <row r="3210" spans="1:3" x14ac:dyDescent="0.3">
      <c r="A3210" s="3" t="s">
        <v>7195</v>
      </c>
      <c r="B3210" s="3">
        <v>7.6</v>
      </c>
      <c r="C3210" s="22" t="s">
        <v>9685</v>
      </c>
    </row>
    <row r="3211" spans="1:3" x14ac:dyDescent="0.3">
      <c r="A3211" s="4" t="s">
        <v>7197</v>
      </c>
      <c r="B3211" s="4">
        <v>6.7</v>
      </c>
      <c r="C3211" s="23" t="s">
        <v>9686</v>
      </c>
    </row>
    <row r="3212" spans="1:3" x14ac:dyDescent="0.3">
      <c r="A3212" s="3" t="s">
        <v>7199</v>
      </c>
      <c r="B3212" s="3">
        <v>6.1</v>
      </c>
      <c r="C3212" s="22" t="s">
        <v>8963</v>
      </c>
    </row>
    <row r="3213" spans="1:3" x14ac:dyDescent="0.3">
      <c r="A3213" s="4" t="s">
        <v>7201</v>
      </c>
      <c r="B3213" s="4">
        <v>7.5</v>
      </c>
      <c r="C3213" s="23" t="s">
        <v>8747</v>
      </c>
    </row>
    <row r="3214" spans="1:3" x14ac:dyDescent="0.3">
      <c r="A3214" s="3" t="s">
        <v>7203</v>
      </c>
      <c r="B3214" s="3">
        <v>5.3</v>
      </c>
      <c r="C3214" s="22" t="s">
        <v>9582</v>
      </c>
    </row>
    <row r="3215" spans="1:3" x14ac:dyDescent="0.3">
      <c r="A3215" s="4" t="s">
        <v>7206</v>
      </c>
      <c r="B3215" s="4">
        <v>6</v>
      </c>
      <c r="C3215" s="23" t="s">
        <v>9687</v>
      </c>
    </row>
    <row r="3216" spans="1:3" x14ac:dyDescent="0.3">
      <c r="A3216" s="3" t="s">
        <v>7208</v>
      </c>
      <c r="B3216" s="3">
        <v>7.1</v>
      </c>
      <c r="C3216" s="22" t="s">
        <v>9458</v>
      </c>
    </row>
    <row r="3217" spans="1:3" x14ac:dyDescent="0.3">
      <c r="A3217" s="4" t="s">
        <v>7210</v>
      </c>
      <c r="B3217" s="4">
        <v>7.5</v>
      </c>
      <c r="C3217" s="23" t="s">
        <v>9688</v>
      </c>
    </row>
    <row r="3218" spans="1:3" x14ac:dyDescent="0.3">
      <c r="A3218" s="3" t="s">
        <v>7212</v>
      </c>
      <c r="B3218" s="3">
        <v>6.9</v>
      </c>
      <c r="C3218" s="22" t="s">
        <v>9689</v>
      </c>
    </row>
    <row r="3219" spans="1:3" x14ac:dyDescent="0.3">
      <c r="A3219" s="4" t="s">
        <v>7214</v>
      </c>
      <c r="B3219" s="4">
        <v>8.5</v>
      </c>
      <c r="C3219" s="23" t="s">
        <v>8312</v>
      </c>
    </row>
    <row r="3220" spans="1:3" x14ac:dyDescent="0.3">
      <c r="A3220" s="3" t="s">
        <v>7216</v>
      </c>
      <c r="B3220" s="3">
        <v>7.5</v>
      </c>
      <c r="C3220" s="22" t="s">
        <v>8917</v>
      </c>
    </row>
    <row r="3221" spans="1:3" x14ac:dyDescent="0.3">
      <c r="A3221" s="4" t="s">
        <v>7218</v>
      </c>
      <c r="B3221" s="4">
        <v>6.6</v>
      </c>
      <c r="C3221" s="23" t="s">
        <v>9690</v>
      </c>
    </row>
    <row r="3222" spans="1:3" x14ac:dyDescent="0.3">
      <c r="A3222" s="3" t="s">
        <v>7220</v>
      </c>
      <c r="B3222" s="3">
        <v>8</v>
      </c>
      <c r="C3222" s="22" t="s">
        <v>8889</v>
      </c>
    </row>
    <row r="3223" spans="1:3" x14ac:dyDescent="0.3">
      <c r="A3223" s="4" t="s">
        <v>7222</v>
      </c>
      <c r="B3223" s="4">
        <v>7</v>
      </c>
      <c r="C3223" s="23" t="s">
        <v>8787</v>
      </c>
    </row>
    <row r="3224" spans="1:3" x14ac:dyDescent="0.3">
      <c r="A3224" s="3" t="s">
        <v>7224</v>
      </c>
      <c r="B3224" s="3">
        <v>5.8</v>
      </c>
      <c r="C3224" s="22" t="s">
        <v>8863</v>
      </c>
    </row>
    <row r="3225" spans="1:3" x14ac:dyDescent="0.3">
      <c r="A3225" s="4" t="s">
        <v>7226</v>
      </c>
      <c r="B3225" s="4">
        <v>7.3</v>
      </c>
      <c r="C3225" s="23" t="s">
        <v>9691</v>
      </c>
    </row>
    <row r="3226" spans="1:3" x14ac:dyDescent="0.3">
      <c r="A3226" s="3" t="s">
        <v>7228</v>
      </c>
      <c r="B3226" s="3">
        <v>6.8</v>
      </c>
      <c r="C3226" s="22" t="s">
        <v>8566</v>
      </c>
    </row>
    <row r="3227" spans="1:3" x14ac:dyDescent="0.3">
      <c r="A3227" s="4" t="s">
        <v>7230</v>
      </c>
      <c r="B3227" s="4">
        <v>6.7</v>
      </c>
      <c r="C3227" s="23" t="s">
        <v>8872</v>
      </c>
    </row>
    <row r="3228" spans="1:3" x14ac:dyDescent="0.3">
      <c r="A3228" s="3" t="s">
        <v>7232</v>
      </c>
      <c r="B3228" s="3">
        <v>6.5</v>
      </c>
      <c r="C3228" s="22" t="s">
        <v>9467</v>
      </c>
    </row>
    <row r="3229" spans="1:3" x14ac:dyDescent="0.3">
      <c r="A3229" s="4" t="s">
        <v>7234</v>
      </c>
      <c r="B3229" s="4">
        <v>8</v>
      </c>
      <c r="C3229" s="23" t="s">
        <v>9235</v>
      </c>
    </row>
    <row r="3230" spans="1:3" x14ac:dyDescent="0.3">
      <c r="A3230" s="3" t="s">
        <v>7236</v>
      </c>
      <c r="B3230" s="3">
        <v>6.5</v>
      </c>
      <c r="C3230" s="22" t="s">
        <v>9597</v>
      </c>
    </row>
    <row r="3231" spans="1:3" x14ac:dyDescent="0.3">
      <c r="A3231" s="4" t="s">
        <v>7238</v>
      </c>
      <c r="B3231" s="4">
        <v>4.9000000000000004</v>
      </c>
      <c r="C3231" s="23" t="s">
        <v>9692</v>
      </c>
    </row>
    <row r="3232" spans="1:3" x14ac:dyDescent="0.3">
      <c r="A3232" s="3" t="s">
        <v>7240</v>
      </c>
      <c r="B3232" s="3">
        <v>7.1</v>
      </c>
      <c r="C3232" s="22" t="s">
        <v>9480</v>
      </c>
    </row>
    <row r="3233" spans="1:3" x14ac:dyDescent="0.3">
      <c r="A3233" s="4" t="s">
        <v>7242</v>
      </c>
      <c r="B3233" s="4">
        <v>7</v>
      </c>
      <c r="C3233" s="23" t="s">
        <v>8674</v>
      </c>
    </row>
    <row r="3234" spans="1:3" x14ac:dyDescent="0.3">
      <c r="A3234" s="3" t="s">
        <v>7244</v>
      </c>
      <c r="B3234" s="3">
        <v>7</v>
      </c>
      <c r="C3234" s="22" t="s">
        <v>9693</v>
      </c>
    </row>
    <row r="3235" spans="1:3" x14ac:dyDescent="0.3">
      <c r="A3235" s="4" t="s">
        <v>7246</v>
      </c>
      <c r="B3235" s="4">
        <v>7.5</v>
      </c>
      <c r="C3235" s="23" t="s">
        <v>8752</v>
      </c>
    </row>
    <row r="3236" spans="1:3" x14ac:dyDescent="0.3">
      <c r="A3236" s="3" t="s">
        <v>7249</v>
      </c>
      <c r="B3236" s="3">
        <v>4.5</v>
      </c>
      <c r="C3236" s="22" t="s">
        <v>9246</v>
      </c>
    </row>
    <row r="3237" spans="1:3" x14ac:dyDescent="0.3">
      <c r="A3237" s="4" t="s">
        <v>7251</v>
      </c>
      <c r="B3237" s="4">
        <v>5.5</v>
      </c>
      <c r="C3237" s="23" t="s">
        <v>9694</v>
      </c>
    </row>
    <row r="3238" spans="1:3" x14ac:dyDescent="0.3">
      <c r="A3238" s="3" t="s">
        <v>7253</v>
      </c>
      <c r="B3238" s="3">
        <v>7.7</v>
      </c>
      <c r="C3238" s="22" t="s">
        <v>8379</v>
      </c>
    </row>
    <row r="3239" spans="1:3" x14ac:dyDescent="0.3">
      <c r="A3239" s="4" t="s">
        <v>7255</v>
      </c>
      <c r="B3239" s="4">
        <v>7.2</v>
      </c>
      <c r="C3239" s="23" t="s">
        <v>9695</v>
      </c>
    </row>
    <row r="3240" spans="1:3" x14ac:dyDescent="0.3">
      <c r="A3240" s="3" t="s">
        <v>7257</v>
      </c>
      <c r="B3240" s="3">
        <v>4.8</v>
      </c>
      <c r="C3240" s="22" t="s">
        <v>9696</v>
      </c>
    </row>
    <row r="3241" spans="1:3" x14ac:dyDescent="0.3">
      <c r="A3241" s="4" t="s">
        <v>7259</v>
      </c>
      <c r="B3241" s="4">
        <v>6.7</v>
      </c>
      <c r="C3241" s="23" t="s">
        <v>8383</v>
      </c>
    </row>
    <row r="3242" spans="1:3" x14ac:dyDescent="0.3">
      <c r="A3242" s="3" t="s">
        <v>7261</v>
      </c>
      <c r="B3242" s="3">
        <v>7</v>
      </c>
      <c r="C3242" s="22" t="s">
        <v>8820</v>
      </c>
    </row>
    <row r="3243" spans="1:3" x14ac:dyDescent="0.3">
      <c r="A3243" s="4" t="s">
        <v>7263</v>
      </c>
      <c r="B3243" s="4">
        <v>6.5</v>
      </c>
      <c r="C3243" s="23" t="s">
        <v>9697</v>
      </c>
    </row>
    <row r="3244" spans="1:3" x14ac:dyDescent="0.3">
      <c r="A3244" s="3" t="s">
        <v>7265</v>
      </c>
      <c r="B3244" s="3">
        <v>7.4</v>
      </c>
      <c r="C3244" s="22" t="s">
        <v>9240</v>
      </c>
    </row>
    <row r="3245" spans="1:3" x14ac:dyDescent="0.3">
      <c r="A3245" s="4" t="s">
        <v>7267</v>
      </c>
      <c r="B3245" s="4">
        <v>5.7</v>
      </c>
      <c r="C3245" s="23" t="s">
        <v>9698</v>
      </c>
    </row>
    <row r="3246" spans="1:3" x14ac:dyDescent="0.3">
      <c r="A3246" s="3" t="s">
        <v>7269</v>
      </c>
      <c r="B3246" s="3">
        <v>6.2</v>
      </c>
      <c r="C3246" s="22" t="s">
        <v>9473</v>
      </c>
    </row>
    <row r="3247" spans="1:3" x14ac:dyDescent="0.3">
      <c r="A3247" s="4" t="s">
        <v>7271</v>
      </c>
      <c r="B3247" s="4">
        <v>5.7</v>
      </c>
      <c r="C3247" s="23" t="s">
        <v>9293</v>
      </c>
    </row>
    <row r="3248" spans="1:3" x14ac:dyDescent="0.3">
      <c r="A3248" s="3" t="s">
        <v>7273</v>
      </c>
      <c r="B3248" s="3">
        <v>6.4</v>
      </c>
      <c r="C3248" s="22" t="s">
        <v>9215</v>
      </c>
    </row>
    <row r="3249" spans="1:3" x14ac:dyDescent="0.3">
      <c r="A3249" s="4" t="s">
        <v>7276</v>
      </c>
      <c r="B3249" s="4">
        <v>7</v>
      </c>
      <c r="C3249" s="23" t="s">
        <v>9253</v>
      </c>
    </row>
    <row r="3250" spans="1:3" x14ac:dyDescent="0.3">
      <c r="A3250" s="3" t="s">
        <v>7279</v>
      </c>
      <c r="B3250" s="3">
        <v>7.7</v>
      </c>
      <c r="C3250" s="22" t="s">
        <v>9699</v>
      </c>
    </row>
    <row r="3251" spans="1:3" x14ac:dyDescent="0.3">
      <c r="A3251" s="4" t="s">
        <v>7281</v>
      </c>
      <c r="B3251" s="4">
        <v>5.4</v>
      </c>
      <c r="C3251" s="23" t="s">
        <v>9291</v>
      </c>
    </row>
    <row r="3252" spans="1:3" x14ac:dyDescent="0.3">
      <c r="A3252" s="3" t="s">
        <v>7284</v>
      </c>
      <c r="B3252" s="3">
        <v>6.6</v>
      </c>
      <c r="C3252" s="22" t="s">
        <v>9700</v>
      </c>
    </row>
    <row r="3253" spans="1:3" x14ac:dyDescent="0.3">
      <c r="A3253" s="4" t="s">
        <v>7286</v>
      </c>
      <c r="B3253" s="4">
        <v>6.1</v>
      </c>
      <c r="C3253" s="23" t="s">
        <v>9701</v>
      </c>
    </row>
    <row r="3254" spans="1:3" x14ac:dyDescent="0.3">
      <c r="A3254" s="3" t="s">
        <v>7288</v>
      </c>
      <c r="B3254" s="3">
        <v>6.1</v>
      </c>
      <c r="C3254" s="22" t="s">
        <v>9702</v>
      </c>
    </row>
    <row r="3255" spans="1:3" x14ac:dyDescent="0.3">
      <c r="A3255" s="4" t="s">
        <v>7290</v>
      </c>
      <c r="B3255" s="4">
        <v>7.6</v>
      </c>
      <c r="C3255" s="23" t="s">
        <v>9247</v>
      </c>
    </row>
    <row r="3256" spans="1:3" x14ac:dyDescent="0.3">
      <c r="A3256" s="3" t="s">
        <v>7292</v>
      </c>
      <c r="B3256" s="3">
        <v>6.2</v>
      </c>
      <c r="C3256" s="22" t="s">
        <v>9703</v>
      </c>
    </row>
    <row r="3257" spans="1:3" x14ac:dyDescent="0.3">
      <c r="A3257" s="4" t="s">
        <v>7294</v>
      </c>
      <c r="B3257" s="4">
        <v>6.6</v>
      </c>
      <c r="C3257" s="23" t="s">
        <v>9428</v>
      </c>
    </row>
    <row r="3258" spans="1:3" x14ac:dyDescent="0.3">
      <c r="A3258" s="3" t="s">
        <v>7296</v>
      </c>
      <c r="B3258" s="3">
        <v>6.1</v>
      </c>
      <c r="C3258" s="22" t="s">
        <v>8927</v>
      </c>
    </row>
    <row r="3259" spans="1:3" x14ac:dyDescent="0.3">
      <c r="A3259" s="4" t="s">
        <v>7298</v>
      </c>
      <c r="B3259" s="4">
        <v>7.3</v>
      </c>
      <c r="C3259" s="23" t="s">
        <v>9704</v>
      </c>
    </row>
    <row r="3260" spans="1:3" x14ac:dyDescent="0.3">
      <c r="A3260" s="3" t="s">
        <v>7300</v>
      </c>
      <c r="B3260" s="3">
        <v>4.2</v>
      </c>
      <c r="C3260" s="22" t="s">
        <v>9705</v>
      </c>
    </row>
    <row r="3261" spans="1:3" x14ac:dyDescent="0.3">
      <c r="A3261" s="4" t="s">
        <v>7302</v>
      </c>
      <c r="B3261" s="4">
        <v>7.1</v>
      </c>
      <c r="C3261" s="23" t="s">
        <v>9342</v>
      </c>
    </row>
    <row r="3262" spans="1:3" x14ac:dyDescent="0.3">
      <c r="A3262" s="3" t="s">
        <v>7304</v>
      </c>
      <c r="B3262" s="3">
        <v>6</v>
      </c>
      <c r="C3262" s="22" t="s">
        <v>9706</v>
      </c>
    </row>
    <row r="3263" spans="1:3" x14ac:dyDescent="0.3">
      <c r="A3263" s="4" t="s">
        <v>7306</v>
      </c>
      <c r="B3263" s="4">
        <v>6.5</v>
      </c>
      <c r="C3263" s="23" t="s">
        <v>9707</v>
      </c>
    </row>
    <row r="3264" spans="1:3" x14ac:dyDescent="0.3">
      <c r="A3264" s="3" t="s">
        <v>7308</v>
      </c>
      <c r="B3264" s="3">
        <v>6.5</v>
      </c>
      <c r="C3264" s="22" t="s">
        <v>9708</v>
      </c>
    </row>
    <row r="3265" spans="1:3" x14ac:dyDescent="0.3">
      <c r="A3265" s="4" t="s">
        <v>7311</v>
      </c>
      <c r="B3265" s="4">
        <v>5.7</v>
      </c>
      <c r="C3265" s="23" t="s">
        <v>9709</v>
      </c>
    </row>
    <row r="3266" spans="1:3" x14ac:dyDescent="0.3">
      <c r="A3266" s="3" t="s">
        <v>7314</v>
      </c>
      <c r="B3266" s="3">
        <v>6.1</v>
      </c>
      <c r="C3266" s="22" t="s">
        <v>9710</v>
      </c>
    </row>
    <row r="3267" spans="1:3" x14ac:dyDescent="0.3">
      <c r="A3267" s="4" t="s">
        <v>7316</v>
      </c>
      <c r="B3267" s="4">
        <v>7.1</v>
      </c>
      <c r="C3267" s="23" t="s">
        <v>9711</v>
      </c>
    </row>
    <row r="3268" spans="1:3" x14ac:dyDescent="0.3">
      <c r="A3268" s="3" t="s">
        <v>7319</v>
      </c>
      <c r="B3268" s="3">
        <v>7.3</v>
      </c>
      <c r="C3268" s="22" t="s">
        <v>9712</v>
      </c>
    </row>
    <row r="3269" spans="1:3" x14ac:dyDescent="0.3">
      <c r="A3269" s="4" t="s">
        <v>7321</v>
      </c>
      <c r="B3269" s="4">
        <v>6.5</v>
      </c>
      <c r="C3269" s="23" t="s">
        <v>9713</v>
      </c>
    </row>
    <row r="3270" spans="1:3" x14ac:dyDescent="0.3">
      <c r="A3270" s="3" t="s">
        <v>7323</v>
      </c>
      <c r="B3270" s="3">
        <v>5.7</v>
      </c>
      <c r="C3270" s="22" t="s">
        <v>9714</v>
      </c>
    </row>
    <row r="3271" spans="1:3" x14ac:dyDescent="0.3">
      <c r="A3271" s="4" t="s">
        <v>7326</v>
      </c>
      <c r="B3271" s="4">
        <v>7.2</v>
      </c>
      <c r="C3271" s="23" t="s">
        <v>8426</v>
      </c>
    </row>
    <row r="3272" spans="1:3" x14ac:dyDescent="0.3">
      <c r="A3272" s="3" t="s">
        <v>7328</v>
      </c>
      <c r="B3272" s="3">
        <v>7.3</v>
      </c>
      <c r="C3272" s="22" t="s">
        <v>8715</v>
      </c>
    </row>
    <row r="3273" spans="1:3" x14ac:dyDescent="0.3">
      <c r="A3273" s="4" t="s">
        <v>7330</v>
      </c>
      <c r="B3273" s="4">
        <v>6.9</v>
      </c>
      <c r="C3273" s="23" t="s">
        <v>9715</v>
      </c>
    </row>
    <row r="3274" spans="1:3" x14ac:dyDescent="0.3">
      <c r="A3274" s="3" t="s">
        <v>7332</v>
      </c>
      <c r="B3274" s="3">
        <v>5</v>
      </c>
      <c r="C3274" s="22" t="s">
        <v>9716</v>
      </c>
    </row>
    <row r="3275" spans="1:3" x14ac:dyDescent="0.3">
      <c r="A3275" s="4" t="s">
        <v>7334</v>
      </c>
      <c r="B3275" s="4">
        <v>5.9</v>
      </c>
      <c r="C3275" s="23" t="s">
        <v>9717</v>
      </c>
    </row>
    <row r="3276" spans="1:3" x14ac:dyDescent="0.3">
      <c r="A3276" s="3" t="s">
        <v>7336</v>
      </c>
      <c r="B3276" s="3">
        <v>6.7</v>
      </c>
      <c r="C3276" s="22" t="s">
        <v>9718</v>
      </c>
    </row>
    <row r="3277" spans="1:3" x14ac:dyDescent="0.3">
      <c r="A3277" s="4" t="s">
        <v>7338</v>
      </c>
      <c r="B3277" s="4">
        <v>7.3</v>
      </c>
      <c r="C3277" s="23" t="s">
        <v>8983</v>
      </c>
    </row>
    <row r="3278" spans="1:3" x14ac:dyDescent="0.3">
      <c r="A3278" s="3" t="s">
        <v>7340</v>
      </c>
      <c r="B3278" s="3">
        <v>7.6</v>
      </c>
      <c r="C3278" s="22" t="s">
        <v>9165</v>
      </c>
    </row>
    <row r="3279" spans="1:3" x14ac:dyDescent="0.3">
      <c r="A3279" s="4" t="s">
        <v>7342</v>
      </c>
      <c r="B3279" s="4">
        <v>6.5</v>
      </c>
      <c r="C3279" s="23" t="s">
        <v>9719</v>
      </c>
    </row>
    <row r="3280" spans="1:3" x14ac:dyDescent="0.3">
      <c r="A3280" s="3" t="s">
        <v>7344</v>
      </c>
      <c r="B3280" s="3">
        <v>2.1</v>
      </c>
      <c r="C3280" s="22" t="s">
        <v>9720</v>
      </c>
    </row>
    <row r="3281" spans="1:3" x14ac:dyDescent="0.3">
      <c r="A3281" s="4" t="s">
        <v>7346</v>
      </c>
      <c r="B3281" s="4">
        <v>5.3</v>
      </c>
      <c r="C3281" s="23" t="s">
        <v>9721</v>
      </c>
    </row>
    <row r="3282" spans="1:3" x14ac:dyDescent="0.3">
      <c r="A3282" s="3" t="s">
        <v>7348</v>
      </c>
      <c r="B3282" s="3">
        <v>7.2</v>
      </c>
      <c r="C3282" s="22" t="s">
        <v>9722</v>
      </c>
    </row>
    <row r="3283" spans="1:3" x14ac:dyDescent="0.3">
      <c r="A3283" s="4" t="s">
        <v>7351</v>
      </c>
      <c r="B3283" s="4">
        <v>7</v>
      </c>
      <c r="C3283" s="23" t="s">
        <v>9544</v>
      </c>
    </row>
    <row r="3284" spans="1:3" x14ac:dyDescent="0.3">
      <c r="A3284" s="3" t="s">
        <v>7353</v>
      </c>
      <c r="B3284" s="3">
        <v>8</v>
      </c>
      <c r="C3284" s="22" t="s">
        <v>9586</v>
      </c>
    </row>
    <row r="3285" spans="1:3" x14ac:dyDescent="0.3">
      <c r="A3285" s="4" t="s">
        <v>7355</v>
      </c>
      <c r="B3285" s="4">
        <v>6.5</v>
      </c>
      <c r="C3285" s="23" t="s">
        <v>9147</v>
      </c>
    </row>
    <row r="3286" spans="1:3" x14ac:dyDescent="0.3">
      <c r="A3286" s="3" t="s">
        <v>7357</v>
      </c>
      <c r="B3286" s="3">
        <v>6.9</v>
      </c>
      <c r="C3286" s="22" t="s">
        <v>9250</v>
      </c>
    </row>
    <row r="3287" spans="1:3" x14ac:dyDescent="0.3">
      <c r="A3287" s="4" t="s">
        <v>7359</v>
      </c>
      <c r="B3287" s="4">
        <v>7.1</v>
      </c>
      <c r="C3287" s="23" t="s">
        <v>9723</v>
      </c>
    </row>
    <row r="3288" spans="1:3" x14ac:dyDescent="0.3">
      <c r="A3288" s="3" t="s">
        <v>7361</v>
      </c>
      <c r="B3288" s="3">
        <v>7.3</v>
      </c>
      <c r="C3288" s="22" t="s">
        <v>9724</v>
      </c>
    </row>
    <row r="3289" spans="1:3" x14ac:dyDescent="0.3">
      <c r="A3289" s="4" t="s">
        <v>7363</v>
      </c>
      <c r="B3289" s="4">
        <v>7.5</v>
      </c>
      <c r="C3289" s="23" t="s">
        <v>9725</v>
      </c>
    </row>
    <row r="3290" spans="1:3" x14ac:dyDescent="0.3">
      <c r="A3290" s="3" t="s">
        <v>7366</v>
      </c>
      <c r="B3290" s="3">
        <v>6.9</v>
      </c>
      <c r="C3290" s="22" t="s">
        <v>9726</v>
      </c>
    </row>
    <row r="3291" spans="1:3" x14ac:dyDescent="0.3">
      <c r="A3291" s="4" t="s">
        <v>7368</v>
      </c>
      <c r="B3291" s="4">
        <v>7.2</v>
      </c>
      <c r="C3291" s="23" t="s">
        <v>8836</v>
      </c>
    </row>
    <row r="3292" spans="1:3" x14ac:dyDescent="0.3">
      <c r="A3292" s="3" t="s">
        <v>7370</v>
      </c>
      <c r="B3292" s="3">
        <v>7.2</v>
      </c>
      <c r="C3292" s="22" t="s">
        <v>9727</v>
      </c>
    </row>
    <row r="3293" spans="1:3" x14ac:dyDescent="0.3">
      <c r="A3293" s="4" t="s">
        <v>7372</v>
      </c>
      <c r="B3293" s="4">
        <v>6.7</v>
      </c>
      <c r="C3293" s="23" t="s">
        <v>9596</v>
      </c>
    </row>
    <row r="3294" spans="1:3" x14ac:dyDescent="0.3">
      <c r="A3294" s="3" t="s">
        <v>7374</v>
      </c>
      <c r="B3294" s="3">
        <v>6</v>
      </c>
      <c r="C3294" s="22" t="s">
        <v>9728</v>
      </c>
    </row>
    <row r="3295" spans="1:3" x14ac:dyDescent="0.3">
      <c r="A3295" s="4" t="s">
        <v>7377</v>
      </c>
      <c r="B3295" s="4">
        <v>8.9</v>
      </c>
      <c r="C3295" s="23" t="s">
        <v>8462</v>
      </c>
    </row>
    <row r="3296" spans="1:3" x14ac:dyDescent="0.3">
      <c r="A3296" s="3" t="s">
        <v>7379</v>
      </c>
      <c r="B3296" s="3">
        <v>7.7</v>
      </c>
      <c r="C3296" s="22" t="s">
        <v>9729</v>
      </c>
    </row>
    <row r="3297" spans="1:3" x14ac:dyDescent="0.3">
      <c r="A3297" s="4" t="s">
        <v>7381</v>
      </c>
      <c r="B3297" s="4">
        <v>7.9</v>
      </c>
      <c r="C3297" s="23" t="s">
        <v>9730</v>
      </c>
    </row>
    <row r="3298" spans="1:3" x14ac:dyDescent="0.3">
      <c r="A3298" s="3" t="s">
        <v>7383</v>
      </c>
      <c r="B3298" s="3">
        <v>5.6</v>
      </c>
      <c r="C3298" s="22" t="s">
        <v>8719</v>
      </c>
    </row>
    <row r="3299" spans="1:3" x14ac:dyDescent="0.3">
      <c r="A3299" s="4" t="s">
        <v>7385</v>
      </c>
      <c r="B3299" s="4">
        <v>8</v>
      </c>
      <c r="C3299" s="23" t="s">
        <v>8911</v>
      </c>
    </row>
    <row r="3300" spans="1:3" x14ac:dyDescent="0.3">
      <c r="A3300" s="3" t="s">
        <v>7387</v>
      </c>
      <c r="B3300" s="3">
        <v>6.2</v>
      </c>
      <c r="C3300" s="22" t="s">
        <v>8378</v>
      </c>
    </row>
    <row r="3301" spans="1:3" x14ac:dyDescent="0.3">
      <c r="A3301" s="4" t="s">
        <v>7390</v>
      </c>
      <c r="B3301" s="4">
        <v>7.9</v>
      </c>
      <c r="C3301" s="23" t="s">
        <v>9731</v>
      </c>
    </row>
    <row r="3302" spans="1:3" x14ac:dyDescent="0.3">
      <c r="A3302" s="3" t="s">
        <v>7392</v>
      </c>
      <c r="B3302" s="3">
        <v>8.1</v>
      </c>
      <c r="C3302" s="22" t="s">
        <v>8633</v>
      </c>
    </row>
    <row r="3303" spans="1:3" x14ac:dyDescent="0.3">
      <c r="A3303" s="4" t="s">
        <v>7394</v>
      </c>
      <c r="B3303" s="4">
        <v>7.6</v>
      </c>
      <c r="C3303" s="23" t="s">
        <v>8757</v>
      </c>
    </row>
    <row r="3304" spans="1:3" x14ac:dyDescent="0.3">
      <c r="A3304" s="3" t="s">
        <v>7396</v>
      </c>
      <c r="B3304" s="3">
        <v>3.5</v>
      </c>
      <c r="C3304" s="22" t="s">
        <v>9732</v>
      </c>
    </row>
    <row r="3305" spans="1:3" x14ac:dyDescent="0.3">
      <c r="A3305" s="4" t="s">
        <v>7398</v>
      </c>
      <c r="B3305" s="4">
        <v>7.6</v>
      </c>
      <c r="C3305" s="23" t="s">
        <v>9733</v>
      </c>
    </row>
    <row r="3306" spans="1:3" x14ac:dyDescent="0.3">
      <c r="A3306" s="3" t="s">
        <v>7400</v>
      </c>
      <c r="B3306" s="3">
        <v>6.5</v>
      </c>
      <c r="C3306" s="22" t="s">
        <v>9464</v>
      </c>
    </row>
    <row r="3307" spans="1:3" x14ac:dyDescent="0.3">
      <c r="A3307" s="4" t="s">
        <v>7402</v>
      </c>
      <c r="B3307" s="4">
        <v>5.6</v>
      </c>
      <c r="C3307" s="23" t="s">
        <v>9734</v>
      </c>
    </row>
    <row r="3308" spans="1:3" x14ac:dyDescent="0.3">
      <c r="A3308" s="3" t="s">
        <v>7404</v>
      </c>
      <c r="B3308" s="3">
        <v>7.7</v>
      </c>
      <c r="C3308" s="22" t="s">
        <v>8984</v>
      </c>
    </row>
    <row r="3309" spans="1:3" x14ac:dyDescent="0.3">
      <c r="A3309" s="4" t="s">
        <v>7406</v>
      </c>
      <c r="B3309" s="4">
        <v>5.2</v>
      </c>
      <c r="C3309" s="23" t="s">
        <v>9735</v>
      </c>
    </row>
    <row r="3310" spans="1:3" x14ac:dyDescent="0.3">
      <c r="A3310" s="3" t="s">
        <v>7409</v>
      </c>
      <c r="B3310" s="3">
        <v>6.9</v>
      </c>
      <c r="C3310" s="22" t="s">
        <v>8526</v>
      </c>
    </row>
    <row r="3311" spans="1:3" x14ac:dyDescent="0.3">
      <c r="A3311" s="4" t="s">
        <v>7411</v>
      </c>
      <c r="B3311" s="4">
        <v>6.1</v>
      </c>
      <c r="C3311" s="23" t="s">
        <v>9736</v>
      </c>
    </row>
    <row r="3312" spans="1:3" x14ac:dyDescent="0.3">
      <c r="A3312" s="3" t="s">
        <v>7413</v>
      </c>
      <c r="B3312" s="3">
        <v>5</v>
      </c>
      <c r="C3312" s="22" t="s">
        <v>9737</v>
      </c>
    </row>
    <row r="3313" spans="1:3" x14ac:dyDescent="0.3">
      <c r="A3313" s="4" t="s">
        <v>7415</v>
      </c>
      <c r="B3313" s="4">
        <v>7.8</v>
      </c>
      <c r="C3313" s="23" t="s">
        <v>9738</v>
      </c>
    </row>
    <row r="3314" spans="1:3" x14ac:dyDescent="0.3">
      <c r="A3314" s="3" t="s">
        <v>7417</v>
      </c>
      <c r="B3314" s="3">
        <v>7.4</v>
      </c>
      <c r="C3314" s="22" t="s">
        <v>8379</v>
      </c>
    </row>
    <row r="3315" spans="1:3" x14ac:dyDescent="0.3">
      <c r="A3315" s="4" t="s">
        <v>7419</v>
      </c>
      <c r="B3315" s="4">
        <v>6.8</v>
      </c>
      <c r="C3315" s="23" t="s">
        <v>9739</v>
      </c>
    </row>
    <row r="3316" spans="1:3" x14ac:dyDescent="0.3">
      <c r="A3316" s="3" t="s">
        <v>7422</v>
      </c>
      <c r="B3316" s="3">
        <v>6.4</v>
      </c>
      <c r="C3316" s="22" t="s">
        <v>8841</v>
      </c>
    </row>
    <row r="3317" spans="1:3" x14ac:dyDescent="0.3">
      <c r="A3317" s="4" t="s">
        <v>7424</v>
      </c>
      <c r="B3317" s="4">
        <v>5.7</v>
      </c>
      <c r="C3317" s="23" t="s">
        <v>8804</v>
      </c>
    </row>
    <row r="3318" spans="1:3" x14ac:dyDescent="0.3">
      <c r="A3318" s="3" t="s">
        <v>7427</v>
      </c>
      <c r="B3318" s="3">
        <v>7.5</v>
      </c>
      <c r="C3318" s="22" t="s">
        <v>9740</v>
      </c>
    </row>
    <row r="3319" spans="1:3" x14ac:dyDescent="0.3">
      <c r="A3319" s="4" t="s">
        <v>7429</v>
      </c>
      <c r="B3319" s="4">
        <v>6.7</v>
      </c>
      <c r="C3319" s="23" t="s">
        <v>9524</v>
      </c>
    </row>
    <row r="3320" spans="1:3" x14ac:dyDescent="0.3">
      <c r="A3320" s="3" t="s">
        <v>7431</v>
      </c>
      <c r="B3320" s="3">
        <v>5.6</v>
      </c>
      <c r="C3320" s="22" t="s">
        <v>9741</v>
      </c>
    </row>
    <row r="3321" spans="1:3" x14ac:dyDescent="0.3">
      <c r="A3321" s="4" t="s">
        <v>7433</v>
      </c>
      <c r="B3321" s="4">
        <v>7</v>
      </c>
      <c r="C3321" s="23" t="s">
        <v>8745</v>
      </c>
    </row>
    <row r="3322" spans="1:3" x14ac:dyDescent="0.3">
      <c r="A3322" s="3" t="s">
        <v>7435</v>
      </c>
      <c r="B3322" s="3">
        <v>7.6</v>
      </c>
      <c r="C3322" s="22" t="s">
        <v>9742</v>
      </c>
    </row>
    <row r="3323" spans="1:3" x14ac:dyDescent="0.3">
      <c r="A3323" s="4" t="s">
        <v>7437</v>
      </c>
      <c r="B3323" s="4">
        <v>6.5</v>
      </c>
      <c r="C3323" s="23" t="s">
        <v>9053</v>
      </c>
    </row>
    <row r="3324" spans="1:3" x14ac:dyDescent="0.3">
      <c r="A3324" s="3" t="s">
        <v>7439</v>
      </c>
      <c r="B3324" s="3">
        <v>7</v>
      </c>
      <c r="C3324" s="22" t="s">
        <v>9743</v>
      </c>
    </row>
    <row r="3325" spans="1:3" x14ac:dyDescent="0.3">
      <c r="A3325" s="4" t="s">
        <v>7441</v>
      </c>
      <c r="B3325" s="4">
        <v>6.3</v>
      </c>
      <c r="C3325" s="23" t="s">
        <v>9744</v>
      </c>
    </row>
    <row r="3326" spans="1:3" x14ac:dyDescent="0.3">
      <c r="A3326" s="3" t="s">
        <v>7443</v>
      </c>
      <c r="B3326" s="3">
        <v>6.4</v>
      </c>
      <c r="C3326" s="22" t="s">
        <v>9365</v>
      </c>
    </row>
    <row r="3327" spans="1:3" x14ac:dyDescent="0.3">
      <c r="A3327" s="4" t="s">
        <v>7445</v>
      </c>
      <c r="B3327" s="4">
        <v>7.1</v>
      </c>
      <c r="C3327" s="23" t="s">
        <v>9745</v>
      </c>
    </row>
    <row r="3328" spans="1:3" x14ac:dyDescent="0.3">
      <c r="A3328" s="3" t="s">
        <v>7447</v>
      </c>
      <c r="B3328" s="3">
        <v>7.1</v>
      </c>
      <c r="C3328" s="22" t="s">
        <v>8622</v>
      </c>
    </row>
    <row r="3329" spans="1:3" x14ac:dyDescent="0.3">
      <c r="A3329" s="4" t="s">
        <v>7449</v>
      </c>
      <c r="B3329" s="4">
        <v>6.5</v>
      </c>
      <c r="C3329" s="23" t="s">
        <v>9746</v>
      </c>
    </row>
    <row r="3330" spans="1:3" x14ac:dyDescent="0.3">
      <c r="A3330" s="3" t="s">
        <v>7451</v>
      </c>
      <c r="B3330" s="3">
        <v>6.9</v>
      </c>
      <c r="C3330" s="22" t="s">
        <v>9070</v>
      </c>
    </row>
    <row r="3331" spans="1:3" x14ac:dyDescent="0.3">
      <c r="A3331" s="4" t="s">
        <v>7453</v>
      </c>
      <c r="B3331" s="4">
        <v>5.4</v>
      </c>
      <c r="C3331" s="23" t="s">
        <v>9343</v>
      </c>
    </row>
    <row r="3332" spans="1:3" x14ac:dyDescent="0.3">
      <c r="A3332" s="3" t="s">
        <v>7455</v>
      </c>
      <c r="B3332" s="3">
        <v>4.9000000000000004</v>
      </c>
      <c r="C3332" s="22" t="s">
        <v>8351</v>
      </c>
    </row>
    <row r="3333" spans="1:3" x14ac:dyDescent="0.3">
      <c r="A3333" s="4" t="s">
        <v>7457</v>
      </c>
      <c r="B3333" s="4">
        <v>5.0999999999999996</v>
      </c>
      <c r="C3333" s="23" t="s">
        <v>9226</v>
      </c>
    </row>
    <row r="3334" spans="1:3" x14ac:dyDescent="0.3">
      <c r="A3334" s="3" t="s">
        <v>7459</v>
      </c>
      <c r="B3334" s="3">
        <v>5.3</v>
      </c>
      <c r="C3334" s="22" t="s">
        <v>9747</v>
      </c>
    </row>
    <row r="3335" spans="1:3" x14ac:dyDescent="0.3">
      <c r="A3335" s="4" t="s">
        <v>7461</v>
      </c>
      <c r="B3335" s="4">
        <v>7.5</v>
      </c>
      <c r="C3335" s="23" t="s">
        <v>9365</v>
      </c>
    </row>
    <row r="3336" spans="1:3" x14ac:dyDescent="0.3">
      <c r="A3336" s="3" t="s">
        <v>7463</v>
      </c>
      <c r="B3336" s="3">
        <v>7.3</v>
      </c>
      <c r="C3336" s="22" t="s">
        <v>9748</v>
      </c>
    </row>
    <row r="3337" spans="1:3" x14ac:dyDescent="0.3">
      <c r="A3337" s="4" t="s">
        <v>7465</v>
      </c>
      <c r="B3337" s="4">
        <v>7.3</v>
      </c>
      <c r="C3337" s="23" t="s">
        <v>9247</v>
      </c>
    </row>
    <row r="3338" spans="1:3" x14ac:dyDescent="0.3">
      <c r="A3338" s="3" t="s">
        <v>7467</v>
      </c>
      <c r="B3338" s="3">
        <v>7.1</v>
      </c>
      <c r="C3338" s="22" t="s">
        <v>9749</v>
      </c>
    </row>
    <row r="3339" spans="1:3" x14ac:dyDescent="0.3">
      <c r="A3339" s="4" t="s">
        <v>7469</v>
      </c>
      <c r="B3339" s="4">
        <v>6</v>
      </c>
      <c r="C3339" s="23" t="s">
        <v>9407</v>
      </c>
    </row>
    <row r="3340" spans="1:3" x14ac:dyDescent="0.3">
      <c r="A3340" s="3" t="s">
        <v>7471</v>
      </c>
      <c r="B3340" s="3">
        <v>6.6</v>
      </c>
      <c r="C3340" s="22" t="s">
        <v>8721</v>
      </c>
    </row>
    <row r="3341" spans="1:3" x14ac:dyDescent="0.3">
      <c r="A3341" s="4" t="s">
        <v>7474</v>
      </c>
      <c r="B3341" s="4">
        <v>7.2</v>
      </c>
      <c r="C3341" s="23" t="s">
        <v>9750</v>
      </c>
    </row>
    <row r="3342" spans="1:3" x14ac:dyDescent="0.3">
      <c r="A3342" s="3" t="s">
        <v>7476</v>
      </c>
      <c r="B3342" s="3">
        <v>7.2</v>
      </c>
      <c r="C3342" s="22" t="s">
        <v>9108</v>
      </c>
    </row>
    <row r="3343" spans="1:3" x14ac:dyDescent="0.3">
      <c r="A3343" s="4" t="s">
        <v>7478</v>
      </c>
      <c r="B3343" s="4">
        <v>6.9</v>
      </c>
      <c r="C3343" s="23" t="s">
        <v>9275</v>
      </c>
    </row>
    <row r="3344" spans="1:3" x14ac:dyDescent="0.3">
      <c r="A3344" s="3" t="s">
        <v>7480</v>
      </c>
      <c r="B3344" s="3">
        <v>6.8</v>
      </c>
      <c r="C3344" s="22" t="s">
        <v>9751</v>
      </c>
    </row>
    <row r="3345" spans="1:3" x14ac:dyDescent="0.3">
      <c r="A3345" s="4" t="s">
        <v>7482</v>
      </c>
      <c r="B3345" s="4">
        <v>4</v>
      </c>
      <c r="C3345" s="23" t="s">
        <v>9752</v>
      </c>
    </row>
    <row r="3346" spans="1:3" x14ac:dyDescent="0.3">
      <c r="A3346" s="3" t="s">
        <v>7484</v>
      </c>
      <c r="B3346" s="3">
        <v>7.7</v>
      </c>
      <c r="C3346" s="22" t="s">
        <v>9753</v>
      </c>
    </row>
    <row r="3347" spans="1:3" x14ac:dyDescent="0.3">
      <c r="A3347" s="4" t="s">
        <v>7486</v>
      </c>
      <c r="B3347" s="4">
        <v>7.4</v>
      </c>
      <c r="C3347" s="23" t="s">
        <v>9754</v>
      </c>
    </row>
    <row r="3348" spans="1:3" x14ac:dyDescent="0.3">
      <c r="A3348" s="3" t="s">
        <v>7488</v>
      </c>
      <c r="B3348" s="3">
        <v>6.5</v>
      </c>
      <c r="C3348" s="22" t="s">
        <v>9755</v>
      </c>
    </row>
    <row r="3349" spans="1:3" x14ac:dyDescent="0.3">
      <c r="A3349" s="4" t="s">
        <v>7490</v>
      </c>
      <c r="B3349" s="4">
        <v>6.4</v>
      </c>
      <c r="C3349" s="23" t="s">
        <v>9756</v>
      </c>
    </row>
    <row r="3350" spans="1:3" x14ac:dyDescent="0.3">
      <c r="A3350" s="3" t="s">
        <v>7492</v>
      </c>
      <c r="B3350" s="3">
        <v>7.2</v>
      </c>
      <c r="C3350" s="22" t="s">
        <v>9757</v>
      </c>
    </row>
    <row r="3351" spans="1:3" x14ac:dyDescent="0.3">
      <c r="A3351" s="4" t="s">
        <v>7494</v>
      </c>
      <c r="B3351" s="4">
        <v>5.6</v>
      </c>
      <c r="C3351" s="23" t="s">
        <v>9758</v>
      </c>
    </row>
    <row r="3352" spans="1:3" x14ac:dyDescent="0.3">
      <c r="A3352" s="3" t="s">
        <v>7496</v>
      </c>
      <c r="B3352" s="3">
        <v>6.3</v>
      </c>
      <c r="C3352" s="22" t="s">
        <v>8896</v>
      </c>
    </row>
    <row r="3353" spans="1:3" x14ac:dyDescent="0.3">
      <c r="A3353" s="4" t="s">
        <v>7498</v>
      </c>
      <c r="B3353" s="4">
        <v>6.8</v>
      </c>
      <c r="C3353" s="23" t="s">
        <v>9759</v>
      </c>
    </row>
    <row r="3354" spans="1:3" x14ac:dyDescent="0.3">
      <c r="A3354" s="3" t="s">
        <v>7501</v>
      </c>
      <c r="B3354" s="3">
        <v>5.5</v>
      </c>
      <c r="C3354" s="22" t="s">
        <v>9760</v>
      </c>
    </row>
    <row r="3355" spans="1:3" x14ac:dyDescent="0.3">
      <c r="A3355" s="4" t="s">
        <v>7504</v>
      </c>
      <c r="B3355" s="4">
        <v>6.9</v>
      </c>
      <c r="C3355" s="23" t="s">
        <v>8885</v>
      </c>
    </row>
    <row r="3356" spans="1:3" x14ac:dyDescent="0.3">
      <c r="A3356" s="3" t="s">
        <v>7506</v>
      </c>
      <c r="B3356" s="3">
        <v>6</v>
      </c>
      <c r="C3356" s="22" t="s">
        <v>9761</v>
      </c>
    </row>
    <row r="3357" spans="1:3" x14ac:dyDescent="0.3">
      <c r="A3357" s="4" t="s">
        <v>7509</v>
      </c>
      <c r="B3357" s="4">
        <v>6.4</v>
      </c>
      <c r="C3357" s="23" t="s">
        <v>9762</v>
      </c>
    </row>
    <row r="3358" spans="1:3" x14ac:dyDescent="0.3">
      <c r="A3358" s="3" t="s">
        <v>7512</v>
      </c>
      <c r="B3358" s="3">
        <v>6.6</v>
      </c>
      <c r="C3358" s="22" t="s">
        <v>9763</v>
      </c>
    </row>
    <row r="3359" spans="1:3" x14ac:dyDescent="0.3">
      <c r="A3359" s="4" t="s">
        <v>7514</v>
      </c>
      <c r="B3359" s="4">
        <v>5.3</v>
      </c>
      <c r="C3359" s="23" t="s">
        <v>9764</v>
      </c>
    </row>
    <row r="3360" spans="1:3" x14ac:dyDescent="0.3">
      <c r="A3360" s="3" t="s">
        <v>7516</v>
      </c>
      <c r="B3360" s="3">
        <v>8.1</v>
      </c>
      <c r="C3360" s="22" t="s">
        <v>9259</v>
      </c>
    </row>
    <row r="3361" spans="1:3" x14ac:dyDescent="0.3">
      <c r="A3361" s="4" t="s">
        <v>7518</v>
      </c>
      <c r="B3361" s="4">
        <v>5.9</v>
      </c>
      <c r="C3361" s="23" t="s">
        <v>8828</v>
      </c>
    </row>
    <row r="3362" spans="1:3" x14ac:dyDescent="0.3">
      <c r="A3362" s="3" t="s">
        <v>7520</v>
      </c>
      <c r="B3362" s="3">
        <v>7.7</v>
      </c>
      <c r="C3362" s="22" t="s">
        <v>9765</v>
      </c>
    </row>
    <row r="3363" spans="1:3" x14ac:dyDescent="0.3">
      <c r="A3363" s="4" t="s">
        <v>7522</v>
      </c>
      <c r="B3363" s="4">
        <v>4.5999999999999996</v>
      </c>
      <c r="C3363" s="23" t="s">
        <v>9766</v>
      </c>
    </row>
    <row r="3364" spans="1:3" x14ac:dyDescent="0.3">
      <c r="A3364" s="3" t="s">
        <v>7524</v>
      </c>
      <c r="B3364" s="3">
        <v>5.0999999999999996</v>
      </c>
      <c r="C3364" s="22" t="s">
        <v>8868</v>
      </c>
    </row>
    <row r="3365" spans="1:3" x14ac:dyDescent="0.3">
      <c r="A3365" s="4" t="s">
        <v>7526</v>
      </c>
      <c r="B3365" s="4">
        <v>6.9</v>
      </c>
      <c r="C3365" s="23" t="s">
        <v>9767</v>
      </c>
    </row>
    <row r="3366" spans="1:3" x14ac:dyDescent="0.3">
      <c r="A3366" s="3" t="s">
        <v>7528</v>
      </c>
      <c r="B3366" s="3">
        <v>8</v>
      </c>
      <c r="C3366" s="22" t="s">
        <v>8838</v>
      </c>
    </row>
    <row r="3367" spans="1:3" x14ac:dyDescent="0.3">
      <c r="A3367" s="4" t="s">
        <v>7530</v>
      </c>
      <c r="B3367" s="4">
        <v>6.8</v>
      </c>
      <c r="C3367" s="23" t="s">
        <v>9749</v>
      </c>
    </row>
    <row r="3368" spans="1:3" x14ac:dyDescent="0.3">
      <c r="A3368" s="3" t="s">
        <v>7532</v>
      </c>
      <c r="B3368" s="3">
        <v>5.4</v>
      </c>
      <c r="C3368" s="22" t="s">
        <v>9768</v>
      </c>
    </row>
    <row r="3369" spans="1:3" x14ac:dyDescent="0.3">
      <c r="A3369" s="4" t="s">
        <v>7534</v>
      </c>
      <c r="B3369" s="4">
        <v>6.5</v>
      </c>
      <c r="C3369" s="23" t="s">
        <v>9769</v>
      </c>
    </row>
    <row r="3370" spans="1:3" x14ac:dyDescent="0.3">
      <c r="A3370" s="3" t="s">
        <v>7536</v>
      </c>
      <c r="B3370" s="3">
        <v>4.2</v>
      </c>
      <c r="C3370" s="22" t="s">
        <v>9770</v>
      </c>
    </row>
    <row r="3371" spans="1:3" x14ac:dyDescent="0.3">
      <c r="A3371" s="4" t="s">
        <v>7538</v>
      </c>
      <c r="B3371" s="4">
        <v>7.4</v>
      </c>
      <c r="C3371" s="23" t="s">
        <v>8838</v>
      </c>
    </row>
    <row r="3372" spans="1:3" x14ac:dyDescent="0.3">
      <c r="A3372" s="3" t="s">
        <v>7540</v>
      </c>
      <c r="B3372" s="3">
        <v>6.9</v>
      </c>
      <c r="C3372" s="22" t="s">
        <v>8950</v>
      </c>
    </row>
    <row r="3373" spans="1:3" x14ac:dyDescent="0.3">
      <c r="A3373" s="4" t="s">
        <v>7542</v>
      </c>
      <c r="B3373" s="4">
        <v>6.7</v>
      </c>
      <c r="C3373" s="23" t="s">
        <v>9771</v>
      </c>
    </row>
    <row r="3374" spans="1:3" x14ac:dyDescent="0.3">
      <c r="A3374" s="3" t="s">
        <v>7544</v>
      </c>
      <c r="B3374" s="3">
        <v>7.3</v>
      </c>
      <c r="C3374" s="22" t="s">
        <v>9772</v>
      </c>
    </row>
    <row r="3375" spans="1:3" x14ac:dyDescent="0.3">
      <c r="A3375" s="4" t="s">
        <v>7546</v>
      </c>
      <c r="B3375" s="4">
        <v>7.6</v>
      </c>
      <c r="C3375" s="23" t="s">
        <v>8982</v>
      </c>
    </row>
    <row r="3376" spans="1:3" x14ac:dyDescent="0.3">
      <c r="A3376" s="3" t="s">
        <v>7548</v>
      </c>
      <c r="B3376" s="3">
        <v>5.4</v>
      </c>
      <c r="C3376" s="22" t="s">
        <v>9773</v>
      </c>
    </row>
    <row r="3377" spans="1:3" x14ac:dyDescent="0.3">
      <c r="A3377" s="4" t="s">
        <v>7550</v>
      </c>
      <c r="B3377" s="4">
        <v>7.3</v>
      </c>
      <c r="C3377" s="23" t="s">
        <v>9413</v>
      </c>
    </row>
    <row r="3378" spans="1:3" x14ac:dyDescent="0.3">
      <c r="A3378" s="3" t="s">
        <v>7552</v>
      </c>
      <c r="B3378" s="3">
        <v>6.4</v>
      </c>
      <c r="C3378" s="22" t="s">
        <v>9275</v>
      </c>
    </row>
    <row r="3379" spans="1:3" x14ac:dyDescent="0.3">
      <c r="A3379" s="4" t="s">
        <v>7554</v>
      </c>
      <c r="B3379" s="4">
        <v>6</v>
      </c>
      <c r="C3379" s="23" t="s">
        <v>9774</v>
      </c>
    </row>
    <row r="3380" spans="1:3" x14ac:dyDescent="0.3">
      <c r="A3380" s="3" t="s">
        <v>7557</v>
      </c>
      <c r="B3380" s="3">
        <v>7.2</v>
      </c>
      <c r="C3380" s="22" t="s">
        <v>9089</v>
      </c>
    </row>
    <row r="3381" spans="1:3" x14ac:dyDescent="0.3">
      <c r="A3381" s="4" t="s">
        <v>7559</v>
      </c>
      <c r="B3381" s="4">
        <v>6</v>
      </c>
      <c r="C3381" s="23" t="s">
        <v>9251</v>
      </c>
    </row>
    <row r="3382" spans="1:3" x14ac:dyDescent="0.3">
      <c r="A3382" s="3" t="s">
        <v>7561</v>
      </c>
      <c r="B3382" s="3">
        <v>3.1</v>
      </c>
      <c r="C3382" s="22" t="s">
        <v>9775</v>
      </c>
    </row>
    <row r="3383" spans="1:3" x14ac:dyDescent="0.3">
      <c r="A3383" s="4" t="s">
        <v>7563</v>
      </c>
      <c r="B3383" s="4">
        <v>6.9</v>
      </c>
      <c r="C3383" s="23" t="s">
        <v>9776</v>
      </c>
    </row>
    <row r="3384" spans="1:3" x14ac:dyDescent="0.3">
      <c r="A3384" s="3" t="s">
        <v>7565</v>
      </c>
      <c r="B3384" s="3">
        <v>6.2</v>
      </c>
      <c r="C3384" s="22" t="s">
        <v>9523</v>
      </c>
    </row>
    <row r="3385" spans="1:3" x14ac:dyDescent="0.3">
      <c r="A3385" s="4" t="s">
        <v>7567</v>
      </c>
      <c r="B3385" s="4">
        <v>5.5</v>
      </c>
      <c r="C3385" s="23" t="s">
        <v>8620</v>
      </c>
    </row>
    <row r="3386" spans="1:3" x14ac:dyDescent="0.3">
      <c r="A3386" s="3" t="s">
        <v>7569</v>
      </c>
      <c r="B3386" s="3">
        <v>6.9</v>
      </c>
      <c r="C3386" s="22" t="s">
        <v>9777</v>
      </c>
    </row>
    <row r="3387" spans="1:3" x14ac:dyDescent="0.3">
      <c r="A3387" s="4" t="s">
        <v>7571</v>
      </c>
      <c r="B3387" s="4">
        <v>6.3</v>
      </c>
      <c r="C3387" s="23" t="s">
        <v>9083</v>
      </c>
    </row>
    <row r="3388" spans="1:3" x14ac:dyDescent="0.3">
      <c r="A3388" s="3" t="s">
        <v>7574</v>
      </c>
      <c r="B3388" s="3">
        <v>4.8</v>
      </c>
      <c r="C3388" s="22" t="s">
        <v>9778</v>
      </c>
    </row>
    <row r="3389" spans="1:3" x14ac:dyDescent="0.3">
      <c r="A3389" s="4" t="s">
        <v>7576</v>
      </c>
      <c r="B3389" s="4">
        <v>7.9</v>
      </c>
      <c r="C3389" s="23" t="s">
        <v>9014</v>
      </c>
    </row>
    <row r="3390" spans="1:3" x14ac:dyDescent="0.3">
      <c r="A3390" s="3" t="s">
        <v>7578</v>
      </c>
      <c r="B3390" s="3">
        <v>6.7</v>
      </c>
      <c r="C3390" s="22" t="s">
        <v>9779</v>
      </c>
    </row>
    <row r="3391" spans="1:3" x14ac:dyDescent="0.3">
      <c r="A3391" s="4" t="s">
        <v>7580</v>
      </c>
      <c r="B3391" s="4">
        <v>5.6</v>
      </c>
      <c r="C3391" s="23" t="s">
        <v>9780</v>
      </c>
    </row>
    <row r="3392" spans="1:3" x14ac:dyDescent="0.3">
      <c r="A3392" s="3" t="s">
        <v>7582</v>
      </c>
      <c r="B3392" s="3">
        <v>5.4</v>
      </c>
      <c r="C3392" s="22" t="s">
        <v>9781</v>
      </c>
    </row>
    <row r="3393" spans="1:3" x14ac:dyDescent="0.3">
      <c r="A3393" s="4" t="s">
        <v>7584</v>
      </c>
      <c r="B3393" s="4">
        <v>8</v>
      </c>
      <c r="C3393" s="23" t="s">
        <v>9782</v>
      </c>
    </row>
    <row r="3394" spans="1:3" x14ac:dyDescent="0.3">
      <c r="A3394" s="3" t="s">
        <v>7586</v>
      </c>
      <c r="B3394" s="3">
        <v>5.7</v>
      </c>
      <c r="C3394" s="22" t="s">
        <v>8552</v>
      </c>
    </row>
    <row r="3395" spans="1:3" x14ac:dyDescent="0.3">
      <c r="A3395" s="4" t="s">
        <v>7589</v>
      </c>
      <c r="B3395" s="4">
        <v>7.6</v>
      </c>
      <c r="C3395" s="23" t="s">
        <v>9783</v>
      </c>
    </row>
    <row r="3396" spans="1:3" x14ac:dyDescent="0.3">
      <c r="A3396" s="3" t="s">
        <v>7591</v>
      </c>
      <c r="B3396" s="3">
        <v>7</v>
      </c>
      <c r="C3396" s="22" t="s">
        <v>9392</v>
      </c>
    </row>
    <row r="3397" spans="1:3" x14ac:dyDescent="0.3">
      <c r="A3397" s="4" t="s">
        <v>7593</v>
      </c>
      <c r="B3397" s="4">
        <v>7.2</v>
      </c>
      <c r="C3397" s="23" t="s">
        <v>9784</v>
      </c>
    </row>
    <row r="3398" spans="1:3" x14ac:dyDescent="0.3">
      <c r="A3398" s="3" t="s">
        <v>7595</v>
      </c>
      <c r="B3398" s="3">
        <v>6.2</v>
      </c>
      <c r="C3398" s="22" t="s">
        <v>8300</v>
      </c>
    </row>
    <row r="3399" spans="1:3" x14ac:dyDescent="0.3">
      <c r="A3399" s="4" t="s">
        <v>7597</v>
      </c>
      <c r="B3399" s="4">
        <v>3.5</v>
      </c>
      <c r="C3399" s="23" t="s">
        <v>9785</v>
      </c>
    </row>
    <row r="3400" spans="1:3" x14ac:dyDescent="0.3">
      <c r="A3400" s="3" t="s">
        <v>7599</v>
      </c>
      <c r="B3400" s="3">
        <v>7.5</v>
      </c>
      <c r="C3400" s="22" t="s">
        <v>8982</v>
      </c>
    </row>
    <row r="3401" spans="1:3" x14ac:dyDescent="0.3">
      <c r="A3401" s="4" t="s">
        <v>7602</v>
      </c>
      <c r="B3401" s="4">
        <v>5.0999999999999996</v>
      </c>
      <c r="C3401" s="23" t="s">
        <v>9786</v>
      </c>
    </row>
    <row r="3402" spans="1:3" x14ac:dyDescent="0.3">
      <c r="A3402" s="3" t="s">
        <v>7605</v>
      </c>
      <c r="B3402" s="3">
        <v>6.7</v>
      </c>
      <c r="C3402" s="22" t="s">
        <v>9787</v>
      </c>
    </row>
    <row r="3403" spans="1:3" x14ac:dyDescent="0.3">
      <c r="A3403" s="4" t="s">
        <v>7608</v>
      </c>
      <c r="B3403" s="4">
        <v>9.1999999999999993</v>
      </c>
      <c r="C3403" s="23" t="s">
        <v>8713</v>
      </c>
    </row>
    <row r="3404" spans="1:3" x14ac:dyDescent="0.3">
      <c r="A3404" s="3" t="s">
        <v>7610</v>
      </c>
      <c r="B3404" s="3">
        <v>6.1</v>
      </c>
      <c r="C3404" s="22" t="s">
        <v>8744</v>
      </c>
    </row>
    <row r="3405" spans="1:3" x14ac:dyDescent="0.3">
      <c r="A3405" s="4" t="s">
        <v>7613</v>
      </c>
      <c r="B3405" s="4">
        <v>7.7</v>
      </c>
      <c r="C3405" s="23" t="s">
        <v>8311</v>
      </c>
    </row>
    <row r="3406" spans="1:3" x14ac:dyDescent="0.3">
      <c r="A3406" s="3" t="s">
        <v>7616</v>
      </c>
      <c r="B3406" s="3">
        <v>7.6</v>
      </c>
      <c r="C3406" s="22" t="s">
        <v>9544</v>
      </c>
    </row>
    <row r="3407" spans="1:3" x14ac:dyDescent="0.3">
      <c r="A3407" s="4" t="s">
        <v>7618</v>
      </c>
      <c r="B3407" s="4">
        <v>6.1</v>
      </c>
      <c r="C3407" s="23" t="s">
        <v>8444</v>
      </c>
    </row>
    <row r="3408" spans="1:3" x14ac:dyDescent="0.3">
      <c r="A3408" s="3" t="s">
        <v>7620</v>
      </c>
      <c r="B3408" s="3">
        <v>4.9000000000000004</v>
      </c>
      <c r="C3408" s="22" t="s">
        <v>8382</v>
      </c>
    </row>
    <row r="3409" spans="1:3" x14ac:dyDescent="0.3">
      <c r="A3409" s="4" t="s">
        <v>7623</v>
      </c>
      <c r="B3409" s="4">
        <v>6.8</v>
      </c>
      <c r="C3409" s="23" t="s">
        <v>9787</v>
      </c>
    </row>
    <row r="3410" spans="1:3" x14ac:dyDescent="0.3">
      <c r="A3410" s="3" t="s">
        <v>7625</v>
      </c>
      <c r="B3410" s="3">
        <v>7</v>
      </c>
      <c r="C3410" s="22" t="s">
        <v>8645</v>
      </c>
    </row>
    <row r="3411" spans="1:3" x14ac:dyDescent="0.3">
      <c r="A3411" s="4" t="s">
        <v>7627</v>
      </c>
      <c r="B3411" s="4">
        <v>7.2</v>
      </c>
      <c r="C3411" s="23" t="s">
        <v>9788</v>
      </c>
    </row>
    <row r="3412" spans="1:3" x14ac:dyDescent="0.3">
      <c r="A3412" s="3" t="s">
        <v>7629</v>
      </c>
      <c r="B3412" s="3">
        <v>5.7</v>
      </c>
      <c r="C3412" s="22" t="s">
        <v>9609</v>
      </c>
    </row>
    <row r="3413" spans="1:3" x14ac:dyDescent="0.3">
      <c r="A3413" s="4" t="s">
        <v>7631</v>
      </c>
      <c r="B3413" s="4">
        <v>7.3</v>
      </c>
      <c r="C3413" s="23" t="s">
        <v>8329</v>
      </c>
    </row>
    <row r="3414" spans="1:3" x14ac:dyDescent="0.3">
      <c r="A3414" s="3" t="s">
        <v>7633</v>
      </c>
      <c r="B3414" s="3">
        <v>7.5</v>
      </c>
      <c r="C3414" s="22" t="s">
        <v>8592</v>
      </c>
    </row>
    <row r="3415" spans="1:3" x14ac:dyDescent="0.3">
      <c r="A3415" s="4" t="s">
        <v>7635</v>
      </c>
      <c r="B3415" s="4">
        <v>7.4</v>
      </c>
      <c r="C3415" s="23" t="s">
        <v>8736</v>
      </c>
    </row>
    <row r="3416" spans="1:3" x14ac:dyDescent="0.3">
      <c r="A3416" s="3" t="s">
        <v>7638</v>
      </c>
      <c r="B3416" s="3">
        <v>7.2</v>
      </c>
      <c r="C3416" s="22" t="s">
        <v>8716</v>
      </c>
    </row>
    <row r="3417" spans="1:3" x14ac:dyDescent="0.3">
      <c r="A3417" s="4" t="s">
        <v>7641</v>
      </c>
      <c r="B3417" s="4">
        <v>6.5</v>
      </c>
      <c r="C3417" s="23" t="s">
        <v>9083</v>
      </c>
    </row>
    <row r="3418" spans="1:3" x14ac:dyDescent="0.3">
      <c r="A3418" s="3" t="s">
        <v>7643</v>
      </c>
      <c r="B3418" s="3">
        <v>6.8</v>
      </c>
      <c r="C3418" s="22" t="s">
        <v>9789</v>
      </c>
    </row>
    <row r="3419" spans="1:3" x14ac:dyDescent="0.3">
      <c r="A3419" s="4" t="s">
        <v>7645</v>
      </c>
      <c r="B3419" s="4">
        <v>6.8</v>
      </c>
      <c r="C3419" s="23" t="s">
        <v>9787</v>
      </c>
    </row>
    <row r="3420" spans="1:3" x14ac:dyDescent="0.3">
      <c r="A3420" s="3" t="s">
        <v>7647</v>
      </c>
      <c r="B3420" s="3">
        <v>5.2</v>
      </c>
      <c r="C3420" s="22" t="s">
        <v>9129</v>
      </c>
    </row>
    <row r="3421" spans="1:3" x14ac:dyDescent="0.3">
      <c r="A3421" s="4" t="s">
        <v>7650</v>
      </c>
      <c r="B3421" s="4">
        <v>7.2</v>
      </c>
      <c r="C3421" s="23" t="s">
        <v>8961</v>
      </c>
    </row>
    <row r="3422" spans="1:3" x14ac:dyDescent="0.3">
      <c r="A3422" s="3" t="s">
        <v>7652</v>
      </c>
      <c r="B3422" s="3">
        <v>7.5</v>
      </c>
      <c r="C3422" s="22" t="s">
        <v>9790</v>
      </c>
    </row>
    <row r="3423" spans="1:3" x14ac:dyDescent="0.3">
      <c r="A3423" s="4" t="s">
        <v>7654</v>
      </c>
      <c r="B3423" s="4">
        <v>4</v>
      </c>
      <c r="C3423" s="23" t="s">
        <v>9791</v>
      </c>
    </row>
    <row r="3424" spans="1:3" x14ac:dyDescent="0.3">
      <c r="A3424" s="3" t="s">
        <v>7656</v>
      </c>
      <c r="B3424" s="3">
        <v>6.8</v>
      </c>
      <c r="C3424" s="22" t="s">
        <v>8656</v>
      </c>
    </row>
    <row r="3425" spans="1:3" x14ac:dyDescent="0.3">
      <c r="A3425" s="4" t="s">
        <v>7658</v>
      </c>
      <c r="B3425" s="4">
        <v>6.9</v>
      </c>
      <c r="C3425" s="23" t="s">
        <v>9388</v>
      </c>
    </row>
    <row r="3426" spans="1:3" x14ac:dyDescent="0.3">
      <c r="A3426" s="3" t="s">
        <v>7660</v>
      </c>
      <c r="B3426" s="3">
        <v>7.3</v>
      </c>
      <c r="C3426" s="22" t="s">
        <v>9464</v>
      </c>
    </row>
    <row r="3427" spans="1:3" x14ac:dyDescent="0.3">
      <c r="A3427" s="4" t="s">
        <v>7662</v>
      </c>
      <c r="B3427" s="4">
        <v>6.1</v>
      </c>
      <c r="C3427" s="23" t="s">
        <v>8924</v>
      </c>
    </row>
    <row r="3428" spans="1:3" x14ac:dyDescent="0.3">
      <c r="A3428" s="3" t="s">
        <v>7665</v>
      </c>
      <c r="B3428" s="3">
        <v>7.8</v>
      </c>
      <c r="C3428" s="22" t="s">
        <v>8296</v>
      </c>
    </row>
    <row r="3429" spans="1:3" x14ac:dyDescent="0.3">
      <c r="A3429" s="4" t="s">
        <v>7667</v>
      </c>
      <c r="B3429" s="4">
        <v>6</v>
      </c>
      <c r="C3429" s="23" t="s">
        <v>9388</v>
      </c>
    </row>
    <row r="3430" spans="1:3" x14ac:dyDescent="0.3">
      <c r="A3430" s="3" t="s">
        <v>7669</v>
      </c>
      <c r="B3430" s="3">
        <v>4.0999999999999996</v>
      </c>
      <c r="C3430" s="22" t="s">
        <v>9792</v>
      </c>
    </row>
    <row r="3431" spans="1:3" x14ac:dyDescent="0.3">
      <c r="A3431" s="4" t="s">
        <v>7671</v>
      </c>
      <c r="B3431" s="4">
        <v>7</v>
      </c>
      <c r="C3431" s="23" t="s">
        <v>8900</v>
      </c>
    </row>
    <row r="3432" spans="1:3" x14ac:dyDescent="0.3">
      <c r="A3432" s="3" t="s">
        <v>7673</v>
      </c>
      <c r="B3432" s="3">
        <v>7.1</v>
      </c>
      <c r="C3432" s="22" t="s">
        <v>9793</v>
      </c>
    </row>
    <row r="3433" spans="1:3" x14ac:dyDescent="0.3">
      <c r="A3433" s="4" t="s">
        <v>7675</v>
      </c>
      <c r="B3433" s="4">
        <v>6.2</v>
      </c>
      <c r="C3433" s="23" t="s">
        <v>8894</v>
      </c>
    </row>
    <row r="3434" spans="1:3" x14ac:dyDescent="0.3">
      <c r="A3434" s="3" t="s">
        <v>7677</v>
      </c>
      <c r="B3434" s="3">
        <v>6.9</v>
      </c>
      <c r="C3434" s="22" t="s">
        <v>9395</v>
      </c>
    </row>
    <row r="3435" spans="1:3" x14ac:dyDescent="0.3">
      <c r="A3435" s="4" t="s">
        <v>7679</v>
      </c>
      <c r="B3435" s="4">
        <v>7.6</v>
      </c>
      <c r="C3435" s="23" t="s">
        <v>9794</v>
      </c>
    </row>
    <row r="3436" spans="1:3" x14ac:dyDescent="0.3">
      <c r="A3436" s="3" t="s">
        <v>7681</v>
      </c>
      <c r="B3436" s="3">
        <v>7.6</v>
      </c>
      <c r="C3436" s="22" t="s">
        <v>8342</v>
      </c>
    </row>
    <row r="3437" spans="1:3" x14ac:dyDescent="0.3">
      <c r="A3437" s="4" t="s">
        <v>7683</v>
      </c>
      <c r="B3437" s="4">
        <v>6.4</v>
      </c>
      <c r="C3437" s="23" t="s">
        <v>9756</v>
      </c>
    </row>
    <row r="3438" spans="1:3" x14ac:dyDescent="0.3">
      <c r="A3438" s="3" t="s">
        <v>7685</v>
      </c>
      <c r="B3438" s="3">
        <v>6.2</v>
      </c>
      <c r="C3438" s="22" t="s">
        <v>9674</v>
      </c>
    </row>
    <row r="3439" spans="1:3" x14ac:dyDescent="0.3">
      <c r="A3439" s="4" t="s">
        <v>7687</v>
      </c>
      <c r="B3439" s="4">
        <v>7.5</v>
      </c>
      <c r="C3439" s="23" t="s">
        <v>8413</v>
      </c>
    </row>
    <row r="3440" spans="1:3" x14ac:dyDescent="0.3">
      <c r="A3440" s="3" t="s">
        <v>7689</v>
      </c>
      <c r="B3440" s="3">
        <v>2</v>
      </c>
      <c r="C3440" s="22" t="s">
        <v>9115</v>
      </c>
    </row>
    <row r="3441" spans="1:3" x14ac:dyDescent="0.3">
      <c r="A3441" s="4" t="s">
        <v>7691</v>
      </c>
      <c r="B3441" s="4">
        <v>6.2</v>
      </c>
      <c r="C3441" s="23" t="s">
        <v>9795</v>
      </c>
    </row>
    <row r="3442" spans="1:3" x14ac:dyDescent="0.3">
      <c r="A3442" s="3" t="s">
        <v>7693</v>
      </c>
      <c r="B3442" s="3">
        <v>6.5</v>
      </c>
      <c r="C3442" s="22" t="s">
        <v>9796</v>
      </c>
    </row>
    <row r="3443" spans="1:3" x14ac:dyDescent="0.3">
      <c r="A3443" s="4" t="s">
        <v>7695</v>
      </c>
      <c r="B3443" s="4">
        <v>7.9</v>
      </c>
      <c r="C3443" s="23" t="s">
        <v>9689</v>
      </c>
    </row>
    <row r="3444" spans="1:3" x14ac:dyDescent="0.3">
      <c r="A3444" s="3" t="s">
        <v>7697</v>
      </c>
      <c r="B3444" s="3">
        <v>6.8</v>
      </c>
      <c r="C3444" s="22" t="s">
        <v>8479</v>
      </c>
    </row>
    <row r="3445" spans="1:3" x14ac:dyDescent="0.3">
      <c r="A3445" s="4" t="s">
        <v>7699</v>
      </c>
      <c r="B3445" s="4">
        <v>6.3</v>
      </c>
      <c r="C3445" s="23" t="s">
        <v>9635</v>
      </c>
    </row>
    <row r="3446" spans="1:3" x14ac:dyDescent="0.3">
      <c r="A3446" s="3" t="s">
        <v>7701</v>
      </c>
      <c r="B3446" s="3">
        <v>6.3</v>
      </c>
      <c r="C3446" s="22" t="s">
        <v>9797</v>
      </c>
    </row>
    <row r="3447" spans="1:3" x14ac:dyDescent="0.3">
      <c r="A3447" s="4" t="s">
        <v>7703</v>
      </c>
      <c r="B3447" s="4">
        <v>6.6</v>
      </c>
      <c r="C3447" s="23" t="s">
        <v>9511</v>
      </c>
    </row>
    <row r="3448" spans="1:3" x14ac:dyDescent="0.3">
      <c r="A3448" s="3" t="s">
        <v>7705</v>
      </c>
      <c r="B3448" s="3">
        <v>6.4</v>
      </c>
      <c r="C3448" s="22" t="s">
        <v>9517</v>
      </c>
    </row>
    <row r="3449" spans="1:3" x14ac:dyDescent="0.3">
      <c r="A3449" s="4" t="s">
        <v>7707</v>
      </c>
      <c r="B3449" s="4">
        <v>7.5</v>
      </c>
      <c r="C3449" s="23" t="s">
        <v>9798</v>
      </c>
    </row>
    <row r="3450" spans="1:3" x14ac:dyDescent="0.3">
      <c r="A3450" s="3" t="s">
        <v>7709</v>
      </c>
      <c r="B3450" s="3">
        <v>5.8</v>
      </c>
      <c r="C3450" s="22" t="s">
        <v>9799</v>
      </c>
    </row>
    <row r="3451" spans="1:3" x14ac:dyDescent="0.3">
      <c r="A3451" s="4" t="s">
        <v>7711</v>
      </c>
      <c r="B3451" s="4">
        <v>6.5</v>
      </c>
      <c r="C3451" s="23" t="s">
        <v>9800</v>
      </c>
    </row>
    <row r="3452" spans="1:3" x14ac:dyDescent="0.3">
      <c r="A3452" s="3" t="s">
        <v>7713</v>
      </c>
      <c r="B3452" s="3">
        <v>4.8</v>
      </c>
      <c r="C3452" s="22" t="s">
        <v>8717</v>
      </c>
    </row>
    <row r="3453" spans="1:3" x14ac:dyDescent="0.3">
      <c r="A3453" s="4" t="s">
        <v>7715</v>
      </c>
      <c r="B3453" s="4">
        <v>7.2</v>
      </c>
      <c r="C3453" s="23" t="s">
        <v>9779</v>
      </c>
    </row>
    <row r="3454" spans="1:3" x14ac:dyDescent="0.3">
      <c r="A3454" s="3" t="s">
        <v>7717</v>
      </c>
      <c r="B3454" s="3">
        <v>6.3</v>
      </c>
      <c r="C3454" s="22" t="s">
        <v>9801</v>
      </c>
    </row>
    <row r="3455" spans="1:3" x14ac:dyDescent="0.3">
      <c r="A3455" s="4" t="s">
        <v>7719</v>
      </c>
      <c r="B3455" s="4">
        <v>7</v>
      </c>
      <c r="C3455" s="23" t="s">
        <v>8876</v>
      </c>
    </row>
    <row r="3456" spans="1:3" x14ac:dyDescent="0.3">
      <c r="A3456" s="3" t="s">
        <v>7721</v>
      </c>
      <c r="B3456" s="3">
        <v>6.3</v>
      </c>
      <c r="C3456" s="22" t="s">
        <v>8864</v>
      </c>
    </row>
    <row r="3457" spans="1:3" x14ac:dyDescent="0.3">
      <c r="A3457" s="4" t="s">
        <v>7723</v>
      </c>
      <c r="B3457" s="4">
        <v>5.3</v>
      </c>
      <c r="C3457" s="23" t="s">
        <v>9802</v>
      </c>
    </row>
    <row r="3458" spans="1:3" x14ac:dyDescent="0.3">
      <c r="A3458" s="3" t="s">
        <v>7725</v>
      </c>
      <c r="B3458" s="3">
        <v>2.2999999999999998</v>
      </c>
      <c r="C3458" s="22" t="s">
        <v>9803</v>
      </c>
    </row>
    <row r="3459" spans="1:3" x14ac:dyDescent="0.3">
      <c r="A3459" s="4" t="s">
        <v>7727</v>
      </c>
      <c r="B3459" s="4">
        <v>7.1</v>
      </c>
      <c r="C3459" s="23" t="s">
        <v>9804</v>
      </c>
    </row>
    <row r="3460" spans="1:3" x14ac:dyDescent="0.3">
      <c r="A3460" s="3" t="s">
        <v>7729</v>
      </c>
      <c r="B3460" s="3">
        <v>6.2</v>
      </c>
      <c r="C3460" s="22" t="s">
        <v>8879</v>
      </c>
    </row>
    <row r="3461" spans="1:3" x14ac:dyDescent="0.3">
      <c r="A3461" s="4" t="s">
        <v>7731</v>
      </c>
      <c r="B3461" s="4">
        <v>6.2</v>
      </c>
      <c r="C3461" s="23" t="s">
        <v>8818</v>
      </c>
    </row>
    <row r="3462" spans="1:3" x14ac:dyDescent="0.3">
      <c r="A3462" s="3" t="s">
        <v>7733</v>
      </c>
      <c r="B3462" s="3">
        <v>6.7</v>
      </c>
      <c r="C3462" s="22" t="s">
        <v>9805</v>
      </c>
    </row>
    <row r="3463" spans="1:3" x14ac:dyDescent="0.3">
      <c r="A3463" s="4" t="s">
        <v>7735</v>
      </c>
      <c r="B3463" s="4">
        <v>6.5</v>
      </c>
      <c r="C3463" s="23" t="s">
        <v>9604</v>
      </c>
    </row>
    <row r="3464" spans="1:3" x14ac:dyDescent="0.3">
      <c r="A3464" s="3" t="s">
        <v>7737</v>
      </c>
      <c r="B3464" s="3">
        <v>5.9</v>
      </c>
      <c r="C3464" s="22" t="s">
        <v>9806</v>
      </c>
    </row>
    <row r="3465" spans="1:3" x14ac:dyDescent="0.3">
      <c r="A3465" s="4" t="s">
        <v>7740</v>
      </c>
      <c r="B3465" s="4">
        <v>6.7</v>
      </c>
      <c r="C3465" s="23" t="s">
        <v>9807</v>
      </c>
    </row>
    <row r="3466" spans="1:3" x14ac:dyDescent="0.3">
      <c r="A3466" s="3" t="s">
        <v>7742</v>
      </c>
      <c r="B3466" s="3">
        <v>6</v>
      </c>
      <c r="C3466" s="22" t="s">
        <v>9808</v>
      </c>
    </row>
    <row r="3467" spans="1:3" x14ac:dyDescent="0.3">
      <c r="A3467" s="4" t="s">
        <v>7744</v>
      </c>
      <c r="B3467" s="4">
        <v>6.9</v>
      </c>
      <c r="C3467" s="23" t="s">
        <v>9809</v>
      </c>
    </row>
    <row r="3468" spans="1:3" x14ac:dyDescent="0.3">
      <c r="A3468" s="3" t="s">
        <v>7746</v>
      </c>
      <c r="B3468" s="3">
        <v>7.9</v>
      </c>
      <c r="C3468" s="22" t="s">
        <v>9744</v>
      </c>
    </row>
    <row r="3469" spans="1:3" x14ac:dyDescent="0.3">
      <c r="A3469" s="4" t="s">
        <v>7748</v>
      </c>
      <c r="B3469" s="4">
        <v>5.3</v>
      </c>
      <c r="C3469" s="23" t="s">
        <v>9810</v>
      </c>
    </row>
    <row r="3470" spans="1:3" x14ac:dyDescent="0.3">
      <c r="A3470" s="3" t="s">
        <v>7751</v>
      </c>
      <c r="B3470" s="3">
        <v>4.8</v>
      </c>
      <c r="C3470" s="22" t="s">
        <v>8713</v>
      </c>
    </row>
    <row r="3471" spans="1:3" x14ac:dyDescent="0.3">
      <c r="A3471" s="4" t="s">
        <v>7753</v>
      </c>
      <c r="B3471" s="4">
        <v>5.3</v>
      </c>
      <c r="C3471" s="23" t="s">
        <v>9811</v>
      </c>
    </row>
    <row r="3472" spans="1:3" x14ac:dyDescent="0.3">
      <c r="A3472" s="3" t="s">
        <v>7755</v>
      </c>
      <c r="B3472" s="3">
        <v>6</v>
      </c>
      <c r="C3472" s="22" t="s">
        <v>9812</v>
      </c>
    </row>
    <row r="3473" spans="1:3" x14ac:dyDescent="0.3">
      <c r="A3473" s="4" t="s">
        <v>7757</v>
      </c>
      <c r="B3473" s="4">
        <v>7.3</v>
      </c>
      <c r="C3473" s="23" t="s">
        <v>8619</v>
      </c>
    </row>
    <row r="3474" spans="1:3" x14ac:dyDescent="0.3">
      <c r="A3474" s="3" t="s">
        <v>7759</v>
      </c>
      <c r="B3474" s="3">
        <v>7.4</v>
      </c>
      <c r="C3474" s="22" t="s">
        <v>9813</v>
      </c>
    </row>
    <row r="3475" spans="1:3" x14ac:dyDescent="0.3">
      <c r="A3475" s="4" t="s">
        <v>7761</v>
      </c>
      <c r="B3475" s="4">
        <v>7.7</v>
      </c>
      <c r="C3475" s="23" t="s">
        <v>9069</v>
      </c>
    </row>
    <row r="3476" spans="1:3" x14ac:dyDescent="0.3">
      <c r="A3476" s="3" t="s">
        <v>7763</v>
      </c>
      <c r="B3476" s="3">
        <v>4.8</v>
      </c>
      <c r="C3476" s="22" t="s">
        <v>8646</v>
      </c>
    </row>
    <row r="3477" spans="1:3" x14ac:dyDescent="0.3">
      <c r="A3477" s="4" t="s">
        <v>7765</v>
      </c>
      <c r="B3477" s="4">
        <v>7.2</v>
      </c>
      <c r="C3477" s="23" t="s">
        <v>9814</v>
      </c>
    </row>
    <row r="3478" spans="1:3" x14ac:dyDescent="0.3">
      <c r="A3478" s="3" t="s">
        <v>7767</v>
      </c>
      <c r="B3478" s="3">
        <v>5.8</v>
      </c>
      <c r="C3478" s="22" t="s">
        <v>9815</v>
      </c>
    </row>
    <row r="3479" spans="1:3" x14ac:dyDescent="0.3">
      <c r="A3479" s="4" t="s">
        <v>7769</v>
      </c>
      <c r="B3479" s="4">
        <v>7.3</v>
      </c>
      <c r="C3479" s="23" t="s">
        <v>9816</v>
      </c>
    </row>
    <row r="3480" spans="1:3" x14ac:dyDescent="0.3">
      <c r="A3480" s="3" t="s">
        <v>7771</v>
      </c>
      <c r="B3480" s="3">
        <v>7</v>
      </c>
      <c r="C3480" s="22" t="s">
        <v>9817</v>
      </c>
    </row>
    <row r="3481" spans="1:3" x14ac:dyDescent="0.3">
      <c r="A3481" s="4" t="s">
        <v>7773</v>
      </c>
      <c r="B3481" s="4">
        <v>6.4</v>
      </c>
      <c r="C3481" s="23" t="s">
        <v>9818</v>
      </c>
    </row>
    <row r="3482" spans="1:3" x14ac:dyDescent="0.3">
      <c r="A3482" s="3" t="s">
        <v>7775</v>
      </c>
      <c r="B3482" s="3">
        <v>5.6</v>
      </c>
      <c r="C3482" s="22" t="s">
        <v>9819</v>
      </c>
    </row>
    <row r="3483" spans="1:3" x14ac:dyDescent="0.3">
      <c r="A3483" s="4" t="s">
        <v>7777</v>
      </c>
      <c r="B3483" s="4">
        <v>8.1999999999999993</v>
      </c>
      <c r="C3483" s="23" t="s">
        <v>8789</v>
      </c>
    </row>
    <row r="3484" spans="1:3" x14ac:dyDescent="0.3">
      <c r="A3484" s="3" t="s">
        <v>7779</v>
      </c>
      <c r="B3484" s="3">
        <v>6.5</v>
      </c>
      <c r="C3484" s="22" t="s">
        <v>8696</v>
      </c>
    </row>
    <row r="3485" spans="1:3" x14ac:dyDescent="0.3">
      <c r="A3485" s="4" t="s">
        <v>7781</v>
      </c>
      <c r="B3485" s="4">
        <v>6.4</v>
      </c>
      <c r="C3485" s="23" t="s">
        <v>9820</v>
      </c>
    </row>
    <row r="3486" spans="1:3" x14ac:dyDescent="0.3">
      <c r="A3486" s="3" t="s">
        <v>7783</v>
      </c>
      <c r="B3486" s="3">
        <v>8.1</v>
      </c>
      <c r="C3486" s="22" t="s">
        <v>8432</v>
      </c>
    </row>
    <row r="3487" spans="1:3" x14ac:dyDescent="0.3">
      <c r="A3487" s="4" t="s">
        <v>7785</v>
      </c>
      <c r="B3487" s="4">
        <v>5.4</v>
      </c>
      <c r="C3487" s="23" t="s">
        <v>9000</v>
      </c>
    </row>
    <row r="3488" spans="1:3" x14ac:dyDescent="0.3">
      <c r="A3488" s="3" t="s">
        <v>7787</v>
      </c>
      <c r="B3488" s="3">
        <v>6.3</v>
      </c>
      <c r="C3488" s="22" t="s">
        <v>9821</v>
      </c>
    </row>
    <row r="3489" spans="1:3" x14ac:dyDescent="0.3">
      <c r="A3489" s="4" t="s">
        <v>7789</v>
      </c>
      <c r="B3489" s="4">
        <v>7.8</v>
      </c>
      <c r="C3489" s="23" t="s">
        <v>8558</v>
      </c>
    </row>
    <row r="3490" spans="1:3" x14ac:dyDescent="0.3">
      <c r="A3490" s="3" t="s">
        <v>7791</v>
      </c>
      <c r="B3490" s="3">
        <v>6.8</v>
      </c>
      <c r="C3490" s="22" t="s">
        <v>9822</v>
      </c>
    </row>
    <row r="3491" spans="1:3" x14ac:dyDescent="0.3">
      <c r="A3491" s="4" t="s">
        <v>7793</v>
      </c>
      <c r="B3491" s="4">
        <v>7.2</v>
      </c>
      <c r="C3491" s="23" t="s">
        <v>9823</v>
      </c>
    </row>
    <row r="3492" spans="1:3" x14ac:dyDescent="0.3">
      <c r="A3492" s="3" t="s">
        <v>7796</v>
      </c>
      <c r="B3492" s="3">
        <v>7.1</v>
      </c>
      <c r="C3492" s="22" t="s">
        <v>8502</v>
      </c>
    </row>
    <row r="3493" spans="1:3" x14ac:dyDescent="0.3">
      <c r="A3493" s="4" t="s">
        <v>7798</v>
      </c>
      <c r="B3493" s="4">
        <v>6.2</v>
      </c>
      <c r="C3493" s="23" t="s">
        <v>8348</v>
      </c>
    </row>
    <row r="3494" spans="1:3" x14ac:dyDescent="0.3">
      <c r="A3494" s="3" t="s">
        <v>7800</v>
      </c>
      <c r="B3494" s="3">
        <v>7.3</v>
      </c>
      <c r="C3494" s="22" t="s">
        <v>8346</v>
      </c>
    </row>
    <row r="3495" spans="1:3" x14ac:dyDescent="0.3">
      <c r="A3495" s="4" t="s">
        <v>7802</v>
      </c>
      <c r="B3495" s="4">
        <v>5.9</v>
      </c>
      <c r="C3495" s="23" t="s">
        <v>9745</v>
      </c>
    </row>
    <row r="3496" spans="1:3" x14ac:dyDescent="0.3">
      <c r="A3496" s="3" t="s">
        <v>7805</v>
      </c>
      <c r="B3496" s="3">
        <v>7.2</v>
      </c>
      <c r="C3496" s="22" t="s">
        <v>8911</v>
      </c>
    </row>
    <row r="3497" spans="1:3" x14ac:dyDescent="0.3">
      <c r="A3497" s="4" t="s">
        <v>7807</v>
      </c>
      <c r="B3497" s="4">
        <v>3.6</v>
      </c>
      <c r="C3497" s="23" t="s">
        <v>9824</v>
      </c>
    </row>
    <row r="3498" spans="1:3" x14ac:dyDescent="0.3">
      <c r="A3498" s="3" t="s">
        <v>7809</v>
      </c>
      <c r="B3498" s="3">
        <v>7.7</v>
      </c>
      <c r="C3498" s="22" t="s">
        <v>9825</v>
      </c>
    </row>
    <row r="3499" spans="1:3" x14ac:dyDescent="0.3">
      <c r="A3499" s="4" t="s">
        <v>7813</v>
      </c>
      <c r="B3499" s="4">
        <v>7.3</v>
      </c>
      <c r="C3499" s="23" t="s">
        <v>9194</v>
      </c>
    </row>
    <row r="3500" spans="1:3" x14ac:dyDescent="0.3">
      <c r="A3500" s="3" t="s">
        <v>7815</v>
      </c>
      <c r="B3500" s="3">
        <v>7.4</v>
      </c>
      <c r="C3500" s="22" t="s">
        <v>8363</v>
      </c>
    </row>
    <row r="3501" spans="1:3" x14ac:dyDescent="0.3">
      <c r="A3501" s="4" t="s">
        <v>7817</v>
      </c>
      <c r="B3501" s="4">
        <v>6.6</v>
      </c>
      <c r="C3501" s="23" t="s">
        <v>9826</v>
      </c>
    </row>
    <row r="3502" spans="1:3" x14ac:dyDescent="0.3">
      <c r="A3502" s="3" t="s">
        <v>7819</v>
      </c>
      <c r="B3502" s="3">
        <v>6.9</v>
      </c>
      <c r="C3502" s="22" t="s">
        <v>9827</v>
      </c>
    </row>
    <row r="3503" spans="1:3" x14ac:dyDescent="0.3">
      <c r="A3503" s="4" t="s">
        <v>7821</v>
      </c>
      <c r="B3503" s="4">
        <v>6.8</v>
      </c>
      <c r="C3503" s="23" t="s">
        <v>9399</v>
      </c>
    </row>
    <row r="3504" spans="1:3" x14ac:dyDescent="0.3">
      <c r="A3504" s="3" t="s">
        <v>7823</v>
      </c>
      <c r="B3504" s="3">
        <v>7.3</v>
      </c>
      <c r="C3504" s="22" t="s">
        <v>9828</v>
      </c>
    </row>
    <row r="3505" spans="1:3" x14ac:dyDescent="0.3">
      <c r="A3505" s="4" t="s">
        <v>7825</v>
      </c>
      <c r="B3505" s="4">
        <v>7.2</v>
      </c>
      <c r="C3505" s="23" t="s">
        <v>9829</v>
      </c>
    </row>
    <row r="3506" spans="1:3" x14ac:dyDescent="0.3">
      <c r="A3506" s="3" t="s">
        <v>7827</v>
      </c>
      <c r="B3506" s="3">
        <v>6.5</v>
      </c>
      <c r="C3506" s="22" t="s">
        <v>9830</v>
      </c>
    </row>
    <row r="3507" spans="1:3" x14ac:dyDescent="0.3">
      <c r="A3507" s="4" t="s">
        <v>7829</v>
      </c>
      <c r="B3507" s="4">
        <v>7.7</v>
      </c>
      <c r="C3507" s="23" t="s">
        <v>9206</v>
      </c>
    </row>
    <row r="3508" spans="1:3" x14ac:dyDescent="0.3">
      <c r="A3508" s="3" t="s">
        <v>7831</v>
      </c>
      <c r="B3508" s="3">
        <v>8.1</v>
      </c>
      <c r="C3508" s="22" t="s">
        <v>8294</v>
      </c>
    </row>
    <row r="3509" spans="1:3" x14ac:dyDescent="0.3">
      <c r="A3509" s="4" t="s">
        <v>7833</v>
      </c>
      <c r="B3509" s="4">
        <v>7.7</v>
      </c>
      <c r="C3509" s="23" t="s">
        <v>9831</v>
      </c>
    </row>
    <row r="3510" spans="1:3" x14ac:dyDescent="0.3">
      <c r="A3510" s="3" t="s">
        <v>7835</v>
      </c>
      <c r="B3510" s="3">
        <v>7.6</v>
      </c>
      <c r="C3510" s="22" t="s">
        <v>8616</v>
      </c>
    </row>
    <row r="3511" spans="1:3" x14ac:dyDescent="0.3">
      <c r="A3511" s="4" t="s">
        <v>7837</v>
      </c>
      <c r="B3511" s="4">
        <v>7.3</v>
      </c>
      <c r="C3511" s="23" t="s">
        <v>9832</v>
      </c>
    </row>
    <row r="3512" spans="1:3" x14ac:dyDescent="0.3">
      <c r="A3512" s="3" t="s">
        <v>7839</v>
      </c>
      <c r="B3512" s="3">
        <v>7.2</v>
      </c>
      <c r="C3512" s="22" t="s">
        <v>8902</v>
      </c>
    </row>
    <row r="3513" spans="1:3" x14ac:dyDescent="0.3">
      <c r="A3513" s="4" t="s">
        <v>7841</v>
      </c>
      <c r="B3513" s="4">
        <v>7.2</v>
      </c>
      <c r="C3513" s="23" t="s">
        <v>9463</v>
      </c>
    </row>
    <row r="3514" spans="1:3" x14ac:dyDescent="0.3">
      <c r="A3514" s="3" t="s">
        <v>7843</v>
      </c>
      <c r="B3514" s="3">
        <v>8.1</v>
      </c>
      <c r="C3514" s="22" t="s">
        <v>8372</v>
      </c>
    </row>
    <row r="3515" spans="1:3" x14ac:dyDescent="0.3">
      <c r="A3515" s="4" t="s">
        <v>7845</v>
      </c>
      <c r="B3515" s="4">
        <v>7.5</v>
      </c>
      <c r="C3515" s="23" t="s">
        <v>9235</v>
      </c>
    </row>
    <row r="3516" spans="1:3" x14ac:dyDescent="0.3">
      <c r="A3516" s="3" t="s">
        <v>7847</v>
      </c>
      <c r="B3516" s="3">
        <v>8.1</v>
      </c>
      <c r="C3516" s="22" t="s">
        <v>9833</v>
      </c>
    </row>
    <row r="3517" spans="1:3" x14ac:dyDescent="0.3">
      <c r="A3517" s="4" t="s">
        <v>7849</v>
      </c>
      <c r="B3517" s="4">
        <v>7.8</v>
      </c>
      <c r="C3517" s="23" t="s">
        <v>9834</v>
      </c>
    </row>
    <row r="3518" spans="1:3" x14ac:dyDescent="0.3">
      <c r="A3518" s="3" t="s">
        <v>7851</v>
      </c>
      <c r="B3518" s="3">
        <v>7.8</v>
      </c>
      <c r="C3518" s="22" t="s">
        <v>8644</v>
      </c>
    </row>
    <row r="3519" spans="1:3" x14ac:dyDescent="0.3">
      <c r="A3519" s="4" t="s">
        <v>7853</v>
      </c>
      <c r="B3519" s="4">
        <v>5.8</v>
      </c>
      <c r="C3519" s="23" t="s">
        <v>8451</v>
      </c>
    </row>
    <row r="3520" spans="1:3" x14ac:dyDescent="0.3">
      <c r="A3520" s="3" t="s">
        <v>7855</v>
      </c>
      <c r="B3520" s="3">
        <v>7.6</v>
      </c>
      <c r="C3520" s="22" t="s">
        <v>9835</v>
      </c>
    </row>
    <row r="3521" spans="1:3" x14ac:dyDescent="0.3">
      <c r="A3521" s="4" t="s">
        <v>7857</v>
      </c>
      <c r="B3521" s="4">
        <v>7.4</v>
      </c>
      <c r="C3521" s="23" t="s">
        <v>8663</v>
      </c>
    </row>
    <row r="3522" spans="1:3" x14ac:dyDescent="0.3">
      <c r="A3522" s="3" t="s">
        <v>7859</v>
      </c>
      <c r="B3522" s="3">
        <v>6.3</v>
      </c>
      <c r="C3522" s="22" t="s">
        <v>9836</v>
      </c>
    </row>
    <row r="3523" spans="1:3" x14ac:dyDescent="0.3">
      <c r="A3523" s="4" t="s">
        <v>7861</v>
      </c>
      <c r="B3523" s="4">
        <v>6.9</v>
      </c>
      <c r="C3523" s="23" t="s">
        <v>9464</v>
      </c>
    </row>
    <row r="3524" spans="1:3" x14ac:dyDescent="0.3">
      <c r="A3524" s="3" t="s">
        <v>7863</v>
      </c>
      <c r="B3524" s="3">
        <v>8.6</v>
      </c>
      <c r="C3524" s="22" t="s">
        <v>8305</v>
      </c>
    </row>
    <row r="3525" spans="1:3" x14ac:dyDescent="0.3">
      <c r="A3525" s="4" t="s">
        <v>7865</v>
      </c>
      <c r="B3525" s="4">
        <v>5.0999999999999996</v>
      </c>
      <c r="C3525" s="23" t="s">
        <v>8542</v>
      </c>
    </row>
    <row r="3526" spans="1:3" x14ac:dyDescent="0.3">
      <c r="A3526" s="3" t="s">
        <v>7867</v>
      </c>
      <c r="B3526" s="3">
        <v>6.4</v>
      </c>
      <c r="C3526" s="22" t="s">
        <v>8498</v>
      </c>
    </row>
    <row r="3527" spans="1:3" x14ac:dyDescent="0.3">
      <c r="A3527" s="4" t="s">
        <v>7869</v>
      </c>
      <c r="B3527" s="4">
        <v>7.9</v>
      </c>
      <c r="C3527" s="23" t="s">
        <v>8414</v>
      </c>
    </row>
    <row r="3528" spans="1:3" x14ac:dyDescent="0.3">
      <c r="A3528" s="3" t="s">
        <v>7871</v>
      </c>
      <c r="B3528" s="3">
        <v>6.9</v>
      </c>
      <c r="C3528" s="22" t="s">
        <v>9837</v>
      </c>
    </row>
    <row r="3529" spans="1:3" x14ac:dyDescent="0.3">
      <c r="A3529" s="4" t="s">
        <v>7873</v>
      </c>
      <c r="B3529" s="4">
        <v>7.5</v>
      </c>
      <c r="C3529" s="23" t="s">
        <v>9543</v>
      </c>
    </row>
    <row r="3530" spans="1:3" x14ac:dyDescent="0.3">
      <c r="A3530" s="3" t="s">
        <v>7876</v>
      </c>
      <c r="B3530" s="3">
        <v>7.2</v>
      </c>
      <c r="C3530" s="22" t="s">
        <v>8762</v>
      </c>
    </row>
    <row r="3531" spans="1:3" x14ac:dyDescent="0.3">
      <c r="A3531" s="4" t="s">
        <v>7878</v>
      </c>
      <c r="B3531" s="4">
        <v>5.8</v>
      </c>
      <c r="C3531" s="23" t="s">
        <v>8730</v>
      </c>
    </row>
    <row r="3532" spans="1:3" x14ac:dyDescent="0.3">
      <c r="A3532" s="3" t="s">
        <v>7880</v>
      </c>
      <c r="B3532" s="3">
        <v>2.9</v>
      </c>
      <c r="C3532" s="22" t="s">
        <v>9838</v>
      </c>
    </row>
    <row r="3533" spans="1:3" x14ac:dyDescent="0.3">
      <c r="A3533" s="4" t="s">
        <v>7883</v>
      </c>
      <c r="B3533" s="4">
        <v>6.2</v>
      </c>
      <c r="C3533" s="23" t="s">
        <v>9839</v>
      </c>
    </row>
    <row r="3534" spans="1:3" x14ac:dyDescent="0.3">
      <c r="A3534" s="3" t="s">
        <v>7885</v>
      </c>
      <c r="B3534" s="3">
        <v>7.3</v>
      </c>
      <c r="C3534" s="22" t="s">
        <v>9543</v>
      </c>
    </row>
    <row r="3535" spans="1:3" x14ac:dyDescent="0.3">
      <c r="A3535" s="4" t="s">
        <v>7887</v>
      </c>
      <c r="B3535" s="4">
        <v>6.2</v>
      </c>
      <c r="C3535" s="23" t="s">
        <v>8665</v>
      </c>
    </row>
    <row r="3536" spans="1:3" x14ac:dyDescent="0.3">
      <c r="A3536" s="3" t="s">
        <v>7889</v>
      </c>
      <c r="B3536" s="3">
        <v>6.8</v>
      </c>
      <c r="C3536" s="22" t="s">
        <v>8798</v>
      </c>
    </row>
    <row r="3537" spans="1:3" x14ac:dyDescent="0.3">
      <c r="A3537" s="4" t="s">
        <v>7891</v>
      </c>
      <c r="B3537" s="4">
        <v>6.1</v>
      </c>
      <c r="C3537" s="23" t="s">
        <v>9840</v>
      </c>
    </row>
    <row r="3538" spans="1:3" x14ac:dyDescent="0.3">
      <c r="A3538" s="3" t="s">
        <v>7893</v>
      </c>
      <c r="B3538" s="3">
        <v>7.7</v>
      </c>
      <c r="C3538" s="22" t="s">
        <v>8664</v>
      </c>
    </row>
    <row r="3539" spans="1:3" x14ac:dyDescent="0.3">
      <c r="A3539" s="4" t="s">
        <v>7895</v>
      </c>
      <c r="B3539" s="4">
        <v>5.2</v>
      </c>
      <c r="C3539" s="23" t="s">
        <v>9841</v>
      </c>
    </row>
    <row r="3540" spans="1:3" x14ac:dyDescent="0.3">
      <c r="A3540" s="3" t="s">
        <v>7897</v>
      </c>
      <c r="B3540" s="3">
        <v>6.8</v>
      </c>
      <c r="C3540" s="22" t="s">
        <v>9069</v>
      </c>
    </row>
    <row r="3541" spans="1:3" x14ac:dyDescent="0.3">
      <c r="A3541" s="4" t="s">
        <v>7899</v>
      </c>
      <c r="B3541" s="4">
        <v>6.5</v>
      </c>
      <c r="C3541" s="23" t="s">
        <v>9842</v>
      </c>
    </row>
    <row r="3542" spans="1:3" x14ac:dyDescent="0.3">
      <c r="A3542" s="3" t="s">
        <v>7901</v>
      </c>
      <c r="B3542" s="3">
        <v>7</v>
      </c>
      <c r="C3542" s="22" t="s">
        <v>9223</v>
      </c>
    </row>
    <row r="3543" spans="1:3" x14ac:dyDescent="0.3">
      <c r="A3543" s="4" t="s">
        <v>7903</v>
      </c>
      <c r="B3543" s="4">
        <v>5.9</v>
      </c>
      <c r="C3543" s="23" t="s">
        <v>9843</v>
      </c>
    </row>
    <row r="3544" spans="1:3" x14ac:dyDescent="0.3">
      <c r="A3544" s="3" t="s">
        <v>7905</v>
      </c>
      <c r="B3544" s="3">
        <v>7.1</v>
      </c>
      <c r="C3544" s="22" t="s">
        <v>9844</v>
      </c>
    </row>
    <row r="3545" spans="1:3" x14ac:dyDescent="0.3">
      <c r="A3545" s="4" t="s">
        <v>7907</v>
      </c>
      <c r="B3545" s="4">
        <v>5.5</v>
      </c>
      <c r="C3545" s="23" t="s">
        <v>9845</v>
      </c>
    </row>
    <row r="3546" spans="1:3" x14ac:dyDescent="0.3">
      <c r="A3546" s="3" t="s">
        <v>7909</v>
      </c>
      <c r="B3546" s="3">
        <v>7.4</v>
      </c>
      <c r="C3546" s="22" t="s">
        <v>9846</v>
      </c>
    </row>
    <row r="3547" spans="1:3" x14ac:dyDescent="0.3">
      <c r="A3547" s="4" t="s">
        <v>7911</v>
      </c>
      <c r="B3547" s="4">
        <v>7.3</v>
      </c>
      <c r="C3547" s="23" t="s">
        <v>9847</v>
      </c>
    </row>
    <row r="3548" spans="1:3" x14ac:dyDescent="0.3">
      <c r="A3548" s="3" t="s">
        <v>7914</v>
      </c>
      <c r="B3548" s="3">
        <v>4.5999999999999996</v>
      </c>
      <c r="C3548" s="22" t="s">
        <v>9848</v>
      </c>
    </row>
    <row r="3549" spans="1:3" x14ac:dyDescent="0.3">
      <c r="A3549" s="4" t="s">
        <v>7916</v>
      </c>
      <c r="B3549" s="4">
        <v>7.2</v>
      </c>
      <c r="C3549" s="23" t="s">
        <v>8864</v>
      </c>
    </row>
    <row r="3550" spans="1:3" x14ac:dyDescent="0.3">
      <c r="A3550" s="3" t="s">
        <v>7919</v>
      </c>
      <c r="B3550" s="3">
        <v>7</v>
      </c>
      <c r="C3550" s="22" t="s">
        <v>9514</v>
      </c>
    </row>
    <row r="3551" spans="1:3" x14ac:dyDescent="0.3">
      <c r="A3551" s="4" t="s">
        <v>7922</v>
      </c>
      <c r="B3551" s="4">
        <v>5.0999999999999996</v>
      </c>
      <c r="C3551" s="23" t="s">
        <v>9849</v>
      </c>
    </row>
    <row r="3552" spans="1:3" x14ac:dyDescent="0.3">
      <c r="A3552" s="3" t="s">
        <v>7924</v>
      </c>
      <c r="B3552" s="3">
        <v>6.7</v>
      </c>
      <c r="C3552" s="22" t="s">
        <v>9850</v>
      </c>
    </row>
    <row r="3553" spans="1:3" x14ac:dyDescent="0.3">
      <c r="A3553" s="4" t="s">
        <v>7926</v>
      </c>
      <c r="B3553" s="4">
        <v>5.3</v>
      </c>
      <c r="C3553" s="23" t="s">
        <v>9851</v>
      </c>
    </row>
    <row r="3554" spans="1:3" x14ac:dyDescent="0.3">
      <c r="A3554" s="3" t="s">
        <v>7929</v>
      </c>
      <c r="B3554" s="3">
        <v>7.8</v>
      </c>
      <c r="C3554" s="22" t="s">
        <v>9852</v>
      </c>
    </row>
    <row r="3555" spans="1:3" x14ac:dyDescent="0.3">
      <c r="A3555" s="4" t="s">
        <v>7931</v>
      </c>
      <c r="B3555" s="4">
        <v>6.7</v>
      </c>
      <c r="C3555" s="23" t="s">
        <v>9350</v>
      </c>
    </row>
    <row r="3556" spans="1:3" x14ac:dyDescent="0.3">
      <c r="A3556" s="3" t="s">
        <v>7933</v>
      </c>
      <c r="B3556" s="3">
        <v>5.4</v>
      </c>
      <c r="C3556" s="22" t="s">
        <v>9853</v>
      </c>
    </row>
    <row r="3557" spans="1:3" x14ac:dyDescent="0.3">
      <c r="A3557" s="4" t="s">
        <v>7935</v>
      </c>
      <c r="B3557" s="4">
        <v>7.2</v>
      </c>
      <c r="C3557" s="23" t="s">
        <v>9237</v>
      </c>
    </row>
    <row r="3558" spans="1:3" x14ac:dyDescent="0.3">
      <c r="A3558" s="3" t="s">
        <v>7937</v>
      </c>
      <c r="B3558" s="3">
        <v>5.8</v>
      </c>
      <c r="C3558" s="22" t="s">
        <v>9854</v>
      </c>
    </row>
    <row r="3559" spans="1:3" x14ac:dyDescent="0.3">
      <c r="A3559" s="4" t="s">
        <v>7939</v>
      </c>
      <c r="B3559" s="4">
        <v>6.4</v>
      </c>
      <c r="C3559" s="23" t="s">
        <v>9855</v>
      </c>
    </row>
    <row r="3560" spans="1:3" x14ac:dyDescent="0.3">
      <c r="A3560" s="3" t="s">
        <v>7941</v>
      </c>
      <c r="B3560" s="3">
        <v>8</v>
      </c>
      <c r="C3560" s="22" t="s">
        <v>9856</v>
      </c>
    </row>
    <row r="3561" spans="1:3" x14ac:dyDescent="0.3">
      <c r="A3561" s="4" t="s">
        <v>7943</v>
      </c>
      <c r="B3561" s="4">
        <v>7</v>
      </c>
      <c r="C3561" s="23" t="s">
        <v>8984</v>
      </c>
    </row>
    <row r="3562" spans="1:3" x14ac:dyDescent="0.3">
      <c r="A3562" s="3" t="s">
        <v>7946</v>
      </c>
      <c r="B3562" s="3">
        <v>7</v>
      </c>
      <c r="C3562" s="22" t="s">
        <v>9857</v>
      </c>
    </row>
    <row r="3563" spans="1:3" x14ac:dyDescent="0.3">
      <c r="A3563" s="4" t="s">
        <v>7948</v>
      </c>
      <c r="B3563" s="4">
        <v>6.7</v>
      </c>
      <c r="C3563" s="23" t="s">
        <v>9798</v>
      </c>
    </row>
    <row r="3564" spans="1:3" x14ac:dyDescent="0.3">
      <c r="A3564" s="3" t="s">
        <v>7951</v>
      </c>
      <c r="B3564" s="3">
        <v>3.8</v>
      </c>
      <c r="C3564" s="22" t="s">
        <v>9858</v>
      </c>
    </row>
    <row r="3565" spans="1:3" x14ac:dyDescent="0.3">
      <c r="A3565" s="4" t="s">
        <v>7953</v>
      </c>
      <c r="B3565" s="4">
        <v>5.7</v>
      </c>
      <c r="C3565" s="23" t="s">
        <v>9859</v>
      </c>
    </row>
    <row r="3566" spans="1:3" x14ac:dyDescent="0.3">
      <c r="A3566" s="3" t="s">
        <v>7955</v>
      </c>
      <c r="B3566" s="3">
        <v>6.6</v>
      </c>
      <c r="C3566" s="22" t="s">
        <v>9651</v>
      </c>
    </row>
    <row r="3567" spans="1:3" x14ac:dyDescent="0.3">
      <c r="A3567" s="4" t="s">
        <v>7957</v>
      </c>
      <c r="B3567" s="4">
        <v>6.7</v>
      </c>
      <c r="C3567" s="23" t="s">
        <v>9225</v>
      </c>
    </row>
    <row r="3568" spans="1:3" x14ac:dyDescent="0.3">
      <c r="A3568" s="3" t="s">
        <v>7959</v>
      </c>
      <c r="B3568" s="3">
        <v>6.1</v>
      </c>
      <c r="C3568" s="22" t="s">
        <v>8695</v>
      </c>
    </row>
    <row r="3569" spans="1:3" x14ac:dyDescent="0.3">
      <c r="A3569" s="4" t="s">
        <v>7961</v>
      </c>
      <c r="B3569" s="4">
        <v>6.2</v>
      </c>
      <c r="C3569" s="23" t="s">
        <v>9860</v>
      </c>
    </row>
    <row r="3570" spans="1:3" x14ac:dyDescent="0.3">
      <c r="A3570" s="3" t="s">
        <v>7964</v>
      </c>
      <c r="B3570" s="3">
        <v>6.2</v>
      </c>
      <c r="C3570" s="22" t="s">
        <v>9428</v>
      </c>
    </row>
    <row r="3571" spans="1:3" x14ac:dyDescent="0.3">
      <c r="A3571" s="4" t="s">
        <v>7966</v>
      </c>
      <c r="B3571" s="4">
        <v>7.4</v>
      </c>
      <c r="C3571" s="23" t="s">
        <v>9861</v>
      </c>
    </row>
    <row r="3572" spans="1:3" x14ac:dyDescent="0.3">
      <c r="A3572" s="3" t="s">
        <v>7968</v>
      </c>
      <c r="B3572" s="3">
        <v>4.7</v>
      </c>
      <c r="C3572" s="22" t="s">
        <v>9862</v>
      </c>
    </row>
    <row r="3573" spans="1:3" x14ac:dyDescent="0.3">
      <c r="A3573" s="4" t="s">
        <v>7970</v>
      </c>
      <c r="B3573" s="4">
        <v>8.3000000000000007</v>
      </c>
      <c r="C3573" s="23" t="s">
        <v>8946</v>
      </c>
    </row>
    <row r="3574" spans="1:3" x14ac:dyDescent="0.3">
      <c r="A3574" s="3" t="s">
        <v>7972</v>
      </c>
      <c r="B3574" s="3">
        <v>7.2</v>
      </c>
      <c r="C3574" s="22" t="s">
        <v>9863</v>
      </c>
    </row>
    <row r="3575" spans="1:3" x14ac:dyDescent="0.3">
      <c r="A3575" s="4" t="s">
        <v>7974</v>
      </c>
      <c r="B3575" s="4">
        <v>5.8</v>
      </c>
      <c r="C3575" s="23" t="s">
        <v>9864</v>
      </c>
    </row>
    <row r="3576" spans="1:3" x14ac:dyDescent="0.3">
      <c r="A3576" s="3" t="s">
        <v>7976</v>
      </c>
      <c r="B3576" s="3">
        <v>5.9</v>
      </c>
      <c r="C3576" s="22" t="s">
        <v>9865</v>
      </c>
    </row>
    <row r="3577" spans="1:3" x14ac:dyDescent="0.3">
      <c r="A3577" s="4" t="s">
        <v>7979</v>
      </c>
      <c r="B3577" s="4">
        <v>6.3</v>
      </c>
      <c r="C3577" s="23" t="s">
        <v>9446</v>
      </c>
    </row>
    <row r="3578" spans="1:3" x14ac:dyDescent="0.3">
      <c r="A3578" s="3" t="s">
        <v>7981</v>
      </c>
      <c r="B3578" s="3">
        <v>7.2</v>
      </c>
      <c r="C3578" s="22" t="s">
        <v>9676</v>
      </c>
    </row>
    <row r="3579" spans="1:3" x14ac:dyDescent="0.3">
      <c r="A3579" s="4" t="s">
        <v>7983</v>
      </c>
      <c r="B3579" s="4">
        <v>5.4</v>
      </c>
      <c r="C3579" s="23" t="s">
        <v>9866</v>
      </c>
    </row>
    <row r="3580" spans="1:3" x14ac:dyDescent="0.3">
      <c r="A3580" s="3" t="s">
        <v>7985</v>
      </c>
      <c r="B3580" s="3">
        <v>7.3</v>
      </c>
      <c r="C3580" s="22" t="s">
        <v>8764</v>
      </c>
    </row>
    <row r="3581" spans="1:3" x14ac:dyDescent="0.3">
      <c r="A3581" s="4" t="s">
        <v>7987</v>
      </c>
      <c r="B3581" s="4">
        <v>7.3</v>
      </c>
      <c r="C3581" s="23" t="s">
        <v>9867</v>
      </c>
    </row>
    <row r="3582" spans="1:3" x14ac:dyDescent="0.3">
      <c r="A3582" s="3" t="s">
        <v>7989</v>
      </c>
      <c r="B3582" s="3">
        <v>5.8</v>
      </c>
      <c r="C3582" s="22" t="s">
        <v>9868</v>
      </c>
    </row>
    <row r="3583" spans="1:3" x14ac:dyDescent="0.3">
      <c r="A3583" s="4" t="s">
        <v>7992</v>
      </c>
      <c r="B3583" s="4">
        <v>6.1</v>
      </c>
      <c r="C3583" s="23" t="s">
        <v>8759</v>
      </c>
    </row>
    <row r="3584" spans="1:3" x14ac:dyDescent="0.3">
      <c r="A3584" s="3" t="s">
        <v>7995</v>
      </c>
      <c r="B3584" s="3">
        <v>7.1</v>
      </c>
      <c r="C3584" s="22" t="s">
        <v>9869</v>
      </c>
    </row>
    <row r="3585" spans="1:3" x14ac:dyDescent="0.3">
      <c r="A3585" s="4" t="s">
        <v>7997</v>
      </c>
      <c r="B3585" s="4">
        <v>6.5</v>
      </c>
      <c r="C3585" s="23" t="s">
        <v>9870</v>
      </c>
    </row>
    <row r="3586" spans="1:3" x14ac:dyDescent="0.3">
      <c r="A3586" s="3" t="s">
        <v>7999</v>
      </c>
      <c r="B3586" s="3">
        <v>7.9</v>
      </c>
      <c r="C3586" s="22" t="s">
        <v>8700</v>
      </c>
    </row>
    <row r="3587" spans="1:3" x14ac:dyDescent="0.3">
      <c r="A3587" s="4" t="s">
        <v>8001</v>
      </c>
      <c r="B3587" s="4">
        <v>5.4</v>
      </c>
      <c r="C3587" s="23" t="s">
        <v>9871</v>
      </c>
    </row>
    <row r="3588" spans="1:3" x14ac:dyDescent="0.3">
      <c r="A3588" s="3" t="s">
        <v>8004</v>
      </c>
      <c r="B3588" s="3">
        <v>7.1</v>
      </c>
      <c r="C3588" s="22" t="s">
        <v>9872</v>
      </c>
    </row>
    <row r="3589" spans="1:3" x14ac:dyDescent="0.3">
      <c r="A3589" s="4" t="s">
        <v>8006</v>
      </c>
      <c r="B3589" s="4">
        <v>6.4</v>
      </c>
      <c r="C3589" s="23" t="s">
        <v>9873</v>
      </c>
    </row>
    <row r="3590" spans="1:3" x14ac:dyDescent="0.3">
      <c r="A3590" s="3" t="s">
        <v>8008</v>
      </c>
      <c r="B3590" s="3">
        <v>6.7</v>
      </c>
      <c r="C3590" s="22" t="s">
        <v>9674</v>
      </c>
    </row>
    <row r="3591" spans="1:3" x14ac:dyDescent="0.3">
      <c r="A3591" s="4" t="s">
        <v>8010</v>
      </c>
      <c r="B3591" s="4">
        <v>6.9</v>
      </c>
      <c r="C3591" s="23" t="s">
        <v>9723</v>
      </c>
    </row>
    <row r="3592" spans="1:3" x14ac:dyDescent="0.3">
      <c r="A3592" s="3" t="s">
        <v>8012</v>
      </c>
      <c r="B3592" s="3">
        <v>2.1</v>
      </c>
      <c r="C3592" s="22" t="s">
        <v>9486</v>
      </c>
    </row>
    <row r="3593" spans="1:3" x14ac:dyDescent="0.3">
      <c r="A3593" s="4" t="s">
        <v>8014</v>
      </c>
      <c r="B3593" s="4">
        <v>4.3</v>
      </c>
      <c r="C3593" s="23" t="s">
        <v>9874</v>
      </c>
    </row>
    <row r="3594" spans="1:3" x14ac:dyDescent="0.3">
      <c r="A3594" s="3" t="s">
        <v>8016</v>
      </c>
      <c r="B3594" s="3">
        <v>6.6</v>
      </c>
      <c r="C3594" s="22" t="s">
        <v>9588</v>
      </c>
    </row>
    <row r="3595" spans="1:3" x14ac:dyDescent="0.3">
      <c r="A3595" s="4" t="s">
        <v>8018</v>
      </c>
      <c r="B3595" s="4">
        <v>3.4</v>
      </c>
      <c r="C3595" s="23" t="s">
        <v>9698</v>
      </c>
    </row>
    <row r="3596" spans="1:3" x14ac:dyDescent="0.3">
      <c r="A3596" s="3" t="s">
        <v>8020</v>
      </c>
      <c r="B3596" s="3">
        <v>8.3000000000000007</v>
      </c>
      <c r="C3596" s="22" t="s">
        <v>9833</v>
      </c>
    </row>
    <row r="3597" spans="1:3" x14ac:dyDescent="0.3">
      <c r="A3597" s="4" t="s">
        <v>8022</v>
      </c>
      <c r="B3597" s="4">
        <v>7.2</v>
      </c>
      <c r="C3597" s="23" t="s">
        <v>8952</v>
      </c>
    </row>
    <row r="3598" spans="1:3" x14ac:dyDescent="0.3">
      <c r="A3598" s="3" t="s">
        <v>8024</v>
      </c>
      <c r="B3598" s="3">
        <v>5.6</v>
      </c>
      <c r="C3598" s="22" t="s">
        <v>9875</v>
      </c>
    </row>
    <row r="3599" spans="1:3" x14ac:dyDescent="0.3">
      <c r="A3599" s="4" t="s">
        <v>8026</v>
      </c>
      <c r="B3599" s="4">
        <v>7.7</v>
      </c>
      <c r="C3599" s="23" t="s">
        <v>8908</v>
      </c>
    </row>
    <row r="3600" spans="1:3" x14ac:dyDescent="0.3">
      <c r="A3600" s="3" t="s">
        <v>8028</v>
      </c>
      <c r="B3600" s="3">
        <v>6.6</v>
      </c>
      <c r="C3600" s="22" t="s">
        <v>9876</v>
      </c>
    </row>
    <row r="3601" spans="1:3" x14ac:dyDescent="0.3">
      <c r="A3601" s="4" t="s">
        <v>8030</v>
      </c>
      <c r="B3601" s="4">
        <v>7.6</v>
      </c>
      <c r="C3601" s="23" t="s">
        <v>8619</v>
      </c>
    </row>
    <row r="3602" spans="1:3" x14ac:dyDescent="0.3">
      <c r="A3602" s="3" t="s">
        <v>8032</v>
      </c>
      <c r="B3602" s="3">
        <v>7.4</v>
      </c>
      <c r="C3602" s="22" t="s">
        <v>9285</v>
      </c>
    </row>
    <row r="3603" spans="1:3" x14ac:dyDescent="0.3">
      <c r="A3603" s="4" t="s">
        <v>8034</v>
      </c>
      <c r="B3603" s="4">
        <v>7.1</v>
      </c>
      <c r="C3603" s="23" t="s">
        <v>9061</v>
      </c>
    </row>
    <row r="3604" spans="1:3" x14ac:dyDescent="0.3">
      <c r="A3604" s="3" t="s">
        <v>8036</v>
      </c>
      <c r="B3604" s="3">
        <v>3.4</v>
      </c>
      <c r="C3604" s="22" t="s">
        <v>9877</v>
      </c>
    </row>
    <row r="3605" spans="1:3" x14ac:dyDescent="0.3">
      <c r="A3605" s="4" t="s">
        <v>8038</v>
      </c>
      <c r="B3605" s="4">
        <v>7.9</v>
      </c>
      <c r="C3605" s="23" t="s">
        <v>9878</v>
      </c>
    </row>
    <row r="3606" spans="1:3" x14ac:dyDescent="0.3">
      <c r="A3606" s="3" t="s">
        <v>8040</v>
      </c>
      <c r="B3606" s="3">
        <v>6.7</v>
      </c>
      <c r="C3606" s="22" t="s">
        <v>9942</v>
      </c>
    </row>
    <row r="3607" spans="1:3" x14ac:dyDescent="0.3">
      <c r="A3607" s="4" t="s">
        <v>8042</v>
      </c>
      <c r="B3607" s="4">
        <v>6.6</v>
      </c>
      <c r="C3607" s="23" t="s">
        <v>9879</v>
      </c>
    </row>
    <row r="3608" spans="1:3" x14ac:dyDescent="0.3">
      <c r="A3608" s="3" t="s">
        <v>8044</v>
      </c>
      <c r="B3608" s="3">
        <v>7.9</v>
      </c>
      <c r="C3608" s="22" t="s">
        <v>8730</v>
      </c>
    </row>
    <row r="3609" spans="1:3" x14ac:dyDescent="0.3">
      <c r="A3609" s="4" t="s">
        <v>8048</v>
      </c>
      <c r="B3609" s="4">
        <v>4.9000000000000004</v>
      </c>
      <c r="C3609" s="23" t="s">
        <v>9880</v>
      </c>
    </row>
    <row r="3610" spans="1:3" x14ac:dyDescent="0.3">
      <c r="A3610" s="3" t="s">
        <v>8050</v>
      </c>
      <c r="B3610" s="3">
        <v>7.2</v>
      </c>
      <c r="C3610" s="22" t="s">
        <v>9881</v>
      </c>
    </row>
    <row r="3611" spans="1:3" x14ac:dyDescent="0.3">
      <c r="A3611" s="4" t="s">
        <v>8052</v>
      </c>
      <c r="B3611" s="4">
        <v>7.4</v>
      </c>
      <c r="C3611" s="23" t="s">
        <v>9369</v>
      </c>
    </row>
    <row r="3612" spans="1:3" x14ac:dyDescent="0.3">
      <c r="A3612" s="3" t="s">
        <v>8054</v>
      </c>
      <c r="B3612" s="3">
        <v>6.1</v>
      </c>
      <c r="C3612" s="22" t="s">
        <v>9882</v>
      </c>
    </row>
    <row r="3613" spans="1:3" x14ac:dyDescent="0.3">
      <c r="A3613" s="4" t="s">
        <v>8056</v>
      </c>
      <c r="B3613" s="4">
        <v>8.4</v>
      </c>
      <c r="C3613" s="23" t="s">
        <v>9883</v>
      </c>
    </row>
    <row r="3614" spans="1:3" x14ac:dyDescent="0.3">
      <c r="A3614" s="3" t="s">
        <v>8058</v>
      </c>
      <c r="B3614" s="3">
        <v>6.2</v>
      </c>
      <c r="C3614" s="22" t="s">
        <v>9884</v>
      </c>
    </row>
    <row r="3615" spans="1:3" x14ac:dyDescent="0.3">
      <c r="A3615" s="4" t="s">
        <v>8060</v>
      </c>
      <c r="B3615" s="4">
        <v>5.3</v>
      </c>
      <c r="C3615" s="23" t="s">
        <v>9885</v>
      </c>
    </row>
    <row r="3616" spans="1:3" x14ac:dyDescent="0.3">
      <c r="A3616" s="3" t="s">
        <v>8062</v>
      </c>
      <c r="B3616" s="3">
        <v>5</v>
      </c>
      <c r="C3616" s="22" t="s">
        <v>8962</v>
      </c>
    </row>
    <row r="3617" spans="1:3" x14ac:dyDescent="0.3">
      <c r="A3617" s="4" t="s">
        <v>8064</v>
      </c>
      <c r="B3617" s="4">
        <v>7.7</v>
      </c>
      <c r="C3617" s="23" t="s">
        <v>9886</v>
      </c>
    </row>
    <row r="3618" spans="1:3" x14ac:dyDescent="0.3">
      <c r="A3618" s="3" t="s">
        <v>8066</v>
      </c>
      <c r="B3618" s="3">
        <v>7.6</v>
      </c>
      <c r="C3618" s="22" t="s">
        <v>9378</v>
      </c>
    </row>
    <row r="3619" spans="1:3" x14ac:dyDescent="0.3">
      <c r="A3619" s="4" t="s">
        <v>8068</v>
      </c>
      <c r="B3619" s="4">
        <v>6.3</v>
      </c>
      <c r="C3619" s="23" t="s">
        <v>9887</v>
      </c>
    </row>
    <row r="3620" spans="1:3" x14ac:dyDescent="0.3">
      <c r="A3620" s="3" t="s">
        <v>8070</v>
      </c>
      <c r="B3620" s="3">
        <v>7.6</v>
      </c>
      <c r="C3620" s="22" t="s">
        <v>9888</v>
      </c>
    </row>
    <row r="3621" spans="1:3" x14ac:dyDescent="0.3">
      <c r="A3621" s="4" t="s">
        <v>8072</v>
      </c>
      <c r="B3621" s="4">
        <v>5.6</v>
      </c>
      <c r="C3621" s="23" t="s">
        <v>9889</v>
      </c>
    </row>
    <row r="3622" spans="1:3" x14ac:dyDescent="0.3">
      <c r="A3622" s="3" t="s">
        <v>8075</v>
      </c>
      <c r="B3622" s="3">
        <v>7.3</v>
      </c>
      <c r="C3622" s="22" t="s">
        <v>9193</v>
      </c>
    </row>
    <row r="3623" spans="1:3" x14ac:dyDescent="0.3">
      <c r="A3623" s="4" t="s">
        <v>8078</v>
      </c>
      <c r="B3623" s="4">
        <v>6.2</v>
      </c>
      <c r="C3623" s="23" t="s">
        <v>9890</v>
      </c>
    </row>
    <row r="3624" spans="1:3" x14ac:dyDescent="0.3">
      <c r="A3624" s="3" t="s">
        <v>8080</v>
      </c>
      <c r="B3624" s="3">
        <v>6.6</v>
      </c>
      <c r="C3624" s="22" t="s">
        <v>8327</v>
      </c>
    </row>
    <row r="3625" spans="1:3" x14ac:dyDescent="0.3">
      <c r="A3625" s="4" t="s">
        <v>8082</v>
      </c>
      <c r="B3625" s="4">
        <v>6.6</v>
      </c>
      <c r="C3625" s="23" t="s">
        <v>9596</v>
      </c>
    </row>
    <row r="3626" spans="1:3" x14ac:dyDescent="0.3">
      <c r="A3626" s="3" t="s">
        <v>8084</v>
      </c>
      <c r="B3626" s="3">
        <v>7.3</v>
      </c>
      <c r="C3626" s="22" t="s">
        <v>9891</v>
      </c>
    </row>
    <row r="3627" spans="1:3" x14ac:dyDescent="0.3">
      <c r="A3627" s="4" t="s">
        <v>8086</v>
      </c>
      <c r="B3627" s="4">
        <v>6.6</v>
      </c>
      <c r="C3627" s="23" t="s">
        <v>9192</v>
      </c>
    </row>
    <row r="3628" spans="1:3" x14ac:dyDescent="0.3">
      <c r="A3628" s="3" t="s">
        <v>8088</v>
      </c>
      <c r="B3628" s="3">
        <v>6.9</v>
      </c>
      <c r="C3628" s="22" t="s">
        <v>9892</v>
      </c>
    </row>
    <row r="3629" spans="1:3" x14ac:dyDescent="0.3">
      <c r="A3629" s="4" t="s">
        <v>8090</v>
      </c>
      <c r="B3629" s="4">
        <v>5.8</v>
      </c>
      <c r="C3629" s="23" t="s">
        <v>9222</v>
      </c>
    </row>
    <row r="3630" spans="1:3" x14ac:dyDescent="0.3">
      <c r="A3630" s="3" t="s">
        <v>8092</v>
      </c>
      <c r="B3630" s="3">
        <v>4.4000000000000004</v>
      </c>
      <c r="C3630" s="22" t="s">
        <v>9893</v>
      </c>
    </row>
    <row r="3631" spans="1:3" x14ac:dyDescent="0.3">
      <c r="A3631" s="4" t="s">
        <v>8094</v>
      </c>
      <c r="B3631" s="4">
        <v>6.6</v>
      </c>
      <c r="C3631" s="23" t="s">
        <v>8461</v>
      </c>
    </row>
    <row r="3632" spans="1:3" x14ac:dyDescent="0.3">
      <c r="A3632" s="3" t="s">
        <v>8096</v>
      </c>
      <c r="B3632" s="3">
        <v>7.1</v>
      </c>
      <c r="C3632" s="22" t="s">
        <v>9620</v>
      </c>
    </row>
    <row r="3633" spans="1:12" x14ac:dyDescent="0.3">
      <c r="A3633" s="4" t="s">
        <v>8098</v>
      </c>
      <c r="B3633" s="4">
        <v>7.6</v>
      </c>
      <c r="C3633" s="23" t="s">
        <v>9894</v>
      </c>
    </row>
    <row r="3634" spans="1:12" x14ac:dyDescent="0.3">
      <c r="A3634" s="3" t="s">
        <v>8101</v>
      </c>
      <c r="B3634" s="3">
        <v>4.5999999999999996</v>
      </c>
      <c r="C3634" s="22" t="s">
        <v>9222</v>
      </c>
    </row>
    <row r="3635" spans="1:12" x14ac:dyDescent="0.3">
      <c r="A3635" s="4" t="s">
        <v>8103</v>
      </c>
      <c r="B3635" s="4">
        <v>6.8</v>
      </c>
      <c r="C3635" s="23" t="s">
        <v>9895</v>
      </c>
    </row>
    <row r="3636" spans="1:12" x14ac:dyDescent="0.3">
      <c r="A3636" s="3" t="s">
        <v>8105</v>
      </c>
      <c r="B3636" s="3">
        <v>7.1</v>
      </c>
      <c r="C3636" s="22" t="s">
        <v>9176</v>
      </c>
    </row>
    <row r="3637" spans="1:12" x14ac:dyDescent="0.3">
      <c r="A3637" s="4" t="s">
        <v>8107</v>
      </c>
      <c r="B3637" s="4">
        <v>4.9000000000000004</v>
      </c>
      <c r="C3637" s="23" t="s">
        <v>9133</v>
      </c>
    </row>
    <row r="3638" spans="1:12" x14ac:dyDescent="0.3">
      <c r="A3638" s="3" t="s">
        <v>8109</v>
      </c>
      <c r="B3638" s="3">
        <v>7.3</v>
      </c>
      <c r="C3638" s="22" t="s">
        <v>9896</v>
      </c>
    </row>
    <row r="3639" spans="1:12" x14ac:dyDescent="0.3">
      <c r="A3639" s="4" t="s">
        <v>8111</v>
      </c>
      <c r="B3639" s="4">
        <v>7.2</v>
      </c>
      <c r="C3639" s="23" t="s">
        <v>9103</v>
      </c>
    </row>
    <row r="3640" spans="1:12" x14ac:dyDescent="0.3">
      <c r="A3640" s="3" t="s">
        <v>8113</v>
      </c>
      <c r="B3640" s="3">
        <v>5</v>
      </c>
      <c r="C3640" s="22" t="s">
        <v>9897</v>
      </c>
    </row>
    <row r="3641" spans="1:12" x14ac:dyDescent="0.3">
      <c r="A3641" s="4" t="s">
        <v>8115</v>
      </c>
      <c r="B3641" s="4">
        <v>8.1999999999999993</v>
      </c>
      <c r="C3641" s="23" t="s">
        <v>8800</v>
      </c>
    </row>
    <row r="3642" spans="1:12" x14ac:dyDescent="0.3">
      <c r="A3642" s="3" t="s">
        <v>8117</v>
      </c>
      <c r="B3642" s="3">
        <v>8</v>
      </c>
      <c r="C3642" s="22" t="s">
        <v>8938</v>
      </c>
    </row>
    <row r="3643" spans="1:12" x14ac:dyDescent="0.3">
      <c r="A3643" s="4" t="s">
        <v>8119</v>
      </c>
      <c r="B3643" s="4">
        <v>5.2</v>
      </c>
      <c r="C3643" s="23" t="s">
        <v>9898</v>
      </c>
    </row>
    <row r="3644" spans="1:12" x14ac:dyDescent="0.3">
      <c r="A3644" s="3" t="s">
        <v>8121</v>
      </c>
      <c r="B3644" s="3">
        <v>8.5</v>
      </c>
      <c r="C3644" s="22" t="s">
        <v>8297</v>
      </c>
    </row>
    <row r="3645" spans="1:12" x14ac:dyDescent="0.3">
      <c r="A3645" s="4" t="s">
        <v>8123</v>
      </c>
      <c r="B3645" s="4">
        <v>6.5</v>
      </c>
      <c r="C3645" s="23" t="s">
        <v>9899</v>
      </c>
    </row>
    <row r="3646" spans="1:12" x14ac:dyDescent="0.3">
      <c r="A3646" s="3" t="s">
        <v>8125</v>
      </c>
      <c r="B3646" s="3">
        <v>7.4</v>
      </c>
      <c r="C3646" s="22" t="s">
        <v>8902</v>
      </c>
    </row>
    <row r="3647" spans="1:12" x14ac:dyDescent="0.3">
      <c r="A3647" s="4" t="s">
        <v>8127</v>
      </c>
      <c r="B3647" s="4">
        <v>7.7</v>
      </c>
      <c r="C3647" s="23" t="s">
        <v>8857</v>
      </c>
      <c r="K3647">
        <v>9</v>
      </c>
      <c r="L3647" s="23" t="s">
        <v>8713</v>
      </c>
    </row>
    <row r="3648" spans="1:12" x14ac:dyDescent="0.3">
      <c r="A3648" s="3" t="s">
        <v>8129</v>
      </c>
      <c r="B3648" s="3">
        <v>7.4</v>
      </c>
      <c r="C3648" s="22" t="s">
        <v>9900</v>
      </c>
    </row>
    <row r="3649" spans="1:3" x14ac:dyDescent="0.3">
      <c r="A3649" s="4" t="s">
        <v>8131</v>
      </c>
      <c r="B3649" s="4">
        <v>5.0999999999999996</v>
      </c>
      <c r="C3649" s="23" t="s">
        <v>9901</v>
      </c>
    </row>
    <row r="3650" spans="1:3" x14ac:dyDescent="0.3">
      <c r="A3650" s="3" t="s">
        <v>8133</v>
      </c>
      <c r="B3650" s="3">
        <v>7.3</v>
      </c>
      <c r="C3650" s="22" t="s">
        <v>8377</v>
      </c>
    </row>
    <row r="3651" spans="1:3" x14ac:dyDescent="0.3">
      <c r="A3651" s="4" t="s">
        <v>8135</v>
      </c>
      <c r="B3651" s="4">
        <v>5</v>
      </c>
      <c r="C3651" s="23" t="s">
        <v>9902</v>
      </c>
    </row>
    <row r="3652" spans="1:3" x14ac:dyDescent="0.3">
      <c r="A3652" s="3" t="s">
        <v>8137</v>
      </c>
      <c r="B3652" s="3">
        <v>7.2</v>
      </c>
      <c r="C3652" s="22" t="s">
        <v>9903</v>
      </c>
    </row>
    <row r="3653" spans="1:3" x14ac:dyDescent="0.3">
      <c r="A3653" s="4" t="s">
        <v>8140</v>
      </c>
      <c r="B3653" s="4">
        <v>6.7</v>
      </c>
      <c r="C3653" s="23" t="s">
        <v>9904</v>
      </c>
    </row>
    <row r="3654" spans="1:3" x14ac:dyDescent="0.3">
      <c r="A3654" s="3" t="s">
        <v>8142</v>
      </c>
      <c r="B3654" s="3">
        <v>6.4</v>
      </c>
      <c r="C3654" s="22" t="s">
        <v>9905</v>
      </c>
    </row>
    <row r="3655" spans="1:3" x14ac:dyDescent="0.3">
      <c r="A3655" s="4" t="s">
        <v>8144</v>
      </c>
      <c r="B3655" s="4">
        <v>7.1</v>
      </c>
      <c r="C3655" s="23" t="s">
        <v>8542</v>
      </c>
    </row>
    <row r="3656" spans="1:3" x14ac:dyDescent="0.3">
      <c r="A3656" s="3" t="s">
        <v>8146</v>
      </c>
      <c r="B3656" s="3">
        <v>5.6</v>
      </c>
      <c r="C3656" s="22" t="s">
        <v>9906</v>
      </c>
    </row>
    <row r="3657" spans="1:3" x14ac:dyDescent="0.3">
      <c r="A3657" s="4" t="s">
        <v>8148</v>
      </c>
      <c r="B3657" s="4">
        <v>6.2</v>
      </c>
      <c r="C3657" s="23" t="s">
        <v>9577</v>
      </c>
    </row>
    <row r="3658" spans="1:3" x14ac:dyDescent="0.3">
      <c r="A3658" s="3" t="s">
        <v>8150</v>
      </c>
      <c r="B3658" s="3">
        <v>6.1</v>
      </c>
      <c r="C3658" s="22" t="s">
        <v>9527</v>
      </c>
    </row>
    <row r="3659" spans="1:3" x14ac:dyDescent="0.3">
      <c r="A3659" s="4" t="s">
        <v>8152</v>
      </c>
      <c r="B3659" s="4">
        <v>5.2</v>
      </c>
      <c r="C3659" s="23" t="s">
        <v>9096</v>
      </c>
    </row>
    <row r="3660" spans="1:3" x14ac:dyDescent="0.3">
      <c r="A3660" s="3" t="s">
        <v>8154</v>
      </c>
      <c r="B3660" s="3">
        <v>7.3</v>
      </c>
      <c r="C3660" s="22" t="s">
        <v>9315</v>
      </c>
    </row>
    <row r="3661" spans="1:3" x14ac:dyDescent="0.3">
      <c r="A3661" s="4" t="s">
        <v>8157</v>
      </c>
      <c r="B3661" s="4">
        <v>7.5</v>
      </c>
      <c r="C3661" s="23" t="s">
        <v>9907</v>
      </c>
    </row>
    <row r="3662" spans="1:3" x14ac:dyDescent="0.3">
      <c r="A3662" s="3" t="s">
        <v>8159</v>
      </c>
      <c r="B3662" s="3">
        <v>6.6</v>
      </c>
      <c r="C3662" s="22" t="s">
        <v>9908</v>
      </c>
    </row>
    <row r="3663" spans="1:3" x14ac:dyDescent="0.3">
      <c r="A3663" s="4" t="s">
        <v>8161</v>
      </c>
      <c r="B3663" s="4">
        <v>6.4</v>
      </c>
      <c r="C3663" s="23" t="s">
        <v>9909</v>
      </c>
    </row>
    <row r="3664" spans="1:3" x14ac:dyDescent="0.3">
      <c r="A3664" s="3" t="s">
        <v>8163</v>
      </c>
      <c r="B3664" s="3">
        <v>4.5</v>
      </c>
      <c r="C3664" s="22" t="s">
        <v>9910</v>
      </c>
    </row>
    <row r="3665" spans="1:3" x14ac:dyDescent="0.3">
      <c r="A3665" s="4" t="s">
        <v>8165</v>
      </c>
      <c r="B3665" s="4">
        <v>6.6</v>
      </c>
      <c r="C3665" s="23" t="s">
        <v>8795</v>
      </c>
    </row>
    <row r="3666" spans="1:3" x14ac:dyDescent="0.3">
      <c r="A3666" s="3" t="s">
        <v>8167</v>
      </c>
      <c r="B3666" s="3">
        <v>5.3</v>
      </c>
      <c r="C3666" s="22" t="s">
        <v>9911</v>
      </c>
    </row>
    <row r="3667" spans="1:3" x14ac:dyDescent="0.3">
      <c r="A3667" s="4" t="s">
        <v>8169</v>
      </c>
      <c r="B3667" s="4">
        <v>4.9000000000000004</v>
      </c>
      <c r="C3667" s="23" t="s">
        <v>9912</v>
      </c>
    </row>
    <row r="3668" spans="1:3" x14ac:dyDescent="0.3">
      <c r="A3668" s="3" t="s">
        <v>8171</v>
      </c>
      <c r="B3668" s="3">
        <v>7.7</v>
      </c>
      <c r="C3668" s="22" t="s">
        <v>8415</v>
      </c>
    </row>
    <row r="3669" spans="1:3" x14ac:dyDescent="0.3">
      <c r="A3669" s="4" t="s">
        <v>8173</v>
      </c>
      <c r="B3669" s="4">
        <v>8</v>
      </c>
      <c r="C3669" s="23" t="s">
        <v>8522</v>
      </c>
    </row>
    <row r="3670" spans="1:3" x14ac:dyDescent="0.3">
      <c r="A3670" s="3" t="s">
        <v>8175</v>
      </c>
      <c r="B3670" s="3">
        <v>3.8</v>
      </c>
      <c r="C3670" s="22" t="s">
        <v>9913</v>
      </c>
    </row>
    <row r="3671" spans="1:3" x14ac:dyDescent="0.3">
      <c r="A3671" s="4" t="s">
        <v>8177</v>
      </c>
      <c r="B3671" s="4">
        <v>7.6</v>
      </c>
      <c r="C3671" s="23" t="s">
        <v>9723</v>
      </c>
    </row>
    <row r="3672" spans="1:3" x14ac:dyDescent="0.3">
      <c r="A3672" s="3" t="s">
        <v>8179</v>
      </c>
      <c r="B3672" s="3">
        <v>5.9</v>
      </c>
      <c r="C3672" s="22" t="s">
        <v>9100</v>
      </c>
    </row>
    <row r="3673" spans="1:3" x14ac:dyDescent="0.3">
      <c r="A3673" s="4" t="s">
        <v>8181</v>
      </c>
      <c r="B3673" s="4">
        <v>6.2</v>
      </c>
      <c r="C3673" s="23" t="s">
        <v>9914</v>
      </c>
    </row>
    <row r="3674" spans="1:3" x14ac:dyDescent="0.3">
      <c r="A3674" s="3" t="s">
        <v>8183</v>
      </c>
      <c r="B3674" s="3">
        <v>7.2</v>
      </c>
      <c r="C3674" s="22" t="s">
        <v>8570</v>
      </c>
    </row>
    <row r="3675" spans="1:3" x14ac:dyDescent="0.3">
      <c r="A3675" s="4" t="s">
        <v>8185</v>
      </c>
      <c r="B3675" s="4">
        <v>6.3</v>
      </c>
      <c r="C3675" s="23" t="s">
        <v>9915</v>
      </c>
    </row>
    <row r="3676" spans="1:3" x14ac:dyDescent="0.3">
      <c r="A3676" s="3" t="s">
        <v>8187</v>
      </c>
      <c r="B3676" s="3">
        <v>5.2</v>
      </c>
      <c r="C3676" s="22" t="s">
        <v>9916</v>
      </c>
    </row>
    <row r="3677" spans="1:3" x14ac:dyDescent="0.3">
      <c r="A3677" s="4" t="s">
        <v>8189</v>
      </c>
      <c r="B3677" s="4">
        <v>6.9</v>
      </c>
      <c r="C3677" s="23" t="s">
        <v>9917</v>
      </c>
    </row>
    <row r="3678" spans="1:3" x14ac:dyDescent="0.3">
      <c r="A3678" s="3" t="s">
        <v>8191</v>
      </c>
      <c r="B3678" s="3">
        <v>6.8</v>
      </c>
      <c r="C3678" s="22" t="s">
        <v>9527</v>
      </c>
    </row>
    <row r="3679" spans="1:3" x14ac:dyDescent="0.3">
      <c r="A3679" s="4" t="s">
        <v>8194</v>
      </c>
      <c r="B3679" s="4">
        <v>6.2</v>
      </c>
      <c r="C3679" s="23" t="s">
        <v>9918</v>
      </c>
    </row>
    <row r="3680" spans="1:3" x14ac:dyDescent="0.3">
      <c r="A3680" s="3" t="s">
        <v>8196</v>
      </c>
      <c r="B3680" s="3">
        <v>6.2</v>
      </c>
      <c r="C3680" s="22" t="s">
        <v>9837</v>
      </c>
    </row>
    <row r="3681" spans="1:3" x14ac:dyDescent="0.3">
      <c r="A3681" s="4" t="s">
        <v>8198</v>
      </c>
      <c r="B3681" s="4">
        <v>3.5</v>
      </c>
      <c r="C3681" s="23" t="s">
        <v>9919</v>
      </c>
    </row>
    <row r="3682" spans="1:3" x14ac:dyDescent="0.3">
      <c r="A3682" s="3" t="s">
        <v>8200</v>
      </c>
      <c r="B3682" s="3">
        <v>6.1</v>
      </c>
      <c r="C3682" s="22" t="s">
        <v>9920</v>
      </c>
    </row>
    <row r="3683" spans="1:3" x14ac:dyDescent="0.3">
      <c r="A3683" s="4" t="s">
        <v>8202</v>
      </c>
      <c r="B3683" s="4">
        <v>6.6</v>
      </c>
      <c r="C3683" s="23" t="s">
        <v>9921</v>
      </c>
    </row>
    <row r="3684" spans="1:3" x14ac:dyDescent="0.3">
      <c r="A3684" s="3" t="s">
        <v>8204</v>
      </c>
      <c r="B3684" s="3">
        <v>4.5</v>
      </c>
      <c r="C3684" s="22" t="s">
        <v>9096</v>
      </c>
    </row>
    <row r="3685" spans="1:3" x14ac:dyDescent="0.3">
      <c r="A3685" s="4" t="s">
        <v>8206</v>
      </c>
      <c r="B3685" s="4">
        <v>5.9</v>
      </c>
      <c r="C3685" s="23" t="s">
        <v>9922</v>
      </c>
    </row>
    <row r="3686" spans="1:3" x14ac:dyDescent="0.3">
      <c r="A3686" s="3" t="s">
        <v>8208</v>
      </c>
      <c r="B3686" s="3">
        <v>6.9</v>
      </c>
      <c r="C3686" s="22" t="s">
        <v>9923</v>
      </c>
    </row>
    <row r="3687" spans="1:3" x14ac:dyDescent="0.3">
      <c r="A3687" s="4" t="s">
        <v>8211</v>
      </c>
      <c r="B3687" s="4">
        <v>7.7</v>
      </c>
      <c r="C3687" s="23" t="s">
        <v>9924</v>
      </c>
    </row>
    <row r="3688" spans="1:3" x14ac:dyDescent="0.3">
      <c r="A3688" s="3" t="s">
        <v>8213</v>
      </c>
      <c r="B3688" s="3">
        <v>6.6</v>
      </c>
      <c r="C3688" s="22" t="s">
        <v>8714</v>
      </c>
    </row>
    <row r="3689" spans="1:3" x14ac:dyDescent="0.3">
      <c r="A3689" s="4" t="s">
        <v>8215</v>
      </c>
      <c r="B3689" s="4">
        <v>5.3</v>
      </c>
      <c r="C3689" s="23" t="s">
        <v>9925</v>
      </c>
    </row>
    <row r="3690" spans="1:3" x14ac:dyDescent="0.3">
      <c r="A3690" s="3" t="s">
        <v>8218</v>
      </c>
      <c r="B3690" s="3">
        <v>6.3</v>
      </c>
      <c r="C3690" s="22" t="s">
        <v>9787</v>
      </c>
    </row>
    <row r="3691" spans="1:3" x14ac:dyDescent="0.3">
      <c r="A3691" s="4" t="s">
        <v>8220</v>
      </c>
      <c r="B3691" s="4">
        <v>7</v>
      </c>
      <c r="C3691" s="23" t="s">
        <v>9926</v>
      </c>
    </row>
    <row r="3692" spans="1:3" x14ac:dyDescent="0.3">
      <c r="A3692" s="3" t="s">
        <v>8222</v>
      </c>
      <c r="B3692" s="3">
        <v>7</v>
      </c>
      <c r="C3692" s="22" t="s">
        <v>9927</v>
      </c>
    </row>
    <row r="3693" spans="1:3" x14ac:dyDescent="0.3">
      <c r="A3693" s="4" t="s">
        <v>8224</v>
      </c>
      <c r="B3693" s="4">
        <v>6.6</v>
      </c>
      <c r="C3693" s="23" t="s">
        <v>9695</v>
      </c>
    </row>
    <row r="3694" spans="1:3" x14ac:dyDescent="0.3">
      <c r="A3694" s="3" t="s">
        <v>8226</v>
      </c>
      <c r="B3694" s="3">
        <v>8.6</v>
      </c>
      <c r="C3694" s="22" t="s">
        <v>9030</v>
      </c>
    </row>
    <row r="3695" spans="1:3" x14ac:dyDescent="0.3">
      <c r="A3695" s="4" t="s">
        <v>8228</v>
      </c>
      <c r="B3695" s="4">
        <v>6.4</v>
      </c>
      <c r="C3695" s="23" t="s">
        <v>8341</v>
      </c>
    </row>
    <row r="3696" spans="1:3" x14ac:dyDescent="0.3">
      <c r="A3696" s="3" t="s">
        <v>8230</v>
      </c>
      <c r="B3696" s="3">
        <v>7.9</v>
      </c>
      <c r="C3696" s="22" t="s">
        <v>8369</v>
      </c>
    </row>
    <row r="3697" spans="1:3" x14ac:dyDescent="0.3">
      <c r="A3697" s="4" t="s">
        <v>8232</v>
      </c>
      <c r="B3697" s="4">
        <v>5.4</v>
      </c>
      <c r="C3697" s="23" t="s">
        <v>9666</v>
      </c>
    </row>
    <row r="3698" spans="1:3" x14ac:dyDescent="0.3">
      <c r="A3698" s="3" t="s">
        <v>8234</v>
      </c>
      <c r="B3698" s="3">
        <v>6.9</v>
      </c>
      <c r="C3698" s="22" t="s">
        <v>9928</v>
      </c>
    </row>
    <row r="3699" spans="1:3" x14ac:dyDescent="0.3">
      <c r="A3699" s="4" t="s">
        <v>8236</v>
      </c>
      <c r="B3699" s="4">
        <v>7.7</v>
      </c>
      <c r="C3699" s="23" t="s">
        <v>9135</v>
      </c>
    </row>
    <row r="3700" spans="1:3" x14ac:dyDescent="0.3">
      <c r="A3700" s="3" t="s">
        <v>8238</v>
      </c>
      <c r="B3700" s="3">
        <v>7.2</v>
      </c>
      <c r="C3700" s="22" t="s">
        <v>9929</v>
      </c>
    </row>
    <row r="3701" spans="1:3" x14ac:dyDescent="0.3">
      <c r="A3701" s="4" t="s">
        <v>8240</v>
      </c>
      <c r="B3701" s="4">
        <v>6.8</v>
      </c>
      <c r="C3701" s="23" t="s">
        <v>9930</v>
      </c>
    </row>
    <row r="3702" spans="1:3" x14ac:dyDescent="0.3">
      <c r="A3702" s="3" t="s">
        <v>8242</v>
      </c>
      <c r="B3702" s="3">
        <v>6.2</v>
      </c>
      <c r="C3702" s="22" t="s">
        <v>9931</v>
      </c>
    </row>
    <row r="3703" spans="1:3" x14ac:dyDescent="0.3">
      <c r="A3703" s="4" t="s">
        <v>8244</v>
      </c>
      <c r="B3703" s="4">
        <v>7.4</v>
      </c>
      <c r="C3703" s="23" t="s">
        <v>8310</v>
      </c>
    </row>
    <row r="3704" spans="1:3" x14ac:dyDescent="0.3">
      <c r="A3704" s="3" t="s">
        <v>8247</v>
      </c>
      <c r="B3704" s="3">
        <v>4.5999999999999996</v>
      </c>
      <c r="C3704" s="22" t="s">
        <v>9493</v>
      </c>
    </row>
    <row r="3705" spans="1:3" x14ac:dyDescent="0.3">
      <c r="A3705" s="4" t="s">
        <v>8249</v>
      </c>
      <c r="B3705" s="4">
        <v>6.4</v>
      </c>
      <c r="C3705" s="23" t="s">
        <v>9932</v>
      </c>
    </row>
    <row r="3706" spans="1:3" x14ac:dyDescent="0.3">
      <c r="A3706" s="3" t="s">
        <v>8251</v>
      </c>
      <c r="B3706" s="3">
        <v>7</v>
      </c>
      <c r="C3706" s="22" t="s">
        <v>8854</v>
      </c>
    </row>
    <row r="3707" spans="1:3" x14ac:dyDescent="0.3">
      <c r="A3707" s="4" t="s">
        <v>8253</v>
      </c>
      <c r="B3707" s="4">
        <v>7.7</v>
      </c>
      <c r="C3707" s="23" t="s">
        <v>9435</v>
      </c>
    </row>
    <row r="3708" spans="1:3" x14ac:dyDescent="0.3">
      <c r="A3708" s="3" t="s">
        <v>8255</v>
      </c>
      <c r="B3708" s="3">
        <v>6.8</v>
      </c>
      <c r="C3708" s="22" t="s">
        <v>9511</v>
      </c>
    </row>
    <row r="3709" spans="1:3" x14ac:dyDescent="0.3">
      <c r="A3709" s="4" t="s">
        <v>8257</v>
      </c>
      <c r="B3709" s="4">
        <v>7</v>
      </c>
      <c r="C3709" s="23" t="s">
        <v>9933</v>
      </c>
    </row>
    <row r="3710" spans="1:3" x14ac:dyDescent="0.3">
      <c r="A3710" s="3" t="s">
        <v>8260</v>
      </c>
      <c r="B3710" s="3">
        <v>7</v>
      </c>
      <c r="C3710" s="22" t="s">
        <v>9852</v>
      </c>
    </row>
    <row r="3711" spans="1:3" x14ac:dyDescent="0.3">
      <c r="A3711" s="4" t="s">
        <v>8262</v>
      </c>
      <c r="B3711" s="4">
        <v>6.3</v>
      </c>
      <c r="C3711" s="23" t="s">
        <v>9934</v>
      </c>
    </row>
    <row r="3712" spans="1:3" x14ac:dyDescent="0.3">
      <c r="A3712" s="3" t="s">
        <v>8264</v>
      </c>
      <c r="B3712" s="3">
        <v>7.1</v>
      </c>
      <c r="C3712" s="22" t="s">
        <v>9935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944B8-107D-4B92-91C1-61BAF04972B5}">
  <dimension ref="A1:G3712"/>
  <sheetViews>
    <sheetView tabSelected="1" zoomScaleNormal="100" workbookViewId="0">
      <selection activeCell="M4" sqref="A1:XFD1048576"/>
    </sheetView>
  </sheetViews>
  <sheetFormatPr defaultRowHeight="14.4" x14ac:dyDescent="0.3"/>
  <cols>
    <col min="1" max="1" width="16.33203125" bestFit="1" customWidth="1"/>
    <col min="2" max="2" width="19" bestFit="1" customWidth="1"/>
    <col min="4" max="4" width="14.77734375" customWidth="1"/>
    <col min="6" max="6" width="12.77734375" bestFit="1" customWidth="1"/>
    <col min="7" max="7" width="17.109375" customWidth="1"/>
  </cols>
  <sheetData>
    <row r="1" spans="1:7" x14ac:dyDescent="0.3">
      <c r="A1" s="2" t="s">
        <v>9940</v>
      </c>
      <c r="B1" s="2" t="s">
        <v>9949</v>
      </c>
      <c r="D1" t="s">
        <v>9948</v>
      </c>
    </row>
    <row r="2" spans="1:7" x14ac:dyDescent="0.3">
      <c r="A2" s="42">
        <v>760505847</v>
      </c>
      <c r="B2" s="42">
        <v>237000000</v>
      </c>
      <c r="D2">
        <f t="shared" ref="D2:D65" si="0">A2-B2</f>
        <v>523505847</v>
      </c>
    </row>
    <row r="3" spans="1:7" x14ac:dyDescent="0.3">
      <c r="A3" s="43">
        <v>309404152</v>
      </c>
      <c r="B3" s="43">
        <v>300000000</v>
      </c>
      <c r="D3">
        <f t="shared" si="0"/>
        <v>9404152</v>
      </c>
      <c r="G3" s="45" t="s">
        <v>9950</v>
      </c>
    </row>
    <row r="4" spans="1:7" x14ac:dyDescent="0.3">
      <c r="A4" s="42">
        <v>200074175</v>
      </c>
      <c r="B4" s="42">
        <v>245000000</v>
      </c>
      <c r="D4">
        <f t="shared" si="0"/>
        <v>-44925825</v>
      </c>
      <c r="G4" s="44">
        <f>CORREL(A:A,B:B)</f>
        <v>9.5753134419054114E-2</v>
      </c>
    </row>
    <row r="5" spans="1:7" x14ac:dyDescent="0.3">
      <c r="A5" s="43">
        <v>448130642</v>
      </c>
      <c r="B5" s="43">
        <v>250000000</v>
      </c>
      <c r="D5">
        <f t="shared" si="0"/>
        <v>198130642</v>
      </c>
    </row>
    <row r="6" spans="1:7" x14ac:dyDescent="0.3">
      <c r="A6" s="42">
        <v>73058679</v>
      </c>
      <c r="B6" s="42">
        <v>263700000</v>
      </c>
      <c r="D6">
        <f t="shared" si="0"/>
        <v>-190641321</v>
      </c>
    </row>
    <row r="7" spans="1:7" x14ac:dyDescent="0.3">
      <c r="A7" s="43">
        <v>336530303</v>
      </c>
      <c r="B7" s="43">
        <v>258000000</v>
      </c>
      <c r="D7">
        <f t="shared" si="0"/>
        <v>78530303</v>
      </c>
      <c r="G7" s="17" t="s">
        <v>9951</v>
      </c>
    </row>
    <row r="8" spans="1:7" x14ac:dyDescent="0.3">
      <c r="A8" s="42">
        <v>200807262</v>
      </c>
      <c r="B8" s="42">
        <v>260000000</v>
      </c>
      <c r="D8">
        <f t="shared" si="0"/>
        <v>-59192738</v>
      </c>
      <c r="G8" s="44">
        <f>MAX(D:D)</f>
        <v>523505847</v>
      </c>
    </row>
    <row r="9" spans="1:7" x14ac:dyDescent="0.3">
      <c r="A9" s="43">
        <v>458991599</v>
      </c>
      <c r="B9" s="43">
        <v>250000000</v>
      </c>
      <c r="D9">
        <f t="shared" si="0"/>
        <v>208991599</v>
      </c>
    </row>
    <row r="10" spans="1:7" x14ac:dyDescent="0.3">
      <c r="A10" s="42">
        <v>301956980</v>
      </c>
      <c r="B10" s="42">
        <v>250000000</v>
      </c>
      <c r="D10">
        <f t="shared" si="0"/>
        <v>51956980</v>
      </c>
    </row>
    <row r="11" spans="1:7" x14ac:dyDescent="0.3">
      <c r="A11" s="43">
        <v>330249062</v>
      </c>
      <c r="B11" s="43">
        <v>250000000</v>
      </c>
      <c r="D11">
        <f t="shared" si="0"/>
        <v>80249062</v>
      </c>
    </row>
    <row r="12" spans="1:7" x14ac:dyDescent="0.3">
      <c r="A12" s="42">
        <v>168368427</v>
      </c>
      <c r="B12" s="42">
        <v>200000000</v>
      </c>
      <c r="D12">
        <f t="shared" si="0"/>
        <v>-31631573</v>
      </c>
    </row>
    <row r="13" spans="1:7" x14ac:dyDescent="0.3">
      <c r="A13" s="43">
        <v>423032628</v>
      </c>
      <c r="B13" s="43">
        <v>225000000</v>
      </c>
      <c r="D13">
        <f t="shared" si="0"/>
        <v>198032628</v>
      </c>
    </row>
    <row r="14" spans="1:7" x14ac:dyDescent="0.3">
      <c r="A14" s="42">
        <v>89289910</v>
      </c>
      <c r="B14" s="42">
        <v>215000000</v>
      </c>
      <c r="D14">
        <f t="shared" si="0"/>
        <v>-125710090</v>
      </c>
    </row>
    <row r="15" spans="1:7" x14ac:dyDescent="0.3">
      <c r="A15" s="43">
        <v>291021565</v>
      </c>
      <c r="B15" s="43">
        <v>225000000</v>
      </c>
      <c r="D15">
        <f t="shared" si="0"/>
        <v>66021565</v>
      </c>
    </row>
    <row r="16" spans="1:7" x14ac:dyDescent="0.3">
      <c r="A16" s="42">
        <v>141614023</v>
      </c>
      <c r="B16" s="42">
        <v>225000000</v>
      </c>
      <c r="D16">
        <f t="shared" si="0"/>
        <v>-83385977</v>
      </c>
    </row>
    <row r="17" spans="1:4" x14ac:dyDescent="0.3">
      <c r="A17" s="43">
        <v>623279547</v>
      </c>
      <c r="B17" s="43">
        <v>220000000</v>
      </c>
      <c r="D17">
        <f t="shared" si="0"/>
        <v>403279547</v>
      </c>
    </row>
    <row r="18" spans="1:4" x14ac:dyDescent="0.3">
      <c r="A18" s="42">
        <v>241063875</v>
      </c>
      <c r="B18" s="42">
        <v>250000000</v>
      </c>
      <c r="D18">
        <f t="shared" si="0"/>
        <v>-8936125</v>
      </c>
    </row>
    <row r="19" spans="1:4" x14ac:dyDescent="0.3">
      <c r="A19" s="43">
        <v>179020854</v>
      </c>
      <c r="B19" s="43">
        <v>225000000</v>
      </c>
      <c r="D19">
        <f t="shared" si="0"/>
        <v>-45979146</v>
      </c>
    </row>
    <row r="20" spans="1:4" x14ac:dyDescent="0.3">
      <c r="A20" s="42">
        <v>255108370</v>
      </c>
      <c r="B20" s="42">
        <v>250000000</v>
      </c>
      <c r="D20">
        <f t="shared" si="0"/>
        <v>5108370</v>
      </c>
    </row>
    <row r="21" spans="1:4" x14ac:dyDescent="0.3">
      <c r="A21" s="43">
        <v>262030663</v>
      </c>
      <c r="B21" s="43">
        <v>230000000</v>
      </c>
      <c r="D21">
        <f t="shared" si="0"/>
        <v>32030663</v>
      </c>
    </row>
    <row r="22" spans="1:4" x14ac:dyDescent="0.3">
      <c r="A22" s="42">
        <v>105219735</v>
      </c>
      <c r="B22" s="42">
        <v>200000000</v>
      </c>
      <c r="D22">
        <f t="shared" si="0"/>
        <v>-94780265</v>
      </c>
    </row>
    <row r="23" spans="1:4" x14ac:dyDescent="0.3">
      <c r="A23" s="43">
        <v>258355354</v>
      </c>
      <c r="B23" s="43">
        <v>225000000</v>
      </c>
      <c r="D23">
        <f t="shared" si="0"/>
        <v>33355354</v>
      </c>
    </row>
    <row r="24" spans="1:4" x14ac:dyDescent="0.3">
      <c r="A24" s="42">
        <v>70083519</v>
      </c>
      <c r="B24" s="42">
        <v>180000000</v>
      </c>
      <c r="D24">
        <f t="shared" si="0"/>
        <v>-109916481</v>
      </c>
    </row>
    <row r="25" spans="1:4" x14ac:dyDescent="0.3">
      <c r="A25" s="43">
        <v>218051260</v>
      </c>
      <c r="B25" s="43">
        <v>207000000</v>
      </c>
      <c r="D25">
        <f t="shared" si="0"/>
        <v>11051260</v>
      </c>
    </row>
    <row r="26" spans="1:4" x14ac:dyDescent="0.3">
      <c r="A26" s="42">
        <v>658672302</v>
      </c>
      <c r="B26" s="42">
        <v>200000000</v>
      </c>
      <c r="D26">
        <f t="shared" si="0"/>
        <v>458672302</v>
      </c>
    </row>
    <row r="27" spans="1:4" x14ac:dyDescent="0.3">
      <c r="A27" s="43">
        <v>407197282</v>
      </c>
      <c r="B27" s="43">
        <v>250000000</v>
      </c>
      <c r="D27">
        <f t="shared" si="0"/>
        <v>157197282</v>
      </c>
    </row>
    <row r="28" spans="1:4" x14ac:dyDescent="0.3">
      <c r="A28" s="42">
        <v>65173160</v>
      </c>
      <c r="B28" s="42">
        <v>209000000</v>
      </c>
      <c r="D28">
        <f t="shared" si="0"/>
        <v>-143826840</v>
      </c>
    </row>
    <row r="29" spans="1:4" x14ac:dyDescent="0.3">
      <c r="A29" s="43">
        <v>652177271</v>
      </c>
      <c r="B29" s="43">
        <v>150000000</v>
      </c>
      <c r="D29">
        <f t="shared" si="0"/>
        <v>502177271</v>
      </c>
    </row>
    <row r="30" spans="1:4" x14ac:dyDescent="0.3">
      <c r="A30" s="42">
        <v>304360277</v>
      </c>
      <c r="B30" s="42">
        <v>200000000</v>
      </c>
      <c r="D30">
        <f t="shared" si="0"/>
        <v>104360277</v>
      </c>
    </row>
    <row r="31" spans="1:4" x14ac:dyDescent="0.3">
      <c r="A31" s="43">
        <v>373377893</v>
      </c>
      <c r="B31" s="43">
        <v>200000000</v>
      </c>
      <c r="D31">
        <f t="shared" si="0"/>
        <v>173377893</v>
      </c>
    </row>
    <row r="32" spans="1:4" x14ac:dyDescent="0.3">
      <c r="A32" s="42">
        <v>408992272</v>
      </c>
      <c r="B32" s="42">
        <v>200000000</v>
      </c>
      <c r="D32">
        <f t="shared" si="0"/>
        <v>208992272</v>
      </c>
    </row>
    <row r="33" spans="1:4" x14ac:dyDescent="0.3">
      <c r="A33" s="43">
        <v>334185206</v>
      </c>
      <c r="B33" s="43">
        <v>200000000</v>
      </c>
      <c r="D33">
        <f t="shared" si="0"/>
        <v>134185206</v>
      </c>
    </row>
    <row r="34" spans="1:4" x14ac:dyDescent="0.3">
      <c r="A34" s="42">
        <v>234360014</v>
      </c>
      <c r="B34" s="42">
        <v>210000000</v>
      </c>
      <c r="D34">
        <f t="shared" si="0"/>
        <v>24360014</v>
      </c>
    </row>
    <row r="35" spans="1:4" x14ac:dyDescent="0.3">
      <c r="A35" s="43">
        <v>268488329</v>
      </c>
      <c r="B35" s="43">
        <v>200000000</v>
      </c>
      <c r="D35">
        <f t="shared" si="0"/>
        <v>68488329</v>
      </c>
    </row>
    <row r="36" spans="1:4" x14ac:dyDescent="0.3">
      <c r="A36" s="42">
        <v>402076689</v>
      </c>
      <c r="B36" s="42">
        <v>200000000</v>
      </c>
      <c r="D36">
        <f t="shared" si="0"/>
        <v>202076689</v>
      </c>
    </row>
    <row r="37" spans="1:4" x14ac:dyDescent="0.3">
      <c r="A37" s="43">
        <v>245428137</v>
      </c>
      <c r="B37" s="43">
        <v>210000000</v>
      </c>
      <c r="D37">
        <f t="shared" si="0"/>
        <v>35428137</v>
      </c>
    </row>
    <row r="38" spans="1:4" x14ac:dyDescent="0.3">
      <c r="A38" s="42">
        <v>234903076</v>
      </c>
      <c r="B38" s="42">
        <v>215000000</v>
      </c>
      <c r="D38">
        <f t="shared" si="0"/>
        <v>19903076</v>
      </c>
    </row>
    <row r="39" spans="1:4" x14ac:dyDescent="0.3">
      <c r="A39" s="43">
        <v>202853933</v>
      </c>
      <c r="B39" s="43">
        <v>200000000</v>
      </c>
      <c r="D39">
        <f t="shared" si="0"/>
        <v>2853933</v>
      </c>
    </row>
    <row r="40" spans="1:4" x14ac:dyDescent="0.3">
      <c r="A40" s="42">
        <v>172051787</v>
      </c>
      <c r="B40" s="42">
        <v>170000000</v>
      </c>
      <c r="D40">
        <f t="shared" si="0"/>
        <v>2051787</v>
      </c>
    </row>
    <row r="41" spans="1:4" x14ac:dyDescent="0.3">
      <c r="A41" s="43">
        <v>191450875</v>
      </c>
      <c r="B41" s="43">
        <v>200000000</v>
      </c>
      <c r="D41">
        <f t="shared" si="0"/>
        <v>-8549125</v>
      </c>
    </row>
    <row r="42" spans="1:4" x14ac:dyDescent="0.3">
      <c r="A42" s="42">
        <v>116593191</v>
      </c>
      <c r="B42" s="42">
        <v>200000000</v>
      </c>
      <c r="D42">
        <f t="shared" si="0"/>
        <v>-83406809</v>
      </c>
    </row>
    <row r="43" spans="1:4" x14ac:dyDescent="0.3">
      <c r="A43" s="43">
        <v>414984497</v>
      </c>
      <c r="B43" s="43">
        <v>200000000</v>
      </c>
      <c r="D43">
        <f t="shared" si="0"/>
        <v>214984497</v>
      </c>
    </row>
    <row r="44" spans="1:4" x14ac:dyDescent="0.3">
      <c r="A44" s="42">
        <v>125320003</v>
      </c>
      <c r="B44" s="42">
        <v>200000000</v>
      </c>
      <c r="D44">
        <f t="shared" si="0"/>
        <v>-74679997</v>
      </c>
    </row>
    <row r="45" spans="1:4" x14ac:dyDescent="0.3">
      <c r="A45" s="43">
        <v>350034110</v>
      </c>
      <c r="B45" s="43">
        <v>190000000</v>
      </c>
      <c r="D45">
        <f t="shared" si="0"/>
        <v>160034110</v>
      </c>
    </row>
    <row r="46" spans="1:4" x14ac:dyDescent="0.3">
      <c r="A46" s="42">
        <v>202351611</v>
      </c>
      <c r="B46" s="42">
        <v>190000000</v>
      </c>
      <c r="D46">
        <f t="shared" si="0"/>
        <v>12351611</v>
      </c>
    </row>
    <row r="47" spans="1:4" x14ac:dyDescent="0.3">
      <c r="A47" s="43">
        <v>233914986</v>
      </c>
      <c r="B47" s="43">
        <v>200000000</v>
      </c>
      <c r="D47">
        <f t="shared" si="0"/>
        <v>33914986</v>
      </c>
    </row>
    <row r="48" spans="1:4" x14ac:dyDescent="0.3">
      <c r="A48" s="42">
        <v>228756232</v>
      </c>
      <c r="B48" s="42">
        <v>190000000</v>
      </c>
      <c r="D48">
        <f t="shared" si="0"/>
        <v>38756232</v>
      </c>
    </row>
    <row r="49" spans="1:4" x14ac:dyDescent="0.3">
      <c r="A49" s="43">
        <v>65171860</v>
      </c>
      <c r="B49" s="43">
        <v>195000000</v>
      </c>
      <c r="D49">
        <f t="shared" si="0"/>
        <v>-129828140</v>
      </c>
    </row>
    <row r="50" spans="1:4" x14ac:dyDescent="0.3">
      <c r="A50" s="42">
        <v>144812796</v>
      </c>
      <c r="B50" s="42">
        <v>105000000</v>
      </c>
      <c r="D50">
        <f t="shared" si="0"/>
        <v>39812796</v>
      </c>
    </row>
    <row r="51" spans="1:4" x14ac:dyDescent="0.3">
      <c r="A51" s="43">
        <v>90755643</v>
      </c>
      <c r="B51" s="43">
        <v>200000000</v>
      </c>
      <c r="D51">
        <f t="shared" si="0"/>
        <v>-109244357</v>
      </c>
    </row>
    <row r="52" spans="1:4" x14ac:dyDescent="0.3">
      <c r="A52" s="42">
        <v>101785482</v>
      </c>
      <c r="B52" s="42">
        <v>190000000</v>
      </c>
      <c r="D52">
        <f t="shared" si="0"/>
        <v>-88214518</v>
      </c>
    </row>
    <row r="53" spans="1:4" x14ac:dyDescent="0.3">
      <c r="A53" s="43">
        <v>352358779</v>
      </c>
      <c r="B53" s="43">
        <v>195000000</v>
      </c>
      <c r="D53">
        <f t="shared" si="0"/>
        <v>157358779</v>
      </c>
    </row>
    <row r="54" spans="1:4" x14ac:dyDescent="0.3">
      <c r="A54" s="42">
        <v>317011114</v>
      </c>
      <c r="B54" s="42">
        <v>185000000</v>
      </c>
      <c r="D54">
        <f t="shared" si="0"/>
        <v>132011114</v>
      </c>
    </row>
    <row r="55" spans="1:4" x14ac:dyDescent="0.3">
      <c r="A55" s="43">
        <v>237282182</v>
      </c>
      <c r="B55" s="43">
        <v>185000000</v>
      </c>
      <c r="D55">
        <f t="shared" si="0"/>
        <v>52282182</v>
      </c>
    </row>
    <row r="56" spans="1:4" x14ac:dyDescent="0.3">
      <c r="A56" s="42">
        <v>130468626</v>
      </c>
      <c r="B56" s="42">
        <v>185000000</v>
      </c>
      <c r="D56">
        <f t="shared" si="0"/>
        <v>-54531374</v>
      </c>
    </row>
    <row r="57" spans="1:4" x14ac:dyDescent="0.3">
      <c r="A57" s="43">
        <v>223806889</v>
      </c>
      <c r="B57" s="43">
        <v>180000000</v>
      </c>
      <c r="D57">
        <f t="shared" si="0"/>
        <v>43806889</v>
      </c>
    </row>
    <row r="58" spans="1:4" x14ac:dyDescent="0.3">
      <c r="A58" s="42">
        <v>140080850</v>
      </c>
      <c r="B58" s="42">
        <v>140000000</v>
      </c>
      <c r="D58">
        <f t="shared" si="0"/>
        <v>80850</v>
      </c>
    </row>
    <row r="59" spans="1:4" x14ac:dyDescent="0.3">
      <c r="A59" s="43">
        <v>166112167</v>
      </c>
      <c r="B59" s="43">
        <v>200000000</v>
      </c>
      <c r="D59">
        <f t="shared" si="0"/>
        <v>-33887833</v>
      </c>
    </row>
    <row r="60" spans="1:4" x14ac:dyDescent="0.3">
      <c r="A60" s="42">
        <v>137850096</v>
      </c>
      <c r="B60" s="42">
        <v>200000000</v>
      </c>
      <c r="D60">
        <f t="shared" si="0"/>
        <v>-62149904</v>
      </c>
    </row>
    <row r="61" spans="1:4" x14ac:dyDescent="0.3">
      <c r="A61" s="43">
        <v>47375327</v>
      </c>
      <c r="B61" s="43">
        <v>176000000</v>
      </c>
      <c r="D61">
        <f t="shared" si="0"/>
        <v>-128624673</v>
      </c>
    </row>
    <row r="62" spans="1:4" x14ac:dyDescent="0.3">
      <c r="A62" s="42">
        <v>124051759</v>
      </c>
      <c r="B62" s="42">
        <v>180000000</v>
      </c>
      <c r="D62">
        <f t="shared" si="0"/>
        <v>-55948241</v>
      </c>
    </row>
    <row r="63" spans="1:4" x14ac:dyDescent="0.3">
      <c r="A63" s="43">
        <v>291709845</v>
      </c>
      <c r="B63" s="43">
        <v>180000000</v>
      </c>
      <c r="D63">
        <f t="shared" si="0"/>
        <v>111709845</v>
      </c>
    </row>
    <row r="64" spans="1:4" x14ac:dyDescent="0.3">
      <c r="A64" s="42">
        <v>154985087</v>
      </c>
      <c r="B64" s="42">
        <v>178000000</v>
      </c>
      <c r="D64">
        <f t="shared" si="0"/>
        <v>-23014913</v>
      </c>
    </row>
    <row r="65" spans="1:4" x14ac:dyDescent="0.3">
      <c r="A65" s="43">
        <v>533316061</v>
      </c>
      <c r="B65" s="43">
        <v>185000000</v>
      </c>
      <c r="D65">
        <f t="shared" si="0"/>
        <v>348316061</v>
      </c>
    </row>
    <row r="66" spans="1:4" x14ac:dyDescent="0.3">
      <c r="A66" s="42">
        <v>292979556</v>
      </c>
      <c r="B66" s="42">
        <v>175000000</v>
      </c>
      <c r="D66">
        <f t="shared" ref="D66:D129" si="1">A66-B66</f>
        <v>117979556</v>
      </c>
    </row>
    <row r="67" spans="1:4" x14ac:dyDescent="0.3">
      <c r="A67" s="43">
        <v>198332128</v>
      </c>
      <c r="B67" s="43">
        <v>175000000</v>
      </c>
      <c r="D67">
        <f t="shared" si="1"/>
        <v>23332128</v>
      </c>
    </row>
    <row r="68" spans="1:4" x14ac:dyDescent="0.3">
      <c r="A68" s="42">
        <v>318298180</v>
      </c>
      <c r="B68" s="42">
        <v>140000000</v>
      </c>
      <c r="D68">
        <f t="shared" si="1"/>
        <v>178298180</v>
      </c>
    </row>
    <row r="69" spans="1:4" x14ac:dyDescent="0.3">
      <c r="A69" s="43">
        <v>73820094</v>
      </c>
      <c r="B69" s="43">
        <v>170000000</v>
      </c>
      <c r="D69">
        <f t="shared" si="1"/>
        <v>-96179906</v>
      </c>
    </row>
    <row r="70" spans="1:4" x14ac:dyDescent="0.3">
      <c r="A70" s="42">
        <v>113745408</v>
      </c>
      <c r="B70" s="42">
        <v>170000000</v>
      </c>
      <c r="D70">
        <f t="shared" si="1"/>
        <v>-56254592</v>
      </c>
    </row>
    <row r="71" spans="1:4" x14ac:dyDescent="0.3">
      <c r="A71" s="43">
        <v>102176165</v>
      </c>
      <c r="B71" s="43">
        <v>145000000</v>
      </c>
      <c r="D71">
        <f t="shared" si="1"/>
        <v>-42823835</v>
      </c>
    </row>
    <row r="72" spans="1:4" x14ac:dyDescent="0.3">
      <c r="A72" s="42">
        <v>161087183</v>
      </c>
      <c r="B72" s="42">
        <v>175000000</v>
      </c>
      <c r="D72">
        <f t="shared" si="1"/>
        <v>-13912817</v>
      </c>
    </row>
    <row r="73" spans="1:4" x14ac:dyDescent="0.3">
      <c r="A73" s="43">
        <v>100289690</v>
      </c>
      <c r="B73" s="43">
        <v>175000000</v>
      </c>
      <c r="D73">
        <f t="shared" si="1"/>
        <v>-74710310</v>
      </c>
    </row>
    <row r="74" spans="1:4" x14ac:dyDescent="0.3">
      <c r="A74" s="42">
        <v>100189501</v>
      </c>
      <c r="B74" s="42">
        <v>178000000</v>
      </c>
      <c r="D74">
        <f t="shared" si="1"/>
        <v>-77810499</v>
      </c>
    </row>
    <row r="75" spans="1:4" x14ac:dyDescent="0.3">
      <c r="A75" s="43">
        <v>88246220</v>
      </c>
      <c r="B75" s="43">
        <v>175000000</v>
      </c>
      <c r="D75">
        <f t="shared" si="1"/>
        <v>-86753780</v>
      </c>
    </row>
    <row r="76" spans="1:4" x14ac:dyDescent="0.3">
      <c r="A76" s="42">
        <v>150167630</v>
      </c>
      <c r="B76" s="42">
        <v>175000000</v>
      </c>
      <c r="D76">
        <f t="shared" si="1"/>
        <v>-24832370</v>
      </c>
    </row>
    <row r="77" spans="1:4" x14ac:dyDescent="0.3">
      <c r="A77" s="43">
        <v>356454367</v>
      </c>
      <c r="B77" s="43">
        <v>175000000</v>
      </c>
      <c r="D77">
        <f t="shared" si="1"/>
        <v>181454367</v>
      </c>
    </row>
    <row r="78" spans="1:4" x14ac:dyDescent="0.3">
      <c r="A78" s="42">
        <v>362645141</v>
      </c>
      <c r="B78" s="42">
        <v>175000000</v>
      </c>
      <c r="D78">
        <f t="shared" si="1"/>
        <v>187645141</v>
      </c>
    </row>
    <row r="79" spans="1:4" x14ac:dyDescent="0.3">
      <c r="A79" s="43">
        <v>312057433</v>
      </c>
      <c r="B79" s="43">
        <v>200000000</v>
      </c>
      <c r="D79">
        <f t="shared" si="1"/>
        <v>112057433</v>
      </c>
    </row>
    <row r="80" spans="1:4" x14ac:dyDescent="0.3">
      <c r="A80" s="42">
        <v>155111815</v>
      </c>
      <c r="B80" s="42">
        <v>170000000</v>
      </c>
      <c r="D80">
        <f t="shared" si="1"/>
        <v>-14888185</v>
      </c>
    </row>
    <row r="81" spans="1:4" x14ac:dyDescent="0.3">
      <c r="A81" s="43">
        <v>241407328</v>
      </c>
      <c r="B81" s="43">
        <v>180000000</v>
      </c>
      <c r="D81">
        <f t="shared" si="1"/>
        <v>61407328</v>
      </c>
    </row>
    <row r="82" spans="1:4" x14ac:dyDescent="0.3">
      <c r="A82" s="42">
        <v>208543795</v>
      </c>
      <c r="B82" s="42">
        <v>170000000</v>
      </c>
      <c r="D82">
        <f t="shared" si="1"/>
        <v>38543795</v>
      </c>
    </row>
    <row r="83" spans="1:4" x14ac:dyDescent="0.3">
      <c r="A83" s="43">
        <v>38297305</v>
      </c>
      <c r="B83" s="43">
        <v>175000000</v>
      </c>
      <c r="D83">
        <f t="shared" si="1"/>
        <v>-136702695</v>
      </c>
    </row>
    <row r="84" spans="1:4" x14ac:dyDescent="0.3">
      <c r="A84" s="42">
        <v>259746958</v>
      </c>
      <c r="B84" s="42">
        <v>170000000</v>
      </c>
      <c r="D84">
        <f t="shared" si="1"/>
        <v>89746958</v>
      </c>
    </row>
    <row r="85" spans="1:4" x14ac:dyDescent="0.3">
      <c r="A85" s="43">
        <v>238371987</v>
      </c>
      <c r="B85" s="43">
        <v>165000000</v>
      </c>
      <c r="D85">
        <f t="shared" si="1"/>
        <v>73371987</v>
      </c>
    </row>
    <row r="86" spans="1:4" x14ac:dyDescent="0.3">
      <c r="A86" s="42">
        <v>93417865</v>
      </c>
      <c r="B86" s="42">
        <v>190000000</v>
      </c>
      <c r="D86">
        <f t="shared" si="1"/>
        <v>-96582135</v>
      </c>
    </row>
    <row r="87" spans="1:4" x14ac:dyDescent="0.3">
      <c r="A87" s="43">
        <v>222487711</v>
      </c>
      <c r="B87" s="43">
        <v>165000000</v>
      </c>
      <c r="D87">
        <f t="shared" si="1"/>
        <v>57487711</v>
      </c>
    </row>
    <row r="88" spans="1:4" x14ac:dyDescent="0.3">
      <c r="A88" s="42">
        <v>189412677</v>
      </c>
      <c r="B88" s="42">
        <v>165000000</v>
      </c>
      <c r="D88">
        <f t="shared" si="1"/>
        <v>24412677</v>
      </c>
    </row>
    <row r="89" spans="1:4" x14ac:dyDescent="0.3">
      <c r="A89" s="43">
        <v>665426</v>
      </c>
      <c r="B89" s="43">
        <v>165000000</v>
      </c>
      <c r="D89">
        <f t="shared" si="1"/>
        <v>-164334574</v>
      </c>
    </row>
    <row r="90" spans="1:4" x14ac:dyDescent="0.3">
      <c r="A90" s="42">
        <v>102315545</v>
      </c>
      <c r="B90" s="42">
        <v>165000000</v>
      </c>
      <c r="D90">
        <f t="shared" si="1"/>
        <v>-62684455</v>
      </c>
    </row>
    <row r="91" spans="1:4" x14ac:dyDescent="0.3">
      <c r="A91" s="43">
        <v>217387997</v>
      </c>
      <c r="B91" s="43">
        <v>165000000</v>
      </c>
      <c r="D91">
        <f t="shared" si="1"/>
        <v>52387997</v>
      </c>
    </row>
    <row r="92" spans="1:4" x14ac:dyDescent="0.3">
      <c r="A92" s="42">
        <v>150350192</v>
      </c>
      <c r="B92" s="42">
        <v>200000000</v>
      </c>
      <c r="D92">
        <f t="shared" si="1"/>
        <v>-49649808</v>
      </c>
    </row>
    <row r="93" spans="1:4" x14ac:dyDescent="0.3">
      <c r="A93" s="43">
        <v>333130696</v>
      </c>
      <c r="B93" s="43">
        <v>170000000</v>
      </c>
      <c r="D93">
        <f t="shared" si="1"/>
        <v>163130696</v>
      </c>
    </row>
    <row r="94" spans="1:4" x14ac:dyDescent="0.3">
      <c r="A94" s="42">
        <v>187991439</v>
      </c>
      <c r="B94" s="42">
        <v>165000000</v>
      </c>
      <c r="D94">
        <f t="shared" si="1"/>
        <v>22991439</v>
      </c>
    </row>
    <row r="95" spans="1:4" x14ac:dyDescent="0.3">
      <c r="A95" s="43">
        <v>292568851</v>
      </c>
      <c r="B95" s="43">
        <v>160000000</v>
      </c>
      <c r="D95">
        <f t="shared" si="1"/>
        <v>132568851</v>
      </c>
    </row>
    <row r="96" spans="1:4" x14ac:dyDescent="0.3">
      <c r="A96" s="42">
        <v>303001229</v>
      </c>
      <c r="B96" s="42">
        <v>180000000</v>
      </c>
      <c r="D96">
        <f t="shared" si="1"/>
        <v>123001229</v>
      </c>
    </row>
    <row r="97" spans="1:4" x14ac:dyDescent="0.3">
      <c r="A97" s="43">
        <v>144512310</v>
      </c>
      <c r="B97" s="43">
        <v>38000000</v>
      </c>
      <c r="D97">
        <f t="shared" si="1"/>
        <v>106512310</v>
      </c>
    </row>
    <row r="98" spans="1:4" x14ac:dyDescent="0.3">
      <c r="A98" s="42">
        <v>127490802</v>
      </c>
      <c r="B98" s="42">
        <v>150000000</v>
      </c>
      <c r="D98">
        <f t="shared" si="1"/>
        <v>-22509198</v>
      </c>
    </row>
    <row r="99" spans="1:4" x14ac:dyDescent="0.3">
      <c r="A99" s="43">
        <v>146405371</v>
      </c>
      <c r="B99" s="43">
        <v>160000000</v>
      </c>
      <c r="D99">
        <f t="shared" si="1"/>
        <v>-13594629</v>
      </c>
    </row>
    <row r="100" spans="1:4" x14ac:dyDescent="0.3">
      <c r="A100" s="42">
        <v>281666058</v>
      </c>
      <c r="B100" s="42">
        <v>160000000</v>
      </c>
      <c r="D100">
        <f t="shared" si="1"/>
        <v>121666058</v>
      </c>
    </row>
    <row r="101" spans="1:4" x14ac:dyDescent="0.3">
      <c r="A101" s="43">
        <v>63143812</v>
      </c>
      <c r="B101" s="43">
        <v>150000000</v>
      </c>
      <c r="D101">
        <f t="shared" si="1"/>
        <v>-86856188</v>
      </c>
    </row>
    <row r="102" spans="1:4" x14ac:dyDescent="0.3">
      <c r="A102" s="42">
        <v>60655503</v>
      </c>
      <c r="B102" s="42">
        <v>160000000</v>
      </c>
      <c r="D102">
        <f t="shared" si="1"/>
        <v>-99344497</v>
      </c>
    </row>
    <row r="103" spans="1:4" x14ac:dyDescent="0.3">
      <c r="A103" s="43">
        <v>76846624</v>
      </c>
      <c r="B103" s="43">
        <v>170000000</v>
      </c>
      <c r="D103">
        <f t="shared" si="1"/>
        <v>-93153376</v>
      </c>
    </row>
    <row r="104" spans="1:4" x14ac:dyDescent="0.3">
      <c r="A104" s="42">
        <v>320706665</v>
      </c>
      <c r="B104" s="42">
        <v>160000000</v>
      </c>
      <c r="D104">
        <f t="shared" si="1"/>
        <v>160706665</v>
      </c>
    </row>
    <row r="105" spans="1:4" x14ac:dyDescent="0.3">
      <c r="A105" s="43">
        <v>46978995</v>
      </c>
      <c r="B105" s="43">
        <v>160000000</v>
      </c>
      <c r="D105">
        <f t="shared" si="1"/>
        <v>-113021005</v>
      </c>
    </row>
    <row r="106" spans="1:4" x14ac:dyDescent="0.3">
      <c r="A106" s="42">
        <v>89732035</v>
      </c>
      <c r="B106" s="42">
        <v>155000000</v>
      </c>
      <c r="D106">
        <f t="shared" si="1"/>
        <v>-65267965</v>
      </c>
    </row>
    <row r="107" spans="1:4" x14ac:dyDescent="0.3">
      <c r="A107" s="43">
        <v>104383624</v>
      </c>
      <c r="B107" s="43">
        <v>155000000</v>
      </c>
      <c r="D107">
        <f t="shared" si="1"/>
        <v>-50616376</v>
      </c>
    </row>
    <row r="108" spans="1:4" x14ac:dyDescent="0.3">
      <c r="A108" s="42">
        <v>198539855</v>
      </c>
      <c r="B108" s="42">
        <v>140000000</v>
      </c>
      <c r="D108">
        <f t="shared" si="1"/>
        <v>58539855</v>
      </c>
    </row>
    <row r="109" spans="1:4" x14ac:dyDescent="0.3">
      <c r="A109" s="43">
        <v>318759914</v>
      </c>
      <c r="B109" s="43">
        <v>150000000</v>
      </c>
      <c r="D109">
        <f t="shared" si="1"/>
        <v>168759914</v>
      </c>
    </row>
    <row r="110" spans="1:4" x14ac:dyDescent="0.3">
      <c r="A110" s="42">
        <v>34293771</v>
      </c>
      <c r="B110" s="42">
        <v>155000000</v>
      </c>
      <c r="D110">
        <f t="shared" si="1"/>
        <v>-120706229</v>
      </c>
    </row>
    <row r="111" spans="1:4" x14ac:dyDescent="0.3">
      <c r="A111" s="43">
        <v>292000866</v>
      </c>
      <c r="B111" s="43">
        <v>150000000</v>
      </c>
      <c r="D111">
        <f t="shared" si="1"/>
        <v>142000866</v>
      </c>
    </row>
    <row r="112" spans="1:4" x14ac:dyDescent="0.3">
      <c r="A112" s="42">
        <v>289994397</v>
      </c>
      <c r="B112" s="42">
        <v>150000000</v>
      </c>
      <c r="D112">
        <f t="shared" si="1"/>
        <v>139994397</v>
      </c>
    </row>
    <row r="113" spans="1:4" x14ac:dyDescent="0.3">
      <c r="A113" s="43">
        <v>227946274</v>
      </c>
      <c r="B113" s="43">
        <v>150000000</v>
      </c>
      <c r="D113">
        <f t="shared" si="1"/>
        <v>77946274</v>
      </c>
    </row>
    <row r="114" spans="1:4" x14ac:dyDescent="0.3">
      <c r="A114" s="42">
        <v>256386216</v>
      </c>
      <c r="B114" s="42">
        <v>150000000</v>
      </c>
      <c r="D114">
        <f t="shared" si="1"/>
        <v>106386216</v>
      </c>
    </row>
    <row r="115" spans="1:4" x14ac:dyDescent="0.3">
      <c r="A115" s="43">
        <v>206456431</v>
      </c>
      <c r="B115" s="43">
        <v>150000000</v>
      </c>
      <c r="D115">
        <f t="shared" si="1"/>
        <v>56456431</v>
      </c>
    </row>
    <row r="116" spans="1:4" x14ac:dyDescent="0.3">
      <c r="A116" s="42">
        <v>206435493</v>
      </c>
      <c r="B116" s="42">
        <v>150000000</v>
      </c>
      <c r="D116">
        <f t="shared" si="1"/>
        <v>56435493</v>
      </c>
    </row>
    <row r="117" spans="1:4" x14ac:dyDescent="0.3">
      <c r="A117" s="43">
        <v>205343774</v>
      </c>
      <c r="B117" s="43">
        <v>150000000</v>
      </c>
      <c r="D117">
        <f t="shared" si="1"/>
        <v>55343774</v>
      </c>
    </row>
    <row r="118" spans="1:4" x14ac:dyDescent="0.3">
      <c r="A118" s="42">
        <v>179982968</v>
      </c>
      <c r="B118" s="42">
        <v>150000000</v>
      </c>
      <c r="D118">
        <f t="shared" si="1"/>
        <v>29982968</v>
      </c>
    </row>
    <row r="119" spans="1:4" x14ac:dyDescent="0.3">
      <c r="A119" s="43">
        <v>177243721</v>
      </c>
      <c r="B119" s="43">
        <v>150000000</v>
      </c>
      <c r="D119">
        <f t="shared" si="1"/>
        <v>27243721</v>
      </c>
    </row>
    <row r="120" spans="1:4" x14ac:dyDescent="0.3">
      <c r="A120" s="42">
        <v>179883016</v>
      </c>
      <c r="B120" s="42">
        <v>150000000</v>
      </c>
      <c r="D120">
        <f t="shared" si="1"/>
        <v>29883016</v>
      </c>
    </row>
    <row r="121" spans="1:4" x14ac:dyDescent="0.3">
      <c r="A121" s="43">
        <v>139259759</v>
      </c>
      <c r="B121" s="43">
        <v>150000000</v>
      </c>
      <c r="D121">
        <f t="shared" si="1"/>
        <v>-10740241</v>
      </c>
    </row>
    <row r="122" spans="1:4" x14ac:dyDescent="0.3">
      <c r="A122" s="42">
        <v>400736600</v>
      </c>
      <c r="B122" s="42">
        <v>150000000</v>
      </c>
      <c r="D122">
        <f t="shared" si="1"/>
        <v>250736600</v>
      </c>
    </row>
    <row r="123" spans="1:4" x14ac:dyDescent="0.3">
      <c r="A123" s="43">
        <v>281492479</v>
      </c>
      <c r="B123" s="43">
        <v>150000000</v>
      </c>
      <c r="D123">
        <f t="shared" si="1"/>
        <v>131492479</v>
      </c>
    </row>
    <row r="124" spans="1:4" x14ac:dyDescent="0.3">
      <c r="A124" s="42">
        <v>206360018</v>
      </c>
      <c r="B124" s="42">
        <v>170000000</v>
      </c>
      <c r="D124">
        <f t="shared" si="1"/>
        <v>36360018</v>
      </c>
    </row>
    <row r="125" spans="1:4" x14ac:dyDescent="0.3">
      <c r="A125" s="43">
        <v>153629485</v>
      </c>
      <c r="B125" s="43">
        <v>150000000</v>
      </c>
      <c r="D125">
        <f t="shared" si="1"/>
        <v>3629485</v>
      </c>
    </row>
    <row r="126" spans="1:4" x14ac:dyDescent="0.3">
      <c r="A126" s="42">
        <v>133375846</v>
      </c>
      <c r="B126" s="42">
        <v>150000000</v>
      </c>
      <c r="D126">
        <f t="shared" si="1"/>
        <v>-16624154</v>
      </c>
    </row>
    <row r="127" spans="1:4" x14ac:dyDescent="0.3">
      <c r="A127" s="43">
        <v>181015141</v>
      </c>
      <c r="B127" s="43">
        <v>150000000</v>
      </c>
      <c r="D127">
        <f t="shared" si="1"/>
        <v>31015141</v>
      </c>
    </row>
    <row r="128" spans="1:4" x14ac:dyDescent="0.3">
      <c r="A128" s="42">
        <v>114053579</v>
      </c>
      <c r="B128" s="42">
        <v>150000000</v>
      </c>
      <c r="D128">
        <f t="shared" si="1"/>
        <v>-35946421</v>
      </c>
    </row>
    <row r="129" spans="1:4" x14ac:dyDescent="0.3">
      <c r="A129" s="43">
        <v>119420252</v>
      </c>
      <c r="B129" s="43">
        <v>150000000</v>
      </c>
      <c r="D129">
        <f t="shared" si="1"/>
        <v>-30579748</v>
      </c>
    </row>
    <row r="130" spans="1:4" x14ac:dyDescent="0.3">
      <c r="A130" s="42">
        <v>83640426</v>
      </c>
      <c r="B130" s="42">
        <v>150000000</v>
      </c>
      <c r="D130">
        <f t="shared" ref="D130:D193" si="2">A130-B130</f>
        <v>-66359574</v>
      </c>
    </row>
    <row r="131" spans="1:4" x14ac:dyDescent="0.3">
      <c r="A131" s="43">
        <v>79711678</v>
      </c>
      <c r="B131" s="43">
        <v>100000000</v>
      </c>
      <c r="D131">
        <f t="shared" si="2"/>
        <v>-20288322</v>
      </c>
    </row>
    <row r="132" spans="1:4" x14ac:dyDescent="0.3">
      <c r="A132" s="42">
        <v>195000874</v>
      </c>
      <c r="B132" s="42">
        <v>150000000</v>
      </c>
      <c r="D132">
        <f t="shared" si="2"/>
        <v>45000874</v>
      </c>
    </row>
    <row r="133" spans="1:4" x14ac:dyDescent="0.3">
      <c r="A133" s="43">
        <v>61937495</v>
      </c>
      <c r="B133" s="43">
        <v>150000000</v>
      </c>
      <c r="D133">
        <f t="shared" si="2"/>
        <v>-88062505</v>
      </c>
    </row>
    <row r="134" spans="1:4" x14ac:dyDescent="0.3">
      <c r="A134" s="42">
        <v>126597121</v>
      </c>
      <c r="B134" s="42">
        <v>150000000</v>
      </c>
      <c r="D134">
        <f t="shared" si="2"/>
        <v>-23402879</v>
      </c>
    </row>
    <row r="135" spans="1:4" x14ac:dyDescent="0.3">
      <c r="A135" s="43">
        <v>165230261</v>
      </c>
      <c r="B135" s="43">
        <v>150000000</v>
      </c>
      <c r="D135">
        <f t="shared" si="2"/>
        <v>15230261</v>
      </c>
    </row>
    <row r="136" spans="1:4" x14ac:dyDescent="0.3">
      <c r="A136" s="42">
        <v>131564731</v>
      </c>
      <c r="B136" s="42">
        <v>150000000</v>
      </c>
      <c r="D136">
        <f t="shared" si="2"/>
        <v>-18435269</v>
      </c>
    </row>
    <row r="137" spans="1:4" x14ac:dyDescent="0.3">
      <c r="A137" s="43">
        <v>133382309</v>
      </c>
      <c r="B137" s="43">
        <v>150000000</v>
      </c>
      <c r="D137">
        <f t="shared" si="2"/>
        <v>-16617691</v>
      </c>
    </row>
    <row r="138" spans="1:4" x14ac:dyDescent="0.3">
      <c r="A138" s="42">
        <v>73103784</v>
      </c>
      <c r="B138" s="42">
        <v>150000000</v>
      </c>
      <c r="D138">
        <f t="shared" si="2"/>
        <v>-76896216</v>
      </c>
    </row>
    <row r="139" spans="1:4" x14ac:dyDescent="0.3">
      <c r="A139" s="43">
        <v>21379315</v>
      </c>
      <c r="B139" s="43">
        <v>150000000</v>
      </c>
      <c r="D139">
        <f t="shared" si="2"/>
        <v>-128620685</v>
      </c>
    </row>
    <row r="140" spans="1:4" x14ac:dyDescent="0.3">
      <c r="A140" s="42">
        <v>64459316</v>
      </c>
      <c r="B140" s="42">
        <v>149000000</v>
      </c>
      <c r="D140">
        <f t="shared" si="2"/>
        <v>-84540684</v>
      </c>
    </row>
    <row r="141" spans="1:4" x14ac:dyDescent="0.3">
      <c r="A141" s="43">
        <v>34964818</v>
      </c>
      <c r="B141" s="43">
        <v>150000000</v>
      </c>
      <c r="D141">
        <f t="shared" si="2"/>
        <v>-115035182</v>
      </c>
    </row>
    <row r="142" spans="1:4" x14ac:dyDescent="0.3">
      <c r="A142" s="42">
        <v>111505642</v>
      </c>
      <c r="B142" s="42">
        <v>145000000</v>
      </c>
      <c r="D142">
        <f t="shared" si="2"/>
        <v>-33494358</v>
      </c>
    </row>
    <row r="143" spans="1:4" x14ac:dyDescent="0.3">
      <c r="A143" s="43">
        <v>133228348</v>
      </c>
      <c r="B143" s="43">
        <v>175000000</v>
      </c>
      <c r="D143">
        <f t="shared" si="2"/>
        <v>-41771652</v>
      </c>
    </row>
    <row r="144" spans="1:4" x14ac:dyDescent="0.3">
      <c r="A144" s="42">
        <v>216366733</v>
      </c>
      <c r="B144" s="42">
        <v>145000000</v>
      </c>
      <c r="D144">
        <f t="shared" si="2"/>
        <v>71366733</v>
      </c>
    </row>
    <row r="145" spans="1:4" x14ac:dyDescent="0.3">
      <c r="A145" s="43">
        <v>160201106</v>
      </c>
      <c r="B145" s="43">
        <v>142000000</v>
      </c>
      <c r="D145">
        <f t="shared" si="2"/>
        <v>18201106</v>
      </c>
    </row>
    <row r="146" spans="1:4" x14ac:dyDescent="0.3">
      <c r="A146" s="42">
        <v>118099659</v>
      </c>
      <c r="B146" s="42">
        <v>144000000</v>
      </c>
      <c r="D146">
        <f t="shared" si="2"/>
        <v>-25900341</v>
      </c>
    </row>
    <row r="147" spans="1:4" x14ac:dyDescent="0.3">
      <c r="A147" s="43">
        <v>201573391</v>
      </c>
      <c r="B147" s="43">
        <v>140000000</v>
      </c>
      <c r="D147">
        <f t="shared" si="2"/>
        <v>61573391</v>
      </c>
    </row>
    <row r="148" spans="1:4" x14ac:dyDescent="0.3">
      <c r="A148" s="42">
        <v>190418803</v>
      </c>
      <c r="B148" s="42">
        <v>140000000</v>
      </c>
      <c r="D148">
        <f t="shared" si="2"/>
        <v>50418803</v>
      </c>
    </row>
    <row r="149" spans="1:4" x14ac:dyDescent="0.3">
      <c r="A149" s="43">
        <v>82161969</v>
      </c>
      <c r="B149" s="43">
        <v>150000000</v>
      </c>
      <c r="D149">
        <f t="shared" si="2"/>
        <v>-67838031</v>
      </c>
    </row>
    <row r="150" spans="1:4" x14ac:dyDescent="0.3">
      <c r="A150" s="42">
        <v>143523463</v>
      </c>
      <c r="B150" s="42">
        <v>145000000</v>
      </c>
      <c r="D150">
        <f t="shared" si="2"/>
        <v>-1476537</v>
      </c>
    </row>
    <row r="151" spans="1:4" x14ac:dyDescent="0.3">
      <c r="A151" s="43">
        <v>209364921</v>
      </c>
      <c r="B151" s="43">
        <v>145000000</v>
      </c>
      <c r="D151">
        <f t="shared" si="2"/>
        <v>64364921</v>
      </c>
    </row>
    <row r="152" spans="1:4" x14ac:dyDescent="0.3">
      <c r="A152" s="42">
        <v>103400692</v>
      </c>
      <c r="B152" s="42">
        <v>145000000</v>
      </c>
      <c r="D152">
        <f t="shared" si="2"/>
        <v>-41599308</v>
      </c>
    </row>
    <row r="153" spans="1:4" x14ac:dyDescent="0.3">
      <c r="A153" s="43">
        <v>110332737</v>
      </c>
      <c r="B153" s="43">
        <v>100000000</v>
      </c>
      <c r="D153">
        <f t="shared" si="2"/>
        <v>10332737</v>
      </c>
    </row>
    <row r="154" spans="1:4" x14ac:dyDescent="0.3">
      <c r="A154" s="42">
        <v>111110575</v>
      </c>
      <c r="B154" s="42">
        <v>140000000</v>
      </c>
      <c r="D154">
        <f t="shared" si="2"/>
        <v>-28889425</v>
      </c>
    </row>
    <row r="155" spans="1:4" x14ac:dyDescent="0.3">
      <c r="A155" s="43">
        <v>65007045</v>
      </c>
      <c r="B155" s="43">
        <v>140000000</v>
      </c>
      <c r="D155">
        <f t="shared" si="2"/>
        <v>-74992955</v>
      </c>
    </row>
    <row r="156" spans="1:4" x14ac:dyDescent="0.3">
      <c r="A156" s="42">
        <v>257704099</v>
      </c>
      <c r="B156" s="42">
        <v>150000000</v>
      </c>
      <c r="D156">
        <f t="shared" si="2"/>
        <v>107704099</v>
      </c>
    </row>
    <row r="157" spans="1:4" x14ac:dyDescent="0.3">
      <c r="A157" s="43">
        <v>403706375</v>
      </c>
      <c r="B157" s="43">
        <v>139000000</v>
      </c>
      <c r="D157">
        <f t="shared" si="2"/>
        <v>264706375</v>
      </c>
    </row>
    <row r="158" spans="1:4" x14ac:dyDescent="0.3">
      <c r="A158" s="42">
        <v>176997107</v>
      </c>
      <c r="B158" s="42">
        <v>145000000</v>
      </c>
      <c r="D158">
        <f t="shared" si="2"/>
        <v>31997107</v>
      </c>
    </row>
    <row r="159" spans="1:4" x14ac:dyDescent="0.3">
      <c r="A159" s="43">
        <v>31141074</v>
      </c>
      <c r="B159" s="43">
        <v>140000000</v>
      </c>
      <c r="D159">
        <f t="shared" si="2"/>
        <v>-108858926</v>
      </c>
    </row>
    <row r="160" spans="1:4" x14ac:dyDescent="0.3">
      <c r="A160" s="42">
        <v>31704416</v>
      </c>
      <c r="B160" s="42">
        <v>135000000</v>
      </c>
      <c r="D160">
        <f t="shared" si="2"/>
        <v>-103295584</v>
      </c>
    </row>
    <row r="161" spans="1:4" x14ac:dyDescent="0.3">
      <c r="A161" s="43">
        <v>107503316</v>
      </c>
      <c r="B161" s="43">
        <v>130000000</v>
      </c>
      <c r="D161">
        <f t="shared" si="2"/>
        <v>-22496684</v>
      </c>
    </row>
    <row r="162" spans="1:4" x14ac:dyDescent="0.3">
      <c r="A162" s="42">
        <v>129734803</v>
      </c>
      <c r="B162" s="42">
        <v>140000000</v>
      </c>
      <c r="D162">
        <f t="shared" si="2"/>
        <v>-10265197</v>
      </c>
    </row>
    <row r="163" spans="1:4" x14ac:dyDescent="0.3">
      <c r="A163" s="43">
        <v>132122995</v>
      </c>
      <c r="B163" s="43">
        <v>137000000</v>
      </c>
      <c r="D163">
        <f t="shared" si="2"/>
        <v>-4877005</v>
      </c>
    </row>
    <row r="164" spans="1:4" x14ac:dyDescent="0.3">
      <c r="A164" s="42">
        <v>122512052</v>
      </c>
      <c r="B164" s="42">
        <v>130000000</v>
      </c>
      <c r="D164">
        <f t="shared" si="2"/>
        <v>-7487948</v>
      </c>
    </row>
    <row r="165" spans="1:4" x14ac:dyDescent="0.3">
      <c r="A165" s="43">
        <v>68642452</v>
      </c>
      <c r="B165" s="43">
        <v>130000000</v>
      </c>
      <c r="D165">
        <f t="shared" si="2"/>
        <v>-61357548</v>
      </c>
    </row>
    <row r="166" spans="1:4" x14ac:dyDescent="0.3">
      <c r="A166" s="42">
        <v>32131830</v>
      </c>
      <c r="B166" s="42">
        <v>137000000</v>
      </c>
      <c r="D166">
        <f t="shared" si="2"/>
        <v>-104868170</v>
      </c>
    </row>
    <row r="167" spans="1:4" x14ac:dyDescent="0.3">
      <c r="A167" s="43">
        <v>176636816</v>
      </c>
      <c r="B167" s="43">
        <v>140000000</v>
      </c>
      <c r="D167">
        <f t="shared" si="2"/>
        <v>36636816</v>
      </c>
    </row>
    <row r="168" spans="1:4" x14ac:dyDescent="0.3">
      <c r="A168" s="42">
        <v>126930660</v>
      </c>
      <c r="B168" s="42">
        <v>135000000</v>
      </c>
      <c r="D168">
        <f t="shared" si="2"/>
        <v>-8069340</v>
      </c>
    </row>
    <row r="169" spans="1:4" x14ac:dyDescent="0.3">
      <c r="A169" s="43">
        <v>93926386</v>
      </c>
      <c r="B169" s="43">
        <v>150000000</v>
      </c>
      <c r="D169">
        <f t="shared" si="2"/>
        <v>-56073614</v>
      </c>
    </row>
    <row r="170" spans="1:4" x14ac:dyDescent="0.3">
      <c r="A170" s="42">
        <v>292298923</v>
      </c>
      <c r="B170" s="42">
        <v>120000000</v>
      </c>
      <c r="D170">
        <f t="shared" si="2"/>
        <v>172298923</v>
      </c>
    </row>
    <row r="171" spans="1:4" x14ac:dyDescent="0.3">
      <c r="A171" s="43">
        <v>63992328</v>
      </c>
      <c r="B171" s="43">
        <v>135000000</v>
      </c>
      <c r="D171">
        <f t="shared" si="2"/>
        <v>-71007672</v>
      </c>
    </row>
    <row r="172" spans="1:4" x14ac:dyDescent="0.3">
      <c r="A172" s="42">
        <v>134518390</v>
      </c>
      <c r="B172" s="42">
        <v>150000000</v>
      </c>
      <c r="D172">
        <f t="shared" si="2"/>
        <v>-15481610</v>
      </c>
    </row>
    <row r="173" spans="1:4" x14ac:dyDescent="0.3">
      <c r="A173" s="43">
        <v>52792307</v>
      </c>
      <c r="B173" s="43">
        <v>140000000</v>
      </c>
      <c r="D173">
        <f t="shared" si="2"/>
        <v>-87207693</v>
      </c>
    </row>
    <row r="174" spans="1:4" x14ac:dyDescent="0.3">
      <c r="A174" s="42">
        <v>183635922</v>
      </c>
      <c r="B174" s="42">
        <v>135000000</v>
      </c>
      <c r="D174">
        <f t="shared" si="2"/>
        <v>48635922</v>
      </c>
    </row>
    <row r="175" spans="1:4" x14ac:dyDescent="0.3">
      <c r="A175" s="43">
        <v>83024900</v>
      </c>
      <c r="B175" s="43">
        <v>135000000</v>
      </c>
      <c r="D175">
        <f t="shared" si="2"/>
        <v>-51975100</v>
      </c>
    </row>
    <row r="176" spans="1:4" x14ac:dyDescent="0.3">
      <c r="A176" s="42">
        <v>123207194</v>
      </c>
      <c r="B176" s="42">
        <v>135000000</v>
      </c>
      <c r="D176">
        <f t="shared" si="2"/>
        <v>-11792806</v>
      </c>
    </row>
    <row r="177" spans="1:4" x14ac:dyDescent="0.3">
      <c r="A177" s="43">
        <v>83348920</v>
      </c>
      <c r="B177" s="43">
        <v>132000000</v>
      </c>
      <c r="D177">
        <f t="shared" si="2"/>
        <v>-48651080</v>
      </c>
    </row>
    <row r="178" spans="1:4" x14ac:dyDescent="0.3">
      <c r="A178" s="42">
        <v>227137090</v>
      </c>
      <c r="B178" s="42">
        <v>110000000</v>
      </c>
      <c r="D178">
        <f t="shared" si="2"/>
        <v>117137090</v>
      </c>
    </row>
    <row r="179" spans="1:4" x14ac:dyDescent="0.3">
      <c r="A179" s="43">
        <v>180191634</v>
      </c>
      <c r="B179" s="43">
        <v>130000000</v>
      </c>
      <c r="D179">
        <f t="shared" si="2"/>
        <v>50191634</v>
      </c>
    </row>
    <row r="180" spans="1:4" x14ac:dyDescent="0.3">
      <c r="A180" s="42">
        <v>424645577</v>
      </c>
      <c r="B180" s="42">
        <v>130000000</v>
      </c>
      <c r="D180">
        <f t="shared" si="2"/>
        <v>294645577</v>
      </c>
    </row>
    <row r="181" spans="1:4" x14ac:dyDescent="0.3">
      <c r="A181" s="43">
        <v>177343675</v>
      </c>
      <c r="B181" s="43">
        <v>135000000</v>
      </c>
      <c r="D181">
        <f t="shared" si="2"/>
        <v>42343675</v>
      </c>
    </row>
    <row r="182" spans="1:4" x14ac:dyDescent="0.3">
      <c r="A182" s="42">
        <v>234277056</v>
      </c>
      <c r="B182" s="42">
        <v>132000000</v>
      </c>
      <c r="D182">
        <f t="shared" si="2"/>
        <v>102277056</v>
      </c>
    </row>
    <row r="183" spans="1:4" x14ac:dyDescent="0.3">
      <c r="A183" s="43">
        <v>138396624</v>
      </c>
      <c r="B183" s="43">
        <v>130000000</v>
      </c>
      <c r="D183">
        <f t="shared" si="2"/>
        <v>8396624</v>
      </c>
    </row>
    <row r="184" spans="1:4" x14ac:dyDescent="0.3">
      <c r="A184" s="42">
        <v>149234747</v>
      </c>
      <c r="B184" s="42">
        <v>130000000</v>
      </c>
      <c r="D184">
        <f t="shared" si="2"/>
        <v>19234747</v>
      </c>
    </row>
    <row r="185" spans="1:4" x14ac:dyDescent="0.3">
      <c r="A185" s="43">
        <v>118311368</v>
      </c>
      <c r="B185" s="43">
        <v>110000000</v>
      </c>
      <c r="D185">
        <f t="shared" si="2"/>
        <v>8311368</v>
      </c>
    </row>
    <row r="186" spans="1:4" x14ac:dyDescent="0.3">
      <c r="A186" s="42">
        <v>101160529</v>
      </c>
      <c r="B186" s="42">
        <v>125000000</v>
      </c>
      <c r="D186">
        <f t="shared" si="2"/>
        <v>-23839471</v>
      </c>
    </row>
    <row r="187" spans="1:4" x14ac:dyDescent="0.3">
      <c r="A187" s="43">
        <v>77564037</v>
      </c>
      <c r="B187" s="43">
        <v>135000000</v>
      </c>
      <c r="D187">
        <f t="shared" si="2"/>
        <v>-57435963</v>
      </c>
    </row>
    <row r="188" spans="1:4" x14ac:dyDescent="0.3">
      <c r="A188" s="42">
        <v>249358727</v>
      </c>
      <c r="B188" s="42">
        <v>130000000</v>
      </c>
      <c r="D188">
        <f t="shared" si="2"/>
        <v>119358727</v>
      </c>
    </row>
    <row r="189" spans="1:4" x14ac:dyDescent="0.3">
      <c r="A189" s="43">
        <v>49551662</v>
      </c>
      <c r="B189" s="43">
        <v>130000000</v>
      </c>
      <c r="D189">
        <f t="shared" si="2"/>
        <v>-80448338</v>
      </c>
    </row>
    <row r="190" spans="1:4" x14ac:dyDescent="0.3">
      <c r="A190" s="42">
        <v>60522097</v>
      </c>
      <c r="B190" s="42">
        <v>130000000</v>
      </c>
      <c r="D190">
        <f t="shared" si="2"/>
        <v>-69477903</v>
      </c>
    </row>
    <row r="191" spans="1:4" x14ac:dyDescent="0.3">
      <c r="A191" s="43">
        <v>137748063</v>
      </c>
      <c r="B191" s="43">
        <v>127500000</v>
      </c>
      <c r="D191">
        <f t="shared" si="2"/>
        <v>10248063</v>
      </c>
    </row>
    <row r="192" spans="1:4" x14ac:dyDescent="0.3">
      <c r="A192" s="42">
        <v>113733726</v>
      </c>
      <c r="B192" s="42">
        <v>127000000</v>
      </c>
      <c r="D192">
        <f t="shared" si="2"/>
        <v>-13266274</v>
      </c>
    </row>
    <row r="193" spans="1:4" x14ac:dyDescent="0.3">
      <c r="A193" s="43">
        <v>148337537</v>
      </c>
      <c r="B193" s="43">
        <v>130000000</v>
      </c>
      <c r="D193">
        <f t="shared" si="2"/>
        <v>18337537</v>
      </c>
    </row>
    <row r="194" spans="1:4" x14ac:dyDescent="0.3">
      <c r="A194" s="42">
        <v>317557891</v>
      </c>
      <c r="B194" s="42">
        <v>125000000</v>
      </c>
      <c r="D194">
        <f t="shared" ref="D194:D257" si="3">A194-B194</f>
        <v>192557891</v>
      </c>
    </row>
    <row r="195" spans="1:4" x14ac:dyDescent="0.3">
      <c r="A195" s="43">
        <v>33592415</v>
      </c>
      <c r="B195" s="43">
        <v>130000000</v>
      </c>
      <c r="D195">
        <f t="shared" si="3"/>
        <v>-96407585</v>
      </c>
    </row>
    <row r="196" spans="1:4" x14ac:dyDescent="0.3">
      <c r="A196" s="42">
        <v>305388685</v>
      </c>
      <c r="B196" s="42">
        <v>140000000</v>
      </c>
      <c r="D196">
        <f t="shared" si="3"/>
        <v>165388685</v>
      </c>
    </row>
    <row r="197" spans="1:4" x14ac:dyDescent="0.3">
      <c r="A197" s="43">
        <v>337103873</v>
      </c>
      <c r="B197" s="43">
        <v>125000000</v>
      </c>
      <c r="D197">
        <f t="shared" si="3"/>
        <v>212103873</v>
      </c>
    </row>
    <row r="198" spans="1:4" x14ac:dyDescent="0.3">
      <c r="A198" s="42">
        <v>217536138</v>
      </c>
      <c r="B198" s="42">
        <v>125000000</v>
      </c>
      <c r="D198">
        <f t="shared" si="3"/>
        <v>92536138</v>
      </c>
    </row>
    <row r="199" spans="1:4" x14ac:dyDescent="0.3">
      <c r="A199" s="43">
        <v>131536019</v>
      </c>
      <c r="B199" s="43">
        <v>103000000</v>
      </c>
      <c r="D199">
        <f t="shared" si="3"/>
        <v>28536019</v>
      </c>
    </row>
    <row r="200" spans="1:4" x14ac:dyDescent="0.3">
      <c r="A200" s="42">
        <v>214948780</v>
      </c>
      <c r="B200" s="42">
        <v>110000000</v>
      </c>
      <c r="D200">
        <f t="shared" si="3"/>
        <v>104948780</v>
      </c>
    </row>
    <row r="201" spans="1:4" x14ac:dyDescent="0.3">
      <c r="A201" s="43">
        <v>209805005</v>
      </c>
      <c r="B201" s="43">
        <v>125000000</v>
      </c>
      <c r="D201">
        <f t="shared" si="3"/>
        <v>84805005</v>
      </c>
    </row>
    <row r="202" spans="1:4" x14ac:dyDescent="0.3">
      <c r="A202" s="42">
        <v>186830669</v>
      </c>
      <c r="B202" s="42">
        <v>125000000</v>
      </c>
      <c r="D202">
        <f t="shared" si="3"/>
        <v>61830669</v>
      </c>
    </row>
    <row r="203" spans="1:4" x14ac:dyDescent="0.3">
      <c r="A203" s="43">
        <v>163192114</v>
      </c>
      <c r="B203" s="43">
        <v>125000000</v>
      </c>
      <c r="D203">
        <f t="shared" si="3"/>
        <v>38192114</v>
      </c>
    </row>
    <row r="204" spans="1:4" x14ac:dyDescent="0.3">
      <c r="A204" s="42">
        <v>119412921</v>
      </c>
      <c r="B204" s="42">
        <v>65000000</v>
      </c>
      <c r="D204">
        <f t="shared" si="3"/>
        <v>54412921</v>
      </c>
    </row>
    <row r="205" spans="1:4" x14ac:dyDescent="0.3">
      <c r="A205" s="43">
        <v>32694788</v>
      </c>
      <c r="B205" s="43">
        <v>85000000</v>
      </c>
      <c r="D205">
        <f t="shared" si="3"/>
        <v>-52305212</v>
      </c>
    </row>
    <row r="206" spans="1:4" x14ac:dyDescent="0.3">
      <c r="A206" s="42">
        <v>113165635</v>
      </c>
      <c r="B206" s="42">
        <v>125000000</v>
      </c>
      <c r="D206">
        <f t="shared" si="3"/>
        <v>-11834365</v>
      </c>
    </row>
    <row r="207" spans="1:4" x14ac:dyDescent="0.3">
      <c r="A207" s="43">
        <v>107285004</v>
      </c>
      <c r="B207" s="43">
        <v>125000000</v>
      </c>
      <c r="D207">
        <f t="shared" si="3"/>
        <v>-17714996</v>
      </c>
    </row>
    <row r="208" spans="1:4" x14ac:dyDescent="0.3">
      <c r="A208" s="42">
        <v>260031035</v>
      </c>
      <c r="B208" s="42">
        <v>123000000</v>
      </c>
      <c r="D208">
        <f t="shared" si="3"/>
        <v>137031035</v>
      </c>
    </row>
    <row r="209" spans="1:4" x14ac:dyDescent="0.3">
      <c r="A209" s="43">
        <v>186739919</v>
      </c>
      <c r="B209" s="43">
        <v>125000000</v>
      </c>
      <c r="D209">
        <f t="shared" si="3"/>
        <v>61739919</v>
      </c>
    </row>
    <row r="210" spans="1:4" x14ac:dyDescent="0.3">
      <c r="A210" s="42">
        <v>215397307</v>
      </c>
      <c r="B210" s="42">
        <v>125000000</v>
      </c>
      <c r="D210">
        <f t="shared" si="3"/>
        <v>90397307</v>
      </c>
    </row>
    <row r="211" spans="1:4" x14ac:dyDescent="0.3">
      <c r="A211" s="43">
        <v>182618434</v>
      </c>
      <c r="B211" s="43">
        <v>140000000</v>
      </c>
      <c r="D211">
        <f t="shared" si="3"/>
        <v>42618434</v>
      </c>
    </row>
    <row r="212" spans="1:4" x14ac:dyDescent="0.3">
      <c r="A212" s="42">
        <v>131920333</v>
      </c>
      <c r="B212" s="42">
        <v>130000000</v>
      </c>
      <c r="D212">
        <f t="shared" si="3"/>
        <v>1920333</v>
      </c>
    </row>
    <row r="213" spans="1:4" x14ac:dyDescent="0.3">
      <c r="A213" s="43">
        <v>124976634</v>
      </c>
      <c r="B213" s="43">
        <v>120000000</v>
      </c>
      <c r="D213">
        <f t="shared" si="3"/>
        <v>4976634</v>
      </c>
    </row>
    <row r="214" spans="1:4" x14ac:dyDescent="0.3">
      <c r="A214" s="42">
        <v>115802596</v>
      </c>
      <c r="B214" s="42">
        <v>110000000</v>
      </c>
      <c r="D214">
        <f t="shared" si="3"/>
        <v>5802596</v>
      </c>
    </row>
    <row r="215" spans="1:4" x14ac:dyDescent="0.3">
      <c r="A215" s="43">
        <v>108521835</v>
      </c>
      <c r="B215" s="43">
        <v>120000000</v>
      </c>
      <c r="D215">
        <f t="shared" si="3"/>
        <v>-11478165</v>
      </c>
    </row>
    <row r="216" spans="1:4" x14ac:dyDescent="0.3">
      <c r="A216" s="42">
        <v>100685880</v>
      </c>
      <c r="B216" s="42">
        <v>120000000</v>
      </c>
      <c r="D216">
        <f t="shared" si="3"/>
        <v>-19314120</v>
      </c>
    </row>
    <row r="217" spans="1:4" x14ac:dyDescent="0.3">
      <c r="A217" s="43">
        <v>126464904</v>
      </c>
      <c r="B217" s="43">
        <v>130000000</v>
      </c>
      <c r="D217">
        <f t="shared" si="3"/>
        <v>-3535096</v>
      </c>
    </row>
    <row r="218" spans="1:4" x14ac:dyDescent="0.3">
      <c r="A218" s="42">
        <v>64736114</v>
      </c>
      <c r="B218" s="42">
        <v>120000000</v>
      </c>
      <c r="D218">
        <f t="shared" si="3"/>
        <v>-55263886</v>
      </c>
    </row>
    <row r="219" spans="1:4" x14ac:dyDescent="0.3">
      <c r="A219" s="43">
        <v>93050117</v>
      </c>
      <c r="B219" s="43">
        <v>115000000</v>
      </c>
      <c r="D219">
        <f t="shared" si="3"/>
        <v>-21949883</v>
      </c>
    </row>
    <row r="220" spans="1:4" x14ac:dyDescent="0.3">
      <c r="A220" s="42">
        <v>57637485</v>
      </c>
      <c r="B220" s="42">
        <v>105000000</v>
      </c>
      <c r="D220">
        <f t="shared" si="3"/>
        <v>-47362515</v>
      </c>
    </row>
    <row r="221" spans="1:4" x14ac:dyDescent="0.3">
      <c r="A221" s="43">
        <v>58607007</v>
      </c>
      <c r="B221" s="43">
        <v>100000000</v>
      </c>
      <c r="D221">
        <f t="shared" si="3"/>
        <v>-41392993</v>
      </c>
    </row>
    <row r="222" spans="1:4" x14ac:dyDescent="0.3">
      <c r="A222" s="42">
        <v>43929341</v>
      </c>
      <c r="B222" s="42">
        <v>120000000</v>
      </c>
      <c r="D222">
        <f t="shared" si="3"/>
        <v>-76070659</v>
      </c>
    </row>
    <row r="223" spans="1:4" x14ac:dyDescent="0.3">
      <c r="A223" s="43">
        <v>30212620</v>
      </c>
      <c r="B223" s="43">
        <v>120000000</v>
      </c>
      <c r="D223">
        <f t="shared" si="3"/>
        <v>-89787380</v>
      </c>
    </row>
    <row r="224" spans="1:4" x14ac:dyDescent="0.3">
      <c r="A224" s="42">
        <v>76418654</v>
      </c>
      <c r="B224" s="42">
        <v>117000000</v>
      </c>
      <c r="D224">
        <f t="shared" si="3"/>
        <v>-40581346</v>
      </c>
    </row>
    <row r="225" spans="1:4" x14ac:dyDescent="0.3">
      <c r="A225" s="43">
        <v>89021735</v>
      </c>
      <c r="B225" s="43">
        <v>120000000</v>
      </c>
      <c r="D225">
        <f t="shared" si="3"/>
        <v>-30978265</v>
      </c>
    </row>
    <row r="226" spans="1:4" x14ac:dyDescent="0.3">
      <c r="A226" s="42">
        <v>380262555</v>
      </c>
      <c r="B226" s="42">
        <v>113000000</v>
      </c>
      <c r="D226">
        <f t="shared" si="3"/>
        <v>267262555</v>
      </c>
    </row>
    <row r="227" spans="1:4" x14ac:dyDescent="0.3">
      <c r="A227" s="43">
        <v>310675583</v>
      </c>
      <c r="B227" s="43">
        <v>115000000</v>
      </c>
      <c r="D227">
        <f t="shared" si="3"/>
        <v>195675583</v>
      </c>
    </row>
    <row r="228" spans="1:4" x14ac:dyDescent="0.3">
      <c r="A228" s="42">
        <v>289907418</v>
      </c>
      <c r="B228" s="42">
        <v>115000000</v>
      </c>
      <c r="D228">
        <f t="shared" si="3"/>
        <v>174907418</v>
      </c>
    </row>
    <row r="229" spans="1:4" x14ac:dyDescent="0.3">
      <c r="A229" s="43">
        <v>132550960</v>
      </c>
      <c r="B229" s="43">
        <v>120000000</v>
      </c>
      <c r="D229">
        <f t="shared" si="3"/>
        <v>12550960</v>
      </c>
    </row>
    <row r="230" spans="1:4" x14ac:dyDescent="0.3">
      <c r="A230" s="42">
        <v>474544677</v>
      </c>
      <c r="B230" s="42">
        <v>115000000</v>
      </c>
      <c r="D230">
        <f t="shared" si="3"/>
        <v>359544677</v>
      </c>
    </row>
    <row r="231" spans="1:4" x14ac:dyDescent="0.3">
      <c r="A231" s="43">
        <v>187165546</v>
      </c>
      <c r="B231" s="43">
        <v>135000000</v>
      </c>
      <c r="D231">
        <f t="shared" si="3"/>
        <v>52165546</v>
      </c>
    </row>
    <row r="232" spans="1:4" x14ac:dyDescent="0.3">
      <c r="A232" s="42">
        <v>40911830</v>
      </c>
      <c r="B232" s="42">
        <v>115000000</v>
      </c>
      <c r="D232">
        <f t="shared" si="3"/>
        <v>-74088170</v>
      </c>
    </row>
    <row r="233" spans="1:4" x14ac:dyDescent="0.3">
      <c r="A233" s="43">
        <v>47952020</v>
      </c>
      <c r="B233" s="43">
        <v>115000000</v>
      </c>
      <c r="D233">
        <f t="shared" si="3"/>
        <v>-67047980</v>
      </c>
    </row>
    <row r="234" spans="1:4" x14ac:dyDescent="0.3">
      <c r="A234" s="42">
        <v>190871240</v>
      </c>
      <c r="B234" s="42">
        <v>125000000</v>
      </c>
      <c r="D234">
        <f t="shared" si="3"/>
        <v>65871240</v>
      </c>
    </row>
    <row r="235" spans="1:4" x14ac:dyDescent="0.3">
      <c r="A235" s="43">
        <v>274084951</v>
      </c>
      <c r="B235" s="43">
        <v>100000000</v>
      </c>
      <c r="D235">
        <f t="shared" si="3"/>
        <v>174084951</v>
      </c>
    </row>
    <row r="236" spans="1:4" x14ac:dyDescent="0.3">
      <c r="A236" s="42">
        <v>67155742</v>
      </c>
      <c r="B236" s="42">
        <v>116000000</v>
      </c>
      <c r="D236">
        <f t="shared" si="3"/>
        <v>-48844258</v>
      </c>
    </row>
    <row r="237" spans="1:4" x14ac:dyDescent="0.3">
      <c r="A237" s="43">
        <v>81638674</v>
      </c>
      <c r="B237" s="43">
        <v>135000000</v>
      </c>
      <c r="D237">
        <f t="shared" si="3"/>
        <v>-53361326</v>
      </c>
    </row>
    <row r="238" spans="1:4" x14ac:dyDescent="0.3">
      <c r="A238" s="42">
        <v>56114221</v>
      </c>
      <c r="B238" s="42">
        <v>120000000</v>
      </c>
      <c r="D238">
        <f t="shared" si="3"/>
        <v>-63885779</v>
      </c>
    </row>
    <row r="239" spans="1:4" x14ac:dyDescent="0.3">
      <c r="A239" s="43">
        <v>250863268</v>
      </c>
      <c r="B239" s="43">
        <v>110000000</v>
      </c>
      <c r="D239">
        <f t="shared" si="3"/>
        <v>140863268</v>
      </c>
    </row>
    <row r="240" spans="1:4" x14ac:dyDescent="0.3">
      <c r="A240" s="42">
        <v>155181732</v>
      </c>
      <c r="B240" s="42">
        <v>110000000</v>
      </c>
      <c r="D240">
        <f t="shared" si="3"/>
        <v>45181732</v>
      </c>
    </row>
    <row r="241" spans="1:4" x14ac:dyDescent="0.3">
      <c r="A241" s="43">
        <v>125332007</v>
      </c>
      <c r="B241" s="43">
        <v>110000000</v>
      </c>
      <c r="D241">
        <f t="shared" si="3"/>
        <v>15332007</v>
      </c>
    </row>
    <row r="242" spans="1:4" x14ac:dyDescent="0.3">
      <c r="A242" s="42">
        <v>113330342</v>
      </c>
      <c r="B242" s="42">
        <v>110000000</v>
      </c>
      <c r="D242">
        <f t="shared" si="3"/>
        <v>3330342</v>
      </c>
    </row>
    <row r="243" spans="1:4" x14ac:dyDescent="0.3">
      <c r="A243" s="43">
        <v>125531634</v>
      </c>
      <c r="B243" s="43">
        <v>110000000</v>
      </c>
      <c r="D243">
        <f t="shared" si="3"/>
        <v>15531634</v>
      </c>
    </row>
    <row r="244" spans="1:4" x14ac:dyDescent="0.3">
      <c r="A244" s="42">
        <v>186336103</v>
      </c>
      <c r="B244" s="42">
        <v>120000000</v>
      </c>
      <c r="D244">
        <f t="shared" si="3"/>
        <v>66336103</v>
      </c>
    </row>
    <row r="245" spans="1:4" x14ac:dyDescent="0.3">
      <c r="A245" s="43">
        <v>129995817</v>
      </c>
      <c r="B245" s="43">
        <v>110000000</v>
      </c>
      <c r="D245">
        <f t="shared" si="3"/>
        <v>19995817</v>
      </c>
    </row>
    <row r="246" spans="1:4" x14ac:dyDescent="0.3">
      <c r="A246" s="42">
        <v>102608827</v>
      </c>
      <c r="B246" s="42">
        <v>110000000</v>
      </c>
      <c r="D246">
        <f t="shared" si="3"/>
        <v>-7391173</v>
      </c>
    </row>
    <row r="247" spans="1:4" x14ac:dyDescent="0.3">
      <c r="A247" s="43">
        <v>42776259</v>
      </c>
      <c r="B247" s="43">
        <v>112000000</v>
      </c>
      <c r="D247">
        <f t="shared" si="3"/>
        <v>-69223741</v>
      </c>
    </row>
    <row r="248" spans="1:4" x14ac:dyDescent="0.3">
      <c r="A248" s="42">
        <v>98780042</v>
      </c>
      <c r="B248" s="42">
        <v>120000000</v>
      </c>
      <c r="D248">
        <f t="shared" si="3"/>
        <v>-21219958</v>
      </c>
    </row>
    <row r="249" spans="1:4" x14ac:dyDescent="0.3">
      <c r="A249" s="43">
        <v>106369117</v>
      </c>
      <c r="B249" s="43">
        <v>110000000</v>
      </c>
      <c r="D249">
        <f t="shared" si="3"/>
        <v>-3630883</v>
      </c>
    </row>
    <row r="250" spans="1:4" x14ac:dyDescent="0.3">
      <c r="A250" s="42">
        <v>142614158</v>
      </c>
      <c r="B250" s="42">
        <v>110000000</v>
      </c>
      <c r="D250">
        <f t="shared" si="3"/>
        <v>32614158</v>
      </c>
    </row>
    <row r="251" spans="1:4" x14ac:dyDescent="0.3">
      <c r="A251" s="43">
        <v>50026353</v>
      </c>
      <c r="B251" s="43">
        <v>110000000</v>
      </c>
      <c r="D251">
        <f t="shared" si="3"/>
        <v>-59973647</v>
      </c>
    </row>
    <row r="252" spans="1:4" x14ac:dyDescent="0.3">
      <c r="A252" s="42">
        <v>66002193</v>
      </c>
      <c r="B252" s="42">
        <v>110000000</v>
      </c>
      <c r="D252">
        <f t="shared" si="3"/>
        <v>-43997807</v>
      </c>
    </row>
    <row r="253" spans="1:4" x14ac:dyDescent="0.3">
      <c r="A253" s="43">
        <v>85463309</v>
      </c>
      <c r="B253" s="43">
        <v>110000000</v>
      </c>
      <c r="D253">
        <f t="shared" si="3"/>
        <v>-24536691</v>
      </c>
    </row>
    <row r="254" spans="1:4" x14ac:dyDescent="0.3">
      <c r="A254" s="42">
        <v>71017784</v>
      </c>
      <c r="B254" s="42">
        <v>105000000</v>
      </c>
      <c r="D254">
        <f t="shared" si="3"/>
        <v>-33982216</v>
      </c>
    </row>
    <row r="255" spans="1:4" x14ac:dyDescent="0.3">
      <c r="A255" s="43">
        <v>48068396</v>
      </c>
      <c r="B255" s="43">
        <v>160000000</v>
      </c>
      <c r="D255">
        <f t="shared" si="3"/>
        <v>-111931604</v>
      </c>
    </row>
    <row r="256" spans="1:4" x14ac:dyDescent="0.3">
      <c r="A256" s="42">
        <v>61656849</v>
      </c>
      <c r="B256" s="42">
        <v>110000000</v>
      </c>
      <c r="D256">
        <f t="shared" si="3"/>
        <v>-48343151</v>
      </c>
    </row>
    <row r="257" spans="1:4" x14ac:dyDescent="0.3">
      <c r="A257" s="43">
        <v>134520804</v>
      </c>
      <c r="B257" s="43">
        <v>110000000</v>
      </c>
      <c r="D257">
        <f t="shared" si="3"/>
        <v>24520804</v>
      </c>
    </row>
    <row r="258" spans="1:4" x14ac:dyDescent="0.3">
      <c r="A258" s="42">
        <v>313837577</v>
      </c>
      <c r="B258" s="42">
        <v>93000000</v>
      </c>
      <c r="D258">
        <f t="shared" ref="D258:D321" si="4">A258-B258</f>
        <v>220837577</v>
      </c>
    </row>
    <row r="259" spans="1:4" x14ac:dyDescent="0.3">
      <c r="A259" s="43">
        <v>24004159</v>
      </c>
      <c r="B259" s="43">
        <v>110000000</v>
      </c>
      <c r="D259">
        <f t="shared" si="4"/>
        <v>-85995841</v>
      </c>
    </row>
    <row r="260" spans="1:4" x14ac:dyDescent="0.3">
      <c r="A260" s="42">
        <v>58183966</v>
      </c>
      <c r="B260" s="42">
        <v>107000000</v>
      </c>
      <c r="D260">
        <f t="shared" si="4"/>
        <v>-48816034</v>
      </c>
    </row>
    <row r="261" spans="1:4" x14ac:dyDescent="0.3">
      <c r="A261" s="43">
        <v>144795350</v>
      </c>
      <c r="B261" s="43">
        <v>120000000</v>
      </c>
      <c r="D261">
        <f t="shared" si="4"/>
        <v>24795350</v>
      </c>
    </row>
    <row r="262" spans="1:4" x14ac:dyDescent="0.3">
      <c r="A262" s="42">
        <v>47396698</v>
      </c>
      <c r="B262" s="42">
        <v>130000000</v>
      </c>
      <c r="D262">
        <f t="shared" si="4"/>
        <v>-82603302</v>
      </c>
    </row>
    <row r="263" spans="1:4" x14ac:dyDescent="0.3">
      <c r="A263" s="43">
        <v>140015224</v>
      </c>
      <c r="B263" s="43">
        <v>133000000</v>
      </c>
      <c r="D263">
        <f t="shared" si="4"/>
        <v>7015224</v>
      </c>
    </row>
    <row r="264" spans="1:4" x14ac:dyDescent="0.3">
      <c r="A264" s="42">
        <v>104374107</v>
      </c>
      <c r="B264" s="42">
        <v>105000000</v>
      </c>
      <c r="D264">
        <f t="shared" si="4"/>
        <v>-625893</v>
      </c>
    </row>
    <row r="265" spans="1:4" x14ac:dyDescent="0.3">
      <c r="A265" s="43">
        <v>228430993</v>
      </c>
      <c r="B265" s="43">
        <v>108000000</v>
      </c>
      <c r="D265">
        <f t="shared" si="4"/>
        <v>120430993</v>
      </c>
    </row>
    <row r="266" spans="1:4" x14ac:dyDescent="0.3">
      <c r="A266" s="42">
        <v>35799026</v>
      </c>
      <c r="B266" s="42">
        <v>126000000</v>
      </c>
      <c r="D266">
        <f t="shared" si="4"/>
        <v>-90200974</v>
      </c>
    </row>
    <row r="267" spans="1:4" x14ac:dyDescent="0.3">
      <c r="A267" s="43">
        <v>6712451</v>
      </c>
      <c r="B267" s="43">
        <v>90000000</v>
      </c>
      <c r="D267">
        <f t="shared" si="4"/>
        <v>-83287549</v>
      </c>
    </row>
    <row r="268" spans="1:4" x14ac:dyDescent="0.3">
      <c r="A268" s="42">
        <v>101643008</v>
      </c>
      <c r="B268" s="42">
        <v>90000000</v>
      </c>
      <c r="D268">
        <f t="shared" si="4"/>
        <v>11643008</v>
      </c>
    </row>
    <row r="269" spans="1:4" x14ac:dyDescent="0.3">
      <c r="A269" s="43">
        <v>187670866</v>
      </c>
      <c r="B269" s="43">
        <v>103000000</v>
      </c>
      <c r="D269">
        <f t="shared" si="4"/>
        <v>84670866</v>
      </c>
    </row>
    <row r="270" spans="1:4" x14ac:dyDescent="0.3">
      <c r="A270" s="42">
        <v>132014112</v>
      </c>
      <c r="B270" s="42">
        <v>102000000</v>
      </c>
      <c r="D270">
        <f t="shared" si="4"/>
        <v>30014112</v>
      </c>
    </row>
    <row r="271" spans="1:4" x14ac:dyDescent="0.3">
      <c r="A271" s="43">
        <v>261970615</v>
      </c>
      <c r="B271" s="43">
        <v>100000000</v>
      </c>
      <c r="D271">
        <f t="shared" si="4"/>
        <v>161970615</v>
      </c>
    </row>
    <row r="272" spans="1:4" x14ac:dyDescent="0.3">
      <c r="A272" s="42">
        <v>167007184</v>
      </c>
      <c r="B272" s="42">
        <v>150000000</v>
      </c>
      <c r="D272">
        <f t="shared" si="4"/>
        <v>17007184</v>
      </c>
    </row>
    <row r="273" spans="1:4" x14ac:dyDescent="0.3">
      <c r="A273" s="43">
        <v>180011740</v>
      </c>
      <c r="B273" s="43">
        <v>100000000</v>
      </c>
      <c r="D273">
        <f t="shared" si="4"/>
        <v>80011740</v>
      </c>
    </row>
    <row r="274" spans="1:4" x14ac:dyDescent="0.3">
      <c r="A274" s="42">
        <v>204843350</v>
      </c>
      <c r="B274" s="42">
        <v>102000000</v>
      </c>
      <c r="D274">
        <f t="shared" si="4"/>
        <v>102843350</v>
      </c>
    </row>
    <row r="275" spans="1:4" x14ac:dyDescent="0.3">
      <c r="A275" s="43">
        <v>97030725</v>
      </c>
      <c r="B275" s="43">
        <v>100000000</v>
      </c>
      <c r="D275">
        <f t="shared" si="4"/>
        <v>-2969275</v>
      </c>
    </row>
    <row r="276" spans="1:4" x14ac:dyDescent="0.3">
      <c r="A276" s="42">
        <v>130127620</v>
      </c>
      <c r="B276" s="42">
        <v>100000000</v>
      </c>
      <c r="D276">
        <f t="shared" si="4"/>
        <v>30127620</v>
      </c>
    </row>
    <row r="277" spans="1:4" x14ac:dyDescent="0.3">
      <c r="A277" s="43">
        <v>146282411</v>
      </c>
      <c r="B277" s="43">
        <v>115000000</v>
      </c>
      <c r="D277">
        <f t="shared" si="4"/>
        <v>31282411</v>
      </c>
    </row>
    <row r="278" spans="1:4" x14ac:dyDescent="0.3">
      <c r="A278" s="42">
        <v>65452312</v>
      </c>
      <c r="B278" s="42">
        <v>100000000</v>
      </c>
      <c r="D278">
        <f t="shared" si="4"/>
        <v>-34547688</v>
      </c>
    </row>
    <row r="279" spans="1:4" x14ac:dyDescent="0.3">
      <c r="A279" s="43">
        <v>148383780</v>
      </c>
      <c r="B279" s="43">
        <v>100000000</v>
      </c>
      <c r="D279">
        <f t="shared" si="4"/>
        <v>48383780</v>
      </c>
    </row>
    <row r="280" spans="1:4" x14ac:dyDescent="0.3">
      <c r="A280" s="42">
        <v>119219978</v>
      </c>
      <c r="B280" s="42">
        <v>100000000</v>
      </c>
      <c r="D280">
        <f t="shared" si="4"/>
        <v>19219978</v>
      </c>
    </row>
    <row r="281" spans="1:4" x14ac:dyDescent="0.3">
      <c r="A281" s="43">
        <v>101228120</v>
      </c>
      <c r="B281" s="43">
        <v>100000000</v>
      </c>
      <c r="D281">
        <f t="shared" si="4"/>
        <v>1228120</v>
      </c>
    </row>
    <row r="282" spans="1:4" x14ac:dyDescent="0.3">
      <c r="A282" s="42">
        <v>162804648</v>
      </c>
      <c r="B282" s="42">
        <v>100000000</v>
      </c>
      <c r="D282">
        <f t="shared" si="4"/>
        <v>62804648</v>
      </c>
    </row>
    <row r="283" spans="1:4" x14ac:dyDescent="0.3">
      <c r="A283" s="43">
        <v>100117603</v>
      </c>
      <c r="B283" s="43">
        <v>100000000</v>
      </c>
      <c r="D283">
        <f t="shared" si="4"/>
        <v>117603</v>
      </c>
    </row>
    <row r="284" spans="1:4" x14ac:dyDescent="0.3">
      <c r="A284" s="42">
        <v>89296573</v>
      </c>
      <c r="B284" s="42">
        <v>100000000</v>
      </c>
      <c r="D284">
        <f t="shared" si="4"/>
        <v>-10703427</v>
      </c>
    </row>
    <row r="285" spans="1:4" x14ac:dyDescent="0.3">
      <c r="A285" s="43">
        <v>85017401</v>
      </c>
      <c r="B285" s="43">
        <v>92000000</v>
      </c>
      <c r="D285">
        <f t="shared" si="4"/>
        <v>-6982599</v>
      </c>
    </row>
    <row r="286" spans="1:4" x14ac:dyDescent="0.3">
      <c r="A286" s="42">
        <v>173005002</v>
      </c>
      <c r="B286" s="42">
        <v>100000000</v>
      </c>
      <c r="D286">
        <f t="shared" si="4"/>
        <v>73005002</v>
      </c>
    </row>
    <row r="287" spans="1:4" x14ac:dyDescent="0.3">
      <c r="A287" s="43">
        <v>75030163</v>
      </c>
      <c r="B287" s="43">
        <v>100000000</v>
      </c>
      <c r="D287">
        <f t="shared" si="4"/>
        <v>-24969837</v>
      </c>
    </row>
    <row r="288" spans="1:4" x14ac:dyDescent="0.3">
      <c r="A288" s="42">
        <v>77222184</v>
      </c>
      <c r="B288" s="42">
        <v>100000000</v>
      </c>
      <c r="D288">
        <f t="shared" si="4"/>
        <v>-22777816</v>
      </c>
    </row>
    <row r="289" spans="1:4" x14ac:dyDescent="0.3">
      <c r="A289" s="43">
        <v>107515297</v>
      </c>
      <c r="B289" s="43">
        <v>100000000</v>
      </c>
      <c r="D289">
        <f t="shared" si="4"/>
        <v>7515297</v>
      </c>
    </row>
    <row r="290" spans="1:4" x14ac:dyDescent="0.3">
      <c r="A290" s="42">
        <v>67631157</v>
      </c>
      <c r="B290" s="42">
        <v>100000000</v>
      </c>
      <c r="D290">
        <f t="shared" si="4"/>
        <v>-32368843</v>
      </c>
    </row>
    <row r="291" spans="1:4" x14ac:dyDescent="0.3">
      <c r="A291" s="43">
        <v>66862068</v>
      </c>
      <c r="B291" s="43">
        <v>83000000</v>
      </c>
      <c r="D291">
        <f t="shared" si="4"/>
        <v>-16137932</v>
      </c>
    </row>
    <row r="292" spans="1:4" x14ac:dyDescent="0.3">
      <c r="A292" s="42">
        <v>57366262</v>
      </c>
      <c r="B292" s="42">
        <v>100000000</v>
      </c>
      <c r="D292">
        <f t="shared" si="4"/>
        <v>-42633738</v>
      </c>
    </row>
    <row r="293" spans="1:4" x14ac:dyDescent="0.3">
      <c r="A293" s="43">
        <v>116866727</v>
      </c>
      <c r="B293" s="43">
        <v>100000000</v>
      </c>
      <c r="D293">
        <f t="shared" si="4"/>
        <v>16866727</v>
      </c>
    </row>
    <row r="294" spans="1:4" x14ac:dyDescent="0.3">
      <c r="A294" s="42">
        <v>184031112</v>
      </c>
      <c r="B294" s="42">
        <v>100000000</v>
      </c>
      <c r="D294">
        <f t="shared" si="4"/>
        <v>84031112</v>
      </c>
    </row>
    <row r="295" spans="1:4" x14ac:dyDescent="0.3">
      <c r="A295" s="43">
        <v>54700065</v>
      </c>
      <c r="B295" s="43">
        <v>105000000</v>
      </c>
      <c r="D295">
        <f t="shared" si="4"/>
        <v>-50299935</v>
      </c>
    </row>
    <row r="296" spans="1:4" x14ac:dyDescent="0.3">
      <c r="A296" s="42">
        <v>27098580</v>
      </c>
      <c r="B296" s="42">
        <v>102000000</v>
      </c>
      <c r="D296">
        <f t="shared" si="4"/>
        <v>-74901420</v>
      </c>
    </row>
    <row r="297" spans="1:4" x14ac:dyDescent="0.3">
      <c r="A297" s="43">
        <v>55673333</v>
      </c>
      <c r="B297" s="43">
        <v>80000000</v>
      </c>
      <c r="D297">
        <f t="shared" si="4"/>
        <v>-24326667</v>
      </c>
    </row>
    <row r="298" spans="1:4" x14ac:dyDescent="0.3">
      <c r="A298" s="42">
        <v>40198710</v>
      </c>
      <c r="B298" s="42">
        <v>100000000</v>
      </c>
      <c r="D298">
        <f t="shared" si="4"/>
        <v>-59801290</v>
      </c>
    </row>
    <row r="299" spans="1:4" x14ac:dyDescent="0.3">
      <c r="A299" s="43">
        <v>72660029</v>
      </c>
      <c r="B299" s="43">
        <v>100000000</v>
      </c>
      <c r="D299">
        <f t="shared" si="4"/>
        <v>-27339971</v>
      </c>
    </row>
    <row r="300" spans="1:4" x14ac:dyDescent="0.3">
      <c r="A300" s="42">
        <v>38120554</v>
      </c>
      <c r="B300" s="42">
        <v>140000000</v>
      </c>
      <c r="D300">
        <f t="shared" si="4"/>
        <v>-101879446</v>
      </c>
    </row>
    <row r="301" spans="1:4" x14ac:dyDescent="0.3">
      <c r="A301" s="43">
        <v>49392095</v>
      </c>
      <c r="B301" s="43">
        <v>100000000</v>
      </c>
      <c r="D301">
        <f t="shared" si="4"/>
        <v>-50607905</v>
      </c>
    </row>
    <row r="302" spans="1:4" x14ac:dyDescent="0.3">
      <c r="A302" s="42">
        <v>39292022</v>
      </c>
      <c r="B302" s="42">
        <v>90000000</v>
      </c>
      <c r="D302">
        <f t="shared" si="4"/>
        <v>-50707978</v>
      </c>
    </row>
    <row r="303" spans="1:4" x14ac:dyDescent="0.3">
      <c r="A303" s="43">
        <v>28772222</v>
      </c>
      <c r="B303" s="43">
        <v>105000000</v>
      </c>
      <c r="D303">
        <f t="shared" si="4"/>
        <v>-76227778</v>
      </c>
    </row>
    <row r="304" spans="1:4" x14ac:dyDescent="0.3">
      <c r="A304" s="42">
        <v>17010646</v>
      </c>
      <c r="B304" s="42">
        <v>84000000</v>
      </c>
      <c r="D304">
        <f t="shared" si="4"/>
        <v>-66989354</v>
      </c>
    </row>
    <row r="305" spans="1:4" x14ac:dyDescent="0.3">
      <c r="A305" s="43">
        <v>24985612</v>
      </c>
      <c r="B305" s="43">
        <v>100000000</v>
      </c>
      <c r="D305">
        <f t="shared" si="4"/>
        <v>-75014388</v>
      </c>
    </row>
    <row r="306" spans="1:4" x14ac:dyDescent="0.3">
      <c r="A306" s="42">
        <v>4411102</v>
      </c>
      <c r="B306" s="42">
        <v>100000000</v>
      </c>
      <c r="D306">
        <f t="shared" si="4"/>
        <v>-95588898</v>
      </c>
    </row>
    <row r="307" spans="1:4" x14ac:dyDescent="0.3">
      <c r="A307" s="43">
        <v>35024475</v>
      </c>
      <c r="B307" s="43">
        <v>100000000</v>
      </c>
      <c r="D307">
        <f t="shared" si="4"/>
        <v>-64975525</v>
      </c>
    </row>
    <row r="308" spans="1:4" x14ac:dyDescent="0.3">
      <c r="A308" s="42">
        <v>130174897</v>
      </c>
      <c r="B308" s="42">
        <v>99000000</v>
      </c>
      <c r="D308">
        <f t="shared" si="4"/>
        <v>31174897</v>
      </c>
    </row>
    <row r="309" spans="1:4" x14ac:dyDescent="0.3">
      <c r="A309" s="43">
        <v>10200000</v>
      </c>
      <c r="B309" s="43">
        <v>10000000</v>
      </c>
      <c r="D309">
        <f t="shared" si="4"/>
        <v>200000</v>
      </c>
    </row>
    <row r="310" spans="1:4" x14ac:dyDescent="0.3">
      <c r="A310" s="42">
        <v>202007640</v>
      </c>
      <c r="B310" s="42">
        <v>98000000</v>
      </c>
      <c r="D310">
        <f t="shared" si="4"/>
        <v>104007640</v>
      </c>
    </row>
    <row r="311" spans="1:4" x14ac:dyDescent="0.3">
      <c r="A311" s="43">
        <v>77679638</v>
      </c>
      <c r="B311" s="43">
        <v>100000000</v>
      </c>
      <c r="D311">
        <f t="shared" si="4"/>
        <v>-22320362</v>
      </c>
    </row>
    <row r="312" spans="1:4" x14ac:dyDescent="0.3">
      <c r="A312" s="42">
        <v>9213</v>
      </c>
      <c r="B312" s="42">
        <v>94000000</v>
      </c>
      <c r="D312">
        <f t="shared" si="4"/>
        <v>-93990787</v>
      </c>
    </row>
    <row r="313" spans="1:4" x14ac:dyDescent="0.3">
      <c r="A313" s="43">
        <v>58867694</v>
      </c>
      <c r="B313" s="43">
        <v>100000000</v>
      </c>
      <c r="D313">
        <f t="shared" si="4"/>
        <v>-41132306</v>
      </c>
    </row>
    <row r="314" spans="1:4" x14ac:dyDescent="0.3">
      <c r="A314" s="42">
        <v>59475623</v>
      </c>
      <c r="B314" s="42">
        <v>90000000</v>
      </c>
      <c r="D314">
        <f t="shared" si="4"/>
        <v>-30524377</v>
      </c>
    </row>
    <row r="315" spans="1:4" x14ac:dyDescent="0.3">
      <c r="A315" s="43">
        <v>108638745</v>
      </c>
      <c r="B315" s="43">
        <v>92000000</v>
      </c>
      <c r="D315">
        <f t="shared" si="4"/>
        <v>16638745</v>
      </c>
    </row>
    <row r="316" spans="1:4" x14ac:dyDescent="0.3">
      <c r="A316" s="42">
        <v>86897182</v>
      </c>
      <c r="B316" s="42">
        <v>95000000</v>
      </c>
      <c r="D316">
        <f t="shared" si="4"/>
        <v>-8102818</v>
      </c>
    </row>
    <row r="317" spans="1:4" x14ac:dyDescent="0.3">
      <c r="A317" s="43">
        <v>63540020</v>
      </c>
      <c r="B317" s="43">
        <v>93000000</v>
      </c>
      <c r="D317">
        <f t="shared" si="4"/>
        <v>-29459980</v>
      </c>
    </row>
    <row r="318" spans="1:4" x14ac:dyDescent="0.3">
      <c r="A318" s="42">
        <v>95328937</v>
      </c>
      <c r="B318" s="42">
        <v>100000000</v>
      </c>
      <c r="D318">
        <f t="shared" si="4"/>
        <v>-4671063</v>
      </c>
    </row>
    <row r="319" spans="1:4" x14ac:dyDescent="0.3">
      <c r="A319" s="43">
        <v>50802661</v>
      </c>
      <c r="B319" s="43">
        <v>95000000</v>
      </c>
      <c r="D319">
        <f t="shared" si="4"/>
        <v>-44197339</v>
      </c>
    </row>
    <row r="320" spans="1:4" x14ac:dyDescent="0.3">
      <c r="A320" s="42">
        <v>161317423</v>
      </c>
      <c r="B320" s="42">
        <v>95000000</v>
      </c>
      <c r="D320">
        <f t="shared" si="4"/>
        <v>66317423</v>
      </c>
    </row>
    <row r="321" spans="1:4" x14ac:dyDescent="0.3">
      <c r="A321" s="43">
        <v>201148159</v>
      </c>
      <c r="B321" s="43">
        <v>95000000</v>
      </c>
      <c r="D321">
        <f t="shared" si="4"/>
        <v>106148159</v>
      </c>
    </row>
    <row r="322" spans="1:4" x14ac:dyDescent="0.3">
      <c r="A322" s="42">
        <v>43982842</v>
      </c>
      <c r="B322" s="42">
        <v>65000000</v>
      </c>
      <c r="D322">
        <f t="shared" ref="D322:D385" si="5">A322-B322</f>
        <v>-21017158</v>
      </c>
    </row>
    <row r="323" spans="1:4" x14ac:dyDescent="0.3">
      <c r="A323" s="43">
        <v>380838870</v>
      </c>
      <c r="B323" s="43">
        <v>94000000</v>
      </c>
      <c r="D323">
        <f t="shared" si="5"/>
        <v>286838870</v>
      </c>
    </row>
    <row r="324" spans="1:4" x14ac:dyDescent="0.3">
      <c r="A324" s="42">
        <v>377019252</v>
      </c>
      <c r="B324" s="42">
        <v>94000000</v>
      </c>
      <c r="D324">
        <f t="shared" si="5"/>
        <v>283019252</v>
      </c>
    </row>
    <row r="325" spans="1:4" x14ac:dyDescent="0.3">
      <c r="A325" s="43">
        <v>340478898</v>
      </c>
      <c r="B325" s="43">
        <v>94000000</v>
      </c>
      <c r="D325">
        <f t="shared" si="5"/>
        <v>246478898</v>
      </c>
    </row>
    <row r="326" spans="1:4" x14ac:dyDescent="0.3">
      <c r="A326" s="42">
        <v>17176900</v>
      </c>
      <c r="B326" s="42">
        <v>95000000</v>
      </c>
      <c r="D326">
        <f t="shared" si="5"/>
        <v>-77823100</v>
      </c>
    </row>
    <row r="327" spans="1:4" x14ac:dyDescent="0.3">
      <c r="A327" s="43">
        <v>131144183</v>
      </c>
      <c r="B327" s="43">
        <v>115000000</v>
      </c>
      <c r="D327">
        <f t="shared" si="5"/>
        <v>16144183</v>
      </c>
    </row>
    <row r="328" spans="1:4" x14ac:dyDescent="0.3">
      <c r="A328" s="42">
        <v>23014504</v>
      </c>
      <c r="B328" s="42">
        <v>100000000</v>
      </c>
      <c r="D328">
        <f t="shared" si="5"/>
        <v>-76985496</v>
      </c>
    </row>
    <row r="329" spans="1:4" x14ac:dyDescent="0.3">
      <c r="A329" s="43">
        <v>181166115</v>
      </c>
      <c r="B329" s="43">
        <v>93000000</v>
      </c>
      <c r="D329">
        <f t="shared" si="5"/>
        <v>88166115</v>
      </c>
    </row>
    <row r="330" spans="1:4" x14ac:dyDescent="0.3">
      <c r="A330" s="42">
        <v>176740650</v>
      </c>
      <c r="B330" s="42">
        <v>93000000</v>
      </c>
      <c r="D330">
        <f t="shared" si="5"/>
        <v>83740650</v>
      </c>
    </row>
    <row r="331" spans="1:4" x14ac:dyDescent="0.3">
      <c r="A331" s="43">
        <v>71148699</v>
      </c>
      <c r="B331" s="43">
        <v>90000000</v>
      </c>
      <c r="D331">
        <f t="shared" si="5"/>
        <v>-18851301</v>
      </c>
    </row>
    <row r="332" spans="1:4" x14ac:dyDescent="0.3">
      <c r="A332" s="42">
        <v>67344392</v>
      </c>
      <c r="B332" s="42">
        <v>92000000</v>
      </c>
      <c r="D332">
        <f t="shared" si="5"/>
        <v>-24655608</v>
      </c>
    </row>
    <row r="333" spans="1:4" x14ac:dyDescent="0.3">
      <c r="A333" s="43">
        <v>22406362</v>
      </c>
      <c r="B333" s="43">
        <v>107000000</v>
      </c>
      <c r="D333">
        <f t="shared" si="5"/>
        <v>-84593638</v>
      </c>
    </row>
    <row r="334" spans="1:4" x14ac:dyDescent="0.3">
      <c r="A334" s="42">
        <v>261437578</v>
      </c>
      <c r="B334" s="42">
        <v>92000000</v>
      </c>
      <c r="D334">
        <f t="shared" si="5"/>
        <v>169437578</v>
      </c>
    </row>
    <row r="335" spans="1:4" x14ac:dyDescent="0.3">
      <c r="A335" s="43">
        <v>11000000</v>
      </c>
      <c r="B335" s="43">
        <v>98000000</v>
      </c>
      <c r="D335">
        <f t="shared" si="5"/>
        <v>-87000000</v>
      </c>
    </row>
    <row r="336" spans="1:4" x14ac:dyDescent="0.3">
      <c r="A336" s="42">
        <v>88761720</v>
      </c>
      <c r="B336" s="42">
        <v>95000000</v>
      </c>
      <c r="D336">
        <f t="shared" si="5"/>
        <v>-6238280</v>
      </c>
    </row>
    <row r="337" spans="1:4" x14ac:dyDescent="0.3">
      <c r="A337" s="43">
        <v>250147615</v>
      </c>
      <c r="B337" s="43">
        <v>90000000</v>
      </c>
      <c r="D337">
        <f t="shared" si="5"/>
        <v>160147615</v>
      </c>
    </row>
    <row r="338" spans="1:4" x14ac:dyDescent="0.3">
      <c r="A338" s="42">
        <v>245823397</v>
      </c>
      <c r="B338" s="42">
        <v>90000000</v>
      </c>
      <c r="D338">
        <f t="shared" si="5"/>
        <v>155823397</v>
      </c>
    </row>
    <row r="339" spans="1:4" x14ac:dyDescent="0.3">
      <c r="A339" s="43">
        <v>81557479</v>
      </c>
      <c r="B339" s="43">
        <v>100000000</v>
      </c>
      <c r="D339">
        <f t="shared" si="5"/>
        <v>-18442521</v>
      </c>
    </row>
    <row r="340" spans="1:4" x14ac:dyDescent="0.3">
      <c r="A340" s="42">
        <v>226138454</v>
      </c>
      <c r="B340" s="42">
        <v>90000000</v>
      </c>
      <c r="D340">
        <f t="shared" si="5"/>
        <v>136138454</v>
      </c>
    </row>
    <row r="341" spans="1:4" x14ac:dyDescent="0.3">
      <c r="A341" s="43">
        <v>155370362</v>
      </c>
      <c r="B341" s="43">
        <v>100000000</v>
      </c>
      <c r="D341">
        <f t="shared" si="5"/>
        <v>55370362</v>
      </c>
    </row>
    <row r="342" spans="1:4" x14ac:dyDescent="0.3">
      <c r="A342" s="42">
        <v>124870275</v>
      </c>
      <c r="B342" s="42">
        <v>100000000</v>
      </c>
      <c r="D342">
        <f t="shared" si="5"/>
        <v>24870275</v>
      </c>
    </row>
    <row r="343" spans="1:4" x14ac:dyDescent="0.3">
      <c r="A343" s="43">
        <v>196573705</v>
      </c>
      <c r="B343" s="43">
        <v>90000000</v>
      </c>
      <c r="D343">
        <f t="shared" si="5"/>
        <v>106573705</v>
      </c>
    </row>
    <row r="344" spans="1:4" x14ac:dyDescent="0.3">
      <c r="A344" s="42">
        <v>58229120</v>
      </c>
      <c r="B344" s="42">
        <v>90000000</v>
      </c>
      <c r="D344">
        <f t="shared" si="5"/>
        <v>-31770880</v>
      </c>
    </row>
    <row r="345" spans="1:4" x14ac:dyDescent="0.3">
      <c r="A345" s="43">
        <v>125305545</v>
      </c>
      <c r="B345" s="43">
        <v>92000000</v>
      </c>
      <c r="D345">
        <f t="shared" si="5"/>
        <v>33305545</v>
      </c>
    </row>
    <row r="346" spans="1:4" x14ac:dyDescent="0.3">
      <c r="A346" s="42">
        <v>132373442</v>
      </c>
      <c r="B346" s="42">
        <v>90000000</v>
      </c>
      <c r="D346">
        <f t="shared" si="5"/>
        <v>42373442</v>
      </c>
    </row>
    <row r="347" spans="1:4" x14ac:dyDescent="0.3">
      <c r="A347" s="43">
        <v>120618403</v>
      </c>
      <c r="B347" s="43">
        <v>90000000</v>
      </c>
      <c r="D347">
        <f t="shared" si="5"/>
        <v>30618403</v>
      </c>
    </row>
    <row r="348" spans="1:4" x14ac:dyDescent="0.3">
      <c r="A348" s="42">
        <v>110416702</v>
      </c>
      <c r="B348" s="42">
        <v>92000000</v>
      </c>
      <c r="D348">
        <f t="shared" si="5"/>
        <v>18416702</v>
      </c>
    </row>
    <row r="349" spans="1:4" x14ac:dyDescent="0.3">
      <c r="A349" s="43">
        <v>102515793</v>
      </c>
      <c r="B349" s="43">
        <v>90000000</v>
      </c>
      <c r="D349">
        <f t="shared" si="5"/>
        <v>12515793</v>
      </c>
    </row>
    <row r="350" spans="1:4" x14ac:dyDescent="0.3">
      <c r="A350" s="42">
        <v>100012500</v>
      </c>
      <c r="B350" s="42">
        <v>90000000</v>
      </c>
      <c r="D350">
        <f t="shared" si="5"/>
        <v>10012500</v>
      </c>
    </row>
    <row r="351" spans="1:4" x14ac:dyDescent="0.3">
      <c r="A351" s="43">
        <v>209019489</v>
      </c>
      <c r="B351" s="43">
        <v>90000000</v>
      </c>
      <c r="D351">
        <f t="shared" si="5"/>
        <v>119019489</v>
      </c>
    </row>
    <row r="352" spans="1:4" x14ac:dyDescent="0.3">
      <c r="A352" s="42">
        <v>84037039</v>
      </c>
      <c r="B352" s="42">
        <v>120000000</v>
      </c>
      <c r="D352">
        <f t="shared" si="5"/>
        <v>-35962961</v>
      </c>
    </row>
    <row r="353" spans="1:4" x14ac:dyDescent="0.3">
      <c r="A353" s="43">
        <v>85884815</v>
      </c>
      <c r="B353" s="43">
        <v>90000000</v>
      </c>
      <c r="D353">
        <f t="shared" si="5"/>
        <v>-4115185</v>
      </c>
    </row>
    <row r="354" spans="1:4" x14ac:dyDescent="0.3">
      <c r="A354" s="42">
        <v>83077470</v>
      </c>
      <c r="B354" s="42">
        <v>75000000</v>
      </c>
      <c r="D354">
        <f t="shared" si="5"/>
        <v>8077470</v>
      </c>
    </row>
    <row r="355" spans="1:4" x14ac:dyDescent="0.3">
      <c r="A355" s="43">
        <v>100018837</v>
      </c>
      <c r="B355" s="43">
        <v>90000000</v>
      </c>
      <c r="D355">
        <f t="shared" si="5"/>
        <v>10018837</v>
      </c>
    </row>
    <row r="356" spans="1:4" x14ac:dyDescent="0.3">
      <c r="A356" s="42">
        <v>78747585</v>
      </c>
      <c r="B356" s="42">
        <v>88000000</v>
      </c>
      <c r="D356">
        <f t="shared" si="5"/>
        <v>-9252415</v>
      </c>
    </row>
    <row r="357" spans="1:4" x14ac:dyDescent="0.3">
      <c r="A357" s="43">
        <v>78616689</v>
      </c>
      <c r="B357" s="43">
        <v>100000000</v>
      </c>
      <c r="D357">
        <f t="shared" si="5"/>
        <v>-21383311</v>
      </c>
    </row>
    <row r="358" spans="1:4" x14ac:dyDescent="0.3">
      <c r="A358" s="42">
        <v>75817994</v>
      </c>
      <c r="B358" s="42">
        <v>90000000</v>
      </c>
      <c r="D358">
        <f t="shared" si="5"/>
        <v>-14182006</v>
      </c>
    </row>
    <row r="359" spans="1:4" x14ac:dyDescent="0.3">
      <c r="A359" s="43">
        <v>100853835</v>
      </c>
      <c r="B359" s="43">
        <v>90000000</v>
      </c>
      <c r="D359">
        <f t="shared" si="5"/>
        <v>10853835</v>
      </c>
    </row>
    <row r="360" spans="1:4" x14ac:dyDescent="0.3">
      <c r="A360" s="42">
        <v>73209340</v>
      </c>
      <c r="B360" s="42">
        <v>95000000</v>
      </c>
      <c r="D360">
        <f t="shared" si="5"/>
        <v>-21790660</v>
      </c>
    </row>
    <row r="361" spans="1:4" x14ac:dyDescent="0.3">
      <c r="A361" s="43">
        <v>72515360</v>
      </c>
      <c r="B361" s="43">
        <v>80000000</v>
      </c>
      <c r="D361">
        <f t="shared" si="5"/>
        <v>-7484640</v>
      </c>
    </row>
    <row r="362" spans="1:4" x14ac:dyDescent="0.3">
      <c r="A362" s="42">
        <v>68558662</v>
      </c>
      <c r="B362" s="42">
        <v>90000000</v>
      </c>
      <c r="D362">
        <f t="shared" si="5"/>
        <v>-21441338</v>
      </c>
    </row>
    <row r="363" spans="1:4" x14ac:dyDescent="0.3">
      <c r="A363" s="43">
        <v>65653758</v>
      </c>
      <c r="B363" s="43">
        <v>95000000</v>
      </c>
      <c r="D363">
        <f t="shared" si="5"/>
        <v>-29346242</v>
      </c>
    </row>
    <row r="364" spans="1:4" x14ac:dyDescent="0.3">
      <c r="A364" s="42">
        <v>64685359</v>
      </c>
      <c r="B364" s="42">
        <v>90000000</v>
      </c>
      <c r="D364">
        <f t="shared" si="5"/>
        <v>-25314641</v>
      </c>
    </row>
    <row r="365" spans="1:4" x14ac:dyDescent="0.3">
      <c r="A365" s="43">
        <v>61355436</v>
      </c>
      <c r="B365" s="43">
        <v>68000000</v>
      </c>
      <c r="D365">
        <f t="shared" si="5"/>
        <v>-6644564</v>
      </c>
    </row>
    <row r="366" spans="1:4" x14ac:dyDescent="0.3">
      <c r="A366" s="42">
        <v>26871</v>
      </c>
      <c r="B366" s="42">
        <v>92000000</v>
      </c>
      <c r="D366">
        <f t="shared" si="5"/>
        <v>-91973129</v>
      </c>
    </row>
    <row r="367" spans="1:4" x14ac:dyDescent="0.3">
      <c r="A367" s="43">
        <v>60874615</v>
      </c>
      <c r="B367" s="43">
        <v>90000000</v>
      </c>
      <c r="D367">
        <f t="shared" si="5"/>
        <v>-29125385</v>
      </c>
    </row>
    <row r="368" spans="1:4" x14ac:dyDescent="0.3">
      <c r="A368" s="42">
        <v>143618384</v>
      </c>
      <c r="B368" s="42">
        <v>90000000</v>
      </c>
      <c r="D368">
        <f t="shared" si="5"/>
        <v>53618384</v>
      </c>
    </row>
    <row r="369" spans="1:4" x14ac:dyDescent="0.3">
      <c r="A369" s="43">
        <v>58220776</v>
      </c>
      <c r="B369" s="43">
        <v>100000000</v>
      </c>
      <c r="D369">
        <f t="shared" si="5"/>
        <v>-41779224</v>
      </c>
    </row>
    <row r="370" spans="1:4" x14ac:dyDescent="0.3">
      <c r="A370" s="42">
        <v>47474112</v>
      </c>
      <c r="B370" s="42">
        <v>90000000</v>
      </c>
      <c r="D370">
        <f t="shared" si="5"/>
        <v>-42525888</v>
      </c>
    </row>
    <row r="371" spans="1:4" x14ac:dyDescent="0.3">
      <c r="A371" s="43">
        <v>42877165</v>
      </c>
      <c r="B371" s="43">
        <v>86000000</v>
      </c>
      <c r="D371">
        <f t="shared" si="5"/>
        <v>-43122835</v>
      </c>
    </row>
    <row r="372" spans="1:4" x14ac:dyDescent="0.3">
      <c r="A372" s="42">
        <v>35168677</v>
      </c>
      <c r="B372" s="42">
        <v>100000000</v>
      </c>
      <c r="D372">
        <f t="shared" si="5"/>
        <v>-64831323</v>
      </c>
    </row>
    <row r="373" spans="1:4" x14ac:dyDescent="0.3">
      <c r="A373" s="43">
        <v>37567440</v>
      </c>
      <c r="B373" s="43">
        <v>20000000</v>
      </c>
      <c r="D373">
        <f t="shared" si="5"/>
        <v>17567440</v>
      </c>
    </row>
    <row r="374" spans="1:4" x14ac:dyDescent="0.3">
      <c r="A374" s="42">
        <v>61644321</v>
      </c>
      <c r="B374" s="42">
        <v>88000000</v>
      </c>
      <c r="D374">
        <f t="shared" si="5"/>
        <v>-26355679</v>
      </c>
    </row>
    <row r="375" spans="1:4" x14ac:dyDescent="0.3">
      <c r="A375" s="43">
        <v>190562</v>
      </c>
      <c r="B375" s="43">
        <v>90000000</v>
      </c>
      <c r="D375">
        <f t="shared" si="5"/>
        <v>-89809438</v>
      </c>
    </row>
    <row r="376" spans="1:4" x14ac:dyDescent="0.3">
      <c r="A376" s="42">
        <v>120147445</v>
      </c>
      <c r="B376" s="42">
        <v>87000000</v>
      </c>
      <c r="D376">
        <f t="shared" si="5"/>
        <v>33147445</v>
      </c>
    </row>
    <row r="377" spans="1:4" x14ac:dyDescent="0.3">
      <c r="A377" s="43">
        <v>241688385</v>
      </c>
      <c r="B377" s="43">
        <v>92000000</v>
      </c>
      <c r="D377">
        <f t="shared" si="5"/>
        <v>149688385</v>
      </c>
    </row>
    <row r="378" spans="1:4" x14ac:dyDescent="0.3">
      <c r="A378" s="42">
        <v>233630478</v>
      </c>
      <c r="B378" s="42">
        <v>90000000</v>
      </c>
      <c r="D378">
        <f t="shared" si="5"/>
        <v>143630478</v>
      </c>
    </row>
    <row r="379" spans="1:4" x14ac:dyDescent="0.3">
      <c r="A379" s="43">
        <v>197992827</v>
      </c>
      <c r="B379" s="43">
        <v>100000000</v>
      </c>
      <c r="D379">
        <f t="shared" si="5"/>
        <v>97992827</v>
      </c>
    </row>
    <row r="380" spans="1:4" x14ac:dyDescent="0.3">
      <c r="A380" s="42">
        <v>176049130</v>
      </c>
      <c r="B380" s="42">
        <v>75000000</v>
      </c>
      <c r="D380">
        <f t="shared" si="5"/>
        <v>101049130</v>
      </c>
    </row>
    <row r="381" spans="1:4" x14ac:dyDescent="0.3">
      <c r="A381" s="43">
        <v>172620724</v>
      </c>
      <c r="B381" s="43">
        <v>85000000</v>
      </c>
      <c r="D381">
        <f t="shared" si="5"/>
        <v>87620724</v>
      </c>
    </row>
    <row r="382" spans="1:4" x14ac:dyDescent="0.3">
      <c r="A382" s="42">
        <v>183405771</v>
      </c>
      <c r="B382" s="42">
        <v>85000000</v>
      </c>
      <c r="D382">
        <f t="shared" si="5"/>
        <v>98405771</v>
      </c>
    </row>
    <row r="383" spans="1:4" x14ac:dyDescent="0.3">
      <c r="A383" s="43">
        <v>20315324</v>
      </c>
      <c r="B383" s="43">
        <v>75000000</v>
      </c>
      <c r="D383">
        <f t="shared" si="5"/>
        <v>-54684676</v>
      </c>
    </row>
    <row r="384" spans="1:4" x14ac:dyDescent="0.3">
      <c r="A384" s="42">
        <v>148313048</v>
      </c>
      <c r="B384" s="42">
        <v>85000000</v>
      </c>
      <c r="D384">
        <f t="shared" si="5"/>
        <v>63313048</v>
      </c>
    </row>
    <row r="385" spans="1:4" x14ac:dyDescent="0.3">
      <c r="A385" s="43">
        <v>127706877</v>
      </c>
      <c r="B385" s="43">
        <v>85000000</v>
      </c>
      <c r="D385">
        <f t="shared" si="5"/>
        <v>42706877</v>
      </c>
    </row>
    <row r="386" spans="1:4" x14ac:dyDescent="0.3">
      <c r="A386" s="42">
        <v>126149655</v>
      </c>
      <c r="B386" s="42">
        <v>85000000</v>
      </c>
      <c r="D386">
        <f t="shared" ref="D386:D449" si="6">A386-B386</f>
        <v>41149655</v>
      </c>
    </row>
    <row r="387" spans="1:4" x14ac:dyDescent="0.3">
      <c r="A387" s="43">
        <v>66941559</v>
      </c>
      <c r="B387" s="43">
        <v>85000000</v>
      </c>
      <c r="D387">
        <f t="shared" si="6"/>
        <v>-18058441</v>
      </c>
    </row>
    <row r="388" spans="1:4" x14ac:dyDescent="0.3">
      <c r="A388" s="42">
        <v>78009155</v>
      </c>
      <c r="B388" s="42">
        <v>75000000</v>
      </c>
      <c r="D388">
        <f t="shared" si="6"/>
        <v>3009155</v>
      </c>
    </row>
    <row r="389" spans="1:4" x14ac:dyDescent="0.3">
      <c r="A389" s="43">
        <v>63224849</v>
      </c>
      <c r="B389" s="43">
        <v>85000000</v>
      </c>
      <c r="D389">
        <f t="shared" si="6"/>
        <v>-21775151</v>
      </c>
    </row>
    <row r="390" spans="1:4" x14ac:dyDescent="0.3">
      <c r="A390" s="42">
        <v>111544445</v>
      </c>
      <c r="B390" s="42">
        <v>90000000</v>
      </c>
      <c r="D390">
        <f t="shared" si="6"/>
        <v>21544445</v>
      </c>
    </row>
    <row r="391" spans="1:4" x14ac:dyDescent="0.3">
      <c r="A391" s="43">
        <v>112703470</v>
      </c>
      <c r="B391" s="43">
        <v>85000000</v>
      </c>
      <c r="D391">
        <f t="shared" si="6"/>
        <v>27703470</v>
      </c>
    </row>
    <row r="392" spans="1:4" x14ac:dyDescent="0.3">
      <c r="A392" s="42">
        <v>117144465</v>
      </c>
      <c r="B392" s="42">
        <v>85000000</v>
      </c>
      <c r="D392">
        <f t="shared" si="6"/>
        <v>32144465</v>
      </c>
    </row>
    <row r="393" spans="1:4" x14ac:dyDescent="0.3">
      <c r="A393" s="43">
        <v>84303558</v>
      </c>
      <c r="B393" s="43">
        <v>85000000</v>
      </c>
      <c r="D393">
        <f t="shared" si="6"/>
        <v>-696442</v>
      </c>
    </row>
    <row r="394" spans="1:4" x14ac:dyDescent="0.3">
      <c r="A394" s="42">
        <v>150832203</v>
      </c>
      <c r="B394" s="42">
        <v>85000000</v>
      </c>
      <c r="D394">
        <f t="shared" si="6"/>
        <v>65832203</v>
      </c>
    </row>
    <row r="395" spans="1:4" x14ac:dyDescent="0.3">
      <c r="A395" s="43">
        <v>51396781</v>
      </c>
      <c r="B395" s="43">
        <v>68000000</v>
      </c>
      <c r="D395">
        <f t="shared" si="6"/>
        <v>-16603219</v>
      </c>
    </row>
    <row r="396" spans="1:4" x14ac:dyDescent="0.3">
      <c r="A396" s="42">
        <v>47592825</v>
      </c>
      <c r="B396" s="42">
        <v>85000000</v>
      </c>
      <c r="D396">
        <f t="shared" si="6"/>
        <v>-37407175</v>
      </c>
    </row>
    <row r="397" spans="1:4" x14ac:dyDescent="0.3">
      <c r="A397" s="43">
        <v>50016394</v>
      </c>
      <c r="B397" s="43">
        <v>70000000</v>
      </c>
      <c r="D397">
        <f t="shared" si="6"/>
        <v>-19983606</v>
      </c>
    </row>
    <row r="398" spans="1:4" x14ac:dyDescent="0.3">
      <c r="A398" s="42">
        <v>57010853</v>
      </c>
      <c r="B398" s="42">
        <v>85000000</v>
      </c>
      <c r="D398">
        <f t="shared" si="6"/>
        <v>-27989147</v>
      </c>
    </row>
    <row r="399" spans="1:4" x14ac:dyDescent="0.3">
      <c r="A399" s="43">
        <v>62494975</v>
      </c>
      <c r="B399" s="43">
        <v>85000000</v>
      </c>
      <c r="D399">
        <f t="shared" si="6"/>
        <v>-22505025</v>
      </c>
    </row>
    <row r="400" spans="1:4" x14ac:dyDescent="0.3">
      <c r="A400" s="42">
        <v>46440491</v>
      </c>
      <c r="B400" s="42">
        <v>100000000</v>
      </c>
      <c r="D400">
        <f t="shared" si="6"/>
        <v>-53559509</v>
      </c>
    </row>
    <row r="401" spans="1:4" x14ac:dyDescent="0.3">
      <c r="A401" s="43">
        <v>44606335</v>
      </c>
      <c r="B401" s="43">
        <v>90000000</v>
      </c>
      <c r="D401">
        <f t="shared" si="6"/>
        <v>-45393665</v>
      </c>
    </row>
    <row r="402" spans="1:4" x14ac:dyDescent="0.3">
      <c r="A402" s="42">
        <v>40048332</v>
      </c>
      <c r="B402" s="42">
        <v>85000000</v>
      </c>
      <c r="D402">
        <f t="shared" si="6"/>
        <v>-44951668</v>
      </c>
    </row>
    <row r="403" spans="1:4" x14ac:dyDescent="0.3">
      <c r="A403" s="43">
        <v>64933670</v>
      </c>
      <c r="B403" s="43">
        <v>85000000</v>
      </c>
      <c r="D403">
        <f t="shared" si="6"/>
        <v>-20066330</v>
      </c>
    </row>
    <row r="404" spans="1:4" x14ac:dyDescent="0.3">
      <c r="A404" s="42">
        <v>31111260</v>
      </c>
      <c r="B404" s="42">
        <v>60000000</v>
      </c>
      <c r="D404">
        <f t="shared" si="6"/>
        <v>-28888740</v>
      </c>
    </row>
    <row r="405" spans="1:4" x14ac:dyDescent="0.3">
      <c r="A405" s="43">
        <v>123307945</v>
      </c>
      <c r="B405" s="43">
        <v>65000000</v>
      </c>
      <c r="D405">
        <f t="shared" si="6"/>
        <v>58307945</v>
      </c>
    </row>
    <row r="406" spans="1:4" x14ac:dyDescent="0.3">
      <c r="A406" s="42">
        <v>153288182</v>
      </c>
      <c r="B406" s="42">
        <v>84000000</v>
      </c>
      <c r="D406">
        <f t="shared" si="6"/>
        <v>69288182</v>
      </c>
    </row>
    <row r="407" spans="1:4" x14ac:dyDescent="0.3">
      <c r="A407" s="43">
        <v>13401683</v>
      </c>
      <c r="B407" s="43">
        <v>35000000</v>
      </c>
      <c r="D407">
        <f t="shared" si="6"/>
        <v>-21598317</v>
      </c>
    </row>
    <row r="408" spans="1:4" x14ac:dyDescent="0.3">
      <c r="A408" s="42">
        <v>137340146</v>
      </c>
      <c r="B408" s="42">
        <v>70000000</v>
      </c>
      <c r="D408">
        <f t="shared" si="6"/>
        <v>67340146</v>
      </c>
    </row>
    <row r="409" spans="1:4" x14ac:dyDescent="0.3">
      <c r="A409" s="43">
        <v>43575716</v>
      </c>
      <c r="B409" s="43">
        <v>85000000</v>
      </c>
      <c r="D409">
        <f t="shared" si="6"/>
        <v>-41424284</v>
      </c>
    </row>
    <row r="410" spans="1:4" x14ac:dyDescent="0.3">
      <c r="A410" s="42">
        <v>80170146</v>
      </c>
      <c r="B410" s="42">
        <v>85000000</v>
      </c>
      <c r="D410">
        <f t="shared" si="6"/>
        <v>-4829854</v>
      </c>
    </row>
    <row r="411" spans="1:4" x14ac:dyDescent="0.3">
      <c r="A411" s="43">
        <v>75754670</v>
      </c>
      <c r="B411" s="43">
        <v>85000000</v>
      </c>
      <c r="D411">
        <f t="shared" si="6"/>
        <v>-9245330</v>
      </c>
    </row>
    <row r="412" spans="1:4" x14ac:dyDescent="0.3">
      <c r="A412" s="42">
        <v>33048353</v>
      </c>
      <c r="B412" s="42">
        <v>65000000</v>
      </c>
      <c r="D412">
        <f t="shared" si="6"/>
        <v>-31951647</v>
      </c>
    </row>
    <row r="413" spans="1:4" x14ac:dyDescent="0.3">
      <c r="A413" s="43">
        <v>34543701</v>
      </c>
      <c r="B413" s="43">
        <v>82000000</v>
      </c>
      <c r="D413">
        <f t="shared" si="6"/>
        <v>-47456299</v>
      </c>
    </row>
    <row r="414" spans="1:4" x14ac:dyDescent="0.3">
      <c r="A414" s="42">
        <v>242589580</v>
      </c>
      <c r="B414" s="42">
        <v>81000000</v>
      </c>
      <c r="D414">
        <f t="shared" si="6"/>
        <v>161589580</v>
      </c>
    </row>
    <row r="415" spans="1:4" x14ac:dyDescent="0.3">
      <c r="A415" s="43">
        <v>102981571</v>
      </c>
      <c r="B415" s="43">
        <v>80000000</v>
      </c>
      <c r="D415">
        <f t="shared" si="6"/>
        <v>22981571</v>
      </c>
    </row>
    <row r="416" spans="1:4" x14ac:dyDescent="0.3">
      <c r="A416" s="42">
        <v>180965237</v>
      </c>
      <c r="B416" s="42">
        <v>80000000</v>
      </c>
      <c r="D416">
        <f t="shared" si="6"/>
        <v>100965237</v>
      </c>
    </row>
    <row r="417" spans="1:4" x14ac:dyDescent="0.3">
      <c r="A417" s="43">
        <v>407999255</v>
      </c>
      <c r="B417" s="43">
        <v>78000000</v>
      </c>
      <c r="D417">
        <f t="shared" si="6"/>
        <v>329999255</v>
      </c>
    </row>
    <row r="418" spans="1:4" x14ac:dyDescent="0.3">
      <c r="A418" s="42">
        <v>254455986</v>
      </c>
      <c r="B418" s="42">
        <v>80000000</v>
      </c>
      <c r="D418">
        <f t="shared" si="6"/>
        <v>174455986</v>
      </c>
    </row>
    <row r="419" spans="1:4" x14ac:dyDescent="0.3">
      <c r="A419" s="43">
        <v>162831698</v>
      </c>
      <c r="B419" s="43">
        <v>80000000</v>
      </c>
      <c r="D419">
        <f t="shared" si="6"/>
        <v>82831698</v>
      </c>
    </row>
    <row r="420" spans="1:4" x14ac:dyDescent="0.3">
      <c r="A420" s="42">
        <v>155019340</v>
      </c>
      <c r="B420" s="42">
        <v>80000000</v>
      </c>
      <c r="D420">
        <f t="shared" si="6"/>
        <v>75019340</v>
      </c>
    </row>
    <row r="421" spans="1:4" x14ac:dyDescent="0.3">
      <c r="A421" s="43">
        <v>145771527</v>
      </c>
      <c r="B421" s="43">
        <v>80000000</v>
      </c>
      <c r="D421">
        <f t="shared" si="6"/>
        <v>65771527</v>
      </c>
    </row>
    <row r="422" spans="1:4" x14ac:dyDescent="0.3">
      <c r="A422" s="42">
        <v>140459099</v>
      </c>
      <c r="B422" s="42">
        <v>75000000</v>
      </c>
      <c r="D422">
        <f t="shared" si="6"/>
        <v>65459099</v>
      </c>
    </row>
    <row r="423" spans="1:4" x14ac:dyDescent="0.3">
      <c r="A423" s="43">
        <v>53215979</v>
      </c>
      <c r="B423" s="43">
        <v>84000000</v>
      </c>
      <c r="D423">
        <f t="shared" si="6"/>
        <v>-30784021</v>
      </c>
    </row>
    <row r="424" spans="1:4" x14ac:dyDescent="0.3">
      <c r="A424" s="42">
        <v>158115031</v>
      </c>
      <c r="B424" s="42">
        <v>82000000</v>
      </c>
      <c r="D424">
        <f t="shared" si="6"/>
        <v>76115031</v>
      </c>
    </row>
    <row r="425" spans="1:4" x14ac:dyDescent="0.3">
      <c r="A425" s="43">
        <v>133103929</v>
      </c>
      <c r="B425" s="43">
        <v>75000000</v>
      </c>
      <c r="D425">
        <f t="shared" si="6"/>
        <v>58103929</v>
      </c>
    </row>
    <row r="426" spans="1:4" x14ac:dyDescent="0.3">
      <c r="A426" s="42">
        <v>133668525</v>
      </c>
      <c r="B426" s="42">
        <v>80000000</v>
      </c>
      <c r="D426">
        <f t="shared" si="6"/>
        <v>53668525</v>
      </c>
    </row>
    <row r="427" spans="1:4" x14ac:dyDescent="0.3">
      <c r="A427" s="43">
        <v>130313314</v>
      </c>
      <c r="B427" s="43">
        <v>80000000</v>
      </c>
      <c r="D427">
        <f t="shared" si="6"/>
        <v>50313314</v>
      </c>
    </row>
    <row r="428" spans="1:4" x14ac:dyDescent="0.3">
      <c r="A428" s="42">
        <v>124590960</v>
      </c>
      <c r="B428" s="42">
        <v>80000000</v>
      </c>
      <c r="D428">
        <f t="shared" si="6"/>
        <v>44590960</v>
      </c>
    </row>
    <row r="429" spans="1:4" x14ac:dyDescent="0.3">
      <c r="A429" s="43">
        <v>127968405</v>
      </c>
      <c r="B429" s="43">
        <v>80000000</v>
      </c>
      <c r="D429">
        <f t="shared" si="6"/>
        <v>47968405</v>
      </c>
    </row>
    <row r="430" spans="1:4" x14ac:dyDescent="0.3">
      <c r="A430" s="42">
        <v>120136047</v>
      </c>
      <c r="B430" s="42">
        <v>80000000</v>
      </c>
      <c r="D430">
        <f t="shared" si="6"/>
        <v>40136047</v>
      </c>
    </row>
    <row r="431" spans="1:4" x14ac:dyDescent="0.3">
      <c r="A431" s="43">
        <v>128200012</v>
      </c>
      <c r="B431" s="43">
        <v>75000000</v>
      </c>
      <c r="D431">
        <f t="shared" si="6"/>
        <v>53200012</v>
      </c>
    </row>
    <row r="432" spans="1:4" x14ac:dyDescent="0.3">
      <c r="A432" s="42">
        <v>112225777</v>
      </c>
      <c r="B432" s="42">
        <v>80000000</v>
      </c>
      <c r="D432">
        <f t="shared" si="6"/>
        <v>32225777</v>
      </c>
    </row>
    <row r="433" spans="1:4" x14ac:dyDescent="0.3">
      <c r="A433" s="43">
        <v>109993847</v>
      </c>
      <c r="B433" s="43">
        <v>80000000</v>
      </c>
      <c r="D433">
        <f t="shared" si="6"/>
        <v>29993847</v>
      </c>
    </row>
    <row r="434" spans="1:4" x14ac:dyDescent="0.3">
      <c r="A434" s="42">
        <v>104054514</v>
      </c>
      <c r="B434" s="42">
        <v>80000000</v>
      </c>
      <c r="D434">
        <f t="shared" si="6"/>
        <v>24054514</v>
      </c>
    </row>
    <row r="435" spans="1:4" x14ac:dyDescent="0.3">
      <c r="A435" s="43">
        <v>103028109</v>
      </c>
      <c r="B435" s="43">
        <v>80000000</v>
      </c>
      <c r="D435">
        <f t="shared" si="6"/>
        <v>23028109</v>
      </c>
    </row>
    <row r="436" spans="1:4" x14ac:dyDescent="0.3">
      <c r="A436" s="42">
        <v>101087161</v>
      </c>
      <c r="B436" s="42">
        <v>75000000</v>
      </c>
      <c r="D436">
        <f t="shared" si="6"/>
        <v>26087161</v>
      </c>
    </row>
    <row r="437" spans="1:4" x14ac:dyDescent="0.3">
      <c r="A437" s="43">
        <v>101111837</v>
      </c>
      <c r="B437" s="43">
        <v>80000000</v>
      </c>
      <c r="D437">
        <f t="shared" si="6"/>
        <v>21111837</v>
      </c>
    </row>
    <row r="438" spans="1:4" x14ac:dyDescent="0.3">
      <c r="A438" s="42">
        <v>95632614</v>
      </c>
      <c r="B438" s="42">
        <v>79000000</v>
      </c>
      <c r="D438">
        <f t="shared" si="6"/>
        <v>16632614</v>
      </c>
    </row>
    <row r="439" spans="1:4" x14ac:dyDescent="0.3">
      <c r="A439" s="43">
        <v>94822707</v>
      </c>
      <c r="B439" s="43">
        <v>80000000</v>
      </c>
      <c r="D439">
        <f t="shared" si="6"/>
        <v>14822707</v>
      </c>
    </row>
    <row r="440" spans="1:4" x14ac:dyDescent="0.3">
      <c r="A440" s="42">
        <v>92969824</v>
      </c>
      <c r="B440" s="42">
        <v>80000000</v>
      </c>
      <c r="D440">
        <f t="shared" si="6"/>
        <v>12969824</v>
      </c>
    </row>
    <row r="441" spans="1:4" x14ac:dyDescent="0.3">
      <c r="A441" s="43">
        <v>91188905</v>
      </c>
      <c r="B441" s="43">
        <v>80000000</v>
      </c>
      <c r="D441">
        <f t="shared" si="6"/>
        <v>11188905</v>
      </c>
    </row>
    <row r="442" spans="1:4" x14ac:dyDescent="0.3">
      <c r="A442" s="42">
        <v>90443603</v>
      </c>
      <c r="B442" s="42">
        <v>80000000</v>
      </c>
      <c r="D442">
        <f t="shared" si="6"/>
        <v>10443603</v>
      </c>
    </row>
    <row r="443" spans="1:4" x14ac:dyDescent="0.3">
      <c r="A443" s="43">
        <v>82226474</v>
      </c>
      <c r="B443" s="43">
        <v>65000000</v>
      </c>
      <c r="D443">
        <f t="shared" si="6"/>
        <v>17226474</v>
      </c>
    </row>
    <row r="444" spans="1:4" x14ac:dyDescent="0.3">
      <c r="A444" s="42">
        <v>79363785</v>
      </c>
      <c r="B444" s="42">
        <v>80000000</v>
      </c>
      <c r="D444">
        <f t="shared" si="6"/>
        <v>-636215</v>
      </c>
    </row>
    <row r="445" spans="1:4" x14ac:dyDescent="0.3">
      <c r="A445" s="43">
        <v>76081498</v>
      </c>
      <c r="B445" s="43">
        <v>75000000</v>
      </c>
      <c r="D445">
        <f t="shared" si="6"/>
        <v>1081498</v>
      </c>
    </row>
    <row r="446" spans="1:4" x14ac:dyDescent="0.3">
      <c r="A446" s="42">
        <v>85707116</v>
      </c>
      <c r="B446" s="42">
        <v>68000000</v>
      </c>
      <c r="D446">
        <f t="shared" si="6"/>
        <v>17707116</v>
      </c>
    </row>
    <row r="447" spans="1:4" x14ac:dyDescent="0.3">
      <c r="A447" s="43">
        <v>74329966</v>
      </c>
      <c r="B447" s="43">
        <v>70000000</v>
      </c>
      <c r="D447">
        <f t="shared" si="6"/>
        <v>4329966</v>
      </c>
    </row>
    <row r="448" spans="1:4" x14ac:dyDescent="0.3">
      <c r="A448" s="42">
        <v>100169068</v>
      </c>
      <c r="B448" s="42">
        <v>80000000</v>
      </c>
      <c r="D448">
        <f t="shared" si="6"/>
        <v>20169068</v>
      </c>
    </row>
    <row r="449" spans="1:4" x14ac:dyDescent="0.3">
      <c r="A449" s="43">
        <v>73215310</v>
      </c>
      <c r="B449" s="43">
        <v>80000000</v>
      </c>
      <c r="D449">
        <f t="shared" si="6"/>
        <v>-6784690</v>
      </c>
    </row>
    <row r="450" spans="1:4" x14ac:dyDescent="0.3">
      <c r="A450" s="42">
        <v>80360866</v>
      </c>
      <c r="B450" s="42">
        <v>80000000</v>
      </c>
      <c r="D450">
        <f t="shared" ref="D450:D513" si="7">A450-B450</f>
        <v>360866</v>
      </c>
    </row>
    <row r="451" spans="1:4" x14ac:dyDescent="0.3">
      <c r="A451" s="43">
        <v>69102910</v>
      </c>
      <c r="B451" s="43">
        <v>80000000</v>
      </c>
      <c r="D451">
        <f t="shared" si="7"/>
        <v>-10897090</v>
      </c>
    </row>
    <row r="452" spans="1:4" x14ac:dyDescent="0.3">
      <c r="A452" s="42">
        <v>65948711</v>
      </c>
      <c r="B452" s="42">
        <v>80000000</v>
      </c>
      <c r="D452">
        <f t="shared" si="7"/>
        <v>-14051289</v>
      </c>
    </row>
    <row r="453" spans="1:4" x14ac:dyDescent="0.3">
      <c r="A453" s="43">
        <v>169692572</v>
      </c>
      <c r="B453" s="43">
        <v>80000000</v>
      </c>
      <c r="D453">
        <f t="shared" si="7"/>
        <v>89692572</v>
      </c>
    </row>
    <row r="454" spans="1:4" x14ac:dyDescent="0.3">
      <c r="A454" s="42">
        <v>60507228</v>
      </c>
      <c r="B454" s="42">
        <v>80000000</v>
      </c>
      <c r="D454">
        <f t="shared" si="7"/>
        <v>-19492772</v>
      </c>
    </row>
    <row r="455" spans="1:4" x14ac:dyDescent="0.3">
      <c r="A455" s="43">
        <v>56684819</v>
      </c>
      <c r="B455" s="43">
        <v>80000000</v>
      </c>
      <c r="D455">
        <f t="shared" si="7"/>
        <v>-23315181</v>
      </c>
    </row>
    <row r="456" spans="1:4" x14ac:dyDescent="0.3">
      <c r="A456" s="42">
        <v>50628009</v>
      </c>
      <c r="B456" s="42">
        <v>90000000</v>
      </c>
      <c r="D456">
        <f t="shared" si="7"/>
        <v>-39371991</v>
      </c>
    </row>
    <row r="457" spans="1:4" x14ac:dyDescent="0.3">
      <c r="A457" s="43">
        <v>69772969</v>
      </c>
      <c r="B457" s="43">
        <v>80000000</v>
      </c>
      <c r="D457">
        <f t="shared" si="7"/>
        <v>-10227031</v>
      </c>
    </row>
    <row r="458" spans="1:4" x14ac:dyDescent="0.3">
      <c r="A458" s="42">
        <v>55350897</v>
      </c>
      <c r="B458" s="42">
        <v>85000000</v>
      </c>
      <c r="D458">
        <f t="shared" si="7"/>
        <v>-29649103</v>
      </c>
    </row>
    <row r="459" spans="1:4" x14ac:dyDescent="0.3">
      <c r="A459" s="43">
        <v>39442871</v>
      </c>
      <c r="B459" s="43">
        <v>80000000</v>
      </c>
      <c r="D459">
        <f t="shared" si="7"/>
        <v>-40557129</v>
      </c>
    </row>
    <row r="460" spans="1:4" x14ac:dyDescent="0.3">
      <c r="A460" s="42">
        <v>37899638</v>
      </c>
      <c r="B460" s="42">
        <v>88000000</v>
      </c>
      <c r="D460">
        <f t="shared" si="7"/>
        <v>-50100362</v>
      </c>
    </row>
    <row r="461" spans="1:4" x14ac:dyDescent="0.3">
      <c r="A461" s="43">
        <v>37754208</v>
      </c>
      <c r="B461" s="43">
        <v>70000000</v>
      </c>
      <c r="D461">
        <f t="shared" si="7"/>
        <v>-32245792</v>
      </c>
    </row>
    <row r="462" spans="1:4" x14ac:dyDescent="0.3">
      <c r="A462" s="42">
        <v>38542418</v>
      </c>
      <c r="B462" s="42">
        <v>80000000</v>
      </c>
      <c r="D462">
        <f t="shared" si="7"/>
        <v>-41457582</v>
      </c>
    </row>
    <row r="463" spans="1:4" x14ac:dyDescent="0.3">
      <c r="A463" s="43">
        <v>34566746</v>
      </c>
      <c r="B463" s="43">
        <v>80000000</v>
      </c>
      <c r="D463">
        <f t="shared" si="7"/>
        <v>-45433254</v>
      </c>
    </row>
    <row r="464" spans="1:4" x14ac:dyDescent="0.3">
      <c r="A464" s="42">
        <v>32885565</v>
      </c>
      <c r="B464" s="42">
        <v>80000000</v>
      </c>
      <c r="D464">
        <f t="shared" si="7"/>
        <v>-47114435</v>
      </c>
    </row>
    <row r="465" spans="1:4" x14ac:dyDescent="0.3">
      <c r="A465" s="43">
        <v>36073232</v>
      </c>
      <c r="B465" s="43">
        <v>80000000</v>
      </c>
      <c r="D465">
        <f t="shared" si="7"/>
        <v>-43926768</v>
      </c>
    </row>
    <row r="466" spans="1:4" x14ac:dyDescent="0.3">
      <c r="A466" s="42">
        <v>21471685</v>
      </c>
      <c r="B466" s="42">
        <v>44000000</v>
      </c>
      <c r="D466">
        <f t="shared" si="7"/>
        <v>-22528315</v>
      </c>
    </row>
    <row r="467" spans="1:4" x14ac:dyDescent="0.3">
      <c r="A467" s="43">
        <v>20950820</v>
      </c>
      <c r="B467" s="43">
        <v>80000000</v>
      </c>
      <c r="D467">
        <f t="shared" si="7"/>
        <v>-59049180</v>
      </c>
    </row>
    <row r="468" spans="1:4" x14ac:dyDescent="0.3">
      <c r="A468" s="42">
        <v>19673424</v>
      </c>
      <c r="B468" s="42">
        <v>80000000</v>
      </c>
      <c r="D468">
        <f t="shared" si="7"/>
        <v>-60326576</v>
      </c>
    </row>
    <row r="469" spans="1:4" x14ac:dyDescent="0.3">
      <c r="A469" s="43">
        <v>19480739</v>
      </c>
      <c r="B469" s="43">
        <v>80000000</v>
      </c>
      <c r="D469">
        <f t="shared" si="7"/>
        <v>-60519261</v>
      </c>
    </row>
    <row r="470" spans="1:4" x14ac:dyDescent="0.3">
      <c r="A470" s="42">
        <v>17593391</v>
      </c>
      <c r="B470" s="42">
        <v>80000000</v>
      </c>
      <c r="D470">
        <f t="shared" si="7"/>
        <v>-62406609</v>
      </c>
    </row>
    <row r="471" spans="1:4" x14ac:dyDescent="0.3">
      <c r="A471" s="43">
        <v>18318000</v>
      </c>
      <c r="B471" s="43">
        <v>80000000</v>
      </c>
      <c r="D471">
        <f t="shared" si="7"/>
        <v>-61682000</v>
      </c>
    </row>
    <row r="472" spans="1:4" x14ac:dyDescent="0.3">
      <c r="A472" s="42">
        <v>27356090</v>
      </c>
      <c r="B472" s="42">
        <v>90000000</v>
      </c>
      <c r="D472">
        <f t="shared" si="7"/>
        <v>-62643910</v>
      </c>
    </row>
    <row r="473" spans="1:4" x14ac:dyDescent="0.3">
      <c r="A473" s="43">
        <v>17473245</v>
      </c>
      <c r="B473" s="43">
        <v>70000000</v>
      </c>
      <c r="D473">
        <f t="shared" si="7"/>
        <v>-52526755</v>
      </c>
    </row>
    <row r="474" spans="1:4" x14ac:dyDescent="0.3">
      <c r="A474" s="42">
        <v>15131330</v>
      </c>
      <c r="B474" s="42">
        <v>86000000</v>
      </c>
      <c r="D474">
        <f t="shared" si="7"/>
        <v>-70868670</v>
      </c>
    </row>
    <row r="475" spans="1:4" x14ac:dyDescent="0.3">
      <c r="A475" s="43">
        <v>19406406</v>
      </c>
      <c r="B475" s="43">
        <v>40000000</v>
      </c>
      <c r="D475">
        <f t="shared" si="7"/>
        <v>-20593594</v>
      </c>
    </row>
    <row r="476" spans="1:4" x14ac:dyDescent="0.3">
      <c r="A476" s="42">
        <v>1891821</v>
      </c>
      <c r="B476" s="42">
        <v>52000000</v>
      </c>
      <c r="D476">
        <f t="shared" si="7"/>
        <v>-50108179</v>
      </c>
    </row>
    <row r="477" spans="1:4" x14ac:dyDescent="0.3">
      <c r="A477" s="43">
        <v>170708996</v>
      </c>
      <c r="B477" s="43">
        <v>58000000</v>
      </c>
      <c r="D477">
        <f t="shared" si="7"/>
        <v>112708996</v>
      </c>
    </row>
    <row r="478" spans="1:4" x14ac:dyDescent="0.3">
      <c r="A478" s="42">
        <v>422783777</v>
      </c>
      <c r="B478" s="42">
        <v>45000000</v>
      </c>
      <c r="D478">
        <f t="shared" si="7"/>
        <v>377783777</v>
      </c>
    </row>
    <row r="479" spans="1:4" x14ac:dyDescent="0.3">
      <c r="A479" s="43">
        <v>103812241</v>
      </c>
      <c r="B479" s="43">
        <v>79000000</v>
      </c>
      <c r="D479">
        <f t="shared" si="7"/>
        <v>24812241</v>
      </c>
    </row>
    <row r="480" spans="1:4" x14ac:dyDescent="0.3">
      <c r="A480" s="42">
        <v>119793567</v>
      </c>
      <c r="B480" s="42">
        <v>78000000</v>
      </c>
      <c r="D480">
        <f t="shared" si="7"/>
        <v>41793567</v>
      </c>
    </row>
    <row r="481" spans="1:4" x14ac:dyDescent="0.3">
      <c r="A481" s="43">
        <v>92930005</v>
      </c>
      <c r="B481" s="43">
        <v>78000000</v>
      </c>
      <c r="D481">
        <f t="shared" si="7"/>
        <v>14930005</v>
      </c>
    </row>
    <row r="482" spans="1:4" x14ac:dyDescent="0.3">
      <c r="A482" s="42">
        <v>67286731</v>
      </c>
      <c r="B482" s="42">
        <v>100000000</v>
      </c>
      <c r="D482">
        <f t="shared" si="7"/>
        <v>-32713269</v>
      </c>
    </row>
    <row r="483" spans="1:4" x14ac:dyDescent="0.3">
      <c r="A483" s="43">
        <v>74158157</v>
      </c>
      <c r="B483" s="43">
        <v>79000000</v>
      </c>
      <c r="D483">
        <f t="shared" si="7"/>
        <v>-4841843</v>
      </c>
    </row>
    <row r="484" spans="1:4" x14ac:dyDescent="0.3">
      <c r="A484" s="42">
        <v>127083765</v>
      </c>
      <c r="B484" s="42">
        <v>76000000</v>
      </c>
      <c r="D484">
        <f t="shared" si="7"/>
        <v>51083765</v>
      </c>
    </row>
    <row r="485" spans="1:4" x14ac:dyDescent="0.3">
      <c r="A485" s="43">
        <v>1339152</v>
      </c>
      <c r="B485" s="43">
        <v>81200000</v>
      </c>
      <c r="D485">
        <f t="shared" si="7"/>
        <v>-79860848</v>
      </c>
    </row>
    <row r="486" spans="1:4" x14ac:dyDescent="0.3">
      <c r="A486" s="42">
        <v>15071514</v>
      </c>
      <c r="B486" s="42">
        <v>80000000</v>
      </c>
      <c r="D486">
        <f t="shared" si="7"/>
        <v>-64928486</v>
      </c>
    </row>
    <row r="487" spans="1:4" x14ac:dyDescent="0.3">
      <c r="A487" s="43">
        <v>26000610</v>
      </c>
      <c r="B487" s="43">
        <v>76000000</v>
      </c>
      <c r="D487">
        <f t="shared" si="7"/>
        <v>-49999390</v>
      </c>
    </row>
    <row r="488" spans="1:4" x14ac:dyDescent="0.3">
      <c r="A488" s="42">
        <v>323505540</v>
      </c>
      <c r="B488" s="42">
        <v>75000000</v>
      </c>
      <c r="D488">
        <f t="shared" si="7"/>
        <v>248505540</v>
      </c>
    </row>
    <row r="489" spans="1:4" x14ac:dyDescent="0.3">
      <c r="A489" s="43">
        <v>66462600</v>
      </c>
      <c r="B489" s="43">
        <v>78000000</v>
      </c>
      <c r="D489">
        <f t="shared" si="7"/>
        <v>-11537400</v>
      </c>
    </row>
    <row r="490" spans="1:4" x14ac:dyDescent="0.3">
      <c r="A490" s="42">
        <v>368049635</v>
      </c>
      <c r="B490" s="42">
        <v>76000000</v>
      </c>
      <c r="D490">
        <f t="shared" si="7"/>
        <v>292049635</v>
      </c>
    </row>
    <row r="491" spans="1:4" x14ac:dyDescent="0.3">
      <c r="A491" s="43">
        <v>306124059</v>
      </c>
      <c r="B491" s="43">
        <v>75000000</v>
      </c>
      <c r="D491">
        <f t="shared" si="7"/>
        <v>231124059</v>
      </c>
    </row>
    <row r="492" spans="1:4" x14ac:dyDescent="0.3">
      <c r="A492" s="42">
        <v>229074524</v>
      </c>
      <c r="B492" s="42">
        <v>73000000</v>
      </c>
      <c r="D492">
        <f t="shared" si="7"/>
        <v>156074524</v>
      </c>
    </row>
    <row r="493" spans="1:4" x14ac:dyDescent="0.3">
      <c r="A493" s="43">
        <v>193136719</v>
      </c>
      <c r="B493" s="43">
        <v>75000000</v>
      </c>
      <c r="D493">
        <f t="shared" si="7"/>
        <v>118136719</v>
      </c>
    </row>
    <row r="494" spans="1:4" x14ac:dyDescent="0.3">
      <c r="A494" s="42">
        <v>35286428</v>
      </c>
      <c r="B494" s="42">
        <v>76000000</v>
      </c>
      <c r="D494">
        <f t="shared" si="7"/>
        <v>-40713572</v>
      </c>
    </row>
    <row r="495" spans="1:4" x14ac:dyDescent="0.3">
      <c r="A495" s="43">
        <v>157299717</v>
      </c>
      <c r="B495" s="43">
        <v>75000000</v>
      </c>
      <c r="D495">
        <f t="shared" si="7"/>
        <v>82299717</v>
      </c>
    </row>
    <row r="496" spans="1:4" x14ac:dyDescent="0.3">
      <c r="A496" s="42">
        <v>134568845</v>
      </c>
      <c r="B496" s="42">
        <v>75000000</v>
      </c>
      <c r="D496">
        <f t="shared" si="7"/>
        <v>59568845</v>
      </c>
    </row>
    <row r="497" spans="1:4" x14ac:dyDescent="0.3">
      <c r="A497" s="43">
        <v>134006721</v>
      </c>
      <c r="B497" s="43">
        <v>75000000</v>
      </c>
      <c r="D497">
        <f t="shared" si="7"/>
        <v>59006721</v>
      </c>
    </row>
    <row r="498" spans="1:4" x14ac:dyDescent="0.3">
      <c r="A498" s="42">
        <v>195329763</v>
      </c>
      <c r="B498" s="42">
        <v>80000000</v>
      </c>
      <c r="D498">
        <f t="shared" si="7"/>
        <v>115329763</v>
      </c>
    </row>
    <row r="499" spans="1:4" x14ac:dyDescent="0.3">
      <c r="A499" s="43">
        <v>120776832</v>
      </c>
      <c r="B499" s="43">
        <v>75000000</v>
      </c>
      <c r="D499">
        <f t="shared" si="7"/>
        <v>45776832</v>
      </c>
    </row>
    <row r="500" spans="1:4" x14ac:dyDescent="0.3">
      <c r="A500" s="42">
        <v>118823091</v>
      </c>
      <c r="B500" s="42">
        <v>75000000</v>
      </c>
      <c r="D500">
        <f t="shared" si="7"/>
        <v>43823091</v>
      </c>
    </row>
    <row r="501" spans="1:4" x14ac:dyDescent="0.3">
      <c r="A501" s="43">
        <v>41814863</v>
      </c>
      <c r="B501" s="43">
        <v>50000000</v>
      </c>
      <c r="D501">
        <f t="shared" si="7"/>
        <v>-8185137</v>
      </c>
    </row>
    <row r="502" spans="1:4" x14ac:dyDescent="0.3">
      <c r="A502" s="42">
        <v>97360069</v>
      </c>
      <c r="B502" s="42">
        <v>75000000</v>
      </c>
      <c r="D502">
        <f t="shared" si="7"/>
        <v>22360069</v>
      </c>
    </row>
    <row r="503" spans="1:4" x14ac:dyDescent="0.3">
      <c r="A503" s="43">
        <v>117698894</v>
      </c>
      <c r="B503" s="43">
        <v>75000000</v>
      </c>
      <c r="D503">
        <f t="shared" si="7"/>
        <v>42698894</v>
      </c>
    </row>
    <row r="504" spans="1:4" x14ac:dyDescent="0.3">
      <c r="A504" s="42">
        <v>162001186</v>
      </c>
      <c r="B504" s="42">
        <v>80000000</v>
      </c>
      <c r="D504">
        <f t="shared" si="7"/>
        <v>82001186</v>
      </c>
    </row>
    <row r="505" spans="1:4" x14ac:dyDescent="0.3">
      <c r="A505" s="43">
        <v>77032279</v>
      </c>
      <c r="B505" s="43">
        <v>60000000</v>
      </c>
      <c r="D505">
        <f t="shared" si="7"/>
        <v>17032279</v>
      </c>
    </row>
    <row r="506" spans="1:4" x14ac:dyDescent="0.3">
      <c r="A506" s="42">
        <v>73023275</v>
      </c>
      <c r="B506" s="42">
        <v>35000000</v>
      </c>
      <c r="D506">
        <f t="shared" si="7"/>
        <v>38023275</v>
      </c>
    </row>
    <row r="507" spans="1:4" x14ac:dyDescent="0.3">
      <c r="A507" s="43">
        <v>68473360</v>
      </c>
      <c r="B507" s="43">
        <v>75000000</v>
      </c>
      <c r="D507">
        <f t="shared" si="7"/>
        <v>-6526640</v>
      </c>
    </row>
    <row r="508" spans="1:4" x14ac:dyDescent="0.3">
      <c r="A508" s="42">
        <v>66636385</v>
      </c>
      <c r="B508" s="42">
        <v>75000000</v>
      </c>
      <c r="D508">
        <f t="shared" si="7"/>
        <v>-8363615</v>
      </c>
    </row>
    <row r="509" spans="1:4" x14ac:dyDescent="0.3">
      <c r="A509" s="43">
        <v>160762022</v>
      </c>
      <c r="B509" s="43">
        <v>75000000</v>
      </c>
      <c r="D509">
        <f t="shared" si="7"/>
        <v>85762022</v>
      </c>
    </row>
    <row r="510" spans="1:4" x14ac:dyDescent="0.3">
      <c r="A510" s="42">
        <v>103338338</v>
      </c>
      <c r="B510" s="42">
        <v>70000000</v>
      </c>
      <c r="D510">
        <f t="shared" si="7"/>
        <v>33338338</v>
      </c>
    </row>
    <row r="511" spans="1:4" x14ac:dyDescent="0.3">
      <c r="A511" s="43">
        <v>55808744</v>
      </c>
      <c r="B511" s="43">
        <v>53000000</v>
      </c>
      <c r="D511">
        <f t="shared" si="7"/>
        <v>2808744</v>
      </c>
    </row>
    <row r="512" spans="1:4" x14ac:dyDescent="0.3">
      <c r="A512" s="42">
        <v>47379090</v>
      </c>
      <c r="B512" s="42">
        <v>70000000</v>
      </c>
      <c r="D512">
        <f t="shared" si="7"/>
        <v>-22620910</v>
      </c>
    </row>
    <row r="513" spans="1:4" x14ac:dyDescent="0.3">
      <c r="A513" s="43">
        <v>43426961</v>
      </c>
      <c r="B513" s="43">
        <v>70000000</v>
      </c>
      <c r="D513">
        <f t="shared" si="7"/>
        <v>-26573039</v>
      </c>
    </row>
    <row r="514" spans="1:4" x14ac:dyDescent="0.3">
      <c r="A514" s="42">
        <v>47000485</v>
      </c>
      <c r="B514" s="42">
        <v>75000000</v>
      </c>
      <c r="D514">
        <f t="shared" ref="D514:D577" si="8">A514-B514</f>
        <v>-27999515</v>
      </c>
    </row>
    <row r="515" spans="1:4" x14ac:dyDescent="0.3">
      <c r="A515" s="43">
        <v>45434443</v>
      </c>
      <c r="B515" s="43">
        <v>75000000</v>
      </c>
      <c r="D515">
        <f t="shared" si="8"/>
        <v>-29565557</v>
      </c>
    </row>
    <row r="516" spans="1:4" x14ac:dyDescent="0.3">
      <c r="A516" s="42">
        <v>42044321</v>
      </c>
      <c r="B516" s="42">
        <v>80000000</v>
      </c>
      <c r="D516">
        <f t="shared" si="8"/>
        <v>-37955679</v>
      </c>
    </row>
    <row r="517" spans="1:4" x14ac:dyDescent="0.3">
      <c r="A517" s="43">
        <v>73661010</v>
      </c>
      <c r="B517" s="43">
        <v>75000000</v>
      </c>
      <c r="D517">
        <f t="shared" si="8"/>
        <v>-1338990</v>
      </c>
    </row>
    <row r="518" spans="1:4" x14ac:dyDescent="0.3">
      <c r="A518" s="42">
        <v>41523271</v>
      </c>
      <c r="B518" s="42">
        <v>80000000</v>
      </c>
      <c r="D518">
        <f t="shared" si="8"/>
        <v>-38476729</v>
      </c>
    </row>
    <row r="519" spans="1:4" x14ac:dyDescent="0.3">
      <c r="A519" s="43">
        <v>37600435</v>
      </c>
      <c r="B519" s="43">
        <v>55000000</v>
      </c>
      <c r="D519">
        <f t="shared" si="8"/>
        <v>-17399565</v>
      </c>
    </row>
    <row r="520" spans="1:4" x14ac:dyDescent="0.3">
      <c r="A520" s="42">
        <v>39251128</v>
      </c>
      <c r="B520" s="42">
        <v>75000000</v>
      </c>
      <c r="D520">
        <f t="shared" si="8"/>
        <v>-35748872</v>
      </c>
    </row>
    <row r="521" spans="1:4" x14ac:dyDescent="0.3">
      <c r="A521" s="43">
        <v>83503161</v>
      </c>
      <c r="B521" s="43">
        <v>75000000</v>
      </c>
      <c r="D521">
        <f t="shared" si="8"/>
        <v>8503161</v>
      </c>
    </row>
    <row r="522" spans="1:4" x14ac:dyDescent="0.3">
      <c r="A522" s="42">
        <v>34636443</v>
      </c>
      <c r="B522" s="42">
        <v>52000000</v>
      </c>
      <c r="D522">
        <f t="shared" si="8"/>
        <v>-17363557</v>
      </c>
    </row>
    <row r="523" spans="1:4" x14ac:dyDescent="0.3">
      <c r="A523" s="43">
        <v>22751979</v>
      </c>
      <c r="B523" s="43">
        <v>75000000</v>
      </c>
      <c r="D523">
        <f t="shared" si="8"/>
        <v>-52248021</v>
      </c>
    </row>
    <row r="524" spans="1:4" x14ac:dyDescent="0.3">
      <c r="A524" s="42">
        <v>30013346</v>
      </c>
      <c r="B524" s="42">
        <v>75000000</v>
      </c>
      <c r="D524">
        <f t="shared" si="8"/>
        <v>-44986654</v>
      </c>
    </row>
    <row r="525" spans="1:4" x14ac:dyDescent="0.3">
      <c r="A525" s="43">
        <v>14567883</v>
      </c>
      <c r="B525" s="43">
        <v>75000000</v>
      </c>
      <c r="D525">
        <f t="shared" si="8"/>
        <v>-60432117</v>
      </c>
    </row>
    <row r="526" spans="1:4" x14ac:dyDescent="0.3">
      <c r="A526" s="42">
        <v>5409517</v>
      </c>
      <c r="B526" s="42">
        <v>75000000</v>
      </c>
      <c r="D526">
        <f t="shared" si="8"/>
        <v>-69590483</v>
      </c>
    </row>
    <row r="527" spans="1:4" x14ac:dyDescent="0.3">
      <c r="A527" s="43">
        <v>21009180</v>
      </c>
      <c r="B527" s="43">
        <v>45000000</v>
      </c>
      <c r="D527">
        <f t="shared" si="8"/>
        <v>-23990820</v>
      </c>
    </row>
    <row r="528" spans="1:4" x14ac:dyDescent="0.3">
      <c r="A528" s="42">
        <v>94999143</v>
      </c>
      <c r="B528" s="42">
        <v>75000000</v>
      </c>
      <c r="D528">
        <f t="shared" si="8"/>
        <v>19999143</v>
      </c>
    </row>
    <row r="529" spans="1:4" x14ac:dyDescent="0.3">
      <c r="A529" s="43">
        <v>336029560</v>
      </c>
      <c r="B529" s="43">
        <v>74000000</v>
      </c>
      <c r="D529">
        <f t="shared" si="8"/>
        <v>262029560</v>
      </c>
    </row>
    <row r="530" spans="1:4" x14ac:dyDescent="0.3">
      <c r="A530" s="42">
        <v>36381716</v>
      </c>
      <c r="B530" s="42">
        <v>82000000</v>
      </c>
      <c r="D530">
        <f t="shared" si="8"/>
        <v>-45618284</v>
      </c>
    </row>
    <row r="531" spans="1:4" x14ac:dyDescent="0.3">
      <c r="A531" s="43">
        <v>55585389</v>
      </c>
      <c r="B531" s="43">
        <v>69000000</v>
      </c>
      <c r="D531">
        <f t="shared" si="8"/>
        <v>-13414611</v>
      </c>
    </row>
    <row r="532" spans="1:4" x14ac:dyDescent="0.3">
      <c r="A532" s="42">
        <v>36976367</v>
      </c>
      <c r="B532" s="42">
        <v>75000000</v>
      </c>
      <c r="D532">
        <f t="shared" si="8"/>
        <v>-38023633</v>
      </c>
    </row>
    <row r="533" spans="1:4" x14ac:dyDescent="0.3">
      <c r="A533" s="43">
        <v>107225164</v>
      </c>
      <c r="B533" s="43">
        <v>73000000</v>
      </c>
      <c r="D533">
        <f t="shared" si="8"/>
        <v>34225164</v>
      </c>
    </row>
    <row r="534" spans="1:4" x14ac:dyDescent="0.3">
      <c r="A534" s="42">
        <v>51814190</v>
      </c>
      <c r="B534" s="42">
        <v>75000000</v>
      </c>
      <c r="D534">
        <f t="shared" si="8"/>
        <v>-23185810</v>
      </c>
    </row>
    <row r="535" spans="1:4" x14ac:dyDescent="0.3">
      <c r="A535" s="43">
        <v>47456450</v>
      </c>
      <c r="B535" s="43">
        <v>70000000</v>
      </c>
      <c r="D535">
        <f t="shared" si="8"/>
        <v>-22543550</v>
      </c>
    </row>
    <row r="536" spans="1:4" x14ac:dyDescent="0.3">
      <c r="A536" s="42">
        <v>148213377</v>
      </c>
      <c r="B536" s="42">
        <v>73000000</v>
      </c>
      <c r="D536">
        <f t="shared" si="8"/>
        <v>75213377</v>
      </c>
    </row>
    <row r="537" spans="1:4" x14ac:dyDescent="0.3">
      <c r="A537" s="43">
        <v>112950721</v>
      </c>
      <c r="B537" s="43">
        <v>72000000</v>
      </c>
      <c r="D537">
        <f t="shared" si="8"/>
        <v>40950721</v>
      </c>
    </row>
    <row r="538" spans="1:4" x14ac:dyDescent="0.3">
      <c r="A538" s="42">
        <v>75600000</v>
      </c>
      <c r="B538" s="42">
        <v>72000000</v>
      </c>
      <c r="D538">
        <f t="shared" si="8"/>
        <v>3600000</v>
      </c>
    </row>
    <row r="539" spans="1:4" x14ac:dyDescent="0.3">
      <c r="A539" s="43">
        <v>183132370</v>
      </c>
      <c r="B539" s="43">
        <v>75000000</v>
      </c>
      <c r="D539">
        <f t="shared" si="8"/>
        <v>108132370</v>
      </c>
    </row>
    <row r="540" spans="1:4" x14ac:dyDescent="0.3">
      <c r="A540" s="42">
        <v>27796042</v>
      </c>
      <c r="B540" s="42">
        <v>72000000</v>
      </c>
      <c r="D540">
        <f t="shared" si="8"/>
        <v>-44203958</v>
      </c>
    </row>
    <row r="541" spans="1:4" x14ac:dyDescent="0.3">
      <c r="A541" s="43">
        <v>32616869</v>
      </c>
      <c r="B541" s="43">
        <v>72000000</v>
      </c>
      <c r="D541">
        <f t="shared" si="8"/>
        <v>-39383131</v>
      </c>
    </row>
    <row r="542" spans="1:4" x14ac:dyDescent="0.3">
      <c r="A542" s="42">
        <v>18947630</v>
      </c>
      <c r="B542" s="42">
        <v>59660000</v>
      </c>
      <c r="D542">
        <f t="shared" si="8"/>
        <v>-40712370</v>
      </c>
    </row>
    <row r="543" spans="1:4" x14ac:dyDescent="0.3">
      <c r="A543" s="43">
        <v>114195633</v>
      </c>
      <c r="B543" s="43">
        <v>60000000</v>
      </c>
      <c r="D543">
        <f t="shared" si="8"/>
        <v>54195633</v>
      </c>
    </row>
    <row r="544" spans="1:4" x14ac:dyDescent="0.3">
      <c r="A544" s="42">
        <v>144156464</v>
      </c>
      <c r="B544" s="42">
        <v>71500000</v>
      </c>
      <c r="D544">
        <f t="shared" si="8"/>
        <v>72656464</v>
      </c>
    </row>
    <row r="545" spans="1:4" x14ac:dyDescent="0.3">
      <c r="A545" s="43">
        <v>227965690</v>
      </c>
      <c r="B545" s="43">
        <v>72000000</v>
      </c>
      <c r="D545">
        <f t="shared" si="8"/>
        <v>155965690</v>
      </c>
    </row>
    <row r="546" spans="1:4" x14ac:dyDescent="0.3">
      <c r="A546" s="42">
        <v>436471036</v>
      </c>
      <c r="B546" s="42">
        <v>150000000</v>
      </c>
      <c r="D546">
        <f t="shared" si="8"/>
        <v>286471036</v>
      </c>
    </row>
    <row r="547" spans="1:4" x14ac:dyDescent="0.3">
      <c r="A547" s="43">
        <v>244052771</v>
      </c>
      <c r="B547" s="43">
        <v>120000000</v>
      </c>
      <c r="D547">
        <f t="shared" si="8"/>
        <v>124052771</v>
      </c>
    </row>
    <row r="548" spans="1:4" x14ac:dyDescent="0.3">
      <c r="A548" s="42">
        <v>152149590</v>
      </c>
      <c r="B548" s="42">
        <v>70000000</v>
      </c>
      <c r="D548">
        <f t="shared" si="8"/>
        <v>82149590</v>
      </c>
    </row>
    <row r="549" spans="1:4" x14ac:dyDescent="0.3">
      <c r="A549" s="43">
        <v>141204016</v>
      </c>
      <c r="B549" s="43">
        <v>70000000</v>
      </c>
      <c r="D549">
        <f t="shared" si="8"/>
        <v>71204016</v>
      </c>
    </row>
    <row r="550" spans="1:4" x14ac:dyDescent="0.3">
      <c r="A550" s="42">
        <v>162495848</v>
      </c>
      <c r="B550" s="42">
        <v>74000000</v>
      </c>
      <c r="D550">
        <f t="shared" si="8"/>
        <v>88495848</v>
      </c>
    </row>
    <row r="551" spans="1:4" x14ac:dyDescent="0.3">
      <c r="A551" s="43">
        <v>136448821</v>
      </c>
      <c r="B551" s="43">
        <v>80000000</v>
      </c>
      <c r="D551">
        <f t="shared" si="8"/>
        <v>56448821</v>
      </c>
    </row>
    <row r="552" spans="1:4" x14ac:dyDescent="0.3">
      <c r="A552" s="42">
        <v>120523073</v>
      </c>
      <c r="B552" s="42">
        <v>75000000</v>
      </c>
      <c r="D552">
        <f t="shared" si="8"/>
        <v>45523073</v>
      </c>
    </row>
    <row r="553" spans="1:4" x14ac:dyDescent="0.3">
      <c r="A553" s="43">
        <v>119654900</v>
      </c>
      <c r="B553" s="43">
        <v>70000000</v>
      </c>
      <c r="D553">
        <f t="shared" si="8"/>
        <v>49654900</v>
      </c>
    </row>
    <row r="554" spans="1:4" x14ac:dyDescent="0.3">
      <c r="A554" s="42">
        <v>117541000</v>
      </c>
      <c r="B554" s="42">
        <v>70000000</v>
      </c>
      <c r="D554">
        <f t="shared" si="8"/>
        <v>47541000</v>
      </c>
    </row>
    <row r="555" spans="1:4" x14ac:dyDescent="0.3">
      <c r="A555" s="43">
        <v>116643346</v>
      </c>
      <c r="B555" s="43">
        <v>80000000</v>
      </c>
      <c r="D555">
        <f t="shared" si="8"/>
        <v>36643346</v>
      </c>
    </row>
    <row r="556" spans="1:4" x14ac:dyDescent="0.3">
      <c r="A556" s="42">
        <v>100614858</v>
      </c>
      <c r="B556" s="42">
        <v>68000000</v>
      </c>
      <c r="D556">
        <f t="shared" si="8"/>
        <v>32614858</v>
      </c>
    </row>
    <row r="557" spans="1:4" x14ac:dyDescent="0.3">
      <c r="A557" s="43">
        <v>42272747</v>
      </c>
      <c r="B557" s="43">
        <v>70000000</v>
      </c>
      <c r="D557">
        <f t="shared" si="8"/>
        <v>-27727253</v>
      </c>
    </row>
    <row r="558" spans="1:4" x14ac:dyDescent="0.3">
      <c r="A558" s="42">
        <v>80281096</v>
      </c>
      <c r="B558" s="42">
        <v>60000000</v>
      </c>
      <c r="D558">
        <f t="shared" si="8"/>
        <v>20281096</v>
      </c>
    </row>
    <row r="559" spans="1:4" x14ac:dyDescent="0.3">
      <c r="A559" s="43">
        <v>219613391</v>
      </c>
      <c r="B559" s="43">
        <v>75000000</v>
      </c>
      <c r="D559">
        <f t="shared" si="8"/>
        <v>144613391</v>
      </c>
    </row>
    <row r="560" spans="1:4" x14ac:dyDescent="0.3">
      <c r="A560" s="42">
        <v>78120196</v>
      </c>
      <c r="B560" s="42">
        <v>75000000</v>
      </c>
      <c r="D560">
        <f t="shared" si="8"/>
        <v>3120196</v>
      </c>
    </row>
    <row r="561" spans="1:4" x14ac:dyDescent="0.3">
      <c r="A561" s="43">
        <v>98895417</v>
      </c>
      <c r="B561" s="43">
        <v>70000000</v>
      </c>
      <c r="D561">
        <f t="shared" si="8"/>
        <v>28895417</v>
      </c>
    </row>
    <row r="562" spans="1:4" x14ac:dyDescent="0.3">
      <c r="A562" s="42">
        <v>70117571</v>
      </c>
      <c r="B562" s="42">
        <v>58000000</v>
      </c>
      <c r="D562">
        <f t="shared" si="8"/>
        <v>12117571</v>
      </c>
    </row>
    <row r="563" spans="1:4" x14ac:dyDescent="0.3">
      <c r="A563" s="43">
        <v>83552429</v>
      </c>
      <c r="B563" s="43">
        <v>70000000</v>
      </c>
      <c r="D563">
        <f t="shared" si="8"/>
        <v>13552429</v>
      </c>
    </row>
    <row r="564" spans="1:4" x14ac:dyDescent="0.3">
      <c r="A564" s="42">
        <v>66257002</v>
      </c>
      <c r="B564" s="42">
        <v>70000000</v>
      </c>
      <c r="D564">
        <f t="shared" si="8"/>
        <v>-3742998</v>
      </c>
    </row>
    <row r="565" spans="1:4" x14ac:dyDescent="0.3">
      <c r="A565" s="43">
        <v>65012000</v>
      </c>
      <c r="B565" s="43">
        <v>70000000</v>
      </c>
      <c r="D565">
        <f t="shared" si="8"/>
        <v>-4988000</v>
      </c>
    </row>
    <row r="566" spans="1:4" x14ac:dyDescent="0.3">
      <c r="A566" s="42">
        <v>79883359</v>
      </c>
      <c r="B566" s="42">
        <v>66000000</v>
      </c>
      <c r="D566">
        <f t="shared" si="8"/>
        <v>13883359</v>
      </c>
    </row>
    <row r="567" spans="1:4" x14ac:dyDescent="0.3">
      <c r="A567" s="43">
        <v>78031620</v>
      </c>
      <c r="B567" s="43">
        <v>70000000</v>
      </c>
      <c r="D567">
        <f t="shared" si="8"/>
        <v>8031620</v>
      </c>
    </row>
    <row r="568" spans="1:4" x14ac:dyDescent="0.3">
      <c r="A568" s="42">
        <v>54222000</v>
      </c>
      <c r="B568" s="42">
        <v>69500000</v>
      </c>
      <c r="D568">
        <f t="shared" si="8"/>
        <v>-15278000</v>
      </c>
    </row>
    <row r="569" spans="1:4" x14ac:dyDescent="0.3">
      <c r="A569" s="43">
        <v>52474616</v>
      </c>
      <c r="B569" s="43">
        <v>70000000</v>
      </c>
      <c r="D569">
        <f t="shared" si="8"/>
        <v>-17525384</v>
      </c>
    </row>
    <row r="570" spans="1:4" x14ac:dyDescent="0.3">
      <c r="A570" s="42">
        <v>55942830</v>
      </c>
      <c r="B570" s="42">
        <v>70000000</v>
      </c>
      <c r="D570">
        <f t="shared" si="8"/>
        <v>-14057170</v>
      </c>
    </row>
    <row r="571" spans="1:4" x14ac:dyDescent="0.3">
      <c r="A571" s="43">
        <v>40932372</v>
      </c>
      <c r="B571" s="43">
        <v>70000000</v>
      </c>
      <c r="D571">
        <f t="shared" si="8"/>
        <v>-29067628</v>
      </c>
    </row>
    <row r="572" spans="1:4" x14ac:dyDescent="0.3">
      <c r="A572" s="42">
        <v>38345403</v>
      </c>
      <c r="B572" s="42">
        <v>70000000</v>
      </c>
      <c r="D572">
        <f t="shared" si="8"/>
        <v>-31654597</v>
      </c>
    </row>
    <row r="573" spans="1:4" x14ac:dyDescent="0.3">
      <c r="A573" s="43">
        <v>37901509</v>
      </c>
      <c r="B573" s="43">
        <v>70000000</v>
      </c>
      <c r="D573">
        <f t="shared" si="8"/>
        <v>-32098491</v>
      </c>
    </row>
    <row r="574" spans="1:4" x14ac:dyDescent="0.3">
      <c r="A574" s="42">
        <v>48430355</v>
      </c>
      <c r="B574" s="42">
        <v>70000000</v>
      </c>
      <c r="D574">
        <f t="shared" si="8"/>
        <v>-21569645</v>
      </c>
    </row>
    <row r="575" spans="1:4" x14ac:dyDescent="0.3">
      <c r="A575" s="43">
        <v>30157016</v>
      </c>
      <c r="B575" s="43">
        <v>70000000</v>
      </c>
      <c r="D575">
        <f t="shared" si="8"/>
        <v>-39842984</v>
      </c>
    </row>
    <row r="576" spans="1:4" x14ac:dyDescent="0.3">
      <c r="A576" s="42">
        <v>28031250</v>
      </c>
      <c r="B576" s="42">
        <v>60000000</v>
      </c>
      <c r="D576">
        <f t="shared" si="8"/>
        <v>-31968750</v>
      </c>
    </row>
    <row r="577" spans="1:4" x14ac:dyDescent="0.3">
      <c r="A577" s="43">
        <v>33105600</v>
      </c>
      <c r="B577" s="43">
        <v>70000000</v>
      </c>
      <c r="D577">
        <f t="shared" si="8"/>
        <v>-36894400</v>
      </c>
    </row>
    <row r="578" spans="1:4" x14ac:dyDescent="0.3">
      <c r="A578" s="42">
        <v>62321039</v>
      </c>
      <c r="B578" s="42">
        <v>70000000</v>
      </c>
      <c r="D578">
        <f t="shared" ref="D578:D641" si="9">A578-B578</f>
        <v>-7678961</v>
      </c>
    </row>
    <row r="579" spans="1:4" x14ac:dyDescent="0.3">
      <c r="A579" s="43">
        <v>38509342</v>
      </c>
      <c r="B579" s="43">
        <v>75000000</v>
      </c>
      <c r="D579">
        <f t="shared" si="9"/>
        <v>-36490658</v>
      </c>
    </row>
    <row r="580" spans="1:4" x14ac:dyDescent="0.3">
      <c r="A580" s="42">
        <v>19076815</v>
      </c>
      <c r="B580" s="42">
        <v>60000000</v>
      </c>
      <c r="D580">
        <f t="shared" si="9"/>
        <v>-40923185</v>
      </c>
    </row>
    <row r="581" spans="1:4" x14ac:dyDescent="0.3">
      <c r="A581" s="43">
        <v>25093607</v>
      </c>
      <c r="B581" s="43">
        <v>35000000</v>
      </c>
      <c r="D581">
        <f t="shared" si="9"/>
        <v>-9906393</v>
      </c>
    </row>
    <row r="582" spans="1:4" x14ac:dyDescent="0.3">
      <c r="A582" s="42">
        <v>18990542</v>
      </c>
      <c r="B582" s="42">
        <v>70000000</v>
      </c>
      <c r="D582">
        <f t="shared" si="9"/>
        <v>-51009458</v>
      </c>
    </row>
    <row r="583" spans="1:4" x14ac:dyDescent="0.3">
      <c r="A583" s="43">
        <v>14294842</v>
      </c>
      <c r="B583" s="43">
        <v>70000000</v>
      </c>
      <c r="D583">
        <f t="shared" si="9"/>
        <v>-55705158</v>
      </c>
    </row>
    <row r="584" spans="1:4" x14ac:dyDescent="0.3">
      <c r="A584" s="42">
        <v>19819494</v>
      </c>
      <c r="B584" s="42">
        <v>70000000</v>
      </c>
      <c r="D584">
        <f t="shared" si="9"/>
        <v>-50180506</v>
      </c>
    </row>
    <row r="585" spans="1:4" x14ac:dyDescent="0.3">
      <c r="A585" s="43">
        <v>13596911</v>
      </c>
      <c r="B585" s="43">
        <v>70000000</v>
      </c>
      <c r="D585">
        <f t="shared" si="9"/>
        <v>-56403089</v>
      </c>
    </row>
    <row r="586" spans="1:4" x14ac:dyDescent="0.3">
      <c r="A586" s="42">
        <v>8460990</v>
      </c>
      <c r="B586" s="42">
        <v>70000000</v>
      </c>
      <c r="D586">
        <f t="shared" si="9"/>
        <v>-61539010</v>
      </c>
    </row>
    <row r="587" spans="1:4" x14ac:dyDescent="0.3">
      <c r="A587" s="43">
        <v>7097125</v>
      </c>
      <c r="B587" s="43">
        <v>70000000</v>
      </c>
      <c r="D587">
        <f t="shared" si="9"/>
        <v>-62902875</v>
      </c>
    </row>
    <row r="588" spans="1:4" x14ac:dyDescent="0.3">
      <c r="A588" s="42">
        <v>5851188</v>
      </c>
      <c r="B588" s="42">
        <v>70000000</v>
      </c>
      <c r="D588">
        <f t="shared" si="9"/>
        <v>-64148812</v>
      </c>
    </row>
    <row r="589" spans="1:4" x14ac:dyDescent="0.3">
      <c r="A589" s="43">
        <v>25121291</v>
      </c>
      <c r="B589" s="43">
        <v>50000000</v>
      </c>
      <c r="D589">
        <f t="shared" si="9"/>
        <v>-24878709</v>
      </c>
    </row>
    <row r="590" spans="1:4" x14ac:dyDescent="0.3">
      <c r="A590" s="42">
        <v>18821279</v>
      </c>
      <c r="B590" s="42">
        <v>70000000</v>
      </c>
      <c r="D590">
        <f t="shared" si="9"/>
        <v>-51178721</v>
      </c>
    </row>
    <row r="591" spans="1:4" x14ac:dyDescent="0.3">
      <c r="A591" s="43">
        <v>118471320</v>
      </c>
      <c r="B591" s="43">
        <v>68000000</v>
      </c>
      <c r="D591">
        <f t="shared" si="9"/>
        <v>50471320</v>
      </c>
    </row>
    <row r="592" spans="1:4" x14ac:dyDescent="0.3">
      <c r="A592" s="42">
        <v>300523113</v>
      </c>
      <c r="B592" s="42">
        <v>68000000</v>
      </c>
      <c r="D592">
        <f t="shared" si="9"/>
        <v>232523113</v>
      </c>
    </row>
    <row r="593" spans="1:4" x14ac:dyDescent="0.3">
      <c r="A593" s="43">
        <v>71069884</v>
      </c>
      <c r="B593" s="43">
        <v>68000000</v>
      </c>
      <c r="D593">
        <f t="shared" si="9"/>
        <v>3069884</v>
      </c>
    </row>
    <row r="594" spans="1:4" x14ac:dyDescent="0.3">
      <c r="A594" s="42">
        <v>251501645</v>
      </c>
      <c r="B594" s="42">
        <v>69000000</v>
      </c>
      <c r="D594">
        <f t="shared" si="9"/>
        <v>182501645</v>
      </c>
    </row>
    <row r="595" spans="1:4" x14ac:dyDescent="0.3">
      <c r="A595" s="43">
        <v>35324232</v>
      </c>
      <c r="B595" s="43">
        <v>68000000</v>
      </c>
      <c r="D595">
        <f t="shared" si="9"/>
        <v>-32675768</v>
      </c>
    </row>
    <row r="596" spans="1:4" x14ac:dyDescent="0.3">
      <c r="A596" s="42">
        <v>81257500</v>
      </c>
      <c r="B596" s="42">
        <v>68000000</v>
      </c>
      <c r="D596">
        <f t="shared" si="9"/>
        <v>13257500</v>
      </c>
    </row>
    <row r="597" spans="1:4" x14ac:dyDescent="0.3">
      <c r="A597" s="43">
        <v>617840</v>
      </c>
      <c r="B597" s="43">
        <v>70000000</v>
      </c>
      <c r="D597">
        <f t="shared" si="9"/>
        <v>-69382160</v>
      </c>
    </row>
    <row r="598" spans="1:4" x14ac:dyDescent="0.3">
      <c r="A598" s="42">
        <v>29655590</v>
      </c>
      <c r="B598" s="42">
        <v>65000000</v>
      </c>
      <c r="D598">
        <f t="shared" si="9"/>
        <v>-35344410</v>
      </c>
    </row>
    <row r="599" spans="1:4" x14ac:dyDescent="0.3">
      <c r="A599" s="43">
        <v>45045037</v>
      </c>
      <c r="B599" s="43">
        <v>36000000</v>
      </c>
      <c r="D599">
        <f t="shared" si="9"/>
        <v>9045037</v>
      </c>
    </row>
    <row r="600" spans="1:4" x14ac:dyDescent="0.3">
      <c r="A600" s="42">
        <v>28965197</v>
      </c>
      <c r="B600" s="42">
        <v>68000000</v>
      </c>
      <c r="D600">
        <f t="shared" si="9"/>
        <v>-39034803</v>
      </c>
    </row>
    <row r="601" spans="1:4" x14ac:dyDescent="0.3">
      <c r="A601" s="43">
        <v>39380442</v>
      </c>
      <c r="B601" s="43">
        <v>70000000</v>
      </c>
      <c r="D601">
        <f t="shared" si="9"/>
        <v>-30619558</v>
      </c>
    </row>
    <row r="602" spans="1:4" x14ac:dyDescent="0.3">
      <c r="A602" s="42">
        <v>37516013</v>
      </c>
      <c r="B602" s="42">
        <v>69000000</v>
      </c>
      <c r="D602">
        <f t="shared" si="9"/>
        <v>-31483987</v>
      </c>
    </row>
    <row r="603" spans="1:4" x14ac:dyDescent="0.3">
      <c r="A603" s="43">
        <v>87704396</v>
      </c>
      <c r="B603" s="43">
        <v>66000000</v>
      </c>
      <c r="D603">
        <f t="shared" si="9"/>
        <v>21704396</v>
      </c>
    </row>
    <row r="604" spans="1:4" x14ac:dyDescent="0.3">
      <c r="A604" s="42">
        <v>83892374</v>
      </c>
      <c r="B604" s="42">
        <v>66000000</v>
      </c>
      <c r="D604">
        <f t="shared" si="9"/>
        <v>17892374</v>
      </c>
    </row>
    <row r="605" spans="1:4" x14ac:dyDescent="0.3">
      <c r="A605" s="43">
        <v>5932060</v>
      </c>
      <c r="B605" s="43">
        <v>35000000</v>
      </c>
      <c r="D605">
        <f t="shared" si="9"/>
        <v>-29067940</v>
      </c>
    </row>
    <row r="606" spans="1:4" x14ac:dyDescent="0.3">
      <c r="A606" s="42">
        <v>216119491</v>
      </c>
      <c r="B606" s="42">
        <v>70000000</v>
      </c>
      <c r="D606">
        <f t="shared" si="9"/>
        <v>146119491</v>
      </c>
    </row>
    <row r="607" spans="1:4" x14ac:dyDescent="0.3">
      <c r="A607" s="43">
        <v>43568507</v>
      </c>
      <c r="B607" s="43">
        <v>66000000</v>
      </c>
      <c r="D607">
        <f t="shared" si="9"/>
        <v>-22431493</v>
      </c>
    </row>
    <row r="608" spans="1:4" x14ac:dyDescent="0.3">
      <c r="A608" s="42">
        <v>182805123</v>
      </c>
      <c r="B608" s="42">
        <v>70000000</v>
      </c>
      <c r="D608">
        <f t="shared" si="9"/>
        <v>112805123</v>
      </c>
    </row>
    <row r="609" spans="1:4" x14ac:dyDescent="0.3">
      <c r="A609" s="43">
        <v>176387405</v>
      </c>
      <c r="B609" s="43">
        <v>59000000</v>
      </c>
      <c r="D609">
        <f t="shared" si="9"/>
        <v>117387405</v>
      </c>
    </row>
    <row r="610" spans="1:4" x14ac:dyDescent="0.3">
      <c r="A610" s="42">
        <v>33685268</v>
      </c>
      <c r="B610" s="42">
        <v>68000000</v>
      </c>
      <c r="D610">
        <f t="shared" si="9"/>
        <v>-34314732</v>
      </c>
    </row>
    <row r="611" spans="1:4" x14ac:dyDescent="0.3">
      <c r="A611" s="43">
        <v>182204440</v>
      </c>
      <c r="B611" s="43">
        <v>65000000</v>
      </c>
      <c r="D611">
        <f t="shared" si="9"/>
        <v>117204440</v>
      </c>
    </row>
    <row r="612" spans="1:4" x14ac:dyDescent="0.3">
      <c r="A612" s="42">
        <v>171383253</v>
      </c>
      <c r="B612" s="42">
        <v>63000000</v>
      </c>
      <c r="D612">
        <f t="shared" si="9"/>
        <v>108383253</v>
      </c>
    </row>
    <row r="613" spans="1:4" x14ac:dyDescent="0.3">
      <c r="A613" s="43">
        <v>172071312</v>
      </c>
      <c r="B613" s="43">
        <v>62000000</v>
      </c>
      <c r="D613">
        <f t="shared" si="9"/>
        <v>110071312</v>
      </c>
    </row>
    <row r="614" spans="1:4" x14ac:dyDescent="0.3">
      <c r="A614" s="42">
        <v>139225854</v>
      </c>
      <c r="B614" s="42">
        <v>60000000</v>
      </c>
      <c r="D614">
        <f t="shared" si="9"/>
        <v>79225854</v>
      </c>
    </row>
    <row r="615" spans="1:4" x14ac:dyDescent="0.3">
      <c r="A615" s="43">
        <v>148775460</v>
      </c>
      <c r="B615" s="43">
        <v>61000000</v>
      </c>
      <c r="D615">
        <f t="shared" si="9"/>
        <v>87775460</v>
      </c>
    </row>
    <row r="616" spans="1:4" x14ac:dyDescent="0.3">
      <c r="A616" s="42">
        <v>115731542</v>
      </c>
      <c r="B616" s="42">
        <v>65000000</v>
      </c>
      <c r="D616">
        <f t="shared" si="9"/>
        <v>50731542</v>
      </c>
    </row>
    <row r="617" spans="1:4" x14ac:dyDescent="0.3">
      <c r="A617" s="43">
        <v>100468793</v>
      </c>
      <c r="B617" s="43">
        <v>65000000</v>
      </c>
      <c r="D617">
        <f t="shared" si="9"/>
        <v>35468793</v>
      </c>
    </row>
    <row r="618" spans="1:4" x14ac:dyDescent="0.3">
      <c r="A618" s="42">
        <v>93771072</v>
      </c>
      <c r="B618" s="42">
        <v>65000000</v>
      </c>
      <c r="D618">
        <f t="shared" si="9"/>
        <v>28771072</v>
      </c>
    </row>
    <row r="619" spans="1:4" x14ac:dyDescent="0.3">
      <c r="A619" s="43">
        <v>100448498</v>
      </c>
      <c r="B619" s="43">
        <v>65000000</v>
      </c>
      <c r="D619">
        <f t="shared" si="9"/>
        <v>35448498</v>
      </c>
    </row>
    <row r="620" spans="1:4" x14ac:dyDescent="0.3">
      <c r="A620" s="42">
        <v>115603980</v>
      </c>
      <c r="B620" s="42">
        <v>65000000</v>
      </c>
      <c r="D620">
        <f t="shared" si="9"/>
        <v>50603980</v>
      </c>
    </row>
    <row r="621" spans="1:4" x14ac:dyDescent="0.3">
      <c r="A621" s="43">
        <v>90454043</v>
      </c>
      <c r="B621" s="43">
        <v>65000000</v>
      </c>
      <c r="D621">
        <f t="shared" si="9"/>
        <v>25454043</v>
      </c>
    </row>
    <row r="622" spans="1:4" x14ac:dyDescent="0.3">
      <c r="A622" s="42">
        <v>84049211</v>
      </c>
      <c r="B622" s="42">
        <v>70000000</v>
      </c>
      <c r="D622">
        <f t="shared" si="9"/>
        <v>14049211</v>
      </c>
    </row>
    <row r="623" spans="1:4" x14ac:dyDescent="0.3">
      <c r="A623" s="43">
        <v>70450000</v>
      </c>
      <c r="B623" s="43">
        <v>50000000</v>
      </c>
      <c r="D623">
        <f t="shared" si="9"/>
        <v>20450000</v>
      </c>
    </row>
    <row r="624" spans="1:4" x14ac:dyDescent="0.3">
      <c r="A624" s="42">
        <v>69688384</v>
      </c>
      <c r="B624" s="42">
        <v>60000000</v>
      </c>
      <c r="D624">
        <f t="shared" si="9"/>
        <v>9688384</v>
      </c>
    </row>
    <row r="625" spans="1:4" x14ac:dyDescent="0.3">
      <c r="A625" s="43">
        <v>70236496</v>
      </c>
      <c r="B625" s="43">
        <v>63000000</v>
      </c>
      <c r="D625">
        <f t="shared" si="9"/>
        <v>7236496</v>
      </c>
    </row>
    <row r="626" spans="1:4" x14ac:dyDescent="0.3">
      <c r="A626" s="42">
        <v>63695760</v>
      </c>
      <c r="B626" s="42">
        <v>65000000</v>
      </c>
      <c r="D626">
        <f t="shared" si="9"/>
        <v>-1304240</v>
      </c>
    </row>
    <row r="627" spans="1:4" x14ac:dyDescent="0.3">
      <c r="A627" s="43">
        <v>59617068</v>
      </c>
      <c r="B627" s="43">
        <v>65000000</v>
      </c>
      <c r="D627">
        <f t="shared" si="9"/>
        <v>-5382932</v>
      </c>
    </row>
    <row r="628" spans="1:4" x14ac:dyDescent="0.3">
      <c r="A628" s="42">
        <v>55637680</v>
      </c>
      <c r="B628" s="42">
        <v>65000000</v>
      </c>
      <c r="D628">
        <f t="shared" si="9"/>
        <v>-9362320</v>
      </c>
    </row>
    <row r="629" spans="1:4" x14ac:dyDescent="0.3">
      <c r="A629" s="43">
        <v>85911262</v>
      </c>
      <c r="B629" s="43">
        <v>65000000</v>
      </c>
      <c r="D629">
        <f t="shared" si="9"/>
        <v>20911262</v>
      </c>
    </row>
    <row r="630" spans="1:4" x14ac:dyDescent="0.3">
      <c r="A630" s="42">
        <v>53846915</v>
      </c>
      <c r="B630" s="42">
        <v>50100000</v>
      </c>
      <c r="D630">
        <f t="shared" si="9"/>
        <v>3746915</v>
      </c>
    </row>
    <row r="631" spans="1:4" x14ac:dyDescent="0.3">
      <c r="A631" s="43">
        <v>54758461</v>
      </c>
      <c r="B631" s="43">
        <v>65000000</v>
      </c>
      <c r="D631">
        <f t="shared" si="9"/>
        <v>-10241539</v>
      </c>
    </row>
    <row r="632" spans="1:4" x14ac:dyDescent="0.3">
      <c r="A632" s="42">
        <v>52397389</v>
      </c>
      <c r="B632" s="42">
        <v>65000000</v>
      </c>
      <c r="D632">
        <f t="shared" si="9"/>
        <v>-12602611</v>
      </c>
    </row>
    <row r="633" spans="1:4" x14ac:dyDescent="0.3">
      <c r="A633" s="43">
        <v>38966057</v>
      </c>
      <c r="B633" s="43">
        <v>65000000</v>
      </c>
      <c r="D633">
        <f t="shared" si="9"/>
        <v>-26033943</v>
      </c>
    </row>
    <row r="634" spans="1:4" x14ac:dyDescent="0.3">
      <c r="A634" s="42">
        <v>42345531</v>
      </c>
      <c r="B634" s="42">
        <v>65000000</v>
      </c>
      <c r="D634">
        <f t="shared" si="9"/>
        <v>-22654469</v>
      </c>
    </row>
    <row r="635" spans="1:4" x14ac:dyDescent="0.3">
      <c r="A635" s="43">
        <v>36064910</v>
      </c>
      <c r="B635" s="43">
        <v>45000000</v>
      </c>
      <c r="D635">
        <f t="shared" si="9"/>
        <v>-8935090</v>
      </c>
    </row>
    <row r="636" spans="1:4" x14ac:dyDescent="0.3">
      <c r="A636" s="42">
        <v>33328051</v>
      </c>
      <c r="B636" s="42">
        <v>65000000</v>
      </c>
      <c r="D636">
        <f t="shared" si="9"/>
        <v>-31671949</v>
      </c>
    </row>
    <row r="637" spans="1:4" x14ac:dyDescent="0.3">
      <c r="A637" s="43">
        <v>32598931</v>
      </c>
      <c r="B637" s="43">
        <v>65000000</v>
      </c>
      <c r="D637">
        <f t="shared" si="9"/>
        <v>-32401069</v>
      </c>
    </row>
    <row r="638" spans="1:4" x14ac:dyDescent="0.3">
      <c r="A638" s="42">
        <v>28045540</v>
      </c>
      <c r="B638" s="42">
        <v>65000000</v>
      </c>
      <c r="D638">
        <f t="shared" si="9"/>
        <v>-36954460</v>
      </c>
    </row>
    <row r="639" spans="1:4" x14ac:dyDescent="0.3">
      <c r="A639" s="43">
        <v>43532294</v>
      </c>
      <c r="B639" s="43">
        <v>65000000</v>
      </c>
      <c r="D639">
        <f t="shared" si="9"/>
        <v>-21467706</v>
      </c>
    </row>
    <row r="640" spans="1:4" x14ac:dyDescent="0.3">
      <c r="A640" s="42">
        <v>17218080</v>
      </c>
      <c r="B640" s="42">
        <v>70000000</v>
      </c>
      <c r="D640">
        <f t="shared" si="9"/>
        <v>-52781920</v>
      </c>
    </row>
    <row r="641" spans="1:4" x14ac:dyDescent="0.3">
      <c r="A641" s="43">
        <v>10014234</v>
      </c>
      <c r="B641" s="43">
        <v>65000000</v>
      </c>
      <c r="D641">
        <f t="shared" si="9"/>
        <v>-54985766</v>
      </c>
    </row>
    <row r="642" spans="1:4" x14ac:dyDescent="0.3">
      <c r="A642" s="42">
        <v>19059018</v>
      </c>
      <c r="B642" s="42">
        <v>65000000</v>
      </c>
      <c r="D642">
        <f t="shared" ref="D642:D705" si="10">A642-B642</f>
        <v>-45940982</v>
      </c>
    </row>
    <row r="643" spans="1:4" x14ac:dyDescent="0.3">
      <c r="A643" s="43">
        <v>1987287</v>
      </c>
      <c r="B643" s="43">
        <v>50000000</v>
      </c>
      <c r="D643">
        <f t="shared" si="10"/>
        <v>-48012713</v>
      </c>
    </row>
    <row r="644" spans="1:4" x14ac:dyDescent="0.3">
      <c r="A644" s="42">
        <v>24407944</v>
      </c>
      <c r="B644" s="42">
        <v>43000000</v>
      </c>
      <c r="D644">
        <f t="shared" si="10"/>
        <v>-18592056</v>
      </c>
    </row>
    <row r="645" spans="1:4" x14ac:dyDescent="0.3">
      <c r="A645" s="43">
        <v>13750556</v>
      </c>
      <c r="B645" s="43">
        <v>65000000</v>
      </c>
      <c r="D645">
        <f t="shared" si="10"/>
        <v>-51249444</v>
      </c>
    </row>
    <row r="646" spans="1:4" x14ac:dyDescent="0.3">
      <c r="A646" s="42">
        <v>31054924</v>
      </c>
      <c r="B646" s="42">
        <v>64000000</v>
      </c>
      <c r="D646">
        <f t="shared" si="10"/>
        <v>-32945076</v>
      </c>
    </row>
    <row r="647" spans="1:4" x14ac:dyDescent="0.3">
      <c r="A647" s="43">
        <v>43247140</v>
      </c>
      <c r="B647" s="43">
        <v>55000000</v>
      </c>
      <c r="D647">
        <f t="shared" si="10"/>
        <v>-11752860</v>
      </c>
    </row>
    <row r="648" spans="1:4" x14ac:dyDescent="0.3">
      <c r="A648" s="42">
        <v>2208939</v>
      </c>
      <c r="B648" s="42">
        <v>50000000</v>
      </c>
      <c r="D648">
        <f t="shared" si="10"/>
        <v>-47791061</v>
      </c>
    </row>
    <row r="649" spans="1:4" x14ac:dyDescent="0.3">
      <c r="A649" s="43">
        <v>213079163</v>
      </c>
      <c r="B649" s="43">
        <v>63000000</v>
      </c>
      <c r="D649">
        <f t="shared" si="10"/>
        <v>150079163</v>
      </c>
    </row>
    <row r="650" spans="1:4" x14ac:dyDescent="0.3">
      <c r="A650" s="42">
        <v>19548064</v>
      </c>
      <c r="B650" s="42">
        <v>65000000</v>
      </c>
      <c r="D650">
        <f t="shared" si="10"/>
        <v>-45451936</v>
      </c>
    </row>
    <row r="651" spans="1:4" x14ac:dyDescent="0.3">
      <c r="A651" s="43">
        <v>356784000</v>
      </c>
      <c r="B651" s="43">
        <v>63000000</v>
      </c>
      <c r="D651">
        <f t="shared" si="10"/>
        <v>293784000</v>
      </c>
    </row>
    <row r="652" spans="1:4" x14ac:dyDescent="0.3">
      <c r="A652" s="42">
        <v>25052000</v>
      </c>
      <c r="B652" s="42">
        <v>63000000</v>
      </c>
      <c r="D652">
        <f t="shared" si="10"/>
        <v>-37948000</v>
      </c>
    </row>
    <row r="653" spans="1:4" x14ac:dyDescent="0.3">
      <c r="A653" s="43">
        <v>122012710</v>
      </c>
      <c r="B653" s="43">
        <v>62000000</v>
      </c>
      <c r="D653">
        <f t="shared" si="10"/>
        <v>60012710</v>
      </c>
    </row>
    <row r="654" spans="1:4" x14ac:dyDescent="0.3">
      <c r="A654" s="42">
        <v>72413</v>
      </c>
      <c r="B654" s="42">
        <v>65000000</v>
      </c>
      <c r="D654">
        <f t="shared" si="10"/>
        <v>-64927587</v>
      </c>
    </row>
    <row r="655" spans="1:4" x14ac:dyDescent="0.3">
      <c r="A655" s="43">
        <v>58255287</v>
      </c>
      <c r="B655" s="43">
        <v>64000000</v>
      </c>
      <c r="D655">
        <f t="shared" si="10"/>
        <v>-5744713</v>
      </c>
    </row>
    <row r="656" spans="1:4" x14ac:dyDescent="0.3">
      <c r="A656" s="42">
        <v>77086030</v>
      </c>
      <c r="B656" s="42">
        <v>62000000</v>
      </c>
      <c r="D656">
        <f t="shared" si="10"/>
        <v>15086030</v>
      </c>
    </row>
    <row r="657" spans="1:4" x14ac:dyDescent="0.3">
      <c r="A657" s="43">
        <v>65000000</v>
      </c>
      <c r="B657" s="43">
        <v>62000000</v>
      </c>
      <c r="D657">
        <f t="shared" si="10"/>
        <v>3000000</v>
      </c>
    </row>
    <row r="658" spans="1:4" x14ac:dyDescent="0.3">
      <c r="A658" s="42">
        <v>32178777</v>
      </c>
      <c r="B658" s="42">
        <v>62000000</v>
      </c>
      <c r="D658">
        <f t="shared" si="10"/>
        <v>-29821223</v>
      </c>
    </row>
    <row r="659" spans="1:4" x14ac:dyDescent="0.3">
      <c r="A659" s="43">
        <v>15738632</v>
      </c>
      <c r="B659" s="43">
        <v>42000000</v>
      </c>
      <c r="D659">
        <f t="shared" si="10"/>
        <v>-26261368</v>
      </c>
    </row>
    <row r="660" spans="1:4" x14ac:dyDescent="0.3">
      <c r="A660" s="42">
        <v>54116191</v>
      </c>
      <c r="B660" s="42">
        <v>44000000</v>
      </c>
      <c r="D660">
        <f t="shared" si="10"/>
        <v>10116191</v>
      </c>
    </row>
    <row r="661" spans="1:4" x14ac:dyDescent="0.3">
      <c r="A661" s="43">
        <v>118153533</v>
      </c>
      <c r="B661" s="43">
        <v>61000000</v>
      </c>
      <c r="D661">
        <f t="shared" si="10"/>
        <v>57153533</v>
      </c>
    </row>
    <row r="662" spans="1:4" x14ac:dyDescent="0.3">
      <c r="A662" s="42">
        <v>108012170</v>
      </c>
      <c r="B662" s="42">
        <v>63000000</v>
      </c>
      <c r="D662">
        <f t="shared" si="10"/>
        <v>45012170</v>
      </c>
    </row>
    <row r="663" spans="1:4" x14ac:dyDescent="0.3">
      <c r="A663" s="43">
        <v>210592590</v>
      </c>
      <c r="B663" s="43">
        <v>65000000</v>
      </c>
      <c r="D663">
        <f t="shared" si="10"/>
        <v>145592590</v>
      </c>
    </row>
    <row r="664" spans="1:4" x14ac:dyDescent="0.3">
      <c r="A664" s="42">
        <v>279167575</v>
      </c>
      <c r="B664" s="42">
        <v>80000000</v>
      </c>
      <c r="D664">
        <f t="shared" si="10"/>
        <v>199167575</v>
      </c>
    </row>
    <row r="665" spans="1:4" x14ac:dyDescent="0.3">
      <c r="A665" s="43">
        <v>143151473</v>
      </c>
      <c r="B665" s="43">
        <v>60000000</v>
      </c>
      <c r="D665">
        <f t="shared" si="10"/>
        <v>83151473</v>
      </c>
    </row>
    <row r="666" spans="1:4" x14ac:dyDescent="0.3">
      <c r="A666" s="42">
        <v>136801374</v>
      </c>
      <c r="B666" s="42">
        <v>60000000</v>
      </c>
      <c r="D666">
        <f t="shared" si="10"/>
        <v>76801374</v>
      </c>
    </row>
    <row r="667" spans="1:4" x14ac:dyDescent="0.3">
      <c r="A667" s="43">
        <v>135381507</v>
      </c>
      <c r="B667" s="43">
        <v>150000000</v>
      </c>
      <c r="D667">
        <f t="shared" si="10"/>
        <v>-14618493</v>
      </c>
    </row>
    <row r="668" spans="1:4" x14ac:dyDescent="0.3">
      <c r="A668" s="42">
        <v>167735396</v>
      </c>
      <c r="B668" s="42">
        <v>61000000</v>
      </c>
      <c r="D668">
        <f t="shared" si="10"/>
        <v>106735396</v>
      </c>
    </row>
    <row r="669" spans="1:4" x14ac:dyDescent="0.3">
      <c r="A669" s="43">
        <v>121468960</v>
      </c>
      <c r="B669" s="43">
        <v>60000000</v>
      </c>
      <c r="D669">
        <f t="shared" si="10"/>
        <v>61468960</v>
      </c>
    </row>
    <row r="670" spans="1:4" x14ac:dyDescent="0.3">
      <c r="A670" s="42">
        <v>106635996</v>
      </c>
      <c r="B670" s="42">
        <v>58000000</v>
      </c>
      <c r="D670">
        <f t="shared" si="10"/>
        <v>48635996</v>
      </c>
    </row>
    <row r="671" spans="1:4" x14ac:dyDescent="0.3">
      <c r="A671" s="43">
        <v>102678089</v>
      </c>
      <c r="B671" s="43">
        <v>95000000</v>
      </c>
      <c r="D671">
        <f t="shared" si="10"/>
        <v>7678089</v>
      </c>
    </row>
    <row r="672" spans="1:4" x14ac:dyDescent="0.3">
      <c r="A672" s="42">
        <v>125603360</v>
      </c>
      <c r="B672" s="42">
        <v>60000000</v>
      </c>
      <c r="D672">
        <f t="shared" si="10"/>
        <v>65603360</v>
      </c>
    </row>
    <row r="673" spans="1:4" x14ac:dyDescent="0.3">
      <c r="A673" s="43">
        <v>101217900</v>
      </c>
      <c r="B673" s="43">
        <v>70000000</v>
      </c>
      <c r="D673">
        <f t="shared" si="10"/>
        <v>31217900</v>
      </c>
    </row>
    <row r="674" spans="1:4" x14ac:dyDescent="0.3">
      <c r="A674" s="42">
        <v>104148781</v>
      </c>
      <c r="B674" s="42">
        <v>60000000</v>
      </c>
      <c r="D674">
        <f t="shared" si="10"/>
        <v>44148781</v>
      </c>
    </row>
    <row r="675" spans="1:4" x14ac:dyDescent="0.3">
      <c r="A675" s="43">
        <v>75573300</v>
      </c>
      <c r="B675" s="43">
        <v>61000000</v>
      </c>
      <c r="D675">
        <f t="shared" si="10"/>
        <v>14573300</v>
      </c>
    </row>
    <row r="676" spans="1:4" x14ac:dyDescent="0.3">
      <c r="A676" s="42">
        <v>93375151</v>
      </c>
      <c r="B676" s="42">
        <v>60000000</v>
      </c>
      <c r="D676">
        <f t="shared" si="10"/>
        <v>33375151</v>
      </c>
    </row>
    <row r="677" spans="1:4" x14ac:dyDescent="0.3">
      <c r="A677" s="43">
        <v>106126012</v>
      </c>
      <c r="B677" s="43">
        <v>60000000</v>
      </c>
      <c r="D677">
        <f t="shared" si="10"/>
        <v>46126012</v>
      </c>
    </row>
    <row r="678" spans="1:4" x14ac:dyDescent="0.3">
      <c r="A678" s="42">
        <v>90646554</v>
      </c>
      <c r="B678" s="42">
        <v>105000000</v>
      </c>
      <c r="D678">
        <f t="shared" si="10"/>
        <v>-14353446</v>
      </c>
    </row>
    <row r="679" spans="1:4" x14ac:dyDescent="0.3">
      <c r="A679" s="43">
        <v>109176215</v>
      </c>
      <c r="B679" s="43">
        <v>60000000</v>
      </c>
      <c r="D679">
        <f t="shared" si="10"/>
        <v>49176215</v>
      </c>
    </row>
    <row r="680" spans="1:4" x14ac:dyDescent="0.3">
      <c r="A680" s="42">
        <v>82670733</v>
      </c>
      <c r="B680" s="42">
        <v>60000000</v>
      </c>
      <c r="D680">
        <f t="shared" si="10"/>
        <v>22670733</v>
      </c>
    </row>
    <row r="681" spans="1:4" x14ac:dyDescent="0.3">
      <c r="A681" s="43">
        <v>82569532</v>
      </c>
      <c r="B681" s="43">
        <v>60000000</v>
      </c>
      <c r="D681">
        <f t="shared" si="10"/>
        <v>22569532</v>
      </c>
    </row>
    <row r="682" spans="1:4" x14ac:dyDescent="0.3">
      <c r="A682" s="42">
        <v>81687587</v>
      </c>
      <c r="B682" s="42">
        <v>61000000</v>
      </c>
      <c r="D682">
        <f t="shared" si="10"/>
        <v>20687587</v>
      </c>
    </row>
    <row r="683" spans="1:4" x14ac:dyDescent="0.3">
      <c r="A683" s="43">
        <v>80574010</v>
      </c>
      <c r="B683" s="43">
        <v>60000000</v>
      </c>
      <c r="D683">
        <f t="shared" si="10"/>
        <v>20574010</v>
      </c>
    </row>
    <row r="684" spans="1:4" x14ac:dyDescent="0.3">
      <c r="A684" s="42">
        <v>75764085</v>
      </c>
      <c r="B684" s="42">
        <v>60000000</v>
      </c>
      <c r="D684">
        <f t="shared" si="10"/>
        <v>15764085</v>
      </c>
    </row>
    <row r="685" spans="1:4" x14ac:dyDescent="0.3">
      <c r="A685" s="43">
        <v>90356857</v>
      </c>
      <c r="B685" s="43">
        <v>58000000</v>
      </c>
      <c r="D685">
        <f t="shared" si="10"/>
        <v>32356857</v>
      </c>
    </row>
    <row r="686" spans="1:4" x14ac:dyDescent="0.3">
      <c r="A686" s="42">
        <v>75530832</v>
      </c>
      <c r="B686" s="42">
        <v>55000000</v>
      </c>
      <c r="D686">
        <f t="shared" si="10"/>
        <v>20530832</v>
      </c>
    </row>
    <row r="687" spans="1:4" x14ac:dyDescent="0.3">
      <c r="A687" s="43">
        <v>75370763</v>
      </c>
      <c r="B687" s="43">
        <v>60000000</v>
      </c>
      <c r="D687">
        <f t="shared" si="10"/>
        <v>15370763</v>
      </c>
    </row>
    <row r="688" spans="1:4" x14ac:dyDescent="0.3">
      <c r="A688" s="42">
        <v>100003492</v>
      </c>
      <c r="B688" s="42">
        <v>65000000</v>
      </c>
      <c r="D688">
        <f t="shared" si="10"/>
        <v>35003492</v>
      </c>
    </row>
    <row r="689" spans="1:4" x14ac:dyDescent="0.3">
      <c r="A689" s="43">
        <v>90341670</v>
      </c>
      <c r="B689" s="43">
        <v>60000000</v>
      </c>
      <c r="D689">
        <f t="shared" si="10"/>
        <v>30341670</v>
      </c>
    </row>
    <row r="690" spans="1:4" x14ac:dyDescent="0.3">
      <c r="A690" s="42">
        <v>74540762</v>
      </c>
      <c r="B690" s="42">
        <v>55000000</v>
      </c>
      <c r="D690">
        <f t="shared" si="10"/>
        <v>19540762</v>
      </c>
    </row>
    <row r="691" spans="1:4" x14ac:dyDescent="0.3">
      <c r="A691" s="43">
        <v>80033643</v>
      </c>
      <c r="B691" s="43">
        <v>60000000</v>
      </c>
      <c r="D691">
        <f t="shared" si="10"/>
        <v>20033643</v>
      </c>
    </row>
    <row r="692" spans="1:4" x14ac:dyDescent="0.3">
      <c r="A692" s="42">
        <v>73648142</v>
      </c>
      <c r="B692" s="42">
        <v>60000000</v>
      </c>
      <c r="D692">
        <f t="shared" si="10"/>
        <v>13648142</v>
      </c>
    </row>
    <row r="693" spans="1:4" x14ac:dyDescent="0.3">
      <c r="A693" s="43">
        <v>71844424</v>
      </c>
      <c r="B693" s="43">
        <v>60000000</v>
      </c>
      <c r="D693">
        <f t="shared" si="10"/>
        <v>11844424</v>
      </c>
    </row>
    <row r="694" spans="1:4" x14ac:dyDescent="0.3">
      <c r="A694" s="42">
        <v>75638743</v>
      </c>
      <c r="B694" s="42">
        <v>60000000</v>
      </c>
      <c r="D694">
        <f t="shared" si="10"/>
        <v>15638743</v>
      </c>
    </row>
    <row r="695" spans="1:4" x14ac:dyDescent="0.3">
      <c r="A695" s="43">
        <v>66734992</v>
      </c>
      <c r="B695" s="43">
        <v>60000000</v>
      </c>
      <c r="D695">
        <f t="shared" si="10"/>
        <v>6734992</v>
      </c>
    </row>
    <row r="696" spans="1:4" x14ac:dyDescent="0.3">
      <c r="A696" s="42">
        <v>75280058</v>
      </c>
      <c r="B696" s="42">
        <v>60000000</v>
      </c>
      <c r="D696">
        <f t="shared" si="10"/>
        <v>15280058</v>
      </c>
    </row>
    <row r="697" spans="1:4" x14ac:dyDescent="0.3">
      <c r="A697" s="43">
        <v>64505912</v>
      </c>
      <c r="B697" s="43">
        <v>48000000</v>
      </c>
      <c r="D697">
        <f t="shared" si="10"/>
        <v>16505912</v>
      </c>
    </row>
    <row r="698" spans="1:4" x14ac:dyDescent="0.3">
      <c r="A698" s="42">
        <v>77862546</v>
      </c>
      <c r="B698" s="42">
        <v>70000000</v>
      </c>
      <c r="D698">
        <f t="shared" si="10"/>
        <v>7862546</v>
      </c>
    </row>
    <row r="699" spans="1:4" x14ac:dyDescent="0.3">
      <c r="A699" s="43">
        <v>61112916</v>
      </c>
      <c r="B699" s="43">
        <v>50000000</v>
      </c>
      <c r="D699">
        <f t="shared" si="10"/>
        <v>11112916</v>
      </c>
    </row>
    <row r="700" spans="1:4" x14ac:dyDescent="0.3">
      <c r="A700" s="42">
        <v>88200225</v>
      </c>
      <c r="B700" s="42">
        <v>60000000</v>
      </c>
      <c r="D700">
        <f t="shared" si="10"/>
        <v>28200225</v>
      </c>
    </row>
    <row r="701" spans="1:4" x14ac:dyDescent="0.3">
      <c r="A701" s="43">
        <v>60573641</v>
      </c>
      <c r="B701" s="43">
        <v>60000000</v>
      </c>
      <c r="D701">
        <f t="shared" si="10"/>
        <v>573641</v>
      </c>
    </row>
    <row r="702" spans="1:4" x14ac:dyDescent="0.3">
      <c r="A702" s="42">
        <v>59035104</v>
      </c>
      <c r="B702" s="42">
        <v>66000000</v>
      </c>
      <c r="D702">
        <f t="shared" si="10"/>
        <v>-6964896</v>
      </c>
    </row>
    <row r="703" spans="1:4" x14ac:dyDescent="0.3">
      <c r="A703" s="43">
        <v>56702901</v>
      </c>
      <c r="B703" s="43">
        <v>60000000</v>
      </c>
      <c r="D703">
        <f t="shared" si="10"/>
        <v>-3297099</v>
      </c>
    </row>
    <row r="704" spans="1:4" x14ac:dyDescent="0.3">
      <c r="A704" s="42">
        <v>55994557</v>
      </c>
      <c r="B704" s="42">
        <v>60000000</v>
      </c>
      <c r="D704">
        <f t="shared" si="10"/>
        <v>-4005443</v>
      </c>
    </row>
    <row r="705" spans="1:4" x14ac:dyDescent="0.3">
      <c r="A705" s="43">
        <v>54910560</v>
      </c>
      <c r="B705" s="43">
        <v>60000000</v>
      </c>
      <c r="D705">
        <f t="shared" si="10"/>
        <v>-5089440</v>
      </c>
    </row>
    <row r="706" spans="1:4" x14ac:dyDescent="0.3">
      <c r="A706" s="42">
        <v>53789313</v>
      </c>
      <c r="B706" s="42">
        <v>60000000</v>
      </c>
      <c r="D706">
        <f t="shared" ref="D706:D769" si="11">A706-B706</f>
        <v>-6210687</v>
      </c>
    </row>
    <row r="707" spans="1:4" x14ac:dyDescent="0.3">
      <c r="A707" s="43">
        <v>51045801</v>
      </c>
      <c r="B707" s="43">
        <v>60000000</v>
      </c>
      <c r="D707">
        <f t="shared" si="11"/>
        <v>-8954199</v>
      </c>
    </row>
    <row r="708" spans="1:4" x14ac:dyDescent="0.3">
      <c r="A708" s="42">
        <v>50818750</v>
      </c>
      <c r="B708" s="42">
        <v>60000000</v>
      </c>
      <c r="D708">
        <f t="shared" si="11"/>
        <v>-9181250</v>
      </c>
    </row>
    <row r="709" spans="1:4" x14ac:dyDescent="0.3">
      <c r="A709" s="43">
        <v>50189179</v>
      </c>
      <c r="B709" s="43">
        <v>60000000</v>
      </c>
      <c r="D709">
        <f t="shared" si="11"/>
        <v>-9810821</v>
      </c>
    </row>
    <row r="710" spans="1:4" x14ac:dyDescent="0.3">
      <c r="A710" s="42">
        <v>50024083</v>
      </c>
      <c r="B710" s="42">
        <v>60000000</v>
      </c>
      <c r="D710">
        <f t="shared" si="11"/>
        <v>-9975917</v>
      </c>
    </row>
    <row r="711" spans="1:4" x14ac:dyDescent="0.3">
      <c r="A711" s="43">
        <v>50549107</v>
      </c>
      <c r="B711" s="43">
        <v>60000000</v>
      </c>
      <c r="D711">
        <f t="shared" si="11"/>
        <v>-9450893</v>
      </c>
    </row>
    <row r="712" spans="1:4" x14ac:dyDescent="0.3">
      <c r="A712" s="42">
        <v>56443482</v>
      </c>
      <c r="B712" s="42">
        <v>60000000</v>
      </c>
      <c r="D712">
        <f t="shared" si="11"/>
        <v>-3556518</v>
      </c>
    </row>
    <row r="713" spans="1:4" x14ac:dyDescent="0.3">
      <c r="A713" s="43">
        <v>62401264</v>
      </c>
      <c r="B713" s="43">
        <v>60000000</v>
      </c>
      <c r="D713">
        <f t="shared" si="11"/>
        <v>2401264</v>
      </c>
    </row>
    <row r="714" spans="1:4" x14ac:dyDescent="0.3">
      <c r="A714" s="42">
        <v>47748610</v>
      </c>
      <c r="B714" s="42">
        <v>75000000</v>
      </c>
      <c r="D714">
        <f t="shared" si="11"/>
        <v>-27251390</v>
      </c>
    </row>
    <row r="715" spans="1:4" x14ac:dyDescent="0.3">
      <c r="A715" s="43">
        <v>46975183</v>
      </c>
      <c r="B715" s="43">
        <v>61000000</v>
      </c>
      <c r="D715">
        <f t="shared" si="11"/>
        <v>-14024817</v>
      </c>
    </row>
    <row r="716" spans="1:4" x14ac:dyDescent="0.3">
      <c r="A716" s="42">
        <v>50807639</v>
      </c>
      <c r="B716" s="42">
        <v>60000000</v>
      </c>
      <c r="D716">
        <f t="shared" si="11"/>
        <v>-9192361</v>
      </c>
    </row>
    <row r="717" spans="1:4" x14ac:dyDescent="0.3">
      <c r="A717" s="43">
        <v>46611204</v>
      </c>
      <c r="B717" s="43">
        <v>48000000</v>
      </c>
      <c r="D717">
        <f t="shared" si="11"/>
        <v>-1388796</v>
      </c>
    </row>
    <row r="718" spans="1:4" x14ac:dyDescent="0.3">
      <c r="A718" s="42">
        <v>257756197</v>
      </c>
      <c r="B718" s="42">
        <v>60000000</v>
      </c>
      <c r="D718">
        <f t="shared" si="11"/>
        <v>197756197</v>
      </c>
    </row>
    <row r="719" spans="1:4" x14ac:dyDescent="0.3">
      <c r="A719" s="43">
        <v>48472213</v>
      </c>
      <c r="B719" s="43">
        <v>45000000</v>
      </c>
      <c r="D719">
        <f t="shared" si="11"/>
        <v>3472213</v>
      </c>
    </row>
    <row r="720" spans="1:4" x14ac:dyDescent="0.3">
      <c r="A720" s="42">
        <v>43060566</v>
      </c>
      <c r="B720" s="42">
        <v>60000000</v>
      </c>
      <c r="D720">
        <f t="shared" si="11"/>
        <v>-16939434</v>
      </c>
    </row>
    <row r="721" spans="1:4" x14ac:dyDescent="0.3">
      <c r="A721" s="43">
        <v>45996718</v>
      </c>
      <c r="B721" s="43">
        <v>60000000</v>
      </c>
      <c r="D721">
        <f t="shared" si="11"/>
        <v>-14003282</v>
      </c>
    </row>
    <row r="722" spans="1:4" x14ac:dyDescent="0.3">
      <c r="A722" s="42">
        <v>43337279</v>
      </c>
      <c r="B722" s="42">
        <v>60000000</v>
      </c>
      <c r="D722">
        <f t="shared" si="11"/>
        <v>-16662721</v>
      </c>
    </row>
    <row r="723" spans="1:4" x14ac:dyDescent="0.3">
      <c r="A723" s="43">
        <v>37479778</v>
      </c>
      <c r="B723" s="43">
        <v>60000000</v>
      </c>
      <c r="D723">
        <f t="shared" si="11"/>
        <v>-22520222</v>
      </c>
    </row>
    <row r="724" spans="1:4" x14ac:dyDescent="0.3">
      <c r="A724" s="42">
        <v>40559930</v>
      </c>
      <c r="B724" s="42">
        <v>60000000</v>
      </c>
      <c r="D724">
        <f t="shared" si="11"/>
        <v>-19440070</v>
      </c>
    </row>
    <row r="725" spans="1:4" x14ac:dyDescent="0.3">
      <c r="A725" s="43">
        <v>36830057</v>
      </c>
      <c r="B725" s="43">
        <v>65000000</v>
      </c>
      <c r="D725">
        <f t="shared" si="11"/>
        <v>-28169943</v>
      </c>
    </row>
    <row r="726" spans="1:4" x14ac:dyDescent="0.3">
      <c r="A726" s="42">
        <v>36279230</v>
      </c>
      <c r="B726" s="42">
        <v>60000000</v>
      </c>
      <c r="D726">
        <f t="shared" si="11"/>
        <v>-23720770</v>
      </c>
    </row>
    <row r="727" spans="1:4" x14ac:dyDescent="0.3">
      <c r="A727" s="43">
        <v>42194060</v>
      </c>
      <c r="B727" s="43">
        <v>70000000</v>
      </c>
      <c r="D727">
        <f t="shared" si="11"/>
        <v>-27805940</v>
      </c>
    </row>
    <row r="728" spans="1:4" x14ac:dyDescent="0.3">
      <c r="A728" s="42">
        <v>43119879</v>
      </c>
      <c r="B728" s="42">
        <v>60000000</v>
      </c>
      <c r="D728">
        <f t="shared" si="11"/>
        <v>-16880121</v>
      </c>
    </row>
    <row r="729" spans="1:4" x14ac:dyDescent="0.3">
      <c r="A729" s="43">
        <v>35096190</v>
      </c>
      <c r="B729" s="43">
        <v>60000000</v>
      </c>
      <c r="D729">
        <f t="shared" si="11"/>
        <v>-24903810</v>
      </c>
    </row>
    <row r="730" spans="1:4" x14ac:dyDescent="0.3">
      <c r="A730" s="42">
        <v>43290977</v>
      </c>
      <c r="B730" s="42">
        <v>80000000</v>
      </c>
      <c r="D730">
        <f t="shared" si="11"/>
        <v>-36709023</v>
      </c>
    </row>
    <row r="731" spans="1:4" x14ac:dyDescent="0.3">
      <c r="A731" s="43">
        <v>33927476</v>
      </c>
      <c r="B731" s="43">
        <v>40000000</v>
      </c>
      <c r="D731">
        <f t="shared" si="11"/>
        <v>-6072524</v>
      </c>
    </row>
    <row r="732" spans="1:4" x14ac:dyDescent="0.3">
      <c r="A732" s="42">
        <v>32122249</v>
      </c>
      <c r="B732" s="42">
        <v>60000000</v>
      </c>
      <c r="D732">
        <f t="shared" si="11"/>
        <v>-27877751</v>
      </c>
    </row>
    <row r="733" spans="1:4" x14ac:dyDescent="0.3">
      <c r="A733" s="43">
        <v>40076438</v>
      </c>
      <c r="B733" s="43">
        <v>60000000</v>
      </c>
      <c r="D733">
        <f t="shared" si="11"/>
        <v>-19923562</v>
      </c>
    </row>
    <row r="734" spans="1:4" x14ac:dyDescent="0.3">
      <c r="A734" s="42">
        <v>32940507</v>
      </c>
      <c r="B734" s="42">
        <v>60000000</v>
      </c>
      <c r="D734">
        <f t="shared" si="11"/>
        <v>-27059493</v>
      </c>
    </row>
    <row r="735" spans="1:4" x14ac:dyDescent="0.3">
      <c r="A735" s="43">
        <v>31670931</v>
      </c>
      <c r="B735" s="43">
        <v>60000000</v>
      </c>
      <c r="D735">
        <f t="shared" si="11"/>
        <v>-28329069</v>
      </c>
    </row>
    <row r="736" spans="1:4" x14ac:dyDescent="0.3">
      <c r="A736" s="42">
        <v>30695227</v>
      </c>
      <c r="B736" s="42">
        <v>60000000</v>
      </c>
      <c r="D736">
        <f t="shared" si="11"/>
        <v>-29304773</v>
      </c>
    </row>
    <row r="737" spans="1:4" x14ac:dyDescent="0.3">
      <c r="A737" s="43">
        <v>32522352</v>
      </c>
      <c r="B737" s="43">
        <v>60000000</v>
      </c>
      <c r="D737">
        <f t="shared" si="11"/>
        <v>-27477648</v>
      </c>
    </row>
    <row r="738" spans="1:4" x14ac:dyDescent="0.3">
      <c r="A738" s="42">
        <v>26082914</v>
      </c>
      <c r="B738" s="42">
        <v>87000000</v>
      </c>
      <c r="D738">
        <f t="shared" si="11"/>
        <v>-60917086</v>
      </c>
    </row>
    <row r="739" spans="1:4" x14ac:dyDescent="0.3">
      <c r="A739" s="43">
        <v>29136626</v>
      </c>
      <c r="B739" s="43">
        <v>60000000</v>
      </c>
      <c r="D739">
        <f t="shared" si="11"/>
        <v>-30863374</v>
      </c>
    </row>
    <row r="740" spans="1:4" x14ac:dyDescent="0.3">
      <c r="A740" s="42">
        <v>26288320</v>
      </c>
      <c r="B740" s="42">
        <v>60000000</v>
      </c>
      <c r="D740">
        <f t="shared" si="11"/>
        <v>-33711680</v>
      </c>
    </row>
    <row r="741" spans="1:4" x14ac:dyDescent="0.3">
      <c r="A741" s="43">
        <v>26616590</v>
      </c>
      <c r="B741" s="43">
        <v>60000000</v>
      </c>
      <c r="D741">
        <f t="shared" si="11"/>
        <v>-33383410</v>
      </c>
    </row>
    <row r="742" spans="1:4" x14ac:dyDescent="0.3">
      <c r="A742" s="42">
        <v>30063805</v>
      </c>
      <c r="B742" s="42">
        <v>60000000</v>
      </c>
      <c r="D742">
        <f t="shared" si="11"/>
        <v>-29936195</v>
      </c>
    </row>
    <row r="743" spans="1:4" x14ac:dyDescent="0.3">
      <c r="A743" s="43">
        <v>22518325</v>
      </c>
      <c r="B743" s="43">
        <v>50000000</v>
      </c>
      <c r="D743">
        <f t="shared" si="11"/>
        <v>-27481675</v>
      </c>
    </row>
    <row r="744" spans="1:4" x14ac:dyDescent="0.3">
      <c r="A744" s="42">
        <v>13082288</v>
      </c>
      <c r="B744" s="42">
        <v>60000000</v>
      </c>
      <c r="D744">
        <f t="shared" si="11"/>
        <v>-46917712</v>
      </c>
    </row>
    <row r="745" spans="1:4" x14ac:dyDescent="0.3">
      <c r="A745" s="43">
        <v>18208078</v>
      </c>
      <c r="B745" s="43">
        <v>60000000</v>
      </c>
      <c r="D745">
        <f t="shared" si="11"/>
        <v>-41791922</v>
      </c>
    </row>
    <row r="746" spans="1:4" x14ac:dyDescent="0.3">
      <c r="A746" s="42">
        <v>14218868</v>
      </c>
      <c r="B746" s="42">
        <v>65000000</v>
      </c>
      <c r="D746">
        <f t="shared" si="11"/>
        <v>-50781132</v>
      </c>
    </row>
    <row r="747" spans="1:4" x14ac:dyDescent="0.3">
      <c r="A747" s="43">
        <v>22451</v>
      </c>
      <c r="B747" s="43">
        <v>60000000</v>
      </c>
      <c r="D747">
        <f t="shared" si="11"/>
        <v>-59977549</v>
      </c>
    </row>
    <row r="748" spans="1:4" x14ac:dyDescent="0.3">
      <c r="A748" s="42">
        <v>31165421</v>
      </c>
      <c r="B748" s="42">
        <v>60000000</v>
      </c>
      <c r="D748">
        <f t="shared" si="11"/>
        <v>-28834579</v>
      </c>
    </row>
    <row r="749" spans="1:4" x14ac:dyDescent="0.3">
      <c r="A749" s="43">
        <v>25472967</v>
      </c>
      <c r="B749" s="43">
        <v>30000000</v>
      </c>
      <c r="D749">
        <f t="shared" si="11"/>
        <v>-4527033</v>
      </c>
    </row>
    <row r="750" spans="1:4" x14ac:dyDescent="0.3">
      <c r="A750" s="42">
        <v>22362500</v>
      </c>
      <c r="B750" s="42">
        <v>55000000</v>
      </c>
      <c r="D750">
        <f t="shared" si="11"/>
        <v>-32637500</v>
      </c>
    </row>
    <row r="751" spans="1:4" x14ac:dyDescent="0.3">
      <c r="A751" s="43">
        <v>17281832</v>
      </c>
      <c r="B751" s="43">
        <v>60000000</v>
      </c>
      <c r="D751">
        <f t="shared" si="11"/>
        <v>-42718168</v>
      </c>
    </row>
    <row r="752" spans="1:4" x14ac:dyDescent="0.3">
      <c r="A752" s="42">
        <v>19781879</v>
      </c>
      <c r="B752" s="42">
        <v>60000000</v>
      </c>
      <c r="D752">
        <f t="shared" si="11"/>
        <v>-40218121</v>
      </c>
    </row>
    <row r="753" spans="1:4" x14ac:dyDescent="0.3">
      <c r="A753" s="43">
        <v>7605668</v>
      </c>
      <c r="B753" s="43">
        <v>60000000</v>
      </c>
      <c r="D753">
        <f t="shared" si="11"/>
        <v>-52394332</v>
      </c>
    </row>
    <row r="754" spans="1:4" x14ac:dyDescent="0.3">
      <c r="A754" s="42">
        <v>4535117</v>
      </c>
      <c r="B754" s="42">
        <v>60000000</v>
      </c>
      <c r="D754">
        <f t="shared" si="11"/>
        <v>-55464883</v>
      </c>
    </row>
    <row r="755" spans="1:4" x14ac:dyDescent="0.3">
      <c r="A755" s="43">
        <v>4426297</v>
      </c>
      <c r="B755" s="43">
        <v>35000000</v>
      </c>
      <c r="D755">
        <f t="shared" si="11"/>
        <v>-30573703</v>
      </c>
    </row>
    <row r="756" spans="1:4" x14ac:dyDescent="0.3">
      <c r="A756" s="42">
        <v>10166502</v>
      </c>
      <c r="B756" s="42">
        <v>80000000</v>
      </c>
      <c r="D756">
        <f t="shared" si="11"/>
        <v>-69833498</v>
      </c>
    </row>
    <row r="757" spans="1:4" x14ac:dyDescent="0.3">
      <c r="A757" s="43">
        <v>363024263</v>
      </c>
      <c r="B757" s="43">
        <v>58000000</v>
      </c>
      <c r="D757">
        <f t="shared" si="11"/>
        <v>305024263</v>
      </c>
    </row>
    <row r="758" spans="1:4" x14ac:dyDescent="0.3">
      <c r="A758" s="42">
        <v>12065985</v>
      </c>
      <c r="B758" s="42">
        <v>60000000</v>
      </c>
      <c r="D758">
        <f t="shared" si="11"/>
        <v>-47934015</v>
      </c>
    </row>
    <row r="759" spans="1:4" x14ac:dyDescent="0.3">
      <c r="A759" s="43">
        <v>350123553</v>
      </c>
      <c r="B759" s="43">
        <v>58800000</v>
      </c>
      <c r="D759">
        <f t="shared" si="11"/>
        <v>291323553</v>
      </c>
    </row>
    <row r="760" spans="1:4" x14ac:dyDescent="0.3">
      <c r="A760" s="42">
        <v>80021740</v>
      </c>
      <c r="B760" s="42">
        <v>58000000</v>
      </c>
      <c r="D760">
        <f t="shared" si="11"/>
        <v>22021740</v>
      </c>
    </row>
    <row r="761" spans="1:4" x14ac:dyDescent="0.3">
      <c r="A761" s="43">
        <v>48291624</v>
      </c>
      <c r="B761" s="43">
        <v>58000000</v>
      </c>
      <c r="D761">
        <f t="shared" si="11"/>
        <v>-9708376</v>
      </c>
    </row>
    <row r="762" spans="1:4" x14ac:dyDescent="0.3">
      <c r="A762" s="42">
        <v>35231365</v>
      </c>
      <c r="B762" s="42">
        <v>60000000</v>
      </c>
      <c r="D762">
        <f t="shared" si="11"/>
        <v>-24768635</v>
      </c>
    </row>
    <row r="763" spans="1:4" x14ac:dyDescent="0.3">
      <c r="A763" s="43">
        <v>53715611</v>
      </c>
      <c r="B763" s="43">
        <v>63000000</v>
      </c>
      <c r="D763">
        <f t="shared" si="11"/>
        <v>-9284389</v>
      </c>
    </row>
    <row r="764" spans="1:4" x14ac:dyDescent="0.3">
      <c r="A764" s="42">
        <v>31199215</v>
      </c>
      <c r="B764" s="42">
        <v>58000000</v>
      </c>
      <c r="D764">
        <f t="shared" si="11"/>
        <v>-26800785</v>
      </c>
    </row>
    <row r="765" spans="1:4" x14ac:dyDescent="0.3">
      <c r="A765" s="43">
        <v>29580087</v>
      </c>
      <c r="B765" s="43">
        <v>58000000</v>
      </c>
      <c r="D765">
        <f t="shared" si="11"/>
        <v>-28419913</v>
      </c>
    </row>
    <row r="766" spans="1:4" x14ac:dyDescent="0.3">
      <c r="A766" s="42">
        <v>44665963</v>
      </c>
      <c r="B766" s="42">
        <v>58000000</v>
      </c>
      <c r="D766">
        <f t="shared" si="11"/>
        <v>-13334037</v>
      </c>
    </row>
    <row r="767" spans="1:4" x14ac:dyDescent="0.3">
      <c r="A767" s="43">
        <v>60128566</v>
      </c>
      <c r="B767" s="43">
        <v>60000000</v>
      </c>
      <c r="D767">
        <f t="shared" si="11"/>
        <v>128566</v>
      </c>
    </row>
    <row r="768" spans="1:4" x14ac:dyDescent="0.3">
      <c r="A768" s="42">
        <v>49875589</v>
      </c>
      <c r="B768" s="42">
        <v>58000000</v>
      </c>
      <c r="D768">
        <f t="shared" si="11"/>
        <v>-8124411</v>
      </c>
    </row>
    <row r="769" spans="1:4" x14ac:dyDescent="0.3">
      <c r="A769" s="43">
        <v>60984028</v>
      </c>
      <c r="B769" s="43">
        <v>57000000</v>
      </c>
      <c r="D769">
        <f t="shared" si="11"/>
        <v>3984028</v>
      </c>
    </row>
    <row r="770" spans="1:4" x14ac:dyDescent="0.3">
      <c r="A770" s="42">
        <v>36931089</v>
      </c>
      <c r="B770" s="42">
        <v>70000000</v>
      </c>
      <c r="D770">
        <f t="shared" ref="D770:D833" si="12">A770-B770</f>
        <v>-33068911</v>
      </c>
    </row>
    <row r="771" spans="1:4" x14ac:dyDescent="0.3">
      <c r="A771" s="43">
        <v>51317350</v>
      </c>
      <c r="B771" s="43">
        <v>57000000</v>
      </c>
      <c r="D771">
        <f t="shared" si="12"/>
        <v>-5682650</v>
      </c>
    </row>
    <row r="772" spans="1:4" x14ac:dyDescent="0.3">
      <c r="A772" s="42">
        <v>28328132</v>
      </c>
      <c r="B772" s="42">
        <v>58000000</v>
      </c>
      <c r="D772">
        <f t="shared" si="12"/>
        <v>-29671868</v>
      </c>
    </row>
    <row r="773" spans="1:4" x14ac:dyDescent="0.3">
      <c r="A773" s="43">
        <v>51774002</v>
      </c>
      <c r="B773" s="43">
        <v>57000000</v>
      </c>
      <c r="D773">
        <f t="shared" si="12"/>
        <v>-5225998</v>
      </c>
    </row>
    <row r="774" spans="1:4" x14ac:dyDescent="0.3">
      <c r="A774" s="42">
        <v>25528495</v>
      </c>
      <c r="B774" s="42">
        <v>57000000</v>
      </c>
      <c r="D774">
        <f t="shared" si="12"/>
        <v>-31471505</v>
      </c>
    </row>
    <row r="775" spans="1:4" x14ac:dyDescent="0.3">
      <c r="A775" s="43">
        <v>113006880</v>
      </c>
      <c r="B775" s="43">
        <v>56000000</v>
      </c>
      <c r="D775">
        <f t="shared" si="12"/>
        <v>57006880</v>
      </c>
    </row>
    <row r="776" spans="1:4" x14ac:dyDescent="0.3">
      <c r="A776" s="42">
        <v>45860039</v>
      </c>
      <c r="B776" s="42">
        <v>56000000</v>
      </c>
      <c r="D776">
        <f t="shared" si="12"/>
        <v>-10139961</v>
      </c>
    </row>
    <row r="777" spans="1:4" x14ac:dyDescent="0.3">
      <c r="A777" s="43">
        <v>329691196</v>
      </c>
      <c r="B777" s="43">
        <v>55000000</v>
      </c>
      <c r="D777">
        <f t="shared" si="12"/>
        <v>274691196</v>
      </c>
    </row>
    <row r="778" spans="1:4" x14ac:dyDescent="0.3">
      <c r="A778" s="42">
        <v>217326336</v>
      </c>
      <c r="B778" s="42">
        <v>60000000</v>
      </c>
      <c r="D778">
        <f t="shared" si="12"/>
        <v>157326336</v>
      </c>
    </row>
    <row r="779" spans="1:4" x14ac:dyDescent="0.3">
      <c r="A779" s="43">
        <v>166225040</v>
      </c>
      <c r="B779" s="43">
        <v>55000000</v>
      </c>
      <c r="D779">
        <f t="shared" si="12"/>
        <v>111225040</v>
      </c>
    </row>
    <row r="780" spans="1:4" x14ac:dyDescent="0.3">
      <c r="A780" s="42">
        <v>141600000</v>
      </c>
      <c r="B780" s="42">
        <v>55000000</v>
      </c>
      <c r="D780">
        <f t="shared" si="12"/>
        <v>86600000</v>
      </c>
    </row>
    <row r="781" spans="1:4" x14ac:dyDescent="0.3">
      <c r="A781" s="43">
        <v>134218018</v>
      </c>
      <c r="B781" s="43">
        <v>55000000</v>
      </c>
      <c r="D781">
        <f t="shared" si="12"/>
        <v>79218018</v>
      </c>
    </row>
    <row r="782" spans="1:4" x14ac:dyDescent="0.3">
      <c r="A782" s="42">
        <v>128769345</v>
      </c>
      <c r="B782" s="42">
        <v>54000000</v>
      </c>
      <c r="D782">
        <f t="shared" si="12"/>
        <v>74769345</v>
      </c>
    </row>
    <row r="783" spans="1:4" x14ac:dyDescent="0.3">
      <c r="A783" s="43">
        <v>177575142</v>
      </c>
      <c r="B783" s="43">
        <v>70000000</v>
      </c>
      <c r="D783">
        <f t="shared" si="12"/>
        <v>107575142</v>
      </c>
    </row>
    <row r="784" spans="1:4" x14ac:dyDescent="0.3">
      <c r="A784" s="42">
        <v>105263257</v>
      </c>
      <c r="B784" s="42">
        <v>55000000</v>
      </c>
      <c r="D784">
        <f t="shared" si="12"/>
        <v>50263257</v>
      </c>
    </row>
    <row r="785" spans="1:4" x14ac:dyDescent="0.3">
      <c r="A785" s="43">
        <v>104354205</v>
      </c>
      <c r="B785" s="43">
        <v>55000000</v>
      </c>
      <c r="D785">
        <f t="shared" si="12"/>
        <v>49354205</v>
      </c>
    </row>
    <row r="786" spans="1:4" x14ac:dyDescent="0.3">
      <c r="A786" s="42">
        <v>107100855</v>
      </c>
      <c r="B786" s="42">
        <v>55000000</v>
      </c>
      <c r="D786">
        <f t="shared" si="12"/>
        <v>52100855</v>
      </c>
    </row>
    <row r="787" spans="1:4" x14ac:dyDescent="0.3">
      <c r="A787" s="43">
        <v>98711404</v>
      </c>
      <c r="B787" s="43">
        <v>55000000</v>
      </c>
      <c r="D787">
        <f t="shared" si="12"/>
        <v>43711404</v>
      </c>
    </row>
    <row r="788" spans="1:4" x14ac:dyDescent="0.3">
      <c r="A788" s="42">
        <v>100328194</v>
      </c>
      <c r="B788" s="42">
        <v>50000000</v>
      </c>
      <c r="D788">
        <f t="shared" si="12"/>
        <v>50328194</v>
      </c>
    </row>
    <row r="789" spans="1:4" x14ac:dyDescent="0.3">
      <c r="A789" s="43">
        <v>101530738</v>
      </c>
      <c r="B789" s="43">
        <v>55000000</v>
      </c>
      <c r="D789">
        <f t="shared" si="12"/>
        <v>46530738</v>
      </c>
    </row>
    <row r="790" spans="1:4" x14ac:dyDescent="0.3">
      <c r="A790" s="42">
        <v>93815117</v>
      </c>
      <c r="B790" s="42">
        <v>55000000</v>
      </c>
      <c r="D790">
        <f t="shared" si="12"/>
        <v>38815117</v>
      </c>
    </row>
    <row r="791" spans="1:4" x14ac:dyDescent="0.3">
      <c r="A791" s="43">
        <v>91400000</v>
      </c>
      <c r="B791" s="43">
        <v>53000000</v>
      </c>
      <c r="D791">
        <f t="shared" si="12"/>
        <v>38400000</v>
      </c>
    </row>
    <row r="792" spans="1:4" x14ac:dyDescent="0.3">
      <c r="A792" s="42">
        <v>162586036</v>
      </c>
      <c r="B792" s="42">
        <v>55000000</v>
      </c>
      <c r="D792">
        <f t="shared" si="12"/>
        <v>107586036</v>
      </c>
    </row>
    <row r="793" spans="1:4" x14ac:dyDescent="0.3">
      <c r="A793" s="43">
        <v>89706988</v>
      </c>
      <c r="B793" s="43">
        <v>55000000</v>
      </c>
      <c r="D793">
        <f t="shared" si="12"/>
        <v>34706988</v>
      </c>
    </row>
    <row r="794" spans="1:4" x14ac:dyDescent="0.3">
      <c r="A794" s="42">
        <v>83000000</v>
      </c>
      <c r="B794" s="42">
        <v>55000000</v>
      </c>
      <c r="D794">
        <f t="shared" si="12"/>
        <v>28000000</v>
      </c>
    </row>
    <row r="795" spans="1:4" x14ac:dyDescent="0.3">
      <c r="A795" s="43">
        <v>78745923</v>
      </c>
      <c r="B795" s="43">
        <v>55000000</v>
      </c>
      <c r="D795">
        <f t="shared" si="12"/>
        <v>23745923</v>
      </c>
    </row>
    <row r="796" spans="1:4" x14ac:dyDescent="0.3">
      <c r="A796" s="42">
        <v>70098138</v>
      </c>
      <c r="B796" s="42">
        <v>30000000</v>
      </c>
      <c r="D796">
        <f t="shared" si="12"/>
        <v>40098138</v>
      </c>
    </row>
    <row r="797" spans="1:4" x14ac:dyDescent="0.3">
      <c r="A797" s="43">
        <v>66365290</v>
      </c>
      <c r="B797" s="43">
        <v>55000000</v>
      </c>
      <c r="D797">
        <f t="shared" si="12"/>
        <v>11365290</v>
      </c>
    </row>
    <row r="798" spans="1:4" x14ac:dyDescent="0.3">
      <c r="A798" s="42">
        <v>66207920</v>
      </c>
      <c r="B798" s="42">
        <v>30000000</v>
      </c>
      <c r="D798">
        <f t="shared" si="12"/>
        <v>36207920</v>
      </c>
    </row>
    <row r="799" spans="1:4" x14ac:dyDescent="0.3">
      <c r="A799" s="43">
        <v>63408614</v>
      </c>
      <c r="B799" s="43">
        <v>55000000</v>
      </c>
      <c r="D799">
        <f t="shared" si="12"/>
        <v>8408614</v>
      </c>
    </row>
    <row r="800" spans="1:4" x14ac:dyDescent="0.3">
      <c r="A800" s="42">
        <v>58422650</v>
      </c>
      <c r="B800" s="42">
        <v>55000000</v>
      </c>
      <c r="D800">
        <f t="shared" si="12"/>
        <v>3422650</v>
      </c>
    </row>
    <row r="801" spans="1:4" x14ac:dyDescent="0.3">
      <c r="A801" s="43">
        <v>56932305</v>
      </c>
      <c r="B801" s="43">
        <v>55000000</v>
      </c>
      <c r="D801">
        <f t="shared" si="12"/>
        <v>1932305</v>
      </c>
    </row>
    <row r="802" spans="1:4" x14ac:dyDescent="0.3">
      <c r="A802" s="42">
        <v>68750000</v>
      </c>
      <c r="B802" s="42">
        <v>55000000</v>
      </c>
      <c r="D802">
        <f t="shared" si="12"/>
        <v>13750000</v>
      </c>
    </row>
    <row r="803" spans="1:4" x14ac:dyDescent="0.3">
      <c r="A803" s="43">
        <v>68218041</v>
      </c>
      <c r="B803" s="43">
        <v>55000000</v>
      </c>
      <c r="D803">
        <f t="shared" si="12"/>
        <v>13218041</v>
      </c>
    </row>
    <row r="804" spans="1:4" x14ac:dyDescent="0.3">
      <c r="A804" s="42">
        <v>25040293</v>
      </c>
      <c r="B804" s="42">
        <v>55000000</v>
      </c>
      <c r="D804">
        <f t="shared" si="12"/>
        <v>-29959707</v>
      </c>
    </row>
    <row r="805" spans="1:4" x14ac:dyDescent="0.3">
      <c r="A805" s="43">
        <v>55747724</v>
      </c>
      <c r="B805" s="43">
        <v>55000000</v>
      </c>
      <c r="D805">
        <f t="shared" si="12"/>
        <v>747724</v>
      </c>
    </row>
    <row r="806" spans="1:4" x14ac:dyDescent="0.3">
      <c r="A806" s="42">
        <v>55473600</v>
      </c>
      <c r="B806" s="42">
        <v>50000000</v>
      </c>
      <c r="D806">
        <f t="shared" si="12"/>
        <v>5473600</v>
      </c>
    </row>
    <row r="807" spans="1:4" x14ac:dyDescent="0.3">
      <c r="A807" s="43">
        <v>41609593</v>
      </c>
      <c r="B807" s="43">
        <v>55000000</v>
      </c>
      <c r="D807">
        <f t="shared" si="12"/>
        <v>-13390407</v>
      </c>
    </row>
    <row r="808" spans="1:4" x14ac:dyDescent="0.3">
      <c r="A808" s="42">
        <v>38553833</v>
      </c>
      <c r="B808" s="42">
        <v>55000000</v>
      </c>
      <c r="D808">
        <f t="shared" si="12"/>
        <v>-16446167</v>
      </c>
    </row>
    <row r="809" spans="1:4" x14ac:dyDescent="0.3">
      <c r="A809" s="43">
        <v>76137505</v>
      </c>
      <c r="B809" s="43">
        <v>55000000</v>
      </c>
      <c r="D809">
        <f t="shared" si="12"/>
        <v>21137505</v>
      </c>
    </row>
    <row r="810" spans="1:4" x14ac:dyDescent="0.3">
      <c r="A810" s="42">
        <v>34350553</v>
      </c>
      <c r="B810" s="42">
        <v>68000000</v>
      </c>
      <c r="D810">
        <f t="shared" si="12"/>
        <v>-33649447</v>
      </c>
    </row>
    <row r="811" spans="1:4" x14ac:dyDescent="0.3">
      <c r="A811" s="43">
        <v>34238611</v>
      </c>
      <c r="B811" s="43">
        <v>55000000</v>
      </c>
      <c r="D811">
        <f t="shared" si="12"/>
        <v>-20761389</v>
      </c>
    </row>
    <row r="812" spans="1:4" x14ac:dyDescent="0.3">
      <c r="A812" s="42">
        <v>34098563</v>
      </c>
      <c r="B812" s="42">
        <v>55000000</v>
      </c>
      <c r="D812">
        <f t="shared" si="12"/>
        <v>-20901437</v>
      </c>
    </row>
    <row r="813" spans="1:4" x14ac:dyDescent="0.3">
      <c r="A813" s="43">
        <v>33828318</v>
      </c>
      <c r="B813" s="43">
        <v>55000000</v>
      </c>
      <c r="D813">
        <f t="shared" si="12"/>
        <v>-21171682</v>
      </c>
    </row>
    <row r="814" spans="1:4" x14ac:dyDescent="0.3">
      <c r="A814" s="42">
        <v>33472850</v>
      </c>
      <c r="B814" s="42">
        <v>55000000</v>
      </c>
      <c r="D814">
        <f t="shared" si="12"/>
        <v>-21527150</v>
      </c>
    </row>
    <row r="815" spans="1:4" x14ac:dyDescent="0.3">
      <c r="A815" s="43">
        <v>31051126</v>
      </c>
      <c r="B815" s="43">
        <v>55000000</v>
      </c>
      <c r="D815">
        <f t="shared" si="12"/>
        <v>-23948874</v>
      </c>
    </row>
    <row r="816" spans="1:4" x14ac:dyDescent="0.3">
      <c r="A816" s="42">
        <v>20550712</v>
      </c>
      <c r="B816" s="42">
        <v>50000000</v>
      </c>
      <c r="D816">
        <f t="shared" si="12"/>
        <v>-29449288</v>
      </c>
    </row>
    <row r="817" spans="1:4" x14ac:dyDescent="0.3">
      <c r="A817" s="43">
        <v>18573791</v>
      </c>
      <c r="B817" s="43">
        <v>55000000</v>
      </c>
      <c r="D817">
        <f t="shared" si="12"/>
        <v>-36426209</v>
      </c>
    </row>
    <row r="818" spans="1:4" x14ac:dyDescent="0.3">
      <c r="A818" s="42">
        <v>51225796</v>
      </c>
      <c r="B818" s="42">
        <v>70000000</v>
      </c>
      <c r="D818">
        <f t="shared" si="12"/>
        <v>-18774204</v>
      </c>
    </row>
    <row r="819" spans="1:4" x14ac:dyDescent="0.3">
      <c r="A819" s="43">
        <v>16264475</v>
      </c>
      <c r="B819" s="43">
        <v>55000000</v>
      </c>
      <c r="D819">
        <f t="shared" si="12"/>
        <v>-38735525</v>
      </c>
    </row>
    <row r="820" spans="1:4" x14ac:dyDescent="0.3">
      <c r="A820" s="42">
        <v>25857987</v>
      </c>
      <c r="B820" s="42">
        <v>62000000</v>
      </c>
      <c r="D820">
        <f t="shared" si="12"/>
        <v>-36142013</v>
      </c>
    </row>
    <row r="821" spans="1:4" x14ac:dyDescent="0.3">
      <c r="A821" s="43">
        <v>12870569</v>
      </c>
      <c r="B821" s="43">
        <v>56000000</v>
      </c>
      <c r="D821">
        <f t="shared" si="12"/>
        <v>-43129431</v>
      </c>
    </row>
    <row r="822" spans="1:4" x14ac:dyDescent="0.3">
      <c r="A822" s="42">
        <v>16088610</v>
      </c>
      <c r="B822" s="42">
        <v>55000000</v>
      </c>
      <c r="D822">
        <f t="shared" si="12"/>
        <v>-38911390</v>
      </c>
    </row>
    <row r="823" spans="1:4" x14ac:dyDescent="0.3">
      <c r="A823" s="43">
        <v>51178893</v>
      </c>
      <c r="B823" s="43">
        <v>50000000</v>
      </c>
      <c r="D823">
        <f t="shared" si="12"/>
        <v>1178893</v>
      </c>
    </row>
    <row r="824" spans="1:4" x14ac:dyDescent="0.3">
      <c r="A824" s="42">
        <v>6768055</v>
      </c>
      <c r="B824" s="42">
        <v>57000000</v>
      </c>
      <c r="D824">
        <f t="shared" si="12"/>
        <v>-50231945</v>
      </c>
    </row>
    <row r="825" spans="1:4" x14ac:dyDescent="0.3">
      <c r="A825" s="43">
        <v>39440655</v>
      </c>
      <c r="B825" s="43">
        <v>55000000</v>
      </c>
      <c r="D825">
        <f t="shared" si="12"/>
        <v>-15559345</v>
      </c>
    </row>
    <row r="826" spans="1:4" x14ac:dyDescent="0.3">
      <c r="A826" s="42">
        <v>6167817</v>
      </c>
      <c r="B826" s="42">
        <v>47000000</v>
      </c>
      <c r="D826">
        <f t="shared" si="12"/>
        <v>-40832183</v>
      </c>
    </row>
    <row r="827" spans="1:4" x14ac:dyDescent="0.3">
      <c r="A827" s="43">
        <v>81645152</v>
      </c>
      <c r="B827" s="43">
        <v>54000000</v>
      </c>
      <c r="D827">
        <f t="shared" si="12"/>
        <v>27645152</v>
      </c>
    </row>
    <row r="828" spans="1:4" x14ac:dyDescent="0.3">
      <c r="A828" s="42">
        <v>69951824</v>
      </c>
      <c r="B828" s="42">
        <v>55000000</v>
      </c>
      <c r="D828">
        <f t="shared" si="12"/>
        <v>14951824</v>
      </c>
    </row>
    <row r="829" spans="1:4" x14ac:dyDescent="0.3">
      <c r="A829" s="43">
        <v>9483821</v>
      </c>
      <c r="B829" s="43">
        <v>55000000</v>
      </c>
      <c r="D829">
        <f t="shared" si="12"/>
        <v>-45516179</v>
      </c>
    </row>
    <row r="830" spans="1:4" x14ac:dyDescent="0.3">
      <c r="A830" s="42">
        <v>66676062</v>
      </c>
      <c r="B830" s="42">
        <v>54000000</v>
      </c>
      <c r="D830">
        <f t="shared" si="12"/>
        <v>12676062</v>
      </c>
    </row>
    <row r="831" spans="1:4" x14ac:dyDescent="0.3">
      <c r="A831" s="43">
        <v>26838389</v>
      </c>
      <c r="B831" s="43">
        <v>57000000</v>
      </c>
      <c r="D831">
        <f t="shared" si="12"/>
        <v>-30161611</v>
      </c>
    </row>
    <row r="832" spans="1:4" x14ac:dyDescent="0.3">
      <c r="A832" s="42">
        <v>75604320</v>
      </c>
      <c r="B832" s="42">
        <v>54000000</v>
      </c>
      <c r="D832">
        <f t="shared" si="12"/>
        <v>21604320</v>
      </c>
    </row>
    <row r="833" spans="1:4" x14ac:dyDescent="0.3">
      <c r="A833" s="43">
        <v>108200000</v>
      </c>
      <c r="B833" s="43">
        <v>54000000</v>
      </c>
      <c r="D833">
        <f t="shared" si="12"/>
        <v>54200000</v>
      </c>
    </row>
    <row r="834" spans="1:4" x14ac:dyDescent="0.3">
      <c r="A834" s="42">
        <v>5660084</v>
      </c>
      <c r="B834" s="42">
        <v>54000000</v>
      </c>
      <c r="D834">
        <f t="shared" ref="D834:D897" si="13">A834-B834</f>
        <v>-48339916</v>
      </c>
    </row>
    <row r="835" spans="1:4" x14ac:dyDescent="0.3">
      <c r="A835" s="43">
        <v>7221458</v>
      </c>
      <c r="B835" s="43">
        <v>55000000</v>
      </c>
      <c r="D835">
        <f t="shared" si="13"/>
        <v>-47778542</v>
      </c>
    </row>
    <row r="836" spans="1:4" x14ac:dyDescent="0.3">
      <c r="A836" s="42">
        <v>70327868</v>
      </c>
      <c r="B836" s="42">
        <v>46000000</v>
      </c>
      <c r="D836">
        <f t="shared" si="13"/>
        <v>24327868</v>
      </c>
    </row>
    <row r="837" spans="1:4" x14ac:dyDescent="0.3">
      <c r="A837" s="43">
        <v>58297830</v>
      </c>
      <c r="B837" s="43">
        <v>50000000</v>
      </c>
      <c r="D837">
        <f t="shared" si="13"/>
        <v>8297830</v>
      </c>
    </row>
    <row r="838" spans="1:4" x14ac:dyDescent="0.3">
      <c r="A838" s="42">
        <v>57386369</v>
      </c>
      <c r="B838" s="42">
        <v>52500000</v>
      </c>
      <c r="D838">
        <f t="shared" si="13"/>
        <v>4886369</v>
      </c>
    </row>
    <row r="839" spans="1:4" x14ac:dyDescent="0.3">
      <c r="A839" s="43">
        <v>45207112</v>
      </c>
      <c r="B839" s="43">
        <v>53000000</v>
      </c>
      <c r="D839">
        <f t="shared" si="13"/>
        <v>-7792888</v>
      </c>
    </row>
    <row r="840" spans="1:4" x14ac:dyDescent="0.3">
      <c r="A840" s="42">
        <v>62563543</v>
      </c>
      <c r="B840" s="42">
        <v>53000000</v>
      </c>
      <c r="D840">
        <f t="shared" si="13"/>
        <v>9563543</v>
      </c>
    </row>
    <row r="841" spans="1:4" x14ac:dyDescent="0.3">
      <c r="A841" s="43">
        <v>33574332</v>
      </c>
      <c r="B841" s="43">
        <v>90000000</v>
      </c>
      <c r="D841">
        <f t="shared" si="13"/>
        <v>-56425668</v>
      </c>
    </row>
    <row r="842" spans="1:4" x14ac:dyDescent="0.3">
      <c r="A842" s="42">
        <v>73343413</v>
      </c>
      <c r="B842" s="42">
        <v>50000000</v>
      </c>
      <c r="D842">
        <f t="shared" si="13"/>
        <v>23343413</v>
      </c>
    </row>
    <row r="843" spans="1:4" x14ac:dyDescent="0.3">
      <c r="A843" s="43">
        <v>25031037</v>
      </c>
      <c r="B843" s="43">
        <v>53000000</v>
      </c>
      <c r="D843">
        <f t="shared" si="13"/>
        <v>-27968963</v>
      </c>
    </row>
    <row r="844" spans="1:4" x14ac:dyDescent="0.3">
      <c r="A844" s="42">
        <v>22843047</v>
      </c>
      <c r="B844" s="42">
        <v>55000000</v>
      </c>
      <c r="D844">
        <f t="shared" si="13"/>
        <v>-32156953</v>
      </c>
    </row>
    <row r="845" spans="1:4" x14ac:dyDescent="0.3">
      <c r="A845" s="43">
        <v>164435221</v>
      </c>
      <c r="B845" s="43">
        <v>52000000</v>
      </c>
      <c r="D845">
        <f t="shared" si="13"/>
        <v>112435221</v>
      </c>
    </row>
    <row r="846" spans="1:4" x14ac:dyDescent="0.3">
      <c r="A846" s="42">
        <v>95720716</v>
      </c>
      <c r="B846" s="42">
        <v>40000000</v>
      </c>
      <c r="D846">
        <f t="shared" si="13"/>
        <v>55720716</v>
      </c>
    </row>
    <row r="847" spans="1:4" x14ac:dyDescent="0.3">
      <c r="A847" s="43">
        <v>118683135</v>
      </c>
      <c r="B847" s="43">
        <v>52000000</v>
      </c>
      <c r="D847">
        <f t="shared" si="13"/>
        <v>66683135</v>
      </c>
    </row>
    <row r="848" spans="1:4" x14ac:dyDescent="0.3">
      <c r="A848" s="42">
        <v>143704210</v>
      </c>
      <c r="B848" s="42">
        <v>52000000</v>
      </c>
      <c r="D848">
        <f t="shared" si="13"/>
        <v>91704210</v>
      </c>
    </row>
    <row r="849" spans="1:4" x14ac:dyDescent="0.3">
      <c r="A849" s="43">
        <v>110476776</v>
      </c>
      <c r="B849" s="43">
        <v>52000000</v>
      </c>
      <c r="D849">
        <f t="shared" si="13"/>
        <v>58476776</v>
      </c>
    </row>
    <row r="850" spans="1:4" x14ac:dyDescent="0.3">
      <c r="A850" s="42">
        <v>80270227</v>
      </c>
      <c r="B850" s="42">
        <v>50000000</v>
      </c>
      <c r="D850">
        <f t="shared" si="13"/>
        <v>30270227</v>
      </c>
    </row>
    <row r="851" spans="1:4" x14ac:dyDescent="0.3">
      <c r="A851" s="43">
        <v>36385763</v>
      </c>
      <c r="B851" s="43">
        <v>52000000</v>
      </c>
      <c r="D851">
        <f t="shared" si="13"/>
        <v>-15614237</v>
      </c>
    </row>
    <row r="852" spans="1:4" x14ac:dyDescent="0.3">
      <c r="A852" s="42">
        <v>37035845</v>
      </c>
      <c r="B852" s="42">
        <v>52000000</v>
      </c>
      <c r="D852">
        <f t="shared" si="13"/>
        <v>-14964155</v>
      </c>
    </row>
    <row r="853" spans="1:4" x14ac:dyDescent="0.3">
      <c r="A853" s="43">
        <v>34580635</v>
      </c>
      <c r="B853" s="43">
        <v>52000000</v>
      </c>
      <c r="D853">
        <f t="shared" si="13"/>
        <v>-17419365</v>
      </c>
    </row>
    <row r="854" spans="1:4" x14ac:dyDescent="0.3">
      <c r="A854" s="42">
        <v>42438300</v>
      </c>
      <c r="B854" s="42">
        <v>52000000</v>
      </c>
      <c r="D854">
        <f t="shared" si="13"/>
        <v>-9561700</v>
      </c>
    </row>
    <row r="855" spans="1:4" x14ac:dyDescent="0.3">
      <c r="A855" s="43">
        <v>23324666</v>
      </c>
      <c r="B855" s="43">
        <v>52000000</v>
      </c>
      <c r="D855">
        <f t="shared" si="13"/>
        <v>-28675334</v>
      </c>
    </row>
    <row r="856" spans="1:4" x14ac:dyDescent="0.3">
      <c r="A856" s="42">
        <v>23020488</v>
      </c>
      <c r="B856" s="42">
        <v>52000000</v>
      </c>
      <c r="D856">
        <f t="shared" si="13"/>
        <v>-28979512</v>
      </c>
    </row>
    <row r="857" spans="1:4" x14ac:dyDescent="0.3">
      <c r="A857" s="43">
        <v>90567722</v>
      </c>
      <c r="B857" s="43">
        <v>51000000</v>
      </c>
      <c r="D857">
        <f t="shared" si="13"/>
        <v>39567722</v>
      </c>
    </row>
    <row r="858" spans="1:4" x14ac:dyDescent="0.3">
      <c r="A858" s="42">
        <v>72601713</v>
      </c>
      <c r="B858" s="42">
        <v>51000000</v>
      </c>
      <c r="D858">
        <f t="shared" si="13"/>
        <v>21601713</v>
      </c>
    </row>
    <row r="859" spans="1:4" x14ac:dyDescent="0.3">
      <c r="A859" s="43">
        <v>296623634</v>
      </c>
      <c r="B859" s="43">
        <v>50000000</v>
      </c>
      <c r="D859">
        <f t="shared" si="13"/>
        <v>246623634</v>
      </c>
    </row>
    <row r="860" spans="1:4" x14ac:dyDescent="0.3">
      <c r="A860" s="42">
        <v>267652016</v>
      </c>
      <c r="B860" s="42">
        <v>60000000</v>
      </c>
      <c r="D860">
        <f t="shared" si="13"/>
        <v>207652016</v>
      </c>
    </row>
    <row r="861" spans="1:4" x14ac:dyDescent="0.3">
      <c r="A861" s="43">
        <v>62453315</v>
      </c>
      <c r="B861" s="43">
        <v>50200000</v>
      </c>
      <c r="D861">
        <f t="shared" si="13"/>
        <v>12253315</v>
      </c>
    </row>
    <row r="862" spans="1:4" x14ac:dyDescent="0.3">
      <c r="A862" s="42">
        <v>165500000</v>
      </c>
      <c r="B862" s="42">
        <v>48000000</v>
      </c>
      <c r="D862">
        <f t="shared" si="13"/>
        <v>117500000</v>
      </c>
    </row>
    <row r="863" spans="1:4" x14ac:dyDescent="0.3">
      <c r="A863" s="43">
        <v>153620822</v>
      </c>
      <c r="B863" s="43">
        <v>50000000</v>
      </c>
      <c r="D863">
        <f t="shared" si="13"/>
        <v>103620822</v>
      </c>
    </row>
    <row r="864" spans="1:4" x14ac:dyDescent="0.3">
      <c r="A864" s="42">
        <v>218628680</v>
      </c>
      <c r="B864" s="42">
        <v>50000000</v>
      </c>
      <c r="D864">
        <f t="shared" si="13"/>
        <v>168628680</v>
      </c>
    </row>
    <row r="865" spans="1:4" x14ac:dyDescent="0.3">
      <c r="A865" s="43">
        <v>147637474</v>
      </c>
      <c r="B865" s="43">
        <v>50000000</v>
      </c>
      <c r="D865">
        <f t="shared" si="13"/>
        <v>97637474</v>
      </c>
    </row>
    <row r="866" spans="1:4" x14ac:dyDescent="0.3">
      <c r="A866" s="42">
        <v>135014968</v>
      </c>
      <c r="B866" s="42">
        <v>50000000</v>
      </c>
      <c r="D866">
        <f t="shared" si="13"/>
        <v>85014968</v>
      </c>
    </row>
    <row r="867" spans="1:4" x14ac:dyDescent="0.3">
      <c r="A867" s="43">
        <v>2175312</v>
      </c>
      <c r="B867" s="43">
        <v>50000000</v>
      </c>
      <c r="D867">
        <f t="shared" si="13"/>
        <v>-47824688</v>
      </c>
    </row>
    <row r="868" spans="1:4" x14ac:dyDescent="0.3">
      <c r="A868" s="42">
        <v>126203320</v>
      </c>
      <c r="B868" s="42">
        <v>50000000</v>
      </c>
      <c r="D868">
        <f t="shared" si="13"/>
        <v>76203320</v>
      </c>
    </row>
    <row r="869" spans="1:4" x14ac:dyDescent="0.3">
      <c r="A869" s="43">
        <v>126975169</v>
      </c>
      <c r="B869" s="43">
        <v>50000000</v>
      </c>
      <c r="D869">
        <f t="shared" si="13"/>
        <v>76975169</v>
      </c>
    </row>
    <row r="870" spans="1:4" x14ac:dyDescent="0.3">
      <c r="A870" s="42">
        <v>125548685</v>
      </c>
      <c r="B870" s="42">
        <v>52000000</v>
      </c>
      <c r="D870">
        <f t="shared" si="13"/>
        <v>73548685</v>
      </c>
    </row>
    <row r="871" spans="1:4" x14ac:dyDescent="0.3">
      <c r="A871" s="43">
        <v>105807520</v>
      </c>
      <c r="B871" s="43">
        <v>50000000</v>
      </c>
      <c r="D871">
        <f t="shared" si="13"/>
        <v>55807520</v>
      </c>
    </row>
    <row r="872" spans="1:4" x14ac:dyDescent="0.3">
      <c r="A872" s="42">
        <v>191616238</v>
      </c>
      <c r="B872" s="42">
        <v>50000000</v>
      </c>
      <c r="D872">
        <f t="shared" si="13"/>
        <v>141616238</v>
      </c>
    </row>
    <row r="873" spans="1:4" x14ac:dyDescent="0.3">
      <c r="A873" s="43">
        <v>105264608</v>
      </c>
      <c r="B873" s="43">
        <v>60000000</v>
      </c>
      <c r="D873">
        <f t="shared" si="13"/>
        <v>45264608</v>
      </c>
    </row>
    <row r="874" spans="1:4" x14ac:dyDescent="0.3">
      <c r="A874" s="42">
        <v>97680195</v>
      </c>
      <c r="B874" s="42">
        <v>70000000</v>
      </c>
      <c r="D874">
        <f t="shared" si="13"/>
        <v>27680195</v>
      </c>
    </row>
    <row r="875" spans="1:4" x14ac:dyDescent="0.3">
      <c r="A875" s="43">
        <v>126088877</v>
      </c>
      <c r="B875" s="43">
        <v>50000000</v>
      </c>
      <c r="D875">
        <f t="shared" si="13"/>
        <v>76088877</v>
      </c>
    </row>
    <row r="876" spans="1:4" x14ac:dyDescent="0.3">
      <c r="A876" s="42">
        <v>91030827</v>
      </c>
      <c r="B876" s="42">
        <v>50000000</v>
      </c>
      <c r="D876">
        <f t="shared" si="13"/>
        <v>41030827</v>
      </c>
    </row>
    <row r="877" spans="1:4" x14ac:dyDescent="0.3">
      <c r="A877" s="43">
        <v>150315155</v>
      </c>
      <c r="B877" s="43">
        <v>50000000</v>
      </c>
      <c r="D877">
        <f t="shared" si="13"/>
        <v>100315155</v>
      </c>
    </row>
    <row r="878" spans="1:4" x14ac:dyDescent="0.3">
      <c r="A878" s="42">
        <v>127997349</v>
      </c>
      <c r="B878" s="42">
        <v>50000000</v>
      </c>
      <c r="D878">
        <f t="shared" si="13"/>
        <v>77997349</v>
      </c>
    </row>
    <row r="879" spans="1:4" x14ac:dyDescent="0.3">
      <c r="A879" s="43">
        <v>88504640</v>
      </c>
      <c r="B879" s="43">
        <v>45000000</v>
      </c>
      <c r="D879">
        <f t="shared" si="13"/>
        <v>43504640</v>
      </c>
    </row>
    <row r="880" spans="1:4" x14ac:dyDescent="0.3">
      <c r="A880" s="42">
        <v>81517441</v>
      </c>
      <c r="B880" s="42">
        <v>50000000</v>
      </c>
      <c r="D880">
        <f t="shared" si="13"/>
        <v>31517441</v>
      </c>
    </row>
    <row r="881" spans="1:4" x14ac:dyDescent="0.3">
      <c r="A881" s="43">
        <v>81022333</v>
      </c>
      <c r="B881" s="43">
        <v>50000000</v>
      </c>
      <c r="D881">
        <f t="shared" si="13"/>
        <v>31022333</v>
      </c>
    </row>
    <row r="882" spans="1:4" x14ac:dyDescent="0.3">
      <c r="A882" s="42">
        <v>79948113</v>
      </c>
      <c r="B882" s="42">
        <v>50000000</v>
      </c>
      <c r="D882">
        <f t="shared" si="13"/>
        <v>29948113</v>
      </c>
    </row>
    <row r="883" spans="1:4" x14ac:dyDescent="0.3">
      <c r="A883" s="43">
        <v>88658172</v>
      </c>
      <c r="B883" s="43">
        <v>50000000</v>
      </c>
      <c r="D883">
        <f t="shared" si="13"/>
        <v>38658172</v>
      </c>
    </row>
    <row r="884" spans="1:4" x14ac:dyDescent="0.3">
      <c r="A884" s="42">
        <v>84244877</v>
      </c>
      <c r="B884" s="42">
        <v>50000000</v>
      </c>
      <c r="D884">
        <f t="shared" si="13"/>
        <v>34244877</v>
      </c>
    </row>
    <row r="885" spans="1:4" x14ac:dyDescent="0.3">
      <c r="A885" s="43">
        <v>75367693</v>
      </c>
      <c r="B885" s="43">
        <v>35000000</v>
      </c>
      <c r="D885">
        <f t="shared" si="13"/>
        <v>40367693</v>
      </c>
    </row>
    <row r="886" spans="1:4" x14ac:dyDescent="0.3">
      <c r="A886" s="42">
        <v>73701902</v>
      </c>
      <c r="B886" s="42">
        <v>60000000</v>
      </c>
      <c r="D886">
        <f t="shared" si="13"/>
        <v>13701902</v>
      </c>
    </row>
    <row r="887" spans="1:4" x14ac:dyDescent="0.3">
      <c r="A887" s="43">
        <v>75605492</v>
      </c>
      <c r="B887" s="43">
        <v>50000000</v>
      </c>
      <c r="D887">
        <f t="shared" si="13"/>
        <v>25605492</v>
      </c>
    </row>
    <row r="888" spans="1:4" x14ac:dyDescent="0.3">
      <c r="A888" s="42">
        <v>67823573</v>
      </c>
      <c r="B888" s="42">
        <v>50000000</v>
      </c>
      <c r="D888">
        <f t="shared" si="13"/>
        <v>17823573</v>
      </c>
    </row>
    <row r="889" spans="1:4" x14ac:dyDescent="0.3">
      <c r="A889" s="43">
        <v>91439400</v>
      </c>
      <c r="B889" s="43">
        <v>50000000</v>
      </c>
      <c r="D889">
        <f t="shared" si="13"/>
        <v>41439400</v>
      </c>
    </row>
    <row r="890" spans="1:4" x14ac:dyDescent="0.3">
      <c r="A890" s="42">
        <v>67128202</v>
      </c>
      <c r="B890" s="42">
        <v>65000000</v>
      </c>
      <c r="D890">
        <f t="shared" si="13"/>
        <v>2128202</v>
      </c>
    </row>
    <row r="891" spans="1:4" x14ac:dyDescent="0.3">
      <c r="A891" s="43">
        <v>70496802</v>
      </c>
      <c r="B891" s="43">
        <v>54000000</v>
      </c>
      <c r="D891">
        <f t="shared" si="13"/>
        <v>16496802</v>
      </c>
    </row>
    <row r="892" spans="1:4" x14ac:dyDescent="0.3">
      <c r="A892" s="42">
        <v>60470220</v>
      </c>
      <c r="B892" s="42">
        <v>50000000</v>
      </c>
      <c r="D892">
        <f t="shared" si="13"/>
        <v>10470220</v>
      </c>
    </row>
    <row r="893" spans="1:4" x14ac:dyDescent="0.3">
      <c r="A893" s="43">
        <v>58336565</v>
      </c>
      <c r="B893" s="43">
        <v>50000000</v>
      </c>
      <c r="D893">
        <f t="shared" si="13"/>
        <v>8336565</v>
      </c>
    </row>
    <row r="894" spans="1:4" x14ac:dyDescent="0.3">
      <c r="A894" s="42">
        <v>66002004</v>
      </c>
      <c r="B894" s="42">
        <v>50000000</v>
      </c>
      <c r="D894">
        <f t="shared" si="13"/>
        <v>16002004</v>
      </c>
    </row>
    <row r="895" spans="1:4" x14ac:dyDescent="0.3">
      <c r="A895" s="43">
        <v>54997476</v>
      </c>
      <c r="B895" s="43">
        <v>50000000</v>
      </c>
      <c r="D895">
        <f t="shared" si="13"/>
        <v>4997476</v>
      </c>
    </row>
    <row r="896" spans="1:4" x14ac:dyDescent="0.3">
      <c r="A896" s="42">
        <v>55682070</v>
      </c>
      <c r="B896" s="42">
        <v>50000000</v>
      </c>
      <c r="D896">
        <f t="shared" si="13"/>
        <v>5682070</v>
      </c>
    </row>
    <row r="897" spans="1:4" x14ac:dyDescent="0.3">
      <c r="A897" s="43">
        <v>52752475</v>
      </c>
      <c r="B897" s="43">
        <v>50000000</v>
      </c>
      <c r="D897">
        <f t="shared" si="13"/>
        <v>2752475</v>
      </c>
    </row>
    <row r="898" spans="1:4" x14ac:dyDescent="0.3">
      <c r="A898" s="42">
        <v>55092830</v>
      </c>
      <c r="B898" s="42">
        <v>60000000</v>
      </c>
      <c r="D898">
        <f t="shared" ref="D898:D961" si="14">A898-B898</f>
        <v>-4907170</v>
      </c>
    </row>
    <row r="899" spans="1:4" x14ac:dyDescent="0.3">
      <c r="A899" s="43">
        <v>50815288</v>
      </c>
      <c r="B899" s="43">
        <v>50000000</v>
      </c>
      <c r="D899">
        <f t="shared" si="14"/>
        <v>815288</v>
      </c>
    </row>
    <row r="900" spans="1:4" x14ac:dyDescent="0.3">
      <c r="A900" s="42">
        <v>52822418</v>
      </c>
      <c r="B900" s="42">
        <v>50000000</v>
      </c>
      <c r="D900">
        <f t="shared" si="14"/>
        <v>2822418</v>
      </c>
    </row>
    <row r="901" spans="1:4" x14ac:dyDescent="0.3">
      <c r="A901" s="43">
        <v>50150619</v>
      </c>
      <c r="B901" s="43">
        <v>50000000</v>
      </c>
      <c r="D901">
        <f t="shared" si="14"/>
        <v>150619</v>
      </c>
    </row>
    <row r="902" spans="1:4" x14ac:dyDescent="0.3">
      <c r="A902" s="42">
        <v>48745150</v>
      </c>
      <c r="B902" s="42">
        <v>50000000</v>
      </c>
      <c r="D902">
        <f t="shared" si="14"/>
        <v>-1254850</v>
      </c>
    </row>
    <row r="903" spans="1:4" x14ac:dyDescent="0.3">
      <c r="A903" s="43">
        <v>50007168</v>
      </c>
      <c r="B903" s="43">
        <v>50000000</v>
      </c>
      <c r="D903">
        <f t="shared" si="14"/>
        <v>7168</v>
      </c>
    </row>
    <row r="904" spans="1:4" x14ac:dyDescent="0.3">
      <c r="A904" s="42">
        <v>48154732</v>
      </c>
      <c r="B904" s="42">
        <v>50000000</v>
      </c>
      <c r="D904">
        <f t="shared" si="14"/>
        <v>-1845268</v>
      </c>
    </row>
    <row r="905" spans="1:4" x14ac:dyDescent="0.3">
      <c r="A905" s="43">
        <v>48265581</v>
      </c>
      <c r="B905" s="43">
        <v>50000000</v>
      </c>
      <c r="D905">
        <f t="shared" si="14"/>
        <v>-1734419</v>
      </c>
    </row>
    <row r="906" spans="1:4" x14ac:dyDescent="0.3">
      <c r="A906" s="42">
        <v>46982632</v>
      </c>
      <c r="B906" s="42">
        <v>50000000</v>
      </c>
      <c r="D906">
        <f t="shared" si="14"/>
        <v>-3017368</v>
      </c>
    </row>
    <row r="907" spans="1:4" x14ac:dyDescent="0.3">
      <c r="A907" s="43">
        <v>44737059</v>
      </c>
      <c r="B907" s="43">
        <v>50000000</v>
      </c>
      <c r="D907">
        <f t="shared" si="14"/>
        <v>-5262941</v>
      </c>
    </row>
    <row r="908" spans="1:4" x14ac:dyDescent="0.3">
      <c r="A908" s="42">
        <v>56724080</v>
      </c>
      <c r="B908" s="42">
        <v>50000000</v>
      </c>
      <c r="D908">
        <f t="shared" si="14"/>
        <v>6724080</v>
      </c>
    </row>
    <row r="909" spans="1:4" x14ac:dyDescent="0.3">
      <c r="A909" s="43">
        <v>44484065</v>
      </c>
      <c r="B909" s="43">
        <v>50000000</v>
      </c>
      <c r="D909">
        <f t="shared" si="14"/>
        <v>-5515935</v>
      </c>
    </row>
    <row r="910" spans="1:4" x14ac:dyDescent="0.3">
      <c r="A910" s="42">
        <v>47553512</v>
      </c>
      <c r="B910" s="42">
        <v>50000000</v>
      </c>
      <c r="D910">
        <f t="shared" si="14"/>
        <v>-2446488</v>
      </c>
    </row>
    <row r="911" spans="1:4" x14ac:dyDescent="0.3">
      <c r="A911" s="43">
        <v>42610000</v>
      </c>
      <c r="B911" s="43">
        <v>55000000</v>
      </c>
      <c r="D911">
        <f t="shared" si="14"/>
        <v>-12390000</v>
      </c>
    </row>
    <row r="912" spans="1:4" x14ac:dyDescent="0.3">
      <c r="A912" s="42">
        <v>41482207</v>
      </c>
      <c r="B912" s="42">
        <v>50000000</v>
      </c>
      <c r="D912">
        <f t="shared" si="14"/>
        <v>-8517793</v>
      </c>
    </row>
    <row r="913" spans="1:4" x14ac:dyDescent="0.3">
      <c r="A913" s="43">
        <v>47105085</v>
      </c>
      <c r="B913" s="43">
        <v>50000000</v>
      </c>
      <c r="D913">
        <f t="shared" si="14"/>
        <v>-2894915</v>
      </c>
    </row>
    <row r="914" spans="1:4" x14ac:dyDescent="0.3">
      <c r="A914" s="42">
        <v>41256277</v>
      </c>
      <c r="B914" s="42">
        <v>50000000</v>
      </c>
      <c r="D914">
        <f t="shared" si="14"/>
        <v>-8743723</v>
      </c>
    </row>
    <row r="915" spans="1:4" x14ac:dyDescent="0.3">
      <c r="A915" s="43">
        <v>50740078</v>
      </c>
      <c r="B915" s="43">
        <v>45000000</v>
      </c>
      <c r="D915">
        <f t="shared" si="14"/>
        <v>5740078</v>
      </c>
    </row>
    <row r="916" spans="1:4" x14ac:dyDescent="0.3">
      <c r="A916" s="42">
        <v>40203020</v>
      </c>
      <c r="B916" s="42">
        <v>40000000</v>
      </c>
      <c r="D916">
        <f t="shared" si="14"/>
        <v>203020</v>
      </c>
    </row>
    <row r="917" spans="1:4" x14ac:dyDescent="0.3">
      <c r="A917" s="43">
        <v>40905277</v>
      </c>
      <c r="B917" s="43">
        <v>50000000</v>
      </c>
      <c r="D917">
        <f t="shared" si="14"/>
        <v>-9094723</v>
      </c>
    </row>
    <row r="918" spans="1:4" x14ac:dyDescent="0.3">
      <c r="A918" s="42">
        <v>38590500</v>
      </c>
      <c r="B918" s="42">
        <v>50000000</v>
      </c>
      <c r="D918">
        <f t="shared" si="14"/>
        <v>-11409500</v>
      </c>
    </row>
    <row r="919" spans="1:4" x14ac:dyDescent="0.3">
      <c r="A919" s="43">
        <v>39177541</v>
      </c>
      <c r="B919" s="43">
        <v>50000000</v>
      </c>
      <c r="D919">
        <f t="shared" si="14"/>
        <v>-10822459</v>
      </c>
    </row>
    <row r="920" spans="1:4" x14ac:dyDescent="0.3">
      <c r="A920" s="42">
        <v>39778599</v>
      </c>
      <c r="B920" s="42">
        <v>50000000</v>
      </c>
      <c r="D920">
        <f t="shared" si="14"/>
        <v>-10221401</v>
      </c>
    </row>
    <row r="921" spans="1:4" x14ac:dyDescent="0.3">
      <c r="A921" s="43">
        <v>37486138</v>
      </c>
      <c r="B921" s="43">
        <v>50000000</v>
      </c>
      <c r="D921">
        <f t="shared" si="14"/>
        <v>-12513862</v>
      </c>
    </row>
    <row r="922" spans="1:4" x14ac:dyDescent="0.3">
      <c r="A922" s="42">
        <v>38105077</v>
      </c>
      <c r="B922" s="42">
        <v>40000000</v>
      </c>
      <c r="D922">
        <f t="shared" si="14"/>
        <v>-1894923</v>
      </c>
    </row>
    <row r="923" spans="1:4" x14ac:dyDescent="0.3">
      <c r="A923" s="43">
        <v>35168395</v>
      </c>
      <c r="B923" s="43">
        <v>50000000</v>
      </c>
      <c r="D923">
        <f t="shared" si="14"/>
        <v>-14831605</v>
      </c>
    </row>
    <row r="924" spans="1:4" x14ac:dyDescent="0.3">
      <c r="A924" s="42">
        <v>32800000</v>
      </c>
      <c r="B924" s="42">
        <v>40000000</v>
      </c>
      <c r="D924">
        <f t="shared" si="14"/>
        <v>-7200000</v>
      </c>
    </row>
    <row r="925" spans="1:4" x14ac:dyDescent="0.3">
      <c r="A925" s="43">
        <v>33643461</v>
      </c>
      <c r="B925" s="43">
        <v>50000000</v>
      </c>
      <c r="D925">
        <f t="shared" si="14"/>
        <v>-16356539</v>
      </c>
    </row>
    <row r="926" spans="1:4" x14ac:dyDescent="0.3">
      <c r="A926" s="42">
        <v>32741596</v>
      </c>
      <c r="B926" s="42">
        <v>50000000</v>
      </c>
      <c r="D926">
        <f t="shared" si="14"/>
        <v>-17258404</v>
      </c>
    </row>
    <row r="927" spans="1:4" x14ac:dyDescent="0.3">
      <c r="A927" s="43">
        <v>31874869</v>
      </c>
      <c r="B927" s="43">
        <v>50000000</v>
      </c>
      <c r="D927">
        <f t="shared" si="14"/>
        <v>-18125131</v>
      </c>
    </row>
    <row r="928" spans="1:4" x14ac:dyDescent="0.3">
      <c r="A928" s="42">
        <v>30306268</v>
      </c>
      <c r="B928" s="42">
        <v>50000000</v>
      </c>
      <c r="D928">
        <f t="shared" si="14"/>
        <v>-19693732</v>
      </c>
    </row>
    <row r="929" spans="1:4" x14ac:dyDescent="0.3">
      <c r="A929" s="43">
        <v>27667947</v>
      </c>
      <c r="B929" s="43">
        <v>50000000</v>
      </c>
      <c r="D929">
        <f t="shared" si="14"/>
        <v>-22332053</v>
      </c>
    </row>
    <row r="930" spans="1:4" x14ac:dyDescent="0.3">
      <c r="A930" s="42">
        <v>27067160</v>
      </c>
      <c r="B930" s="42">
        <v>50000000</v>
      </c>
      <c r="D930">
        <f t="shared" si="14"/>
        <v>-22932840</v>
      </c>
    </row>
    <row r="931" spans="1:4" x14ac:dyDescent="0.3">
      <c r="A931" s="43">
        <v>26616999</v>
      </c>
      <c r="B931" s="43">
        <v>40000000</v>
      </c>
      <c r="D931">
        <f t="shared" si="14"/>
        <v>-13383001</v>
      </c>
    </row>
    <row r="932" spans="1:4" x14ac:dyDescent="0.3">
      <c r="A932" s="42">
        <v>26536120</v>
      </c>
      <c r="B932" s="42">
        <v>50000000</v>
      </c>
      <c r="D932">
        <f t="shared" si="14"/>
        <v>-23463880</v>
      </c>
    </row>
    <row r="933" spans="1:4" x14ac:dyDescent="0.3">
      <c r="A933" s="43">
        <v>26199517</v>
      </c>
      <c r="B933" s="43">
        <v>50000000</v>
      </c>
      <c r="D933">
        <f t="shared" si="14"/>
        <v>-23800483</v>
      </c>
    </row>
    <row r="934" spans="1:4" x14ac:dyDescent="0.3">
      <c r="A934" s="42">
        <v>25450527</v>
      </c>
      <c r="B934" s="42">
        <v>50000000</v>
      </c>
      <c r="D934">
        <f t="shared" si="14"/>
        <v>-24549473</v>
      </c>
    </row>
    <row r="935" spans="1:4" x14ac:dyDescent="0.3">
      <c r="A935" s="43">
        <v>25407250</v>
      </c>
      <c r="B935" s="43">
        <v>50000000</v>
      </c>
      <c r="D935">
        <f t="shared" si="14"/>
        <v>-24592750</v>
      </c>
    </row>
    <row r="936" spans="1:4" x14ac:dyDescent="0.3">
      <c r="A936" s="42">
        <v>23159305</v>
      </c>
      <c r="B936" s="42">
        <v>70000000</v>
      </c>
      <c r="D936">
        <f t="shared" si="14"/>
        <v>-46840695</v>
      </c>
    </row>
    <row r="937" spans="1:4" x14ac:dyDescent="0.3">
      <c r="A937" s="43">
        <v>24006726</v>
      </c>
      <c r="B937" s="43">
        <v>50000000</v>
      </c>
      <c r="D937">
        <f t="shared" si="14"/>
        <v>-25993274</v>
      </c>
    </row>
    <row r="938" spans="1:4" x14ac:dyDescent="0.3">
      <c r="A938" s="42">
        <v>20389967</v>
      </c>
      <c r="B938" s="42">
        <v>50000000</v>
      </c>
      <c r="D938">
        <f t="shared" si="14"/>
        <v>-29610033</v>
      </c>
    </row>
    <row r="939" spans="1:4" x14ac:dyDescent="0.3">
      <c r="A939" s="43">
        <v>19593740</v>
      </c>
      <c r="B939" s="43">
        <v>50000000</v>
      </c>
      <c r="D939">
        <f t="shared" si="14"/>
        <v>-30406260</v>
      </c>
    </row>
    <row r="940" spans="1:4" x14ac:dyDescent="0.3">
      <c r="A940" s="42">
        <v>19118247</v>
      </c>
      <c r="B940" s="42">
        <v>40000000</v>
      </c>
      <c r="D940">
        <f t="shared" si="14"/>
        <v>-20881753</v>
      </c>
    </row>
    <row r="941" spans="1:4" x14ac:dyDescent="0.3">
      <c r="A941" s="43">
        <v>26442251</v>
      </c>
      <c r="B941" s="43">
        <v>50000000</v>
      </c>
      <c r="D941">
        <f t="shared" si="14"/>
        <v>-23557749</v>
      </c>
    </row>
    <row r="942" spans="1:4" x14ac:dyDescent="0.3">
      <c r="A942" s="42">
        <v>17114882</v>
      </c>
      <c r="B942" s="42">
        <v>25000000</v>
      </c>
      <c r="D942">
        <f t="shared" si="14"/>
        <v>-7885118</v>
      </c>
    </row>
    <row r="943" spans="1:4" x14ac:dyDescent="0.3">
      <c r="A943" s="43">
        <v>18472363</v>
      </c>
      <c r="B943" s="43">
        <v>50000000</v>
      </c>
      <c r="D943">
        <f t="shared" si="14"/>
        <v>-31527637</v>
      </c>
    </row>
    <row r="944" spans="1:4" x14ac:dyDescent="0.3">
      <c r="A944" s="42">
        <v>14131298</v>
      </c>
      <c r="B944" s="42">
        <v>390000000</v>
      </c>
      <c r="D944">
        <f t="shared" si="14"/>
        <v>-375868702</v>
      </c>
    </row>
    <row r="945" spans="1:4" x14ac:dyDescent="0.3">
      <c r="A945" s="43">
        <v>21557240</v>
      </c>
      <c r="B945" s="43">
        <v>49900000</v>
      </c>
      <c r="D945">
        <f t="shared" si="14"/>
        <v>-28342760</v>
      </c>
    </row>
    <row r="946" spans="1:4" x14ac:dyDescent="0.3">
      <c r="A946" s="42">
        <v>21283440</v>
      </c>
      <c r="B946" s="42">
        <v>55000000</v>
      </c>
      <c r="D946">
        <f t="shared" si="14"/>
        <v>-33716560</v>
      </c>
    </row>
    <row r="947" spans="1:4" x14ac:dyDescent="0.3">
      <c r="A947" s="43">
        <v>10556196</v>
      </c>
      <c r="B947" s="43">
        <v>50000000</v>
      </c>
      <c r="D947">
        <f t="shared" si="14"/>
        <v>-39443804</v>
      </c>
    </row>
    <row r="948" spans="1:4" x14ac:dyDescent="0.3">
      <c r="A948" s="42">
        <v>16671505</v>
      </c>
      <c r="B948" s="42">
        <v>50000000</v>
      </c>
      <c r="D948">
        <f t="shared" si="14"/>
        <v>-33328495</v>
      </c>
    </row>
    <row r="949" spans="1:4" x14ac:dyDescent="0.3">
      <c r="A949" s="43">
        <v>9528092</v>
      </c>
      <c r="B949" s="43">
        <v>22000000</v>
      </c>
      <c r="D949">
        <f t="shared" si="14"/>
        <v>-12471908</v>
      </c>
    </row>
    <row r="950" spans="1:4" x14ac:dyDescent="0.3">
      <c r="A950" s="42">
        <v>10137232</v>
      </c>
      <c r="B950" s="42">
        <v>50000000</v>
      </c>
      <c r="D950">
        <f t="shared" si="14"/>
        <v>-39862768</v>
      </c>
    </row>
    <row r="951" spans="1:4" x14ac:dyDescent="0.3">
      <c r="A951" s="43">
        <v>9795017</v>
      </c>
      <c r="B951" s="43">
        <v>50000000</v>
      </c>
      <c r="D951">
        <f t="shared" si="14"/>
        <v>-40204983</v>
      </c>
    </row>
    <row r="952" spans="1:4" x14ac:dyDescent="0.3">
      <c r="A952" s="42">
        <v>20488579</v>
      </c>
      <c r="B952" s="42">
        <v>50000000</v>
      </c>
      <c r="D952">
        <f t="shared" si="14"/>
        <v>-29511421</v>
      </c>
    </row>
    <row r="953" spans="1:4" x14ac:dyDescent="0.3">
      <c r="A953" s="43">
        <v>19445217</v>
      </c>
      <c r="B953" s="43">
        <v>60000000</v>
      </c>
      <c r="D953">
        <f t="shared" si="14"/>
        <v>-40554783</v>
      </c>
    </row>
    <row r="954" spans="1:4" x14ac:dyDescent="0.3">
      <c r="A954" s="42">
        <v>8355815</v>
      </c>
      <c r="B954" s="42">
        <v>55000000</v>
      </c>
      <c r="D954">
        <f t="shared" si="14"/>
        <v>-46644185</v>
      </c>
    </row>
    <row r="955" spans="1:4" x14ac:dyDescent="0.3">
      <c r="A955" s="43">
        <v>28837115</v>
      </c>
      <c r="B955" s="43">
        <v>50000000</v>
      </c>
      <c r="D955">
        <f t="shared" si="14"/>
        <v>-21162885</v>
      </c>
    </row>
    <row r="956" spans="1:4" x14ac:dyDescent="0.3">
      <c r="A956" s="42">
        <v>6471394</v>
      </c>
      <c r="B956" s="42">
        <v>50000000</v>
      </c>
      <c r="D956">
        <f t="shared" si="14"/>
        <v>-43528606</v>
      </c>
    </row>
    <row r="957" spans="1:4" x14ac:dyDescent="0.3">
      <c r="A957" s="43">
        <v>6291602</v>
      </c>
      <c r="B957" s="43">
        <v>50000000</v>
      </c>
      <c r="D957">
        <f t="shared" si="14"/>
        <v>-43708398</v>
      </c>
    </row>
    <row r="958" spans="1:4" x14ac:dyDescent="0.3">
      <c r="A958" s="42">
        <v>10706786</v>
      </c>
      <c r="B958" s="42">
        <v>50000000</v>
      </c>
      <c r="D958">
        <f t="shared" si="14"/>
        <v>-39293214</v>
      </c>
    </row>
    <row r="959" spans="1:4" x14ac:dyDescent="0.3">
      <c r="A959" s="43">
        <v>8742261</v>
      </c>
      <c r="B959" s="43">
        <v>18000000</v>
      </c>
      <c r="D959">
        <f t="shared" si="14"/>
        <v>-9257739</v>
      </c>
    </row>
    <row r="960" spans="1:4" x14ac:dyDescent="0.3">
      <c r="A960" s="42">
        <v>43905746</v>
      </c>
      <c r="B960" s="42">
        <v>49000000</v>
      </c>
      <c r="D960">
        <f t="shared" si="14"/>
        <v>-5094254</v>
      </c>
    </row>
    <row r="961" spans="1:4" x14ac:dyDescent="0.3">
      <c r="A961" s="43">
        <v>21413502</v>
      </c>
      <c r="B961" s="43">
        <v>40000000</v>
      </c>
      <c r="D961">
        <f t="shared" si="14"/>
        <v>-18586498</v>
      </c>
    </row>
    <row r="962" spans="1:4" x14ac:dyDescent="0.3">
      <c r="A962" s="42">
        <v>124107476</v>
      </c>
      <c r="B962" s="42">
        <v>48000000</v>
      </c>
      <c r="D962">
        <f t="shared" ref="D962:D1025" si="15">A962-B962</f>
        <v>76107476</v>
      </c>
    </row>
    <row r="963" spans="1:4" x14ac:dyDescent="0.3">
      <c r="A963" s="43">
        <v>197171806</v>
      </c>
      <c r="B963" s="43">
        <v>48000000</v>
      </c>
      <c r="D963">
        <f t="shared" si="15"/>
        <v>149171806</v>
      </c>
    </row>
    <row r="964" spans="1:4" x14ac:dyDescent="0.3">
      <c r="A964" s="42">
        <v>31569268</v>
      </c>
      <c r="B964" s="42">
        <v>49000000</v>
      </c>
      <c r="D964">
        <f t="shared" si="15"/>
        <v>-17430732</v>
      </c>
    </row>
    <row r="965" spans="1:4" x14ac:dyDescent="0.3">
      <c r="A965" s="43">
        <v>66488090</v>
      </c>
      <c r="B965" s="43">
        <v>48000000</v>
      </c>
      <c r="D965">
        <f t="shared" si="15"/>
        <v>18488090</v>
      </c>
    </row>
    <row r="966" spans="1:4" x14ac:dyDescent="0.3">
      <c r="A966" s="42">
        <v>95308367</v>
      </c>
      <c r="B966" s="42">
        <v>48000000</v>
      </c>
      <c r="D966">
        <f t="shared" si="15"/>
        <v>47308367</v>
      </c>
    </row>
    <row r="967" spans="1:4" x14ac:dyDescent="0.3">
      <c r="A967" s="43">
        <v>60652036</v>
      </c>
      <c r="B967" s="43">
        <v>48000000</v>
      </c>
      <c r="D967">
        <f t="shared" si="15"/>
        <v>12652036</v>
      </c>
    </row>
    <row r="968" spans="1:4" x14ac:dyDescent="0.3">
      <c r="A968" s="42">
        <v>1206135</v>
      </c>
      <c r="B968" s="42">
        <v>50000000</v>
      </c>
      <c r="D968">
        <f t="shared" si="15"/>
        <v>-48793865</v>
      </c>
    </row>
    <row r="969" spans="1:4" x14ac:dyDescent="0.3">
      <c r="A969" s="43">
        <v>56607223</v>
      </c>
      <c r="B969" s="43">
        <v>48000000</v>
      </c>
      <c r="D969">
        <f t="shared" si="15"/>
        <v>8607223</v>
      </c>
    </row>
    <row r="970" spans="1:4" x14ac:dyDescent="0.3">
      <c r="A970" s="42">
        <v>50173190</v>
      </c>
      <c r="B970" s="42">
        <v>48000000</v>
      </c>
      <c r="D970">
        <f t="shared" si="15"/>
        <v>2173190</v>
      </c>
    </row>
    <row r="971" spans="1:4" x14ac:dyDescent="0.3">
      <c r="A971" s="43">
        <v>47095453</v>
      </c>
      <c r="B971" s="43">
        <v>48000000</v>
      </c>
      <c r="D971">
        <f t="shared" si="15"/>
        <v>-904547</v>
      </c>
    </row>
    <row r="972" spans="1:4" x14ac:dyDescent="0.3">
      <c r="A972" s="42">
        <v>37879996</v>
      </c>
      <c r="B972" s="42">
        <v>48000000</v>
      </c>
      <c r="D972">
        <f t="shared" si="15"/>
        <v>-10120004</v>
      </c>
    </row>
    <row r="973" spans="1:4" x14ac:dyDescent="0.3">
      <c r="A973" s="43">
        <v>25900000</v>
      </c>
      <c r="B973" s="43">
        <v>58000000</v>
      </c>
      <c r="D973">
        <f t="shared" si="15"/>
        <v>-32100000</v>
      </c>
    </row>
    <row r="974" spans="1:4" x14ac:dyDescent="0.3">
      <c r="A974" s="42">
        <v>53574088</v>
      </c>
      <c r="B974" s="42">
        <v>55000000</v>
      </c>
      <c r="D974">
        <f t="shared" si="15"/>
        <v>-1425912</v>
      </c>
    </row>
    <row r="975" spans="1:4" x14ac:dyDescent="0.3">
      <c r="A975" s="43">
        <v>89253340</v>
      </c>
      <c r="B975" s="43">
        <v>48000000</v>
      </c>
      <c r="D975">
        <f t="shared" si="15"/>
        <v>41253340</v>
      </c>
    </row>
    <row r="976" spans="1:4" x14ac:dyDescent="0.3">
      <c r="A976" s="42">
        <v>37339525</v>
      </c>
      <c r="B976" s="42">
        <v>48000000</v>
      </c>
      <c r="D976">
        <f t="shared" si="15"/>
        <v>-10660475</v>
      </c>
    </row>
    <row r="977" spans="1:4" x14ac:dyDescent="0.3">
      <c r="A977" s="43">
        <v>60154431</v>
      </c>
      <c r="B977" s="43">
        <v>47000000</v>
      </c>
      <c r="D977">
        <f t="shared" si="15"/>
        <v>13154431</v>
      </c>
    </row>
    <row r="978" spans="1:4" x14ac:dyDescent="0.3">
      <c r="A978" s="42">
        <v>103738726</v>
      </c>
      <c r="B978" s="42">
        <v>100000000</v>
      </c>
      <c r="D978">
        <f t="shared" si="15"/>
        <v>3738726</v>
      </c>
    </row>
    <row r="979" spans="1:4" x14ac:dyDescent="0.3">
      <c r="A979" s="43">
        <v>69304264</v>
      </c>
      <c r="B979" s="43">
        <v>48000000</v>
      </c>
      <c r="D979">
        <f t="shared" si="15"/>
        <v>21304264</v>
      </c>
    </row>
    <row r="980" spans="1:4" x14ac:dyDescent="0.3">
      <c r="A980" s="42">
        <v>15519841</v>
      </c>
      <c r="B980" s="42">
        <v>47000000</v>
      </c>
      <c r="D980">
        <f t="shared" si="15"/>
        <v>-31480159</v>
      </c>
    </row>
    <row r="981" spans="1:4" x14ac:dyDescent="0.3">
      <c r="A981" s="43">
        <v>5600000</v>
      </c>
      <c r="B981" s="43">
        <v>47000000</v>
      </c>
      <c r="D981">
        <f t="shared" si="15"/>
        <v>-41400000</v>
      </c>
    </row>
    <row r="982" spans="1:4" x14ac:dyDescent="0.3">
      <c r="A982" s="42">
        <v>126805112</v>
      </c>
      <c r="B982" s="42">
        <v>46000000</v>
      </c>
      <c r="D982">
        <f t="shared" si="15"/>
        <v>80805112</v>
      </c>
    </row>
    <row r="983" spans="1:4" x14ac:dyDescent="0.3">
      <c r="A983" s="43">
        <v>93607673</v>
      </c>
      <c r="B983" s="43">
        <v>48000000</v>
      </c>
      <c r="D983">
        <f t="shared" si="15"/>
        <v>45607673</v>
      </c>
    </row>
    <row r="984" spans="1:4" x14ac:dyDescent="0.3">
      <c r="A984" s="42">
        <v>67263182</v>
      </c>
      <c r="B984" s="42">
        <v>46000000</v>
      </c>
      <c r="D984">
        <f t="shared" si="15"/>
        <v>21263182</v>
      </c>
    </row>
    <row r="985" spans="1:4" x14ac:dyDescent="0.3">
      <c r="A985" s="43">
        <v>92001027</v>
      </c>
      <c r="B985" s="43">
        <v>45000000</v>
      </c>
      <c r="D985">
        <f t="shared" si="15"/>
        <v>47001027</v>
      </c>
    </row>
    <row r="986" spans="1:4" x14ac:dyDescent="0.3">
      <c r="A986" s="42">
        <v>10539414</v>
      </c>
      <c r="B986" s="42">
        <v>47000000</v>
      </c>
      <c r="D986">
        <f t="shared" si="15"/>
        <v>-36460586</v>
      </c>
    </row>
    <row r="987" spans="1:4" x14ac:dyDescent="0.3">
      <c r="A987" s="43">
        <v>58918501</v>
      </c>
      <c r="B987" s="43">
        <v>46000000</v>
      </c>
      <c r="D987">
        <f t="shared" si="15"/>
        <v>12918501</v>
      </c>
    </row>
    <row r="988" spans="1:4" x14ac:dyDescent="0.3">
      <c r="A988" s="42">
        <v>181395380</v>
      </c>
      <c r="B988" s="42">
        <v>45000000</v>
      </c>
      <c r="D988">
        <f t="shared" si="15"/>
        <v>136395380</v>
      </c>
    </row>
    <row r="989" spans="1:4" x14ac:dyDescent="0.3">
      <c r="A989" s="43">
        <v>14946229</v>
      </c>
      <c r="B989" s="43">
        <v>25000000</v>
      </c>
      <c r="D989">
        <f t="shared" si="15"/>
        <v>-10053771</v>
      </c>
    </row>
    <row r="990" spans="1:4" x14ac:dyDescent="0.3">
      <c r="A990" s="42">
        <v>130512915</v>
      </c>
      <c r="B990" s="42">
        <v>45000000</v>
      </c>
      <c r="D990">
        <f t="shared" si="15"/>
        <v>85512915</v>
      </c>
    </row>
    <row r="991" spans="1:4" x14ac:dyDescent="0.3">
      <c r="A991" s="43">
        <v>139852971</v>
      </c>
      <c r="B991" s="43">
        <v>45000000</v>
      </c>
      <c r="D991">
        <f t="shared" si="15"/>
        <v>94852971</v>
      </c>
    </row>
    <row r="992" spans="1:4" x14ac:dyDescent="0.3">
      <c r="A992" s="42">
        <v>106807667</v>
      </c>
      <c r="B992" s="42">
        <v>45000000</v>
      </c>
      <c r="D992">
        <f t="shared" si="15"/>
        <v>61807667</v>
      </c>
    </row>
    <row r="993" spans="1:4" x14ac:dyDescent="0.3">
      <c r="A993" s="43">
        <v>101702060</v>
      </c>
      <c r="B993" s="43">
        <v>45000000</v>
      </c>
      <c r="D993">
        <f t="shared" si="15"/>
        <v>56702060</v>
      </c>
    </row>
    <row r="994" spans="1:4" x14ac:dyDescent="0.3">
      <c r="A994" s="42">
        <v>95149435</v>
      </c>
      <c r="B994" s="42">
        <v>40000000</v>
      </c>
      <c r="D994">
        <f t="shared" si="15"/>
        <v>55149435</v>
      </c>
    </row>
    <row r="995" spans="1:4" x14ac:dyDescent="0.3">
      <c r="A995" s="43">
        <v>100768056</v>
      </c>
      <c r="B995" s="43">
        <v>45000000</v>
      </c>
      <c r="D995">
        <f t="shared" si="15"/>
        <v>55768056</v>
      </c>
    </row>
    <row r="996" spans="1:4" x14ac:dyDescent="0.3">
      <c r="A996" s="42">
        <v>92115211</v>
      </c>
      <c r="B996" s="42">
        <v>45000000</v>
      </c>
      <c r="D996">
        <f t="shared" si="15"/>
        <v>47115211</v>
      </c>
    </row>
    <row r="997" spans="1:4" x14ac:dyDescent="0.3">
      <c r="A997" s="43">
        <v>93452056</v>
      </c>
      <c r="B997" s="43">
        <v>45000000</v>
      </c>
      <c r="D997">
        <f t="shared" si="15"/>
        <v>48452056</v>
      </c>
    </row>
    <row r="998" spans="1:4" x14ac:dyDescent="0.3">
      <c r="A998" s="42">
        <v>83287363</v>
      </c>
      <c r="B998" s="42">
        <v>45000000</v>
      </c>
      <c r="D998">
        <f t="shared" si="15"/>
        <v>38287363</v>
      </c>
    </row>
    <row r="999" spans="1:4" x14ac:dyDescent="0.3">
      <c r="A999" s="43">
        <v>82931301</v>
      </c>
      <c r="B999" s="43">
        <v>60000000</v>
      </c>
      <c r="D999">
        <f t="shared" si="15"/>
        <v>22931301</v>
      </c>
    </row>
    <row r="1000" spans="1:4" x14ac:dyDescent="0.3">
      <c r="A1000" s="42">
        <v>60962878</v>
      </c>
      <c r="B1000" s="42">
        <v>46000000</v>
      </c>
      <c r="D1000">
        <f t="shared" si="15"/>
        <v>14962878</v>
      </c>
    </row>
    <row r="1001" spans="1:4" x14ac:dyDescent="0.3">
      <c r="A1001" s="43">
        <v>76261036</v>
      </c>
      <c r="B1001" s="43">
        <v>45000000</v>
      </c>
      <c r="D1001">
        <f t="shared" si="15"/>
        <v>31261036</v>
      </c>
    </row>
    <row r="1002" spans="1:4" x14ac:dyDescent="0.3">
      <c r="A1002" s="42">
        <v>71423726</v>
      </c>
      <c r="B1002" s="42">
        <v>45000000</v>
      </c>
      <c r="D1002">
        <f t="shared" si="15"/>
        <v>26423726</v>
      </c>
    </row>
    <row r="1003" spans="1:4" x14ac:dyDescent="0.3">
      <c r="A1003" s="43">
        <v>71277420</v>
      </c>
      <c r="B1003" s="43">
        <v>45000000</v>
      </c>
      <c r="D1003">
        <f t="shared" si="15"/>
        <v>26277420</v>
      </c>
    </row>
    <row r="1004" spans="1:4" x14ac:dyDescent="0.3">
      <c r="A1004" s="42">
        <v>88625922</v>
      </c>
      <c r="B1004" s="42">
        <v>45000000</v>
      </c>
      <c r="D1004">
        <f t="shared" si="15"/>
        <v>43625922</v>
      </c>
    </row>
    <row r="1005" spans="1:4" x14ac:dyDescent="0.3">
      <c r="A1005" s="43">
        <v>70001065</v>
      </c>
      <c r="B1005" s="43">
        <v>45000000</v>
      </c>
      <c r="D1005">
        <f t="shared" si="15"/>
        <v>25001065</v>
      </c>
    </row>
    <row r="1006" spans="1:4" x14ac:dyDescent="0.3">
      <c r="A1006" s="42">
        <v>67253092</v>
      </c>
      <c r="B1006" s="42">
        <v>30000000</v>
      </c>
      <c r="D1006">
        <f t="shared" si="15"/>
        <v>37253092</v>
      </c>
    </row>
    <row r="1007" spans="1:4" x14ac:dyDescent="0.3">
      <c r="A1007" s="43">
        <v>65557989</v>
      </c>
      <c r="B1007" s="43">
        <v>45000000</v>
      </c>
      <c r="D1007">
        <f t="shared" si="15"/>
        <v>20557989</v>
      </c>
    </row>
    <row r="1008" spans="1:4" x14ac:dyDescent="0.3">
      <c r="A1008" s="42">
        <v>60786269</v>
      </c>
      <c r="B1008" s="42">
        <v>45000000</v>
      </c>
      <c r="D1008">
        <f t="shared" si="15"/>
        <v>15786269</v>
      </c>
    </row>
    <row r="1009" spans="1:4" x14ac:dyDescent="0.3">
      <c r="A1009" s="43">
        <v>59365105</v>
      </c>
      <c r="B1009" s="43">
        <v>45000000</v>
      </c>
      <c r="D1009">
        <f t="shared" si="15"/>
        <v>14365105</v>
      </c>
    </row>
    <row r="1010" spans="1:4" x14ac:dyDescent="0.3">
      <c r="A1010" s="42">
        <v>162792677</v>
      </c>
      <c r="B1010" s="42">
        <v>120000000</v>
      </c>
      <c r="D1010">
        <f t="shared" si="15"/>
        <v>42792677</v>
      </c>
    </row>
    <row r="1011" spans="1:4" x14ac:dyDescent="0.3">
      <c r="A1011" s="43">
        <v>31598308</v>
      </c>
      <c r="B1011" s="43">
        <v>35000000</v>
      </c>
      <c r="D1011">
        <f t="shared" si="15"/>
        <v>-3401692</v>
      </c>
    </row>
    <row r="1012" spans="1:4" x14ac:dyDescent="0.3">
      <c r="A1012" s="42">
        <v>57362581</v>
      </c>
      <c r="B1012" s="42">
        <v>45000000</v>
      </c>
      <c r="D1012">
        <f t="shared" si="15"/>
        <v>12362581</v>
      </c>
    </row>
    <row r="1013" spans="1:4" x14ac:dyDescent="0.3">
      <c r="A1013" s="43">
        <v>53854588</v>
      </c>
      <c r="B1013" s="43">
        <v>45000000</v>
      </c>
      <c r="D1013">
        <f t="shared" si="15"/>
        <v>8854588</v>
      </c>
    </row>
    <row r="1014" spans="1:4" x14ac:dyDescent="0.3">
      <c r="A1014" s="42">
        <v>52580895</v>
      </c>
      <c r="B1014" s="42">
        <v>45000000</v>
      </c>
      <c r="D1014">
        <f t="shared" si="15"/>
        <v>7580895</v>
      </c>
    </row>
    <row r="1015" spans="1:4" x14ac:dyDescent="0.3">
      <c r="A1015" s="43">
        <v>51019112</v>
      </c>
      <c r="B1015" s="43">
        <v>50000000</v>
      </c>
      <c r="D1015">
        <f t="shared" si="15"/>
        <v>1019112</v>
      </c>
    </row>
    <row r="1016" spans="1:4" x14ac:dyDescent="0.3">
      <c r="A1016" s="42">
        <v>48114556</v>
      </c>
      <c r="B1016" s="42">
        <v>26000000</v>
      </c>
      <c r="D1016">
        <f t="shared" si="15"/>
        <v>22114556</v>
      </c>
    </row>
    <row r="1017" spans="1:4" x14ac:dyDescent="0.3">
      <c r="A1017" s="43">
        <v>50648679</v>
      </c>
      <c r="B1017" s="43">
        <v>45000000</v>
      </c>
      <c r="D1017">
        <f t="shared" si="15"/>
        <v>5648679</v>
      </c>
    </row>
    <row r="1018" spans="1:4" x14ac:dyDescent="0.3">
      <c r="A1018" s="42">
        <v>38360195</v>
      </c>
      <c r="B1018" s="42">
        <v>45000000</v>
      </c>
      <c r="D1018">
        <f t="shared" si="15"/>
        <v>-6639805</v>
      </c>
    </row>
    <row r="1019" spans="1:4" x14ac:dyDescent="0.3">
      <c r="A1019" s="43">
        <v>46815748</v>
      </c>
      <c r="B1019" s="43">
        <v>45000000</v>
      </c>
      <c r="D1019">
        <f t="shared" si="15"/>
        <v>1815748</v>
      </c>
    </row>
    <row r="1020" spans="1:4" x14ac:dyDescent="0.3">
      <c r="A1020" s="42">
        <v>35617599</v>
      </c>
      <c r="B1020" s="42">
        <v>45000000</v>
      </c>
      <c r="D1020">
        <f t="shared" si="15"/>
        <v>-9382401</v>
      </c>
    </row>
    <row r="1021" spans="1:4" x14ac:dyDescent="0.3">
      <c r="A1021" s="43">
        <v>47307550</v>
      </c>
      <c r="B1021" s="43">
        <v>45000000</v>
      </c>
      <c r="D1021">
        <f t="shared" si="15"/>
        <v>2307550</v>
      </c>
    </row>
    <row r="1022" spans="1:4" x14ac:dyDescent="0.3">
      <c r="A1022" s="42">
        <v>32003620</v>
      </c>
      <c r="B1022" s="42">
        <v>25000000</v>
      </c>
      <c r="D1022">
        <f t="shared" si="15"/>
        <v>7003620</v>
      </c>
    </row>
    <row r="1023" spans="1:4" x14ac:dyDescent="0.3">
      <c r="A1023" s="43">
        <v>27972410</v>
      </c>
      <c r="B1023" s="43">
        <v>35000000</v>
      </c>
      <c r="D1023">
        <f t="shared" si="15"/>
        <v>-7027590</v>
      </c>
    </row>
    <row r="1024" spans="1:4" x14ac:dyDescent="0.3">
      <c r="A1024" s="42">
        <v>28133159</v>
      </c>
      <c r="B1024" s="42">
        <v>50000000</v>
      </c>
      <c r="D1024">
        <f t="shared" si="15"/>
        <v>-21866841</v>
      </c>
    </row>
    <row r="1025" spans="1:4" x14ac:dyDescent="0.3">
      <c r="A1025" s="43">
        <v>27400000</v>
      </c>
      <c r="B1025" s="43">
        <v>40000000</v>
      </c>
      <c r="D1025">
        <f t="shared" si="15"/>
        <v>-12600000</v>
      </c>
    </row>
    <row r="1026" spans="1:4" x14ac:dyDescent="0.3">
      <c r="A1026" s="42">
        <v>24343673</v>
      </c>
      <c r="B1026" s="42">
        <v>45000000</v>
      </c>
      <c r="D1026">
        <f t="shared" ref="D1026:D1089" si="16">A1026-B1026</f>
        <v>-20656327</v>
      </c>
    </row>
    <row r="1027" spans="1:4" x14ac:dyDescent="0.3">
      <c r="A1027" s="43">
        <v>22877808</v>
      </c>
      <c r="B1027" s="43">
        <v>35000000</v>
      </c>
      <c r="D1027">
        <f t="shared" si="16"/>
        <v>-12122192</v>
      </c>
    </row>
    <row r="1028" spans="1:4" x14ac:dyDescent="0.3">
      <c r="A1028" s="42">
        <v>36883539</v>
      </c>
      <c r="B1028" s="42">
        <v>52000000</v>
      </c>
      <c r="D1028">
        <f t="shared" si="16"/>
        <v>-15116461</v>
      </c>
    </row>
    <row r="1029" spans="1:4" x14ac:dyDescent="0.3">
      <c r="A1029" s="43">
        <v>22531698</v>
      </c>
      <c r="B1029" s="43">
        <v>70000000</v>
      </c>
      <c r="D1029">
        <f t="shared" si="16"/>
        <v>-47468302</v>
      </c>
    </row>
    <row r="1030" spans="1:4" x14ac:dyDescent="0.3">
      <c r="A1030" s="42">
        <v>20400913</v>
      </c>
      <c r="B1030" s="42">
        <v>45000000</v>
      </c>
      <c r="D1030">
        <f t="shared" si="16"/>
        <v>-24599087</v>
      </c>
    </row>
    <row r="1031" spans="1:4" x14ac:dyDescent="0.3">
      <c r="A1031" s="43">
        <v>20101861</v>
      </c>
      <c r="B1031" s="43">
        <v>45000000</v>
      </c>
      <c r="D1031">
        <f t="shared" si="16"/>
        <v>-24898139</v>
      </c>
    </row>
    <row r="1032" spans="1:4" x14ac:dyDescent="0.3">
      <c r="A1032" s="42">
        <v>25200412</v>
      </c>
      <c r="B1032" s="42">
        <v>45000000</v>
      </c>
      <c r="D1032">
        <f t="shared" si="16"/>
        <v>-19799588</v>
      </c>
    </row>
    <row r="1033" spans="1:4" x14ac:dyDescent="0.3">
      <c r="A1033" s="43">
        <v>19719930</v>
      </c>
      <c r="B1033" s="43">
        <v>45000000</v>
      </c>
      <c r="D1033">
        <f t="shared" si="16"/>
        <v>-25280070</v>
      </c>
    </row>
    <row r="1034" spans="1:4" x14ac:dyDescent="0.3">
      <c r="A1034" s="42">
        <v>19377727</v>
      </c>
      <c r="B1034" s="42">
        <v>45000000</v>
      </c>
      <c r="D1034">
        <f t="shared" si="16"/>
        <v>-25622273</v>
      </c>
    </row>
    <row r="1035" spans="1:4" x14ac:dyDescent="0.3">
      <c r="A1035" s="43">
        <v>17300889</v>
      </c>
      <c r="B1035" s="43">
        <v>45000000</v>
      </c>
      <c r="D1035">
        <f t="shared" si="16"/>
        <v>-27699111</v>
      </c>
    </row>
    <row r="1036" spans="1:4" x14ac:dyDescent="0.3">
      <c r="A1036" s="42">
        <v>15527125</v>
      </c>
      <c r="B1036" s="42">
        <v>57000000</v>
      </c>
      <c r="D1036">
        <f t="shared" si="16"/>
        <v>-41472875</v>
      </c>
    </row>
    <row r="1037" spans="1:4" x14ac:dyDescent="0.3">
      <c r="A1037" s="43">
        <v>13560960</v>
      </c>
      <c r="B1037" s="43">
        <v>50000000</v>
      </c>
      <c r="D1037">
        <f t="shared" si="16"/>
        <v>-36439040</v>
      </c>
    </row>
    <row r="1038" spans="1:4" x14ac:dyDescent="0.3">
      <c r="A1038" s="42">
        <v>15523168</v>
      </c>
      <c r="B1038" s="42">
        <v>45000000</v>
      </c>
      <c r="D1038">
        <f t="shared" si="16"/>
        <v>-29476832</v>
      </c>
    </row>
    <row r="1039" spans="1:4" x14ac:dyDescent="0.3">
      <c r="A1039" s="43">
        <v>11146409</v>
      </c>
      <c r="B1039" s="43">
        <v>45000000</v>
      </c>
      <c r="D1039">
        <f t="shared" si="16"/>
        <v>-33853591</v>
      </c>
    </row>
    <row r="1040" spans="1:4" x14ac:dyDescent="0.3">
      <c r="A1040" s="42">
        <v>7916887</v>
      </c>
      <c r="B1040" s="42">
        <v>45000000</v>
      </c>
      <c r="D1040">
        <f t="shared" si="16"/>
        <v>-37083113</v>
      </c>
    </row>
    <row r="1041" spans="1:4" x14ac:dyDescent="0.3">
      <c r="A1041" s="43">
        <v>6565495</v>
      </c>
      <c r="B1041" s="43">
        <v>45000000</v>
      </c>
      <c r="D1041">
        <f t="shared" si="16"/>
        <v>-38434505</v>
      </c>
    </row>
    <row r="1042" spans="1:4" x14ac:dyDescent="0.3">
      <c r="A1042" s="42">
        <v>15279680</v>
      </c>
      <c r="B1042" s="42">
        <v>40000000</v>
      </c>
      <c r="D1042">
        <f t="shared" si="16"/>
        <v>-24720320</v>
      </c>
    </row>
    <row r="1043" spans="1:4" x14ac:dyDescent="0.3">
      <c r="A1043" s="43">
        <v>7262288</v>
      </c>
      <c r="B1043" s="43">
        <v>40000000</v>
      </c>
      <c r="D1043">
        <f t="shared" si="16"/>
        <v>-32737712</v>
      </c>
    </row>
    <row r="1044" spans="1:4" x14ac:dyDescent="0.3">
      <c r="A1044" s="42">
        <v>4584886</v>
      </c>
      <c r="B1044" s="42">
        <v>45000000</v>
      </c>
      <c r="D1044">
        <f t="shared" si="16"/>
        <v>-40415114</v>
      </c>
    </row>
    <row r="1045" spans="1:4" x14ac:dyDescent="0.3">
      <c r="A1045" s="43">
        <v>2154540</v>
      </c>
      <c r="B1045" s="43">
        <v>45000000</v>
      </c>
      <c r="D1045">
        <f t="shared" si="16"/>
        <v>-42845460</v>
      </c>
    </row>
    <row r="1046" spans="1:4" x14ac:dyDescent="0.3">
      <c r="A1046" s="42">
        <v>8129455</v>
      </c>
      <c r="B1046" s="42">
        <v>45000000</v>
      </c>
      <c r="D1046">
        <f t="shared" si="16"/>
        <v>-36870545</v>
      </c>
    </row>
    <row r="1047" spans="1:4" x14ac:dyDescent="0.3">
      <c r="A1047" s="43">
        <v>136019448</v>
      </c>
      <c r="B1047" s="43">
        <v>44500000</v>
      </c>
      <c r="D1047">
        <f t="shared" si="16"/>
        <v>91519448</v>
      </c>
    </row>
    <row r="1048" spans="1:4" x14ac:dyDescent="0.3">
      <c r="A1048" s="42">
        <v>183875760</v>
      </c>
      <c r="B1048" s="42">
        <v>44000000</v>
      </c>
      <c r="D1048">
        <f t="shared" si="16"/>
        <v>139875760</v>
      </c>
    </row>
    <row r="1049" spans="1:4" x14ac:dyDescent="0.3">
      <c r="A1049" s="43">
        <v>67061228</v>
      </c>
      <c r="B1049" s="43">
        <v>40000000</v>
      </c>
      <c r="D1049">
        <f t="shared" si="16"/>
        <v>27061228</v>
      </c>
    </row>
    <row r="1050" spans="1:4" x14ac:dyDescent="0.3">
      <c r="A1050" s="42">
        <v>53300852</v>
      </c>
      <c r="B1050" s="42">
        <v>44000000</v>
      </c>
      <c r="D1050">
        <f t="shared" si="16"/>
        <v>9300852</v>
      </c>
    </row>
    <row r="1051" spans="1:4" x14ac:dyDescent="0.3">
      <c r="A1051" s="43">
        <v>150415432</v>
      </c>
      <c r="B1051" s="43">
        <v>44000000</v>
      </c>
      <c r="D1051">
        <f t="shared" si="16"/>
        <v>106415432</v>
      </c>
    </row>
    <row r="1052" spans="1:4" x14ac:dyDescent="0.3">
      <c r="A1052" s="42">
        <v>44834712</v>
      </c>
      <c r="B1052" s="42">
        <v>44000000</v>
      </c>
      <c r="D1052">
        <f t="shared" si="16"/>
        <v>834712</v>
      </c>
    </row>
    <row r="1053" spans="1:4" x14ac:dyDescent="0.3">
      <c r="A1053" s="43">
        <v>84300000</v>
      </c>
      <c r="B1053" s="43">
        <v>2600000</v>
      </c>
      <c r="D1053">
        <f t="shared" si="16"/>
        <v>81700000</v>
      </c>
    </row>
    <row r="1054" spans="1:4" x14ac:dyDescent="0.3">
      <c r="A1054" s="42">
        <v>1500000</v>
      </c>
      <c r="B1054" s="42">
        <v>44000000</v>
      </c>
      <c r="D1054">
        <f t="shared" si="16"/>
        <v>-42500000</v>
      </c>
    </row>
    <row r="1055" spans="1:4" x14ac:dyDescent="0.3">
      <c r="A1055" s="43">
        <v>62318875</v>
      </c>
      <c r="B1055" s="43">
        <v>50000000</v>
      </c>
      <c r="D1055">
        <f t="shared" si="16"/>
        <v>12318875</v>
      </c>
    </row>
    <row r="1056" spans="1:4" x14ac:dyDescent="0.3">
      <c r="A1056" s="42">
        <v>5773519</v>
      </c>
      <c r="B1056" s="42">
        <v>40000000</v>
      </c>
      <c r="D1056">
        <f t="shared" si="16"/>
        <v>-34226481</v>
      </c>
    </row>
    <row r="1057" spans="1:4" x14ac:dyDescent="0.3">
      <c r="A1057" s="43">
        <v>51768623</v>
      </c>
      <c r="B1057" s="43">
        <v>43000000</v>
      </c>
      <c r="D1057">
        <f t="shared" si="16"/>
        <v>8768623</v>
      </c>
    </row>
    <row r="1058" spans="1:4" x14ac:dyDescent="0.3">
      <c r="A1058" s="42">
        <v>37035515</v>
      </c>
      <c r="B1058" s="42">
        <v>43000000</v>
      </c>
      <c r="D1058">
        <f t="shared" si="16"/>
        <v>-5964485</v>
      </c>
    </row>
    <row r="1059" spans="1:4" x14ac:dyDescent="0.3">
      <c r="A1059" s="43">
        <v>24520892</v>
      </c>
      <c r="B1059" s="43">
        <v>45000000</v>
      </c>
      <c r="D1059">
        <f t="shared" si="16"/>
        <v>-20479108</v>
      </c>
    </row>
    <row r="1060" spans="1:4" x14ac:dyDescent="0.3">
      <c r="A1060" s="42">
        <v>24430272</v>
      </c>
      <c r="B1060" s="42">
        <v>43000000</v>
      </c>
      <c r="D1060">
        <f t="shared" si="16"/>
        <v>-18569728</v>
      </c>
    </row>
    <row r="1061" spans="1:4" x14ac:dyDescent="0.3">
      <c r="A1061" s="43">
        <v>158348400</v>
      </c>
      <c r="B1061" s="43">
        <v>42000000</v>
      </c>
      <c r="D1061">
        <f t="shared" si="16"/>
        <v>116348400</v>
      </c>
    </row>
    <row r="1062" spans="1:4" x14ac:dyDescent="0.3">
      <c r="A1062" s="42">
        <v>31136950</v>
      </c>
      <c r="B1062" s="42">
        <v>44000000</v>
      </c>
      <c r="D1062">
        <f t="shared" si="16"/>
        <v>-12863050</v>
      </c>
    </row>
    <row r="1063" spans="1:4" x14ac:dyDescent="0.3">
      <c r="A1063" s="43">
        <v>29113588</v>
      </c>
      <c r="B1063" s="43">
        <v>40000000</v>
      </c>
      <c r="D1063">
        <f t="shared" si="16"/>
        <v>-10886412</v>
      </c>
    </row>
    <row r="1064" spans="1:4" x14ac:dyDescent="0.3">
      <c r="A1064" s="42">
        <v>138447667</v>
      </c>
      <c r="B1064" s="42">
        <v>42000000</v>
      </c>
      <c r="D1064">
        <f t="shared" si="16"/>
        <v>96447667</v>
      </c>
    </row>
    <row r="1065" spans="1:4" x14ac:dyDescent="0.3">
      <c r="A1065" s="43">
        <v>116006080</v>
      </c>
      <c r="B1065" s="43">
        <v>42000000</v>
      </c>
      <c r="D1065">
        <f t="shared" si="16"/>
        <v>74006080</v>
      </c>
    </row>
    <row r="1066" spans="1:4" x14ac:dyDescent="0.3">
      <c r="A1066" s="42">
        <v>106793915</v>
      </c>
      <c r="B1066" s="42">
        <v>45000000</v>
      </c>
      <c r="D1066">
        <f t="shared" si="16"/>
        <v>61793915</v>
      </c>
    </row>
    <row r="1067" spans="1:4" x14ac:dyDescent="0.3">
      <c r="A1067" s="43">
        <v>87856565</v>
      </c>
      <c r="B1067" s="43">
        <v>42000000</v>
      </c>
      <c r="D1067">
        <f t="shared" si="16"/>
        <v>45856565</v>
      </c>
    </row>
    <row r="1068" spans="1:4" x14ac:dyDescent="0.3">
      <c r="A1068" s="42">
        <v>70100000</v>
      </c>
      <c r="B1068" s="42">
        <v>40000000</v>
      </c>
      <c r="D1068">
        <f t="shared" si="16"/>
        <v>30100000</v>
      </c>
    </row>
    <row r="1069" spans="1:4" x14ac:dyDescent="0.3">
      <c r="A1069" s="43">
        <v>159578352</v>
      </c>
      <c r="B1069" s="43">
        <v>43000000</v>
      </c>
      <c r="D1069">
        <f t="shared" si="16"/>
        <v>116578352</v>
      </c>
    </row>
    <row r="1070" spans="1:4" x14ac:dyDescent="0.3">
      <c r="A1070" s="42">
        <v>57750000</v>
      </c>
      <c r="B1070" s="42">
        <v>31115000</v>
      </c>
      <c r="D1070">
        <f t="shared" si="16"/>
        <v>26635000</v>
      </c>
    </row>
    <row r="1071" spans="1:4" x14ac:dyDescent="0.3">
      <c r="A1071" s="43">
        <v>45290318</v>
      </c>
      <c r="B1071" s="43">
        <v>42000000</v>
      </c>
      <c r="D1071">
        <f t="shared" si="16"/>
        <v>3290318</v>
      </c>
    </row>
    <row r="1072" spans="1:4" x14ac:dyDescent="0.3">
      <c r="A1072" s="42">
        <v>41543207</v>
      </c>
      <c r="B1072" s="42">
        <v>42000000</v>
      </c>
      <c r="D1072">
        <f t="shared" si="16"/>
        <v>-456793</v>
      </c>
    </row>
    <row r="1073" spans="1:4" x14ac:dyDescent="0.3">
      <c r="A1073" s="43">
        <v>41252428</v>
      </c>
      <c r="B1073" s="43">
        <v>42000000</v>
      </c>
      <c r="D1073">
        <f t="shared" si="16"/>
        <v>-747572</v>
      </c>
    </row>
    <row r="1074" spans="1:4" x14ac:dyDescent="0.3">
      <c r="A1074" s="42">
        <v>35228696</v>
      </c>
      <c r="B1074" s="42">
        <v>32000000</v>
      </c>
      <c r="D1074">
        <f t="shared" si="16"/>
        <v>3228696</v>
      </c>
    </row>
    <row r="1075" spans="1:4" x14ac:dyDescent="0.3">
      <c r="A1075" s="43">
        <v>59992760</v>
      </c>
      <c r="B1075" s="43">
        <v>42000000</v>
      </c>
      <c r="D1075">
        <f t="shared" si="16"/>
        <v>17992760</v>
      </c>
    </row>
    <row r="1076" spans="1:4" x14ac:dyDescent="0.3">
      <c r="A1076" s="42">
        <v>34667015</v>
      </c>
      <c r="B1076" s="42">
        <v>32000000</v>
      </c>
      <c r="D1076">
        <f t="shared" si="16"/>
        <v>2667015</v>
      </c>
    </row>
    <row r="1077" spans="1:4" x14ac:dyDescent="0.3">
      <c r="A1077" s="43">
        <v>37652565</v>
      </c>
      <c r="B1077" s="43">
        <v>42000000</v>
      </c>
      <c r="D1077">
        <f t="shared" si="16"/>
        <v>-4347435</v>
      </c>
    </row>
    <row r="1078" spans="1:4" x14ac:dyDescent="0.3">
      <c r="A1078" s="42">
        <v>24375436</v>
      </c>
      <c r="B1078" s="42">
        <v>42000000</v>
      </c>
      <c r="D1078">
        <f t="shared" si="16"/>
        <v>-17624564</v>
      </c>
    </row>
    <row r="1079" spans="1:4" x14ac:dyDescent="0.3">
      <c r="A1079" s="43">
        <v>20915465</v>
      </c>
      <c r="B1079" s="43">
        <v>42000000</v>
      </c>
      <c r="D1079">
        <f t="shared" si="16"/>
        <v>-21084535</v>
      </c>
    </row>
    <row r="1080" spans="1:4" x14ac:dyDescent="0.3">
      <c r="A1080" s="42">
        <v>24127895</v>
      </c>
      <c r="B1080" s="42">
        <v>50000000</v>
      </c>
      <c r="D1080">
        <f t="shared" si="16"/>
        <v>-25872105</v>
      </c>
    </row>
    <row r="1081" spans="1:4" x14ac:dyDescent="0.3">
      <c r="A1081" s="43">
        <v>84961</v>
      </c>
      <c r="B1081" s="43">
        <v>31000000</v>
      </c>
      <c r="D1081">
        <f t="shared" si="16"/>
        <v>-30915039</v>
      </c>
    </row>
    <row r="1082" spans="1:4" x14ac:dyDescent="0.3">
      <c r="A1082" s="42">
        <v>26404753</v>
      </c>
      <c r="B1082" s="42">
        <v>40000000</v>
      </c>
      <c r="D1082">
        <f t="shared" si="16"/>
        <v>-13595247</v>
      </c>
    </row>
    <row r="1083" spans="1:4" x14ac:dyDescent="0.3">
      <c r="A1083" s="43">
        <v>6105175</v>
      </c>
      <c r="B1083" s="43">
        <v>44000000</v>
      </c>
      <c r="D1083">
        <f t="shared" si="16"/>
        <v>-37894825</v>
      </c>
    </row>
    <row r="1084" spans="1:4" x14ac:dyDescent="0.3">
      <c r="A1084" s="42">
        <v>5664251</v>
      </c>
      <c r="B1084" s="42">
        <v>45000000</v>
      </c>
      <c r="D1084">
        <f t="shared" si="16"/>
        <v>-39335749</v>
      </c>
    </row>
    <row r="1085" spans="1:4" x14ac:dyDescent="0.3">
      <c r="A1085" s="43">
        <v>1260917</v>
      </c>
      <c r="B1085" s="43">
        <v>27000000</v>
      </c>
      <c r="D1085">
        <f t="shared" si="16"/>
        <v>-25739083</v>
      </c>
    </row>
    <row r="1086" spans="1:4" x14ac:dyDescent="0.3">
      <c r="A1086" s="42">
        <v>116724075</v>
      </c>
      <c r="B1086" s="42">
        <v>41000000</v>
      </c>
      <c r="D1086">
        <f t="shared" si="16"/>
        <v>75724075</v>
      </c>
    </row>
    <row r="1087" spans="1:4" x14ac:dyDescent="0.3">
      <c r="A1087" s="43">
        <v>56083966</v>
      </c>
      <c r="B1087" s="43">
        <v>65000000</v>
      </c>
      <c r="D1087">
        <f t="shared" si="16"/>
        <v>-8916034</v>
      </c>
    </row>
    <row r="1088" spans="1:4" x14ac:dyDescent="0.3">
      <c r="A1088" s="42">
        <v>22108977</v>
      </c>
      <c r="B1088" s="42">
        <v>41000000</v>
      </c>
      <c r="D1088">
        <f t="shared" si="16"/>
        <v>-18891023</v>
      </c>
    </row>
    <row r="1089" spans="1:4" x14ac:dyDescent="0.3">
      <c r="A1089" s="43">
        <v>293501675</v>
      </c>
      <c r="B1089" s="43">
        <v>40000000</v>
      </c>
      <c r="D1089">
        <f t="shared" si="16"/>
        <v>253501675</v>
      </c>
    </row>
    <row r="1090" spans="1:4" x14ac:dyDescent="0.3">
      <c r="A1090" s="42">
        <v>18600911</v>
      </c>
      <c r="B1090" s="42">
        <v>42000000</v>
      </c>
      <c r="D1090">
        <f t="shared" ref="D1090:D1153" si="17">A1090-B1090</f>
        <v>-23399089</v>
      </c>
    </row>
    <row r="1091" spans="1:4" x14ac:dyDescent="0.3">
      <c r="A1091" s="43">
        <v>7204138</v>
      </c>
      <c r="B1091" s="43">
        <v>41000000</v>
      </c>
      <c r="D1091">
        <f t="shared" si="17"/>
        <v>-33795862</v>
      </c>
    </row>
    <row r="1092" spans="1:4" x14ac:dyDescent="0.3">
      <c r="A1092" s="42">
        <v>90800000</v>
      </c>
      <c r="B1092" s="42">
        <v>8000000</v>
      </c>
      <c r="D1092">
        <f t="shared" si="17"/>
        <v>82800000</v>
      </c>
    </row>
    <row r="1093" spans="1:4" x14ac:dyDescent="0.3">
      <c r="A1093" s="43">
        <v>150117807</v>
      </c>
      <c r="B1093" s="43">
        <v>40000000</v>
      </c>
      <c r="D1093">
        <f t="shared" si="17"/>
        <v>110117807</v>
      </c>
    </row>
    <row r="1094" spans="1:4" x14ac:dyDescent="0.3">
      <c r="A1094" s="42">
        <v>163947053</v>
      </c>
      <c r="B1094" s="42">
        <v>40000000</v>
      </c>
      <c r="D1094">
        <f t="shared" si="17"/>
        <v>123947053</v>
      </c>
    </row>
    <row r="1095" spans="1:4" x14ac:dyDescent="0.3">
      <c r="A1095" s="43">
        <v>116735231</v>
      </c>
      <c r="B1095" s="43">
        <v>70000000</v>
      </c>
      <c r="D1095">
        <f t="shared" si="17"/>
        <v>46735231</v>
      </c>
    </row>
    <row r="1096" spans="1:4" x14ac:dyDescent="0.3">
      <c r="A1096" s="42">
        <v>118500000</v>
      </c>
      <c r="B1096" s="42">
        <v>40000000</v>
      </c>
      <c r="D1096">
        <f t="shared" si="17"/>
        <v>78500000</v>
      </c>
    </row>
    <row r="1097" spans="1:4" x14ac:dyDescent="0.3">
      <c r="A1097" s="43">
        <v>126546825</v>
      </c>
      <c r="B1097" s="43">
        <v>40000000</v>
      </c>
      <c r="D1097">
        <f t="shared" si="17"/>
        <v>86546825</v>
      </c>
    </row>
    <row r="1098" spans="1:4" x14ac:dyDescent="0.3">
      <c r="A1098" s="42">
        <v>166147885</v>
      </c>
      <c r="B1098" s="42">
        <v>40000000</v>
      </c>
      <c r="D1098">
        <f t="shared" si="17"/>
        <v>126147885</v>
      </c>
    </row>
    <row r="1099" spans="1:4" x14ac:dyDescent="0.3">
      <c r="A1099" s="43">
        <v>111760631</v>
      </c>
      <c r="B1099" s="43">
        <v>38000000</v>
      </c>
      <c r="D1099">
        <f t="shared" si="17"/>
        <v>73760631</v>
      </c>
    </row>
    <row r="1100" spans="1:4" x14ac:dyDescent="0.3">
      <c r="A1100" s="42">
        <v>108706165</v>
      </c>
      <c r="B1100" s="42">
        <v>40000000</v>
      </c>
      <c r="D1100">
        <f t="shared" si="17"/>
        <v>68706165</v>
      </c>
    </row>
    <row r="1101" spans="1:4" x14ac:dyDescent="0.3">
      <c r="A1101" s="43">
        <v>138614544</v>
      </c>
      <c r="B1101" s="43">
        <v>40000000</v>
      </c>
      <c r="D1101">
        <f t="shared" si="17"/>
        <v>98614544</v>
      </c>
    </row>
    <row r="1102" spans="1:4" x14ac:dyDescent="0.3">
      <c r="A1102" s="42">
        <v>125069696</v>
      </c>
      <c r="B1102" s="42">
        <v>40000000</v>
      </c>
      <c r="D1102">
        <f t="shared" si="17"/>
        <v>85069696</v>
      </c>
    </row>
    <row r="1103" spans="1:4" x14ac:dyDescent="0.3">
      <c r="A1103" s="43">
        <v>107458785</v>
      </c>
      <c r="B1103" s="43">
        <v>40000000</v>
      </c>
      <c r="D1103">
        <f t="shared" si="17"/>
        <v>67458785</v>
      </c>
    </row>
    <row r="1104" spans="1:4" x14ac:dyDescent="0.3">
      <c r="A1104" s="42">
        <v>102310175</v>
      </c>
      <c r="B1104" s="42">
        <v>40000000</v>
      </c>
      <c r="D1104">
        <f t="shared" si="17"/>
        <v>62310175</v>
      </c>
    </row>
    <row r="1105" spans="1:4" x14ac:dyDescent="0.3">
      <c r="A1105" s="43">
        <v>96917897</v>
      </c>
      <c r="B1105" s="43">
        <v>40000000</v>
      </c>
      <c r="D1105">
        <f t="shared" si="17"/>
        <v>56917897</v>
      </c>
    </row>
    <row r="1106" spans="1:4" x14ac:dyDescent="0.3">
      <c r="A1106" s="42">
        <v>93952276</v>
      </c>
      <c r="B1106" s="42">
        <v>40000000</v>
      </c>
      <c r="D1106">
        <f t="shared" si="17"/>
        <v>53952276</v>
      </c>
    </row>
    <row r="1107" spans="1:4" x14ac:dyDescent="0.3">
      <c r="A1107" s="43">
        <v>90703745</v>
      </c>
      <c r="B1107" s="43">
        <v>45000000</v>
      </c>
      <c r="D1107">
        <f t="shared" si="17"/>
        <v>45703745</v>
      </c>
    </row>
    <row r="1108" spans="1:4" x14ac:dyDescent="0.3">
      <c r="A1108" s="42">
        <v>89138076</v>
      </c>
      <c r="B1108" s="42">
        <v>40000000</v>
      </c>
      <c r="D1108">
        <f t="shared" si="17"/>
        <v>49138076</v>
      </c>
    </row>
    <row r="1109" spans="1:4" x14ac:dyDescent="0.3">
      <c r="A1109" s="43">
        <v>87666629</v>
      </c>
      <c r="B1109" s="43">
        <v>40000000</v>
      </c>
      <c r="D1109">
        <f t="shared" si="17"/>
        <v>47666629</v>
      </c>
    </row>
    <row r="1110" spans="1:4" x14ac:dyDescent="0.3">
      <c r="A1110" s="42">
        <v>90353764</v>
      </c>
      <c r="B1110" s="42">
        <v>40000000</v>
      </c>
      <c r="D1110">
        <f t="shared" si="17"/>
        <v>50353764</v>
      </c>
    </row>
    <row r="1111" spans="1:4" x14ac:dyDescent="0.3">
      <c r="A1111" s="43">
        <v>82522790</v>
      </c>
      <c r="B1111" s="43">
        <v>40000000</v>
      </c>
      <c r="D1111">
        <f t="shared" si="17"/>
        <v>42522790</v>
      </c>
    </row>
    <row r="1112" spans="1:4" x14ac:dyDescent="0.3">
      <c r="A1112" s="42">
        <v>94125426</v>
      </c>
      <c r="B1112" s="42">
        <v>40000000</v>
      </c>
      <c r="D1112">
        <f t="shared" si="17"/>
        <v>54125426</v>
      </c>
    </row>
    <row r="1113" spans="1:4" x14ac:dyDescent="0.3">
      <c r="A1113" s="43">
        <v>95001343</v>
      </c>
      <c r="B1113" s="43">
        <v>40000000</v>
      </c>
      <c r="D1113">
        <f t="shared" si="17"/>
        <v>55001343</v>
      </c>
    </row>
    <row r="1114" spans="1:4" x14ac:dyDescent="0.3">
      <c r="A1114" s="42">
        <v>81292135</v>
      </c>
      <c r="B1114" s="42">
        <v>40000000</v>
      </c>
      <c r="D1114">
        <f t="shared" si="17"/>
        <v>41292135</v>
      </c>
    </row>
    <row r="1115" spans="1:4" x14ac:dyDescent="0.3">
      <c r="A1115" s="43">
        <v>81593527</v>
      </c>
      <c r="B1115" s="43">
        <v>40000000</v>
      </c>
      <c r="D1115">
        <f t="shared" si="17"/>
        <v>41593527</v>
      </c>
    </row>
    <row r="1116" spans="1:4" x14ac:dyDescent="0.3">
      <c r="A1116" s="42">
        <v>75274748</v>
      </c>
      <c r="B1116" s="42">
        <v>35000000</v>
      </c>
      <c r="D1116">
        <f t="shared" si="17"/>
        <v>40274748</v>
      </c>
    </row>
    <row r="1117" spans="1:4" x14ac:dyDescent="0.3">
      <c r="A1117" s="43">
        <v>90835030</v>
      </c>
      <c r="B1117" s="43">
        <v>40000000</v>
      </c>
      <c r="D1117">
        <f t="shared" si="17"/>
        <v>50835030</v>
      </c>
    </row>
    <row r="1118" spans="1:4" x14ac:dyDescent="0.3">
      <c r="A1118" s="42">
        <v>72455275</v>
      </c>
      <c r="B1118" s="42">
        <v>40000000</v>
      </c>
      <c r="D1118">
        <f t="shared" si="17"/>
        <v>32455275</v>
      </c>
    </row>
    <row r="1119" spans="1:4" x14ac:dyDescent="0.3">
      <c r="A1119" s="43">
        <v>75305995</v>
      </c>
      <c r="B1119" s="43">
        <v>40000000</v>
      </c>
      <c r="D1119">
        <f t="shared" si="17"/>
        <v>35305995</v>
      </c>
    </row>
    <row r="1120" spans="1:4" x14ac:dyDescent="0.3">
      <c r="A1120" s="42">
        <v>74098862</v>
      </c>
      <c r="B1120" s="42">
        <v>40000000</v>
      </c>
      <c r="D1120">
        <f t="shared" si="17"/>
        <v>34098862</v>
      </c>
    </row>
    <row r="1121" spans="1:4" x14ac:dyDescent="0.3">
      <c r="A1121" s="43">
        <v>72266306</v>
      </c>
      <c r="B1121" s="43">
        <v>40000000</v>
      </c>
      <c r="D1121">
        <f t="shared" si="17"/>
        <v>32266306</v>
      </c>
    </row>
    <row r="1122" spans="1:4" x14ac:dyDescent="0.3">
      <c r="A1122" s="42">
        <v>71347010</v>
      </c>
      <c r="B1122" s="42">
        <v>40000000</v>
      </c>
      <c r="D1122">
        <f t="shared" si="17"/>
        <v>31347010</v>
      </c>
    </row>
    <row r="1123" spans="1:4" x14ac:dyDescent="0.3">
      <c r="A1123" s="43">
        <v>70836296</v>
      </c>
      <c r="B1123" s="43">
        <v>40000000</v>
      </c>
      <c r="D1123">
        <f t="shared" si="17"/>
        <v>30836296</v>
      </c>
    </row>
    <row r="1124" spans="1:4" x14ac:dyDescent="0.3">
      <c r="A1124" s="42">
        <v>70405498</v>
      </c>
      <c r="B1124" s="42">
        <v>40000000</v>
      </c>
      <c r="D1124">
        <f t="shared" si="17"/>
        <v>30405498</v>
      </c>
    </row>
    <row r="1125" spans="1:4" x14ac:dyDescent="0.3">
      <c r="A1125" s="43">
        <v>70163652</v>
      </c>
      <c r="B1125" s="43">
        <v>40000000</v>
      </c>
      <c r="D1125">
        <f t="shared" si="17"/>
        <v>30163652</v>
      </c>
    </row>
    <row r="1126" spans="1:4" x14ac:dyDescent="0.3">
      <c r="A1126" s="42">
        <v>66808615</v>
      </c>
      <c r="B1126" s="42">
        <v>34000000</v>
      </c>
      <c r="D1126">
        <f t="shared" si="17"/>
        <v>32808615</v>
      </c>
    </row>
    <row r="1127" spans="1:4" x14ac:dyDescent="0.3">
      <c r="A1127" s="43">
        <v>64149837</v>
      </c>
      <c r="B1127" s="43">
        <v>20000000</v>
      </c>
      <c r="D1127">
        <f t="shared" si="17"/>
        <v>44149837</v>
      </c>
    </row>
    <row r="1128" spans="1:4" x14ac:dyDescent="0.3">
      <c r="A1128" s="42">
        <v>83906114</v>
      </c>
      <c r="B1128" s="42">
        <v>40000000</v>
      </c>
      <c r="D1128">
        <f t="shared" si="17"/>
        <v>43906114</v>
      </c>
    </row>
    <row r="1129" spans="1:4" x14ac:dyDescent="0.3">
      <c r="A1129" s="43">
        <v>66466372</v>
      </c>
      <c r="B1129" s="43">
        <v>40000000</v>
      </c>
      <c r="D1129">
        <f t="shared" si="17"/>
        <v>26466372</v>
      </c>
    </row>
    <row r="1130" spans="1:4" x14ac:dyDescent="0.3">
      <c r="A1130" s="42">
        <v>72306065</v>
      </c>
      <c r="B1130" s="42">
        <v>40000000</v>
      </c>
      <c r="D1130">
        <f t="shared" si="17"/>
        <v>32306065</v>
      </c>
    </row>
    <row r="1131" spans="1:4" x14ac:dyDescent="0.3">
      <c r="A1131" s="43">
        <v>59068786</v>
      </c>
      <c r="B1131" s="43">
        <v>40000000</v>
      </c>
      <c r="D1131">
        <f t="shared" si="17"/>
        <v>19068786</v>
      </c>
    </row>
    <row r="1132" spans="1:4" x14ac:dyDescent="0.3">
      <c r="A1132" s="42">
        <v>57887882</v>
      </c>
      <c r="B1132" s="42">
        <v>50000000</v>
      </c>
      <c r="D1132">
        <f t="shared" si="17"/>
        <v>7887882</v>
      </c>
    </row>
    <row r="1133" spans="1:4" x14ac:dyDescent="0.3">
      <c r="A1133" s="43">
        <v>53955614</v>
      </c>
      <c r="B1133" s="43">
        <v>40000000</v>
      </c>
      <c r="D1133">
        <f t="shared" si="17"/>
        <v>13955614</v>
      </c>
    </row>
    <row r="1134" spans="1:4" x14ac:dyDescent="0.3">
      <c r="A1134" s="42">
        <v>54967359</v>
      </c>
      <c r="B1134" s="42">
        <v>40000000</v>
      </c>
      <c r="D1134">
        <f t="shared" si="17"/>
        <v>14967359</v>
      </c>
    </row>
    <row r="1135" spans="1:4" x14ac:dyDescent="0.3">
      <c r="A1135" s="43">
        <v>54228104</v>
      </c>
      <c r="B1135" s="43">
        <v>35000000</v>
      </c>
      <c r="D1135">
        <f t="shared" si="17"/>
        <v>19228104</v>
      </c>
    </row>
    <row r="1136" spans="1:4" x14ac:dyDescent="0.3">
      <c r="A1136" s="42">
        <v>57981889</v>
      </c>
      <c r="B1136" s="42">
        <v>40000000</v>
      </c>
      <c r="D1136">
        <f t="shared" si="17"/>
        <v>17981889</v>
      </c>
    </row>
    <row r="1137" spans="1:4" x14ac:dyDescent="0.3">
      <c r="A1137" s="43">
        <v>61094903</v>
      </c>
      <c r="B1137" s="43">
        <v>30000000</v>
      </c>
      <c r="D1137">
        <f t="shared" si="17"/>
        <v>31094903</v>
      </c>
    </row>
    <row r="1138" spans="1:4" x14ac:dyDescent="0.3">
      <c r="A1138" s="42">
        <v>53082743</v>
      </c>
      <c r="B1138" s="42">
        <v>40000000</v>
      </c>
      <c r="D1138">
        <f t="shared" si="17"/>
        <v>13082743</v>
      </c>
    </row>
    <row r="1139" spans="1:4" x14ac:dyDescent="0.3">
      <c r="A1139" s="43">
        <v>54414716</v>
      </c>
      <c r="B1139" s="43">
        <v>42000000</v>
      </c>
      <c r="D1139">
        <f t="shared" si="17"/>
        <v>12414716</v>
      </c>
    </row>
    <row r="1140" spans="1:4" x14ac:dyDescent="0.3">
      <c r="A1140" s="42">
        <v>57011847</v>
      </c>
      <c r="B1140" s="42">
        <v>40000000</v>
      </c>
      <c r="D1140">
        <f t="shared" si="17"/>
        <v>17011847</v>
      </c>
    </row>
    <row r="1141" spans="1:4" x14ac:dyDescent="0.3">
      <c r="A1141" s="43">
        <v>50859889</v>
      </c>
      <c r="B1141" s="43">
        <v>40000000</v>
      </c>
      <c r="D1141">
        <f t="shared" si="17"/>
        <v>10859889</v>
      </c>
    </row>
    <row r="1142" spans="1:4" x14ac:dyDescent="0.3">
      <c r="A1142" s="42">
        <v>51185897</v>
      </c>
      <c r="B1142" s="42">
        <v>30000000</v>
      </c>
      <c r="D1142">
        <f t="shared" si="17"/>
        <v>21185897</v>
      </c>
    </row>
    <row r="1143" spans="1:4" x14ac:dyDescent="0.3">
      <c r="A1143" s="43">
        <v>52000688</v>
      </c>
      <c r="B1143" s="43">
        <v>40000000</v>
      </c>
      <c r="D1143">
        <f t="shared" si="17"/>
        <v>12000688</v>
      </c>
    </row>
    <row r="1144" spans="1:4" x14ac:dyDescent="0.3">
      <c r="A1144" s="42">
        <v>49851591</v>
      </c>
      <c r="B1144" s="42">
        <v>40000000</v>
      </c>
      <c r="D1144">
        <f t="shared" si="17"/>
        <v>9851591</v>
      </c>
    </row>
    <row r="1145" spans="1:4" x14ac:dyDescent="0.3">
      <c r="A1145" s="43">
        <v>47781388</v>
      </c>
      <c r="B1145" s="43">
        <v>40000000</v>
      </c>
      <c r="D1145">
        <f t="shared" si="17"/>
        <v>7781388</v>
      </c>
    </row>
    <row r="1146" spans="1:4" x14ac:dyDescent="0.3">
      <c r="A1146" s="42">
        <v>52320979</v>
      </c>
      <c r="B1146" s="42">
        <v>40000000</v>
      </c>
      <c r="D1146">
        <f t="shared" si="17"/>
        <v>12320979</v>
      </c>
    </row>
    <row r="1147" spans="1:4" x14ac:dyDescent="0.3">
      <c r="A1147" s="43">
        <v>47806295</v>
      </c>
      <c r="B1147" s="43">
        <v>43000000</v>
      </c>
      <c r="D1147">
        <f t="shared" si="17"/>
        <v>4806295</v>
      </c>
    </row>
    <row r="1148" spans="1:4" x14ac:dyDescent="0.3">
      <c r="A1148" s="42">
        <v>51853450</v>
      </c>
      <c r="B1148" s="42">
        <v>25000000</v>
      </c>
      <c r="D1148">
        <f t="shared" si="17"/>
        <v>26853450</v>
      </c>
    </row>
    <row r="1149" spans="1:4" x14ac:dyDescent="0.3">
      <c r="A1149" s="43">
        <v>46012734</v>
      </c>
      <c r="B1149" s="43">
        <v>40000000</v>
      </c>
      <c r="D1149">
        <f t="shared" si="17"/>
        <v>6012734</v>
      </c>
    </row>
    <row r="1150" spans="1:4" x14ac:dyDescent="0.3">
      <c r="A1150" s="42">
        <v>47034272</v>
      </c>
      <c r="B1150" s="42">
        <v>40000000</v>
      </c>
      <c r="D1150">
        <f t="shared" si="17"/>
        <v>7034272</v>
      </c>
    </row>
    <row r="1151" spans="1:4" x14ac:dyDescent="0.3">
      <c r="A1151" s="43">
        <v>45856732</v>
      </c>
      <c r="B1151" s="43">
        <v>40000000</v>
      </c>
      <c r="D1151">
        <f t="shared" si="17"/>
        <v>5856732</v>
      </c>
    </row>
    <row r="1152" spans="1:4" x14ac:dyDescent="0.3">
      <c r="A1152" s="42">
        <v>59588068</v>
      </c>
      <c r="B1152" s="42">
        <v>40000000</v>
      </c>
      <c r="D1152">
        <f t="shared" si="17"/>
        <v>19588068</v>
      </c>
    </row>
    <row r="1153" spans="1:4" x14ac:dyDescent="0.3">
      <c r="A1153" s="43">
        <v>44175394</v>
      </c>
      <c r="B1153" s="43">
        <v>36000000</v>
      </c>
      <c r="D1153">
        <f t="shared" si="17"/>
        <v>8175394</v>
      </c>
    </row>
    <row r="1154" spans="1:4" x14ac:dyDescent="0.3">
      <c r="A1154" s="42">
        <v>45500797</v>
      </c>
      <c r="B1154" s="42">
        <v>40000000</v>
      </c>
      <c r="D1154">
        <f t="shared" ref="D1154:D1217" si="18">A1154-B1154</f>
        <v>5500797</v>
      </c>
    </row>
    <row r="1155" spans="1:4" x14ac:dyDescent="0.3">
      <c r="A1155" s="43">
        <v>41797066</v>
      </c>
      <c r="B1155" s="43">
        <v>40000000</v>
      </c>
      <c r="D1155">
        <f t="shared" si="18"/>
        <v>1797066</v>
      </c>
    </row>
    <row r="1156" spans="1:4" x14ac:dyDescent="0.3">
      <c r="A1156" s="42">
        <v>37752931</v>
      </c>
      <c r="B1156" s="42">
        <v>40000000</v>
      </c>
      <c r="D1156">
        <f t="shared" si="18"/>
        <v>-2247069</v>
      </c>
    </row>
    <row r="1157" spans="1:4" x14ac:dyDescent="0.3">
      <c r="A1157" s="43">
        <v>37371385</v>
      </c>
      <c r="B1157" s="43">
        <v>40000000</v>
      </c>
      <c r="D1157">
        <f t="shared" si="18"/>
        <v>-2628615</v>
      </c>
    </row>
    <row r="1158" spans="1:4" x14ac:dyDescent="0.3">
      <c r="A1158" s="42">
        <v>37101011</v>
      </c>
      <c r="B1158" s="42">
        <v>40000000</v>
      </c>
      <c r="D1158">
        <f t="shared" si="18"/>
        <v>-2898989</v>
      </c>
    </row>
    <row r="1159" spans="1:4" x14ac:dyDescent="0.3">
      <c r="A1159" s="43">
        <v>38176892</v>
      </c>
      <c r="B1159" s="43">
        <v>40000000</v>
      </c>
      <c r="D1159">
        <f t="shared" si="18"/>
        <v>-1823108</v>
      </c>
    </row>
    <row r="1160" spans="1:4" x14ac:dyDescent="0.3">
      <c r="A1160" s="42">
        <v>36283504</v>
      </c>
      <c r="B1160" s="42">
        <v>40000000</v>
      </c>
      <c r="D1160">
        <f t="shared" si="18"/>
        <v>-3716496</v>
      </c>
    </row>
    <row r="1161" spans="1:4" x14ac:dyDescent="0.3">
      <c r="A1161" s="43">
        <v>35183792</v>
      </c>
      <c r="B1161" s="43">
        <v>38000000</v>
      </c>
      <c r="D1161">
        <f t="shared" si="18"/>
        <v>-2816208</v>
      </c>
    </row>
    <row r="1162" spans="1:4" x14ac:dyDescent="0.3">
      <c r="A1162" s="42">
        <v>38543473</v>
      </c>
      <c r="B1162" s="42">
        <v>40000000</v>
      </c>
      <c r="D1162">
        <f t="shared" si="18"/>
        <v>-1456527</v>
      </c>
    </row>
    <row r="1163" spans="1:4" x14ac:dyDescent="0.3">
      <c r="A1163" s="43">
        <v>36037909</v>
      </c>
      <c r="B1163" s="43">
        <v>60000000</v>
      </c>
      <c r="D1163">
        <f t="shared" si="18"/>
        <v>-23962091</v>
      </c>
    </row>
    <row r="1164" spans="1:4" x14ac:dyDescent="0.3">
      <c r="A1164" s="42">
        <v>42575718</v>
      </c>
      <c r="B1164" s="42">
        <v>40000000</v>
      </c>
      <c r="D1164">
        <f t="shared" si="18"/>
        <v>2575718</v>
      </c>
    </row>
    <row r="1165" spans="1:4" x14ac:dyDescent="0.3">
      <c r="A1165" s="43">
        <v>33864342</v>
      </c>
      <c r="B1165" s="43">
        <v>40000000</v>
      </c>
      <c r="D1165">
        <f t="shared" si="18"/>
        <v>-6135658</v>
      </c>
    </row>
    <row r="1166" spans="1:4" x14ac:dyDescent="0.3">
      <c r="A1166" s="42">
        <v>33508922</v>
      </c>
      <c r="B1166" s="42">
        <v>40000000</v>
      </c>
      <c r="D1166">
        <f t="shared" si="18"/>
        <v>-6491078</v>
      </c>
    </row>
    <row r="1167" spans="1:4" x14ac:dyDescent="0.3">
      <c r="A1167" s="43">
        <v>42071069</v>
      </c>
      <c r="B1167" s="43">
        <v>30000000</v>
      </c>
      <c r="D1167">
        <f t="shared" si="18"/>
        <v>12071069</v>
      </c>
    </row>
    <row r="1168" spans="1:4" x14ac:dyDescent="0.3">
      <c r="A1168" s="42">
        <v>32853640</v>
      </c>
      <c r="B1168" s="42">
        <v>40000000</v>
      </c>
      <c r="D1168">
        <f t="shared" si="18"/>
        <v>-7146360</v>
      </c>
    </row>
    <row r="1169" spans="1:4" x14ac:dyDescent="0.3">
      <c r="A1169" s="43">
        <v>42615685</v>
      </c>
      <c r="B1169" s="43">
        <v>40000000</v>
      </c>
      <c r="D1169">
        <f t="shared" si="18"/>
        <v>2615685</v>
      </c>
    </row>
    <row r="1170" spans="1:4" x14ac:dyDescent="0.3">
      <c r="A1170" s="42">
        <v>32055248</v>
      </c>
      <c r="B1170" s="42">
        <v>25000000</v>
      </c>
      <c r="D1170">
        <f t="shared" si="18"/>
        <v>7055248</v>
      </c>
    </row>
    <row r="1171" spans="1:4" x14ac:dyDescent="0.3">
      <c r="A1171" s="43">
        <v>31836745</v>
      </c>
      <c r="B1171" s="43">
        <v>40000000</v>
      </c>
      <c r="D1171">
        <f t="shared" si="18"/>
        <v>-8163255</v>
      </c>
    </row>
    <row r="1172" spans="1:4" x14ac:dyDescent="0.3">
      <c r="A1172" s="42">
        <v>30993544</v>
      </c>
      <c r="B1172" s="42">
        <v>40000000</v>
      </c>
      <c r="D1172">
        <f t="shared" si="18"/>
        <v>-9006456</v>
      </c>
    </row>
    <row r="1173" spans="1:4" x14ac:dyDescent="0.3">
      <c r="A1173" s="43">
        <v>30981850</v>
      </c>
      <c r="B1173" s="43">
        <v>40000000</v>
      </c>
      <c r="D1173">
        <f t="shared" si="18"/>
        <v>-9018150</v>
      </c>
    </row>
    <row r="1174" spans="1:4" x14ac:dyDescent="0.3">
      <c r="A1174" s="42">
        <v>30199105</v>
      </c>
      <c r="B1174" s="42">
        <v>40000000</v>
      </c>
      <c r="D1174">
        <f t="shared" si="18"/>
        <v>-9800895</v>
      </c>
    </row>
    <row r="1175" spans="1:4" x14ac:dyDescent="0.3">
      <c r="A1175" s="43">
        <v>29077547</v>
      </c>
      <c r="B1175" s="43">
        <v>40000000</v>
      </c>
      <c r="D1175">
        <f t="shared" si="18"/>
        <v>-10922453</v>
      </c>
    </row>
    <row r="1176" spans="1:4" x14ac:dyDescent="0.3">
      <c r="A1176" s="42">
        <v>29374178</v>
      </c>
      <c r="B1176" s="42">
        <v>40000000</v>
      </c>
      <c r="D1176">
        <f t="shared" si="18"/>
        <v>-10625822</v>
      </c>
    </row>
    <row r="1177" spans="1:4" x14ac:dyDescent="0.3">
      <c r="A1177" s="43">
        <v>28535768</v>
      </c>
      <c r="B1177" s="43">
        <v>40000000</v>
      </c>
      <c r="D1177">
        <f t="shared" si="18"/>
        <v>-11464232</v>
      </c>
    </row>
    <row r="1178" spans="1:4" x14ac:dyDescent="0.3">
      <c r="A1178" s="42">
        <v>27663982</v>
      </c>
      <c r="B1178" s="42">
        <v>40000000</v>
      </c>
      <c r="D1178">
        <f t="shared" si="18"/>
        <v>-12336018</v>
      </c>
    </row>
    <row r="1179" spans="1:4" x14ac:dyDescent="0.3">
      <c r="A1179" s="43">
        <v>27053815</v>
      </c>
      <c r="B1179" s="43">
        <v>40000000</v>
      </c>
      <c r="D1179">
        <f t="shared" si="18"/>
        <v>-12946185</v>
      </c>
    </row>
    <row r="1180" spans="1:4" x14ac:dyDescent="0.3">
      <c r="A1180" s="42">
        <v>26814957</v>
      </c>
      <c r="B1180" s="42">
        <v>35000000</v>
      </c>
      <c r="D1180">
        <f t="shared" si="18"/>
        <v>-8185043</v>
      </c>
    </row>
    <row r="1181" spans="1:4" x14ac:dyDescent="0.3">
      <c r="A1181" s="43">
        <v>25178165</v>
      </c>
      <c r="B1181" s="43">
        <v>40000000</v>
      </c>
      <c r="D1181">
        <f t="shared" si="18"/>
        <v>-14821835</v>
      </c>
    </row>
    <row r="1182" spans="1:4" x14ac:dyDescent="0.3">
      <c r="A1182" s="42">
        <v>25117498</v>
      </c>
      <c r="B1182" s="42">
        <v>40000000</v>
      </c>
      <c r="D1182">
        <f t="shared" si="18"/>
        <v>-14882502</v>
      </c>
    </row>
    <row r="1183" spans="1:4" x14ac:dyDescent="0.3">
      <c r="A1183" s="43">
        <v>32645</v>
      </c>
      <c r="B1183" s="43">
        <v>500000</v>
      </c>
      <c r="D1183">
        <f t="shared" si="18"/>
        <v>-467355</v>
      </c>
    </row>
    <row r="1184" spans="1:4" x14ac:dyDescent="0.3">
      <c r="A1184" s="42">
        <v>24332324</v>
      </c>
      <c r="B1184" s="42">
        <v>40000000</v>
      </c>
      <c r="D1184">
        <f t="shared" si="18"/>
        <v>-15667676</v>
      </c>
    </row>
    <row r="1185" spans="1:4" x14ac:dyDescent="0.3">
      <c r="A1185" s="43">
        <v>36665854</v>
      </c>
      <c r="B1185" s="43">
        <v>40000000</v>
      </c>
      <c r="D1185">
        <f t="shared" si="18"/>
        <v>-3334146</v>
      </c>
    </row>
    <row r="1186" spans="1:4" x14ac:dyDescent="0.3">
      <c r="A1186" s="42">
        <v>22717758</v>
      </c>
      <c r="B1186" s="42">
        <v>40000000</v>
      </c>
      <c r="D1186">
        <f t="shared" si="18"/>
        <v>-17282242</v>
      </c>
    </row>
    <row r="1187" spans="1:4" x14ac:dyDescent="0.3">
      <c r="A1187" s="43">
        <v>22433915</v>
      </c>
      <c r="B1187" s="43">
        <v>60000000</v>
      </c>
      <c r="D1187">
        <f t="shared" si="18"/>
        <v>-37566085</v>
      </c>
    </row>
    <row r="1188" spans="1:4" x14ac:dyDescent="0.3">
      <c r="A1188" s="42">
        <v>22326247</v>
      </c>
      <c r="B1188" s="42">
        <v>60000000</v>
      </c>
      <c r="D1188">
        <f t="shared" si="18"/>
        <v>-37673753</v>
      </c>
    </row>
    <row r="1189" spans="1:4" x14ac:dyDescent="0.3">
      <c r="A1189" s="43">
        <v>21176322</v>
      </c>
      <c r="B1189" s="43">
        <v>40000000</v>
      </c>
      <c r="D1189">
        <f t="shared" si="18"/>
        <v>-18823678</v>
      </c>
    </row>
    <row r="1190" spans="1:4" x14ac:dyDescent="0.3">
      <c r="A1190" s="42">
        <v>20300000</v>
      </c>
      <c r="B1190" s="42">
        <v>40000000</v>
      </c>
      <c r="D1190">
        <f t="shared" si="18"/>
        <v>-19700000</v>
      </c>
    </row>
    <row r="1191" spans="1:4" x14ac:dyDescent="0.3">
      <c r="A1191" s="43">
        <v>20302961</v>
      </c>
      <c r="B1191" s="43">
        <v>45000000</v>
      </c>
      <c r="D1191">
        <f t="shared" si="18"/>
        <v>-24697039</v>
      </c>
    </row>
    <row r="1192" spans="1:4" x14ac:dyDescent="0.3">
      <c r="A1192" s="42">
        <v>15962471</v>
      </c>
      <c r="B1192" s="42">
        <v>40000000</v>
      </c>
      <c r="D1192">
        <f t="shared" si="18"/>
        <v>-24037529</v>
      </c>
    </row>
    <row r="1193" spans="1:4" x14ac:dyDescent="0.3">
      <c r="A1193" s="43">
        <v>14942422</v>
      </c>
      <c r="B1193" s="43">
        <v>40000000</v>
      </c>
      <c r="D1193">
        <f t="shared" si="18"/>
        <v>-25057578</v>
      </c>
    </row>
    <row r="1194" spans="1:4" x14ac:dyDescent="0.3">
      <c r="A1194" s="42">
        <v>14967182</v>
      </c>
      <c r="B1194" s="42">
        <v>40000000</v>
      </c>
      <c r="D1194">
        <f t="shared" si="18"/>
        <v>-25032818</v>
      </c>
    </row>
    <row r="1195" spans="1:4" x14ac:dyDescent="0.3">
      <c r="A1195" s="43">
        <v>18996755</v>
      </c>
      <c r="B1195" s="43">
        <v>45000000</v>
      </c>
      <c r="D1195">
        <f t="shared" si="18"/>
        <v>-26003245</v>
      </c>
    </row>
    <row r="1196" spans="1:4" x14ac:dyDescent="0.3">
      <c r="A1196" s="42">
        <v>14375181</v>
      </c>
      <c r="B1196" s="42">
        <v>51000000</v>
      </c>
      <c r="D1196">
        <f t="shared" si="18"/>
        <v>-36624819</v>
      </c>
    </row>
    <row r="1197" spans="1:4" x14ac:dyDescent="0.3">
      <c r="A1197" s="43">
        <v>20999103</v>
      </c>
      <c r="B1197" s="43">
        <v>40000000</v>
      </c>
      <c r="D1197">
        <f t="shared" si="18"/>
        <v>-19000897</v>
      </c>
    </row>
    <row r="1198" spans="1:4" x14ac:dyDescent="0.3">
      <c r="A1198" s="42">
        <v>14448589</v>
      </c>
      <c r="B1198" s="42">
        <v>40000000</v>
      </c>
      <c r="D1198">
        <f t="shared" si="18"/>
        <v>-25551411</v>
      </c>
    </row>
    <row r="1199" spans="1:4" x14ac:dyDescent="0.3">
      <c r="A1199" s="43">
        <v>14358033</v>
      </c>
      <c r="B1199" s="43">
        <v>40000000</v>
      </c>
      <c r="D1199">
        <f t="shared" si="18"/>
        <v>-25641967</v>
      </c>
    </row>
    <row r="1200" spans="1:4" x14ac:dyDescent="0.3">
      <c r="A1200" s="42">
        <v>33201661</v>
      </c>
      <c r="B1200" s="42">
        <v>77000000</v>
      </c>
      <c r="D1200">
        <f t="shared" si="18"/>
        <v>-43798339</v>
      </c>
    </row>
    <row r="1201" spans="1:4" x14ac:dyDescent="0.3">
      <c r="A1201" s="43">
        <v>14018364</v>
      </c>
      <c r="B1201" s="43">
        <v>30000000</v>
      </c>
      <c r="D1201">
        <f t="shared" si="18"/>
        <v>-15981636</v>
      </c>
    </row>
    <row r="1202" spans="1:4" x14ac:dyDescent="0.3">
      <c r="A1202" s="42">
        <v>13395939</v>
      </c>
      <c r="B1202" s="42">
        <v>60000000</v>
      </c>
      <c r="D1202">
        <f t="shared" si="18"/>
        <v>-46604061</v>
      </c>
    </row>
    <row r="1203" spans="1:4" x14ac:dyDescent="0.3">
      <c r="A1203" s="43">
        <v>20113965</v>
      </c>
      <c r="B1203" s="43">
        <v>40000000</v>
      </c>
      <c r="D1203">
        <f t="shared" si="18"/>
        <v>-19886035</v>
      </c>
    </row>
    <row r="1204" spans="1:4" x14ac:dyDescent="0.3">
      <c r="A1204" s="42">
        <v>13376506</v>
      </c>
      <c r="B1204" s="42">
        <v>40000000</v>
      </c>
      <c r="D1204">
        <f t="shared" si="18"/>
        <v>-26623494</v>
      </c>
    </row>
    <row r="1205" spans="1:4" x14ac:dyDescent="0.3">
      <c r="A1205" s="43">
        <v>13208023</v>
      </c>
      <c r="B1205" s="43">
        <v>42000000</v>
      </c>
      <c r="D1205">
        <f t="shared" si="18"/>
        <v>-28791977</v>
      </c>
    </row>
    <row r="1206" spans="1:4" x14ac:dyDescent="0.3">
      <c r="A1206" s="42">
        <v>13838130</v>
      </c>
      <c r="B1206" s="42">
        <v>40000000</v>
      </c>
      <c r="D1206">
        <f t="shared" si="18"/>
        <v>-26161870</v>
      </c>
    </row>
    <row r="1207" spans="1:4" x14ac:dyDescent="0.3">
      <c r="A1207" s="43">
        <v>9652000</v>
      </c>
      <c r="B1207" s="43">
        <v>40000000</v>
      </c>
      <c r="D1207">
        <f t="shared" si="18"/>
        <v>-30348000</v>
      </c>
    </row>
    <row r="1208" spans="1:4" x14ac:dyDescent="0.3">
      <c r="A1208" s="42">
        <v>7000000</v>
      </c>
      <c r="B1208" s="42">
        <v>36000000</v>
      </c>
      <c r="D1208">
        <f t="shared" si="18"/>
        <v>-29000000</v>
      </c>
    </row>
    <row r="1209" spans="1:4" x14ac:dyDescent="0.3">
      <c r="A1209" s="43">
        <v>10431220</v>
      </c>
      <c r="B1209" s="43">
        <v>24000000</v>
      </c>
      <c r="D1209">
        <f t="shared" si="18"/>
        <v>-13568780</v>
      </c>
    </row>
    <row r="1210" spans="1:4" x14ac:dyDescent="0.3">
      <c r="A1210" s="42">
        <v>10326062</v>
      </c>
      <c r="B1210" s="42">
        <v>33000000</v>
      </c>
      <c r="D1210">
        <f t="shared" si="18"/>
        <v>-22673938</v>
      </c>
    </row>
    <row r="1211" spans="1:4" x14ac:dyDescent="0.3">
      <c r="A1211" s="43">
        <v>6114237</v>
      </c>
      <c r="B1211" s="43">
        <v>40000000</v>
      </c>
      <c r="D1211">
        <f t="shared" si="18"/>
        <v>-33885763</v>
      </c>
    </row>
    <row r="1212" spans="1:4" x14ac:dyDescent="0.3">
      <c r="A1212" s="42">
        <v>4835968</v>
      </c>
      <c r="B1212" s="42">
        <v>40000000</v>
      </c>
      <c r="D1212">
        <f t="shared" si="18"/>
        <v>-35164032</v>
      </c>
    </row>
    <row r="1213" spans="1:4" x14ac:dyDescent="0.3">
      <c r="A1213" s="43">
        <v>4777007</v>
      </c>
      <c r="B1213" s="43">
        <v>40000000</v>
      </c>
      <c r="D1213">
        <f t="shared" si="18"/>
        <v>-35222993</v>
      </c>
    </row>
    <row r="1214" spans="1:4" x14ac:dyDescent="0.3">
      <c r="A1214" s="42">
        <v>3675072</v>
      </c>
      <c r="B1214" s="42">
        <v>26000000</v>
      </c>
      <c r="D1214">
        <f t="shared" si="18"/>
        <v>-22324928</v>
      </c>
    </row>
    <row r="1215" spans="1:4" x14ac:dyDescent="0.3">
      <c r="A1215" s="43">
        <v>18438149</v>
      </c>
      <c r="B1215" s="43">
        <v>40000000</v>
      </c>
      <c r="D1215">
        <f t="shared" si="18"/>
        <v>-21561851</v>
      </c>
    </row>
    <row r="1216" spans="1:4" x14ac:dyDescent="0.3">
      <c r="A1216" s="42">
        <v>511920</v>
      </c>
      <c r="B1216" s="42">
        <v>40000000</v>
      </c>
      <c r="D1216">
        <f t="shared" si="18"/>
        <v>-39488080</v>
      </c>
    </row>
    <row r="1217" spans="1:4" x14ac:dyDescent="0.3">
      <c r="A1217" s="43">
        <v>10640645</v>
      </c>
      <c r="B1217" s="43">
        <v>40000000</v>
      </c>
      <c r="D1217">
        <f t="shared" si="18"/>
        <v>-29359355</v>
      </c>
    </row>
    <row r="1218" spans="1:4" x14ac:dyDescent="0.3">
      <c r="A1218" s="42">
        <v>652526</v>
      </c>
      <c r="B1218" s="42">
        <v>40000000</v>
      </c>
      <c r="D1218">
        <f t="shared" ref="D1218:D1281" si="19">A1218-B1218</f>
        <v>-39347474</v>
      </c>
    </row>
    <row r="1219" spans="1:4" x14ac:dyDescent="0.3">
      <c r="A1219" s="43">
        <v>80050171</v>
      </c>
      <c r="B1219" s="43">
        <v>20000000</v>
      </c>
      <c r="D1219">
        <f t="shared" si="19"/>
        <v>60050171</v>
      </c>
    </row>
    <row r="1220" spans="1:4" x14ac:dyDescent="0.3">
      <c r="A1220" s="42">
        <v>7564000</v>
      </c>
      <c r="B1220" s="42">
        <v>20000000</v>
      </c>
      <c r="D1220">
        <f t="shared" si="19"/>
        <v>-12436000</v>
      </c>
    </row>
    <row r="1221" spans="1:4" x14ac:dyDescent="0.3">
      <c r="A1221" s="43">
        <v>876671</v>
      </c>
      <c r="B1221" s="43">
        <v>25000000</v>
      </c>
      <c r="D1221">
        <f t="shared" si="19"/>
        <v>-24123329</v>
      </c>
    </row>
    <row r="1222" spans="1:4" x14ac:dyDescent="0.3">
      <c r="A1222" s="42">
        <v>2869369</v>
      </c>
      <c r="B1222" s="42">
        <v>30000000</v>
      </c>
      <c r="D1222">
        <f t="shared" si="19"/>
        <v>-27130631</v>
      </c>
    </row>
    <row r="1223" spans="1:4" x14ac:dyDescent="0.3">
      <c r="A1223" s="43">
        <v>128978</v>
      </c>
      <c r="B1223" s="43">
        <v>40000000</v>
      </c>
      <c r="D1223">
        <f t="shared" si="19"/>
        <v>-39871022</v>
      </c>
    </row>
    <row r="1224" spans="1:4" x14ac:dyDescent="0.3">
      <c r="A1224" s="42">
        <v>77231</v>
      </c>
      <c r="B1224" s="42">
        <v>25000000</v>
      </c>
      <c r="D1224">
        <f t="shared" si="19"/>
        <v>-24922769</v>
      </c>
    </row>
    <row r="1225" spans="1:4" x14ac:dyDescent="0.3">
      <c r="A1225" s="43">
        <v>4563029</v>
      </c>
      <c r="B1225" s="43">
        <v>39200000</v>
      </c>
      <c r="D1225">
        <f t="shared" si="19"/>
        <v>-34636971</v>
      </c>
    </row>
    <row r="1226" spans="1:4" x14ac:dyDescent="0.3">
      <c r="A1226" s="42">
        <v>50693162</v>
      </c>
      <c r="B1226" s="42">
        <v>23000000</v>
      </c>
      <c r="D1226">
        <f t="shared" si="19"/>
        <v>27693162</v>
      </c>
    </row>
    <row r="1227" spans="1:4" x14ac:dyDescent="0.3">
      <c r="A1227" s="43">
        <v>6498000</v>
      </c>
      <c r="B1227" s="43">
        <v>18026148</v>
      </c>
      <c r="D1227">
        <f t="shared" si="19"/>
        <v>-11528148</v>
      </c>
    </row>
    <row r="1228" spans="1:4" x14ac:dyDescent="0.3">
      <c r="A1228" s="42">
        <v>63411478</v>
      </c>
      <c r="B1228" s="42">
        <v>39000000</v>
      </c>
      <c r="D1228">
        <f t="shared" si="19"/>
        <v>24411478</v>
      </c>
    </row>
    <row r="1229" spans="1:4" x14ac:dyDescent="0.3">
      <c r="A1229" s="43">
        <v>35287788</v>
      </c>
      <c r="B1229" s="43">
        <v>39000000</v>
      </c>
      <c r="D1229">
        <f t="shared" si="19"/>
        <v>-3712212</v>
      </c>
    </row>
    <row r="1230" spans="1:4" x14ac:dyDescent="0.3">
      <c r="A1230" s="42">
        <v>25335935</v>
      </c>
      <c r="B1230" s="42">
        <v>40000000</v>
      </c>
      <c r="D1230">
        <f t="shared" si="19"/>
        <v>-14664065</v>
      </c>
    </row>
    <row r="1231" spans="1:4" x14ac:dyDescent="0.3">
      <c r="A1231" s="43">
        <v>5881504</v>
      </c>
      <c r="B1231" s="43">
        <v>39000000</v>
      </c>
      <c r="D1231">
        <f t="shared" si="19"/>
        <v>-33118496</v>
      </c>
    </row>
    <row r="1232" spans="1:4" x14ac:dyDescent="0.3">
      <c r="A1232" s="42">
        <v>60000000</v>
      </c>
      <c r="B1232" s="42">
        <v>39000000</v>
      </c>
      <c r="D1232">
        <f t="shared" si="19"/>
        <v>21000000</v>
      </c>
    </row>
    <row r="1233" spans="1:4" x14ac:dyDescent="0.3">
      <c r="A1233" s="43">
        <v>29802761</v>
      </c>
      <c r="B1233" s="43">
        <v>40000000</v>
      </c>
      <c r="D1233">
        <f t="shared" si="19"/>
        <v>-10197239</v>
      </c>
    </row>
    <row r="1234" spans="1:4" x14ac:dyDescent="0.3">
      <c r="A1234" s="42">
        <v>626809</v>
      </c>
      <c r="B1234" s="42">
        <v>553632000</v>
      </c>
      <c r="D1234">
        <f t="shared" si="19"/>
        <v>-553005191</v>
      </c>
    </row>
    <row r="1235" spans="1:4" x14ac:dyDescent="0.3">
      <c r="A1235" s="43">
        <v>127214072</v>
      </c>
      <c r="B1235" s="43">
        <v>38000000</v>
      </c>
      <c r="D1235">
        <f t="shared" si="19"/>
        <v>89214072</v>
      </c>
    </row>
    <row r="1236" spans="1:4" x14ac:dyDescent="0.3">
      <c r="A1236" s="42">
        <v>88915214</v>
      </c>
      <c r="B1236" s="42">
        <v>38000000</v>
      </c>
      <c r="D1236">
        <f t="shared" si="19"/>
        <v>50915214</v>
      </c>
    </row>
    <row r="1237" spans="1:4" x14ac:dyDescent="0.3">
      <c r="A1237" s="43">
        <v>30400000</v>
      </c>
      <c r="B1237" s="43">
        <v>39000000</v>
      </c>
      <c r="D1237">
        <f t="shared" si="19"/>
        <v>-8600000</v>
      </c>
    </row>
    <row r="1238" spans="1:4" x14ac:dyDescent="0.3">
      <c r="A1238" s="42">
        <v>85570368</v>
      </c>
      <c r="B1238" s="42">
        <v>38000000</v>
      </c>
      <c r="D1238">
        <f t="shared" si="19"/>
        <v>47570368</v>
      </c>
    </row>
    <row r="1239" spans="1:4" x14ac:dyDescent="0.3">
      <c r="A1239" s="43">
        <v>75668868</v>
      </c>
      <c r="B1239" s="43">
        <v>35000000</v>
      </c>
      <c r="D1239">
        <f t="shared" si="19"/>
        <v>40668868</v>
      </c>
    </row>
    <row r="1240" spans="1:4" x14ac:dyDescent="0.3">
      <c r="A1240" s="42">
        <v>6594136</v>
      </c>
      <c r="B1240" s="42">
        <v>38600000</v>
      </c>
      <c r="D1240">
        <f t="shared" si="19"/>
        <v>-32005864</v>
      </c>
    </row>
    <row r="1241" spans="1:4" x14ac:dyDescent="0.3">
      <c r="A1241" s="43">
        <v>58700247</v>
      </c>
      <c r="B1241" s="43">
        <v>38000000</v>
      </c>
      <c r="D1241">
        <f t="shared" si="19"/>
        <v>20700247</v>
      </c>
    </row>
    <row r="1242" spans="1:4" x14ac:dyDescent="0.3">
      <c r="A1242" s="42">
        <v>50668906</v>
      </c>
      <c r="B1242" s="42">
        <v>38000000</v>
      </c>
      <c r="D1242">
        <f t="shared" si="19"/>
        <v>12668906</v>
      </c>
    </row>
    <row r="1243" spans="1:4" x14ac:dyDescent="0.3">
      <c r="A1243" s="43">
        <v>39177215</v>
      </c>
      <c r="B1243" s="43">
        <v>38000000</v>
      </c>
      <c r="D1243">
        <f t="shared" si="19"/>
        <v>1177215</v>
      </c>
    </row>
    <row r="1244" spans="1:4" x14ac:dyDescent="0.3">
      <c r="A1244" s="42">
        <v>40334024</v>
      </c>
      <c r="B1244" s="42">
        <v>35000000</v>
      </c>
      <c r="D1244">
        <f t="shared" si="19"/>
        <v>5334024</v>
      </c>
    </row>
    <row r="1245" spans="1:4" x14ac:dyDescent="0.3">
      <c r="A1245" s="43">
        <v>24044532</v>
      </c>
      <c r="B1245" s="43">
        <v>38000000</v>
      </c>
      <c r="D1245">
        <f t="shared" si="19"/>
        <v>-13955468</v>
      </c>
    </row>
    <row r="1246" spans="1:4" x14ac:dyDescent="0.3">
      <c r="A1246" s="42">
        <v>22770864</v>
      </c>
      <c r="B1246" s="42">
        <v>38000000</v>
      </c>
      <c r="D1246">
        <f t="shared" si="19"/>
        <v>-15229136</v>
      </c>
    </row>
    <row r="1247" spans="1:4" x14ac:dyDescent="0.3">
      <c r="A1247" s="43">
        <v>18653746</v>
      </c>
      <c r="B1247" s="43">
        <v>38000000</v>
      </c>
      <c r="D1247">
        <f t="shared" si="19"/>
        <v>-19346254</v>
      </c>
    </row>
    <row r="1248" spans="1:4" x14ac:dyDescent="0.3">
      <c r="A1248" s="42">
        <v>17305211</v>
      </c>
      <c r="B1248" s="42">
        <v>38000000</v>
      </c>
      <c r="D1248">
        <f t="shared" si="19"/>
        <v>-20694789</v>
      </c>
    </row>
    <row r="1249" spans="1:4" x14ac:dyDescent="0.3">
      <c r="A1249" s="43">
        <v>16991902</v>
      </c>
      <c r="B1249" s="43">
        <v>57000000</v>
      </c>
      <c r="D1249">
        <f t="shared" si="19"/>
        <v>-40008098</v>
      </c>
    </row>
    <row r="1250" spans="1:4" x14ac:dyDescent="0.3">
      <c r="A1250" s="42">
        <v>47536959</v>
      </c>
      <c r="B1250" s="42">
        <v>10000000</v>
      </c>
      <c r="D1250">
        <f t="shared" si="19"/>
        <v>37536959</v>
      </c>
    </row>
    <row r="1251" spans="1:4" x14ac:dyDescent="0.3">
      <c r="A1251" s="43">
        <v>10300000</v>
      </c>
      <c r="B1251" s="43">
        <v>38000000</v>
      </c>
      <c r="D1251">
        <f t="shared" si="19"/>
        <v>-27700000</v>
      </c>
    </row>
    <row r="1252" spans="1:4" x14ac:dyDescent="0.3">
      <c r="A1252" s="42">
        <v>13782838</v>
      </c>
      <c r="B1252" s="42">
        <v>15000000</v>
      </c>
      <c r="D1252">
        <f t="shared" si="19"/>
        <v>-1217162</v>
      </c>
    </row>
    <row r="1253" spans="1:4" x14ac:dyDescent="0.3">
      <c r="A1253" s="43">
        <v>41997790</v>
      </c>
      <c r="B1253" s="43">
        <v>38000000</v>
      </c>
      <c r="D1253">
        <f t="shared" si="19"/>
        <v>3997790</v>
      </c>
    </row>
    <row r="1254" spans="1:4" x14ac:dyDescent="0.3">
      <c r="A1254" s="42">
        <v>6482195</v>
      </c>
      <c r="B1254" s="42">
        <v>37000000</v>
      </c>
      <c r="D1254">
        <f t="shared" si="19"/>
        <v>-30517805</v>
      </c>
    </row>
    <row r="1255" spans="1:4" x14ac:dyDescent="0.3">
      <c r="A1255" s="43">
        <v>623374</v>
      </c>
      <c r="B1255" s="43">
        <v>38000000</v>
      </c>
      <c r="D1255">
        <f t="shared" si="19"/>
        <v>-37376626</v>
      </c>
    </row>
    <row r="1256" spans="1:4" x14ac:dyDescent="0.3">
      <c r="A1256" s="42">
        <v>7871693</v>
      </c>
      <c r="B1256" s="42">
        <v>55000000</v>
      </c>
      <c r="D1256">
        <f t="shared" si="19"/>
        <v>-47128307</v>
      </c>
    </row>
    <row r="1257" spans="1:4" x14ac:dyDescent="0.3">
      <c r="A1257" s="43">
        <v>16377274</v>
      </c>
      <c r="B1257" s="43">
        <v>32000000</v>
      </c>
      <c r="D1257">
        <f t="shared" si="19"/>
        <v>-15622726</v>
      </c>
    </row>
    <row r="1258" spans="1:4" x14ac:dyDescent="0.3">
      <c r="A1258" s="42">
        <v>9589875</v>
      </c>
      <c r="B1258" s="42">
        <v>40000000</v>
      </c>
      <c r="D1258">
        <f t="shared" si="19"/>
        <v>-30410125</v>
      </c>
    </row>
    <row r="1259" spans="1:4" x14ac:dyDescent="0.3">
      <c r="A1259" s="43">
        <v>34912982</v>
      </c>
      <c r="B1259" s="43">
        <v>38000000</v>
      </c>
      <c r="D1259">
        <f t="shared" si="19"/>
        <v>-3087018</v>
      </c>
    </row>
    <row r="1260" spans="1:4" x14ac:dyDescent="0.3">
      <c r="A1260" s="42">
        <v>109712885</v>
      </c>
      <c r="B1260" s="42">
        <v>35000000</v>
      </c>
      <c r="D1260">
        <f t="shared" si="19"/>
        <v>74712885</v>
      </c>
    </row>
    <row r="1261" spans="1:4" x14ac:dyDescent="0.3">
      <c r="A1261" s="43">
        <v>92173235</v>
      </c>
      <c r="B1261" s="43">
        <v>37000000</v>
      </c>
      <c r="D1261">
        <f t="shared" si="19"/>
        <v>55173235</v>
      </c>
    </row>
    <row r="1262" spans="1:4" x14ac:dyDescent="0.3">
      <c r="A1262" s="42">
        <v>41102171</v>
      </c>
      <c r="B1262" s="42">
        <v>40000000</v>
      </c>
      <c r="D1262">
        <f t="shared" si="19"/>
        <v>1102171</v>
      </c>
    </row>
    <row r="1263" spans="1:4" x14ac:dyDescent="0.3">
      <c r="A1263" s="43">
        <v>60338891</v>
      </c>
      <c r="B1263" s="43">
        <v>37000000</v>
      </c>
      <c r="D1263">
        <f t="shared" si="19"/>
        <v>23338891</v>
      </c>
    </row>
    <row r="1264" spans="1:4" x14ac:dyDescent="0.3">
      <c r="A1264" s="42">
        <v>48006503</v>
      </c>
      <c r="B1264" s="42">
        <v>37000000</v>
      </c>
      <c r="D1264">
        <f t="shared" si="19"/>
        <v>11006503</v>
      </c>
    </row>
    <row r="1265" spans="1:4" x14ac:dyDescent="0.3">
      <c r="A1265" s="43">
        <v>26903709</v>
      </c>
      <c r="B1265" s="43">
        <v>38000000</v>
      </c>
      <c r="D1265">
        <f t="shared" si="19"/>
        <v>-11096291</v>
      </c>
    </row>
    <row r="1266" spans="1:4" x14ac:dyDescent="0.3">
      <c r="A1266" s="42">
        <v>22450975</v>
      </c>
      <c r="B1266" s="42">
        <v>37000000</v>
      </c>
      <c r="D1266">
        <f t="shared" si="19"/>
        <v>-14549025</v>
      </c>
    </row>
    <row r="1267" spans="1:4" x14ac:dyDescent="0.3">
      <c r="A1267" s="43">
        <v>44867349</v>
      </c>
      <c r="B1267" s="43">
        <v>37000000</v>
      </c>
      <c r="D1267">
        <f t="shared" si="19"/>
        <v>7867349</v>
      </c>
    </row>
    <row r="1268" spans="1:4" x14ac:dyDescent="0.3">
      <c r="A1268" s="42">
        <v>46813366</v>
      </c>
      <c r="B1268" s="42">
        <v>38000000</v>
      </c>
      <c r="D1268">
        <f t="shared" si="19"/>
        <v>8813366</v>
      </c>
    </row>
    <row r="1269" spans="1:4" x14ac:dyDescent="0.3">
      <c r="A1269" s="43">
        <v>72279690</v>
      </c>
      <c r="B1269" s="43">
        <v>37000000</v>
      </c>
      <c r="D1269">
        <f t="shared" si="19"/>
        <v>35279690</v>
      </c>
    </row>
    <row r="1270" spans="1:4" x14ac:dyDescent="0.3">
      <c r="A1270" s="42">
        <v>191449475</v>
      </c>
      <c r="B1270" s="42">
        <v>37000000</v>
      </c>
      <c r="D1270">
        <f t="shared" si="19"/>
        <v>154449475</v>
      </c>
    </row>
    <row r="1271" spans="1:4" x14ac:dyDescent="0.3">
      <c r="A1271" s="43">
        <v>71026631</v>
      </c>
      <c r="B1271" s="43">
        <v>36000000</v>
      </c>
      <c r="D1271">
        <f t="shared" si="19"/>
        <v>35026631</v>
      </c>
    </row>
    <row r="1272" spans="1:4" x14ac:dyDescent="0.3">
      <c r="A1272" s="42">
        <v>68208190</v>
      </c>
      <c r="B1272" s="42">
        <v>65000000</v>
      </c>
      <c r="D1272">
        <f t="shared" si="19"/>
        <v>3208190</v>
      </c>
    </row>
    <row r="1273" spans="1:4" x14ac:dyDescent="0.3">
      <c r="A1273" s="43">
        <v>150368971</v>
      </c>
      <c r="B1273" s="43">
        <v>37000000</v>
      </c>
      <c r="D1273">
        <f t="shared" si="19"/>
        <v>113368971</v>
      </c>
    </row>
    <row r="1274" spans="1:4" x14ac:dyDescent="0.3">
      <c r="A1274" s="42">
        <v>50129186</v>
      </c>
      <c r="B1274" s="42">
        <v>36000000</v>
      </c>
      <c r="D1274">
        <f t="shared" si="19"/>
        <v>14129186</v>
      </c>
    </row>
    <row r="1275" spans="1:4" x14ac:dyDescent="0.3">
      <c r="A1275" s="43">
        <v>55500000</v>
      </c>
      <c r="B1275" s="43">
        <v>36000000</v>
      </c>
      <c r="D1275">
        <f t="shared" si="19"/>
        <v>19500000</v>
      </c>
    </row>
    <row r="1276" spans="1:4" x14ac:dyDescent="0.3">
      <c r="A1276" s="42">
        <v>50213619</v>
      </c>
      <c r="B1276" s="42">
        <v>36000000</v>
      </c>
      <c r="D1276">
        <f t="shared" si="19"/>
        <v>14213619</v>
      </c>
    </row>
    <row r="1277" spans="1:4" x14ac:dyDescent="0.3">
      <c r="A1277" s="43">
        <v>42019483</v>
      </c>
      <c r="B1277" s="43">
        <v>36000000</v>
      </c>
      <c r="D1277">
        <f t="shared" si="19"/>
        <v>6019483</v>
      </c>
    </row>
    <row r="1278" spans="1:4" x14ac:dyDescent="0.3">
      <c r="A1278" s="42">
        <v>23360779</v>
      </c>
      <c r="B1278" s="42">
        <v>34000000</v>
      </c>
      <c r="D1278">
        <f t="shared" si="19"/>
        <v>-10639221</v>
      </c>
    </row>
    <row r="1279" spans="1:4" x14ac:dyDescent="0.3">
      <c r="A1279" s="43">
        <v>26183197</v>
      </c>
      <c r="B1279" s="43">
        <v>36000000</v>
      </c>
      <c r="D1279">
        <f t="shared" si="19"/>
        <v>-9816803</v>
      </c>
    </row>
    <row r="1280" spans="1:4" x14ac:dyDescent="0.3">
      <c r="A1280" s="42">
        <v>20991497</v>
      </c>
      <c r="B1280" s="42">
        <v>37000000</v>
      </c>
      <c r="D1280">
        <f t="shared" si="19"/>
        <v>-16008503</v>
      </c>
    </row>
    <row r="1281" spans="1:4" x14ac:dyDescent="0.3">
      <c r="A1281" s="43">
        <v>13052741</v>
      </c>
      <c r="B1281" s="43">
        <v>36000000</v>
      </c>
      <c r="D1281">
        <f t="shared" si="19"/>
        <v>-22947259</v>
      </c>
    </row>
    <row r="1282" spans="1:4" x14ac:dyDescent="0.3">
      <c r="A1282" s="42">
        <v>14378353</v>
      </c>
      <c r="B1282" s="42">
        <v>36000000</v>
      </c>
      <c r="D1282">
        <f t="shared" ref="D1282:D1345" si="20">A1282-B1282</f>
        <v>-21621647</v>
      </c>
    </row>
    <row r="1283" spans="1:4" x14ac:dyDescent="0.3">
      <c r="A1283" s="43">
        <v>33037754</v>
      </c>
      <c r="B1283" s="43">
        <v>37000000</v>
      </c>
      <c r="D1283">
        <f t="shared" si="20"/>
        <v>-3962246</v>
      </c>
    </row>
    <row r="1284" spans="1:4" x14ac:dyDescent="0.3">
      <c r="A1284" s="42">
        <v>12339633</v>
      </c>
      <c r="B1284" s="42">
        <v>36000000</v>
      </c>
      <c r="D1284">
        <f t="shared" si="20"/>
        <v>-23660367</v>
      </c>
    </row>
    <row r="1285" spans="1:4" x14ac:dyDescent="0.3">
      <c r="A1285" s="43">
        <v>2954405</v>
      </c>
      <c r="B1285" s="43">
        <v>36000000</v>
      </c>
      <c r="D1285">
        <f t="shared" si="20"/>
        <v>-33045595</v>
      </c>
    </row>
    <row r="1286" spans="1:4" x14ac:dyDescent="0.3">
      <c r="A1286" s="42">
        <v>30105968</v>
      </c>
      <c r="B1286" s="42">
        <v>37000000</v>
      </c>
      <c r="D1286">
        <f t="shared" si="20"/>
        <v>-6894032</v>
      </c>
    </row>
    <row r="1287" spans="1:4" x14ac:dyDescent="0.3">
      <c r="A1287" s="43">
        <v>37788228</v>
      </c>
      <c r="B1287" s="43">
        <v>35200000</v>
      </c>
      <c r="D1287">
        <f t="shared" si="20"/>
        <v>2588228</v>
      </c>
    </row>
    <row r="1288" spans="1:4" x14ac:dyDescent="0.3">
      <c r="A1288" s="42">
        <v>277313371</v>
      </c>
      <c r="B1288" s="42">
        <v>35000000</v>
      </c>
      <c r="D1288">
        <f t="shared" si="20"/>
        <v>242313371</v>
      </c>
    </row>
    <row r="1289" spans="1:4" x14ac:dyDescent="0.3">
      <c r="A1289" s="43">
        <v>2126511</v>
      </c>
      <c r="B1289" s="43">
        <v>36000000</v>
      </c>
      <c r="D1289">
        <f t="shared" si="20"/>
        <v>-33873489</v>
      </c>
    </row>
    <row r="1290" spans="1:4" x14ac:dyDescent="0.3">
      <c r="A1290" s="42">
        <v>205399422</v>
      </c>
      <c r="B1290" s="42">
        <v>33000000</v>
      </c>
      <c r="D1290">
        <f t="shared" si="20"/>
        <v>172399422</v>
      </c>
    </row>
    <row r="1291" spans="1:4" x14ac:dyDescent="0.3">
      <c r="A1291" s="43">
        <v>251188924</v>
      </c>
      <c r="B1291" s="43">
        <v>35000000</v>
      </c>
      <c r="D1291">
        <f t="shared" si="20"/>
        <v>216188924</v>
      </c>
    </row>
    <row r="1292" spans="1:4" x14ac:dyDescent="0.3">
      <c r="A1292" s="42">
        <v>1068392</v>
      </c>
      <c r="B1292" s="42">
        <v>36000000</v>
      </c>
      <c r="D1292">
        <f t="shared" si="20"/>
        <v>-34931608</v>
      </c>
    </row>
    <row r="1293" spans="1:4" x14ac:dyDescent="0.3">
      <c r="A1293" s="43">
        <v>144731527</v>
      </c>
      <c r="B1293" s="43">
        <v>35000000</v>
      </c>
      <c r="D1293">
        <f t="shared" si="20"/>
        <v>109731527</v>
      </c>
    </row>
    <row r="1294" spans="1:4" x14ac:dyDescent="0.3">
      <c r="A1294" s="42">
        <v>255950375</v>
      </c>
      <c r="B1294" s="42">
        <v>29000000</v>
      </c>
      <c r="D1294">
        <f t="shared" si="20"/>
        <v>226950375</v>
      </c>
    </row>
    <row r="1295" spans="1:4" x14ac:dyDescent="0.3">
      <c r="A1295" s="43">
        <v>112692062</v>
      </c>
      <c r="B1295" s="43">
        <v>35000000</v>
      </c>
      <c r="D1295">
        <f t="shared" si="20"/>
        <v>77692062</v>
      </c>
    </row>
    <row r="1296" spans="1:4" x14ac:dyDescent="0.3">
      <c r="A1296" s="42">
        <v>117528646</v>
      </c>
      <c r="B1296" s="42">
        <v>35000000</v>
      </c>
      <c r="D1296">
        <f t="shared" si="20"/>
        <v>82528646</v>
      </c>
    </row>
    <row r="1297" spans="1:4" x14ac:dyDescent="0.3">
      <c r="A1297" s="43">
        <v>171031347</v>
      </c>
      <c r="B1297" s="43">
        <v>38000000</v>
      </c>
      <c r="D1297">
        <f t="shared" si="20"/>
        <v>133031347</v>
      </c>
    </row>
    <row r="1298" spans="1:4" x14ac:dyDescent="0.3">
      <c r="A1298" s="42">
        <v>124732962</v>
      </c>
      <c r="B1298" s="42">
        <v>35000000</v>
      </c>
      <c r="D1298">
        <f t="shared" si="20"/>
        <v>89732962</v>
      </c>
    </row>
    <row r="1299" spans="1:4" x14ac:dyDescent="0.3">
      <c r="A1299" s="43">
        <v>82300000</v>
      </c>
      <c r="B1299" s="43">
        <v>35000000</v>
      </c>
      <c r="D1299">
        <f t="shared" si="20"/>
        <v>47300000</v>
      </c>
    </row>
    <row r="1300" spans="1:4" x14ac:dyDescent="0.3">
      <c r="A1300" s="42">
        <v>134455175</v>
      </c>
      <c r="B1300" s="42">
        <v>35000000</v>
      </c>
      <c r="D1300">
        <f t="shared" si="20"/>
        <v>99455175</v>
      </c>
    </row>
    <row r="1301" spans="1:4" x14ac:dyDescent="0.3">
      <c r="A1301" s="43">
        <v>79100000</v>
      </c>
      <c r="B1301" s="43">
        <v>35000000</v>
      </c>
      <c r="D1301">
        <f t="shared" si="20"/>
        <v>44100000</v>
      </c>
    </row>
    <row r="1302" spans="1:4" x14ac:dyDescent="0.3">
      <c r="A1302" s="42">
        <v>81159365</v>
      </c>
      <c r="B1302" s="42">
        <v>35000000</v>
      </c>
      <c r="D1302">
        <f t="shared" si="20"/>
        <v>46159365</v>
      </c>
    </row>
    <row r="1303" spans="1:4" x14ac:dyDescent="0.3">
      <c r="A1303" s="43">
        <v>110008260</v>
      </c>
      <c r="B1303" s="43">
        <v>35000000</v>
      </c>
      <c r="D1303">
        <f t="shared" si="20"/>
        <v>75008260</v>
      </c>
    </row>
    <row r="1304" spans="1:4" x14ac:dyDescent="0.3">
      <c r="A1304" s="42">
        <v>67962333</v>
      </c>
      <c r="B1304" s="42">
        <v>35000000</v>
      </c>
      <c r="D1304">
        <f t="shared" si="20"/>
        <v>32962333</v>
      </c>
    </row>
    <row r="1305" spans="1:4" x14ac:dyDescent="0.3">
      <c r="A1305" s="43">
        <v>78651430</v>
      </c>
      <c r="B1305" s="43">
        <v>27000000</v>
      </c>
      <c r="D1305">
        <f t="shared" si="20"/>
        <v>51651430</v>
      </c>
    </row>
    <row r="1306" spans="1:4" x14ac:dyDescent="0.3">
      <c r="A1306" s="42">
        <v>64604977</v>
      </c>
      <c r="B1306" s="42">
        <v>35000000</v>
      </c>
      <c r="D1306">
        <f t="shared" si="20"/>
        <v>29604977</v>
      </c>
    </row>
    <row r="1307" spans="1:4" x14ac:dyDescent="0.3">
      <c r="A1307" s="43">
        <v>63939454</v>
      </c>
      <c r="B1307" s="43">
        <v>35000000</v>
      </c>
      <c r="D1307">
        <f t="shared" si="20"/>
        <v>28939454</v>
      </c>
    </row>
    <row r="1308" spans="1:4" x14ac:dyDescent="0.3">
      <c r="A1308" s="42">
        <v>63826569</v>
      </c>
      <c r="B1308" s="42">
        <v>35000000</v>
      </c>
      <c r="D1308">
        <f t="shared" si="20"/>
        <v>28826569</v>
      </c>
    </row>
    <row r="1309" spans="1:4" x14ac:dyDescent="0.3">
      <c r="A1309" s="43">
        <v>60054449</v>
      </c>
      <c r="B1309" s="43">
        <v>35000000</v>
      </c>
      <c r="D1309">
        <f t="shared" si="20"/>
        <v>25054449</v>
      </c>
    </row>
    <row r="1310" spans="1:4" x14ac:dyDescent="0.3">
      <c r="A1310" s="42">
        <v>26505000</v>
      </c>
      <c r="B1310" s="42">
        <v>1800000</v>
      </c>
      <c r="D1310">
        <f t="shared" si="20"/>
        <v>24705000</v>
      </c>
    </row>
    <row r="1311" spans="1:4" x14ac:dyDescent="0.3">
      <c r="A1311" s="43">
        <v>61280963</v>
      </c>
      <c r="B1311" s="43">
        <v>33000000</v>
      </c>
      <c r="D1311">
        <f t="shared" si="20"/>
        <v>28280963</v>
      </c>
    </row>
    <row r="1312" spans="1:4" x14ac:dyDescent="0.3">
      <c r="A1312" s="42">
        <v>56876365</v>
      </c>
      <c r="B1312" s="42">
        <v>35000000</v>
      </c>
      <c r="D1312">
        <f t="shared" si="20"/>
        <v>21876365</v>
      </c>
    </row>
    <row r="1313" spans="1:4" x14ac:dyDescent="0.3">
      <c r="A1313" s="43">
        <v>59699513</v>
      </c>
      <c r="B1313" s="43">
        <v>35000000</v>
      </c>
      <c r="D1313">
        <f t="shared" si="20"/>
        <v>24699513</v>
      </c>
    </row>
    <row r="1314" spans="1:4" x14ac:dyDescent="0.3">
      <c r="A1314" s="42">
        <v>54132596</v>
      </c>
      <c r="B1314" s="42">
        <v>34000000</v>
      </c>
      <c r="D1314">
        <f t="shared" si="20"/>
        <v>20132596</v>
      </c>
    </row>
    <row r="1315" spans="1:4" x14ac:dyDescent="0.3">
      <c r="A1315" s="43">
        <v>52277485</v>
      </c>
      <c r="B1315" s="43">
        <v>35000000</v>
      </c>
      <c r="D1315">
        <f t="shared" si="20"/>
        <v>17277485</v>
      </c>
    </row>
    <row r="1316" spans="1:4" x14ac:dyDescent="0.3">
      <c r="A1316" s="42">
        <v>55802754</v>
      </c>
      <c r="B1316" s="42">
        <v>35000000</v>
      </c>
      <c r="D1316">
        <f t="shared" si="20"/>
        <v>20802754</v>
      </c>
    </row>
    <row r="1317" spans="1:4" x14ac:dyDescent="0.3">
      <c r="A1317" s="43">
        <v>55291815</v>
      </c>
      <c r="B1317" s="43">
        <v>35000000</v>
      </c>
      <c r="D1317">
        <f t="shared" si="20"/>
        <v>20291815</v>
      </c>
    </row>
    <row r="1318" spans="1:4" x14ac:dyDescent="0.3">
      <c r="A1318" s="42">
        <v>83299761</v>
      </c>
      <c r="B1318" s="42">
        <v>35000000</v>
      </c>
      <c r="D1318">
        <f t="shared" si="20"/>
        <v>48299761</v>
      </c>
    </row>
    <row r="1319" spans="1:4" x14ac:dyDescent="0.3">
      <c r="A1319" s="43">
        <v>48169908</v>
      </c>
      <c r="B1319" s="43">
        <v>33000000</v>
      </c>
      <c r="D1319">
        <f t="shared" si="20"/>
        <v>15169908</v>
      </c>
    </row>
    <row r="1320" spans="1:4" x14ac:dyDescent="0.3">
      <c r="A1320" s="42">
        <v>67523385</v>
      </c>
      <c r="B1320" s="42">
        <v>35000000</v>
      </c>
      <c r="D1320">
        <f t="shared" si="20"/>
        <v>32523385</v>
      </c>
    </row>
    <row r="1321" spans="1:4" x14ac:dyDescent="0.3">
      <c r="A1321" s="43">
        <v>49474048</v>
      </c>
      <c r="B1321" s="43">
        <v>35000000</v>
      </c>
      <c r="D1321">
        <f t="shared" si="20"/>
        <v>14474048</v>
      </c>
    </row>
    <row r="1322" spans="1:4" x14ac:dyDescent="0.3">
      <c r="A1322" s="42">
        <v>45802315</v>
      </c>
      <c r="B1322" s="42">
        <v>35000000</v>
      </c>
      <c r="D1322">
        <f t="shared" si="20"/>
        <v>10802315</v>
      </c>
    </row>
    <row r="1323" spans="1:4" x14ac:dyDescent="0.3">
      <c r="A1323" s="43">
        <v>43792641</v>
      </c>
      <c r="B1323" s="43">
        <v>35000000</v>
      </c>
      <c r="D1323">
        <f t="shared" si="20"/>
        <v>8792641</v>
      </c>
    </row>
    <row r="1324" spans="1:4" x14ac:dyDescent="0.3">
      <c r="A1324" s="42">
        <v>57651794</v>
      </c>
      <c r="B1324" s="42">
        <v>33000000</v>
      </c>
      <c r="D1324">
        <f t="shared" si="20"/>
        <v>24651794</v>
      </c>
    </row>
    <row r="1325" spans="1:4" x14ac:dyDescent="0.3">
      <c r="A1325" s="43">
        <v>41954997</v>
      </c>
      <c r="B1325" s="43">
        <v>35000000</v>
      </c>
      <c r="D1325">
        <f t="shared" si="20"/>
        <v>6954997</v>
      </c>
    </row>
    <row r="1326" spans="1:4" x14ac:dyDescent="0.3">
      <c r="A1326" s="42">
        <v>39532308</v>
      </c>
      <c r="B1326" s="42">
        <v>33000000</v>
      </c>
      <c r="D1326">
        <f t="shared" si="20"/>
        <v>6532308</v>
      </c>
    </row>
    <row r="1327" spans="1:4" x14ac:dyDescent="0.3">
      <c r="A1327" s="43">
        <v>76600000</v>
      </c>
      <c r="B1327" s="43">
        <v>10700000</v>
      </c>
      <c r="D1327">
        <f t="shared" si="20"/>
        <v>65900000</v>
      </c>
    </row>
    <row r="1328" spans="1:4" x14ac:dyDescent="0.3">
      <c r="A1328" s="42">
        <v>39692139</v>
      </c>
      <c r="B1328" s="42">
        <v>35000000</v>
      </c>
      <c r="D1328">
        <f t="shared" si="20"/>
        <v>4692139</v>
      </c>
    </row>
    <row r="1329" spans="1:4" x14ac:dyDescent="0.3">
      <c r="A1329" s="43">
        <v>40687294</v>
      </c>
      <c r="B1329" s="43">
        <v>35000000</v>
      </c>
      <c r="D1329">
        <f t="shared" si="20"/>
        <v>5687294</v>
      </c>
    </row>
    <row r="1330" spans="1:4" x14ac:dyDescent="0.3">
      <c r="A1330" s="42">
        <v>37553932</v>
      </c>
      <c r="B1330" s="42">
        <v>40000000</v>
      </c>
      <c r="D1330">
        <f t="shared" si="20"/>
        <v>-2446068</v>
      </c>
    </row>
    <row r="1331" spans="1:4" x14ac:dyDescent="0.3">
      <c r="A1331" s="43">
        <v>37481242</v>
      </c>
      <c r="B1331" s="43">
        <v>35000000</v>
      </c>
      <c r="D1331">
        <f t="shared" si="20"/>
        <v>2481242</v>
      </c>
    </row>
    <row r="1332" spans="1:4" x14ac:dyDescent="0.3">
      <c r="A1332" s="42">
        <v>39026186</v>
      </c>
      <c r="B1332" s="42">
        <v>35000000</v>
      </c>
      <c r="D1332">
        <f t="shared" si="20"/>
        <v>4026186</v>
      </c>
    </row>
    <row r="1333" spans="1:4" x14ac:dyDescent="0.3">
      <c r="A1333" s="43">
        <v>33422806</v>
      </c>
      <c r="B1333" s="43">
        <v>50000000</v>
      </c>
      <c r="D1333">
        <f t="shared" si="20"/>
        <v>-16577194</v>
      </c>
    </row>
    <row r="1334" spans="1:4" x14ac:dyDescent="0.3">
      <c r="A1334" s="42">
        <v>33423521</v>
      </c>
      <c r="B1334" s="42">
        <v>35000000</v>
      </c>
      <c r="D1334">
        <f t="shared" si="20"/>
        <v>-1576479</v>
      </c>
    </row>
    <row r="1335" spans="1:4" x14ac:dyDescent="0.3">
      <c r="A1335" s="43">
        <v>32519322</v>
      </c>
      <c r="B1335" s="43">
        <v>35000000</v>
      </c>
      <c r="D1335">
        <f t="shared" si="20"/>
        <v>-2480678</v>
      </c>
    </row>
    <row r="1336" spans="1:4" x14ac:dyDescent="0.3">
      <c r="A1336" s="42">
        <v>37617947</v>
      </c>
      <c r="B1336" s="42">
        <v>30000000</v>
      </c>
      <c r="D1336">
        <f t="shared" si="20"/>
        <v>7617947</v>
      </c>
    </row>
    <row r="1337" spans="1:4" x14ac:dyDescent="0.3">
      <c r="A1337" s="43">
        <v>32048809</v>
      </c>
      <c r="B1337" s="43">
        <v>30000000</v>
      </c>
      <c r="D1337">
        <f t="shared" si="20"/>
        <v>2048809</v>
      </c>
    </row>
    <row r="1338" spans="1:4" x14ac:dyDescent="0.3">
      <c r="A1338" s="42">
        <v>33987757</v>
      </c>
      <c r="B1338" s="42">
        <v>27000000</v>
      </c>
      <c r="D1338">
        <f t="shared" si="20"/>
        <v>6987757</v>
      </c>
    </row>
    <row r="1339" spans="1:4" x14ac:dyDescent="0.3">
      <c r="A1339" s="43">
        <v>37304950</v>
      </c>
      <c r="B1339" s="43">
        <v>35000000</v>
      </c>
      <c r="D1339">
        <f t="shared" si="20"/>
        <v>2304950</v>
      </c>
    </row>
    <row r="1340" spans="1:4" x14ac:dyDescent="0.3">
      <c r="A1340" s="42">
        <v>30691439</v>
      </c>
      <c r="B1340" s="42">
        <v>35000000</v>
      </c>
      <c r="D1340">
        <f t="shared" si="20"/>
        <v>-4308561</v>
      </c>
    </row>
    <row r="1341" spans="1:4" x14ac:dyDescent="0.3">
      <c r="A1341" s="43">
        <v>30307804</v>
      </c>
      <c r="B1341" s="43">
        <v>35000000</v>
      </c>
      <c r="D1341">
        <f t="shared" si="20"/>
        <v>-4692196</v>
      </c>
    </row>
    <row r="1342" spans="1:4" x14ac:dyDescent="0.3">
      <c r="A1342" s="42">
        <v>30669413</v>
      </c>
      <c r="B1342" s="42">
        <v>35000000</v>
      </c>
      <c r="D1342">
        <f t="shared" si="20"/>
        <v>-4330587</v>
      </c>
    </row>
    <row r="1343" spans="1:4" x14ac:dyDescent="0.3">
      <c r="A1343" s="43">
        <v>28687835</v>
      </c>
      <c r="B1343" s="43">
        <v>35000000</v>
      </c>
      <c r="D1343">
        <f t="shared" si="20"/>
        <v>-6312165</v>
      </c>
    </row>
    <row r="1344" spans="1:4" x14ac:dyDescent="0.3">
      <c r="A1344" s="42">
        <v>26494611</v>
      </c>
      <c r="B1344" s="42">
        <v>35000000</v>
      </c>
      <c r="D1344">
        <f t="shared" si="20"/>
        <v>-8505389</v>
      </c>
    </row>
    <row r="1345" spans="1:4" x14ac:dyDescent="0.3">
      <c r="A1345" s="43">
        <v>25266129</v>
      </c>
      <c r="B1345" s="43">
        <v>35000000</v>
      </c>
      <c r="D1345">
        <f t="shared" si="20"/>
        <v>-9733871</v>
      </c>
    </row>
    <row r="1346" spans="1:4" x14ac:dyDescent="0.3">
      <c r="A1346" s="42">
        <v>25863915</v>
      </c>
      <c r="B1346" s="42">
        <v>35000000</v>
      </c>
      <c r="D1346">
        <f t="shared" ref="D1346:D1409" si="21">A1346-B1346</f>
        <v>-9136085</v>
      </c>
    </row>
    <row r="1347" spans="1:4" x14ac:dyDescent="0.3">
      <c r="A1347" s="43">
        <v>25078937</v>
      </c>
      <c r="B1347" s="43">
        <v>30000000</v>
      </c>
      <c r="D1347">
        <f t="shared" si="21"/>
        <v>-4921063</v>
      </c>
    </row>
    <row r="1348" spans="1:4" x14ac:dyDescent="0.3">
      <c r="A1348" s="42">
        <v>28995450</v>
      </c>
      <c r="B1348" s="42">
        <v>35000000</v>
      </c>
      <c r="D1348">
        <f t="shared" si="21"/>
        <v>-6004550</v>
      </c>
    </row>
    <row r="1349" spans="1:4" x14ac:dyDescent="0.3">
      <c r="A1349" s="43">
        <v>24276500</v>
      </c>
      <c r="B1349" s="43">
        <v>35000000</v>
      </c>
      <c r="D1349">
        <f t="shared" si="21"/>
        <v>-10723500</v>
      </c>
    </row>
    <row r="1350" spans="1:4" x14ac:dyDescent="0.3">
      <c r="A1350" s="42">
        <v>20981633</v>
      </c>
      <c r="B1350" s="42">
        <v>30000000</v>
      </c>
      <c r="D1350">
        <f t="shared" si="21"/>
        <v>-9018367</v>
      </c>
    </row>
    <row r="1351" spans="1:4" x14ac:dyDescent="0.3">
      <c r="A1351" s="43">
        <v>22913677</v>
      </c>
      <c r="B1351" s="43">
        <v>35000000</v>
      </c>
      <c r="D1351">
        <f t="shared" si="21"/>
        <v>-12086323</v>
      </c>
    </row>
    <row r="1352" spans="1:4" x14ac:dyDescent="0.3">
      <c r="A1352" s="42">
        <v>34531832</v>
      </c>
      <c r="B1352" s="42">
        <v>35000000</v>
      </c>
      <c r="D1352">
        <f t="shared" si="21"/>
        <v>-468168</v>
      </c>
    </row>
    <row r="1353" spans="1:4" x14ac:dyDescent="0.3">
      <c r="A1353" s="43">
        <v>28064226</v>
      </c>
      <c r="B1353" s="43">
        <v>35000000</v>
      </c>
      <c r="D1353">
        <f t="shared" si="21"/>
        <v>-6935774</v>
      </c>
    </row>
    <row r="1354" spans="1:4" x14ac:dyDescent="0.3">
      <c r="A1354" s="42">
        <v>19447478</v>
      </c>
      <c r="B1354" s="42">
        <v>35000000</v>
      </c>
      <c r="D1354">
        <f t="shared" si="21"/>
        <v>-15552522</v>
      </c>
    </row>
    <row r="1355" spans="1:4" x14ac:dyDescent="0.3">
      <c r="A1355" s="43">
        <v>19389454</v>
      </c>
      <c r="B1355" s="43">
        <v>55000000</v>
      </c>
      <c r="D1355">
        <f t="shared" si="21"/>
        <v>-35610546</v>
      </c>
    </row>
    <row r="1356" spans="1:4" x14ac:dyDescent="0.3">
      <c r="A1356" s="42">
        <v>25871834</v>
      </c>
      <c r="B1356" s="42">
        <v>35000000</v>
      </c>
      <c r="D1356">
        <f t="shared" si="21"/>
        <v>-9128166</v>
      </c>
    </row>
    <row r="1357" spans="1:4" x14ac:dyDescent="0.3">
      <c r="A1357" s="43">
        <v>19692608</v>
      </c>
      <c r="B1357" s="43">
        <v>35000000</v>
      </c>
      <c r="D1357">
        <f t="shared" si="21"/>
        <v>-15307392</v>
      </c>
    </row>
    <row r="1358" spans="1:4" x14ac:dyDescent="0.3">
      <c r="A1358" s="42">
        <v>19294901</v>
      </c>
      <c r="B1358" s="42">
        <v>35000000</v>
      </c>
      <c r="D1358">
        <f t="shared" si="21"/>
        <v>-15705099</v>
      </c>
    </row>
    <row r="1359" spans="1:4" x14ac:dyDescent="0.3">
      <c r="A1359" s="43">
        <v>20275446</v>
      </c>
      <c r="B1359" s="43">
        <v>35000000</v>
      </c>
      <c r="D1359">
        <f t="shared" si="21"/>
        <v>-14724554</v>
      </c>
    </row>
    <row r="1360" spans="1:4" x14ac:dyDescent="0.3">
      <c r="A1360" s="42">
        <v>34507079</v>
      </c>
      <c r="B1360" s="42">
        <v>35000000</v>
      </c>
      <c r="D1360">
        <f t="shared" si="21"/>
        <v>-492921</v>
      </c>
    </row>
    <row r="1361" spans="1:4" x14ac:dyDescent="0.3">
      <c r="A1361" s="43">
        <v>18306166</v>
      </c>
      <c r="B1361" s="43">
        <v>35000000</v>
      </c>
      <c r="D1361">
        <f t="shared" si="21"/>
        <v>-16693834</v>
      </c>
    </row>
    <row r="1362" spans="1:4" x14ac:dyDescent="0.3">
      <c r="A1362" s="42">
        <v>17609982</v>
      </c>
      <c r="B1362" s="42">
        <v>35000000</v>
      </c>
      <c r="D1362">
        <f t="shared" si="21"/>
        <v>-17390018</v>
      </c>
    </row>
    <row r="1363" spans="1:4" x14ac:dyDescent="0.3">
      <c r="A1363" s="43">
        <v>16831505</v>
      </c>
      <c r="B1363" s="43">
        <v>31000000</v>
      </c>
      <c r="D1363">
        <f t="shared" si="21"/>
        <v>-14168495</v>
      </c>
    </row>
    <row r="1364" spans="1:4" x14ac:dyDescent="0.3">
      <c r="A1364" s="42">
        <v>17596256</v>
      </c>
      <c r="B1364" s="42">
        <v>35000000</v>
      </c>
      <c r="D1364">
        <f t="shared" si="21"/>
        <v>-17403744</v>
      </c>
    </row>
    <row r="1365" spans="1:4" x14ac:dyDescent="0.3">
      <c r="A1365" s="43">
        <v>14998070</v>
      </c>
      <c r="B1365" s="43">
        <v>35000000</v>
      </c>
      <c r="D1365">
        <f t="shared" si="21"/>
        <v>-20001930</v>
      </c>
    </row>
    <row r="1366" spans="1:4" x14ac:dyDescent="0.3">
      <c r="A1366" s="42">
        <v>14587732</v>
      </c>
      <c r="B1366" s="42">
        <v>35000000</v>
      </c>
      <c r="D1366">
        <f t="shared" si="21"/>
        <v>-20412268</v>
      </c>
    </row>
    <row r="1367" spans="1:4" x14ac:dyDescent="0.3">
      <c r="A1367" s="43">
        <v>18317151</v>
      </c>
      <c r="B1367" s="43">
        <v>35000000</v>
      </c>
      <c r="D1367">
        <f t="shared" si="21"/>
        <v>-16682849</v>
      </c>
    </row>
    <row r="1368" spans="1:4" x14ac:dyDescent="0.3">
      <c r="A1368" s="42">
        <v>11405825</v>
      </c>
      <c r="B1368" s="42">
        <v>35000000</v>
      </c>
      <c r="D1368">
        <f t="shared" si="21"/>
        <v>-23594175</v>
      </c>
    </row>
    <row r="1369" spans="1:4" x14ac:dyDescent="0.3">
      <c r="A1369" s="43">
        <v>13264986</v>
      </c>
      <c r="B1369" s="43">
        <v>35000000</v>
      </c>
      <c r="D1369">
        <f t="shared" si="21"/>
        <v>-21735014</v>
      </c>
    </row>
    <row r="1370" spans="1:4" x14ac:dyDescent="0.3">
      <c r="A1370" s="42">
        <v>10991381</v>
      </c>
      <c r="B1370" s="42">
        <v>35000000</v>
      </c>
      <c r="D1370">
        <f t="shared" si="21"/>
        <v>-24008619</v>
      </c>
    </row>
    <row r="1371" spans="1:4" x14ac:dyDescent="0.3">
      <c r="A1371" s="43">
        <v>10268846</v>
      </c>
      <c r="B1371" s="43">
        <v>35000000</v>
      </c>
      <c r="D1371">
        <f t="shared" si="21"/>
        <v>-24731154</v>
      </c>
    </row>
    <row r="1372" spans="1:4" x14ac:dyDescent="0.3">
      <c r="A1372" s="42">
        <v>13303319</v>
      </c>
      <c r="B1372" s="42">
        <v>32000000</v>
      </c>
      <c r="D1372">
        <f t="shared" si="21"/>
        <v>-18696681</v>
      </c>
    </row>
    <row r="1373" spans="1:4" x14ac:dyDescent="0.3">
      <c r="A1373" s="43">
        <v>10076136</v>
      </c>
      <c r="B1373" s="43">
        <v>35000000</v>
      </c>
      <c r="D1373">
        <f t="shared" si="21"/>
        <v>-24923864</v>
      </c>
    </row>
    <row r="1374" spans="1:4" x14ac:dyDescent="0.3">
      <c r="A1374" s="42">
        <v>10499968</v>
      </c>
      <c r="B1374" s="42">
        <v>35000000</v>
      </c>
      <c r="D1374">
        <f t="shared" si="21"/>
        <v>-24500032</v>
      </c>
    </row>
    <row r="1375" spans="1:4" x14ac:dyDescent="0.3">
      <c r="A1375" s="43">
        <v>7659747</v>
      </c>
      <c r="B1375" s="43">
        <v>38000000</v>
      </c>
      <c r="D1375">
        <f t="shared" si="21"/>
        <v>-30340253</v>
      </c>
    </row>
    <row r="1376" spans="1:4" x14ac:dyDescent="0.3">
      <c r="A1376" s="42">
        <v>7948159</v>
      </c>
      <c r="B1376" s="42">
        <v>35000000</v>
      </c>
      <c r="D1376">
        <f t="shared" si="21"/>
        <v>-27051841</v>
      </c>
    </row>
    <row r="1377" spans="1:4" x14ac:dyDescent="0.3">
      <c r="A1377" s="43">
        <v>11631245</v>
      </c>
      <c r="B1377" s="43">
        <v>35000000</v>
      </c>
      <c r="D1377">
        <f t="shared" si="21"/>
        <v>-23368755</v>
      </c>
    </row>
    <row r="1378" spans="1:4" x14ac:dyDescent="0.3">
      <c r="A1378" s="42">
        <v>10137502</v>
      </c>
      <c r="B1378" s="42">
        <v>35000000</v>
      </c>
      <c r="D1378">
        <f t="shared" si="21"/>
        <v>-24862498</v>
      </c>
    </row>
    <row r="1379" spans="1:4" x14ac:dyDescent="0.3">
      <c r="A1379" s="43">
        <v>6448817</v>
      </c>
      <c r="B1379" s="43">
        <v>35000000</v>
      </c>
      <c r="D1379">
        <f t="shared" si="21"/>
        <v>-28551183</v>
      </c>
    </row>
    <row r="1380" spans="1:4" x14ac:dyDescent="0.3">
      <c r="A1380" s="42">
        <v>7458269</v>
      </c>
      <c r="B1380" s="42">
        <v>35000000</v>
      </c>
      <c r="D1380">
        <f t="shared" si="21"/>
        <v>-27541731</v>
      </c>
    </row>
    <row r="1381" spans="1:4" x14ac:dyDescent="0.3">
      <c r="A1381" s="43">
        <v>4651977</v>
      </c>
      <c r="B1381" s="43">
        <v>35000000</v>
      </c>
      <c r="D1381">
        <f t="shared" si="21"/>
        <v>-30348023</v>
      </c>
    </row>
    <row r="1382" spans="1:4" x14ac:dyDescent="0.3">
      <c r="A1382" s="42">
        <v>2221994</v>
      </c>
      <c r="B1382" s="42">
        <v>35000000</v>
      </c>
      <c r="D1382">
        <f t="shared" si="21"/>
        <v>-32778006</v>
      </c>
    </row>
    <row r="1383" spans="1:4" x14ac:dyDescent="0.3">
      <c r="A1383" s="43">
        <v>6592103</v>
      </c>
      <c r="B1383" s="43">
        <v>35000000</v>
      </c>
      <c r="D1383">
        <f t="shared" si="21"/>
        <v>-28407897</v>
      </c>
    </row>
    <row r="1384" spans="1:4" x14ac:dyDescent="0.3">
      <c r="A1384" s="42">
        <v>630779</v>
      </c>
      <c r="B1384" s="42">
        <v>35000000</v>
      </c>
      <c r="D1384">
        <f t="shared" si="21"/>
        <v>-34369221</v>
      </c>
    </row>
    <row r="1385" spans="1:4" x14ac:dyDescent="0.3">
      <c r="A1385" s="43">
        <v>102413606</v>
      </c>
      <c r="B1385" s="43">
        <v>34000000</v>
      </c>
      <c r="D1385">
        <f t="shared" si="21"/>
        <v>68413606</v>
      </c>
    </row>
    <row r="1386" spans="1:4" x14ac:dyDescent="0.3">
      <c r="A1386" s="42">
        <v>10214013</v>
      </c>
      <c r="B1386" s="42">
        <v>35000000</v>
      </c>
      <c r="D1386">
        <f t="shared" si="21"/>
        <v>-24785987</v>
      </c>
    </row>
    <row r="1387" spans="1:4" x14ac:dyDescent="0.3">
      <c r="A1387" s="43">
        <v>32000000</v>
      </c>
      <c r="B1387" s="43">
        <v>30000000</v>
      </c>
      <c r="D1387">
        <f t="shared" si="21"/>
        <v>2000000</v>
      </c>
    </row>
    <row r="1388" spans="1:4" x14ac:dyDescent="0.3">
      <c r="A1388" s="42">
        <v>10139254</v>
      </c>
      <c r="B1388" s="42">
        <v>35000000</v>
      </c>
      <c r="D1388">
        <f t="shared" si="21"/>
        <v>-24860746</v>
      </c>
    </row>
    <row r="1389" spans="1:4" x14ac:dyDescent="0.3">
      <c r="A1389" s="43">
        <v>11227940</v>
      </c>
      <c r="B1389" s="43">
        <v>34000000</v>
      </c>
      <c r="D1389">
        <f t="shared" si="21"/>
        <v>-22772060</v>
      </c>
    </row>
    <row r="1390" spans="1:4" x14ac:dyDescent="0.3">
      <c r="A1390" s="42">
        <v>183125</v>
      </c>
      <c r="B1390" s="42">
        <v>35000000</v>
      </c>
      <c r="D1390">
        <f t="shared" si="21"/>
        <v>-34816875</v>
      </c>
    </row>
    <row r="1391" spans="1:4" x14ac:dyDescent="0.3">
      <c r="A1391" s="43">
        <v>15081783</v>
      </c>
      <c r="B1391" s="43">
        <v>34000000</v>
      </c>
      <c r="D1391">
        <f t="shared" si="21"/>
        <v>-18918217</v>
      </c>
    </row>
    <row r="1392" spans="1:4" x14ac:dyDescent="0.3">
      <c r="A1392" s="42">
        <v>37432299</v>
      </c>
      <c r="B1392" s="42">
        <v>34000000</v>
      </c>
      <c r="D1392">
        <f t="shared" si="21"/>
        <v>3432299</v>
      </c>
    </row>
    <row r="1393" spans="1:4" x14ac:dyDescent="0.3">
      <c r="A1393" s="43">
        <v>10654581</v>
      </c>
      <c r="B1393" s="43">
        <v>34000000</v>
      </c>
      <c r="D1393">
        <f t="shared" si="21"/>
        <v>-23345419</v>
      </c>
    </row>
    <row r="1394" spans="1:4" x14ac:dyDescent="0.3">
      <c r="A1394" s="42">
        <v>6543194</v>
      </c>
      <c r="B1394" s="42">
        <v>34000000</v>
      </c>
      <c r="D1394">
        <f t="shared" si="21"/>
        <v>-27456806</v>
      </c>
    </row>
    <row r="1395" spans="1:4" x14ac:dyDescent="0.3">
      <c r="A1395" s="43">
        <v>13101142</v>
      </c>
      <c r="B1395" s="43">
        <v>35000000</v>
      </c>
      <c r="D1395">
        <f t="shared" si="21"/>
        <v>-21898858</v>
      </c>
    </row>
    <row r="1396" spans="1:4" x14ac:dyDescent="0.3">
      <c r="A1396" s="42">
        <v>8324748</v>
      </c>
      <c r="B1396" s="42">
        <v>35000000</v>
      </c>
      <c r="D1396">
        <f t="shared" si="21"/>
        <v>-26675252</v>
      </c>
    </row>
    <row r="1397" spans="1:4" x14ac:dyDescent="0.3">
      <c r="A1397" s="43">
        <v>141340178</v>
      </c>
      <c r="B1397" s="43">
        <v>40000000</v>
      </c>
      <c r="D1397">
        <f t="shared" si="21"/>
        <v>101340178</v>
      </c>
    </row>
    <row r="1398" spans="1:4" x14ac:dyDescent="0.3">
      <c r="A1398" s="42">
        <v>51758599</v>
      </c>
      <c r="B1398" s="42">
        <v>33000000</v>
      </c>
      <c r="D1398">
        <f t="shared" si="21"/>
        <v>18758599</v>
      </c>
    </row>
    <row r="1399" spans="1:4" x14ac:dyDescent="0.3">
      <c r="A1399" s="43">
        <v>117559438</v>
      </c>
      <c r="B1399" s="43">
        <v>30000000</v>
      </c>
      <c r="D1399">
        <f t="shared" si="21"/>
        <v>87559438</v>
      </c>
    </row>
    <row r="1400" spans="1:4" x14ac:dyDescent="0.3">
      <c r="A1400" s="42">
        <v>4091</v>
      </c>
      <c r="B1400" s="42">
        <v>34000000</v>
      </c>
      <c r="D1400">
        <f t="shared" si="21"/>
        <v>-33995909</v>
      </c>
    </row>
    <row r="1401" spans="1:4" x14ac:dyDescent="0.3">
      <c r="A1401" s="43">
        <v>21426805</v>
      </c>
      <c r="B1401" s="43">
        <v>30000000</v>
      </c>
      <c r="D1401">
        <f t="shared" si="21"/>
        <v>-8573195</v>
      </c>
    </row>
    <row r="1402" spans="1:4" x14ac:dyDescent="0.3">
      <c r="A1402" s="42">
        <v>35057332</v>
      </c>
      <c r="B1402" s="42">
        <v>33000000</v>
      </c>
      <c r="D1402">
        <f t="shared" si="21"/>
        <v>2057332</v>
      </c>
    </row>
    <row r="1403" spans="1:4" x14ac:dyDescent="0.3">
      <c r="A1403" s="43">
        <v>34014398</v>
      </c>
      <c r="B1403" s="43">
        <v>33000000</v>
      </c>
      <c r="D1403">
        <f t="shared" si="21"/>
        <v>1014398</v>
      </c>
    </row>
    <row r="1404" spans="1:4" x14ac:dyDescent="0.3">
      <c r="A1404" s="42">
        <v>28927720</v>
      </c>
      <c r="B1404" s="42">
        <v>33000000</v>
      </c>
      <c r="D1404">
        <f t="shared" si="21"/>
        <v>-4072280</v>
      </c>
    </row>
    <row r="1405" spans="1:4" x14ac:dyDescent="0.3">
      <c r="A1405" s="43">
        <v>33682273</v>
      </c>
      <c r="B1405" s="43">
        <v>33000000</v>
      </c>
      <c r="D1405">
        <f t="shared" si="21"/>
        <v>682273</v>
      </c>
    </row>
    <row r="1406" spans="1:4" x14ac:dyDescent="0.3">
      <c r="A1406" s="42">
        <v>4280577</v>
      </c>
      <c r="B1406" s="42">
        <v>10000000</v>
      </c>
      <c r="D1406">
        <f t="shared" si="21"/>
        <v>-5719423</v>
      </c>
    </row>
    <row r="1407" spans="1:4" x14ac:dyDescent="0.3">
      <c r="A1407" s="43">
        <v>17120019</v>
      </c>
      <c r="B1407" s="43">
        <v>30000000</v>
      </c>
      <c r="D1407">
        <f t="shared" si="21"/>
        <v>-12879981</v>
      </c>
    </row>
    <row r="1408" spans="1:4" x14ac:dyDescent="0.3">
      <c r="A1408" s="42">
        <v>8406264</v>
      </c>
      <c r="B1408" s="42">
        <v>38000000</v>
      </c>
      <c r="D1408">
        <f t="shared" si="21"/>
        <v>-29593736</v>
      </c>
    </row>
    <row r="1409" spans="1:4" x14ac:dyDescent="0.3">
      <c r="A1409" s="43">
        <v>309125409</v>
      </c>
      <c r="B1409" s="43">
        <v>32500000</v>
      </c>
      <c r="D1409">
        <f t="shared" si="21"/>
        <v>276625409</v>
      </c>
    </row>
    <row r="1410" spans="1:4" x14ac:dyDescent="0.3">
      <c r="A1410" s="42">
        <v>10955425</v>
      </c>
      <c r="B1410" s="42">
        <v>30000000</v>
      </c>
      <c r="D1410">
        <f t="shared" ref="D1410:D1473" si="22">A1410-B1410</f>
        <v>-19044575</v>
      </c>
    </row>
    <row r="1411" spans="1:4" x14ac:dyDescent="0.3">
      <c r="A1411" s="43">
        <v>34180954</v>
      </c>
      <c r="B1411" s="43">
        <v>32000000</v>
      </c>
      <c r="D1411">
        <f t="shared" si="22"/>
        <v>2180954</v>
      </c>
    </row>
    <row r="1412" spans="1:4" x14ac:dyDescent="0.3">
      <c r="A1412" s="42">
        <v>173381405</v>
      </c>
      <c r="B1412" s="42">
        <v>33000000</v>
      </c>
      <c r="D1412">
        <f t="shared" si="22"/>
        <v>140381405</v>
      </c>
    </row>
    <row r="1413" spans="1:4" x14ac:dyDescent="0.3">
      <c r="A1413" s="43">
        <v>104632573</v>
      </c>
      <c r="B1413" s="43">
        <v>32000000</v>
      </c>
      <c r="D1413">
        <f t="shared" si="22"/>
        <v>72632573</v>
      </c>
    </row>
    <row r="1414" spans="1:4" x14ac:dyDescent="0.3">
      <c r="A1414" s="42">
        <v>81150692</v>
      </c>
      <c r="B1414" s="42">
        <v>35000000</v>
      </c>
      <c r="D1414">
        <f t="shared" si="22"/>
        <v>46150692</v>
      </c>
    </row>
    <row r="1415" spans="1:4" x14ac:dyDescent="0.3">
      <c r="A1415" s="43">
        <v>60328558</v>
      </c>
      <c r="B1415" s="43">
        <v>32000000</v>
      </c>
      <c r="D1415">
        <f t="shared" si="22"/>
        <v>28328558</v>
      </c>
    </row>
    <row r="1416" spans="1:4" x14ac:dyDescent="0.3">
      <c r="A1416" s="42">
        <v>80197993</v>
      </c>
      <c r="B1416" s="42">
        <v>32000000</v>
      </c>
      <c r="D1416">
        <f t="shared" si="22"/>
        <v>48197993</v>
      </c>
    </row>
    <row r="1417" spans="1:4" x14ac:dyDescent="0.3">
      <c r="A1417" s="43">
        <v>169076745</v>
      </c>
      <c r="B1417" s="43">
        <v>32500000</v>
      </c>
      <c r="D1417">
        <f t="shared" si="22"/>
        <v>136576745</v>
      </c>
    </row>
    <row r="1418" spans="1:4" x14ac:dyDescent="0.3">
      <c r="A1418" s="42">
        <v>101470202</v>
      </c>
      <c r="B1418" s="42">
        <v>32000000</v>
      </c>
      <c r="D1418">
        <f t="shared" si="22"/>
        <v>69470202</v>
      </c>
    </row>
    <row r="1419" spans="1:4" x14ac:dyDescent="0.3">
      <c r="A1419" s="43">
        <v>50041732</v>
      </c>
      <c r="B1419" s="43">
        <v>29000000</v>
      </c>
      <c r="D1419">
        <f t="shared" si="22"/>
        <v>21041732</v>
      </c>
    </row>
    <row r="1420" spans="1:4" x14ac:dyDescent="0.3">
      <c r="A1420" s="42">
        <v>48814909</v>
      </c>
      <c r="B1420" s="42">
        <v>32000000</v>
      </c>
      <c r="D1420">
        <f t="shared" si="22"/>
        <v>16814909</v>
      </c>
    </row>
    <row r="1421" spans="1:4" x14ac:dyDescent="0.3">
      <c r="A1421" s="43">
        <v>21784432</v>
      </c>
      <c r="B1421" s="43">
        <v>35000000</v>
      </c>
      <c r="D1421">
        <f t="shared" si="22"/>
        <v>-13215568</v>
      </c>
    </row>
    <row r="1422" spans="1:4" x14ac:dyDescent="0.3">
      <c r="A1422" s="42">
        <v>37911876</v>
      </c>
      <c r="B1422" s="42">
        <v>32000000</v>
      </c>
      <c r="D1422">
        <f t="shared" si="22"/>
        <v>5911876</v>
      </c>
    </row>
    <row r="1423" spans="1:4" x14ac:dyDescent="0.3">
      <c r="A1423" s="43">
        <v>54696902</v>
      </c>
      <c r="B1423" s="43">
        <v>32000000</v>
      </c>
      <c r="D1423">
        <f t="shared" si="22"/>
        <v>22696902</v>
      </c>
    </row>
    <row r="1424" spans="1:4" x14ac:dyDescent="0.3">
      <c r="A1424" s="42">
        <v>36733909</v>
      </c>
      <c r="B1424" s="42">
        <v>32000000</v>
      </c>
      <c r="D1424">
        <f t="shared" si="22"/>
        <v>4733909</v>
      </c>
    </row>
    <row r="1425" spans="1:4" x14ac:dyDescent="0.3">
      <c r="A1425" s="43">
        <v>35063732</v>
      </c>
      <c r="B1425" s="43">
        <v>32000000</v>
      </c>
      <c r="D1425">
        <f t="shared" si="22"/>
        <v>3063732</v>
      </c>
    </row>
    <row r="1426" spans="1:4" x14ac:dyDescent="0.3">
      <c r="A1426" s="42">
        <v>99462</v>
      </c>
      <c r="B1426" s="42">
        <v>33000000</v>
      </c>
      <c r="D1426">
        <f t="shared" si="22"/>
        <v>-32900538</v>
      </c>
    </row>
    <row r="1427" spans="1:4" x14ac:dyDescent="0.3">
      <c r="A1427" s="43">
        <v>32701088</v>
      </c>
      <c r="B1427" s="43">
        <v>32000000</v>
      </c>
      <c r="D1427">
        <f t="shared" si="22"/>
        <v>701088</v>
      </c>
    </row>
    <row r="1428" spans="1:4" x14ac:dyDescent="0.3">
      <c r="A1428" s="42">
        <v>31493782</v>
      </c>
      <c r="B1428" s="42">
        <v>32000000</v>
      </c>
      <c r="D1428">
        <f t="shared" si="22"/>
        <v>-506218</v>
      </c>
    </row>
    <row r="1429" spans="1:4" x14ac:dyDescent="0.3">
      <c r="A1429" s="43">
        <v>43095600</v>
      </c>
      <c r="B1429" s="43">
        <v>32000000</v>
      </c>
      <c r="D1429">
        <f t="shared" si="22"/>
        <v>11095600</v>
      </c>
    </row>
    <row r="1430" spans="1:4" x14ac:dyDescent="0.3">
      <c r="A1430" s="42">
        <v>18636537</v>
      </c>
      <c r="B1430" s="42">
        <v>32000000</v>
      </c>
      <c r="D1430">
        <f t="shared" si="22"/>
        <v>-13363463</v>
      </c>
    </row>
    <row r="1431" spans="1:4" x14ac:dyDescent="0.3">
      <c r="A1431" s="43">
        <v>17848322</v>
      </c>
      <c r="B1431" s="43">
        <v>28000000</v>
      </c>
      <c r="D1431">
        <f t="shared" si="22"/>
        <v>-10151678</v>
      </c>
    </row>
    <row r="1432" spans="1:4" x14ac:dyDescent="0.3">
      <c r="A1432" s="42">
        <v>16640210</v>
      </c>
      <c r="B1432" s="42">
        <v>55000000</v>
      </c>
      <c r="D1432">
        <f t="shared" si="22"/>
        <v>-38359790</v>
      </c>
    </row>
    <row r="1433" spans="1:4" x14ac:dyDescent="0.3">
      <c r="A1433" s="43">
        <v>13763130</v>
      </c>
      <c r="B1433" s="43">
        <v>32000000</v>
      </c>
      <c r="D1433">
        <f t="shared" si="22"/>
        <v>-18236870</v>
      </c>
    </row>
    <row r="1434" spans="1:4" x14ac:dyDescent="0.3">
      <c r="A1434" s="42">
        <v>10956379</v>
      </c>
      <c r="B1434" s="42">
        <v>35000000</v>
      </c>
      <c r="D1434">
        <f t="shared" si="22"/>
        <v>-24043621</v>
      </c>
    </row>
    <row r="1435" spans="1:4" x14ac:dyDescent="0.3">
      <c r="A1435" s="43">
        <v>4357000</v>
      </c>
      <c r="B1435" s="43">
        <v>30000000</v>
      </c>
      <c r="D1435">
        <f t="shared" si="22"/>
        <v>-25643000</v>
      </c>
    </row>
    <row r="1436" spans="1:4" x14ac:dyDescent="0.3">
      <c r="A1436" s="42">
        <v>22525921</v>
      </c>
      <c r="B1436" s="42">
        <v>30000000</v>
      </c>
      <c r="D1436">
        <f t="shared" si="22"/>
        <v>-7474079</v>
      </c>
    </row>
    <row r="1437" spans="1:4" x14ac:dyDescent="0.3">
      <c r="A1437" s="43">
        <v>3562749</v>
      </c>
      <c r="B1437" s="43">
        <v>32000000</v>
      </c>
      <c r="D1437">
        <f t="shared" si="22"/>
        <v>-28437251</v>
      </c>
    </row>
    <row r="1438" spans="1:4" x14ac:dyDescent="0.3">
      <c r="A1438" s="42">
        <v>2899970</v>
      </c>
      <c r="B1438" s="42">
        <v>32000000</v>
      </c>
      <c r="D1438">
        <f t="shared" si="22"/>
        <v>-29100030</v>
      </c>
    </row>
    <row r="1439" spans="1:4" x14ac:dyDescent="0.3">
      <c r="A1439" s="43">
        <v>1304837</v>
      </c>
      <c r="B1439" s="43">
        <v>32000000</v>
      </c>
      <c r="D1439">
        <f t="shared" si="22"/>
        <v>-30695163</v>
      </c>
    </row>
    <row r="1440" spans="1:4" x14ac:dyDescent="0.3">
      <c r="A1440" s="42">
        <v>78800000</v>
      </c>
      <c r="B1440" s="42">
        <v>31500000</v>
      </c>
      <c r="D1440">
        <f t="shared" si="22"/>
        <v>47300000</v>
      </c>
    </row>
    <row r="1441" spans="1:4" x14ac:dyDescent="0.3">
      <c r="A1441" s="43">
        <v>17797316</v>
      </c>
      <c r="B1441" s="43">
        <v>32000000</v>
      </c>
      <c r="D1441">
        <f t="shared" si="22"/>
        <v>-14202684</v>
      </c>
    </row>
    <row r="1442" spans="1:4" x14ac:dyDescent="0.3">
      <c r="A1442" s="42">
        <v>82528097</v>
      </c>
      <c r="B1442" s="42">
        <v>6500000</v>
      </c>
      <c r="D1442">
        <f t="shared" si="22"/>
        <v>76028097</v>
      </c>
    </row>
    <row r="1443" spans="1:4" x14ac:dyDescent="0.3">
      <c r="A1443" s="43">
        <v>14268533</v>
      </c>
      <c r="B1443" s="43">
        <v>31500000</v>
      </c>
      <c r="D1443">
        <f t="shared" si="22"/>
        <v>-17231467</v>
      </c>
    </row>
    <row r="1444" spans="1:4" x14ac:dyDescent="0.3">
      <c r="A1444" s="42">
        <v>87100000</v>
      </c>
      <c r="B1444" s="42">
        <v>31000000</v>
      </c>
      <c r="D1444">
        <f t="shared" si="22"/>
        <v>56100000</v>
      </c>
    </row>
    <row r="1445" spans="1:4" x14ac:dyDescent="0.3">
      <c r="A1445" s="43">
        <v>93749203</v>
      </c>
      <c r="B1445" s="43">
        <v>31000000</v>
      </c>
      <c r="D1445">
        <f t="shared" si="22"/>
        <v>62749203</v>
      </c>
    </row>
    <row r="1446" spans="1:4" x14ac:dyDescent="0.3">
      <c r="A1446" s="42">
        <v>62700000</v>
      </c>
      <c r="B1446" s="42">
        <v>34000000</v>
      </c>
      <c r="D1446">
        <f t="shared" si="22"/>
        <v>28700000</v>
      </c>
    </row>
    <row r="1447" spans="1:4" x14ac:dyDescent="0.3">
      <c r="A1447" s="43">
        <v>59073773</v>
      </c>
      <c r="B1447" s="43">
        <v>25000000</v>
      </c>
      <c r="D1447">
        <f t="shared" si="22"/>
        <v>34073773</v>
      </c>
    </row>
    <row r="1448" spans="1:4" x14ac:dyDescent="0.3">
      <c r="A1448" s="42">
        <v>24185781</v>
      </c>
      <c r="B1448" s="42">
        <v>31000000</v>
      </c>
      <c r="D1448">
        <f t="shared" si="22"/>
        <v>-6814219</v>
      </c>
    </row>
    <row r="1449" spans="1:4" x14ac:dyDescent="0.3">
      <c r="A1449" s="43">
        <v>53133888</v>
      </c>
      <c r="B1449" s="43">
        <v>31000000</v>
      </c>
      <c r="D1449">
        <f t="shared" si="22"/>
        <v>22133888</v>
      </c>
    </row>
    <row r="1450" spans="1:4" x14ac:dyDescent="0.3">
      <c r="A1450" s="42">
        <v>44983704</v>
      </c>
      <c r="B1450" s="42">
        <v>31000000</v>
      </c>
      <c r="D1450">
        <f t="shared" si="22"/>
        <v>13983704</v>
      </c>
    </row>
    <row r="1451" spans="1:4" x14ac:dyDescent="0.3">
      <c r="A1451" s="43">
        <v>58879132</v>
      </c>
      <c r="B1451" s="43">
        <v>31000000</v>
      </c>
      <c r="D1451">
        <f t="shared" si="22"/>
        <v>27879132</v>
      </c>
    </row>
    <row r="1452" spans="1:4" x14ac:dyDescent="0.3">
      <c r="A1452" s="42">
        <v>72077000</v>
      </c>
      <c r="B1452" s="42">
        <v>30250000</v>
      </c>
      <c r="D1452">
        <f t="shared" si="22"/>
        <v>41827000</v>
      </c>
    </row>
    <row r="1453" spans="1:4" x14ac:dyDescent="0.3">
      <c r="A1453" s="43">
        <v>170684505</v>
      </c>
      <c r="B1453" s="43">
        <v>45000000</v>
      </c>
      <c r="D1453">
        <f t="shared" si="22"/>
        <v>125684505</v>
      </c>
    </row>
    <row r="1454" spans="1:4" x14ac:dyDescent="0.3">
      <c r="A1454" s="42">
        <v>163479795</v>
      </c>
      <c r="B1454" s="42">
        <v>34200000</v>
      </c>
      <c r="D1454">
        <f t="shared" si="22"/>
        <v>129279795</v>
      </c>
    </row>
    <row r="1455" spans="1:4" x14ac:dyDescent="0.3">
      <c r="A1455" s="43">
        <v>145096820</v>
      </c>
      <c r="B1455" s="43">
        <v>30000000</v>
      </c>
      <c r="D1455">
        <f t="shared" si="22"/>
        <v>115096820</v>
      </c>
    </row>
    <row r="1456" spans="1:4" x14ac:dyDescent="0.3">
      <c r="A1456" s="42">
        <v>191796233</v>
      </c>
      <c r="B1456" s="42">
        <v>30000000</v>
      </c>
      <c r="D1456">
        <f t="shared" si="22"/>
        <v>161796233</v>
      </c>
    </row>
    <row r="1457" spans="1:4" x14ac:dyDescent="0.3">
      <c r="A1457" s="43">
        <v>121248145</v>
      </c>
      <c r="B1457" s="43">
        <v>25000000</v>
      </c>
      <c r="D1457">
        <f t="shared" si="22"/>
        <v>96248145</v>
      </c>
    </row>
    <row r="1458" spans="1:4" x14ac:dyDescent="0.3">
      <c r="A1458" s="42">
        <v>125014030</v>
      </c>
      <c r="B1458" s="42">
        <v>30000000</v>
      </c>
      <c r="D1458">
        <f t="shared" si="22"/>
        <v>95014030</v>
      </c>
    </row>
    <row r="1459" spans="1:4" x14ac:dyDescent="0.3">
      <c r="A1459" s="43">
        <v>11854694</v>
      </c>
      <c r="B1459" s="43">
        <v>31000000</v>
      </c>
      <c r="D1459">
        <f t="shared" si="22"/>
        <v>-19145306</v>
      </c>
    </row>
    <row r="1460" spans="1:4" x14ac:dyDescent="0.3">
      <c r="A1460" s="42">
        <v>115648585</v>
      </c>
      <c r="B1460" s="42">
        <v>30000000</v>
      </c>
      <c r="D1460">
        <f t="shared" si="22"/>
        <v>85648585</v>
      </c>
    </row>
    <row r="1461" spans="1:4" x14ac:dyDescent="0.3">
      <c r="A1461" s="43">
        <v>122012643</v>
      </c>
      <c r="B1461" s="43">
        <v>30000000</v>
      </c>
      <c r="D1461">
        <f t="shared" si="22"/>
        <v>92012643</v>
      </c>
    </row>
    <row r="1462" spans="1:4" x14ac:dyDescent="0.3">
      <c r="A1462" s="42">
        <v>116631310</v>
      </c>
      <c r="B1462" s="42">
        <v>30000000</v>
      </c>
      <c r="D1462">
        <f t="shared" si="22"/>
        <v>86631310</v>
      </c>
    </row>
    <row r="1463" spans="1:4" x14ac:dyDescent="0.3">
      <c r="A1463" s="43">
        <v>114324072</v>
      </c>
      <c r="B1463" s="43">
        <v>20000000</v>
      </c>
      <c r="D1463">
        <f t="shared" si="22"/>
        <v>94324072</v>
      </c>
    </row>
    <row r="1464" spans="1:4" x14ac:dyDescent="0.3">
      <c r="A1464" s="42">
        <v>113502246</v>
      </c>
      <c r="B1464" s="42">
        <v>38000000</v>
      </c>
      <c r="D1464">
        <f t="shared" si="22"/>
        <v>75502246</v>
      </c>
    </row>
    <row r="1465" spans="1:4" x14ac:dyDescent="0.3">
      <c r="A1465" s="43">
        <v>108360000</v>
      </c>
      <c r="B1465" s="43">
        <v>30000000</v>
      </c>
      <c r="D1465">
        <f t="shared" si="22"/>
        <v>78360000</v>
      </c>
    </row>
    <row r="1466" spans="1:4" x14ac:dyDescent="0.3">
      <c r="A1466" s="42">
        <v>108244774</v>
      </c>
      <c r="B1466" s="42">
        <v>37000000</v>
      </c>
      <c r="D1466">
        <f t="shared" si="22"/>
        <v>71244774</v>
      </c>
    </row>
    <row r="1467" spans="1:4" x14ac:dyDescent="0.3">
      <c r="A1467" s="43">
        <v>105444419</v>
      </c>
      <c r="B1467" s="43">
        <v>26000000</v>
      </c>
      <c r="D1467">
        <f t="shared" si="22"/>
        <v>79444419</v>
      </c>
    </row>
    <row r="1468" spans="1:4" x14ac:dyDescent="0.3">
      <c r="A1468" s="42">
        <v>100125340</v>
      </c>
      <c r="B1468" s="42">
        <v>33000000</v>
      </c>
      <c r="D1468">
        <f t="shared" si="22"/>
        <v>67125340</v>
      </c>
    </row>
    <row r="1469" spans="1:4" x14ac:dyDescent="0.3">
      <c r="A1469" s="43">
        <v>115646235</v>
      </c>
      <c r="B1469" s="43">
        <v>30000000</v>
      </c>
      <c r="D1469">
        <f t="shared" si="22"/>
        <v>85646235</v>
      </c>
    </row>
    <row r="1470" spans="1:4" x14ac:dyDescent="0.3">
      <c r="A1470" s="42">
        <v>85416609</v>
      </c>
      <c r="B1470" s="42">
        <v>30000000</v>
      </c>
      <c r="D1470">
        <f t="shared" si="22"/>
        <v>55416609</v>
      </c>
    </row>
    <row r="1471" spans="1:4" x14ac:dyDescent="0.3">
      <c r="A1471" s="43">
        <v>90135191</v>
      </c>
      <c r="B1471" s="43">
        <v>25000000</v>
      </c>
      <c r="D1471">
        <f t="shared" si="22"/>
        <v>65135191</v>
      </c>
    </row>
    <row r="1472" spans="1:4" x14ac:dyDescent="0.3">
      <c r="A1472" s="42">
        <v>100422786</v>
      </c>
      <c r="B1472" s="42">
        <v>30000000</v>
      </c>
      <c r="D1472">
        <f t="shared" si="22"/>
        <v>70422786</v>
      </c>
    </row>
    <row r="1473" spans="1:4" x14ac:dyDescent="0.3">
      <c r="A1473" s="43">
        <v>106694016</v>
      </c>
      <c r="B1473" s="43">
        <v>30000000</v>
      </c>
      <c r="D1473">
        <f t="shared" si="22"/>
        <v>76694016</v>
      </c>
    </row>
    <row r="1474" spans="1:4" x14ac:dyDescent="0.3">
      <c r="A1474" s="42">
        <v>64286</v>
      </c>
      <c r="B1474" s="42">
        <v>29000000</v>
      </c>
      <c r="D1474">
        <f t="shared" ref="D1474:D1537" si="23">A1474-B1474</f>
        <v>-28935714</v>
      </c>
    </row>
    <row r="1475" spans="1:4" x14ac:dyDescent="0.3">
      <c r="A1475" s="43">
        <v>79566871</v>
      </c>
      <c r="B1475" s="43">
        <v>30000000</v>
      </c>
      <c r="D1475">
        <f t="shared" si="23"/>
        <v>49566871</v>
      </c>
    </row>
    <row r="1476" spans="1:4" x14ac:dyDescent="0.3">
      <c r="A1476" s="42">
        <v>76501438</v>
      </c>
      <c r="B1476" s="42">
        <v>30000000</v>
      </c>
      <c r="D1476">
        <f t="shared" si="23"/>
        <v>46501438</v>
      </c>
    </row>
    <row r="1477" spans="1:4" x14ac:dyDescent="0.3">
      <c r="A1477" s="43">
        <v>74787599</v>
      </c>
      <c r="B1477" s="43">
        <v>30000000</v>
      </c>
      <c r="D1477">
        <f t="shared" si="23"/>
        <v>44787599</v>
      </c>
    </row>
    <row r="1478" spans="1:4" x14ac:dyDescent="0.3">
      <c r="A1478" s="42">
        <v>66528842</v>
      </c>
      <c r="B1478" s="42">
        <v>30000000</v>
      </c>
      <c r="D1478">
        <f t="shared" si="23"/>
        <v>36528842</v>
      </c>
    </row>
    <row r="1479" spans="1:4" x14ac:dyDescent="0.3">
      <c r="A1479" s="43">
        <v>83813460</v>
      </c>
      <c r="B1479" s="43">
        <v>25000000</v>
      </c>
      <c r="D1479">
        <f t="shared" si="23"/>
        <v>58813460</v>
      </c>
    </row>
    <row r="1480" spans="1:4" x14ac:dyDescent="0.3">
      <c r="A1480" s="42">
        <v>65010106</v>
      </c>
      <c r="B1480" s="42">
        <v>30000000</v>
      </c>
      <c r="D1480">
        <f t="shared" si="23"/>
        <v>35010106</v>
      </c>
    </row>
    <row r="1481" spans="1:4" x14ac:dyDescent="0.3">
      <c r="A1481" s="43">
        <v>66359959</v>
      </c>
      <c r="B1481" s="43">
        <v>35000000</v>
      </c>
      <c r="D1481">
        <f t="shared" si="23"/>
        <v>31359959</v>
      </c>
    </row>
    <row r="1482" spans="1:4" x14ac:dyDescent="0.3">
      <c r="A1482" s="42">
        <v>66468315</v>
      </c>
      <c r="B1482" s="42">
        <v>30000000</v>
      </c>
      <c r="D1482">
        <f t="shared" si="23"/>
        <v>36468315</v>
      </c>
    </row>
    <row r="1483" spans="1:4" x14ac:dyDescent="0.3">
      <c r="A1483" s="43">
        <v>64172251</v>
      </c>
      <c r="B1483" s="43">
        <v>30000000</v>
      </c>
      <c r="D1483">
        <f t="shared" si="23"/>
        <v>34172251</v>
      </c>
    </row>
    <row r="1484" spans="1:4" x14ac:dyDescent="0.3">
      <c r="A1484" s="42">
        <v>66600000</v>
      </c>
      <c r="B1484" s="42">
        <v>30000000</v>
      </c>
      <c r="D1484">
        <f t="shared" si="23"/>
        <v>36600000</v>
      </c>
    </row>
    <row r="1485" spans="1:4" x14ac:dyDescent="0.3">
      <c r="A1485" s="43">
        <v>63536011</v>
      </c>
      <c r="B1485" s="43">
        <v>30000000</v>
      </c>
      <c r="D1485">
        <f t="shared" si="23"/>
        <v>33536011</v>
      </c>
    </row>
    <row r="1486" spans="1:4" x14ac:dyDescent="0.3">
      <c r="A1486" s="42">
        <v>62877175</v>
      </c>
      <c r="B1486" s="42">
        <v>30000000</v>
      </c>
      <c r="D1486">
        <f t="shared" si="23"/>
        <v>32877175</v>
      </c>
    </row>
    <row r="1487" spans="1:4" x14ac:dyDescent="0.3">
      <c r="A1487" s="43">
        <v>74484168</v>
      </c>
      <c r="B1487" s="43">
        <v>45000000</v>
      </c>
      <c r="D1487">
        <f t="shared" si="23"/>
        <v>29484168</v>
      </c>
    </row>
    <row r="1488" spans="1:4" x14ac:dyDescent="0.3">
      <c r="A1488" s="42">
        <v>60269340</v>
      </c>
      <c r="B1488" s="42">
        <v>30000000</v>
      </c>
      <c r="D1488">
        <f t="shared" si="23"/>
        <v>30269340</v>
      </c>
    </row>
    <row r="1489" spans="1:4" x14ac:dyDescent="0.3">
      <c r="A1489" s="43">
        <v>60033780</v>
      </c>
      <c r="B1489" s="43">
        <v>30000000</v>
      </c>
      <c r="D1489">
        <f t="shared" si="23"/>
        <v>30033780</v>
      </c>
    </row>
    <row r="1490" spans="1:4" x14ac:dyDescent="0.3">
      <c r="A1490" s="42">
        <v>58715510</v>
      </c>
      <c r="B1490" s="42">
        <v>30000000</v>
      </c>
      <c r="D1490">
        <f t="shared" si="23"/>
        <v>28715510</v>
      </c>
    </row>
    <row r="1491" spans="1:4" x14ac:dyDescent="0.3">
      <c r="A1491" s="43">
        <v>58156435</v>
      </c>
      <c r="B1491" s="43">
        <v>19000000</v>
      </c>
      <c r="D1491">
        <f t="shared" si="23"/>
        <v>39156435</v>
      </c>
    </row>
    <row r="1492" spans="1:4" x14ac:dyDescent="0.3">
      <c r="A1492" s="42">
        <v>56044241</v>
      </c>
      <c r="B1492" s="42">
        <v>37000000</v>
      </c>
      <c r="D1492">
        <f t="shared" si="23"/>
        <v>19044241</v>
      </c>
    </row>
    <row r="1493" spans="1:4" x14ac:dyDescent="0.3">
      <c r="A1493" s="43">
        <v>56816662</v>
      </c>
      <c r="B1493" s="43">
        <v>17000000</v>
      </c>
      <c r="D1493">
        <f t="shared" si="23"/>
        <v>39816662</v>
      </c>
    </row>
    <row r="1494" spans="1:4" x14ac:dyDescent="0.3">
      <c r="A1494" s="42">
        <v>64238770</v>
      </c>
      <c r="B1494" s="42">
        <v>42000000</v>
      </c>
      <c r="D1494">
        <f t="shared" si="23"/>
        <v>22238770</v>
      </c>
    </row>
    <row r="1495" spans="1:4" x14ac:dyDescent="0.3">
      <c r="A1495" s="43">
        <v>52937130</v>
      </c>
      <c r="B1495" s="43">
        <v>30000000</v>
      </c>
      <c r="D1495">
        <f t="shared" si="23"/>
        <v>22937130</v>
      </c>
    </row>
    <row r="1496" spans="1:4" x14ac:dyDescent="0.3">
      <c r="A1496" s="42">
        <v>52799004</v>
      </c>
      <c r="B1496" s="42">
        <v>55000000</v>
      </c>
      <c r="D1496">
        <f t="shared" si="23"/>
        <v>-2200996</v>
      </c>
    </row>
    <row r="1497" spans="1:4" x14ac:dyDescent="0.3">
      <c r="A1497" s="43">
        <v>55210049</v>
      </c>
      <c r="B1497" s="43">
        <v>27800000</v>
      </c>
      <c r="D1497">
        <f t="shared" si="23"/>
        <v>27410049</v>
      </c>
    </row>
    <row r="1498" spans="1:4" x14ac:dyDescent="0.3">
      <c r="A1498" s="42">
        <v>51432423</v>
      </c>
      <c r="B1498" s="42">
        <v>30000000</v>
      </c>
      <c r="D1498">
        <f t="shared" si="23"/>
        <v>21432423</v>
      </c>
    </row>
    <row r="1499" spans="1:4" x14ac:dyDescent="0.3">
      <c r="A1499" s="43">
        <v>51109400</v>
      </c>
      <c r="B1499" s="43">
        <v>30000000</v>
      </c>
      <c r="D1499">
        <f t="shared" si="23"/>
        <v>21109400</v>
      </c>
    </row>
    <row r="1500" spans="1:4" x14ac:dyDescent="0.3">
      <c r="A1500" s="42">
        <v>50300000</v>
      </c>
      <c r="B1500" s="42">
        <v>30000000</v>
      </c>
      <c r="D1500">
        <f t="shared" si="23"/>
        <v>20300000</v>
      </c>
    </row>
    <row r="1501" spans="1:4" x14ac:dyDescent="0.3">
      <c r="A1501" s="43">
        <v>56068547</v>
      </c>
      <c r="B1501" s="43">
        <v>30000000</v>
      </c>
      <c r="D1501">
        <f t="shared" si="23"/>
        <v>26068547</v>
      </c>
    </row>
    <row r="1502" spans="1:4" x14ac:dyDescent="0.3">
      <c r="A1502" s="42">
        <v>53680848</v>
      </c>
      <c r="B1502" s="42">
        <v>30000000</v>
      </c>
      <c r="D1502">
        <f t="shared" si="23"/>
        <v>23680848</v>
      </c>
    </row>
    <row r="1503" spans="1:4" x14ac:dyDescent="0.3">
      <c r="A1503" s="43">
        <v>50921738</v>
      </c>
      <c r="B1503" s="43">
        <v>30000000</v>
      </c>
      <c r="D1503">
        <f t="shared" si="23"/>
        <v>20921738</v>
      </c>
    </row>
    <row r="1504" spans="1:4" x14ac:dyDescent="0.3">
      <c r="A1504" s="42">
        <v>53021560</v>
      </c>
      <c r="B1504" s="42">
        <v>30000000</v>
      </c>
      <c r="D1504">
        <f t="shared" si="23"/>
        <v>23021560</v>
      </c>
    </row>
    <row r="1505" spans="1:4" x14ac:dyDescent="0.3">
      <c r="A1505" s="43">
        <v>45645204</v>
      </c>
      <c r="B1505" s="43">
        <v>30000000</v>
      </c>
      <c r="D1505">
        <f t="shared" si="23"/>
        <v>15645204</v>
      </c>
    </row>
    <row r="1506" spans="1:4" x14ac:dyDescent="0.3">
      <c r="A1506" s="42">
        <v>53337608</v>
      </c>
      <c r="B1506" s="42">
        <v>40000000</v>
      </c>
      <c r="D1506">
        <f t="shared" si="23"/>
        <v>13337608</v>
      </c>
    </row>
    <row r="1507" spans="1:4" x14ac:dyDescent="0.3">
      <c r="A1507" s="43">
        <v>46875468</v>
      </c>
      <c r="B1507" s="43">
        <v>30000000</v>
      </c>
      <c r="D1507">
        <f t="shared" si="23"/>
        <v>16875468</v>
      </c>
    </row>
    <row r="1508" spans="1:4" x14ac:dyDescent="0.3">
      <c r="A1508" s="42">
        <v>52418902</v>
      </c>
      <c r="B1508" s="42">
        <v>30000000</v>
      </c>
      <c r="D1508">
        <f t="shared" si="23"/>
        <v>22418902</v>
      </c>
    </row>
    <row r="1509" spans="1:4" x14ac:dyDescent="0.3">
      <c r="A1509" s="43">
        <v>42057340</v>
      </c>
      <c r="B1509" s="43">
        <v>30000000</v>
      </c>
      <c r="D1509">
        <f t="shared" si="23"/>
        <v>12057340</v>
      </c>
    </row>
    <row r="1510" spans="1:4" x14ac:dyDescent="0.3">
      <c r="A1510" s="42">
        <v>42478175</v>
      </c>
      <c r="B1510" s="42">
        <v>25000000</v>
      </c>
      <c r="D1510">
        <f t="shared" si="23"/>
        <v>17478175</v>
      </c>
    </row>
    <row r="1511" spans="1:4" x14ac:dyDescent="0.3">
      <c r="A1511" s="43">
        <v>41407470</v>
      </c>
      <c r="B1511" s="43">
        <v>30000000</v>
      </c>
      <c r="D1511">
        <f t="shared" si="23"/>
        <v>11407470</v>
      </c>
    </row>
    <row r="1512" spans="1:4" x14ac:dyDescent="0.3">
      <c r="A1512" s="42">
        <v>42385520</v>
      </c>
      <c r="B1512" s="42">
        <v>30000000</v>
      </c>
      <c r="D1512">
        <f t="shared" si="23"/>
        <v>12385520</v>
      </c>
    </row>
    <row r="1513" spans="1:4" x14ac:dyDescent="0.3">
      <c r="A1513" s="43">
        <v>40118420</v>
      </c>
      <c r="B1513" s="43">
        <v>30000000</v>
      </c>
      <c r="D1513">
        <f t="shared" si="23"/>
        <v>10118420</v>
      </c>
    </row>
    <row r="1514" spans="1:4" x14ac:dyDescent="0.3">
      <c r="A1514" s="42">
        <v>40137776</v>
      </c>
      <c r="B1514" s="42">
        <v>38000000</v>
      </c>
      <c r="D1514">
        <f t="shared" si="23"/>
        <v>2137776</v>
      </c>
    </row>
    <row r="1515" spans="1:4" x14ac:dyDescent="0.3">
      <c r="A1515" s="43">
        <v>39568996</v>
      </c>
      <c r="B1515" s="43">
        <v>32000000</v>
      </c>
      <c r="D1515">
        <f t="shared" si="23"/>
        <v>7568996</v>
      </c>
    </row>
    <row r="1516" spans="1:4" x14ac:dyDescent="0.3">
      <c r="A1516" s="42">
        <v>42043633</v>
      </c>
      <c r="B1516" s="42">
        <v>30000000</v>
      </c>
      <c r="D1516">
        <f t="shared" si="23"/>
        <v>12043633</v>
      </c>
    </row>
    <row r="1517" spans="1:4" x14ac:dyDescent="0.3">
      <c r="A1517" s="43">
        <v>38232624</v>
      </c>
      <c r="B1517" s="43">
        <v>30000000</v>
      </c>
      <c r="D1517">
        <f t="shared" si="23"/>
        <v>8232624</v>
      </c>
    </row>
    <row r="1518" spans="1:4" x14ac:dyDescent="0.3">
      <c r="A1518" s="42">
        <v>38413606</v>
      </c>
      <c r="B1518" s="42">
        <v>30000000</v>
      </c>
      <c r="D1518">
        <f t="shared" si="23"/>
        <v>8413606</v>
      </c>
    </row>
    <row r="1519" spans="1:4" x14ac:dyDescent="0.3">
      <c r="A1519" s="43">
        <v>38122105</v>
      </c>
      <c r="B1519" s="43">
        <v>27000000</v>
      </c>
      <c r="D1519">
        <f t="shared" si="23"/>
        <v>11122105</v>
      </c>
    </row>
    <row r="1520" spans="1:4" x14ac:dyDescent="0.3">
      <c r="A1520" s="42">
        <v>38747385</v>
      </c>
      <c r="B1520" s="42">
        <v>25000000</v>
      </c>
      <c r="D1520">
        <f t="shared" si="23"/>
        <v>13747385</v>
      </c>
    </row>
    <row r="1521" spans="1:4" x14ac:dyDescent="0.3">
      <c r="A1521" s="43">
        <v>40247512</v>
      </c>
      <c r="B1521" s="43">
        <v>30000000</v>
      </c>
      <c r="D1521">
        <f t="shared" si="23"/>
        <v>10247512</v>
      </c>
    </row>
    <row r="1522" spans="1:4" x14ac:dyDescent="0.3">
      <c r="A1522" s="42">
        <v>35927406</v>
      </c>
      <c r="B1522" s="42">
        <v>30000000</v>
      </c>
      <c r="D1522">
        <f t="shared" si="23"/>
        <v>5927406</v>
      </c>
    </row>
    <row r="1523" spans="1:4" x14ac:dyDescent="0.3">
      <c r="A1523" s="43">
        <v>35565975</v>
      </c>
      <c r="B1523" s="43">
        <v>30000000</v>
      </c>
      <c r="D1523">
        <f t="shared" si="23"/>
        <v>5565975</v>
      </c>
    </row>
    <row r="1524" spans="1:4" x14ac:dyDescent="0.3">
      <c r="A1524" s="42">
        <v>35266619</v>
      </c>
      <c r="B1524" s="42">
        <v>30000000</v>
      </c>
      <c r="D1524">
        <f t="shared" si="23"/>
        <v>5266619</v>
      </c>
    </row>
    <row r="1525" spans="1:4" x14ac:dyDescent="0.3">
      <c r="A1525" s="43">
        <v>34703228</v>
      </c>
      <c r="B1525" s="43">
        <v>30000000</v>
      </c>
      <c r="D1525">
        <f t="shared" si="23"/>
        <v>4703228</v>
      </c>
    </row>
    <row r="1526" spans="1:4" x14ac:dyDescent="0.3">
      <c r="A1526" s="42">
        <v>38432823</v>
      </c>
      <c r="B1526" s="42">
        <v>30000000</v>
      </c>
      <c r="D1526">
        <f t="shared" si="23"/>
        <v>8432823</v>
      </c>
    </row>
    <row r="1527" spans="1:4" x14ac:dyDescent="0.3">
      <c r="A1527" s="43">
        <v>32095318</v>
      </c>
      <c r="B1527" s="43">
        <v>45000000</v>
      </c>
      <c r="D1527">
        <f t="shared" si="23"/>
        <v>-12904682</v>
      </c>
    </row>
    <row r="1528" spans="1:4" x14ac:dyDescent="0.3">
      <c r="A1528" s="42">
        <v>31743332</v>
      </c>
      <c r="B1528" s="42">
        <v>30000000</v>
      </c>
      <c r="D1528">
        <f t="shared" si="23"/>
        <v>1743332</v>
      </c>
    </row>
    <row r="1529" spans="1:4" x14ac:dyDescent="0.3">
      <c r="A1529" s="43">
        <v>32154410</v>
      </c>
      <c r="B1529" s="43">
        <v>30000000</v>
      </c>
      <c r="D1529">
        <f t="shared" si="23"/>
        <v>2154410</v>
      </c>
    </row>
    <row r="1530" spans="1:4" x14ac:dyDescent="0.3">
      <c r="A1530" s="42">
        <v>26687172</v>
      </c>
      <c r="B1530" s="42">
        <v>30000000</v>
      </c>
      <c r="D1530">
        <f t="shared" si="23"/>
        <v>-3312828</v>
      </c>
    </row>
    <row r="1531" spans="1:4" x14ac:dyDescent="0.3">
      <c r="A1531" s="43">
        <v>26096584</v>
      </c>
      <c r="B1531" s="43">
        <v>19000000</v>
      </c>
      <c r="D1531">
        <f t="shared" si="23"/>
        <v>7096584</v>
      </c>
    </row>
    <row r="1532" spans="1:4" x14ac:dyDescent="0.3">
      <c r="A1532" s="42">
        <v>26525834</v>
      </c>
      <c r="B1532" s="42">
        <v>30000000</v>
      </c>
      <c r="D1532">
        <f t="shared" si="23"/>
        <v>-3474166</v>
      </c>
    </row>
    <row r="1533" spans="1:4" x14ac:dyDescent="0.3">
      <c r="A1533" s="43">
        <v>30513940</v>
      </c>
      <c r="B1533" s="43">
        <v>30000000</v>
      </c>
      <c r="D1533">
        <f t="shared" si="23"/>
        <v>513940</v>
      </c>
    </row>
    <row r="1534" spans="1:4" x14ac:dyDescent="0.3">
      <c r="A1534" s="42">
        <v>23209440</v>
      </c>
      <c r="B1534" s="42">
        <v>30000000</v>
      </c>
      <c r="D1534">
        <f t="shared" si="23"/>
        <v>-6790560</v>
      </c>
    </row>
    <row r="1535" spans="1:4" x14ac:dyDescent="0.3">
      <c r="A1535" s="43">
        <v>24048000</v>
      </c>
      <c r="B1535" s="43">
        <v>30000000</v>
      </c>
      <c r="D1535">
        <f t="shared" si="23"/>
        <v>-5952000</v>
      </c>
    </row>
    <row r="1536" spans="1:4" x14ac:dyDescent="0.3">
      <c r="A1536" s="42">
        <v>22526144</v>
      </c>
      <c r="B1536" s="42">
        <v>30000000</v>
      </c>
      <c r="D1536">
        <f t="shared" si="23"/>
        <v>-7473856</v>
      </c>
    </row>
    <row r="1537" spans="1:4" x14ac:dyDescent="0.3">
      <c r="A1537" s="43">
        <v>30523568</v>
      </c>
      <c r="B1537" s="43">
        <v>30000000</v>
      </c>
      <c r="D1537">
        <f t="shared" si="23"/>
        <v>523568</v>
      </c>
    </row>
    <row r="1538" spans="1:4" x14ac:dyDescent="0.3">
      <c r="A1538" s="42">
        <v>23070045</v>
      </c>
      <c r="B1538" s="42">
        <v>30000000</v>
      </c>
      <c r="D1538">
        <f t="shared" ref="D1538:D1601" si="24">A1538-B1538</f>
        <v>-6929955</v>
      </c>
    </row>
    <row r="1539" spans="1:4" x14ac:dyDescent="0.3">
      <c r="A1539" s="43">
        <v>20422207</v>
      </c>
      <c r="B1539" s="43">
        <v>35000000</v>
      </c>
      <c r="D1539">
        <f t="shared" si="24"/>
        <v>-14577793</v>
      </c>
    </row>
    <row r="1540" spans="1:4" x14ac:dyDescent="0.3">
      <c r="A1540" s="42">
        <v>28644770</v>
      </c>
      <c r="B1540" s="42">
        <v>30000000</v>
      </c>
      <c r="D1540">
        <f t="shared" si="24"/>
        <v>-1355230</v>
      </c>
    </row>
    <row r="1541" spans="1:4" x14ac:dyDescent="0.3">
      <c r="A1541" s="43">
        <v>21800302</v>
      </c>
      <c r="B1541" s="43">
        <v>30000000</v>
      </c>
      <c r="D1541">
        <f t="shared" si="24"/>
        <v>-8199698</v>
      </c>
    </row>
    <row r="1542" spans="1:4" x14ac:dyDescent="0.3">
      <c r="A1542" s="42">
        <v>21129348</v>
      </c>
      <c r="B1542" s="42">
        <v>35000000</v>
      </c>
      <c r="D1542">
        <f t="shared" si="24"/>
        <v>-13870652</v>
      </c>
    </row>
    <row r="1543" spans="1:4" x14ac:dyDescent="0.3">
      <c r="A1543" s="43">
        <v>18500966</v>
      </c>
      <c r="B1543" s="43">
        <v>30000000</v>
      </c>
      <c r="D1543">
        <f t="shared" si="24"/>
        <v>-11499034</v>
      </c>
    </row>
    <row r="1544" spans="1:4" x14ac:dyDescent="0.3">
      <c r="A1544" s="42">
        <v>19976073</v>
      </c>
      <c r="B1544" s="42">
        <v>20000000</v>
      </c>
      <c r="D1544">
        <f t="shared" si="24"/>
        <v>-23927</v>
      </c>
    </row>
    <row r="1545" spans="1:4" x14ac:dyDescent="0.3">
      <c r="A1545" s="43">
        <v>18967571</v>
      </c>
      <c r="B1545" s="43">
        <v>30000000</v>
      </c>
      <c r="D1545">
        <f t="shared" si="24"/>
        <v>-11032429</v>
      </c>
    </row>
    <row r="1546" spans="1:4" x14ac:dyDescent="0.3">
      <c r="A1546" s="42">
        <v>17100000</v>
      </c>
      <c r="B1546" s="42">
        <v>25000000</v>
      </c>
      <c r="D1546">
        <f t="shared" si="24"/>
        <v>-7900000</v>
      </c>
    </row>
    <row r="1547" spans="1:4" x14ac:dyDescent="0.3">
      <c r="A1547" s="43">
        <v>17266505</v>
      </c>
      <c r="B1547" s="43">
        <v>30000000</v>
      </c>
      <c r="D1547">
        <f t="shared" si="24"/>
        <v>-12733495</v>
      </c>
    </row>
    <row r="1548" spans="1:4" x14ac:dyDescent="0.3">
      <c r="A1548" s="42">
        <v>32357532</v>
      </c>
      <c r="B1548" s="42">
        <v>30000000</v>
      </c>
      <c r="D1548">
        <f t="shared" si="24"/>
        <v>2357532</v>
      </c>
    </row>
    <row r="1549" spans="1:4" x14ac:dyDescent="0.3">
      <c r="A1549" s="43">
        <v>16930884</v>
      </c>
      <c r="B1549" s="43">
        <v>30000000</v>
      </c>
      <c r="D1549">
        <f t="shared" si="24"/>
        <v>-13069116</v>
      </c>
    </row>
    <row r="1550" spans="1:4" x14ac:dyDescent="0.3">
      <c r="A1550" s="42">
        <v>18324242</v>
      </c>
      <c r="B1550" s="42">
        <v>35000000</v>
      </c>
      <c r="D1550">
        <f t="shared" si="24"/>
        <v>-16675758</v>
      </c>
    </row>
    <row r="1551" spans="1:4" x14ac:dyDescent="0.3">
      <c r="A1551" s="43">
        <v>16323969</v>
      </c>
      <c r="B1551" s="43">
        <v>40000000</v>
      </c>
      <c r="D1551">
        <f t="shared" si="24"/>
        <v>-23676031</v>
      </c>
    </row>
    <row r="1552" spans="1:4" x14ac:dyDescent="0.3">
      <c r="A1552" s="42">
        <v>16999046</v>
      </c>
      <c r="B1552" s="42">
        <v>26000000</v>
      </c>
      <c r="D1552">
        <f t="shared" si="24"/>
        <v>-9000954</v>
      </c>
    </row>
    <row r="1553" spans="1:4" x14ac:dyDescent="0.3">
      <c r="A1553" s="43">
        <v>16295774</v>
      </c>
      <c r="B1553" s="43">
        <v>35000000</v>
      </c>
      <c r="D1553">
        <f t="shared" si="24"/>
        <v>-18704226</v>
      </c>
    </row>
    <row r="1554" spans="1:4" x14ac:dyDescent="0.3">
      <c r="A1554" s="42">
        <v>15709385</v>
      </c>
      <c r="B1554" s="42">
        <v>30000000</v>
      </c>
      <c r="D1554">
        <f t="shared" si="24"/>
        <v>-14290615</v>
      </c>
    </row>
    <row r="1555" spans="1:4" x14ac:dyDescent="0.3">
      <c r="A1555" s="43">
        <v>14888028</v>
      </c>
      <c r="B1555" s="43">
        <v>30000000</v>
      </c>
      <c r="D1555">
        <f t="shared" si="24"/>
        <v>-15111972</v>
      </c>
    </row>
    <row r="1556" spans="1:4" x14ac:dyDescent="0.3">
      <c r="A1556" s="42">
        <v>14208384</v>
      </c>
      <c r="B1556" s="42">
        <v>30000000</v>
      </c>
      <c r="D1556">
        <f t="shared" si="24"/>
        <v>-15791616</v>
      </c>
    </row>
    <row r="1557" spans="1:4" x14ac:dyDescent="0.3">
      <c r="A1557" s="43">
        <v>12831121</v>
      </c>
      <c r="B1557" s="43">
        <v>30000000</v>
      </c>
      <c r="D1557">
        <f t="shared" si="24"/>
        <v>-17168879</v>
      </c>
    </row>
    <row r="1558" spans="1:4" x14ac:dyDescent="0.3">
      <c r="A1558" s="42">
        <v>18298649</v>
      </c>
      <c r="B1558" s="42">
        <v>30000000</v>
      </c>
      <c r="D1558">
        <f t="shared" si="24"/>
        <v>-11701351</v>
      </c>
    </row>
    <row r="1559" spans="1:4" x14ac:dyDescent="0.3">
      <c r="A1559" s="43">
        <v>12712093</v>
      </c>
      <c r="B1559" s="43">
        <v>30000000</v>
      </c>
      <c r="D1559">
        <f t="shared" si="24"/>
        <v>-17287907</v>
      </c>
    </row>
    <row r="1560" spans="1:4" x14ac:dyDescent="0.3">
      <c r="A1560" s="42">
        <v>11576087</v>
      </c>
      <c r="B1560" s="42">
        <v>30000000</v>
      </c>
      <c r="D1560">
        <f t="shared" si="24"/>
        <v>-18423913</v>
      </c>
    </row>
    <row r="1561" spans="1:4" x14ac:dyDescent="0.3">
      <c r="A1561" s="43">
        <v>11900000</v>
      </c>
      <c r="B1561" s="43">
        <v>30000000</v>
      </c>
      <c r="D1561">
        <f t="shared" si="24"/>
        <v>-18100000</v>
      </c>
    </row>
    <row r="1562" spans="1:4" x14ac:dyDescent="0.3">
      <c r="A1562" s="42">
        <v>9353573</v>
      </c>
      <c r="B1562" s="42">
        <v>45000000</v>
      </c>
      <c r="D1562">
        <f t="shared" si="24"/>
        <v>-35646427</v>
      </c>
    </row>
    <row r="1563" spans="1:4" x14ac:dyDescent="0.3">
      <c r="A1563" s="43">
        <v>12026670</v>
      </c>
      <c r="B1563" s="43">
        <v>45000000</v>
      </c>
      <c r="D1563">
        <f t="shared" si="24"/>
        <v>-32973330</v>
      </c>
    </row>
    <row r="1564" spans="1:4" x14ac:dyDescent="0.3">
      <c r="A1564" s="42">
        <v>14334645</v>
      </c>
      <c r="B1564" s="42">
        <v>25000000</v>
      </c>
      <c r="D1564">
        <f t="shared" si="24"/>
        <v>-10665355</v>
      </c>
    </row>
    <row r="1565" spans="1:4" x14ac:dyDescent="0.3">
      <c r="A1565" s="43">
        <v>12189514</v>
      </c>
      <c r="B1565" s="43">
        <v>23000000</v>
      </c>
      <c r="D1565">
        <f t="shared" si="24"/>
        <v>-10810486</v>
      </c>
    </row>
    <row r="1566" spans="1:4" x14ac:dyDescent="0.3">
      <c r="A1566" s="42">
        <v>10134754</v>
      </c>
      <c r="B1566" s="42">
        <v>30000000</v>
      </c>
      <c r="D1566">
        <f t="shared" si="24"/>
        <v>-19865246</v>
      </c>
    </row>
    <row r="1567" spans="1:4" x14ac:dyDescent="0.3">
      <c r="A1567" s="43">
        <v>8535575</v>
      </c>
      <c r="B1567" s="43">
        <v>30000000</v>
      </c>
      <c r="D1567">
        <f t="shared" si="24"/>
        <v>-21464425</v>
      </c>
    </row>
    <row r="1568" spans="1:4" x14ac:dyDescent="0.3">
      <c r="A1568" s="42">
        <v>7689458</v>
      </c>
      <c r="B1568" s="42">
        <v>40000000</v>
      </c>
      <c r="D1568">
        <f t="shared" si="24"/>
        <v>-32310542</v>
      </c>
    </row>
    <row r="1569" spans="1:4" x14ac:dyDescent="0.3">
      <c r="A1569" s="43">
        <v>19316646</v>
      </c>
      <c r="B1569" s="43">
        <v>30000000</v>
      </c>
      <c r="D1569">
        <f t="shared" si="24"/>
        <v>-10683354</v>
      </c>
    </row>
    <row r="1570" spans="1:4" x14ac:dyDescent="0.3">
      <c r="A1570" s="42">
        <v>10965209</v>
      </c>
      <c r="B1570" s="42">
        <v>30000000</v>
      </c>
      <c r="D1570">
        <f t="shared" si="24"/>
        <v>-19034791</v>
      </c>
    </row>
    <row r="1571" spans="1:4" x14ac:dyDescent="0.3">
      <c r="A1571" s="43">
        <v>26830000</v>
      </c>
      <c r="B1571" s="43">
        <v>18000000</v>
      </c>
      <c r="D1571">
        <f t="shared" si="24"/>
        <v>8830000</v>
      </c>
    </row>
    <row r="1572" spans="1:4" x14ac:dyDescent="0.3">
      <c r="A1572" s="42">
        <v>5300000</v>
      </c>
      <c r="B1572" s="42">
        <v>30000000</v>
      </c>
      <c r="D1572">
        <f t="shared" si="24"/>
        <v>-24700000</v>
      </c>
    </row>
    <row r="1573" spans="1:4" x14ac:dyDescent="0.3">
      <c r="A1573" s="43">
        <v>10880926</v>
      </c>
      <c r="B1573" s="43">
        <v>30000000</v>
      </c>
      <c r="D1573">
        <f t="shared" si="24"/>
        <v>-19119074</v>
      </c>
    </row>
    <row r="1574" spans="1:4" x14ac:dyDescent="0.3">
      <c r="A1574" s="42">
        <v>3752725</v>
      </c>
      <c r="B1574" s="42">
        <v>18000000</v>
      </c>
      <c r="D1574">
        <f t="shared" si="24"/>
        <v>-14247275</v>
      </c>
    </row>
    <row r="1575" spans="1:4" x14ac:dyDescent="0.3">
      <c r="A1575" s="43">
        <v>3517797</v>
      </c>
      <c r="B1575" s="43">
        <v>25000000</v>
      </c>
      <c r="D1575">
        <f t="shared" si="24"/>
        <v>-21482203</v>
      </c>
    </row>
    <row r="1576" spans="1:4" x14ac:dyDescent="0.3">
      <c r="A1576" s="42">
        <v>2975649</v>
      </c>
      <c r="B1576" s="42">
        <v>30000000</v>
      </c>
      <c r="D1576">
        <f t="shared" si="24"/>
        <v>-27024351</v>
      </c>
    </row>
    <row r="1577" spans="1:4" x14ac:dyDescent="0.3">
      <c r="A1577" s="43">
        <v>668171</v>
      </c>
      <c r="B1577" s="43">
        <v>60000000</v>
      </c>
      <c r="D1577">
        <f t="shared" si="24"/>
        <v>-59331829</v>
      </c>
    </row>
    <row r="1578" spans="1:4" x14ac:dyDescent="0.3">
      <c r="A1578" s="42">
        <v>480314</v>
      </c>
      <c r="B1578" s="42">
        <v>21000000</v>
      </c>
      <c r="D1578">
        <f t="shared" si="24"/>
        <v>-20519686</v>
      </c>
    </row>
    <row r="1579" spans="1:4" x14ac:dyDescent="0.3">
      <c r="A1579" s="43">
        <v>3904982</v>
      </c>
      <c r="B1579" s="43">
        <v>30000000</v>
      </c>
      <c r="D1579">
        <f t="shared" si="24"/>
        <v>-26095018</v>
      </c>
    </row>
    <row r="1580" spans="1:4" x14ac:dyDescent="0.3">
      <c r="A1580" s="42">
        <v>127437</v>
      </c>
      <c r="B1580" s="42">
        <v>18000000</v>
      </c>
      <c r="D1580">
        <f t="shared" si="24"/>
        <v>-17872563</v>
      </c>
    </row>
    <row r="1581" spans="1:4" x14ac:dyDescent="0.3">
      <c r="A1581" s="43">
        <v>537580</v>
      </c>
      <c r="B1581" s="43">
        <v>30000000</v>
      </c>
      <c r="D1581">
        <f t="shared" si="24"/>
        <v>-29462420</v>
      </c>
    </row>
    <row r="1582" spans="1:4" x14ac:dyDescent="0.3">
      <c r="A1582" s="42">
        <v>183436380</v>
      </c>
      <c r="B1582" s="42">
        <v>29000000</v>
      </c>
      <c r="D1582">
        <f t="shared" si="24"/>
        <v>154436380</v>
      </c>
    </row>
    <row r="1583" spans="1:4" x14ac:dyDescent="0.3">
      <c r="A1583" s="43">
        <v>119518352</v>
      </c>
      <c r="B1583" s="43">
        <v>28000000</v>
      </c>
      <c r="D1583">
        <f t="shared" si="24"/>
        <v>91518352</v>
      </c>
    </row>
    <row r="1584" spans="1:4" x14ac:dyDescent="0.3">
      <c r="A1584" s="42">
        <v>37036404</v>
      </c>
      <c r="B1584" s="42">
        <v>30000000</v>
      </c>
      <c r="D1584">
        <f t="shared" si="24"/>
        <v>7036404</v>
      </c>
    </row>
    <row r="1585" spans="1:4" x14ac:dyDescent="0.3">
      <c r="A1585" s="43">
        <v>22359293</v>
      </c>
      <c r="B1585" s="43">
        <v>29000000</v>
      </c>
      <c r="D1585">
        <f t="shared" si="24"/>
        <v>-6640707</v>
      </c>
    </row>
    <row r="1586" spans="1:4" x14ac:dyDescent="0.3">
      <c r="A1586" s="42">
        <v>18593156</v>
      </c>
      <c r="B1586" s="42">
        <v>35000000</v>
      </c>
      <c r="D1586">
        <f t="shared" si="24"/>
        <v>-16406844</v>
      </c>
    </row>
    <row r="1587" spans="1:4" x14ac:dyDescent="0.3">
      <c r="A1587" s="43">
        <v>16930185</v>
      </c>
      <c r="B1587" s="43">
        <v>29000000</v>
      </c>
      <c r="D1587">
        <f t="shared" si="24"/>
        <v>-12069815</v>
      </c>
    </row>
    <row r="1588" spans="1:4" x14ac:dyDescent="0.3">
      <c r="A1588" s="42">
        <v>63034755</v>
      </c>
      <c r="B1588" s="42">
        <v>29000000</v>
      </c>
      <c r="D1588">
        <f t="shared" si="24"/>
        <v>34034755</v>
      </c>
    </row>
    <row r="1589" spans="1:4" x14ac:dyDescent="0.3">
      <c r="A1589" s="43">
        <v>5899797</v>
      </c>
      <c r="B1589" s="43">
        <v>29000000</v>
      </c>
      <c r="D1589">
        <f t="shared" si="24"/>
        <v>-23100203</v>
      </c>
    </row>
    <row r="1590" spans="1:4" x14ac:dyDescent="0.3">
      <c r="A1590" s="42">
        <v>4554569</v>
      </c>
      <c r="B1590" s="42">
        <v>28000000</v>
      </c>
      <c r="D1590">
        <f t="shared" si="24"/>
        <v>-23445431</v>
      </c>
    </row>
    <row r="1591" spans="1:4" x14ac:dyDescent="0.3">
      <c r="A1591" s="43">
        <v>17016190</v>
      </c>
      <c r="B1591" s="43">
        <v>12000000</v>
      </c>
      <c r="D1591">
        <f t="shared" si="24"/>
        <v>5016190</v>
      </c>
    </row>
    <row r="1592" spans="1:4" x14ac:dyDescent="0.3">
      <c r="A1592" s="42">
        <v>6301131</v>
      </c>
      <c r="B1592" s="42">
        <v>29000000</v>
      </c>
      <c r="D1592">
        <f t="shared" si="24"/>
        <v>-22698869</v>
      </c>
    </row>
    <row r="1593" spans="1:4" x14ac:dyDescent="0.3">
      <c r="A1593" s="43">
        <v>217350219</v>
      </c>
      <c r="B1593" s="43">
        <v>28000000</v>
      </c>
      <c r="D1593">
        <f t="shared" si="24"/>
        <v>189350219</v>
      </c>
    </row>
    <row r="1594" spans="1:4" x14ac:dyDescent="0.3">
      <c r="A1594" s="42">
        <v>161029270</v>
      </c>
      <c r="B1594" s="42">
        <v>28000000</v>
      </c>
      <c r="D1594">
        <f t="shared" si="24"/>
        <v>133029270</v>
      </c>
    </row>
    <row r="1595" spans="1:4" x14ac:dyDescent="0.3">
      <c r="A1595" s="43">
        <v>100491683</v>
      </c>
      <c r="B1595" s="43">
        <v>24000000</v>
      </c>
      <c r="D1595">
        <f t="shared" si="24"/>
        <v>76491683</v>
      </c>
    </row>
    <row r="1596" spans="1:4" x14ac:dyDescent="0.3">
      <c r="A1596" s="42">
        <v>74058698</v>
      </c>
      <c r="B1596" s="42">
        <v>60000000</v>
      </c>
      <c r="D1596">
        <f t="shared" si="24"/>
        <v>14058698</v>
      </c>
    </row>
    <row r="1597" spans="1:4" x14ac:dyDescent="0.3">
      <c r="A1597" s="43">
        <v>55845943</v>
      </c>
      <c r="B1597" s="43">
        <v>29000000</v>
      </c>
      <c r="D1597">
        <f t="shared" si="24"/>
        <v>26845943</v>
      </c>
    </row>
    <row r="1598" spans="1:4" x14ac:dyDescent="0.3">
      <c r="A1598" s="42">
        <v>81350242</v>
      </c>
      <c r="B1598" s="42">
        <v>28000000</v>
      </c>
      <c r="D1598">
        <f t="shared" si="24"/>
        <v>53350242</v>
      </c>
    </row>
    <row r="1599" spans="1:4" x14ac:dyDescent="0.3">
      <c r="A1599" s="43">
        <v>67266300</v>
      </c>
      <c r="B1599" s="43">
        <v>28000000</v>
      </c>
      <c r="D1599">
        <f t="shared" si="24"/>
        <v>39266300</v>
      </c>
    </row>
    <row r="1600" spans="1:4" x14ac:dyDescent="0.3">
      <c r="A1600" s="42">
        <v>70235322</v>
      </c>
      <c r="B1600" s="42">
        <v>28000000</v>
      </c>
      <c r="D1600">
        <f t="shared" si="24"/>
        <v>42235322</v>
      </c>
    </row>
    <row r="1601" spans="1:4" x14ac:dyDescent="0.3">
      <c r="A1601" s="43">
        <v>7443007</v>
      </c>
      <c r="B1601" s="43">
        <v>30000000</v>
      </c>
      <c r="D1601">
        <f t="shared" si="24"/>
        <v>-22556993</v>
      </c>
    </row>
    <row r="1602" spans="1:4" x14ac:dyDescent="0.3">
      <c r="A1602" s="42">
        <v>64371181</v>
      </c>
      <c r="B1602" s="42">
        <v>28000000</v>
      </c>
      <c r="D1602">
        <f t="shared" ref="D1602:D1665" si="25">A1602-B1602</f>
        <v>36371181</v>
      </c>
    </row>
    <row r="1603" spans="1:4" x14ac:dyDescent="0.3">
      <c r="A1603" s="43">
        <v>58885635</v>
      </c>
      <c r="B1603" s="43">
        <v>26000000</v>
      </c>
      <c r="D1603">
        <f t="shared" si="25"/>
        <v>32885635</v>
      </c>
    </row>
    <row r="1604" spans="1:4" x14ac:dyDescent="0.3">
      <c r="A1604" s="42">
        <v>60400856</v>
      </c>
      <c r="B1604" s="42">
        <v>35000000</v>
      </c>
      <c r="D1604">
        <f t="shared" si="25"/>
        <v>25400856</v>
      </c>
    </row>
    <row r="1605" spans="1:4" x14ac:dyDescent="0.3">
      <c r="A1605" s="43">
        <v>52353636</v>
      </c>
      <c r="B1605" s="43">
        <v>21000000</v>
      </c>
      <c r="D1605">
        <f t="shared" si="25"/>
        <v>31353636</v>
      </c>
    </row>
    <row r="1606" spans="1:4" x14ac:dyDescent="0.3">
      <c r="A1606" s="42">
        <v>51475962</v>
      </c>
      <c r="B1606" s="42">
        <v>30000000</v>
      </c>
      <c r="D1606">
        <f t="shared" si="25"/>
        <v>21475962</v>
      </c>
    </row>
    <row r="1607" spans="1:4" x14ac:dyDescent="0.3">
      <c r="A1607" s="43">
        <v>63910583</v>
      </c>
      <c r="B1607" s="43">
        <v>28000000</v>
      </c>
      <c r="D1607">
        <f t="shared" si="25"/>
        <v>35910583</v>
      </c>
    </row>
    <row r="1608" spans="1:4" x14ac:dyDescent="0.3">
      <c r="A1608" s="42">
        <v>62300000</v>
      </c>
      <c r="B1608" s="42">
        <v>28000000</v>
      </c>
      <c r="D1608">
        <f t="shared" si="25"/>
        <v>34300000</v>
      </c>
    </row>
    <row r="1609" spans="1:4" x14ac:dyDescent="0.3">
      <c r="A1609" s="43">
        <v>49968653</v>
      </c>
      <c r="B1609" s="43">
        <v>28000000</v>
      </c>
      <c r="D1609">
        <f t="shared" si="25"/>
        <v>21968653</v>
      </c>
    </row>
    <row r="1610" spans="1:4" x14ac:dyDescent="0.3">
      <c r="A1610" s="42">
        <v>44450000</v>
      </c>
      <c r="B1610" s="42">
        <v>27000000</v>
      </c>
      <c r="D1610">
        <f t="shared" si="25"/>
        <v>17450000</v>
      </c>
    </row>
    <row r="1611" spans="1:4" x14ac:dyDescent="0.3">
      <c r="A1611" s="43">
        <v>45162741</v>
      </c>
      <c r="B1611" s="43">
        <v>28000000</v>
      </c>
      <c r="D1611">
        <f t="shared" si="25"/>
        <v>17162741</v>
      </c>
    </row>
    <row r="1612" spans="1:4" x14ac:dyDescent="0.3">
      <c r="A1612" s="42">
        <v>71346930</v>
      </c>
      <c r="B1612" s="42">
        <v>28000000</v>
      </c>
      <c r="D1612">
        <f t="shared" si="25"/>
        <v>43346930</v>
      </c>
    </row>
    <row r="1613" spans="1:4" x14ac:dyDescent="0.3">
      <c r="A1613" s="43">
        <v>39514713</v>
      </c>
      <c r="B1613" s="43">
        <v>28000000</v>
      </c>
      <c r="D1613">
        <f t="shared" si="25"/>
        <v>11514713</v>
      </c>
    </row>
    <row r="1614" spans="1:4" x14ac:dyDescent="0.3">
      <c r="A1614" s="42">
        <v>43097652</v>
      </c>
      <c r="B1614" s="42">
        <v>28000000</v>
      </c>
      <c r="D1614">
        <f t="shared" si="25"/>
        <v>15097652</v>
      </c>
    </row>
    <row r="1615" spans="1:4" x14ac:dyDescent="0.3">
      <c r="A1615" s="43">
        <v>48043505</v>
      </c>
      <c r="B1615" s="43">
        <v>30000000</v>
      </c>
      <c r="D1615">
        <f t="shared" si="25"/>
        <v>18043505</v>
      </c>
    </row>
    <row r="1616" spans="1:4" x14ac:dyDescent="0.3">
      <c r="A1616" s="42">
        <v>37053924</v>
      </c>
      <c r="B1616" s="42">
        <v>28000000</v>
      </c>
      <c r="D1616">
        <f t="shared" si="25"/>
        <v>9053924</v>
      </c>
    </row>
    <row r="1617" spans="1:4" x14ac:dyDescent="0.3">
      <c r="A1617" s="43">
        <v>33000377</v>
      </c>
      <c r="B1617" s="43">
        <v>28000000</v>
      </c>
      <c r="D1617">
        <f t="shared" si="25"/>
        <v>5000377</v>
      </c>
    </row>
    <row r="1618" spans="1:4" x14ac:dyDescent="0.3">
      <c r="A1618" s="42">
        <v>66950483</v>
      </c>
      <c r="B1618" s="42">
        <v>28000000</v>
      </c>
      <c r="D1618">
        <f t="shared" si="25"/>
        <v>38950483</v>
      </c>
    </row>
    <row r="1619" spans="1:4" x14ac:dyDescent="0.3">
      <c r="A1619" s="43">
        <v>38372662</v>
      </c>
      <c r="B1619" s="43">
        <v>28000000</v>
      </c>
      <c r="D1619">
        <f t="shared" si="25"/>
        <v>10372662</v>
      </c>
    </row>
    <row r="1620" spans="1:4" x14ac:dyDescent="0.3">
      <c r="A1620" s="42">
        <v>27000000</v>
      </c>
      <c r="B1620" s="42">
        <v>28000000</v>
      </c>
      <c r="D1620">
        <f t="shared" si="25"/>
        <v>-1000000</v>
      </c>
    </row>
    <row r="1621" spans="1:4" x14ac:dyDescent="0.3">
      <c r="A1621" s="43">
        <v>31600000</v>
      </c>
      <c r="B1621" s="43">
        <v>28000000</v>
      </c>
      <c r="D1621">
        <f t="shared" si="25"/>
        <v>3600000</v>
      </c>
    </row>
    <row r="1622" spans="1:4" x14ac:dyDescent="0.3">
      <c r="A1622" s="42">
        <v>30688364</v>
      </c>
      <c r="B1622" s="42">
        <v>28000000</v>
      </c>
      <c r="D1622">
        <f t="shared" si="25"/>
        <v>2688364</v>
      </c>
    </row>
    <row r="1623" spans="1:4" x14ac:dyDescent="0.3">
      <c r="A1623" s="43">
        <v>28563179</v>
      </c>
      <c r="B1623" s="43">
        <v>21000000</v>
      </c>
      <c r="D1623">
        <f t="shared" si="25"/>
        <v>7563179</v>
      </c>
    </row>
    <row r="1624" spans="1:4" x14ac:dyDescent="0.3">
      <c r="A1624" s="42">
        <v>16779636</v>
      </c>
      <c r="B1624" s="42">
        <v>28000000</v>
      </c>
      <c r="D1624">
        <f t="shared" si="25"/>
        <v>-11220364</v>
      </c>
    </row>
    <row r="1625" spans="1:4" x14ac:dyDescent="0.3">
      <c r="A1625" s="43">
        <v>10762178</v>
      </c>
      <c r="B1625" s="43">
        <v>160000000</v>
      </c>
      <c r="D1625">
        <f t="shared" si="25"/>
        <v>-149237822</v>
      </c>
    </row>
    <row r="1626" spans="1:4" x14ac:dyDescent="0.3">
      <c r="A1626" s="42">
        <v>17324744</v>
      </c>
      <c r="B1626" s="42">
        <v>28000000</v>
      </c>
      <c r="D1626">
        <f t="shared" si="25"/>
        <v>-10675256</v>
      </c>
    </row>
    <row r="1627" spans="1:4" x14ac:dyDescent="0.3">
      <c r="A1627" s="43">
        <v>8888143</v>
      </c>
      <c r="B1627" s="43">
        <v>28000000</v>
      </c>
      <c r="D1627">
        <f t="shared" si="25"/>
        <v>-19111857</v>
      </c>
    </row>
    <row r="1628" spans="1:4" x14ac:dyDescent="0.3">
      <c r="A1628" s="42">
        <v>24268828</v>
      </c>
      <c r="B1628" s="42">
        <v>28000000</v>
      </c>
      <c r="D1628">
        <f t="shared" si="25"/>
        <v>-3731172</v>
      </c>
    </row>
    <row r="1629" spans="1:4" x14ac:dyDescent="0.3">
      <c r="A1629" s="43">
        <v>8119205</v>
      </c>
      <c r="B1629" s="43">
        <v>28000000</v>
      </c>
      <c r="D1629">
        <f t="shared" si="25"/>
        <v>-19880795</v>
      </c>
    </row>
    <row r="1630" spans="1:4" x14ac:dyDescent="0.3">
      <c r="A1630" s="42">
        <v>8434601</v>
      </c>
      <c r="B1630" s="42">
        <v>28000000</v>
      </c>
      <c r="D1630">
        <f t="shared" si="25"/>
        <v>-19565399</v>
      </c>
    </row>
    <row r="1631" spans="1:4" x14ac:dyDescent="0.3">
      <c r="A1631" s="43">
        <v>6998324</v>
      </c>
      <c r="B1631" s="43">
        <v>28000000</v>
      </c>
      <c r="D1631">
        <f t="shared" si="25"/>
        <v>-21001676</v>
      </c>
    </row>
    <row r="1632" spans="1:4" x14ac:dyDescent="0.3">
      <c r="A1632" s="42">
        <v>10907291</v>
      </c>
      <c r="B1632" s="42">
        <v>28000000</v>
      </c>
      <c r="D1632">
        <f t="shared" si="25"/>
        <v>-17092709</v>
      </c>
    </row>
    <row r="1633" spans="1:4" x14ac:dyDescent="0.3">
      <c r="A1633" s="43">
        <v>2775593</v>
      </c>
      <c r="B1633" s="43">
        <v>27000000</v>
      </c>
      <c r="D1633">
        <f t="shared" si="25"/>
        <v>-24224407</v>
      </c>
    </row>
    <row r="1634" spans="1:4" x14ac:dyDescent="0.3">
      <c r="A1634" s="42">
        <v>28751715</v>
      </c>
      <c r="B1634" s="42">
        <v>28000000</v>
      </c>
      <c r="D1634">
        <f t="shared" si="25"/>
        <v>751715</v>
      </c>
    </row>
    <row r="1635" spans="1:4" x14ac:dyDescent="0.3">
      <c r="A1635" s="43">
        <v>20285518</v>
      </c>
      <c r="B1635" s="43">
        <v>28000000</v>
      </c>
      <c r="D1635">
        <f t="shared" si="25"/>
        <v>-7714482</v>
      </c>
    </row>
    <row r="1636" spans="1:4" x14ac:dyDescent="0.3">
      <c r="A1636" s="42">
        <v>67900000</v>
      </c>
      <c r="B1636" s="42">
        <v>27500000</v>
      </c>
      <c r="D1636">
        <f t="shared" si="25"/>
        <v>40400000</v>
      </c>
    </row>
    <row r="1637" spans="1:4" x14ac:dyDescent="0.3">
      <c r="A1637" s="43">
        <v>49185998</v>
      </c>
      <c r="B1637" s="43">
        <v>30000000</v>
      </c>
      <c r="D1637">
        <f t="shared" si="25"/>
        <v>19185998</v>
      </c>
    </row>
    <row r="1638" spans="1:4" x14ac:dyDescent="0.3">
      <c r="A1638" s="42">
        <v>42168445</v>
      </c>
      <c r="B1638" s="42">
        <v>35000000</v>
      </c>
      <c r="D1638">
        <f t="shared" si="25"/>
        <v>7168445</v>
      </c>
    </row>
    <row r="1639" spans="1:4" x14ac:dyDescent="0.3">
      <c r="A1639" s="43">
        <v>26400000</v>
      </c>
      <c r="B1639" s="43">
        <v>16000000</v>
      </c>
      <c r="D1639">
        <f t="shared" si="25"/>
        <v>10400000</v>
      </c>
    </row>
    <row r="1640" spans="1:4" x14ac:dyDescent="0.3">
      <c r="A1640" s="42">
        <v>17508670</v>
      </c>
      <c r="B1640" s="42">
        <v>15000000</v>
      </c>
      <c r="D1640">
        <f t="shared" si="25"/>
        <v>2508670</v>
      </c>
    </row>
    <row r="1641" spans="1:4" x14ac:dyDescent="0.3">
      <c r="A1641" s="43">
        <v>9664316</v>
      </c>
      <c r="B1641" s="43">
        <v>27500000</v>
      </c>
      <c r="D1641">
        <f t="shared" si="25"/>
        <v>-17835684</v>
      </c>
    </row>
    <row r="1642" spans="1:4" x14ac:dyDescent="0.3">
      <c r="A1642" s="42">
        <v>74888996</v>
      </c>
      <c r="B1642" s="42">
        <v>30000000</v>
      </c>
      <c r="D1642">
        <f t="shared" si="25"/>
        <v>44888996</v>
      </c>
    </row>
    <row r="1643" spans="1:4" x14ac:dyDescent="0.3">
      <c r="A1643" s="43">
        <v>69586544</v>
      </c>
      <c r="B1643" s="43">
        <v>27000000</v>
      </c>
      <c r="D1643">
        <f t="shared" si="25"/>
        <v>42586544</v>
      </c>
    </row>
    <row r="1644" spans="1:4" x14ac:dyDescent="0.3">
      <c r="A1644" s="42">
        <v>60491560</v>
      </c>
      <c r="B1644" s="42">
        <v>27000000</v>
      </c>
      <c r="D1644">
        <f t="shared" si="25"/>
        <v>33491560</v>
      </c>
    </row>
    <row r="1645" spans="1:4" x14ac:dyDescent="0.3">
      <c r="A1645" s="43">
        <v>54200000</v>
      </c>
      <c r="B1645" s="43">
        <v>27000000</v>
      </c>
      <c r="D1645">
        <f t="shared" si="25"/>
        <v>27200000</v>
      </c>
    </row>
    <row r="1646" spans="1:4" x14ac:dyDescent="0.3">
      <c r="A1646" s="42">
        <v>30920167</v>
      </c>
      <c r="B1646" s="42">
        <v>25000000</v>
      </c>
      <c r="D1646">
        <f t="shared" si="25"/>
        <v>5920167</v>
      </c>
    </row>
    <row r="1647" spans="1:4" x14ac:dyDescent="0.3">
      <c r="A1647" s="43">
        <v>40566655</v>
      </c>
      <c r="B1647" s="43">
        <v>30000000</v>
      </c>
      <c r="D1647">
        <f t="shared" si="25"/>
        <v>10566655</v>
      </c>
    </row>
    <row r="1648" spans="1:4" x14ac:dyDescent="0.3">
      <c r="A1648" s="42">
        <v>31768374</v>
      </c>
      <c r="B1648" s="42">
        <v>27000000</v>
      </c>
      <c r="D1648">
        <f t="shared" si="25"/>
        <v>4768374</v>
      </c>
    </row>
    <row r="1649" spans="1:4" x14ac:dyDescent="0.3">
      <c r="A1649" s="43">
        <v>22494487</v>
      </c>
      <c r="B1649" s="43">
        <v>27000000</v>
      </c>
      <c r="D1649">
        <f t="shared" si="25"/>
        <v>-4505513</v>
      </c>
    </row>
    <row r="1650" spans="1:4" x14ac:dyDescent="0.3">
      <c r="A1650" s="42">
        <v>21500000</v>
      </c>
      <c r="B1650" s="42">
        <v>27000000</v>
      </c>
      <c r="D1650">
        <f t="shared" si="25"/>
        <v>-5500000</v>
      </c>
    </row>
    <row r="1651" spans="1:4" x14ac:dyDescent="0.3">
      <c r="A1651" s="43">
        <v>4463292</v>
      </c>
      <c r="B1651" s="43">
        <v>30000000</v>
      </c>
      <c r="D1651">
        <f t="shared" si="25"/>
        <v>-25536708</v>
      </c>
    </row>
    <row r="1652" spans="1:4" x14ac:dyDescent="0.3">
      <c r="A1652" s="42">
        <v>14337579</v>
      </c>
      <c r="B1652" s="42">
        <v>27000000</v>
      </c>
      <c r="D1652">
        <f t="shared" si="25"/>
        <v>-12662421</v>
      </c>
    </row>
    <row r="1653" spans="1:4" x14ac:dyDescent="0.3">
      <c r="A1653" s="43">
        <v>13823741</v>
      </c>
      <c r="B1653" s="43">
        <v>13500000</v>
      </c>
      <c r="D1653">
        <f t="shared" si="25"/>
        <v>323741</v>
      </c>
    </row>
    <row r="1654" spans="1:4" x14ac:dyDescent="0.3">
      <c r="A1654" s="42">
        <v>10297897</v>
      </c>
      <c r="B1654" s="42">
        <v>27000000</v>
      </c>
      <c r="D1654">
        <f t="shared" si="25"/>
        <v>-16702103</v>
      </c>
    </row>
    <row r="1655" spans="1:4" x14ac:dyDescent="0.3">
      <c r="A1655" s="43">
        <v>13248477</v>
      </c>
      <c r="B1655" s="43">
        <v>27000000</v>
      </c>
      <c r="D1655">
        <f t="shared" si="25"/>
        <v>-13751523</v>
      </c>
    </row>
    <row r="1656" spans="1:4" x14ac:dyDescent="0.3">
      <c r="A1656" s="42">
        <v>8712564</v>
      </c>
      <c r="B1656" s="42">
        <v>27000000</v>
      </c>
      <c r="D1656">
        <f t="shared" si="25"/>
        <v>-18287436</v>
      </c>
    </row>
    <row r="1657" spans="1:4" x14ac:dyDescent="0.3">
      <c r="A1657" s="43">
        <v>7486906</v>
      </c>
      <c r="B1657" s="43">
        <v>27000000</v>
      </c>
      <c r="D1657">
        <f t="shared" si="25"/>
        <v>-19513094</v>
      </c>
    </row>
    <row r="1658" spans="1:4" x14ac:dyDescent="0.3">
      <c r="A1658" s="42">
        <v>38536376</v>
      </c>
      <c r="B1658" s="42">
        <v>27000000</v>
      </c>
      <c r="D1658">
        <f t="shared" si="25"/>
        <v>11536376</v>
      </c>
    </row>
    <row r="1659" spans="1:4" x14ac:dyDescent="0.3">
      <c r="A1659" s="43">
        <v>41008532</v>
      </c>
      <c r="B1659" s="43">
        <v>27000000</v>
      </c>
      <c r="D1659">
        <f t="shared" si="25"/>
        <v>14008532</v>
      </c>
    </row>
    <row r="1660" spans="1:4" x14ac:dyDescent="0.3">
      <c r="A1660" s="42">
        <v>5204007</v>
      </c>
      <c r="B1660" s="42">
        <v>28000000</v>
      </c>
      <c r="D1660">
        <f t="shared" si="25"/>
        <v>-22795993</v>
      </c>
    </row>
    <row r="1661" spans="1:4" x14ac:dyDescent="0.3">
      <c r="A1661" s="43">
        <v>4485485</v>
      </c>
      <c r="B1661" s="43">
        <v>15000000</v>
      </c>
      <c r="D1661">
        <f t="shared" si="25"/>
        <v>-10514515</v>
      </c>
    </row>
    <row r="1662" spans="1:4" x14ac:dyDescent="0.3">
      <c r="A1662" s="42">
        <v>4476235</v>
      </c>
      <c r="B1662" s="42">
        <v>27000000</v>
      </c>
      <c r="D1662">
        <f t="shared" si="25"/>
        <v>-22523765</v>
      </c>
    </row>
    <row r="1663" spans="1:4" x14ac:dyDescent="0.3">
      <c r="A1663" s="43">
        <v>1089365</v>
      </c>
      <c r="B1663" s="43">
        <v>25000000</v>
      </c>
      <c r="D1663">
        <f t="shared" si="25"/>
        <v>-23910635</v>
      </c>
    </row>
    <row r="1664" spans="1:4" x14ac:dyDescent="0.3">
      <c r="A1664" s="42">
        <v>763044</v>
      </c>
      <c r="B1664" s="42">
        <v>23000000</v>
      </c>
      <c r="D1664">
        <f t="shared" si="25"/>
        <v>-22236956</v>
      </c>
    </row>
    <row r="1665" spans="1:4" x14ac:dyDescent="0.3">
      <c r="A1665" s="43">
        <v>20819129</v>
      </c>
      <c r="B1665" s="43">
        <v>26000000</v>
      </c>
      <c r="D1665">
        <f t="shared" si="25"/>
        <v>-5180871</v>
      </c>
    </row>
    <row r="1666" spans="1:4" x14ac:dyDescent="0.3">
      <c r="A1666" s="42">
        <v>110222438</v>
      </c>
      <c r="B1666" s="42">
        <v>26000000</v>
      </c>
      <c r="D1666">
        <f t="shared" ref="D1666:D1729" si="26">A1666-B1666</f>
        <v>84222438</v>
      </c>
    </row>
    <row r="1667" spans="1:4" x14ac:dyDescent="0.3">
      <c r="A1667" s="43">
        <v>109243478</v>
      </c>
      <c r="B1667" s="43">
        <v>26000000</v>
      </c>
      <c r="D1667">
        <f t="shared" si="26"/>
        <v>83243478</v>
      </c>
    </row>
    <row r="1668" spans="1:4" x14ac:dyDescent="0.3">
      <c r="A1668" s="42">
        <v>100241322</v>
      </c>
      <c r="B1668" s="42">
        <v>25000000</v>
      </c>
      <c r="D1668">
        <f t="shared" si="26"/>
        <v>75241322</v>
      </c>
    </row>
    <row r="1669" spans="1:4" x14ac:dyDescent="0.3">
      <c r="A1669" s="43">
        <v>25977365</v>
      </c>
      <c r="B1669" s="43">
        <v>28000000</v>
      </c>
      <c r="D1669">
        <f t="shared" si="26"/>
        <v>-2022635</v>
      </c>
    </row>
    <row r="1670" spans="1:4" x14ac:dyDescent="0.3">
      <c r="A1670" s="42">
        <v>91457688</v>
      </c>
      <c r="B1670" s="42">
        <v>26000000</v>
      </c>
      <c r="D1670">
        <f t="shared" si="26"/>
        <v>65457688</v>
      </c>
    </row>
    <row r="1671" spans="1:4" x14ac:dyDescent="0.3">
      <c r="A1671" s="43">
        <v>87341380</v>
      </c>
      <c r="B1671" s="43">
        <v>27000000</v>
      </c>
      <c r="D1671">
        <f t="shared" si="26"/>
        <v>60341380</v>
      </c>
    </row>
    <row r="1672" spans="1:4" x14ac:dyDescent="0.3">
      <c r="A1672" s="42">
        <v>65703412</v>
      </c>
      <c r="B1672" s="42">
        <v>26000000</v>
      </c>
      <c r="D1672">
        <f t="shared" si="26"/>
        <v>39703412</v>
      </c>
    </row>
    <row r="1673" spans="1:4" x14ac:dyDescent="0.3">
      <c r="A1673" s="43">
        <v>58328680</v>
      </c>
      <c r="B1673" s="43">
        <v>22000000</v>
      </c>
      <c r="D1673">
        <f t="shared" si="26"/>
        <v>36328680</v>
      </c>
    </row>
    <row r="1674" spans="1:4" x14ac:dyDescent="0.3">
      <c r="A1674" s="42">
        <v>61490000</v>
      </c>
      <c r="B1674" s="42">
        <v>26000000</v>
      </c>
      <c r="D1674">
        <f t="shared" si="26"/>
        <v>35490000</v>
      </c>
    </row>
    <row r="1675" spans="1:4" x14ac:dyDescent="0.3">
      <c r="A1675" s="43">
        <v>50800000</v>
      </c>
      <c r="B1675" s="43">
        <v>26000000</v>
      </c>
      <c r="D1675">
        <f t="shared" si="26"/>
        <v>24800000</v>
      </c>
    </row>
    <row r="1676" spans="1:4" x14ac:dyDescent="0.3">
      <c r="A1676" s="42">
        <v>57859105</v>
      </c>
      <c r="B1676" s="42">
        <v>26000000</v>
      </c>
      <c r="D1676">
        <f t="shared" si="26"/>
        <v>31859105</v>
      </c>
    </row>
    <row r="1677" spans="1:4" x14ac:dyDescent="0.3">
      <c r="A1677" s="43">
        <v>46455802</v>
      </c>
      <c r="B1677" s="43">
        <v>26000000</v>
      </c>
      <c r="D1677">
        <f t="shared" si="26"/>
        <v>20455802</v>
      </c>
    </row>
    <row r="1678" spans="1:4" x14ac:dyDescent="0.3">
      <c r="A1678" s="42">
        <v>45506619</v>
      </c>
      <c r="B1678" s="42">
        <v>26000000</v>
      </c>
      <c r="D1678">
        <f t="shared" si="26"/>
        <v>19506619</v>
      </c>
    </row>
    <row r="1679" spans="1:4" x14ac:dyDescent="0.3">
      <c r="A1679" s="43">
        <v>40168080</v>
      </c>
      <c r="B1679" s="43">
        <v>26000000</v>
      </c>
      <c r="D1679">
        <f t="shared" si="26"/>
        <v>14168080</v>
      </c>
    </row>
    <row r="1680" spans="1:4" x14ac:dyDescent="0.3">
      <c r="A1680" s="42">
        <v>49874933</v>
      </c>
      <c r="B1680" s="42">
        <v>26000000</v>
      </c>
      <c r="D1680">
        <f t="shared" si="26"/>
        <v>23874933</v>
      </c>
    </row>
    <row r="1681" spans="1:4" x14ac:dyDescent="0.3">
      <c r="A1681" s="43">
        <v>45489752</v>
      </c>
      <c r="B1681" s="43">
        <v>26000000</v>
      </c>
      <c r="D1681">
        <f t="shared" si="26"/>
        <v>19489752</v>
      </c>
    </row>
    <row r="1682" spans="1:4" x14ac:dyDescent="0.3">
      <c r="A1682" s="42">
        <v>33200000</v>
      </c>
      <c r="B1682" s="42">
        <v>26000000</v>
      </c>
      <c r="D1682">
        <f t="shared" si="26"/>
        <v>7200000</v>
      </c>
    </row>
    <row r="1683" spans="1:4" x14ac:dyDescent="0.3">
      <c r="A1683" s="43">
        <v>28501651</v>
      </c>
      <c r="B1683" s="43">
        <v>26000000</v>
      </c>
      <c r="D1683">
        <f t="shared" si="26"/>
        <v>2501651</v>
      </c>
    </row>
    <row r="1684" spans="1:4" x14ac:dyDescent="0.3">
      <c r="A1684" s="42">
        <v>23222861</v>
      </c>
      <c r="B1684" s="42">
        <v>26000000</v>
      </c>
      <c r="D1684">
        <f t="shared" si="26"/>
        <v>-2777139</v>
      </c>
    </row>
    <row r="1685" spans="1:4" x14ac:dyDescent="0.3">
      <c r="A1685" s="43">
        <v>54540525</v>
      </c>
      <c r="B1685" s="43">
        <v>56000000</v>
      </c>
      <c r="D1685">
        <f t="shared" si="26"/>
        <v>-1459475</v>
      </c>
    </row>
    <row r="1686" spans="1:4" x14ac:dyDescent="0.3">
      <c r="A1686" s="42">
        <v>16252765</v>
      </c>
      <c r="B1686" s="42">
        <v>42000000</v>
      </c>
      <c r="D1686">
        <f t="shared" si="26"/>
        <v>-25747235</v>
      </c>
    </row>
    <row r="1687" spans="1:4" x14ac:dyDescent="0.3">
      <c r="A1687" s="43">
        <v>16005978</v>
      </c>
      <c r="B1687" s="43">
        <v>26000000</v>
      </c>
      <c r="D1687">
        <f t="shared" si="26"/>
        <v>-9994022</v>
      </c>
    </row>
    <row r="1688" spans="1:4" x14ac:dyDescent="0.3">
      <c r="A1688" s="42">
        <v>14469428</v>
      </c>
      <c r="B1688" s="42">
        <v>26000000</v>
      </c>
      <c r="D1688">
        <f t="shared" si="26"/>
        <v>-11530572</v>
      </c>
    </row>
    <row r="1689" spans="1:4" x14ac:dyDescent="0.3">
      <c r="A1689" s="43">
        <v>13829734</v>
      </c>
      <c r="B1689" s="43">
        <v>26000000</v>
      </c>
      <c r="D1689">
        <f t="shared" si="26"/>
        <v>-12170266</v>
      </c>
    </row>
    <row r="1690" spans="1:4" x14ac:dyDescent="0.3">
      <c r="A1690" s="42">
        <v>1075288</v>
      </c>
      <c r="B1690" s="42">
        <v>22000000</v>
      </c>
      <c r="D1690">
        <f t="shared" si="26"/>
        <v>-20924712</v>
      </c>
    </row>
    <row r="1691" spans="1:4" x14ac:dyDescent="0.3">
      <c r="A1691" s="43">
        <v>7496522</v>
      </c>
      <c r="B1691" s="43">
        <v>26000000</v>
      </c>
      <c r="D1691">
        <f t="shared" si="26"/>
        <v>-18503478</v>
      </c>
    </row>
    <row r="1692" spans="1:4" x14ac:dyDescent="0.3">
      <c r="A1692" s="42">
        <v>20047715</v>
      </c>
      <c r="B1692" s="42">
        <v>25530000</v>
      </c>
      <c r="D1692">
        <f t="shared" si="26"/>
        <v>-5482285</v>
      </c>
    </row>
    <row r="1693" spans="1:4" x14ac:dyDescent="0.3">
      <c r="A1693" s="43">
        <v>12276810</v>
      </c>
      <c r="B1693" s="43">
        <v>26000000</v>
      </c>
      <c r="D1693">
        <f t="shared" si="26"/>
        <v>-13723190</v>
      </c>
    </row>
    <row r="1694" spans="1:4" x14ac:dyDescent="0.3">
      <c r="A1694" s="42">
        <v>33565375</v>
      </c>
      <c r="B1694" s="42">
        <v>15000000</v>
      </c>
      <c r="D1694">
        <f t="shared" si="26"/>
        <v>18565375</v>
      </c>
    </row>
    <row r="1695" spans="1:4" x14ac:dyDescent="0.3">
      <c r="A1695" s="43">
        <v>499263</v>
      </c>
      <c r="B1695" s="43">
        <v>30000000</v>
      </c>
      <c r="D1695">
        <f t="shared" si="26"/>
        <v>-29500737</v>
      </c>
    </row>
    <row r="1696" spans="1:4" x14ac:dyDescent="0.3">
      <c r="A1696" s="42">
        <v>219200000</v>
      </c>
      <c r="B1696" s="42">
        <v>25000000</v>
      </c>
      <c r="D1696">
        <f t="shared" si="26"/>
        <v>194200000</v>
      </c>
    </row>
    <row r="1697" spans="1:4" x14ac:dyDescent="0.3">
      <c r="A1697" s="43">
        <v>172825435</v>
      </c>
      <c r="B1697" s="43">
        <v>25000000</v>
      </c>
      <c r="D1697">
        <f t="shared" si="26"/>
        <v>147825435</v>
      </c>
    </row>
    <row r="1698" spans="1:4" x14ac:dyDescent="0.3">
      <c r="A1698" s="42">
        <v>148085755</v>
      </c>
      <c r="B1698" s="42">
        <v>33000000</v>
      </c>
      <c r="D1698">
        <f t="shared" si="26"/>
        <v>115085755</v>
      </c>
    </row>
    <row r="1699" spans="1:4" x14ac:dyDescent="0.3">
      <c r="A1699" s="43">
        <v>25517500</v>
      </c>
      <c r="B1699" s="43">
        <v>25100000</v>
      </c>
      <c r="D1699">
        <f t="shared" si="26"/>
        <v>417500</v>
      </c>
    </row>
    <row r="1700" spans="1:4" x14ac:dyDescent="0.3">
      <c r="A1700" s="42">
        <v>145000989</v>
      </c>
      <c r="B1700" s="42">
        <v>25000000</v>
      </c>
      <c r="D1700">
        <f t="shared" si="26"/>
        <v>120000989</v>
      </c>
    </row>
    <row r="1701" spans="1:4" x14ac:dyDescent="0.3">
      <c r="A1701" s="43">
        <v>26761283</v>
      </c>
      <c r="B1701" s="43">
        <v>26000000</v>
      </c>
      <c r="D1701">
        <f t="shared" si="26"/>
        <v>761283</v>
      </c>
    </row>
    <row r="1702" spans="1:4" x14ac:dyDescent="0.3">
      <c r="A1702" s="42">
        <v>121945720</v>
      </c>
      <c r="B1702" s="42">
        <v>25000000</v>
      </c>
      <c r="D1702">
        <f t="shared" si="26"/>
        <v>96945720</v>
      </c>
    </row>
    <row r="1703" spans="1:4" x14ac:dyDescent="0.3">
      <c r="A1703" s="43">
        <v>96067179</v>
      </c>
      <c r="B1703" s="43">
        <v>22000000</v>
      </c>
      <c r="D1703">
        <f t="shared" si="26"/>
        <v>74067179</v>
      </c>
    </row>
    <row r="1704" spans="1:4" x14ac:dyDescent="0.3">
      <c r="A1704" s="42">
        <v>169705587</v>
      </c>
      <c r="B1704" s="42">
        <v>25000000</v>
      </c>
      <c r="D1704">
        <f t="shared" si="26"/>
        <v>144705587</v>
      </c>
    </row>
    <row r="1705" spans="1:4" x14ac:dyDescent="0.3">
      <c r="A1705" s="43">
        <v>3254172</v>
      </c>
      <c r="B1705" s="43">
        <v>28000000</v>
      </c>
      <c r="D1705">
        <f t="shared" si="26"/>
        <v>-24745828</v>
      </c>
    </row>
    <row r="1706" spans="1:4" x14ac:dyDescent="0.3">
      <c r="A1706" s="42">
        <v>84185387</v>
      </c>
      <c r="B1706" s="42">
        <v>80000000</v>
      </c>
      <c r="D1706">
        <f t="shared" si="26"/>
        <v>4185387</v>
      </c>
    </row>
    <row r="1707" spans="1:4" x14ac:dyDescent="0.3">
      <c r="A1707" s="43">
        <v>80920948</v>
      </c>
      <c r="B1707" s="43">
        <v>30000000</v>
      </c>
      <c r="D1707">
        <f t="shared" si="26"/>
        <v>50920948</v>
      </c>
    </row>
    <row r="1708" spans="1:4" x14ac:dyDescent="0.3">
      <c r="A1708" s="42">
        <v>80034302</v>
      </c>
      <c r="B1708" s="42">
        <v>25000000</v>
      </c>
      <c r="D1708">
        <f t="shared" si="26"/>
        <v>55034302</v>
      </c>
    </row>
    <row r="1709" spans="1:4" x14ac:dyDescent="0.3">
      <c r="A1709" s="43">
        <v>78656813</v>
      </c>
      <c r="B1709" s="43">
        <v>25000000</v>
      </c>
      <c r="D1709">
        <f t="shared" si="26"/>
        <v>53656813</v>
      </c>
    </row>
    <row r="1710" spans="1:4" x14ac:dyDescent="0.3">
      <c r="A1710" s="42">
        <v>76270454</v>
      </c>
      <c r="B1710" s="42">
        <v>25000000</v>
      </c>
      <c r="D1710">
        <f t="shared" si="26"/>
        <v>51270454</v>
      </c>
    </row>
    <row r="1711" spans="1:4" x14ac:dyDescent="0.3">
      <c r="A1711" s="43">
        <v>74273505</v>
      </c>
      <c r="B1711" s="43">
        <v>25000000</v>
      </c>
      <c r="D1711">
        <f t="shared" si="26"/>
        <v>49273505</v>
      </c>
    </row>
    <row r="1712" spans="1:4" x14ac:dyDescent="0.3">
      <c r="A1712" s="42">
        <v>134141530</v>
      </c>
      <c r="B1712" s="42">
        <v>25000000</v>
      </c>
      <c r="D1712">
        <f t="shared" si="26"/>
        <v>109141530</v>
      </c>
    </row>
    <row r="1713" spans="1:4" x14ac:dyDescent="0.3">
      <c r="A1713" s="43">
        <v>71500556</v>
      </c>
      <c r="B1713" s="43">
        <v>26000000</v>
      </c>
      <c r="D1713">
        <f t="shared" si="26"/>
        <v>45500556</v>
      </c>
    </row>
    <row r="1714" spans="1:4" x14ac:dyDescent="0.3">
      <c r="A1714" s="42">
        <v>71309760</v>
      </c>
      <c r="B1714" s="42">
        <v>25000000</v>
      </c>
      <c r="D1714">
        <f t="shared" si="26"/>
        <v>46309760</v>
      </c>
    </row>
    <row r="1715" spans="1:4" x14ac:dyDescent="0.3">
      <c r="A1715" s="43">
        <v>89808372</v>
      </c>
      <c r="B1715" s="43">
        <v>45000000</v>
      </c>
      <c r="D1715">
        <f t="shared" si="26"/>
        <v>44808372</v>
      </c>
    </row>
    <row r="1716" spans="1:4" x14ac:dyDescent="0.3">
      <c r="A1716" s="42">
        <v>77264926</v>
      </c>
      <c r="B1716" s="42">
        <v>25000000</v>
      </c>
      <c r="D1716">
        <f t="shared" si="26"/>
        <v>52264926</v>
      </c>
    </row>
    <row r="1717" spans="1:4" x14ac:dyDescent="0.3">
      <c r="A1717" s="43">
        <v>70625986</v>
      </c>
      <c r="B1717" s="43">
        <v>25000000</v>
      </c>
      <c r="D1717">
        <f t="shared" si="26"/>
        <v>45625986</v>
      </c>
    </row>
    <row r="1718" spans="1:4" x14ac:dyDescent="0.3">
      <c r="A1718" s="42">
        <v>56505065</v>
      </c>
      <c r="B1718" s="42">
        <v>25000000</v>
      </c>
      <c r="D1718">
        <f t="shared" si="26"/>
        <v>31505065</v>
      </c>
    </row>
    <row r="1719" spans="1:4" x14ac:dyDescent="0.3">
      <c r="A1719" s="43">
        <v>55973336</v>
      </c>
      <c r="B1719" s="43">
        <v>25000000</v>
      </c>
      <c r="D1719">
        <f t="shared" si="26"/>
        <v>30973336</v>
      </c>
    </row>
    <row r="1720" spans="1:4" x14ac:dyDescent="0.3">
      <c r="A1720" s="42">
        <v>54098051</v>
      </c>
      <c r="B1720" s="42">
        <v>25000000</v>
      </c>
      <c r="D1720">
        <f t="shared" si="26"/>
        <v>29098051</v>
      </c>
    </row>
    <row r="1721" spans="1:4" x14ac:dyDescent="0.3">
      <c r="A1721" s="43">
        <v>60443237</v>
      </c>
      <c r="B1721" s="43">
        <v>25000000</v>
      </c>
      <c r="D1721">
        <f t="shared" si="26"/>
        <v>35443237</v>
      </c>
    </row>
    <row r="1722" spans="1:4" x14ac:dyDescent="0.3">
      <c r="A1722" s="42">
        <v>82234139</v>
      </c>
      <c r="B1722" s="42">
        <v>17000000</v>
      </c>
      <c r="D1722">
        <f t="shared" si="26"/>
        <v>65234139</v>
      </c>
    </row>
    <row r="1723" spans="1:4" x14ac:dyDescent="0.3">
      <c r="A1723" s="43">
        <v>51676606</v>
      </c>
      <c r="B1723" s="43">
        <v>25000000</v>
      </c>
      <c r="D1723">
        <f t="shared" si="26"/>
        <v>26676606</v>
      </c>
    </row>
    <row r="1724" spans="1:4" x14ac:dyDescent="0.3">
      <c r="A1724" s="42">
        <v>52528330</v>
      </c>
      <c r="B1724" s="42">
        <v>25000000</v>
      </c>
      <c r="D1724">
        <f t="shared" si="26"/>
        <v>27528330</v>
      </c>
    </row>
    <row r="1725" spans="1:4" x14ac:dyDescent="0.3">
      <c r="A1725" s="43">
        <v>51533608</v>
      </c>
      <c r="B1725" s="43">
        <v>25000000</v>
      </c>
      <c r="D1725">
        <f t="shared" si="26"/>
        <v>26533608</v>
      </c>
    </row>
    <row r="1726" spans="1:4" x14ac:dyDescent="0.3">
      <c r="A1726" s="42">
        <v>51097664</v>
      </c>
      <c r="B1726" s="42">
        <v>30000000</v>
      </c>
      <c r="D1726">
        <f t="shared" si="26"/>
        <v>21097664</v>
      </c>
    </row>
    <row r="1727" spans="1:4" x14ac:dyDescent="0.3">
      <c r="A1727" s="43">
        <v>84136909</v>
      </c>
      <c r="B1727" s="43">
        <v>26000000</v>
      </c>
      <c r="D1727">
        <f t="shared" si="26"/>
        <v>58136909</v>
      </c>
    </row>
    <row r="1728" spans="1:4" x14ac:dyDescent="0.3">
      <c r="A1728" s="42">
        <v>46836394</v>
      </c>
      <c r="B1728" s="42">
        <v>25000000</v>
      </c>
      <c r="D1728">
        <f t="shared" si="26"/>
        <v>21836394</v>
      </c>
    </row>
    <row r="1729" spans="1:4" x14ac:dyDescent="0.3">
      <c r="A1729" s="43">
        <v>47285499</v>
      </c>
      <c r="B1729" s="43">
        <v>26000000</v>
      </c>
      <c r="D1729">
        <f t="shared" si="26"/>
        <v>21285499</v>
      </c>
    </row>
    <row r="1730" spans="1:4" x14ac:dyDescent="0.3">
      <c r="A1730" s="42">
        <v>47124400</v>
      </c>
      <c r="B1730" s="42">
        <v>25000000</v>
      </c>
      <c r="D1730">
        <f t="shared" ref="D1730:D1793" si="27">A1730-B1730</f>
        <v>22124400</v>
      </c>
    </row>
    <row r="1731" spans="1:4" x14ac:dyDescent="0.3">
      <c r="A1731" s="43">
        <v>44700000</v>
      </c>
      <c r="B1731" s="43">
        <v>25000000</v>
      </c>
      <c r="D1731">
        <f t="shared" si="27"/>
        <v>19700000</v>
      </c>
    </row>
    <row r="1732" spans="1:4" x14ac:dyDescent="0.3">
      <c r="A1732" s="42">
        <v>44455658</v>
      </c>
      <c r="B1732" s="42">
        <v>25000000</v>
      </c>
      <c r="D1732">
        <f t="shared" si="27"/>
        <v>19455658</v>
      </c>
    </row>
    <row r="1733" spans="1:4" x14ac:dyDescent="0.3">
      <c r="A1733" s="43">
        <v>43984230</v>
      </c>
      <c r="B1733" s="43">
        <v>23000000</v>
      </c>
      <c r="D1733">
        <f t="shared" si="27"/>
        <v>20984230</v>
      </c>
    </row>
    <row r="1734" spans="1:4" x14ac:dyDescent="0.3">
      <c r="A1734" s="42">
        <v>66489425</v>
      </c>
      <c r="B1734" s="42">
        <v>25000000</v>
      </c>
      <c r="D1734">
        <f t="shared" si="27"/>
        <v>41489425</v>
      </c>
    </row>
    <row r="1735" spans="1:4" x14ac:dyDescent="0.3">
      <c r="A1735" s="43">
        <v>41067398</v>
      </c>
      <c r="B1735" s="43">
        <v>25000000</v>
      </c>
      <c r="D1735">
        <f t="shared" si="27"/>
        <v>16067398</v>
      </c>
    </row>
    <row r="1736" spans="1:4" x14ac:dyDescent="0.3">
      <c r="A1736" s="42">
        <v>40218903</v>
      </c>
      <c r="B1736" s="42">
        <v>25000000</v>
      </c>
      <c r="D1736">
        <f t="shared" si="27"/>
        <v>15218903</v>
      </c>
    </row>
    <row r="1737" spans="1:4" x14ac:dyDescent="0.3">
      <c r="A1737" s="43">
        <v>39880476</v>
      </c>
      <c r="B1737" s="43">
        <v>25000000</v>
      </c>
      <c r="D1737">
        <f t="shared" si="27"/>
        <v>14880476</v>
      </c>
    </row>
    <row r="1738" spans="1:4" x14ac:dyDescent="0.3">
      <c r="A1738" s="42">
        <v>39399750</v>
      </c>
      <c r="B1738" s="42">
        <v>25000000</v>
      </c>
      <c r="D1738">
        <f t="shared" si="27"/>
        <v>14399750</v>
      </c>
    </row>
    <row r="1739" spans="1:4" x14ac:dyDescent="0.3">
      <c r="A1739" s="43">
        <v>38230435</v>
      </c>
      <c r="B1739" s="43">
        <v>25000000</v>
      </c>
      <c r="D1739">
        <f t="shared" si="27"/>
        <v>13230435</v>
      </c>
    </row>
    <row r="1740" spans="1:4" x14ac:dyDescent="0.3">
      <c r="A1740" s="42">
        <v>39008741</v>
      </c>
      <c r="B1740" s="42">
        <v>25000000</v>
      </c>
      <c r="D1740">
        <f t="shared" si="27"/>
        <v>14008741</v>
      </c>
    </row>
    <row r="1741" spans="1:4" x14ac:dyDescent="0.3">
      <c r="A1741" s="43">
        <v>36833473</v>
      </c>
      <c r="B1741" s="43">
        <v>25000000</v>
      </c>
      <c r="D1741">
        <f t="shared" si="27"/>
        <v>11833473</v>
      </c>
    </row>
    <row r="1742" spans="1:4" x14ac:dyDescent="0.3">
      <c r="A1742" s="42">
        <v>48237389</v>
      </c>
      <c r="B1742" s="42">
        <v>25000000</v>
      </c>
      <c r="D1742">
        <f t="shared" si="27"/>
        <v>23237389</v>
      </c>
    </row>
    <row r="1743" spans="1:4" x14ac:dyDescent="0.3">
      <c r="A1743" s="43">
        <v>36447959</v>
      </c>
      <c r="B1743" s="43">
        <v>25000000</v>
      </c>
      <c r="D1743">
        <f t="shared" si="27"/>
        <v>11447959</v>
      </c>
    </row>
    <row r="1744" spans="1:4" x14ac:dyDescent="0.3">
      <c r="A1744" s="42">
        <v>45089048</v>
      </c>
      <c r="B1744" s="42">
        <v>25000000</v>
      </c>
      <c r="D1744">
        <f t="shared" si="27"/>
        <v>20089048</v>
      </c>
    </row>
    <row r="1745" spans="1:4" x14ac:dyDescent="0.3">
      <c r="A1745" s="43">
        <v>35990505</v>
      </c>
      <c r="B1745" s="43">
        <v>20000000</v>
      </c>
      <c r="D1745">
        <f t="shared" si="27"/>
        <v>15990505</v>
      </c>
    </row>
    <row r="1746" spans="1:4" x14ac:dyDescent="0.3">
      <c r="A1746" s="42">
        <v>35143332</v>
      </c>
      <c r="B1746" s="42">
        <v>17000000</v>
      </c>
      <c r="D1746">
        <f t="shared" si="27"/>
        <v>18143332</v>
      </c>
    </row>
    <row r="1747" spans="1:4" x14ac:dyDescent="0.3">
      <c r="A1747" s="43">
        <v>35000629</v>
      </c>
      <c r="B1747" s="43">
        <v>25000000</v>
      </c>
      <c r="D1747">
        <f t="shared" si="27"/>
        <v>10000629</v>
      </c>
    </row>
    <row r="1748" spans="1:4" x14ac:dyDescent="0.3">
      <c r="A1748" s="42">
        <v>34604054</v>
      </c>
      <c r="B1748" s="42">
        <v>30000000</v>
      </c>
      <c r="D1748">
        <f t="shared" si="27"/>
        <v>4604054</v>
      </c>
    </row>
    <row r="1749" spans="1:4" x14ac:dyDescent="0.3">
      <c r="A1749" s="43">
        <v>41597830</v>
      </c>
      <c r="B1749" s="43">
        <v>25000000</v>
      </c>
      <c r="D1749">
        <f t="shared" si="27"/>
        <v>16597830</v>
      </c>
    </row>
    <row r="1750" spans="1:4" x14ac:dyDescent="0.3">
      <c r="A1750" s="42">
        <v>33687630</v>
      </c>
      <c r="B1750" s="42">
        <v>20000000</v>
      </c>
      <c r="D1750">
        <f t="shared" si="27"/>
        <v>13687630</v>
      </c>
    </row>
    <row r="1751" spans="1:4" x14ac:dyDescent="0.3">
      <c r="A1751" s="43">
        <v>32553210</v>
      </c>
      <c r="B1751" s="43">
        <v>25000000</v>
      </c>
      <c r="D1751">
        <f t="shared" si="27"/>
        <v>7553210</v>
      </c>
    </row>
    <row r="1752" spans="1:4" x14ac:dyDescent="0.3">
      <c r="A1752" s="42">
        <v>31526393</v>
      </c>
      <c r="B1752" s="42">
        <v>25000000</v>
      </c>
      <c r="D1752">
        <f t="shared" si="27"/>
        <v>6526393</v>
      </c>
    </row>
    <row r="1753" spans="1:4" x14ac:dyDescent="0.3">
      <c r="A1753" s="43">
        <v>41229</v>
      </c>
      <c r="B1753" s="43">
        <v>25500000</v>
      </c>
      <c r="D1753">
        <f t="shared" si="27"/>
        <v>-25458771</v>
      </c>
    </row>
    <row r="1754" spans="1:4" x14ac:dyDescent="0.3">
      <c r="A1754" s="42">
        <v>31655091</v>
      </c>
      <c r="B1754" s="42">
        <v>30000000</v>
      </c>
      <c r="D1754">
        <f t="shared" si="27"/>
        <v>1655091</v>
      </c>
    </row>
    <row r="1755" spans="1:4" x14ac:dyDescent="0.3">
      <c r="A1755" s="43">
        <v>30012990</v>
      </c>
      <c r="B1755" s="43">
        <v>25000000</v>
      </c>
      <c r="D1755">
        <f t="shared" si="27"/>
        <v>5012990</v>
      </c>
    </row>
    <row r="1756" spans="1:4" x14ac:dyDescent="0.3">
      <c r="A1756" s="42">
        <v>32368960</v>
      </c>
      <c r="B1756" s="42">
        <v>25000000</v>
      </c>
      <c r="D1756">
        <f t="shared" si="27"/>
        <v>7368960</v>
      </c>
    </row>
    <row r="1757" spans="1:4" x14ac:dyDescent="0.3">
      <c r="A1757" s="43">
        <v>14500000</v>
      </c>
      <c r="B1757" s="43">
        <v>25000000</v>
      </c>
      <c r="D1757">
        <f t="shared" si="27"/>
        <v>-10500000</v>
      </c>
    </row>
    <row r="1758" spans="1:4" x14ac:dyDescent="0.3">
      <c r="A1758" s="42">
        <v>29247405</v>
      </c>
      <c r="B1758" s="42">
        <v>25000000</v>
      </c>
      <c r="D1758">
        <f t="shared" si="27"/>
        <v>4247405</v>
      </c>
    </row>
    <row r="1759" spans="1:4" x14ac:dyDescent="0.3">
      <c r="A1759" s="43">
        <v>25615792</v>
      </c>
      <c r="B1759" s="43">
        <v>25000000</v>
      </c>
      <c r="D1759">
        <f t="shared" si="27"/>
        <v>615792</v>
      </c>
    </row>
    <row r="1760" spans="1:4" x14ac:dyDescent="0.3">
      <c r="A1760" s="42">
        <v>28341469</v>
      </c>
      <c r="B1760" s="42">
        <v>25000000</v>
      </c>
      <c r="D1760">
        <f t="shared" si="27"/>
        <v>3341469</v>
      </c>
    </row>
    <row r="1761" spans="1:4" x14ac:dyDescent="0.3">
      <c r="A1761" s="43">
        <v>25590119</v>
      </c>
      <c r="B1761" s="43">
        <v>21150000</v>
      </c>
      <c r="D1761">
        <f t="shared" si="27"/>
        <v>4440119</v>
      </c>
    </row>
    <row r="1762" spans="1:4" x14ac:dyDescent="0.3">
      <c r="A1762" s="42">
        <v>24944213</v>
      </c>
      <c r="B1762" s="42">
        <v>27000000</v>
      </c>
      <c r="D1762">
        <f t="shared" si="27"/>
        <v>-2055787</v>
      </c>
    </row>
    <row r="1763" spans="1:4" x14ac:dyDescent="0.3">
      <c r="A1763" s="43">
        <v>33631221</v>
      </c>
      <c r="B1763" s="43">
        <v>25000000</v>
      </c>
      <c r="D1763">
        <f t="shared" si="27"/>
        <v>8631221</v>
      </c>
    </row>
    <row r="1764" spans="1:4" x14ac:dyDescent="0.3">
      <c r="A1764" s="42">
        <v>37738400</v>
      </c>
      <c r="B1764" s="42">
        <v>25000000</v>
      </c>
      <c r="D1764">
        <f t="shared" si="27"/>
        <v>12738400</v>
      </c>
    </row>
    <row r="1765" spans="1:4" x14ac:dyDescent="0.3">
      <c r="A1765" s="43">
        <v>21835784</v>
      </c>
      <c r="B1765" s="43">
        <v>30000000</v>
      </c>
      <c r="D1765">
        <f t="shared" si="27"/>
        <v>-8164216</v>
      </c>
    </row>
    <row r="1766" spans="1:4" x14ac:dyDescent="0.3">
      <c r="A1766" s="42">
        <v>15785632</v>
      </c>
      <c r="B1766" s="42">
        <v>23000000</v>
      </c>
      <c r="D1766">
        <f t="shared" si="27"/>
        <v>-7214368</v>
      </c>
    </row>
    <row r="1767" spans="1:4" x14ac:dyDescent="0.3">
      <c r="A1767" s="43">
        <v>21554585</v>
      </c>
      <c r="B1767" s="43">
        <v>25000000</v>
      </c>
      <c r="D1767">
        <f t="shared" si="27"/>
        <v>-3445415</v>
      </c>
    </row>
    <row r="1768" spans="1:4" x14ac:dyDescent="0.3">
      <c r="A1768" s="42">
        <v>22200000</v>
      </c>
      <c r="B1768" s="42">
        <v>25000000</v>
      </c>
      <c r="D1768">
        <f t="shared" si="27"/>
        <v>-2800000</v>
      </c>
    </row>
    <row r="1769" spans="1:4" x14ac:dyDescent="0.3">
      <c r="A1769" s="43">
        <v>80014842</v>
      </c>
      <c r="B1769" s="43">
        <v>25000000</v>
      </c>
      <c r="D1769">
        <f t="shared" si="27"/>
        <v>55014842</v>
      </c>
    </row>
    <row r="1770" spans="1:4" x14ac:dyDescent="0.3">
      <c r="A1770" s="42">
        <v>23527955</v>
      </c>
      <c r="B1770" s="42">
        <v>25000000</v>
      </c>
      <c r="D1770">
        <f t="shared" si="27"/>
        <v>-1472045</v>
      </c>
    </row>
    <row r="1771" spans="1:4" x14ac:dyDescent="0.3">
      <c r="A1771" s="43">
        <v>24042490</v>
      </c>
      <c r="B1771" s="43">
        <v>25000000</v>
      </c>
      <c r="D1771">
        <f t="shared" si="27"/>
        <v>-957510</v>
      </c>
    </row>
    <row r="1772" spans="1:4" x14ac:dyDescent="0.3">
      <c r="A1772" s="42">
        <v>17791031</v>
      </c>
      <c r="B1772" s="42">
        <v>25000000</v>
      </c>
      <c r="D1772">
        <f t="shared" si="27"/>
        <v>-7208969</v>
      </c>
    </row>
    <row r="1773" spans="1:4" x14ac:dyDescent="0.3">
      <c r="A1773" s="43">
        <v>17718223</v>
      </c>
      <c r="B1773" s="43">
        <v>25000000</v>
      </c>
      <c r="D1773">
        <f t="shared" si="27"/>
        <v>-7281777</v>
      </c>
    </row>
    <row r="1774" spans="1:4" x14ac:dyDescent="0.3">
      <c r="A1774" s="42">
        <v>15361537</v>
      </c>
      <c r="B1774" s="42">
        <v>13000000</v>
      </c>
      <c r="D1774">
        <f t="shared" si="27"/>
        <v>2361537</v>
      </c>
    </row>
    <row r="1775" spans="1:4" x14ac:dyDescent="0.3">
      <c r="A1775" s="43">
        <v>16647384</v>
      </c>
      <c r="B1775" s="43">
        <v>26000000</v>
      </c>
      <c r="D1775">
        <f t="shared" si="27"/>
        <v>-9352616</v>
      </c>
    </row>
    <row r="1776" spans="1:4" x14ac:dyDescent="0.3">
      <c r="A1776" s="42">
        <v>16118077</v>
      </c>
      <c r="B1776" s="42">
        <v>25000000</v>
      </c>
      <c r="D1776">
        <f t="shared" si="27"/>
        <v>-8881923</v>
      </c>
    </row>
    <row r="1777" spans="1:4" x14ac:dyDescent="0.3">
      <c r="A1777" s="43">
        <v>15091542</v>
      </c>
      <c r="B1777" s="43">
        <v>25000000</v>
      </c>
      <c r="D1777">
        <f t="shared" si="27"/>
        <v>-9908458</v>
      </c>
    </row>
    <row r="1778" spans="1:4" x14ac:dyDescent="0.3">
      <c r="A1778" s="42">
        <v>15045676</v>
      </c>
      <c r="B1778" s="42">
        <v>16000000</v>
      </c>
      <c r="D1778">
        <f t="shared" si="27"/>
        <v>-954324</v>
      </c>
    </row>
    <row r="1779" spans="1:4" x14ac:dyDescent="0.3">
      <c r="A1779" s="43">
        <v>17427926</v>
      </c>
      <c r="B1779" s="43">
        <v>8000000</v>
      </c>
      <c r="D1779">
        <f t="shared" si="27"/>
        <v>9427926</v>
      </c>
    </row>
    <row r="1780" spans="1:4" x14ac:dyDescent="0.3">
      <c r="A1780" s="42">
        <v>14983572</v>
      </c>
      <c r="B1780" s="42">
        <v>25000000</v>
      </c>
      <c r="D1780">
        <f t="shared" si="27"/>
        <v>-10016428</v>
      </c>
    </row>
    <row r="1781" spans="1:4" x14ac:dyDescent="0.3">
      <c r="A1781" s="43">
        <v>14637490</v>
      </c>
      <c r="B1781" s="43">
        <v>25000000</v>
      </c>
      <c r="D1781">
        <f t="shared" si="27"/>
        <v>-10362510</v>
      </c>
    </row>
    <row r="1782" spans="1:4" x14ac:dyDescent="0.3">
      <c r="A1782" s="42">
        <v>14589444</v>
      </c>
      <c r="B1782" s="42">
        <v>25000000</v>
      </c>
      <c r="D1782">
        <f t="shared" si="27"/>
        <v>-10410556</v>
      </c>
    </row>
    <row r="1783" spans="1:4" x14ac:dyDescent="0.3">
      <c r="A1783" s="43">
        <v>14095303</v>
      </c>
      <c r="B1783" s="43">
        <v>25000000</v>
      </c>
      <c r="D1783">
        <f t="shared" si="27"/>
        <v>-10904697</v>
      </c>
    </row>
    <row r="1784" spans="1:4" x14ac:dyDescent="0.3">
      <c r="A1784" s="42">
        <v>13973532</v>
      </c>
      <c r="B1784" s="42">
        <v>25000000</v>
      </c>
      <c r="D1784">
        <f t="shared" si="27"/>
        <v>-11026468</v>
      </c>
    </row>
    <row r="1785" spans="1:4" x14ac:dyDescent="0.3">
      <c r="A1785" s="43">
        <v>1865774</v>
      </c>
      <c r="B1785" s="43">
        <v>30000000</v>
      </c>
      <c r="D1785">
        <f t="shared" si="27"/>
        <v>-28134226</v>
      </c>
    </row>
    <row r="1786" spans="1:4" x14ac:dyDescent="0.3">
      <c r="A1786" s="42">
        <v>18860403</v>
      </c>
      <c r="B1786" s="42">
        <v>25000000</v>
      </c>
      <c r="D1786">
        <f t="shared" si="27"/>
        <v>-6139597</v>
      </c>
    </row>
    <row r="1787" spans="1:4" x14ac:dyDescent="0.3">
      <c r="A1787" s="43">
        <v>28831145</v>
      </c>
      <c r="B1787" s="43">
        <v>25000000</v>
      </c>
      <c r="D1787">
        <f t="shared" si="27"/>
        <v>3831145</v>
      </c>
    </row>
    <row r="1788" spans="1:4" x14ac:dyDescent="0.3">
      <c r="A1788" s="42">
        <v>11538204</v>
      </c>
      <c r="B1788" s="42">
        <v>25000000</v>
      </c>
      <c r="D1788">
        <f t="shared" si="27"/>
        <v>-13461796</v>
      </c>
    </row>
    <row r="1789" spans="1:4" x14ac:dyDescent="0.3">
      <c r="A1789" s="43">
        <v>11008432</v>
      </c>
      <c r="B1789" s="43">
        <v>25000000</v>
      </c>
      <c r="D1789">
        <f t="shared" si="27"/>
        <v>-13991568</v>
      </c>
    </row>
    <row r="1790" spans="1:4" x14ac:dyDescent="0.3">
      <c r="A1790" s="42">
        <v>12188642</v>
      </c>
      <c r="B1790" s="42">
        <v>26000000</v>
      </c>
      <c r="D1790">
        <f t="shared" si="27"/>
        <v>-13811358</v>
      </c>
    </row>
    <row r="1791" spans="1:4" x14ac:dyDescent="0.3">
      <c r="A1791" s="43">
        <v>11100000</v>
      </c>
      <c r="B1791" s="43">
        <v>25000000</v>
      </c>
      <c r="D1791">
        <f t="shared" si="27"/>
        <v>-13900000</v>
      </c>
    </row>
    <row r="1792" spans="1:4" x14ac:dyDescent="0.3">
      <c r="A1792" s="42">
        <v>13651662</v>
      </c>
      <c r="B1792" s="42">
        <v>25000000</v>
      </c>
      <c r="D1792">
        <f t="shared" si="27"/>
        <v>-11348338</v>
      </c>
    </row>
    <row r="1793" spans="1:4" x14ac:dyDescent="0.3">
      <c r="A1793" s="43">
        <v>11030963</v>
      </c>
      <c r="B1793" s="43">
        <v>28000000</v>
      </c>
      <c r="D1793">
        <f t="shared" si="27"/>
        <v>-16969037</v>
      </c>
    </row>
    <row r="1794" spans="1:4" x14ac:dyDescent="0.3">
      <c r="A1794" s="42">
        <v>10769960</v>
      </c>
      <c r="B1794" s="42">
        <v>25000000</v>
      </c>
      <c r="D1794">
        <f t="shared" ref="D1794:D1857" si="28">A1794-B1794</f>
        <v>-14230040</v>
      </c>
    </row>
    <row r="1795" spans="1:4" x14ac:dyDescent="0.3">
      <c r="A1795" s="43">
        <v>10911750</v>
      </c>
      <c r="B1795" s="43">
        <v>25000000</v>
      </c>
      <c r="D1795">
        <f t="shared" si="28"/>
        <v>-14088250</v>
      </c>
    </row>
    <row r="1796" spans="1:4" x14ac:dyDescent="0.3">
      <c r="A1796" s="42">
        <v>10719367</v>
      </c>
      <c r="B1796" s="42">
        <v>25000000</v>
      </c>
      <c r="D1796">
        <f t="shared" si="28"/>
        <v>-14280633</v>
      </c>
    </row>
    <row r="1797" spans="1:4" x14ac:dyDescent="0.3">
      <c r="A1797" s="43">
        <v>10114315</v>
      </c>
      <c r="B1797" s="43">
        <v>25000000</v>
      </c>
      <c r="D1797">
        <f t="shared" si="28"/>
        <v>-14885685</v>
      </c>
    </row>
    <row r="1798" spans="1:4" x14ac:dyDescent="0.3">
      <c r="A1798" s="42">
        <v>49122319</v>
      </c>
      <c r="B1798" s="42">
        <v>14000000</v>
      </c>
      <c r="D1798">
        <f t="shared" si="28"/>
        <v>35122319</v>
      </c>
    </row>
    <row r="1799" spans="1:4" x14ac:dyDescent="0.3">
      <c r="A1799" s="43">
        <v>10070000</v>
      </c>
      <c r="B1799" s="43">
        <v>25000000</v>
      </c>
      <c r="D1799">
        <f t="shared" si="28"/>
        <v>-14930000</v>
      </c>
    </row>
    <row r="1800" spans="1:4" x14ac:dyDescent="0.3">
      <c r="A1800" s="42">
        <v>10324441</v>
      </c>
      <c r="B1800" s="42">
        <v>25000000</v>
      </c>
      <c r="D1800">
        <f t="shared" si="28"/>
        <v>-14675559</v>
      </c>
    </row>
    <row r="1801" spans="1:4" x14ac:dyDescent="0.3">
      <c r="A1801" s="43">
        <v>7156933</v>
      </c>
      <c r="B1801" s="43">
        <v>25000000</v>
      </c>
      <c r="D1801">
        <f t="shared" si="28"/>
        <v>-17843067</v>
      </c>
    </row>
    <row r="1802" spans="1:4" x14ac:dyDescent="0.3">
      <c r="A1802" s="42">
        <v>9286314</v>
      </c>
      <c r="B1802" s="42">
        <v>17000000</v>
      </c>
      <c r="D1802">
        <f t="shared" si="28"/>
        <v>-7713686</v>
      </c>
    </row>
    <row r="1803" spans="1:4" x14ac:dyDescent="0.3">
      <c r="A1803" s="43">
        <v>56692</v>
      </c>
      <c r="B1803" s="43">
        <v>25000000</v>
      </c>
      <c r="D1803">
        <f t="shared" si="28"/>
        <v>-24943308</v>
      </c>
    </row>
    <row r="1804" spans="1:4" x14ac:dyDescent="0.3">
      <c r="A1804" s="42">
        <v>5654777</v>
      </c>
      <c r="B1804" s="42">
        <v>25000000</v>
      </c>
      <c r="D1804">
        <f t="shared" si="28"/>
        <v>-19345223</v>
      </c>
    </row>
    <row r="1805" spans="1:4" x14ac:dyDescent="0.3">
      <c r="A1805" s="43">
        <v>5516708</v>
      </c>
      <c r="B1805" s="43">
        <v>25000000</v>
      </c>
      <c r="D1805">
        <f t="shared" si="28"/>
        <v>-19483292</v>
      </c>
    </row>
    <row r="1806" spans="1:4" x14ac:dyDescent="0.3">
      <c r="A1806" s="42">
        <v>5128124</v>
      </c>
      <c r="B1806" s="42">
        <v>25000000</v>
      </c>
      <c r="D1806">
        <f t="shared" si="28"/>
        <v>-19871876</v>
      </c>
    </row>
    <row r="1807" spans="1:4" x14ac:dyDescent="0.3">
      <c r="A1807" s="43">
        <v>4064333</v>
      </c>
      <c r="B1807" s="43">
        <v>25000000</v>
      </c>
      <c r="D1807">
        <f t="shared" si="28"/>
        <v>-20935667</v>
      </c>
    </row>
    <row r="1808" spans="1:4" x14ac:dyDescent="0.3">
      <c r="A1808" s="42">
        <v>4006906</v>
      </c>
      <c r="B1808" s="42">
        <v>15000000</v>
      </c>
      <c r="D1808">
        <f t="shared" si="28"/>
        <v>-10993094</v>
      </c>
    </row>
    <row r="1809" spans="1:4" x14ac:dyDescent="0.3">
      <c r="A1809" s="43">
        <v>3073392</v>
      </c>
      <c r="B1809" s="43">
        <v>25000000</v>
      </c>
      <c r="D1809">
        <f t="shared" si="28"/>
        <v>-21926608</v>
      </c>
    </row>
    <row r="1810" spans="1:4" x14ac:dyDescent="0.3">
      <c r="A1810" s="42">
        <v>871527</v>
      </c>
      <c r="B1810" s="42">
        <v>25000000</v>
      </c>
      <c r="D1810">
        <f t="shared" si="28"/>
        <v>-24128473</v>
      </c>
    </row>
    <row r="1811" spans="1:4" x14ac:dyDescent="0.3">
      <c r="A1811" s="43">
        <v>777423</v>
      </c>
      <c r="B1811" s="43">
        <v>25000000</v>
      </c>
      <c r="D1811">
        <f t="shared" si="28"/>
        <v>-24222577</v>
      </c>
    </row>
    <row r="1812" spans="1:4" x14ac:dyDescent="0.3">
      <c r="A1812" s="42">
        <v>1186957</v>
      </c>
      <c r="B1812" s="42">
        <v>25000000</v>
      </c>
      <c r="D1812">
        <f t="shared" si="28"/>
        <v>-23813043</v>
      </c>
    </row>
    <row r="1813" spans="1:4" x14ac:dyDescent="0.3">
      <c r="A1813" s="43">
        <v>85433</v>
      </c>
      <c r="B1813" s="43">
        <v>13500000</v>
      </c>
      <c r="D1813">
        <f t="shared" si="28"/>
        <v>-13414567</v>
      </c>
    </row>
    <row r="1814" spans="1:4" x14ac:dyDescent="0.3">
      <c r="A1814" s="42">
        <v>1697956</v>
      </c>
      <c r="B1814" s="42">
        <v>20000000</v>
      </c>
      <c r="D1814">
        <f t="shared" si="28"/>
        <v>-18302044</v>
      </c>
    </row>
    <row r="1815" spans="1:4" x14ac:dyDescent="0.3">
      <c r="A1815" s="43">
        <v>183662</v>
      </c>
      <c r="B1815" s="43">
        <v>25000000</v>
      </c>
      <c r="D1815">
        <f t="shared" si="28"/>
        <v>-24816338</v>
      </c>
    </row>
    <row r="1816" spans="1:4" x14ac:dyDescent="0.3">
      <c r="A1816" s="42">
        <v>134904</v>
      </c>
      <c r="B1816" s="42">
        <v>25000000</v>
      </c>
      <c r="D1816">
        <f t="shared" si="28"/>
        <v>-24865096</v>
      </c>
    </row>
    <row r="1817" spans="1:4" x14ac:dyDescent="0.3">
      <c r="A1817" s="43">
        <v>16969390</v>
      </c>
      <c r="B1817" s="43">
        <v>25000000</v>
      </c>
      <c r="D1817">
        <f t="shared" si="28"/>
        <v>-8030610</v>
      </c>
    </row>
    <row r="1818" spans="1:4" x14ac:dyDescent="0.3">
      <c r="A1818" s="42">
        <v>129115</v>
      </c>
      <c r="B1818" s="42">
        <v>25000000</v>
      </c>
      <c r="D1818">
        <f t="shared" si="28"/>
        <v>-24870885</v>
      </c>
    </row>
    <row r="1819" spans="1:4" x14ac:dyDescent="0.3">
      <c r="A1819" s="43">
        <v>34700000</v>
      </c>
      <c r="B1819" s="43">
        <v>14000000</v>
      </c>
      <c r="D1819">
        <f t="shared" si="28"/>
        <v>20700000</v>
      </c>
    </row>
    <row r="1820" spans="1:4" x14ac:dyDescent="0.3">
      <c r="A1820" s="42">
        <v>717753</v>
      </c>
      <c r="B1820" s="42">
        <v>25000000</v>
      </c>
      <c r="D1820">
        <f t="shared" si="28"/>
        <v>-24282247</v>
      </c>
    </row>
    <row r="1821" spans="1:4" x14ac:dyDescent="0.3">
      <c r="A1821" s="43">
        <v>109713132</v>
      </c>
      <c r="B1821" s="43">
        <v>25000000</v>
      </c>
      <c r="D1821">
        <f t="shared" si="28"/>
        <v>84713132</v>
      </c>
    </row>
    <row r="1822" spans="1:4" x14ac:dyDescent="0.3">
      <c r="A1822" s="42">
        <v>70269171</v>
      </c>
      <c r="B1822" s="42">
        <v>24000000</v>
      </c>
      <c r="D1822">
        <f t="shared" si="28"/>
        <v>46269171</v>
      </c>
    </row>
    <row r="1823" spans="1:4" x14ac:dyDescent="0.3">
      <c r="A1823" s="43">
        <v>101334374</v>
      </c>
      <c r="B1823" s="43">
        <v>24000000</v>
      </c>
      <c r="D1823">
        <f t="shared" si="28"/>
        <v>77334374</v>
      </c>
    </row>
    <row r="1824" spans="1:4" x14ac:dyDescent="0.3">
      <c r="A1824" s="42">
        <v>1512815</v>
      </c>
      <c r="B1824" s="42">
        <v>25000000</v>
      </c>
      <c r="D1824">
        <f t="shared" si="28"/>
        <v>-23487185</v>
      </c>
    </row>
    <row r="1825" spans="1:4" x14ac:dyDescent="0.3">
      <c r="A1825" s="43">
        <v>65182182</v>
      </c>
      <c r="B1825" s="43">
        <v>24000000</v>
      </c>
      <c r="D1825">
        <f t="shared" si="28"/>
        <v>41182182</v>
      </c>
    </row>
    <row r="1826" spans="1:4" x14ac:dyDescent="0.3">
      <c r="A1826" s="42">
        <v>57262492</v>
      </c>
      <c r="B1826" s="42">
        <v>24000000</v>
      </c>
      <c r="D1826">
        <f t="shared" si="28"/>
        <v>33262492</v>
      </c>
    </row>
    <row r="1827" spans="1:4" x14ac:dyDescent="0.3">
      <c r="A1827" s="43">
        <v>80000000</v>
      </c>
      <c r="B1827" s="43">
        <v>8200000</v>
      </c>
      <c r="D1827">
        <f t="shared" si="28"/>
        <v>71800000</v>
      </c>
    </row>
    <row r="1828" spans="1:4" x14ac:dyDescent="0.3">
      <c r="A1828" s="42">
        <v>74608545</v>
      </c>
      <c r="B1828" s="42">
        <v>24000000</v>
      </c>
      <c r="D1828">
        <f t="shared" si="28"/>
        <v>50608545</v>
      </c>
    </row>
    <row r="1829" spans="1:4" x14ac:dyDescent="0.3">
      <c r="A1829" s="43">
        <v>41895491</v>
      </c>
      <c r="B1829" s="43">
        <v>24000000</v>
      </c>
      <c r="D1829">
        <f t="shared" si="28"/>
        <v>17895491</v>
      </c>
    </row>
    <row r="1830" spans="1:4" x14ac:dyDescent="0.3">
      <c r="A1830" s="42">
        <v>39989008</v>
      </c>
      <c r="B1830" s="42">
        <v>24000000</v>
      </c>
      <c r="D1830">
        <f t="shared" si="28"/>
        <v>15989008</v>
      </c>
    </row>
    <row r="1831" spans="1:4" x14ac:dyDescent="0.3">
      <c r="A1831" s="43">
        <v>32662299</v>
      </c>
      <c r="B1831" s="43">
        <v>24000000</v>
      </c>
      <c r="D1831">
        <f t="shared" si="28"/>
        <v>8662299</v>
      </c>
    </row>
    <row r="1832" spans="1:4" x14ac:dyDescent="0.3">
      <c r="A1832" s="42">
        <v>31452765</v>
      </c>
      <c r="B1832" s="42">
        <v>24000000</v>
      </c>
      <c r="D1832">
        <f t="shared" si="28"/>
        <v>7452765</v>
      </c>
    </row>
    <row r="1833" spans="1:4" x14ac:dyDescent="0.3">
      <c r="A1833" s="43">
        <v>25167270</v>
      </c>
      <c r="B1833" s="43">
        <v>24000000</v>
      </c>
      <c r="D1833">
        <f t="shared" si="28"/>
        <v>1167270</v>
      </c>
    </row>
    <row r="1834" spans="1:4" x14ac:dyDescent="0.3">
      <c r="A1834" s="42">
        <v>32416109</v>
      </c>
      <c r="B1834" s="42">
        <v>25000000</v>
      </c>
      <c r="D1834">
        <f t="shared" si="28"/>
        <v>7416109</v>
      </c>
    </row>
    <row r="1835" spans="1:4" x14ac:dyDescent="0.3">
      <c r="A1835" s="43">
        <v>20218</v>
      </c>
      <c r="B1835" s="43">
        <v>24000000</v>
      </c>
      <c r="D1835">
        <f t="shared" si="28"/>
        <v>-23979782</v>
      </c>
    </row>
    <row r="1836" spans="1:4" x14ac:dyDescent="0.3">
      <c r="A1836" s="42">
        <v>28871190</v>
      </c>
      <c r="B1836" s="42">
        <v>24000000</v>
      </c>
      <c r="D1836">
        <f t="shared" si="28"/>
        <v>4871190</v>
      </c>
    </row>
    <row r="1837" spans="1:4" x14ac:dyDescent="0.3">
      <c r="A1837" s="43">
        <v>16964743</v>
      </c>
      <c r="B1837" s="43">
        <v>24000000</v>
      </c>
      <c r="D1837">
        <f t="shared" si="28"/>
        <v>-7035257</v>
      </c>
    </row>
    <row r="1838" spans="1:4" x14ac:dyDescent="0.3">
      <c r="A1838" s="42">
        <v>16290976</v>
      </c>
      <c r="B1838" s="42">
        <v>24000000</v>
      </c>
      <c r="D1838">
        <f t="shared" si="28"/>
        <v>-7709024</v>
      </c>
    </row>
    <row r="1839" spans="1:4" x14ac:dyDescent="0.3">
      <c r="A1839" s="43">
        <v>13000000</v>
      </c>
      <c r="B1839" s="43">
        <v>24000000</v>
      </c>
      <c r="D1839">
        <f t="shared" si="28"/>
        <v>-11000000</v>
      </c>
    </row>
    <row r="1840" spans="1:4" x14ac:dyDescent="0.3">
      <c r="A1840" s="42">
        <v>12372410</v>
      </c>
      <c r="B1840" s="42">
        <v>24000000</v>
      </c>
      <c r="D1840">
        <f t="shared" si="28"/>
        <v>-11627590</v>
      </c>
    </row>
    <row r="1841" spans="1:4" x14ac:dyDescent="0.3">
      <c r="A1841" s="43">
        <v>8427204</v>
      </c>
      <c r="B1841" s="43">
        <v>24000000</v>
      </c>
      <c r="D1841">
        <f t="shared" si="28"/>
        <v>-15572796</v>
      </c>
    </row>
    <row r="1842" spans="1:4" x14ac:dyDescent="0.3">
      <c r="A1842" s="42">
        <v>9639242</v>
      </c>
      <c r="B1842" s="42">
        <v>24000000</v>
      </c>
      <c r="D1842">
        <f t="shared" si="28"/>
        <v>-14360758</v>
      </c>
    </row>
    <row r="1843" spans="1:4" x14ac:dyDescent="0.3">
      <c r="A1843" s="43">
        <v>25003072</v>
      </c>
      <c r="B1843" s="43">
        <v>24000000</v>
      </c>
      <c r="D1843">
        <f t="shared" si="28"/>
        <v>1003072</v>
      </c>
    </row>
    <row r="1844" spans="1:4" x14ac:dyDescent="0.3">
      <c r="A1844" s="42">
        <v>6144806</v>
      </c>
      <c r="B1844" s="42">
        <v>23000000</v>
      </c>
      <c r="D1844">
        <f t="shared" si="28"/>
        <v>-16855194</v>
      </c>
    </row>
    <row r="1845" spans="1:4" x14ac:dyDescent="0.3">
      <c r="A1845" s="43">
        <v>4308981</v>
      </c>
      <c r="B1845" s="43">
        <v>24000000</v>
      </c>
      <c r="D1845">
        <f t="shared" si="28"/>
        <v>-19691019</v>
      </c>
    </row>
    <row r="1846" spans="1:4" x14ac:dyDescent="0.3">
      <c r="A1846" s="42">
        <v>669276</v>
      </c>
      <c r="B1846" s="42">
        <v>28000000</v>
      </c>
      <c r="D1846">
        <f t="shared" si="28"/>
        <v>-27330724</v>
      </c>
    </row>
    <row r="1847" spans="1:4" x14ac:dyDescent="0.3">
      <c r="A1847" s="43">
        <v>42880</v>
      </c>
      <c r="B1847" s="43">
        <v>24000000</v>
      </c>
      <c r="D1847">
        <f t="shared" si="28"/>
        <v>-23957120</v>
      </c>
    </row>
    <row r="1848" spans="1:4" x14ac:dyDescent="0.3">
      <c r="A1848" s="42">
        <v>23225911</v>
      </c>
      <c r="B1848" s="42">
        <v>24000000</v>
      </c>
      <c r="D1848">
        <f t="shared" si="28"/>
        <v>-774089</v>
      </c>
    </row>
    <row r="1849" spans="1:4" x14ac:dyDescent="0.3">
      <c r="A1849" s="43">
        <v>4710455</v>
      </c>
      <c r="B1849" s="43">
        <v>24000000</v>
      </c>
      <c r="D1849">
        <f t="shared" si="28"/>
        <v>-19289545</v>
      </c>
    </row>
    <row r="1850" spans="1:4" x14ac:dyDescent="0.3">
      <c r="A1850" s="42">
        <v>75590286</v>
      </c>
      <c r="B1850" s="42">
        <v>23600000</v>
      </c>
      <c r="D1850">
        <f t="shared" si="28"/>
        <v>51990286</v>
      </c>
    </row>
    <row r="1851" spans="1:4" x14ac:dyDescent="0.3">
      <c r="A1851" s="43">
        <v>161487252</v>
      </c>
      <c r="B1851" s="43">
        <v>20000000</v>
      </c>
      <c r="D1851">
        <f t="shared" si="28"/>
        <v>141487252</v>
      </c>
    </row>
    <row r="1852" spans="1:4" x14ac:dyDescent="0.3">
      <c r="A1852" s="42">
        <v>290158751</v>
      </c>
      <c r="B1852" s="42">
        <v>18000000</v>
      </c>
      <c r="D1852">
        <f t="shared" si="28"/>
        <v>272158751</v>
      </c>
    </row>
    <row r="1853" spans="1:4" x14ac:dyDescent="0.3">
      <c r="A1853" s="43">
        <v>65807024</v>
      </c>
      <c r="B1853" s="43">
        <v>19000000</v>
      </c>
      <c r="D1853">
        <f t="shared" si="28"/>
        <v>46807024</v>
      </c>
    </row>
    <row r="1854" spans="1:4" x14ac:dyDescent="0.3">
      <c r="A1854" s="42">
        <v>86930411</v>
      </c>
      <c r="B1854" s="42">
        <v>23000000</v>
      </c>
      <c r="D1854">
        <f t="shared" si="28"/>
        <v>63930411</v>
      </c>
    </row>
    <row r="1855" spans="1:4" x14ac:dyDescent="0.3">
      <c r="A1855" s="43">
        <v>53302314</v>
      </c>
      <c r="B1855" s="43">
        <v>23000000</v>
      </c>
      <c r="D1855">
        <f t="shared" si="28"/>
        <v>30302314</v>
      </c>
    </row>
    <row r="1856" spans="1:4" x14ac:dyDescent="0.3">
      <c r="A1856" s="42">
        <v>40962534</v>
      </c>
      <c r="B1856" s="42">
        <v>12500000</v>
      </c>
      <c r="D1856">
        <f t="shared" si="28"/>
        <v>28462534</v>
      </c>
    </row>
    <row r="1857" spans="1:4" x14ac:dyDescent="0.3">
      <c r="A1857" s="43">
        <v>39235088</v>
      </c>
      <c r="B1857" s="43">
        <v>23000000</v>
      </c>
      <c r="D1857">
        <f t="shared" si="28"/>
        <v>16235088</v>
      </c>
    </row>
    <row r="1858" spans="1:4" x14ac:dyDescent="0.3">
      <c r="A1858" s="42">
        <v>27338033</v>
      </c>
      <c r="B1858" s="42">
        <v>23000000</v>
      </c>
      <c r="D1858">
        <f t="shared" ref="D1858:D1921" si="29">A1858-B1858</f>
        <v>4338033</v>
      </c>
    </row>
    <row r="1859" spans="1:4" x14ac:dyDescent="0.3">
      <c r="A1859" s="43">
        <v>25556065</v>
      </c>
      <c r="B1859" s="43">
        <v>23000000</v>
      </c>
      <c r="D1859">
        <f t="shared" si="29"/>
        <v>2556065</v>
      </c>
    </row>
    <row r="1860" spans="1:4" x14ac:dyDescent="0.3">
      <c r="A1860" s="42">
        <v>21973182</v>
      </c>
      <c r="B1860" s="42">
        <v>23000000</v>
      </c>
      <c r="D1860">
        <f t="shared" si="29"/>
        <v>-1026818</v>
      </c>
    </row>
    <row r="1861" spans="1:4" x14ac:dyDescent="0.3">
      <c r="A1861" s="43">
        <v>4756</v>
      </c>
      <c r="B1861" s="43">
        <v>25000000</v>
      </c>
      <c r="D1861">
        <f t="shared" si="29"/>
        <v>-24995244</v>
      </c>
    </row>
    <row r="1862" spans="1:4" x14ac:dyDescent="0.3">
      <c r="A1862" s="42">
        <v>18653615</v>
      </c>
      <c r="B1862" s="42">
        <v>23000000</v>
      </c>
      <c r="D1862">
        <f t="shared" si="29"/>
        <v>-4346385</v>
      </c>
    </row>
    <row r="1863" spans="1:4" x14ac:dyDescent="0.3">
      <c r="A1863" s="43">
        <v>13019253</v>
      </c>
      <c r="B1863" s="43">
        <v>23000000</v>
      </c>
      <c r="D1863">
        <f t="shared" si="29"/>
        <v>-9980747</v>
      </c>
    </row>
    <row r="1864" spans="1:4" x14ac:dyDescent="0.3">
      <c r="A1864" s="42">
        <v>18934858</v>
      </c>
      <c r="B1864" s="42">
        <v>23000000</v>
      </c>
      <c r="D1864">
        <f t="shared" si="29"/>
        <v>-4065142</v>
      </c>
    </row>
    <row r="1865" spans="1:4" x14ac:dyDescent="0.3">
      <c r="A1865" s="43">
        <v>20763013</v>
      </c>
      <c r="B1865" s="43">
        <v>23000000</v>
      </c>
      <c r="D1865">
        <f t="shared" si="29"/>
        <v>-2236987</v>
      </c>
    </row>
    <row r="1866" spans="1:4" x14ac:dyDescent="0.3">
      <c r="A1866" s="42">
        <v>12782508</v>
      </c>
      <c r="B1866" s="42">
        <v>23000000</v>
      </c>
      <c r="D1866">
        <f t="shared" si="29"/>
        <v>-10217492</v>
      </c>
    </row>
    <row r="1867" spans="1:4" x14ac:dyDescent="0.3">
      <c r="A1867" s="43">
        <v>11508423</v>
      </c>
      <c r="B1867" s="43">
        <v>23000000</v>
      </c>
      <c r="D1867">
        <f t="shared" si="29"/>
        <v>-11491577</v>
      </c>
    </row>
    <row r="1868" spans="1:4" x14ac:dyDescent="0.3">
      <c r="A1868" s="42">
        <v>10660147</v>
      </c>
      <c r="B1868" s="42">
        <v>23000000</v>
      </c>
      <c r="D1868">
        <f t="shared" si="29"/>
        <v>-12339853</v>
      </c>
    </row>
    <row r="1869" spans="1:4" x14ac:dyDescent="0.3">
      <c r="A1869" s="43">
        <v>7434726</v>
      </c>
      <c r="B1869" s="43">
        <v>23000000</v>
      </c>
      <c r="D1869">
        <f t="shared" si="29"/>
        <v>-15565274</v>
      </c>
    </row>
    <row r="1870" spans="1:4" x14ac:dyDescent="0.3">
      <c r="A1870" s="42">
        <v>6109075</v>
      </c>
      <c r="B1870" s="42">
        <v>19430000</v>
      </c>
      <c r="D1870">
        <f t="shared" si="29"/>
        <v>-13320925</v>
      </c>
    </row>
    <row r="1871" spans="1:4" x14ac:dyDescent="0.3">
      <c r="A1871" s="43">
        <v>2708188</v>
      </c>
      <c r="B1871" s="43">
        <v>23000000</v>
      </c>
      <c r="D1871">
        <f t="shared" si="29"/>
        <v>-20291812</v>
      </c>
    </row>
    <row r="1872" spans="1:4" x14ac:dyDescent="0.3">
      <c r="A1872" s="42">
        <v>16123851</v>
      </c>
      <c r="B1872" s="42">
        <v>23000000</v>
      </c>
      <c r="D1872">
        <f t="shared" si="29"/>
        <v>-6876149</v>
      </c>
    </row>
    <row r="1873" spans="1:4" x14ac:dyDescent="0.3">
      <c r="A1873" s="43">
        <v>71975611</v>
      </c>
      <c r="B1873" s="43">
        <v>25000000</v>
      </c>
      <c r="D1873">
        <f t="shared" si="29"/>
        <v>46975611</v>
      </c>
    </row>
    <row r="1874" spans="1:4" x14ac:dyDescent="0.3">
      <c r="A1874" s="42">
        <v>38119483</v>
      </c>
      <c r="B1874" s="42">
        <v>22700000</v>
      </c>
      <c r="D1874">
        <f t="shared" si="29"/>
        <v>15419483</v>
      </c>
    </row>
    <row r="1875" spans="1:4" x14ac:dyDescent="0.3">
      <c r="A1875" s="43">
        <v>4190530</v>
      </c>
      <c r="B1875" s="43">
        <v>22500000</v>
      </c>
      <c r="D1875">
        <f t="shared" si="29"/>
        <v>-18309470</v>
      </c>
    </row>
    <row r="1876" spans="1:4" x14ac:dyDescent="0.3">
      <c r="A1876" s="42">
        <v>217631306</v>
      </c>
      <c r="B1876" s="42">
        <v>22000000</v>
      </c>
      <c r="D1876">
        <f t="shared" si="29"/>
        <v>195631306</v>
      </c>
    </row>
    <row r="1877" spans="1:4" x14ac:dyDescent="0.3">
      <c r="A1877" s="43">
        <v>176483808</v>
      </c>
      <c r="B1877" s="43">
        <v>23000000</v>
      </c>
      <c r="D1877">
        <f t="shared" si="29"/>
        <v>153483808</v>
      </c>
    </row>
    <row r="1878" spans="1:4" x14ac:dyDescent="0.3">
      <c r="A1878" s="42">
        <v>144833357</v>
      </c>
      <c r="B1878" s="42">
        <v>22000000</v>
      </c>
      <c r="D1878">
        <f t="shared" si="29"/>
        <v>122833357</v>
      </c>
    </row>
    <row r="1879" spans="1:4" x14ac:dyDescent="0.3">
      <c r="A1879" s="43">
        <v>75597042</v>
      </c>
      <c r="B1879" s="43">
        <v>20000000</v>
      </c>
      <c r="D1879">
        <f t="shared" si="29"/>
        <v>55597042</v>
      </c>
    </row>
    <row r="1880" spans="1:4" x14ac:dyDescent="0.3">
      <c r="A1880" s="42">
        <v>90636983</v>
      </c>
      <c r="B1880" s="42">
        <v>22000000</v>
      </c>
      <c r="D1880">
        <f t="shared" si="29"/>
        <v>68636983</v>
      </c>
    </row>
    <row r="1881" spans="1:4" x14ac:dyDescent="0.3">
      <c r="A1881" s="43">
        <v>70960517</v>
      </c>
      <c r="B1881" s="43">
        <v>35000000</v>
      </c>
      <c r="D1881">
        <f t="shared" si="29"/>
        <v>35960517</v>
      </c>
    </row>
    <row r="1882" spans="1:4" x14ac:dyDescent="0.3">
      <c r="A1882" s="42">
        <v>55762229</v>
      </c>
      <c r="B1882" s="42">
        <v>22000000</v>
      </c>
      <c r="D1882">
        <f t="shared" si="29"/>
        <v>33762229</v>
      </c>
    </row>
    <row r="1883" spans="1:4" x14ac:dyDescent="0.3">
      <c r="A1883" s="43">
        <v>54235441</v>
      </c>
      <c r="B1883" s="43">
        <v>22000000</v>
      </c>
      <c r="D1883">
        <f t="shared" si="29"/>
        <v>32235441</v>
      </c>
    </row>
    <row r="1884" spans="1:4" x14ac:dyDescent="0.3">
      <c r="A1884" s="42">
        <v>50728000</v>
      </c>
      <c r="B1884" s="42">
        <v>22000000</v>
      </c>
      <c r="D1884">
        <f t="shared" si="29"/>
        <v>28728000</v>
      </c>
    </row>
    <row r="1885" spans="1:4" x14ac:dyDescent="0.3">
      <c r="A1885" s="43">
        <v>40270895</v>
      </c>
      <c r="B1885" s="43">
        <v>22000000</v>
      </c>
      <c r="D1885">
        <f t="shared" si="29"/>
        <v>18270895</v>
      </c>
    </row>
    <row r="1886" spans="1:4" x14ac:dyDescent="0.3">
      <c r="A1886" s="42">
        <v>59696176</v>
      </c>
      <c r="B1886" s="42">
        <v>22000000</v>
      </c>
      <c r="D1886">
        <f t="shared" si="29"/>
        <v>37696176</v>
      </c>
    </row>
    <row r="1887" spans="1:4" x14ac:dyDescent="0.3">
      <c r="A1887" s="43">
        <v>51483949</v>
      </c>
      <c r="B1887" s="43">
        <v>22000000</v>
      </c>
      <c r="D1887">
        <f t="shared" si="29"/>
        <v>29483949</v>
      </c>
    </row>
    <row r="1888" spans="1:4" x14ac:dyDescent="0.3">
      <c r="A1888" s="42">
        <v>36020063</v>
      </c>
      <c r="B1888" s="42">
        <v>22000000</v>
      </c>
      <c r="D1888">
        <f t="shared" si="29"/>
        <v>14020063</v>
      </c>
    </row>
    <row r="1889" spans="1:4" x14ac:dyDescent="0.3">
      <c r="A1889" s="43">
        <v>33313582</v>
      </c>
      <c r="B1889" s="43">
        <v>21000000</v>
      </c>
      <c r="D1889">
        <f t="shared" si="29"/>
        <v>12313582</v>
      </c>
    </row>
    <row r="1890" spans="1:4" x14ac:dyDescent="0.3">
      <c r="A1890" s="42">
        <v>25842000</v>
      </c>
      <c r="B1890" s="42">
        <v>22000000</v>
      </c>
      <c r="D1890">
        <f t="shared" si="29"/>
        <v>3842000</v>
      </c>
    </row>
    <row r="1891" spans="1:4" x14ac:dyDescent="0.3">
      <c r="A1891" s="43">
        <v>22264487</v>
      </c>
      <c r="B1891" s="43">
        <v>22000000</v>
      </c>
      <c r="D1891">
        <f t="shared" si="29"/>
        <v>264487</v>
      </c>
    </row>
    <row r="1892" spans="1:4" x14ac:dyDescent="0.3">
      <c r="A1892" s="42">
        <v>30659817</v>
      </c>
      <c r="B1892" s="42">
        <v>26000000</v>
      </c>
      <c r="D1892">
        <f t="shared" si="29"/>
        <v>4659817</v>
      </c>
    </row>
    <row r="1893" spans="1:4" x14ac:dyDescent="0.3">
      <c r="A1893" s="43">
        <v>19351569</v>
      </c>
      <c r="B1893" s="43">
        <v>22000000</v>
      </c>
      <c r="D1893">
        <f t="shared" si="29"/>
        <v>-2648431</v>
      </c>
    </row>
    <row r="1894" spans="1:4" x14ac:dyDescent="0.3">
      <c r="A1894" s="42">
        <v>49002815</v>
      </c>
      <c r="B1894" s="42">
        <v>22000000</v>
      </c>
      <c r="D1894">
        <f t="shared" si="29"/>
        <v>27002815</v>
      </c>
    </row>
    <row r="1895" spans="1:4" x14ac:dyDescent="0.3">
      <c r="A1895" s="43">
        <v>19283782</v>
      </c>
      <c r="B1895" s="43">
        <v>22000000</v>
      </c>
      <c r="D1895">
        <f t="shared" si="29"/>
        <v>-2716218</v>
      </c>
    </row>
    <row r="1896" spans="1:4" x14ac:dyDescent="0.3">
      <c r="A1896" s="42">
        <v>30059386</v>
      </c>
      <c r="B1896" s="42">
        <v>22000000</v>
      </c>
      <c r="D1896">
        <f t="shared" si="29"/>
        <v>8059386</v>
      </c>
    </row>
    <row r="1897" spans="1:4" x14ac:dyDescent="0.3">
      <c r="A1897" s="43">
        <v>17951431</v>
      </c>
      <c r="B1897" s="43">
        <v>30000000</v>
      </c>
      <c r="D1897">
        <f t="shared" si="29"/>
        <v>-12048569</v>
      </c>
    </row>
    <row r="1898" spans="1:4" x14ac:dyDescent="0.3">
      <c r="A1898" s="42">
        <v>29997095</v>
      </c>
      <c r="B1898" s="42">
        <v>22000000</v>
      </c>
      <c r="D1898">
        <f t="shared" si="29"/>
        <v>7997095</v>
      </c>
    </row>
    <row r="1899" spans="1:4" x14ac:dyDescent="0.3">
      <c r="A1899" s="43">
        <v>14252830</v>
      </c>
      <c r="B1899" s="43">
        <v>22000000</v>
      </c>
      <c r="D1899">
        <f t="shared" si="29"/>
        <v>-7747170</v>
      </c>
    </row>
    <row r="1900" spans="1:4" x14ac:dyDescent="0.3">
      <c r="A1900" s="42">
        <v>19783777</v>
      </c>
      <c r="B1900" s="42">
        <v>22000000</v>
      </c>
      <c r="D1900">
        <f t="shared" si="29"/>
        <v>-2216223</v>
      </c>
    </row>
    <row r="1901" spans="1:4" x14ac:dyDescent="0.3">
      <c r="A1901" s="43">
        <v>13555988</v>
      </c>
      <c r="B1901" s="43">
        <v>22000000</v>
      </c>
      <c r="D1901">
        <f t="shared" si="29"/>
        <v>-8444012</v>
      </c>
    </row>
    <row r="1902" spans="1:4" x14ac:dyDescent="0.3">
      <c r="A1902" s="42">
        <v>12784713</v>
      </c>
      <c r="B1902" s="42">
        <v>22000000</v>
      </c>
      <c r="D1902">
        <f t="shared" si="29"/>
        <v>-9215287</v>
      </c>
    </row>
    <row r="1903" spans="1:4" x14ac:dyDescent="0.3">
      <c r="A1903" s="43">
        <v>10696210</v>
      </c>
      <c r="B1903" s="43">
        <v>23500000</v>
      </c>
      <c r="D1903">
        <f t="shared" si="29"/>
        <v>-12803790</v>
      </c>
    </row>
    <row r="1904" spans="1:4" x14ac:dyDescent="0.3">
      <c r="A1904" s="42">
        <v>5974653</v>
      </c>
      <c r="B1904" s="42">
        <v>22000000</v>
      </c>
      <c r="D1904">
        <f t="shared" si="29"/>
        <v>-16025347</v>
      </c>
    </row>
    <row r="1905" spans="1:4" x14ac:dyDescent="0.3">
      <c r="A1905" s="43">
        <v>5000000</v>
      </c>
      <c r="B1905" s="43">
        <v>25000000</v>
      </c>
      <c r="D1905">
        <f t="shared" si="29"/>
        <v>-20000000</v>
      </c>
    </row>
    <row r="1906" spans="1:4" x14ac:dyDescent="0.3">
      <c r="A1906" s="42">
        <v>9694105</v>
      </c>
      <c r="B1906" s="42">
        <v>22000000</v>
      </c>
      <c r="D1906">
        <f t="shared" si="29"/>
        <v>-12305895</v>
      </c>
    </row>
    <row r="1907" spans="1:4" x14ac:dyDescent="0.3">
      <c r="A1907" s="43">
        <v>16027866</v>
      </c>
      <c r="B1907" s="43">
        <v>25000000</v>
      </c>
      <c r="D1907">
        <f t="shared" si="29"/>
        <v>-8972134</v>
      </c>
    </row>
    <row r="1908" spans="1:4" x14ac:dyDescent="0.3">
      <c r="A1908" s="42">
        <v>4398392</v>
      </c>
      <c r="B1908" s="42">
        <v>21000000</v>
      </c>
      <c r="D1908">
        <f t="shared" si="29"/>
        <v>-16601608</v>
      </c>
    </row>
    <row r="1909" spans="1:4" x14ac:dyDescent="0.3">
      <c r="A1909" s="43">
        <v>1050445</v>
      </c>
      <c r="B1909" s="43">
        <v>22000000</v>
      </c>
      <c r="D1909">
        <f t="shared" si="29"/>
        <v>-20949555</v>
      </c>
    </row>
    <row r="1910" spans="1:4" x14ac:dyDescent="0.3">
      <c r="A1910" s="42">
        <v>13746550</v>
      </c>
      <c r="B1910" s="42">
        <v>2000000</v>
      </c>
      <c r="D1910">
        <f t="shared" si="29"/>
        <v>11746550</v>
      </c>
    </row>
    <row r="1911" spans="1:4" x14ac:dyDescent="0.3">
      <c r="A1911" s="43">
        <v>20668843</v>
      </c>
      <c r="B1911" s="43">
        <v>22000000</v>
      </c>
      <c r="D1911">
        <f t="shared" si="29"/>
        <v>-1331157</v>
      </c>
    </row>
    <row r="1912" spans="1:4" x14ac:dyDescent="0.3">
      <c r="A1912" s="42">
        <v>2963012</v>
      </c>
      <c r="B1912" s="42">
        <v>22000000</v>
      </c>
      <c r="D1912">
        <f t="shared" si="29"/>
        <v>-19036988</v>
      </c>
    </row>
    <row r="1913" spans="1:4" x14ac:dyDescent="0.3">
      <c r="A1913" s="43">
        <v>1796024</v>
      </c>
      <c r="B1913" s="43">
        <v>22000000</v>
      </c>
      <c r="D1913">
        <f t="shared" si="29"/>
        <v>-20203976</v>
      </c>
    </row>
    <row r="1914" spans="1:4" x14ac:dyDescent="0.3">
      <c r="A1914" s="42">
        <v>11326836</v>
      </c>
      <c r="B1914" s="42">
        <v>22000000</v>
      </c>
      <c r="D1914">
        <f t="shared" si="29"/>
        <v>-10673164</v>
      </c>
    </row>
    <row r="1915" spans="1:4" x14ac:dyDescent="0.3">
      <c r="A1915" s="43">
        <v>49024969</v>
      </c>
      <c r="B1915" s="43">
        <v>25000000</v>
      </c>
      <c r="D1915">
        <f t="shared" si="29"/>
        <v>24024969</v>
      </c>
    </row>
    <row r="1916" spans="1:4" x14ac:dyDescent="0.3">
      <c r="A1916" s="42">
        <v>22294341</v>
      </c>
      <c r="B1916" s="42">
        <v>21500000</v>
      </c>
      <c r="D1916">
        <f t="shared" si="29"/>
        <v>794341</v>
      </c>
    </row>
    <row r="1917" spans="1:4" x14ac:dyDescent="0.3">
      <c r="A1917" s="43">
        <v>24362501</v>
      </c>
      <c r="B1917" s="43">
        <v>21500000</v>
      </c>
      <c r="D1917">
        <f t="shared" si="29"/>
        <v>2862501</v>
      </c>
    </row>
    <row r="1918" spans="1:4" x14ac:dyDescent="0.3">
      <c r="A1918" s="42">
        <v>16684352</v>
      </c>
      <c r="B1918" s="42">
        <v>17000000</v>
      </c>
      <c r="D1918">
        <f t="shared" si="29"/>
        <v>-315648</v>
      </c>
    </row>
    <row r="1919" spans="1:4" x14ac:dyDescent="0.3">
      <c r="A1919" s="43">
        <v>46700000</v>
      </c>
      <c r="B1919" s="43">
        <v>21000000</v>
      </c>
      <c r="D1919">
        <f t="shared" si="29"/>
        <v>25700000</v>
      </c>
    </row>
    <row r="1920" spans="1:4" x14ac:dyDescent="0.3">
      <c r="A1920" s="42">
        <v>52008288</v>
      </c>
      <c r="B1920" s="42">
        <v>21000000</v>
      </c>
      <c r="D1920">
        <f t="shared" si="29"/>
        <v>31008288</v>
      </c>
    </row>
    <row r="1921" spans="1:4" x14ac:dyDescent="0.3">
      <c r="A1921" s="43">
        <v>8579684</v>
      </c>
      <c r="B1921" s="43">
        <v>9000000</v>
      </c>
      <c r="D1921">
        <f t="shared" si="29"/>
        <v>-420316</v>
      </c>
    </row>
    <row r="1922" spans="1:4" x14ac:dyDescent="0.3">
      <c r="A1922" s="42">
        <v>42660000</v>
      </c>
      <c r="B1922" s="42">
        <v>17000000</v>
      </c>
      <c r="D1922">
        <f t="shared" ref="D1922:D1985" si="30">A1922-B1922</f>
        <v>25660000</v>
      </c>
    </row>
    <row r="1923" spans="1:4" x14ac:dyDescent="0.3">
      <c r="A1923" s="43">
        <v>40219708</v>
      </c>
      <c r="B1923" s="43">
        <v>21000000</v>
      </c>
      <c r="D1923">
        <f t="shared" si="30"/>
        <v>19219708</v>
      </c>
    </row>
    <row r="1924" spans="1:4" x14ac:dyDescent="0.3">
      <c r="A1924" s="42">
        <v>132088910</v>
      </c>
      <c r="B1924" s="42">
        <v>21000000</v>
      </c>
      <c r="D1924">
        <f t="shared" si="30"/>
        <v>111088910</v>
      </c>
    </row>
    <row r="1925" spans="1:4" x14ac:dyDescent="0.3">
      <c r="A1925" s="43">
        <v>36581633</v>
      </c>
      <c r="B1925" s="43">
        <v>21000000</v>
      </c>
      <c r="D1925">
        <f t="shared" si="30"/>
        <v>15581633</v>
      </c>
    </row>
    <row r="1926" spans="1:4" x14ac:dyDescent="0.3">
      <c r="A1926" s="42">
        <v>25296447</v>
      </c>
      <c r="B1926" s="42">
        <v>21000000</v>
      </c>
      <c r="D1926">
        <f t="shared" si="30"/>
        <v>4296447</v>
      </c>
    </row>
    <row r="1927" spans="1:4" x14ac:dyDescent="0.3">
      <c r="A1927" s="43">
        <v>24848292</v>
      </c>
      <c r="B1927" s="43">
        <v>20000000</v>
      </c>
      <c r="D1927">
        <f t="shared" si="30"/>
        <v>4848292</v>
      </c>
    </row>
    <row r="1928" spans="1:4" x14ac:dyDescent="0.3">
      <c r="A1928" s="42">
        <v>17757087</v>
      </c>
      <c r="B1928" s="42">
        <v>21000000</v>
      </c>
      <c r="D1928">
        <f t="shared" si="30"/>
        <v>-3242913</v>
      </c>
    </row>
    <row r="1929" spans="1:4" x14ac:dyDescent="0.3">
      <c r="A1929" s="43">
        <v>9430988</v>
      </c>
      <c r="B1929" s="43">
        <v>17000000</v>
      </c>
      <c r="D1929">
        <f t="shared" si="30"/>
        <v>-7569012</v>
      </c>
    </row>
    <row r="1930" spans="1:4" x14ac:dyDescent="0.3">
      <c r="A1930" s="42">
        <v>16284360</v>
      </c>
      <c r="B1930" s="42">
        <v>21000000</v>
      </c>
      <c r="D1930">
        <f t="shared" si="30"/>
        <v>-4715640</v>
      </c>
    </row>
    <row r="1931" spans="1:4" x14ac:dyDescent="0.3">
      <c r="A1931" s="43">
        <v>6830957</v>
      </c>
      <c r="B1931" s="43">
        <v>21000000</v>
      </c>
      <c r="D1931">
        <f t="shared" si="30"/>
        <v>-14169043</v>
      </c>
    </row>
    <row r="1932" spans="1:4" x14ac:dyDescent="0.3">
      <c r="A1932" s="42">
        <v>24104113</v>
      </c>
      <c r="B1932" s="42">
        <v>20000000</v>
      </c>
      <c r="D1932">
        <f t="shared" si="30"/>
        <v>4104113</v>
      </c>
    </row>
    <row r="1933" spans="1:4" x14ac:dyDescent="0.3">
      <c r="A1933" s="43">
        <v>15593</v>
      </c>
      <c r="B1933" s="43">
        <v>21000000</v>
      </c>
      <c r="D1933">
        <f t="shared" si="30"/>
        <v>-20984407</v>
      </c>
    </row>
    <row r="1934" spans="1:4" x14ac:dyDescent="0.3">
      <c r="A1934" s="42">
        <v>958319</v>
      </c>
      <c r="B1934" s="42">
        <v>21000000</v>
      </c>
      <c r="D1934">
        <f t="shared" si="30"/>
        <v>-20041681</v>
      </c>
    </row>
    <row r="1935" spans="1:4" x14ac:dyDescent="0.3">
      <c r="A1935" s="43">
        <v>69700000</v>
      </c>
      <c r="B1935" s="43">
        <v>35000000</v>
      </c>
      <c r="D1935">
        <f t="shared" si="30"/>
        <v>34700000</v>
      </c>
    </row>
    <row r="1936" spans="1:4" x14ac:dyDescent="0.3">
      <c r="A1936" s="42">
        <v>2840417</v>
      </c>
      <c r="B1936" s="42">
        <v>31000000</v>
      </c>
      <c r="D1936">
        <f t="shared" si="30"/>
        <v>-28159583</v>
      </c>
    </row>
    <row r="1937" spans="1:4" x14ac:dyDescent="0.3">
      <c r="A1937" s="43">
        <v>242374454</v>
      </c>
      <c r="B1937" s="43">
        <v>18000000</v>
      </c>
      <c r="D1937">
        <f t="shared" si="30"/>
        <v>224374454</v>
      </c>
    </row>
    <row r="1938" spans="1:4" x14ac:dyDescent="0.3">
      <c r="A1938" s="42">
        <v>128300000</v>
      </c>
      <c r="B1938" s="42">
        <v>19400870</v>
      </c>
      <c r="D1938">
        <f t="shared" si="30"/>
        <v>108899130</v>
      </c>
    </row>
    <row r="1939" spans="1:4" x14ac:dyDescent="0.3">
      <c r="A1939" s="43">
        <v>20259297</v>
      </c>
      <c r="B1939" s="43">
        <v>20000000</v>
      </c>
      <c r="D1939">
        <f t="shared" si="30"/>
        <v>259297</v>
      </c>
    </row>
    <row r="1940" spans="1:4" x14ac:dyDescent="0.3">
      <c r="A1940" s="42">
        <v>153665036</v>
      </c>
      <c r="B1940" s="42">
        <v>28000000</v>
      </c>
      <c r="D1940">
        <f t="shared" si="30"/>
        <v>125665036</v>
      </c>
    </row>
    <row r="1941" spans="1:4" x14ac:dyDescent="0.3">
      <c r="A1941" s="43">
        <v>132541238</v>
      </c>
      <c r="B1941" s="43">
        <v>33000000</v>
      </c>
      <c r="D1941">
        <f t="shared" si="30"/>
        <v>99541238</v>
      </c>
    </row>
    <row r="1942" spans="1:4" x14ac:dyDescent="0.3">
      <c r="A1942" s="42">
        <v>130727000</v>
      </c>
      <c r="B1942" s="42">
        <v>19000000</v>
      </c>
      <c r="D1942">
        <f t="shared" si="30"/>
        <v>111727000</v>
      </c>
    </row>
    <row r="1943" spans="1:4" x14ac:dyDescent="0.3">
      <c r="A1943" s="43">
        <v>121697350</v>
      </c>
      <c r="B1943" s="43">
        <v>20000000</v>
      </c>
      <c r="D1943">
        <f t="shared" si="30"/>
        <v>101697350</v>
      </c>
    </row>
    <row r="1944" spans="1:4" x14ac:dyDescent="0.3">
      <c r="A1944" s="42">
        <v>117224271</v>
      </c>
      <c r="B1944" s="42">
        <v>20000000</v>
      </c>
      <c r="D1944">
        <f t="shared" si="30"/>
        <v>97224271</v>
      </c>
    </row>
    <row r="1945" spans="1:4" x14ac:dyDescent="0.3">
      <c r="A1945" s="43">
        <v>102922376</v>
      </c>
      <c r="B1945" s="43">
        <v>20000000</v>
      </c>
      <c r="D1945">
        <f t="shared" si="30"/>
        <v>82922376</v>
      </c>
    </row>
    <row r="1946" spans="1:4" x14ac:dyDescent="0.3">
      <c r="A1946" s="42">
        <v>94497271</v>
      </c>
      <c r="B1946" s="42">
        <v>20000000</v>
      </c>
      <c r="D1946">
        <f t="shared" si="30"/>
        <v>74497271</v>
      </c>
    </row>
    <row r="1947" spans="1:4" x14ac:dyDescent="0.3">
      <c r="A1947" s="43">
        <v>137387272</v>
      </c>
      <c r="B1947" s="43">
        <v>20000000</v>
      </c>
      <c r="D1947">
        <f t="shared" si="30"/>
        <v>117387272</v>
      </c>
    </row>
    <row r="1948" spans="1:4" x14ac:dyDescent="0.3">
      <c r="A1948" s="42">
        <v>82301521</v>
      </c>
      <c r="B1948" s="42">
        <v>32000000</v>
      </c>
      <c r="D1948">
        <f t="shared" si="30"/>
        <v>50301521</v>
      </c>
    </row>
    <row r="1949" spans="1:4" x14ac:dyDescent="0.3">
      <c r="A1949" s="43">
        <v>84518155</v>
      </c>
      <c r="B1949" s="43">
        <v>20000000</v>
      </c>
      <c r="D1949">
        <f t="shared" si="30"/>
        <v>64518155</v>
      </c>
    </row>
    <row r="1950" spans="1:4" x14ac:dyDescent="0.3">
      <c r="A1950" s="42">
        <v>81257845</v>
      </c>
      <c r="B1950" s="42">
        <v>35000000</v>
      </c>
      <c r="D1950">
        <f t="shared" si="30"/>
        <v>46257845</v>
      </c>
    </row>
    <row r="1951" spans="1:4" x14ac:dyDescent="0.3">
      <c r="A1951" s="43">
        <v>70360285</v>
      </c>
      <c r="B1951" s="43">
        <v>18000000</v>
      </c>
      <c r="D1951">
        <f t="shared" si="30"/>
        <v>52360285</v>
      </c>
    </row>
    <row r="1952" spans="1:4" x14ac:dyDescent="0.3">
      <c r="A1952" s="42">
        <v>69148997</v>
      </c>
      <c r="B1952" s="42">
        <v>37000000</v>
      </c>
      <c r="D1952">
        <f t="shared" si="30"/>
        <v>32148997</v>
      </c>
    </row>
    <row r="1953" spans="1:4" x14ac:dyDescent="0.3">
      <c r="A1953" s="43">
        <v>82624961</v>
      </c>
      <c r="B1953" s="43">
        <v>20000000</v>
      </c>
      <c r="D1953">
        <f t="shared" si="30"/>
        <v>62624961</v>
      </c>
    </row>
    <row r="1954" spans="1:4" x14ac:dyDescent="0.3">
      <c r="A1954" s="42">
        <v>67325559</v>
      </c>
      <c r="B1954" s="42">
        <v>20000000</v>
      </c>
      <c r="D1954">
        <f t="shared" si="30"/>
        <v>47325559</v>
      </c>
    </row>
    <row r="1955" spans="1:4" x14ac:dyDescent="0.3">
      <c r="A1955" s="43">
        <v>62933793</v>
      </c>
      <c r="B1955" s="43">
        <v>20000000</v>
      </c>
      <c r="D1955">
        <f t="shared" si="30"/>
        <v>42933793</v>
      </c>
    </row>
    <row r="1956" spans="1:4" x14ac:dyDescent="0.3">
      <c r="A1956" s="42">
        <v>56667870</v>
      </c>
      <c r="B1956" s="42">
        <v>20000000</v>
      </c>
      <c r="D1956">
        <f t="shared" si="30"/>
        <v>36667870</v>
      </c>
    </row>
    <row r="1957" spans="1:4" x14ac:dyDescent="0.3">
      <c r="A1957" s="43">
        <v>56398162</v>
      </c>
      <c r="B1957" s="43">
        <v>20000000</v>
      </c>
      <c r="D1957">
        <f t="shared" si="30"/>
        <v>36398162</v>
      </c>
    </row>
    <row r="1958" spans="1:4" x14ac:dyDescent="0.3">
      <c r="A1958" s="42">
        <v>60072596</v>
      </c>
      <c r="B1958" s="42">
        <v>20000000</v>
      </c>
      <c r="D1958">
        <f t="shared" si="30"/>
        <v>40072596</v>
      </c>
    </row>
    <row r="1959" spans="1:4" x14ac:dyDescent="0.3">
      <c r="A1959" s="43">
        <v>56362352</v>
      </c>
      <c r="B1959" s="43">
        <v>20000000</v>
      </c>
      <c r="D1959">
        <f t="shared" si="30"/>
        <v>36362352</v>
      </c>
    </row>
    <row r="1960" spans="1:4" x14ac:dyDescent="0.3">
      <c r="A1960" s="42">
        <v>56154094</v>
      </c>
      <c r="B1960" s="42">
        <v>20000000</v>
      </c>
      <c r="D1960">
        <f t="shared" si="30"/>
        <v>36154094</v>
      </c>
    </row>
    <row r="1961" spans="1:4" x14ac:dyDescent="0.3">
      <c r="A1961" s="43">
        <v>65623128</v>
      </c>
      <c r="B1961" s="43">
        <v>20000000</v>
      </c>
      <c r="D1961">
        <f t="shared" si="30"/>
        <v>45623128</v>
      </c>
    </row>
    <row r="1962" spans="1:4" x14ac:dyDescent="0.3">
      <c r="A1962" s="42">
        <v>55461307</v>
      </c>
      <c r="B1962" s="42">
        <v>20000000</v>
      </c>
      <c r="D1962">
        <f t="shared" si="30"/>
        <v>35461307</v>
      </c>
    </row>
    <row r="1963" spans="1:4" x14ac:dyDescent="0.3">
      <c r="A1963" s="43">
        <v>48546578</v>
      </c>
      <c r="B1963" s="43">
        <v>20000000</v>
      </c>
      <c r="D1963">
        <f t="shared" si="30"/>
        <v>28546578</v>
      </c>
    </row>
    <row r="1964" spans="1:4" x14ac:dyDescent="0.3">
      <c r="A1964" s="42">
        <v>48423368</v>
      </c>
      <c r="B1964" s="42">
        <v>20000000</v>
      </c>
      <c r="D1964">
        <f t="shared" si="30"/>
        <v>28423368</v>
      </c>
    </row>
    <row r="1965" spans="1:4" x14ac:dyDescent="0.3">
      <c r="A1965" s="43">
        <v>52066000</v>
      </c>
      <c r="B1965" s="43">
        <v>20000000</v>
      </c>
      <c r="D1965">
        <f t="shared" si="30"/>
        <v>32066000</v>
      </c>
    </row>
    <row r="1966" spans="1:4" x14ac:dyDescent="0.3">
      <c r="A1966" s="42">
        <v>47887943</v>
      </c>
      <c r="B1966" s="42">
        <v>20000000</v>
      </c>
      <c r="D1966">
        <f t="shared" si="30"/>
        <v>27887943</v>
      </c>
    </row>
    <row r="1967" spans="1:4" x14ac:dyDescent="0.3">
      <c r="A1967" s="43">
        <v>46363118</v>
      </c>
      <c r="B1967" s="43">
        <v>20000000</v>
      </c>
      <c r="D1967">
        <f t="shared" si="30"/>
        <v>26363118</v>
      </c>
    </row>
    <row r="1968" spans="1:4" x14ac:dyDescent="0.3">
      <c r="A1968" s="42">
        <v>47852604</v>
      </c>
      <c r="B1968" s="42">
        <v>20000000</v>
      </c>
      <c r="D1968">
        <f t="shared" si="30"/>
        <v>27852604</v>
      </c>
    </row>
    <row r="1969" spans="1:4" x14ac:dyDescent="0.3">
      <c r="A1969" s="43">
        <v>45542421</v>
      </c>
      <c r="B1969" s="43">
        <v>30000000</v>
      </c>
      <c r="D1969">
        <f t="shared" si="30"/>
        <v>15542421</v>
      </c>
    </row>
    <row r="1970" spans="1:4" x14ac:dyDescent="0.3">
      <c r="A1970" s="42">
        <v>42652003</v>
      </c>
      <c r="B1970" s="42">
        <v>20000000</v>
      </c>
      <c r="D1970">
        <f t="shared" si="30"/>
        <v>22652003</v>
      </c>
    </row>
    <row r="1971" spans="1:4" x14ac:dyDescent="0.3">
      <c r="A1971" s="43">
        <v>39737645</v>
      </c>
      <c r="B1971" s="43">
        <v>20000000</v>
      </c>
      <c r="D1971">
        <f t="shared" si="30"/>
        <v>19737645</v>
      </c>
    </row>
    <row r="1972" spans="1:4" x14ac:dyDescent="0.3">
      <c r="A1972" s="42">
        <v>44988180</v>
      </c>
      <c r="B1972" s="42">
        <v>20000000</v>
      </c>
      <c r="D1972">
        <f t="shared" si="30"/>
        <v>24988180</v>
      </c>
    </row>
    <row r="1973" spans="1:4" x14ac:dyDescent="0.3">
      <c r="A1973" s="43">
        <v>39263506</v>
      </c>
      <c r="B1973" s="43">
        <v>22000000</v>
      </c>
      <c r="D1973">
        <f t="shared" si="30"/>
        <v>17263506</v>
      </c>
    </row>
    <row r="1974" spans="1:4" x14ac:dyDescent="0.3">
      <c r="A1974" s="42">
        <v>39143839</v>
      </c>
      <c r="B1974" s="42">
        <v>20000000</v>
      </c>
      <c r="D1974">
        <f t="shared" si="30"/>
        <v>19143839</v>
      </c>
    </row>
    <row r="1975" spans="1:4" x14ac:dyDescent="0.3">
      <c r="A1975" s="43">
        <v>37672350</v>
      </c>
      <c r="B1975" s="43">
        <v>20000000</v>
      </c>
      <c r="D1975">
        <f t="shared" si="30"/>
        <v>17672350</v>
      </c>
    </row>
    <row r="1976" spans="1:4" x14ac:dyDescent="0.3">
      <c r="A1976" s="42">
        <v>38037513</v>
      </c>
      <c r="B1976" s="42">
        <v>20000000</v>
      </c>
      <c r="D1976">
        <f t="shared" si="30"/>
        <v>18037513</v>
      </c>
    </row>
    <row r="1977" spans="1:4" x14ac:dyDescent="0.3">
      <c r="A1977" s="43">
        <v>37442180</v>
      </c>
      <c r="B1977" s="43">
        <v>20000000</v>
      </c>
      <c r="D1977">
        <f t="shared" si="30"/>
        <v>17442180</v>
      </c>
    </row>
    <row r="1978" spans="1:4" x14ac:dyDescent="0.3">
      <c r="A1978" s="42">
        <v>35596227</v>
      </c>
      <c r="B1978" s="42">
        <v>20000000</v>
      </c>
      <c r="D1978">
        <f t="shared" si="30"/>
        <v>15596227</v>
      </c>
    </row>
    <row r="1979" spans="1:4" x14ac:dyDescent="0.3">
      <c r="A1979" s="43">
        <v>35422828</v>
      </c>
      <c r="B1979" s="43">
        <v>20000000</v>
      </c>
      <c r="D1979">
        <f t="shared" si="30"/>
        <v>15422828</v>
      </c>
    </row>
    <row r="1980" spans="1:4" x14ac:dyDescent="0.3">
      <c r="A1980" s="42">
        <v>36658108</v>
      </c>
      <c r="B1980" s="42">
        <v>20000000</v>
      </c>
      <c r="D1980">
        <f t="shared" si="30"/>
        <v>16658108</v>
      </c>
    </row>
    <row r="1981" spans="1:4" x14ac:dyDescent="0.3">
      <c r="A1981" s="43">
        <v>34300771</v>
      </c>
      <c r="B1981" s="43">
        <v>25000000</v>
      </c>
      <c r="D1981">
        <f t="shared" si="30"/>
        <v>9300771</v>
      </c>
    </row>
    <row r="1982" spans="1:4" x14ac:dyDescent="0.3">
      <c r="A1982" s="42">
        <v>34290142</v>
      </c>
      <c r="B1982" s="42">
        <v>19800000</v>
      </c>
      <c r="D1982">
        <f t="shared" si="30"/>
        <v>14490142</v>
      </c>
    </row>
    <row r="1983" spans="1:4" x14ac:dyDescent="0.3">
      <c r="A1983" s="43">
        <v>33422556</v>
      </c>
      <c r="B1983" s="43">
        <v>20000000</v>
      </c>
      <c r="D1983">
        <f t="shared" si="30"/>
        <v>13422556</v>
      </c>
    </row>
    <row r="1984" spans="1:4" x14ac:dyDescent="0.3">
      <c r="A1984" s="42">
        <v>32774834</v>
      </c>
      <c r="B1984" s="42">
        <v>30000000</v>
      </c>
      <c r="D1984">
        <f t="shared" si="30"/>
        <v>2774834</v>
      </c>
    </row>
    <row r="1985" spans="1:4" x14ac:dyDescent="0.3">
      <c r="A1985" s="43">
        <v>34334256</v>
      </c>
      <c r="B1985" s="43">
        <v>11000000</v>
      </c>
      <c r="D1985">
        <f t="shared" si="30"/>
        <v>23334256</v>
      </c>
    </row>
    <row r="1986" spans="1:4" x14ac:dyDescent="0.3">
      <c r="A1986" s="42">
        <v>32051917</v>
      </c>
      <c r="B1986" s="42">
        <v>20000000</v>
      </c>
      <c r="D1986">
        <f t="shared" ref="D1986:D2049" si="31">A1986-B1986</f>
        <v>12051917</v>
      </c>
    </row>
    <row r="1987" spans="1:4" x14ac:dyDescent="0.3">
      <c r="A1987" s="43">
        <v>32014289</v>
      </c>
      <c r="B1987" s="43">
        <v>20000000</v>
      </c>
      <c r="D1987">
        <f t="shared" si="31"/>
        <v>12014289</v>
      </c>
    </row>
    <row r="1988" spans="1:4" x14ac:dyDescent="0.3">
      <c r="A1988" s="42">
        <v>31838002</v>
      </c>
      <c r="B1988" s="42">
        <v>20000000</v>
      </c>
      <c r="D1988">
        <f t="shared" si="31"/>
        <v>11838002</v>
      </c>
    </row>
    <row r="1989" spans="1:4" x14ac:dyDescent="0.3">
      <c r="A1989" s="43">
        <v>36874745</v>
      </c>
      <c r="B1989" s="43">
        <v>20000000</v>
      </c>
      <c r="D1989">
        <f t="shared" si="31"/>
        <v>16874745</v>
      </c>
    </row>
    <row r="1990" spans="1:4" x14ac:dyDescent="0.3">
      <c r="A1990" s="42">
        <v>30079316</v>
      </c>
      <c r="B1990" s="42">
        <v>35000000</v>
      </c>
      <c r="D1990">
        <f t="shared" si="31"/>
        <v>-4920684</v>
      </c>
    </row>
    <row r="1991" spans="1:4" x14ac:dyDescent="0.3">
      <c r="A1991" s="43">
        <v>35033759</v>
      </c>
      <c r="B1991" s="43">
        <v>19000000</v>
      </c>
      <c r="D1991">
        <f t="shared" si="31"/>
        <v>16033759</v>
      </c>
    </row>
    <row r="1992" spans="1:4" x14ac:dyDescent="0.3">
      <c r="A1992" s="42">
        <v>29753944</v>
      </c>
      <c r="B1992" s="42">
        <v>20000000</v>
      </c>
      <c r="D1992">
        <f t="shared" si="31"/>
        <v>9753944</v>
      </c>
    </row>
    <row r="1993" spans="1:4" x14ac:dyDescent="0.3">
      <c r="A1993" s="43">
        <v>31146570</v>
      </c>
      <c r="B1993" s="43">
        <v>20000000</v>
      </c>
      <c r="D1993">
        <f t="shared" si="31"/>
        <v>11146570</v>
      </c>
    </row>
    <row r="1994" spans="1:4" x14ac:dyDescent="0.3">
      <c r="A1994" s="42">
        <v>27277055</v>
      </c>
      <c r="B1994" s="42">
        <v>20000000</v>
      </c>
      <c r="D1994">
        <f t="shared" si="31"/>
        <v>7277055</v>
      </c>
    </row>
    <row r="1995" spans="1:4" x14ac:dyDescent="0.3">
      <c r="A1995" s="43">
        <v>26876529</v>
      </c>
      <c r="B1995" s="43">
        <v>27000000</v>
      </c>
      <c r="D1995">
        <f t="shared" si="31"/>
        <v>-123471</v>
      </c>
    </row>
    <row r="1996" spans="1:4" x14ac:dyDescent="0.3">
      <c r="A1996" s="42">
        <v>53146000</v>
      </c>
      <c r="B1996" s="42">
        <v>20000000</v>
      </c>
      <c r="D1996">
        <f t="shared" si="31"/>
        <v>33146000</v>
      </c>
    </row>
    <row r="1997" spans="1:4" x14ac:dyDescent="0.3">
      <c r="A1997" s="43">
        <v>30028592</v>
      </c>
      <c r="B1997" s="43">
        <v>20000000</v>
      </c>
      <c r="D1997">
        <f t="shared" si="31"/>
        <v>10028592</v>
      </c>
    </row>
    <row r="1998" spans="1:4" x14ac:dyDescent="0.3">
      <c r="A1998" s="42">
        <v>34126138</v>
      </c>
      <c r="B1998" s="42">
        <v>20000000</v>
      </c>
      <c r="D1998">
        <f t="shared" si="31"/>
        <v>14126138</v>
      </c>
    </row>
    <row r="1999" spans="1:4" x14ac:dyDescent="0.3">
      <c r="A1999" s="43">
        <v>25677801</v>
      </c>
      <c r="B1999" s="43">
        <v>20000000</v>
      </c>
      <c r="D1999">
        <f t="shared" si="31"/>
        <v>5677801</v>
      </c>
    </row>
    <row r="2000" spans="1:4" x14ac:dyDescent="0.3">
      <c r="A2000" s="42">
        <v>26415649</v>
      </c>
      <c r="B2000" s="42">
        <v>20000000</v>
      </c>
      <c r="D2000">
        <f t="shared" si="31"/>
        <v>6415649</v>
      </c>
    </row>
    <row r="2001" spans="1:4" x14ac:dyDescent="0.3">
      <c r="A2001" s="43">
        <v>26003149</v>
      </c>
      <c r="B2001" s="43">
        <v>20000000</v>
      </c>
      <c r="D2001">
        <f t="shared" si="31"/>
        <v>6003149</v>
      </c>
    </row>
    <row r="2002" spans="1:4" x14ac:dyDescent="0.3">
      <c r="A2002" s="42">
        <v>25584685</v>
      </c>
      <c r="B2002" s="42">
        <v>20000000</v>
      </c>
      <c r="D2002">
        <f t="shared" si="31"/>
        <v>5584685</v>
      </c>
    </row>
    <row r="2003" spans="1:4" x14ac:dyDescent="0.3">
      <c r="A2003" s="43">
        <v>29975979</v>
      </c>
      <c r="B2003" s="43">
        <v>20000000</v>
      </c>
      <c r="D2003">
        <f t="shared" si="31"/>
        <v>9975979</v>
      </c>
    </row>
    <row r="2004" spans="1:4" x14ac:dyDescent="0.3">
      <c r="A2004" s="42">
        <v>31584722</v>
      </c>
      <c r="B2004" s="42">
        <v>20000000</v>
      </c>
      <c r="D2004">
        <f t="shared" si="31"/>
        <v>11584722</v>
      </c>
    </row>
    <row r="2005" spans="1:4" x14ac:dyDescent="0.3">
      <c r="A2005" s="43">
        <v>23179303</v>
      </c>
      <c r="B2005" s="43">
        <v>20000000</v>
      </c>
      <c r="D2005">
        <f t="shared" si="31"/>
        <v>3179303</v>
      </c>
    </row>
    <row r="2006" spans="1:4" x14ac:dyDescent="0.3">
      <c r="A2006" s="42">
        <v>23078294</v>
      </c>
      <c r="B2006" s="42">
        <v>9000000</v>
      </c>
      <c r="D2006">
        <f t="shared" si="31"/>
        <v>14078294</v>
      </c>
    </row>
    <row r="2007" spans="1:4" x14ac:dyDescent="0.3">
      <c r="A2007" s="43">
        <v>21413105</v>
      </c>
      <c r="B2007" s="43">
        <v>20000000</v>
      </c>
      <c r="D2007">
        <f t="shared" si="31"/>
        <v>1413105</v>
      </c>
    </row>
    <row r="2008" spans="1:4" x14ac:dyDescent="0.3">
      <c r="A2008" s="42">
        <v>25077977</v>
      </c>
      <c r="B2008" s="42">
        <v>20000000</v>
      </c>
      <c r="D2008">
        <f t="shared" si="31"/>
        <v>5077977</v>
      </c>
    </row>
    <row r="2009" spans="1:4" x14ac:dyDescent="0.3">
      <c r="A2009" s="43">
        <v>23292105</v>
      </c>
      <c r="B2009" s="43">
        <v>20000000</v>
      </c>
      <c r="D2009">
        <f t="shared" si="31"/>
        <v>3292105</v>
      </c>
    </row>
    <row r="2010" spans="1:4" x14ac:dyDescent="0.3">
      <c r="A2010" s="42">
        <v>20916309</v>
      </c>
      <c r="B2010" s="42">
        <v>40000000</v>
      </c>
      <c r="D2010">
        <f t="shared" si="31"/>
        <v>-19083691</v>
      </c>
    </row>
    <row r="2011" spans="1:4" x14ac:dyDescent="0.3">
      <c r="A2011" s="43">
        <v>21200000</v>
      </c>
      <c r="B2011" s="43">
        <v>20000000</v>
      </c>
      <c r="D2011">
        <f t="shared" si="31"/>
        <v>1200000</v>
      </c>
    </row>
    <row r="2012" spans="1:4" x14ac:dyDescent="0.3">
      <c r="A2012" s="42">
        <v>28876924</v>
      </c>
      <c r="B2012" s="42">
        <v>20000000</v>
      </c>
      <c r="D2012">
        <f t="shared" si="31"/>
        <v>8876924</v>
      </c>
    </row>
    <row r="2013" spans="1:4" x14ac:dyDescent="0.3">
      <c r="A2013" s="43">
        <v>20241395</v>
      </c>
      <c r="B2013" s="43">
        <v>20000000</v>
      </c>
      <c r="D2013">
        <f t="shared" si="31"/>
        <v>241395</v>
      </c>
    </row>
    <row r="2014" spans="1:4" x14ac:dyDescent="0.3">
      <c r="A2014" s="42">
        <v>32000000</v>
      </c>
      <c r="B2014" s="42">
        <v>806947</v>
      </c>
      <c r="D2014">
        <f t="shared" si="31"/>
        <v>31193053</v>
      </c>
    </row>
    <row r="2015" spans="1:4" x14ac:dyDescent="0.3">
      <c r="A2015" s="43">
        <v>19151864</v>
      </c>
      <c r="B2015" s="43">
        <v>40000000</v>
      </c>
      <c r="D2015">
        <f t="shared" si="31"/>
        <v>-20848136</v>
      </c>
    </row>
    <row r="2016" spans="1:4" x14ac:dyDescent="0.3">
      <c r="A2016" s="42">
        <v>23393765</v>
      </c>
      <c r="B2016" s="42">
        <v>20000000</v>
      </c>
      <c r="D2016">
        <f t="shared" si="31"/>
        <v>3393765</v>
      </c>
    </row>
    <row r="2017" spans="1:4" x14ac:dyDescent="0.3">
      <c r="A2017" s="43">
        <v>18882880</v>
      </c>
      <c r="B2017" s="43">
        <v>20000000</v>
      </c>
      <c r="D2017">
        <f t="shared" si="31"/>
        <v>-1117120</v>
      </c>
    </row>
    <row r="2018" spans="1:4" x14ac:dyDescent="0.3">
      <c r="A2018" s="42">
        <v>8500000</v>
      </c>
      <c r="B2018" s="42">
        <v>20000000</v>
      </c>
      <c r="D2018">
        <f t="shared" si="31"/>
        <v>-11500000</v>
      </c>
    </row>
    <row r="2019" spans="1:4" x14ac:dyDescent="0.3">
      <c r="A2019" s="43">
        <v>18252684</v>
      </c>
      <c r="B2019" s="43">
        <v>30000000</v>
      </c>
      <c r="D2019">
        <f t="shared" si="31"/>
        <v>-11747316</v>
      </c>
    </row>
    <row r="2020" spans="1:4" x14ac:dyDescent="0.3">
      <c r="A2020" s="42">
        <v>19661987</v>
      </c>
      <c r="B2020" s="42">
        <v>20000000</v>
      </c>
      <c r="D2020">
        <f t="shared" si="31"/>
        <v>-338013</v>
      </c>
    </row>
    <row r="2021" spans="1:4" x14ac:dyDescent="0.3">
      <c r="A2021" s="43">
        <v>18352454</v>
      </c>
      <c r="B2021" s="43">
        <v>15000000</v>
      </c>
      <c r="D2021">
        <f t="shared" si="31"/>
        <v>3352454</v>
      </c>
    </row>
    <row r="2022" spans="1:4" x14ac:dyDescent="0.3">
      <c r="A2022" s="42">
        <v>17803796</v>
      </c>
      <c r="B2022" s="42">
        <v>20000000</v>
      </c>
      <c r="D2022">
        <f t="shared" si="31"/>
        <v>-2196204</v>
      </c>
    </row>
    <row r="2023" spans="1:4" x14ac:dyDescent="0.3">
      <c r="A2023" s="43">
        <v>17529157</v>
      </c>
      <c r="B2023" s="43">
        <v>20000000</v>
      </c>
      <c r="D2023">
        <f t="shared" si="31"/>
        <v>-2470843</v>
      </c>
    </row>
    <row r="2024" spans="1:4" x14ac:dyDescent="0.3">
      <c r="A2024" s="42">
        <v>25753840</v>
      </c>
      <c r="B2024" s="42">
        <v>19000000</v>
      </c>
      <c r="D2024">
        <f t="shared" si="31"/>
        <v>6753840</v>
      </c>
    </row>
    <row r="2025" spans="1:4" x14ac:dyDescent="0.3">
      <c r="A2025" s="43">
        <v>18081626</v>
      </c>
      <c r="B2025" s="43">
        <v>20000000</v>
      </c>
      <c r="D2025">
        <f t="shared" si="31"/>
        <v>-1918374</v>
      </c>
    </row>
    <row r="2026" spans="1:4" x14ac:dyDescent="0.3">
      <c r="A2026" s="42">
        <v>17518220</v>
      </c>
      <c r="B2026" s="42">
        <v>20000000</v>
      </c>
      <c r="D2026">
        <f t="shared" si="31"/>
        <v>-2481780</v>
      </c>
    </row>
    <row r="2027" spans="1:4" x14ac:dyDescent="0.3">
      <c r="A2027" s="43">
        <v>17104669</v>
      </c>
      <c r="B2027" s="43">
        <v>20000000</v>
      </c>
      <c r="D2027">
        <f t="shared" si="31"/>
        <v>-2895331</v>
      </c>
    </row>
    <row r="2028" spans="1:4" x14ac:dyDescent="0.3">
      <c r="A2028" s="42">
        <v>16988996</v>
      </c>
      <c r="B2028" s="42">
        <v>35000000</v>
      </c>
      <c r="D2028">
        <f t="shared" si="31"/>
        <v>-18011004</v>
      </c>
    </row>
    <row r="2029" spans="1:4" x14ac:dyDescent="0.3">
      <c r="A2029" s="43">
        <v>15797907</v>
      </c>
      <c r="B2029" s="43">
        <v>20000000</v>
      </c>
      <c r="D2029">
        <f t="shared" si="31"/>
        <v>-4202093</v>
      </c>
    </row>
    <row r="2030" spans="1:4" x14ac:dyDescent="0.3">
      <c r="A2030" s="42">
        <v>16248701</v>
      </c>
      <c r="B2030" s="42">
        <v>20000000</v>
      </c>
      <c r="D2030">
        <f t="shared" si="31"/>
        <v>-3751299</v>
      </c>
    </row>
    <row r="2031" spans="1:4" x14ac:dyDescent="0.3">
      <c r="A2031" s="43">
        <v>15712072</v>
      </c>
      <c r="B2031" s="43">
        <v>20000000</v>
      </c>
      <c r="D2031">
        <f t="shared" si="31"/>
        <v>-4287928</v>
      </c>
    </row>
    <row r="2032" spans="1:4" x14ac:dyDescent="0.3">
      <c r="A2032" s="42">
        <v>15408822</v>
      </c>
      <c r="B2032" s="42">
        <v>20000000</v>
      </c>
      <c r="D2032">
        <f t="shared" si="31"/>
        <v>-4591178</v>
      </c>
    </row>
    <row r="2033" spans="1:4" x14ac:dyDescent="0.3">
      <c r="A2033" s="43">
        <v>15464026</v>
      </c>
      <c r="B2033" s="43">
        <v>20000000</v>
      </c>
      <c r="D2033">
        <f t="shared" si="31"/>
        <v>-4535974</v>
      </c>
    </row>
    <row r="2034" spans="1:4" x14ac:dyDescent="0.3">
      <c r="A2034" s="42">
        <v>8000000</v>
      </c>
      <c r="B2034" s="42">
        <v>20000000</v>
      </c>
      <c r="D2034">
        <f t="shared" si="31"/>
        <v>-12000000</v>
      </c>
    </row>
    <row r="2035" spans="1:4" x14ac:dyDescent="0.3">
      <c r="A2035" s="43">
        <v>14174654</v>
      </c>
      <c r="B2035" s="43">
        <v>25000000</v>
      </c>
      <c r="D2035">
        <f t="shared" si="31"/>
        <v>-10825346</v>
      </c>
    </row>
    <row r="2036" spans="1:4" x14ac:dyDescent="0.3">
      <c r="A2036" s="42">
        <v>15988876</v>
      </c>
      <c r="B2036" s="42">
        <v>27000000</v>
      </c>
      <c r="D2036">
        <f t="shared" si="31"/>
        <v>-11011124</v>
      </c>
    </row>
    <row r="2037" spans="1:4" x14ac:dyDescent="0.3">
      <c r="A2037" s="43">
        <v>13801755</v>
      </c>
      <c r="B2037" s="43">
        <v>20000000</v>
      </c>
      <c r="D2037">
        <f t="shared" si="31"/>
        <v>-6198245</v>
      </c>
    </row>
    <row r="2038" spans="1:4" x14ac:dyDescent="0.3">
      <c r="A2038" s="42">
        <v>13987482</v>
      </c>
      <c r="B2038" s="42">
        <v>20000000</v>
      </c>
      <c r="D2038">
        <f t="shared" si="31"/>
        <v>-6012518</v>
      </c>
    </row>
    <row r="2039" spans="1:4" x14ac:dyDescent="0.3">
      <c r="A2039" s="43">
        <v>14291570</v>
      </c>
      <c r="B2039" s="43">
        <v>20000000</v>
      </c>
      <c r="D2039">
        <f t="shared" si="31"/>
        <v>-5708430</v>
      </c>
    </row>
    <row r="2040" spans="1:4" x14ac:dyDescent="0.3">
      <c r="A2040" s="42">
        <v>13630226</v>
      </c>
      <c r="B2040" s="42">
        <v>20000000</v>
      </c>
      <c r="D2040">
        <f t="shared" si="31"/>
        <v>-6369774</v>
      </c>
    </row>
    <row r="2041" spans="1:4" x14ac:dyDescent="0.3">
      <c r="A2041" s="43">
        <v>13383737</v>
      </c>
      <c r="B2041" s="43">
        <v>20000000</v>
      </c>
      <c r="D2041">
        <f t="shared" si="31"/>
        <v>-6616263</v>
      </c>
    </row>
    <row r="2042" spans="1:4" x14ac:dyDescent="0.3">
      <c r="A2042" s="42">
        <v>13391174</v>
      </c>
      <c r="B2042" s="42">
        <v>20000000</v>
      </c>
      <c r="D2042">
        <f t="shared" si="31"/>
        <v>-6608826</v>
      </c>
    </row>
    <row r="2043" spans="1:4" x14ac:dyDescent="0.3">
      <c r="A2043" s="43">
        <v>12987647</v>
      </c>
      <c r="B2043" s="43">
        <v>30000000</v>
      </c>
      <c r="D2043">
        <f t="shared" si="31"/>
        <v>-17012353</v>
      </c>
    </row>
    <row r="2044" spans="1:4" x14ac:dyDescent="0.3">
      <c r="A2044" s="42">
        <v>12469811</v>
      </c>
      <c r="B2044" s="42">
        <v>22000000</v>
      </c>
      <c r="D2044">
        <f t="shared" si="31"/>
        <v>-9530189</v>
      </c>
    </row>
    <row r="2045" spans="1:4" x14ac:dyDescent="0.3">
      <c r="A2045" s="43">
        <v>12398628</v>
      </c>
      <c r="B2045" s="43">
        <v>20000000</v>
      </c>
      <c r="D2045">
        <f t="shared" si="31"/>
        <v>-7601372</v>
      </c>
    </row>
    <row r="2046" spans="1:4" x14ac:dyDescent="0.3">
      <c r="A2046" s="42">
        <v>13214030</v>
      </c>
      <c r="B2046" s="42">
        <v>20000000</v>
      </c>
      <c r="D2046">
        <f t="shared" si="31"/>
        <v>-6785970</v>
      </c>
    </row>
    <row r="2047" spans="1:4" x14ac:dyDescent="0.3">
      <c r="A2047" s="43">
        <v>12232937</v>
      </c>
      <c r="B2047" s="43">
        <v>22000000</v>
      </c>
      <c r="D2047">
        <f t="shared" si="31"/>
        <v>-9767063</v>
      </c>
    </row>
    <row r="2048" spans="1:4" x14ac:dyDescent="0.3">
      <c r="A2048" s="42">
        <v>12134420</v>
      </c>
      <c r="B2048" s="42">
        <v>20000000</v>
      </c>
      <c r="D2048">
        <f t="shared" si="31"/>
        <v>-7865580</v>
      </c>
    </row>
    <row r="2049" spans="1:4" x14ac:dyDescent="0.3">
      <c r="A2049" s="43">
        <v>11784000</v>
      </c>
      <c r="B2049" s="43">
        <v>20000000</v>
      </c>
      <c r="D2049">
        <f t="shared" si="31"/>
        <v>-8216000</v>
      </c>
    </row>
    <row r="2050" spans="1:4" x14ac:dyDescent="0.3">
      <c r="A2050" s="42">
        <v>11169531</v>
      </c>
      <c r="B2050" s="42">
        <v>20000000</v>
      </c>
      <c r="D2050">
        <f t="shared" ref="D2050:D2113" si="32">A2050-B2050</f>
        <v>-8830469</v>
      </c>
    </row>
    <row r="2051" spans="1:4" x14ac:dyDescent="0.3">
      <c r="A2051" s="43">
        <v>11034436</v>
      </c>
      <c r="B2051" s="43">
        <v>20000000</v>
      </c>
      <c r="D2051">
        <f t="shared" si="32"/>
        <v>-8965564</v>
      </c>
    </row>
    <row r="2052" spans="1:4" x14ac:dyDescent="0.3">
      <c r="A2052" s="42">
        <v>12626905</v>
      </c>
      <c r="B2052" s="42">
        <v>20000000</v>
      </c>
      <c r="D2052">
        <f t="shared" si="32"/>
        <v>-7373095</v>
      </c>
    </row>
    <row r="2053" spans="1:4" x14ac:dyDescent="0.3">
      <c r="A2053" s="43">
        <v>10569071</v>
      </c>
      <c r="B2053" s="43">
        <v>20000000</v>
      </c>
      <c r="D2053">
        <f t="shared" si="32"/>
        <v>-9430929</v>
      </c>
    </row>
    <row r="2054" spans="1:4" x14ac:dyDescent="0.3">
      <c r="A2054" s="42">
        <v>10544143</v>
      </c>
      <c r="B2054" s="42">
        <v>20000000</v>
      </c>
      <c r="D2054">
        <f t="shared" si="32"/>
        <v>-9455857</v>
      </c>
    </row>
    <row r="2055" spans="1:4" x14ac:dyDescent="0.3">
      <c r="A2055" s="43">
        <v>13650738</v>
      </c>
      <c r="B2055" s="43">
        <v>20000000</v>
      </c>
      <c r="D2055">
        <f t="shared" si="32"/>
        <v>-6349262</v>
      </c>
    </row>
    <row r="2056" spans="1:4" x14ac:dyDescent="0.3">
      <c r="A2056" s="42">
        <v>10555348</v>
      </c>
      <c r="B2056" s="42">
        <v>20000000</v>
      </c>
      <c r="D2056">
        <f t="shared" si="32"/>
        <v>-9444652</v>
      </c>
    </row>
    <row r="2057" spans="1:4" x14ac:dyDescent="0.3">
      <c r="A2057" s="43">
        <v>9714482</v>
      </c>
      <c r="B2057" s="43">
        <v>20000000</v>
      </c>
      <c r="D2057">
        <f t="shared" si="32"/>
        <v>-10285518</v>
      </c>
    </row>
    <row r="2058" spans="1:4" x14ac:dyDescent="0.3">
      <c r="A2058" s="42">
        <v>9525276</v>
      </c>
      <c r="B2058" s="42">
        <v>20000000</v>
      </c>
      <c r="D2058">
        <f t="shared" si="32"/>
        <v>-10474724</v>
      </c>
    </row>
    <row r="2059" spans="1:4" x14ac:dyDescent="0.3">
      <c r="A2059" s="43">
        <v>8855646</v>
      </c>
      <c r="B2059" s="43">
        <v>21000000</v>
      </c>
      <c r="D2059">
        <f t="shared" si="32"/>
        <v>-12144354</v>
      </c>
    </row>
    <row r="2060" spans="1:4" x14ac:dyDescent="0.3">
      <c r="A2060" s="42">
        <v>9109322</v>
      </c>
      <c r="B2060" s="42">
        <v>20000000</v>
      </c>
      <c r="D2060">
        <f t="shared" si="32"/>
        <v>-10890678</v>
      </c>
    </row>
    <row r="2061" spans="1:4" x14ac:dyDescent="0.3">
      <c r="A2061" s="43">
        <v>8326035</v>
      </c>
      <c r="B2061" s="43">
        <v>33000000</v>
      </c>
      <c r="D2061">
        <f t="shared" si="32"/>
        <v>-24673965</v>
      </c>
    </row>
    <row r="2062" spans="1:4" x14ac:dyDescent="0.3">
      <c r="A2062" s="42">
        <v>8104069</v>
      </c>
      <c r="B2062" s="42">
        <v>20000000</v>
      </c>
      <c r="D2062">
        <f t="shared" si="32"/>
        <v>-11895931</v>
      </c>
    </row>
    <row r="2063" spans="1:4" x14ac:dyDescent="0.3">
      <c r="A2063" s="43">
        <v>8054280</v>
      </c>
      <c r="B2063" s="43">
        <v>20000000</v>
      </c>
      <c r="D2063">
        <f t="shared" si="32"/>
        <v>-11945720</v>
      </c>
    </row>
    <row r="2064" spans="1:4" x14ac:dyDescent="0.3">
      <c r="A2064" s="42">
        <v>8093318</v>
      </c>
      <c r="B2064" s="42">
        <v>20000000</v>
      </c>
      <c r="D2064">
        <f t="shared" si="32"/>
        <v>-11906682</v>
      </c>
    </row>
    <row r="2065" spans="1:4" x14ac:dyDescent="0.3">
      <c r="A2065" s="43">
        <v>7382993</v>
      </c>
      <c r="B2065" s="43">
        <v>20000000</v>
      </c>
      <c r="D2065">
        <f t="shared" si="32"/>
        <v>-12617007</v>
      </c>
    </row>
    <row r="2066" spans="1:4" x14ac:dyDescent="0.3">
      <c r="A2066" s="42">
        <v>8888355</v>
      </c>
      <c r="B2066" s="42">
        <v>20000000</v>
      </c>
      <c r="D2066">
        <f t="shared" si="32"/>
        <v>-11111645</v>
      </c>
    </row>
    <row r="2067" spans="1:4" x14ac:dyDescent="0.3">
      <c r="A2067" s="43">
        <v>7001720</v>
      </c>
      <c r="B2067" s="43">
        <v>12000000</v>
      </c>
      <c r="D2067">
        <f t="shared" si="32"/>
        <v>-4998280</v>
      </c>
    </row>
    <row r="2068" spans="1:4" x14ac:dyDescent="0.3">
      <c r="A2068" s="42">
        <v>7268659</v>
      </c>
      <c r="B2068" s="42">
        <v>20000000</v>
      </c>
      <c r="D2068">
        <f t="shared" si="32"/>
        <v>-12731341</v>
      </c>
    </row>
    <row r="2069" spans="1:4" x14ac:dyDescent="0.3">
      <c r="A2069" s="43">
        <v>6852144</v>
      </c>
      <c r="B2069" s="43">
        <v>22000000</v>
      </c>
      <c r="D2069">
        <f t="shared" si="32"/>
        <v>-15147856</v>
      </c>
    </row>
    <row r="2070" spans="1:4" x14ac:dyDescent="0.3">
      <c r="A2070" s="42">
        <v>6563357</v>
      </c>
      <c r="B2070" s="42">
        <v>20000000</v>
      </c>
      <c r="D2070">
        <f t="shared" si="32"/>
        <v>-13436643</v>
      </c>
    </row>
    <row r="2071" spans="1:4" x14ac:dyDescent="0.3">
      <c r="A2071" s="43">
        <v>6201757</v>
      </c>
      <c r="B2071" s="43">
        <v>10000000</v>
      </c>
      <c r="D2071">
        <f t="shared" si="32"/>
        <v>-3798243</v>
      </c>
    </row>
    <row r="2072" spans="1:4" x14ac:dyDescent="0.3">
      <c r="A2072" s="42">
        <v>6420319</v>
      </c>
      <c r="B2072" s="42">
        <v>20000000</v>
      </c>
      <c r="D2072">
        <f t="shared" si="32"/>
        <v>-13579681</v>
      </c>
    </row>
    <row r="2073" spans="1:4" x14ac:dyDescent="0.3">
      <c r="A2073" s="43">
        <v>5702083</v>
      </c>
      <c r="B2073" s="43">
        <v>15000000</v>
      </c>
      <c r="D2073">
        <f t="shared" si="32"/>
        <v>-9297917</v>
      </c>
    </row>
    <row r="2074" spans="1:4" x14ac:dyDescent="0.3">
      <c r="A2074" s="42">
        <v>5480996</v>
      </c>
      <c r="B2074" s="42">
        <v>8700000</v>
      </c>
      <c r="D2074">
        <f t="shared" si="32"/>
        <v>-3219004</v>
      </c>
    </row>
    <row r="2075" spans="1:4" x14ac:dyDescent="0.3">
      <c r="A2075" s="43">
        <v>6002756</v>
      </c>
      <c r="B2075" s="43">
        <v>20000000</v>
      </c>
      <c r="D2075">
        <f t="shared" si="32"/>
        <v>-13997244</v>
      </c>
    </row>
    <row r="2076" spans="1:4" x14ac:dyDescent="0.3">
      <c r="A2076" s="42">
        <v>5132655</v>
      </c>
      <c r="B2076" s="42">
        <v>20000000</v>
      </c>
      <c r="D2076">
        <f t="shared" si="32"/>
        <v>-14867345</v>
      </c>
    </row>
    <row r="2077" spans="1:4" x14ac:dyDescent="0.3">
      <c r="A2077" s="43">
        <v>5205343</v>
      </c>
      <c r="B2077" s="43">
        <v>20000000</v>
      </c>
      <c r="D2077">
        <f t="shared" si="32"/>
        <v>-14794657</v>
      </c>
    </row>
    <row r="2078" spans="1:4" x14ac:dyDescent="0.3">
      <c r="A2078" s="42">
        <v>5005883</v>
      </c>
      <c r="B2078" s="42">
        <v>20000000</v>
      </c>
      <c r="D2078">
        <f t="shared" si="32"/>
        <v>-14994117</v>
      </c>
    </row>
    <row r="2079" spans="1:4" x14ac:dyDescent="0.3">
      <c r="A2079" s="43">
        <v>5749134</v>
      </c>
      <c r="B2079" s="43">
        <v>20000000</v>
      </c>
      <c r="D2079">
        <f t="shared" si="32"/>
        <v>-14250866</v>
      </c>
    </row>
    <row r="2080" spans="1:4" x14ac:dyDescent="0.3">
      <c r="A2080" s="42">
        <v>4234040</v>
      </c>
      <c r="B2080" s="42">
        <v>20000000</v>
      </c>
      <c r="D2080">
        <f t="shared" si="32"/>
        <v>-15765960</v>
      </c>
    </row>
    <row r="2081" spans="1:4" x14ac:dyDescent="0.3">
      <c r="A2081" s="43">
        <v>4001121</v>
      </c>
      <c r="B2081" s="43">
        <v>20000000</v>
      </c>
      <c r="D2081">
        <f t="shared" si="32"/>
        <v>-15998879</v>
      </c>
    </row>
    <row r="2082" spans="1:4" x14ac:dyDescent="0.3">
      <c r="A2082" s="42">
        <v>3749061</v>
      </c>
      <c r="B2082" s="42">
        <v>20000000</v>
      </c>
      <c r="D2082">
        <f t="shared" si="32"/>
        <v>-16250939</v>
      </c>
    </row>
    <row r="2083" spans="1:4" x14ac:dyDescent="0.3">
      <c r="A2083" s="43">
        <v>3519627</v>
      </c>
      <c r="B2083" s="43">
        <v>20000000</v>
      </c>
      <c r="D2083">
        <f t="shared" si="32"/>
        <v>-16480373</v>
      </c>
    </row>
    <row r="2084" spans="1:4" x14ac:dyDescent="0.3">
      <c r="A2084" s="42">
        <v>3081925</v>
      </c>
      <c r="B2084" s="42">
        <v>21000000</v>
      </c>
      <c r="D2084">
        <f t="shared" si="32"/>
        <v>-17918075</v>
      </c>
    </row>
    <row r="2085" spans="1:4" x14ac:dyDescent="0.3">
      <c r="A2085" s="43">
        <v>2298191</v>
      </c>
      <c r="B2085" s="43">
        <v>2400000000</v>
      </c>
      <c r="D2085">
        <f t="shared" si="32"/>
        <v>-2397701809</v>
      </c>
    </row>
    <row r="2086" spans="1:4" x14ac:dyDescent="0.3">
      <c r="A2086" s="42">
        <v>2353728</v>
      </c>
      <c r="B2086" s="42">
        <v>20000000</v>
      </c>
      <c r="D2086">
        <f t="shared" si="32"/>
        <v>-17646272</v>
      </c>
    </row>
    <row r="2087" spans="1:4" x14ac:dyDescent="0.3">
      <c r="A2087" s="43">
        <v>2000000</v>
      </c>
      <c r="B2087" s="43">
        <v>20000000</v>
      </c>
      <c r="D2087">
        <f t="shared" si="32"/>
        <v>-18000000</v>
      </c>
    </row>
    <row r="2088" spans="1:4" x14ac:dyDescent="0.3">
      <c r="A2088" s="42">
        <v>1900725</v>
      </c>
      <c r="B2088" s="42">
        <v>2000000</v>
      </c>
      <c r="D2088">
        <f t="shared" si="32"/>
        <v>-99275</v>
      </c>
    </row>
    <row r="2089" spans="1:4" x14ac:dyDescent="0.3">
      <c r="A2089" s="43">
        <v>2246000</v>
      </c>
      <c r="B2089" s="43">
        <v>20000000</v>
      </c>
      <c r="D2089">
        <f t="shared" si="32"/>
        <v>-17754000</v>
      </c>
    </row>
    <row r="2090" spans="1:4" x14ac:dyDescent="0.3">
      <c r="A2090" s="42">
        <v>1646664</v>
      </c>
      <c r="B2090" s="42">
        <v>20000000</v>
      </c>
      <c r="D2090">
        <f t="shared" si="32"/>
        <v>-18353336</v>
      </c>
    </row>
    <row r="2091" spans="1:4" x14ac:dyDescent="0.3">
      <c r="A2091" s="43">
        <v>1190018</v>
      </c>
      <c r="B2091" s="43">
        <v>20000000</v>
      </c>
      <c r="D2091">
        <f t="shared" si="32"/>
        <v>-18809982</v>
      </c>
    </row>
    <row r="2092" spans="1:4" x14ac:dyDescent="0.3">
      <c r="A2092" s="42">
        <v>1027749</v>
      </c>
      <c r="B2092" s="42">
        <v>40000000</v>
      </c>
      <c r="D2092">
        <f t="shared" si="32"/>
        <v>-38972251</v>
      </c>
    </row>
    <row r="2093" spans="1:4" x14ac:dyDescent="0.3">
      <c r="A2093" s="43">
        <v>882710</v>
      </c>
      <c r="B2093" s="43">
        <v>24000000</v>
      </c>
      <c r="D2093">
        <f t="shared" si="32"/>
        <v>-23117290</v>
      </c>
    </row>
    <row r="2094" spans="1:4" x14ac:dyDescent="0.3">
      <c r="A2094" s="42">
        <v>1064277</v>
      </c>
      <c r="B2094" s="42">
        <v>20000000</v>
      </c>
      <c r="D2094">
        <f t="shared" si="32"/>
        <v>-18935723</v>
      </c>
    </row>
    <row r="2095" spans="1:4" x14ac:dyDescent="0.3">
      <c r="A2095" s="43">
        <v>531009</v>
      </c>
      <c r="B2095" s="43">
        <v>10000000</v>
      </c>
      <c r="D2095">
        <f t="shared" si="32"/>
        <v>-9468991</v>
      </c>
    </row>
    <row r="2096" spans="1:4" x14ac:dyDescent="0.3">
      <c r="A2096" s="42">
        <v>410388</v>
      </c>
      <c r="B2096" s="42">
        <v>2127519898</v>
      </c>
      <c r="D2096">
        <f t="shared" si="32"/>
        <v>-2127109510</v>
      </c>
    </row>
    <row r="2097" spans="1:4" x14ac:dyDescent="0.3">
      <c r="A2097" s="43">
        <v>375474</v>
      </c>
      <c r="B2097" s="43">
        <v>20000000</v>
      </c>
      <c r="D2097">
        <f t="shared" si="32"/>
        <v>-19624526</v>
      </c>
    </row>
    <row r="2098" spans="1:4" x14ac:dyDescent="0.3">
      <c r="A2098" s="42">
        <v>305070</v>
      </c>
      <c r="B2098" s="42">
        <v>20000000</v>
      </c>
      <c r="D2098">
        <f t="shared" si="32"/>
        <v>-19694930</v>
      </c>
    </row>
    <row r="2099" spans="1:4" x14ac:dyDescent="0.3">
      <c r="A2099" s="43">
        <v>146072</v>
      </c>
      <c r="B2099" s="43">
        <v>140000000</v>
      </c>
      <c r="D2099">
        <f t="shared" si="32"/>
        <v>-139853928</v>
      </c>
    </row>
    <row r="2100" spans="1:4" x14ac:dyDescent="0.3">
      <c r="A2100" s="42">
        <v>1183354</v>
      </c>
      <c r="B2100" s="42">
        <v>20000000</v>
      </c>
      <c r="D2100">
        <f t="shared" si="32"/>
        <v>-18816646</v>
      </c>
    </row>
    <row r="2101" spans="1:4" x14ac:dyDescent="0.3">
      <c r="A2101" s="43">
        <v>121972</v>
      </c>
      <c r="B2101" s="43">
        <v>22000000</v>
      </c>
      <c r="D2101">
        <f t="shared" si="32"/>
        <v>-21878028</v>
      </c>
    </row>
    <row r="2102" spans="1:4" x14ac:dyDescent="0.3">
      <c r="A2102" s="42">
        <v>263365</v>
      </c>
      <c r="B2102" s="42">
        <v>20000000</v>
      </c>
      <c r="D2102">
        <f t="shared" si="32"/>
        <v>-19736635</v>
      </c>
    </row>
    <row r="2103" spans="1:4" x14ac:dyDescent="0.3">
      <c r="A2103" s="43">
        <v>8047690</v>
      </c>
      <c r="B2103" s="43">
        <v>19400000</v>
      </c>
      <c r="D2103">
        <f t="shared" si="32"/>
        <v>-11352310</v>
      </c>
    </row>
    <row r="2104" spans="1:4" x14ac:dyDescent="0.3">
      <c r="A2104" s="42">
        <v>476270</v>
      </c>
      <c r="B2104" s="42">
        <v>20000000</v>
      </c>
      <c r="D2104">
        <f t="shared" si="32"/>
        <v>-19523730</v>
      </c>
    </row>
    <row r="2105" spans="1:4" x14ac:dyDescent="0.3">
      <c r="A2105" s="43">
        <v>184208848</v>
      </c>
      <c r="B2105" s="43">
        <v>22000000</v>
      </c>
      <c r="D2105">
        <f t="shared" si="32"/>
        <v>162208848</v>
      </c>
    </row>
    <row r="2106" spans="1:4" x14ac:dyDescent="0.3">
      <c r="A2106" s="42">
        <v>100292856</v>
      </c>
      <c r="B2106" s="42">
        <v>20000000</v>
      </c>
      <c r="D2106">
        <f t="shared" si="32"/>
        <v>80292856</v>
      </c>
    </row>
    <row r="2107" spans="1:4" x14ac:dyDescent="0.3">
      <c r="A2107" s="43">
        <v>51431160</v>
      </c>
      <c r="B2107" s="43">
        <v>20000000</v>
      </c>
      <c r="D2107">
        <f t="shared" si="32"/>
        <v>31431160</v>
      </c>
    </row>
    <row r="2108" spans="1:4" x14ac:dyDescent="0.3">
      <c r="A2108" s="42">
        <v>103001286</v>
      </c>
      <c r="B2108" s="42">
        <v>15000000</v>
      </c>
      <c r="D2108">
        <f t="shared" si="32"/>
        <v>88001286</v>
      </c>
    </row>
    <row r="2109" spans="1:4" x14ac:dyDescent="0.3">
      <c r="A2109" s="43">
        <v>41867960</v>
      </c>
      <c r="B2109" s="43">
        <v>20000000</v>
      </c>
      <c r="D2109">
        <f t="shared" si="32"/>
        <v>21867960</v>
      </c>
    </row>
    <row r="2110" spans="1:4" x14ac:dyDescent="0.3">
      <c r="A2110" s="42">
        <v>210609762</v>
      </c>
      <c r="B2110" s="42">
        <v>19000000</v>
      </c>
      <c r="D2110">
        <f t="shared" si="32"/>
        <v>191609762</v>
      </c>
    </row>
    <row r="2111" spans="1:4" x14ac:dyDescent="0.3">
      <c r="A2111" s="43">
        <v>40846082</v>
      </c>
      <c r="B2111" s="43">
        <v>19000000</v>
      </c>
      <c r="D2111">
        <f t="shared" si="32"/>
        <v>21846082</v>
      </c>
    </row>
    <row r="2112" spans="1:4" x14ac:dyDescent="0.3">
      <c r="A2112" s="42">
        <v>51697449</v>
      </c>
      <c r="B2112" s="42">
        <v>13000000</v>
      </c>
      <c r="D2112">
        <f t="shared" si="32"/>
        <v>38697449</v>
      </c>
    </row>
    <row r="2113" spans="1:4" x14ac:dyDescent="0.3">
      <c r="A2113" s="43">
        <v>27758465</v>
      </c>
      <c r="B2113" s="43">
        <v>19000000</v>
      </c>
      <c r="D2113">
        <f t="shared" si="32"/>
        <v>8758465</v>
      </c>
    </row>
    <row r="2114" spans="1:4" x14ac:dyDescent="0.3">
      <c r="A2114" s="42">
        <v>56127162</v>
      </c>
      <c r="B2114" s="42">
        <v>18000000</v>
      </c>
      <c r="D2114">
        <f t="shared" ref="D2114:D2177" si="33">A2114-B2114</f>
        <v>38127162</v>
      </c>
    </row>
    <row r="2115" spans="1:4" x14ac:dyDescent="0.3">
      <c r="A2115" s="43">
        <v>1357042</v>
      </c>
      <c r="B2115" s="43">
        <v>15000000</v>
      </c>
      <c r="D2115">
        <f t="shared" si="33"/>
        <v>-13642958</v>
      </c>
    </row>
    <row r="2116" spans="1:4" x14ac:dyDescent="0.3">
      <c r="A2116" s="42">
        <v>15911333</v>
      </c>
      <c r="B2116" s="42">
        <v>19000000</v>
      </c>
      <c r="D2116">
        <f t="shared" si="33"/>
        <v>-3088667</v>
      </c>
    </row>
    <row r="2117" spans="1:4" x14ac:dyDescent="0.3">
      <c r="A2117" s="43">
        <v>39103378</v>
      </c>
      <c r="B2117" s="43">
        <v>20000000</v>
      </c>
      <c r="D2117">
        <f t="shared" si="33"/>
        <v>19103378</v>
      </c>
    </row>
    <row r="2118" spans="1:4" x14ac:dyDescent="0.3">
      <c r="A2118" s="42">
        <v>10049886</v>
      </c>
      <c r="B2118" s="42">
        <v>19000000</v>
      </c>
      <c r="D2118">
        <f t="shared" si="33"/>
        <v>-8950114</v>
      </c>
    </row>
    <row r="2119" spans="1:4" x14ac:dyDescent="0.3">
      <c r="A2119" s="43">
        <v>8600000</v>
      </c>
      <c r="B2119" s="43">
        <v>25000000</v>
      </c>
      <c r="D2119">
        <f t="shared" si="33"/>
        <v>-16400000</v>
      </c>
    </row>
    <row r="2120" spans="1:4" x14ac:dyDescent="0.3">
      <c r="A2120" s="42">
        <v>21483154</v>
      </c>
      <c r="B2120" s="42">
        <v>19000000</v>
      </c>
      <c r="D2120">
        <f t="shared" si="33"/>
        <v>2483154</v>
      </c>
    </row>
    <row r="2121" spans="1:4" x14ac:dyDescent="0.3">
      <c r="A2121" s="43">
        <v>8396942</v>
      </c>
      <c r="B2121" s="43">
        <v>19000000</v>
      </c>
      <c r="D2121">
        <f t="shared" si="33"/>
        <v>-10603058</v>
      </c>
    </row>
    <row r="2122" spans="1:4" x14ac:dyDescent="0.3">
      <c r="A2122" s="42">
        <v>12561</v>
      </c>
      <c r="B2122" s="42">
        <v>19000000</v>
      </c>
      <c r="D2122">
        <f t="shared" si="33"/>
        <v>-18987439</v>
      </c>
    </row>
    <row r="2123" spans="1:4" x14ac:dyDescent="0.3">
      <c r="A2123" s="43">
        <v>6923891</v>
      </c>
      <c r="B2123" s="43">
        <v>23000000</v>
      </c>
      <c r="D2123">
        <f t="shared" si="33"/>
        <v>-16076109</v>
      </c>
    </row>
    <row r="2124" spans="1:4" x14ac:dyDescent="0.3">
      <c r="A2124" s="42">
        <v>2119994</v>
      </c>
      <c r="B2124" s="42">
        <v>19000000</v>
      </c>
      <c r="D2124">
        <f t="shared" si="33"/>
        <v>-16880006</v>
      </c>
    </row>
    <row r="2125" spans="1:4" x14ac:dyDescent="0.3">
      <c r="A2125" s="43">
        <v>1292527</v>
      </c>
      <c r="B2125" s="43">
        <v>19000000</v>
      </c>
      <c r="D2125">
        <f t="shared" si="33"/>
        <v>-17707473</v>
      </c>
    </row>
    <row r="2126" spans="1:4" x14ac:dyDescent="0.3">
      <c r="A2126" s="42">
        <v>64255243</v>
      </c>
      <c r="B2126" s="42">
        <v>19000000</v>
      </c>
      <c r="D2126">
        <f t="shared" si="33"/>
        <v>45255243</v>
      </c>
    </row>
    <row r="2127" spans="1:4" x14ac:dyDescent="0.3">
      <c r="A2127" s="43">
        <v>22245861</v>
      </c>
      <c r="B2127" s="43">
        <v>19000000</v>
      </c>
      <c r="D2127">
        <f t="shared" si="33"/>
        <v>3245861</v>
      </c>
    </row>
    <row r="2128" spans="1:4" x14ac:dyDescent="0.3">
      <c r="A2128" s="42">
        <v>20433940</v>
      </c>
      <c r="B2128" s="42">
        <v>15000000</v>
      </c>
      <c r="D2128">
        <f t="shared" si="33"/>
        <v>5433940</v>
      </c>
    </row>
    <row r="2129" spans="1:4" x14ac:dyDescent="0.3">
      <c r="A2129" s="43">
        <v>10562387</v>
      </c>
      <c r="B2129" s="43">
        <v>18500000</v>
      </c>
      <c r="D2129">
        <f t="shared" si="33"/>
        <v>-7937613</v>
      </c>
    </row>
    <row r="2130" spans="1:4" x14ac:dyDescent="0.3">
      <c r="A2130" s="42">
        <v>18439082</v>
      </c>
      <c r="B2130" s="42">
        <v>18500000</v>
      </c>
      <c r="D2130">
        <f t="shared" si="33"/>
        <v>-60918</v>
      </c>
    </row>
    <row r="2131" spans="1:4" x14ac:dyDescent="0.3">
      <c r="A2131" s="43">
        <v>150056505</v>
      </c>
      <c r="B2131" s="43">
        <v>18000000</v>
      </c>
      <c r="D2131">
        <f t="shared" si="33"/>
        <v>132056505</v>
      </c>
    </row>
    <row r="2132" spans="1:4" x14ac:dyDescent="0.3">
      <c r="A2132" s="42">
        <v>119938730</v>
      </c>
      <c r="B2132" s="42">
        <v>18000000</v>
      </c>
      <c r="D2132">
        <f t="shared" si="33"/>
        <v>101938730</v>
      </c>
    </row>
    <row r="2133" spans="1:4" x14ac:dyDescent="0.3">
      <c r="A2133" s="43">
        <v>114968774</v>
      </c>
      <c r="B2133" s="43">
        <v>18000000</v>
      </c>
      <c r="D2133">
        <f t="shared" si="33"/>
        <v>96968774</v>
      </c>
    </row>
    <row r="2134" spans="1:4" x14ac:dyDescent="0.3">
      <c r="A2134" s="42">
        <v>128505958</v>
      </c>
      <c r="B2134" s="42">
        <v>18000000</v>
      </c>
      <c r="D2134">
        <f t="shared" si="33"/>
        <v>110505958</v>
      </c>
    </row>
    <row r="2135" spans="1:4" x14ac:dyDescent="0.3">
      <c r="A2135" s="43">
        <v>95001351</v>
      </c>
      <c r="B2135" s="43">
        <v>18000000</v>
      </c>
      <c r="D2135">
        <f t="shared" si="33"/>
        <v>77001351</v>
      </c>
    </row>
    <row r="2136" spans="1:4" x14ac:dyDescent="0.3">
      <c r="A2136" s="42">
        <v>76400000</v>
      </c>
      <c r="B2136" s="42">
        <v>17000000</v>
      </c>
      <c r="D2136">
        <f t="shared" si="33"/>
        <v>59400000</v>
      </c>
    </row>
    <row r="2137" spans="1:4" x14ac:dyDescent="0.3">
      <c r="A2137" s="43">
        <v>75072454</v>
      </c>
      <c r="B2137" s="43">
        <v>20000000</v>
      </c>
      <c r="D2137">
        <f t="shared" si="33"/>
        <v>55072454</v>
      </c>
    </row>
    <row r="2138" spans="1:4" x14ac:dyDescent="0.3">
      <c r="A2138" s="42">
        <v>65535067</v>
      </c>
      <c r="B2138" s="42">
        <v>17000000</v>
      </c>
      <c r="D2138">
        <f t="shared" si="33"/>
        <v>48535067</v>
      </c>
    </row>
    <row r="2139" spans="1:4" x14ac:dyDescent="0.3">
      <c r="A2139" s="43">
        <v>13998282</v>
      </c>
      <c r="B2139" s="43">
        <v>16000000</v>
      </c>
      <c r="D2139">
        <f t="shared" si="33"/>
        <v>-2001718</v>
      </c>
    </row>
    <row r="2140" spans="1:4" x14ac:dyDescent="0.3">
      <c r="A2140" s="42">
        <v>6061759</v>
      </c>
      <c r="B2140" s="42">
        <v>17000000</v>
      </c>
      <c r="D2140">
        <f t="shared" si="33"/>
        <v>-10938241</v>
      </c>
    </row>
    <row r="2141" spans="1:4" x14ac:dyDescent="0.3">
      <c r="A2141" s="43">
        <v>64955956</v>
      </c>
      <c r="B2141" s="43">
        <v>18000000</v>
      </c>
      <c r="D2141">
        <f t="shared" si="33"/>
        <v>46955956</v>
      </c>
    </row>
    <row r="2142" spans="1:4" x14ac:dyDescent="0.3">
      <c r="A2142" s="42">
        <v>60057639</v>
      </c>
      <c r="B2142" s="42">
        <v>18000000</v>
      </c>
      <c r="D2142">
        <f t="shared" si="33"/>
        <v>42057639</v>
      </c>
    </row>
    <row r="2143" spans="1:4" x14ac:dyDescent="0.3">
      <c r="A2143" s="43">
        <v>53868030</v>
      </c>
      <c r="B2143" s="43">
        <v>17000000</v>
      </c>
      <c r="D2143">
        <f t="shared" si="33"/>
        <v>36868030</v>
      </c>
    </row>
    <row r="2144" spans="1:4" x14ac:dyDescent="0.3">
      <c r="A2144" s="42">
        <v>59573085</v>
      </c>
      <c r="B2144" s="42">
        <v>18000000</v>
      </c>
      <c r="D2144">
        <f t="shared" si="33"/>
        <v>41573085</v>
      </c>
    </row>
    <row r="2145" spans="1:4" x14ac:dyDescent="0.3">
      <c r="A2145" s="43">
        <v>52691009</v>
      </c>
      <c r="B2145" s="43">
        <v>21000000</v>
      </c>
      <c r="D2145">
        <f t="shared" si="33"/>
        <v>31691009</v>
      </c>
    </row>
    <row r="2146" spans="1:4" x14ac:dyDescent="0.3">
      <c r="A2146" s="42">
        <v>59735548</v>
      </c>
      <c r="B2146" s="42">
        <v>15000000</v>
      </c>
      <c r="D2146">
        <f t="shared" si="33"/>
        <v>44735548</v>
      </c>
    </row>
    <row r="2147" spans="1:4" x14ac:dyDescent="0.3">
      <c r="A2147" s="43">
        <v>51600000</v>
      </c>
      <c r="B2147" s="43">
        <v>18000000</v>
      </c>
      <c r="D2147">
        <f t="shared" si="33"/>
        <v>33600000</v>
      </c>
    </row>
    <row r="2148" spans="1:4" x14ac:dyDescent="0.3">
      <c r="A2148" s="42">
        <v>43818159</v>
      </c>
      <c r="B2148" s="42">
        <v>20000000</v>
      </c>
      <c r="D2148">
        <f t="shared" si="33"/>
        <v>23818159</v>
      </c>
    </row>
    <row r="2149" spans="1:4" x14ac:dyDescent="0.3">
      <c r="A2149" s="43">
        <v>86049418</v>
      </c>
      <c r="B2149" s="43">
        <v>17000000</v>
      </c>
      <c r="D2149">
        <f t="shared" si="33"/>
        <v>69049418</v>
      </c>
    </row>
    <row r="2150" spans="1:4" x14ac:dyDescent="0.3">
      <c r="A2150" s="42">
        <v>43601508</v>
      </c>
      <c r="B2150" s="42">
        <v>18000000</v>
      </c>
      <c r="D2150">
        <f t="shared" si="33"/>
        <v>25601508</v>
      </c>
    </row>
    <row r="2151" spans="1:4" x14ac:dyDescent="0.3">
      <c r="A2151" s="43">
        <v>41300105</v>
      </c>
      <c r="B2151" s="43">
        <v>19800000</v>
      </c>
      <c r="D2151">
        <f t="shared" si="33"/>
        <v>21500105</v>
      </c>
    </row>
    <row r="2152" spans="1:4" x14ac:dyDescent="0.3">
      <c r="A2152" s="42">
        <v>41382841</v>
      </c>
      <c r="B2152" s="42">
        <v>18000000</v>
      </c>
      <c r="D2152">
        <f t="shared" si="33"/>
        <v>23382841</v>
      </c>
    </row>
    <row r="2153" spans="1:4" x14ac:dyDescent="0.3">
      <c r="A2153" s="43">
        <v>42335698</v>
      </c>
      <c r="B2153" s="43">
        <v>18000000</v>
      </c>
      <c r="D2153">
        <f t="shared" si="33"/>
        <v>24335698</v>
      </c>
    </row>
    <row r="2154" spans="1:4" x14ac:dyDescent="0.3">
      <c r="A2154" s="42">
        <v>31471430</v>
      </c>
      <c r="B2154" s="42">
        <v>15000000</v>
      </c>
      <c r="D2154">
        <f t="shared" si="33"/>
        <v>16471430</v>
      </c>
    </row>
    <row r="2155" spans="1:4" x14ac:dyDescent="0.3">
      <c r="A2155" s="43">
        <v>30222640</v>
      </c>
      <c r="B2155" s="43">
        <v>25000000</v>
      </c>
      <c r="D2155">
        <f t="shared" si="33"/>
        <v>5222640</v>
      </c>
    </row>
    <row r="2156" spans="1:4" x14ac:dyDescent="0.3">
      <c r="A2156" s="42">
        <v>26906039</v>
      </c>
      <c r="B2156" s="42">
        <v>18000000</v>
      </c>
      <c r="D2156">
        <f t="shared" si="33"/>
        <v>8906039</v>
      </c>
    </row>
    <row r="2157" spans="1:4" x14ac:dyDescent="0.3">
      <c r="A2157" s="43">
        <v>21378000</v>
      </c>
      <c r="B2157" s="43">
        <v>1000000</v>
      </c>
      <c r="D2157">
        <f t="shared" si="33"/>
        <v>20378000</v>
      </c>
    </row>
    <row r="2158" spans="1:4" x14ac:dyDescent="0.3">
      <c r="A2158" s="42">
        <v>43853424</v>
      </c>
      <c r="B2158" s="42">
        <v>18000000</v>
      </c>
      <c r="D2158">
        <f t="shared" si="33"/>
        <v>25853424</v>
      </c>
    </row>
    <row r="2159" spans="1:4" x14ac:dyDescent="0.3">
      <c r="A2159" s="43">
        <v>23993605</v>
      </c>
      <c r="B2159" s="43">
        <v>18000000</v>
      </c>
      <c r="D2159">
        <f t="shared" si="33"/>
        <v>5993605</v>
      </c>
    </row>
    <row r="2160" spans="1:4" x14ac:dyDescent="0.3">
      <c r="A2160" s="42">
        <v>26400000</v>
      </c>
      <c r="B2160" s="42">
        <v>18000000</v>
      </c>
      <c r="D2160">
        <f t="shared" si="33"/>
        <v>8400000</v>
      </c>
    </row>
    <row r="2161" spans="1:4" x14ac:dyDescent="0.3">
      <c r="A2161" s="43">
        <v>45250</v>
      </c>
      <c r="B2161" s="43">
        <v>18000000</v>
      </c>
      <c r="D2161">
        <f t="shared" si="33"/>
        <v>-17954750</v>
      </c>
    </row>
    <row r="2162" spans="1:4" x14ac:dyDescent="0.3">
      <c r="A2162" s="42">
        <v>22927390</v>
      </c>
      <c r="B2162" s="42">
        <v>18000000</v>
      </c>
      <c r="D2162">
        <f t="shared" si="33"/>
        <v>4927390</v>
      </c>
    </row>
    <row r="2163" spans="1:4" x14ac:dyDescent="0.3">
      <c r="A2163" s="43">
        <v>4250320</v>
      </c>
      <c r="B2163" s="43">
        <v>18000000</v>
      </c>
      <c r="D2163">
        <f t="shared" si="33"/>
        <v>-13749680</v>
      </c>
    </row>
    <row r="2164" spans="1:4" x14ac:dyDescent="0.3">
      <c r="A2164" s="42">
        <v>22452209</v>
      </c>
      <c r="B2164" s="42">
        <v>18000000</v>
      </c>
      <c r="D2164">
        <f t="shared" si="33"/>
        <v>4452209</v>
      </c>
    </row>
    <row r="2165" spans="1:4" x14ac:dyDescent="0.3">
      <c r="A2165" s="43">
        <v>18329466</v>
      </c>
      <c r="B2165" s="43">
        <v>18000000</v>
      </c>
      <c r="D2165">
        <f t="shared" si="33"/>
        <v>329466</v>
      </c>
    </row>
    <row r="2166" spans="1:4" x14ac:dyDescent="0.3">
      <c r="A2166" s="42">
        <v>17071230</v>
      </c>
      <c r="B2166" s="42">
        <v>18000000</v>
      </c>
      <c r="D2166">
        <f t="shared" si="33"/>
        <v>-928770</v>
      </c>
    </row>
    <row r="2167" spans="1:4" x14ac:dyDescent="0.3">
      <c r="A2167" s="43">
        <v>17174870</v>
      </c>
      <c r="B2167" s="43">
        <v>18000000</v>
      </c>
      <c r="D2167">
        <f t="shared" si="33"/>
        <v>-825130</v>
      </c>
    </row>
    <row r="2168" spans="1:4" x14ac:dyDescent="0.3">
      <c r="A2168" s="42">
        <v>26284475</v>
      </c>
      <c r="B2168" s="42">
        <v>17000000</v>
      </c>
      <c r="D2168">
        <f t="shared" si="33"/>
        <v>9284475</v>
      </c>
    </row>
    <row r="2169" spans="1:4" x14ac:dyDescent="0.3">
      <c r="A2169" s="43">
        <v>16702864</v>
      </c>
      <c r="B2169" s="43">
        <v>18000000</v>
      </c>
      <c r="D2169">
        <f t="shared" si="33"/>
        <v>-1297136</v>
      </c>
    </row>
    <row r="2170" spans="1:4" x14ac:dyDescent="0.3">
      <c r="A2170" s="42">
        <v>15561627</v>
      </c>
      <c r="B2170" s="42">
        <v>18000000</v>
      </c>
      <c r="D2170">
        <f t="shared" si="33"/>
        <v>-2438373</v>
      </c>
    </row>
    <row r="2171" spans="1:4" x14ac:dyDescent="0.3">
      <c r="A2171" s="43">
        <v>17750583</v>
      </c>
      <c r="B2171" s="43">
        <v>30000000</v>
      </c>
      <c r="D2171">
        <f t="shared" si="33"/>
        <v>-12249417</v>
      </c>
    </row>
    <row r="2172" spans="1:4" x14ac:dyDescent="0.3">
      <c r="A2172" s="42">
        <v>14793904</v>
      </c>
      <c r="B2172" s="42">
        <v>18000000</v>
      </c>
      <c r="D2172">
        <f t="shared" si="33"/>
        <v>-3206096</v>
      </c>
    </row>
    <row r="2173" spans="1:4" x14ac:dyDescent="0.3">
      <c r="A2173" s="43">
        <v>15281286</v>
      </c>
      <c r="B2173" s="43">
        <v>18000000</v>
      </c>
      <c r="D2173">
        <f t="shared" si="33"/>
        <v>-2718714</v>
      </c>
    </row>
    <row r="2174" spans="1:4" x14ac:dyDescent="0.3">
      <c r="A2174" s="42">
        <v>8000000</v>
      </c>
      <c r="B2174" s="42">
        <v>18000000</v>
      </c>
      <c r="D2174">
        <f t="shared" si="33"/>
        <v>-10000000</v>
      </c>
    </row>
    <row r="2175" spans="1:4" x14ac:dyDescent="0.3">
      <c r="A2175" s="43">
        <v>13491653</v>
      </c>
      <c r="B2175" s="43">
        <v>18000000</v>
      </c>
      <c r="D2175">
        <f t="shared" si="33"/>
        <v>-4508347</v>
      </c>
    </row>
    <row r="2176" spans="1:4" x14ac:dyDescent="0.3">
      <c r="A2176" s="42">
        <v>10494494</v>
      </c>
      <c r="B2176" s="42">
        <v>18000000</v>
      </c>
      <c r="D2176">
        <f t="shared" si="33"/>
        <v>-7505506</v>
      </c>
    </row>
    <row r="2177" spans="1:4" x14ac:dyDescent="0.3">
      <c r="A2177" s="43">
        <v>7837632</v>
      </c>
      <c r="B2177" s="43">
        <v>18000000</v>
      </c>
      <c r="D2177">
        <f t="shared" si="33"/>
        <v>-10162368</v>
      </c>
    </row>
    <row r="2178" spans="1:4" x14ac:dyDescent="0.3">
      <c r="A2178" s="42">
        <v>15155772</v>
      </c>
      <c r="B2178" s="42">
        <v>18000000</v>
      </c>
      <c r="D2178">
        <f t="shared" ref="D2178:D2241" si="34">A2178-B2178</f>
        <v>-2844228</v>
      </c>
    </row>
    <row r="2179" spans="1:4" x14ac:dyDescent="0.3">
      <c r="A2179" s="43">
        <v>8508843</v>
      </c>
      <c r="B2179" s="43">
        <v>18000000</v>
      </c>
      <c r="D2179">
        <f t="shared" si="34"/>
        <v>-9491157</v>
      </c>
    </row>
    <row r="2180" spans="1:4" x14ac:dyDescent="0.3">
      <c r="A2180" s="42">
        <v>7739049</v>
      </c>
      <c r="B2180" s="42">
        <v>18000000</v>
      </c>
      <c r="D2180">
        <f t="shared" si="34"/>
        <v>-10260951</v>
      </c>
    </row>
    <row r="2181" spans="1:4" x14ac:dyDescent="0.3">
      <c r="A2181" s="43">
        <v>6734844</v>
      </c>
      <c r="B2181" s="43">
        <v>17000000</v>
      </c>
      <c r="D2181">
        <f t="shared" si="34"/>
        <v>-10265156</v>
      </c>
    </row>
    <row r="2182" spans="1:4" x14ac:dyDescent="0.3">
      <c r="A2182" s="42">
        <v>6000000</v>
      </c>
      <c r="B2182" s="42">
        <v>18000000</v>
      </c>
      <c r="D2182">
        <f t="shared" si="34"/>
        <v>-12000000</v>
      </c>
    </row>
    <row r="2183" spans="1:4" x14ac:dyDescent="0.3">
      <c r="A2183" s="43">
        <v>6615578</v>
      </c>
      <c r="B2183" s="43">
        <v>13000000</v>
      </c>
      <c r="D2183">
        <f t="shared" si="34"/>
        <v>-6384422</v>
      </c>
    </row>
    <row r="2184" spans="1:4" x14ac:dyDescent="0.3">
      <c r="A2184" s="42">
        <v>5887457</v>
      </c>
      <c r="B2184" s="42">
        <v>18000000</v>
      </c>
      <c r="D2184">
        <f t="shared" si="34"/>
        <v>-12112543</v>
      </c>
    </row>
    <row r="2185" spans="1:4" x14ac:dyDescent="0.3">
      <c r="A2185" s="43">
        <v>13362308</v>
      </c>
      <c r="B2185" s="43">
        <v>18000000</v>
      </c>
      <c r="D2185">
        <f t="shared" si="34"/>
        <v>-4637692</v>
      </c>
    </row>
    <row r="2186" spans="1:4" x14ac:dyDescent="0.3">
      <c r="A2186" s="42">
        <v>5701643</v>
      </c>
      <c r="B2186" s="42">
        <v>20000000</v>
      </c>
      <c r="D2186">
        <f t="shared" si="34"/>
        <v>-14298357</v>
      </c>
    </row>
    <row r="2187" spans="1:4" x14ac:dyDescent="0.3">
      <c r="A2187" s="43">
        <v>5694401</v>
      </c>
      <c r="B2187" s="43">
        <v>18000000</v>
      </c>
      <c r="D2187">
        <f t="shared" si="34"/>
        <v>-12305599</v>
      </c>
    </row>
    <row r="2188" spans="1:4" x14ac:dyDescent="0.3">
      <c r="A2188" s="42">
        <v>5333658</v>
      </c>
      <c r="B2188" s="42">
        <v>20000000</v>
      </c>
      <c r="D2188">
        <f t="shared" si="34"/>
        <v>-14666342</v>
      </c>
    </row>
    <row r="2189" spans="1:4" x14ac:dyDescent="0.3">
      <c r="A2189" s="43">
        <v>4414535</v>
      </c>
      <c r="B2189" s="43">
        <v>18000000</v>
      </c>
      <c r="D2189">
        <f t="shared" si="34"/>
        <v>-13585465</v>
      </c>
    </row>
    <row r="2190" spans="1:4" x14ac:dyDescent="0.3">
      <c r="A2190" s="42">
        <v>3707794</v>
      </c>
      <c r="B2190" s="42">
        <v>18000000</v>
      </c>
      <c r="D2190">
        <f t="shared" si="34"/>
        <v>-14292206</v>
      </c>
    </row>
    <row r="2191" spans="1:4" x14ac:dyDescent="0.3">
      <c r="A2191" s="43">
        <v>3203044</v>
      </c>
      <c r="B2191" s="43">
        <v>18000000</v>
      </c>
      <c r="D2191">
        <f t="shared" si="34"/>
        <v>-14796956</v>
      </c>
    </row>
    <row r="2192" spans="1:4" x14ac:dyDescent="0.3">
      <c r="A2192" s="42">
        <v>4435083</v>
      </c>
      <c r="B2192" s="42">
        <v>18000000</v>
      </c>
      <c r="D2192">
        <f t="shared" si="34"/>
        <v>-13564917</v>
      </c>
    </row>
    <row r="2193" spans="1:4" x14ac:dyDescent="0.3">
      <c r="A2193" s="43">
        <v>2222647</v>
      </c>
      <c r="B2193" s="43">
        <v>12000000</v>
      </c>
      <c r="D2193">
        <f t="shared" si="34"/>
        <v>-9777353</v>
      </c>
    </row>
    <row r="2194" spans="1:4" x14ac:dyDescent="0.3">
      <c r="A2194" s="42">
        <v>3500000</v>
      </c>
      <c r="B2194" s="42">
        <v>2700000</v>
      </c>
      <c r="D2194">
        <f t="shared" si="34"/>
        <v>800000</v>
      </c>
    </row>
    <row r="2195" spans="1:4" x14ac:dyDescent="0.3">
      <c r="A2195" s="43">
        <v>676698</v>
      </c>
      <c r="B2195" s="43">
        <v>18000000</v>
      </c>
      <c r="D2195">
        <f t="shared" si="34"/>
        <v>-17323302</v>
      </c>
    </row>
    <row r="2196" spans="1:4" x14ac:dyDescent="0.3">
      <c r="A2196" s="42">
        <v>229311</v>
      </c>
      <c r="B2196" s="42">
        <v>11350000</v>
      </c>
      <c r="D2196">
        <f t="shared" si="34"/>
        <v>-11120689</v>
      </c>
    </row>
    <row r="2197" spans="1:4" x14ac:dyDescent="0.3">
      <c r="A2197" s="43">
        <v>63260</v>
      </c>
      <c r="B2197" s="43">
        <v>14000000</v>
      </c>
      <c r="D2197">
        <f t="shared" si="34"/>
        <v>-13936740</v>
      </c>
    </row>
    <row r="2198" spans="1:4" x14ac:dyDescent="0.3">
      <c r="A2198" s="42">
        <v>121463226</v>
      </c>
      <c r="B2198" s="42">
        <v>20000000</v>
      </c>
      <c r="D2198">
        <f t="shared" si="34"/>
        <v>101463226</v>
      </c>
    </row>
    <row r="2199" spans="1:4" x14ac:dyDescent="0.3">
      <c r="A2199" s="43">
        <v>58006147</v>
      </c>
      <c r="B2199" s="43">
        <v>23000000</v>
      </c>
      <c r="D2199">
        <f t="shared" si="34"/>
        <v>35006147</v>
      </c>
    </row>
    <row r="2200" spans="1:4" x14ac:dyDescent="0.3">
      <c r="A2200" s="42">
        <v>51053787</v>
      </c>
      <c r="B2200" s="42">
        <v>17500000</v>
      </c>
      <c r="D2200">
        <f t="shared" si="34"/>
        <v>33553787</v>
      </c>
    </row>
    <row r="2201" spans="1:4" x14ac:dyDescent="0.3">
      <c r="A2201" s="43">
        <v>23472900</v>
      </c>
      <c r="B2201" s="43">
        <v>17500000</v>
      </c>
      <c r="D2201">
        <f t="shared" si="34"/>
        <v>5972900</v>
      </c>
    </row>
    <row r="2202" spans="1:4" x14ac:dyDescent="0.3">
      <c r="A2202" s="42">
        <v>39687528</v>
      </c>
      <c r="B2202" s="42">
        <v>24000000</v>
      </c>
      <c r="D2202">
        <f t="shared" si="34"/>
        <v>15687528</v>
      </c>
    </row>
    <row r="2203" spans="1:4" x14ac:dyDescent="0.3">
      <c r="A2203" s="43">
        <v>325491</v>
      </c>
      <c r="B2203" s="43">
        <v>17500000</v>
      </c>
      <c r="D2203">
        <f t="shared" si="34"/>
        <v>-17174509</v>
      </c>
    </row>
    <row r="2204" spans="1:4" x14ac:dyDescent="0.3">
      <c r="A2204" s="42">
        <v>96471845</v>
      </c>
      <c r="B2204" s="42">
        <v>17000000</v>
      </c>
      <c r="D2204">
        <f t="shared" si="34"/>
        <v>79471845</v>
      </c>
    </row>
    <row r="2205" spans="1:4" x14ac:dyDescent="0.3">
      <c r="A2205" s="43">
        <v>85200000</v>
      </c>
      <c r="B2205" s="43">
        <v>18500000</v>
      </c>
      <c r="D2205">
        <f t="shared" si="34"/>
        <v>66700000</v>
      </c>
    </row>
    <row r="2206" spans="1:4" x14ac:dyDescent="0.3">
      <c r="A2206" s="42">
        <v>72000000</v>
      </c>
      <c r="B2206" s="42">
        <v>17000000</v>
      </c>
      <c r="D2206">
        <f t="shared" si="34"/>
        <v>55000000</v>
      </c>
    </row>
    <row r="2207" spans="1:4" x14ac:dyDescent="0.3">
      <c r="A2207" s="43">
        <v>72219395</v>
      </c>
      <c r="B2207" s="43">
        <v>17000000</v>
      </c>
      <c r="D2207">
        <f t="shared" si="34"/>
        <v>55219395</v>
      </c>
    </row>
    <row r="2208" spans="1:4" x14ac:dyDescent="0.3">
      <c r="A2208" s="42">
        <v>82389560</v>
      </c>
      <c r="B2208" s="42">
        <v>17000000</v>
      </c>
      <c r="D2208">
        <f t="shared" si="34"/>
        <v>65389560</v>
      </c>
    </row>
    <row r="2209" spans="1:4" x14ac:dyDescent="0.3">
      <c r="A2209" s="43">
        <v>71502303</v>
      </c>
      <c r="B2209" s="43">
        <v>12000000</v>
      </c>
      <c r="D2209">
        <f t="shared" si="34"/>
        <v>59502303</v>
      </c>
    </row>
    <row r="2210" spans="1:4" x14ac:dyDescent="0.3">
      <c r="A2210" s="42">
        <v>19179969</v>
      </c>
      <c r="B2210" s="42">
        <v>17500000</v>
      </c>
      <c r="D2210">
        <f t="shared" si="34"/>
        <v>1679969</v>
      </c>
    </row>
    <row r="2211" spans="1:4" x14ac:dyDescent="0.3">
      <c r="A2211" s="43">
        <v>47000000</v>
      </c>
      <c r="B2211" s="43">
        <v>300000</v>
      </c>
      <c r="D2211">
        <f t="shared" si="34"/>
        <v>46700000</v>
      </c>
    </row>
    <row r="2212" spans="1:4" x14ac:dyDescent="0.3">
      <c r="A2212" s="42">
        <v>37566230</v>
      </c>
      <c r="B2212" s="42">
        <v>17000000</v>
      </c>
      <c r="D2212">
        <f t="shared" si="34"/>
        <v>20566230</v>
      </c>
    </row>
    <row r="2213" spans="1:4" x14ac:dyDescent="0.3">
      <c r="A2213" s="43">
        <v>70492685</v>
      </c>
      <c r="B2213" s="43">
        <v>17000000</v>
      </c>
      <c r="D2213">
        <f t="shared" si="34"/>
        <v>53492685</v>
      </c>
    </row>
    <row r="2214" spans="1:4" x14ac:dyDescent="0.3">
      <c r="A2214" s="42">
        <v>35635046</v>
      </c>
      <c r="B2214" s="42">
        <v>17000000</v>
      </c>
      <c r="D2214">
        <f t="shared" si="34"/>
        <v>18635046</v>
      </c>
    </row>
    <row r="2215" spans="1:4" x14ac:dyDescent="0.3">
      <c r="A2215" s="43">
        <v>45670855</v>
      </c>
      <c r="B2215" s="43">
        <v>20000000</v>
      </c>
      <c r="D2215">
        <f t="shared" si="34"/>
        <v>25670855</v>
      </c>
    </row>
    <row r="2216" spans="1:4" x14ac:dyDescent="0.3">
      <c r="A2216" s="42">
        <v>37939782</v>
      </c>
      <c r="B2216" s="42">
        <v>17000000</v>
      </c>
      <c r="D2216">
        <f t="shared" si="34"/>
        <v>20939782</v>
      </c>
    </row>
    <row r="2217" spans="1:4" x14ac:dyDescent="0.3">
      <c r="A2217" s="43">
        <v>30324946</v>
      </c>
      <c r="B2217" s="43">
        <v>17000000</v>
      </c>
      <c r="D2217">
        <f t="shared" si="34"/>
        <v>13324946</v>
      </c>
    </row>
    <row r="2218" spans="1:4" x14ac:dyDescent="0.3">
      <c r="A2218" s="42">
        <v>41777564</v>
      </c>
      <c r="B2218" s="42">
        <v>15000000</v>
      </c>
      <c r="D2218">
        <f t="shared" si="34"/>
        <v>26777564</v>
      </c>
    </row>
    <row r="2219" spans="1:4" x14ac:dyDescent="0.3">
      <c r="A2219" s="43">
        <v>22734486</v>
      </c>
      <c r="B2219" s="43">
        <v>17000000</v>
      </c>
      <c r="D2219">
        <f t="shared" si="34"/>
        <v>5734486</v>
      </c>
    </row>
    <row r="2220" spans="1:4" x14ac:dyDescent="0.3">
      <c r="A2220" s="42">
        <v>44469602</v>
      </c>
      <c r="B2220" s="42">
        <v>17000000</v>
      </c>
      <c r="D2220">
        <f t="shared" si="34"/>
        <v>27469602</v>
      </c>
    </row>
    <row r="2221" spans="1:4" x14ac:dyDescent="0.3">
      <c r="A2221" s="43">
        <v>64998368</v>
      </c>
      <c r="B2221" s="43">
        <v>17000000</v>
      </c>
      <c r="D2221">
        <f t="shared" si="34"/>
        <v>47998368</v>
      </c>
    </row>
    <row r="2222" spans="1:4" x14ac:dyDescent="0.3">
      <c r="A2222" s="42">
        <v>19693891</v>
      </c>
      <c r="B2222" s="42">
        <v>34000000</v>
      </c>
      <c r="D2222">
        <f t="shared" si="34"/>
        <v>-14306109</v>
      </c>
    </row>
    <row r="2223" spans="1:4" x14ac:dyDescent="0.3">
      <c r="A2223" s="43">
        <v>16311763</v>
      </c>
      <c r="B2223" s="43">
        <v>17000000</v>
      </c>
      <c r="D2223">
        <f t="shared" si="34"/>
        <v>-688237</v>
      </c>
    </row>
    <row r="2224" spans="1:4" x14ac:dyDescent="0.3">
      <c r="A2224" s="42">
        <v>12693621</v>
      </c>
      <c r="B2224" s="42">
        <v>17000000</v>
      </c>
      <c r="D2224">
        <f t="shared" si="34"/>
        <v>-4306379</v>
      </c>
    </row>
    <row r="2225" spans="1:4" x14ac:dyDescent="0.3">
      <c r="A2225" s="43">
        <v>15655665</v>
      </c>
      <c r="B2225" s="43">
        <v>4000000</v>
      </c>
      <c r="D2225">
        <f t="shared" si="34"/>
        <v>11655665</v>
      </c>
    </row>
    <row r="2226" spans="1:4" x14ac:dyDescent="0.3">
      <c r="A2226" s="42">
        <v>11634458</v>
      </c>
      <c r="B2226" s="42">
        <v>17000000</v>
      </c>
      <c r="D2226">
        <f t="shared" si="34"/>
        <v>-5365542</v>
      </c>
    </row>
    <row r="2227" spans="1:4" x14ac:dyDescent="0.3">
      <c r="A2227" s="43">
        <v>27154426</v>
      </c>
      <c r="B2227" s="43">
        <v>17000000</v>
      </c>
      <c r="D2227">
        <f t="shared" si="34"/>
        <v>10154426</v>
      </c>
    </row>
    <row r="2228" spans="1:4" x14ac:dyDescent="0.3">
      <c r="A2228" s="42">
        <v>54239856</v>
      </c>
      <c r="B2228" s="42">
        <v>17000000</v>
      </c>
      <c r="D2228">
        <f t="shared" si="34"/>
        <v>37239856</v>
      </c>
    </row>
    <row r="2229" spans="1:4" x14ac:dyDescent="0.3">
      <c r="A2229" s="43">
        <v>8662318</v>
      </c>
      <c r="B2229" s="43">
        <v>17000000</v>
      </c>
      <c r="D2229">
        <f t="shared" si="34"/>
        <v>-8337682</v>
      </c>
    </row>
    <row r="2230" spans="1:4" x14ac:dyDescent="0.3">
      <c r="A2230" s="42">
        <v>7156725</v>
      </c>
      <c r="B2230" s="42">
        <v>19000000</v>
      </c>
      <c r="D2230">
        <f t="shared" si="34"/>
        <v>-11843275</v>
      </c>
    </row>
    <row r="2231" spans="1:4" x14ac:dyDescent="0.3">
      <c r="A2231" s="43">
        <v>15681020</v>
      </c>
      <c r="B2231" s="43">
        <v>17000000</v>
      </c>
      <c r="D2231">
        <f t="shared" si="34"/>
        <v>-1318980</v>
      </c>
    </row>
    <row r="2232" spans="1:4" x14ac:dyDescent="0.3">
      <c r="A2232" s="42">
        <v>6855137</v>
      </c>
      <c r="B2232" s="42">
        <v>17000000</v>
      </c>
      <c r="D2232">
        <f t="shared" si="34"/>
        <v>-10144863</v>
      </c>
    </row>
    <row r="2233" spans="1:4" x14ac:dyDescent="0.3">
      <c r="A2233" s="43">
        <v>2315683</v>
      </c>
      <c r="B2233" s="43">
        <v>17000000</v>
      </c>
      <c r="D2233">
        <f t="shared" si="34"/>
        <v>-14684317</v>
      </c>
    </row>
    <row r="2234" spans="1:4" x14ac:dyDescent="0.3">
      <c r="A2234" s="42">
        <v>39825798</v>
      </c>
      <c r="B2234" s="42">
        <v>16000000</v>
      </c>
      <c r="D2234">
        <f t="shared" si="34"/>
        <v>23825798</v>
      </c>
    </row>
    <row r="2235" spans="1:4" x14ac:dyDescent="0.3">
      <c r="A2235" s="43">
        <v>2000000</v>
      </c>
      <c r="B2235" s="43">
        <v>17000000</v>
      </c>
      <c r="D2235">
        <f t="shared" si="34"/>
        <v>-15000000</v>
      </c>
    </row>
    <row r="2236" spans="1:4" x14ac:dyDescent="0.3">
      <c r="A2236" s="42">
        <v>1569918</v>
      </c>
      <c r="B2236" s="42">
        <v>17000000</v>
      </c>
      <c r="D2236">
        <f t="shared" si="34"/>
        <v>-15430082</v>
      </c>
    </row>
    <row r="2237" spans="1:4" x14ac:dyDescent="0.3">
      <c r="A2237" s="43">
        <v>106869</v>
      </c>
      <c r="B2237" s="43">
        <v>17000000</v>
      </c>
      <c r="D2237">
        <f t="shared" si="34"/>
        <v>-16893131</v>
      </c>
    </row>
    <row r="2238" spans="1:4" x14ac:dyDescent="0.3">
      <c r="A2238" s="42">
        <v>273420</v>
      </c>
      <c r="B2238" s="42">
        <v>17000000</v>
      </c>
      <c r="D2238">
        <f t="shared" si="34"/>
        <v>-16726580</v>
      </c>
    </row>
    <row r="2239" spans="1:4" x14ac:dyDescent="0.3">
      <c r="A2239" s="43">
        <v>4930798</v>
      </c>
      <c r="B2239" s="43">
        <v>17000000</v>
      </c>
      <c r="D2239">
        <f t="shared" si="34"/>
        <v>-12069202</v>
      </c>
    </row>
    <row r="2240" spans="1:4" x14ac:dyDescent="0.3">
      <c r="A2240" s="42">
        <v>59847242</v>
      </c>
      <c r="B2240" s="42">
        <v>16500000</v>
      </c>
      <c r="D2240">
        <f t="shared" si="34"/>
        <v>43347242</v>
      </c>
    </row>
    <row r="2241" spans="1:4" x14ac:dyDescent="0.3">
      <c r="A2241" s="43">
        <v>220914</v>
      </c>
      <c r="B2241" s="43">
        <v>16800000</v>
      </c>
      <c r="D2241">
        <f t="shared" si="34"/>
        <v>-16579086</v>
      </c>
    </row>
    <row r="2242" spans="1:4" x14ac:dyDescent="0.3">
      <c r="A2242" s="42">
        <v>43848100</v>
      </c>
      <c r="B2242" s="42">
        <v>15000000</v>
      </c>
      <c r="D2242">
        <f t="shared" ref="D2242:D2305" si="35">A2242-B2242</f>
        <v>28848100</v>
      </c>
    </row>
    <row r="2243" spans="1:4" x14ac:dyDescent="0.3">
      <c r="A2243" s="43">
        <v>42700000</v>
      </c>
      <c r="B2243" s="43">
        <v>16500000</v>
      </c>
      <c r="D2243">
        <f t="shared" si="35"/>
        <v>26200000</v>
      </c>
    </row>
    <row r="2244" spans="1:4" x14ac:dyDescent="0.3">
      <c r="A2244" s="42">
        <v>18663911</v>
      </c>
      <c r="B2244" s="42">
        <v>16500000</v>
      </c>
      <c r="D2244">
        <f t="shared" si="35"/>
        <v>2163911</v>
      </c>
    </row>
    <row r="2245" spans="1:4" x14ac:dyDescent="0.3">
      <c r="A2245" s="43">
        <v>11702090</v>
      </c>
      <c r="B2245" s="43">
        <v>16500000</v>
      </c>
      <c r="D2245">
        <f t="shared" si="35"/>
        <v>-4797910</v>
      </c>
    </row>
    <row r="2246" spans="1:4" x14ac:dyDescent="0.3">
      <c r="A2246" s="42">
        <v>13005485</v>
      </c>
      <c r="B2246" s="42">
        <v>15000000</v>
      </c>
      <c r="D2246">
        <f t="shared" si="35"/>
        <v>-1994515</v>
      </c>
    </row>
    <row r="2247" spans="1:4" x14ac:dyDescent="0.3">
      <c r="A2247" s="43">
        <v>95860116</v>
      </c>
      <c r="B2247" s="43">
        <v>16400000</v>
      </c>
      <c r="D2247">
        <f t="shared" si="35"/>
        <v>79460116</v>
      </c>
    </row>
    <row r="2248" spans="1:4" x14ac:dyDescent="0.3">
      <c r="A2248" s="42">
        <v>127175354</v>
      </c>
      <c r="B2248" s="42">
        <v>16000000</v>
      </c>
      <c r="D2248">
        <f t="shared" si="35"/>
        <v>111175354</v>
      </c>
    </row>
    <row r="2249" spans="1:4" x14ac:dyDescent="0.3">
      <c r="A2249" s="43">
        <v>92823600</v>
      </c>
      <c r="B2249" s="43">
        <v>16000000</v>
      </c>
      <c r="D2249">
        <f t="shared" si="35"/>
        <v>76823600</v>
      </c>
    </row>
    <row r="2250" spans="1:4" x14ac:dyDescent="0.3">
      <c r="A2250" s="42">
        <v>54000000</v>
      </c>
      <c r="B2250" s="42">
        <v>16000000</v>
      </c>
      <c r="D2250">
        <f t="shared" si="35"/>
        <v>38000000</v>
      </c>
    </row>
    <row r="2251" spans="1:4" x14ac:dyDescent="0.3">
      <c r="A2251" s="43">
        <v>68525609</v>
      </c>
      <c r="B2251" s="43">
        <v>15600000</v>
      </c>
      <c r="D2251">
        <f t="shared" si="35"/>
        <v>52925609</v>
      </c>
    </row>
    <row r="2252" spans="1:4" x14ac:dyDescent="0.3">
      <c r="A2252" s="42">
        <v>52885587</v>
      </c>
      <c r="B2252" s="42">
        <v>16000000</v>
      </c>
      <c r="D2252">
        <f t="shared" si="35"/>
        <v>36885587</v>
      </c>
    </row>
    <row r="2253" spans="1:4" x14ac:dyDescent="0.3">
      <c r="A2253" s="43">
        <v>44667095</v>
      </c>
      <c r="B2253" s="43">
        <v>15000000</v>
      </c>
      <c r="D2253">
        <f t="shared" si="35"/>
        <v>29667095</v>
      </c>
    </row>
    <row r="2254" spans="1:4" x14ac:dyDescent="0.3">
      <c r="A2254" s="42">
        <v>42638165</v>
      </c>
      <c r="B2254" s="42">
        <v>16000000</v>
      </c>
      <c r="D2254">
        <f t="shared" si="35"/>
        <v>26638165</v>
      </c>
    </row>
    <row r="2255" spans="1:4" x14ac:dyDescent="0.3">
      <c r="A2255" s="43">
        <v>45507053</v>
      </c>
      <c r="B2255" s="43">
        <v>16000000</v>
      </c>
      <c r="D2255">
        <f t="shared" si="35"/>
        <v>29507053</v>
      </c>
    </row>
    <row r="2256" spans="1:4" x14ac:dyDescent="0.3">
      <c r="A2256" s="42">
        <v>39511038</v>
      </c>
      <c r="B2256" s="42">
        <v>16000000</v>
      </c>
      <c r="D2256">
        <f t="shared" si="35"/>
        <v>23511038</v>
      </c>
    </row>
    <row r="2257" spans="1:4" x14ac:dyDescent="0.3">
      <c r="A2257" s="43">
        <v>6462576</v>
      </c>
      <c r="B2257" s="43">
        <v>18500000</v>
      </c>
      <c r="D2257">
        <f t="shared" si="35"/>
        <v>-12037424</v>
      </c>
    </row>
    <row r="2258" spans="1:4" x14ac:dyDescent="0.3">
      <c r="A2258" s="42">
        <v>40363530</v>
      </c>
      <c r="B2258" s="42">
        <v>16000000</v>
      </c>
      <c r="D2258">
        <f t="shared" si="35"/>
        <v>24363530</v>
      </c>
    </row>
    <row r="2259" spans="1:4" x14ac:dyDescent="0.3">
      <c r="A2259" s="43">
        <v>37623143</v>
      </c>
      <c r="B2259" s="43">
        <v>13500000</v>
      </c>
      <c r="D2259">
        <f t="shared" si="35"/>
        <v>24123143</v>
      </c>
    </row>
    <row r="2260" spans="1:4" x14ac:dyDescent="0.3">
      <c r="A2260" s="42">
        <v>33357476</v>
      </c>
      <c r="B2260" s="42">
        <v>35000000</v>
      </c>
      <c r="D2260">
        <f t="shared" si="35"/>
        <v>-1642524</v>
      </c>
    </row>
    <row r="2261" spans="1:4" x14ac:dyDescent="0.3">
      <c r="A2261" s="43">
        <v>28734552</v>
      </c>
      <c r="B2261" s="43">
        <v>16000000</v>
      </c>
      <c r="D2261">
        <f t="shared" si="35"/>
        <v>12734552</v>
      </c>
    </row>
    <row r="2262" spans="1:4" x14ac:dyDescent="0.3">
      <c r="A2262" s="42">
        <v>37300107</v>
      </c>
      <c r="B2262" s="42">
        <v>16000000</v>
      </c>
      <c r="D2262">
        <f t="shared" si="35"/>
        <v>21300107</v>
      </c>
    </row>
    <row r="2263" spans="1:4" x14ac:dyDescent="0.3">
      <c r="A2263" s="43">
        <v>30102717</v>
      </c>
      <c r="B2263" s="43">
        <v>15000000</v>
      </c>
      <c r="D2263">
        <f t="shared" si="35"/>
        <v>15102717</v>
      </c>
    </row>
    <row r="2264" spans="1:4" x14ac:dyDescent="0.3">
      <c r="A2264" s="42">
        <v>23618786</v>
      </c>
      <c r="B2264" s="42">
        <v>8000000</v>
      </c>
      <c r="D2264">
        <f t="shared" si="35"/>
        <v>15618786</v>
      </c>
    </row>
    <row r="2265" spans="1:4" x14ac:dyDescent="0.3">
      <c r="A2265" s="43">
        <v>26896744</v>
      </c>
      <c r="B2265" s="43">
        <v>16500000</v>
      </c>
      <c r="D2265">
        <f t="shared" si="35"/>
        <v>10396744</v>
      </c>
    </row>
    <row r="2266" spans="1:4" x14ac:dyDescent="0.3">
      <c r="A2266" s="42">
        <v>23213577</v>
      </c>
      <c r="B2266" s="42">
        <v>15500000</v>
      </c>
      <c r="D2266">
        <f t="shared" si="35"/>
        <v>7713577</v>
      </c>
    </row>
    <row r="2267" spans="1:4" x14ac:dyDescent="0.3">
      <c r="A2267" s="43">
        <v>20627372</v>
      </c>
      <c r="B2267" s="43">
        <v>16000000</v>
      </c>
      <c r="D2267">
        <f t="shared" si="35"/>
        <v>4627372</v>
      </c>
    </row>
    <row r="2268" spans="1:4" x14ac:dyDescent="0.3">
      <c r="A2268" s="42">
        <v>16346122</v>
      </c>
      <c r="B2268" s="42">
        <v>16000000</v>
      </c>
      <c r="D2268">
        <f t="shared" si="35"/>
        <v>346122</v>
      </c>
    </row>
    <row r="2269" spans="1:4" x14ac:dyDescent="0.3">
      <c r="A2269" s="43">
        <v>16204793</v>
      </c>
      <c r="B2269" s="43">
        <v>16000000</v>
      </c>
      <c r="D2269">
        <f t="shared" si="35"/>
        <v>204793</v>
      </c>
    </row>
    <row r="2270" spans="1:4" x14ac:dyDescent="0.3">
      <c r="A2270" s="42">
        <v>15427192</v>
      </c>
      <c r="B2270" s="42">
        <v>16000000</v>
      </c>
      <c r="D2270">
        <f t="shared" si="35"/>
        <v>-572808</v>
      </c>
    </row>
    <row r="2271" spans="1:4" x14ac:dyDescent="0.3">
      <c r="A2271" s="43">
        <v>14792779</v>
      </c>
      <c r="B2271" s="43">
        <v>16000000</v>
      </c>
      <c r="D2271">
        <f t="shared" si="35"/>
        <v>-1207221</v>
      </c>
    </row>
    <row r="2272" spans="1:4" x14ac:dyDescent="0.3">
      <c r="A2272" s="42">
        <v>19057024</v>
      </c>
      <c r="B2272" s="42">
        <v>16000000</v>
      </c>
      <c r="D2272">
        <f t="shared" si="35"/>
        <v>3057024</v>
      </c>
    </row>
    <row r="2273" spans="1:4" x14ac:dyDescent="0.3">
      <c r="A2273" s="43">
        <v>14108518</v>
      </c>
      <c r="B2273" s="43">
        <v>16000000</v>
      </c>
      <c r="D2273">
        <f t="shared" si="35"/>
        <v>-1891482</v>
      </c>
    </row>
    <row r="2274" spans="1:4" x14ac:dyDescent="0.3">
      <c r="A2274" s="42">
        <v>13854000</v>
      </c>
      <c r="B2274" s="42">
        <v>20000000</v>
      </c>
      <c r="D2274">
        <f t="shared" si="35"/>
        <v>-6146000</v>
      </c>
    </row>
    <row r="2275" spans="1:4" x14ac:dyDescent="0.3">
      <c r="A2275" s="43">
        <v>77324422</v>
      </c>
      <c r="B2275" s="43">
        <v>26000000</v>
      </c>
      <c r="D2275">
        <f t="shared" si="35"/>
        <v>51324422</v>
      </c>
    </row>
    <row r="2276" spans="1:4" x14ac:dyDescent="0.3">
      <c r="A2276" s="42">
        <v>15500000</v>
      </c>
      <c r="B2276" s="42">
        <v>16000000</v>
      </c>
      <c r="D2276">
        <f t="shared" si="35"/>
        <v>-500000</v>
      </c>
    </row>
    <row r="2277" spans="1:4" x14ac:dyDescent="0.3">
      <c r="A2277" s="43">
        <v>4734235</v>
      </c>
      <c r="B2277" s="43">
        <v>15000000</v>
      </c>
      <c r="D2277">
        <f t="shared" si="35"/>
        <v>-10265765</v>
      </c>
    </row>
    <row r="2278" spans="1:4" x14ac:dyDescent="0.3">
      <c r="A2278" s="42">
        <v>4839383</v>
      </c>
      <c r="B2278" s="42">
        <v>16000000</v>
      </c>
      <c r="D2278">
        <f t="shared" si="35"/>
        <v>-11160617</v>
      </c>
    </row>
    <row r="2279" spans="1:4" x14ac:dyDescent="0.3">
      <c r="A2279" s="43">
        <v>4193025</v>
      </c>
      <c r="B2279" s="43">
        <v>15000000</v>
      </c>
      <c r="D2279">
        <f t="shared" si="35"/>
        <v>-10806975</v>
      </c>
    </row>
    <row r="2280" spans="1:4" x14ac:dyDescent="0.3">
      <c r="A2280" s="42">
        <v>5900000</v>
      </c>
      <c r="B2280" s="42">
        <v>16000000</v>
      </c>
      <c r="D2280">
        <f t="shared" si="35"/>
        <v>-10100000</v>
      </c>
    </row>
    <row r="2281" spans="1:4" x14ac:dyDescent="0.3">
      <c r="A2281" s="43">
        <v>2849142</v>
      </c>
      <c r="B2281" s="43">
        <v>16000000</v>
      </c>
      <c r="D2281">
        <f t="shared" si="35"/>
        <v>-13150858</v>
      </c>
    </row>
    <row r="2282" spans="1:4" x14ac:dyDescent="0.3">
      <c r="A2282" s="42">
        <v>1686429</v>
      </c>
      <c r="B2282" s="42">
        <v>16000000</v>
      </c>
      <c r="D2282">
        <f t="shared" si="35"/>
        <v>-14313571</v>
      </c>
    </row>
    <row r="2283" spans="1:4" x14ac:dyDescent="0.3">
      <c r="A2283" s="43">
        <v>1984743</v>
      </c>
      <c r="B2283" s="43">
        <v>16000000</v>
      </c>
      <c r="D2283">
        <f t="shared" si="35"/>
        <v>-14015257</v>
      </c>
    </row>
    <row r="2284" spans="1:4" x14ac:dyDescent="0.3">
      <c r="A2284" s="42">
        <v>1666262</v>
      </c>
      <c r="B2284" s="42">
        <v>16000000</v>
      </c>
      <c r="D2284">
        <f t="shared" si="35"/>
        <v>-14333738</v>
      </c>
    </row>
    <row r="2285" spans="1:4" x14ac:dyDescent="0.3">
      <c r="A2285" s="43">
        <v>2319187</v>
      </c>
      <c r="B2285" s="43">
        <v>20000000</v>
      </c>
      <c r="D2285">
        <f t="shared" si="35"/>
        <v>-17680813</v>
      </c>
    </row>
    <row r="2286" spans="1:4" x14ac:dyDescent="0.3">
      <c r="A2286" s="42">
        <v>13922211</v>
      </c>
      <c r="B2286" s="42">
        <v>16000000</v>
      </c>
      <c r="D2286">
        <f t="shared" si="35"/>
        <v>-2077789</v>
      </c>
    </row>
    <row r="2287" spans="1:4" x14ac:dyDescent="0.3">
      <c r="A2287" s="43">
        <v>23091</v>
      </c>
      <c r="B2287" s="43">
        <v>15000000</v>
      </c>
      <c r="D2287">
        <f t="shared" si="35"/>
        <v>-14976909</v>
      </c>
    </row>
    <row r="2288" spans="1:4" x14ac:dyDescent="0.3">
      <c r="A2288" s="42">
        <v>336467</v>
      </c>
      <c r="B2288" s="42">
        <v>13000000</v>
      </c>
      <c r="D2288">
        <f t="shared" si="35"/>
        <v>-12663533</v>
      </c>
    </row>
    <row r="2289" spans="1:4" x14ac:dyDescent="0.3">
      <c r="A2289" s="43">
        <v>2964</v>
      </c>
      <c r="B2289" s="43">
        <v>16000000</v>
      </c>
      <c r="D2289">
        <f t="shared" si="35"/>
        <v>-15997036</v>
      </c>
    </row>
    <row r="2290" spans="1:4" x14ac:dyDescent="0.3">
      <c r="A2290" s="42">
        <v>2428883</v>
      </c>
      <c r="B2290" s="42">
        <v>16000000</v>
      </c>
      <c r="D2290">
        <f t="shared" si="35"/>
        <v>-13571117</v>
      </c>
    </row>
    <row r="2291" spans="1:4" x14ac:dyDescent="0.3">
      <c r="A2291" s="43">
        <v>13571817</v>
      </c>
      <c r="B2291" s="43">
        <v>15600000</v>
      </c>
      <c r="D2291">
        <f t="shared" si="35"/>
        <v>-2028183</v>
      </c>
    </row>
    <row r="2292" spans="1:4" x14ac:dyDescent="0.3">
      <c r="A2292" s="42">
        <v>1181197</v>
      </c>
      <c r="B2292" s="42">
        <v>15500000</v>
      </c>
      <c r="D2292">
        <f t="shared" si="35"/>
        <v>-14318803</v>
      </c>
    </row>
    <row r="2293" spans="1:4" x14ac:dyDescent="0.3">
      <c r="A2293" s="43">
        <v>81525</v>
      </c>
      <c r="B2293" s="43">
        <v>15300000</v>
      </c>
      <c r="D2293">
        <f t="shared" si="35"/>
        <v>-15218475</v>
      </c>
    </row>
    <row r="2294" spans="1:4" x14ac:dyDescent="0.3">
      <c r="A2294" s="42">
        <v>7774730</v>
      </c>
      <c r="B2294" s="42">
        <v>15500000</v>
      </c>
      <c r="D2294">
        <f t="shared" si="35"/>
        <v>-7725270</v>
      </c>
    </row>
    <row r="2295" spans="1:4" x14ac:dyDescent="0.3">
      <c r="A2295" s="43">
        <v>234760500</v>
      </c>
      <c r="B2295" s="43">
        <v>14000000</v>
      </c>
      <c r="D2295">
        <f t="shared" si="35"/>
        <v>220760500</v>
      </c>
    </row>
    <row r="2296" spans="1:4" x14ac:dyDescent="0.3">
      <c r="A2296" s="42">
        <v>285761243</v>
      </c>
      <c r="B2296" s="42">
        <v>18000000</v>
      </c>
      <c r="D2296">
        <f t="shared" si="35"/>
        <v>267761243</v>
      </c>
    </row>
    <row r="2297" spans="1:4" x14ac:dyDescent="0.3">
      <c r="A2297" s="43">
        <v>167780960</v>
      </c>
      <c r="B2297" s="43">
        <v>11000000</v>
      </c>
      <c r="D2297">
        <f t="shared" si="35"/>
        <v>156780960</v>
      </c>
    </row>
    <row r="2298" spans="1:4" x14ac:dyDescent="0.3">
      <c r="A2298" s="42">
        <v>177200000</v>
      </c>
      <c r="B2298" s="42">
        <v>22000000</v>
      </c>
      <c r="D2298">
        <f t="shared" si="35"/>
        <v>155200000</v>
      </c>
    </row>
    <row r="2299" spans="1:4" x14ac:dyDescent="0.3">
      <c r="A2299" s="43">
        <v>176781728</v>
      </c>
      <c r="B2299" s="43">
        <v>15000000</v>
      </c>
      <c r="D2299">
        <f t="shared" si="35"/>
        <v>161781728</v>
      </c>
    </row>
    <row r="2300" spans="1:4" x14ac:dyDescent="0.3">
      <c r="A2300" s="42">
        <v>128067808</v>
      </c>
      <c r="B2300" s="42">
        <v>15000000</v>
      </c>
      <c r="D2300">
        <f t="shared" si="35"/>
        <v>113067808</v>
      </c>
    </row>
    <row r="2301" spans="1:4" x14ac:dyDescent="0.3">
      <c r="A2301" s="43">
        <v>138795342</v>
      </c>
      <c r="B2301" s="43">
        <v>15000000</v>
      </c>
      <c r="D2301">
        <f t="shared" si="35"/>
        <v>123795342</v>
      </c>
    </row>
    <row r="2302" spans="1:4" x14ac:dyDescent="0.3">
      <c r="A2302" s="42">
        <v>111936400</v>
      </c>
      <c r="B2302" s="42">
        <v>15000000</v>
      </c>
      <c r="D2302">
        <f t="shared" si="35"/>
        <v>96936400</v>
      </c>
    </row>
    <row r="2303" spans="1:4" x14ac:dyDescent="0.3">
      <c r="A2303" s="43">
        <v>317040</v>
      </c>
      <c r="B2303" s="43">
        <v>15500000</v>
      </c>
      <c r="D2303">
        <f t="shared" si="35"/>
        <v>-15182960</v>
      </c>
    </row>
    <row r="2304" spans="1:4" x14ac:dyDescent="0.3">
      <c r="A2304" s="42">
        <v>94175854</v>
      </c>
      <c r="B2304" s="42">
        <v>15000000</v>
      </c>
      <c r="D2304">
        <f t="shared" si="35"/>
        <v>79175854</v>
      </c>
    </row>
    <row r="2305" spans="1:4" x14ac:dyDescent="0.3">
      <c r="A2305" s="43">
        <v>91121452</v>
      </c>
      <c r="B2305" s="43">
        <v>14000000</v>
      </c>
      <c r="D2305">
        <f t="shared" si="35"/>
        <v>77121452</v>
      </c>
    </row>
    <row r="2306" spans="1:4" x14ac:dyDescent="0.3">
      <c r="A2306" s="42">
        <v>69800000</v>
      </c>
      <c r="B2306" s="42">
        <v>10000000</v>
      </c>
      <c r="D2306">
        <f t="shared" ref="D2306:D2369" si="36">A2306-B2306</f>
        <v>59800000</v>
      </c>
    </row>
    <row r="2307" spans="1:4" x14ac:dyDescent="0.3">
      <c r="A2307" s="43">
        <v>64001297</v>
      </c>
      <c r="B2307" s="43">
        <v>15000000</v>
      </c>
      <c r="D2307">
        <f t="shared" si="36"/>
        <v>49001297</v>
      </c>
    </row>
    <row r="2308" spans="1:4" x14ac:dyDescent="0.3">
      <c r="A2308" s="42">
        <v>71588220</v>
      </c>
      <c r="B2308" s="42">
        <v>20000000</v>
      </c>
      <c r="D2308">
        <f t="shared" si="36"/>
        <v>51588220</v>
      </c>
    </row>
    <row r="2309" spans="1:4" x14ac:dyDescent="0.3">
      <c r="A2309" s="43">
        <v>61400000</v>
      </c>
      <c r="B2309" s="43">
        <v>15000000</v>
      </c>
      <c r="D2309">
        <f t="shared" si="36"/>
        <v>46400000</v>
      </c>
    </row>
    <row r="2310" spans="1:4" x14ac:dyDescent="0.3">
      <c r="A2310" s="42">
        <v>101978840</v>
      </c>
      <c r="B2310" s="42">
        <v>15000000</v>
      </c>
      <c r="D2310">
        <f t="shared" si="36"/>
        <v>86978840</v>
      </c>
    </row>
    <row r="2311" spans="1:4" x14ac:dyDescent="0.3">
      <c r="A2311" s="43">
        <v>56437947</v>
      </c>
      <c r="B2311" s="43">
        <v>9800000</v>
      </c>
      <c r="D2311">
        <f t="shared" si="36"/>
        <v>46637947</v>
      </c>
    </row>
    <row r="2312" spans="1:4" x14ac:dyDescent="0.3">
      <c r="A2312" s="42">
        <v>73326666</v>
      </c>
      <c r="B2312" s="42">
        <v>15000000</v>
      </c>
      <c r="D2312">
        <f t="shared" si="36"/>
        <v>58326666</v>
      </c>
    </row>
    <row r="2313" spans="1:4" x14ac:dyDescent="0.3">
      <c r="A2313" s="43">
        <v>55184721</v>
      </c>
      <c r="B2313" s="43">
        <v>15000000</v>
      </c>
      <c r="D2313">
        <f t="shared" si="36"/>
        <v>40184721</v>
      </c>
    </row>
    <row r="2314" spans="1:4" x14ac:dyDescent="0.3">
      <c r="A2314" s="42">
        <v>50003300</v>
      </c>
      <c r="B2314" s="42">
        <v>15000000</v>
      </c>
      <c r="D2314">
        <f t="shared" si="36"/>
        <v>35003300</v>
      </c>
    </row>
    <row r="2315" spans="1:4" x14ac:dyDescent="0.3">
      <c r="A2315" s="43">
        <v>54322273</v>
      </c>
      <c r="B2315" s="43">
        <v>17000000</v>
      </c>
      <c r="D2315">
        <f t="shared" si="36"/>
        <v>37322273</v>
      </c>
    </row>
    <row r="2316" spans="1:4" x14ac:dyDescent="0.3">
      <c r="A2316" s="42">
        <v>47860214</v>
      </c>
      <c r="B2316" s="42">
        <v>15000000</v>
      </c>
      <c r="D2316">
        <f t="shared" si="36"/>
        <v>32860214</v>
      </c>
    </row>
    <row r="2317" spans="1:4" x14ac:dyDescent="0.3">
      <c r="A2317" s="43">
        <v>47811275</v>
      </c>
      <c r="B2317" s="43">
        <v>15000000</v>
      </c>
      <c r="D2317">
        <f t="shared" si="36"/>
        <v>32811275</v>
      </c>
    </row>
    <row r="2318" spans="1:4" x14ac:dyDescent="0.3">
      <c r="A2318" s="42">
        <v>43022524</v>
      </c>
      <c r="B2318" s="42">
        <v>15000000</v>
      </c>
      <c r="D2318">
        <f t="shared" si="36"/>
        <v>28022524</v>
      </c>
    </row>
    <row r="2319" spans="1:4" x14ac:dyDescent="0.3">
      <c r="A2319" s="43">
        <v>42672630</v>
      </c>
      <c r="B2319" s="43">
        <v>17000000</v>
      </c>
      <c r="D2319">
        <f t="shared" si="36"/>
        <v>25672630</v>
      </c>
    </row>
    <row r="2320" spans="1:4" x14ac:dyDescent="0.3">
      <c r="A2320" s="42">
        <v>42919096</v>
      </c>
      <c r="B2320" s="42">
        <v>15000000</v>
      </c>
      <c r="D2320">
        <f t="shared" si="36"/>
        <v>27919096</v>
      </c>
    </row>
    <row r="2321" spans="1:4" x14ac:dyDescent="0.3">
      <c r="A2321" s="43">
        <v>42592530</v>
      </c>
      <c r="B2321" s="43">
        <v>15000000</v>
      </c>
      <c r="D2321">
        <f t="shared" si="36"/>
        <v>27592530</v>
      </c>
    </row>
    <row r="2322" spans="1:4" x14ac:dyDescent="0.3">
      <c r="A2322" s="42">
        <v>40064955</v>
      </c>
      <c r="B2322" s="42">
        <v>15000000</v>
      </c>
      <c r="D2322">
        <f t="shared" si="36"/>
        <v>25064955</v>
      </c>
    </row>
    <row r="2323" spans="1:4" x14ac:dyDescent="0.3">
      <c r="A2323" s="43">
        <v>44886089</v>
      </c>
      <c r="B2323" s="43">
        <v>10000000</v>
      </c>
      <c r="D2323">
        <f t="shared" si="36"/>
        <v>34886089</v>
      </c>
    </row>
    <row r="2324" spans="1:4" x14ac:dyDescent="0.3">
      <c r="A2324" s="42">
        <v>37882551</v>
      </c>
      <c r="B2324" s="42">
        <v>16000000</v>
      </c>
      <c r="D2324">
        <f t="shared" si="36"/>
        <v>21882551</v>
      </c>
    </row>
    <row r="2325" spans="1:4" x14ac:dyDescent="0.3">
      <c r="A2325" s="43">
        <v>40983001</v>
      </c>
      <c r="B2325" s="43">
        <v>7000000</v>
      </c>
      <c r="D2325">
        <f t="shared" si="36"/>
        <v>33983001</v>
      </c>
    </row>
    <row r="2326" spans="1:4" x14ac:dyDescent="0.3">
      <c r="A2326" s="42">
        <v>35007180</v>
      </c>
      <c r="B2326" s="42">
        <v>15000000</v>
      </c>
      <c r="D2326">
        <f t="shared" si="36"/>
        <v>20007180</v>
      </c>
    </row>
    <row r="2327" spans="1:4" x14ac:dyDescent="0.3">
      <c r="A2327" s="43">
        <v>35887263</v>
      </c>
      <c r="B2327" s="43">
        <v>15000000</v>
      </c>
      <c r="D2327">
        <f t="shared" si="36"/>
        <v>20887263</v>
      </c>
    </row>
    <row r="2328" spans="1:4" x14ac:dyDescent="0.3">
      <c r="A2328" s="42">
        <v>33771174</v>
      </c>
      <c r="B2328" s="42">
        <v>15000000</v>
      </c>
      <c r="D2328">
        <f t="shared" si="36"/>
        <v>18771174</v>
      </c>
    </row>
    <row r="2329" spans="1:4" x14ac:dyDescent="0.3">
      <c r="A2329" s="43">
        <v>6000000</v>
      </c>
      <c r="B2329" s="43">
        <v>15000000</v>
      </c>
      <c r="D2329">
        <f t="shared" si="36"/>
        <v>-9000000</v>
      </c>
    </row>
    <row r="2330" spans="1:4" x14ac:dyDescent="0.3">
      <c r="A2330" s="42">
        <v>33386128</v>
      </c>
      <c r="B2330" s="42">
        <v>15000000</v>
      </c>
      <c r="D2330">
        <f t="shared" si="36"/>
        <v>18386128</v>
      </c>
    </row>
    <row r="2331" spans="1:4" x14ac:dyDescent="0.3">
      <c r="A2331" s="43">
        <v>37877959</v>
      </c>
      <c r="B2331" s="43">
        <v>15000000</v>
      </c>
      <c r="D2331">
        <f t="shared" si="36"/>
        <v>22877959</v>
      </c>
    </row>
    <row r="2332" spans="1:4" x14ac:dyDescent="0.3">
      <c r="A2332" s="42">
        <v>32721635</v>
      </c>
      <c r="B2332" s="42">
        <v>15000000</v>
      </c>
      <c r="D2332">
        <f t="shared" si="36"/>
        <v>17721635</v>
      </c>
    </row>
    <row r="2333" spans="1:4" x14ac:dyDescent="0.3">
      <c r="A2333" s="43">
        <v>31585300</v>
      </c>
      <c r="B2333" s="43">
        <v>15000000</v>
      </c>
      <c r="D2333">
        <f t="shared" si="36"/>
        <v>16585300</v>
      </c>
    </row>
    <row r="2334" spans="1:4" x14ac:dyDescent="0.3">
      <c r="A2334" s="42">
        <v>30259652</v>
      </c>
      <c r="B2334" s="42">
        <v>15000000</v>
      </c>
      <c r="D2334">
        <f t="shared" si="36"/>
        <v>15259652</v>
      </c>
    </row>
    <row r="2335" spans="1:4" x14ac:dyDescent="0.3">
      <c r="A2335" s="43">
        <v>30857814</v>
      </c>
      <c r="B2335" s="43">
        <v>16000000</v>
      </c>
      <c r="D2335">
        <f t="shared" si="36"/>
        <v>14857814</v>
      </c>
    </row>
    <row r="2336" spans="1:4" x14ac:dyDescent="0.3">
      <c r="A2336" s="42">
        <v>30226144</v>
      </c>
      <c r="B2336" s="42">
        <v>15000000</v>
      </c>
      <c r="D2336">
        <f t="shared" si="36"/>
        <v>15226144</v>
      </c>
    </row>
    <row r="2337" spans="1:4" x14ac:dyDescent="0.3">
      <c r="A2337" s="43">
        <v>35054909</v>
      </c>
      <c r="B2337" s="43">
        <v>15000000</v>
      </c>
      <c r="D2337">
        <f t="shared" si="36"/>
        <v>20054909</v>
      </c>
    </row>
    <row r="2338" spans="1:4" x14ac:dyDescent="0.3">
      <c r="A2338" s="42">
        <v>29302097</v>
      </c>
      <c r="B2338" s="42">
        <v>15000000</v>
      </c>
      <c r="D2338">
        <f t="shared" si="36"/>
        <v>14302097</v>
      </c>
    </row>
    <row r="2339" spans="1:4" x14ac:dyDescent="0.3">
      <c r="A2339" s="43">
        <v>29106737</v>
      </c>
      <c r="B2339" s="43">
        <v>15000000</v>
      </c>
      <c r="D2339">
        <f t="shared" si="36"/>
        <v>14106737</v>
      </c>
    </row>
    <row r="2340" spans="1:4" x14ac:dyDescent="0.3">
      <c r="A2340" s="42">
        <v>28637507</v>
      </c>
      <c r="B2340" s="42">
        <v>15000000</v>
      </c>
      <c r="D2340">
        <f t="shared" si="36"/>
        <v>13637507</v>
      </c>
    </row>
    <row r="2341" spans="1:4" x14ac:dyDescent="0.3">
      <c r="A2341" s="43">
        <v>30127963</v>
      </c>
      <c r="B2341" s="43">
        <v>15000000</v>
      </c>
      <c r="D2341">
        <f t="shared" si="36"/>
        <v>15127963</v>
      </c>
    </row>
    <row r="2342" spans="1:4" x14ac:dyDescent="0.3">
      <c r="A2342" s="42">
        <v>32645546</v>
      </c>
      <c r="B2342" s="42">
        <v>14000000</v>
      </c>
      <c r="D2342">
        <f t="shared" si="36"/>
        <v>18645546</v>
      </c>
    </row>
    <row r="2343" spans="1:4" x14ac:dyDescent="0.3">
      <c r="A2343" s="43">
        <v>27441122</v>
      </c>
      <c r="B2343" s="43">
        <v>15000000</v>
      </c>
      <c r="D2343">
        <f t="shared" si="36"/>
        <v>12441122</v>
      </c>
    </row>
    <row r="2344" spans="1:4" x14ac:dyDescent="0.3">
      <c r="A2344" s="42">
        <v>28014536</v>
      </c>
      <c r="B2344" s="42">
        <v>15000000</v>
      </c>
      <c r="D2344">
        <f t="shared" si="36"/>
        <v>13014536</v>
      </c>
    </row>
    <row r="2345" spans="1:4" x14ac:dyDescent="0.3">
      <c r="A2345" s="43">
        <v>33860010</v>
      </c>
      <c r="B2345" s="43">
        <v>15000000</v>
      </c>
      <c r="D2345">
        <f t="shared" si="36"/>
        <v>18860010</v>
      </c>
    </row>
    <row r="2346" spans="1:4" x14ac:dyDescent="0.3">
      <c r="A2346" s="42">
        <v>26421314</v>
      </c>
      <c r="B2346" s="42">
        <v>15000000</v>
      </c>
      <c r="D2346">
        <f t="shared" si="36"/>
        <v>11421314</v>
      </c>
    </row>
    <row r="2347" spans="1:4" x14ac:dyDescent="0.3">
      <c r="A2347" s="43">
        <v>24881000</v>
      </c>
      <c r="B2347" s="43">
        <v>15000000</v>
      </c>
      <c r="D2347">
        <f t="shared" si="36"/>
        <v>9881000</v>
      </c>
    </row>
    <row r="2348" spans="1:4" x14ac:dyDescent="0.3">
      <c r="A2348" s="42">
        <v>23089926</v>
      </c>
      <c r="B2348" s="42">
        <v>15000000</v>
      </c>
      <c r="D2348">
        <f t="shared" si="36"/>
        <v>8089926</v>
      </c>
    </row>
    <row r="2349" spans="1:4" x14ac:dyDescent="0.3">
      <c r="A2349" s="43">
        <v>26161406</v>
      </c>
      <c r="B2349" s="43">
        <v>15000000</v>
      </c>
      <c r="D2349">
        <f t="shared" si="36"/>
        <v>11161406</v>
      </c>
    </row>
    <row r="2350" spans="1:4" x14ac:dyDescent="0.3">
      <c r="A2350" s="42">
        <v>22954968</v>
      </c>
      <c r="B2350" s="42">
        <v>11500000</v>
      </c>
      <c r="D2350">
        <f t="shared" si="36"/>
        <v>11454968</v>
      </c>
    </row>
    <row r="2351" spans="1:4" x14ac:dyDescent="0.3">
      <c r="A2351" s="43">
        <v>26384919</v>
      </c>
      <c r="B2351" s="43">
        <v>15000000</v>
      </c>
      <c r="D2351">
        <f t="shared" si="36"/>
        <v>11384919</v>
      </c>
    </row>
    <row r="2352" spans="1:4" x14ac:dyDescent="0.3">
      <c r="A2352" s="42">
        <v>22189039</v>
      </c>
      <c r="B2352" s="42">
        <v>15000000</v>
      </c>
      <c r="D2352">
        <f t="shared" si="36"/>
        <v>7189039</v>
      </c>
    </row>
    <row r="2353" spans="1:4" x14ac:dyDescent="0.3">
      <c r="A2353" s="43">
        <v>20998709</v>
      </c>
      <c r="B2353" s="43">
        <v>15000000</v>
      </c>
      <c r="D2353">
        <f t="shared" si="36"/>
        <v>5998709</v>
      </c>
    </row>
    <row r="2354" spans="1:4" x14ac:dyDescent="0.3">
      <c r="A2354" s="42">
        <v>20801344</v>
      </c>
      <c r="B2354" s="42">
        <v>15000000</v>
      </c>
      <c r="D2354">
        <f t="shared" si="36"/>
        <v>5801344</v>
      </c>
    </row>
    <row r="2355" spans="1:4" x14ac:dyDescent="0.3">
      <c r="A2355" s="43">
        <v>21468807</v>
      </c>
      <c r="B2355" s="43">
        <v>14000000</v>
      </c>
      <c r="D2355">
        <f t="shared" si="36"/>
        <v>7468807</v>
      </c>
    </row>
    <row r="2356" spans="1:4" x14ac:dyDescent="0.3">
      <c r="A2356" s="42">
        <v>19158074</v>
      </c>
      <c r="B2356" s="42">
        <v>15000000</v>
      </c>
      <c r="D2356">
        <f t="shared" si="36"/>
        <v>4158074</v>
      </c>
    </row>
    <row r="2357" spans="1:4" x14ac:dyDescent="0.3">
      <c r="A2357" s="43">
        <v>18843314</v>
      </c>
      <c r="B2357" s="43">
        <v>20000000</v>
      </c>
      <c r="D2357">
        <f t="shared" si="36"/>
        <v>-1156686</v>
      </c>
    </row>
    <row r="2358" spans="1:4" x14ac:dyDescent="0.3">
      <c r="A2358" s="42">
        <v>20566327</v>
      </c>
      <c r="B2358" s="42">
        <v>15000000</v>
      </c>
      <c r="D2358">
        <f t="shared" si="36"/>
        <v>5566327</v>
      </c>
    </row>
    <row r="2359" spans="1:4" x14ac:dyDescent="0.3">
      <c r="A2359" s="43">
        <v>20218921</v>
      </c>
      <c r="B2359" s="43">
        <v>15000000</v>
      </c>
      <c r="D2359">
        <f t="shared" si="36"/>
        <v>5218921</v>
      </c>
    </row>
    <row r="2360" spans="1:4" x14ac:dyDescent="0.3">
      <c r="A2360" s="42">
        <v>17411331</v>
      </c>
      <c r="B2360" s="42">
        <v>15000000</v>
      </c>
      <c r="D2360">
        <f t="shared" si="36"/>
        <v>2411331</v>
      </c>
    </row>
    <row r="2361" spans="1:4" x14ac:dyDescent="0.3">
      <c r="A2361" s="43">
        <v>21383298</v>
      </c>
      <c r="B2361" s="43">
        <v>15000000</v>
      </c>
      <c r="D2361">
        <f t="shared" si="36"/>
        <v>6383298</v>
      </c>
    </row>
    <row r="2362" spans="1:4" x14ac:dyDescent="0.3">
      <c r="A2362" s="42">
        <v>24984868</v>
      </c>
      <c r="B2362" s="42">
        <v>15000000</v>
      </c>
      <c r="D2362">
        <f t="shared" si="36"/>
        <v>9984868</v>
      </c>
    </row>
    <row r="2363" spans="1:4" x14ac:dyDescent="0.3">
      <c r="A2363" s="43">
        <v>16459004</v>
      </c>
      <c r="B2363" s="43">
        <v>15000000</v>
      </c>
      <c r="D2363">
        <f t="shared" si="36"/>
        <v>1459004</v>
      </c>
    </row>
    <row r="2364" spans="1:4" x14ac:dyDescent="0.3">
      <c r="A2364" s="42">
        <v>15700000</v>
      </c>
      <c r="B2364" s="42">
        <v>15000000</v>
      </c>
      <c r="D2364">
        <f t="shared" si="36"/>
        <v>700000</v>
      </c>
    </row>
    <row r="2365" spans="1:4" x14ac:dyDescent="0.3">
      <c r="A2365" s="43">
        <v>15100000</v>
      </c>
      <c r="B2365" s="43">
        <v>15000000</v>
      </c>
      <c r="D2365">
        <f t="shared" si="36"/>
        <v>100000</v>
      </c>
    </row>
    <row r="2366" spans="1:4" x14ac:dyDescent="0.3">
      <c r="A2366" s="42">
        <v>14938570</v>
      </c>
      <c r="B2366" s="42">
        <v>15000000</v>
      </c>
      <c r="D2366">
        <f t="shared" si="36"/>
        <v>-61430</v>
      </c>
    </row>
    <row r="2367" spans="1:4" x14ac:dyDescent="0.3">
      <c r="A2367" s="43">
        <v>17237244</v>
      </c>
      <c r="B2367" s="43">
        <v>15000000</v>
      </c>
      <c r="D2367">
        <f t="shared" si="36"/>
        <v>2237244</v>
      </c>
    </row>
    <row r="2368" spans="1:4" x14ac:dyDescent="0.3">
      <c r="A2368" s="42">
        <v>14249005</v>
      </c>
      <c r="B2368" s="42">
        <v>15000000</v>
      </c>
      <c r="D2368">
        <f t="shared" si="36"/>
        <v>-750995</v>
      </c>
    </row>
    <row r="2369" spans="1:4" x14ac:dyDescent="0.3">
      <c r="A2369" s="43">
        <v>12801190</v>
      </c>
      <c r="B2369" s="43">
        <v>15000000</v>
      </c>
      <c r="D2369">
        <f t="shared" si="36"/>
        <v>-2198810</v>
      </c>
    </row>
    <row r="2370" spans="1:4" x14ac:dyDescent="0.3">
      <c r="A2370" s="42">
        <v>12549485</v>
      </c>
      <c r="B2370" s="42">
        <v>15000000</v>
      </c>
      <c r="D2370">
        <f t="shared" ref="D2370:D2433" si="37">A2370-B2370</f>
        <v>-2450515</v>
      </c>
    </row>
    <row r="2371" spans="1:4" x14ac:dyDescent="0.3">
      <c r="A2371" s="43">
        <v>13766014</v>
      </c>
      <c r="B2371" s="43">
        <v>15000000</v>
      </c>
      <c r="D2371">
        <f t="shared" si="37"/>
        <v>-1233986</v>
      </c>
    </row>
    <row r="2372" spans="1:4" x14ac:dyDescent="0.3">
      <c r="A2372" s="42">
        <v>13034417</v>
      </c>
      <c r="B2372" s="42">
        <v>15000000</v>
      </c>
      <c r="D2372">
        <f t="shared" si="37"/>
        <v>-1965583</v>
      </c>
    </row>
    <row r="2373" spans="1:4" x14ac:dyDescent="0.3">
      <c r="A2373" s="43">
        <v>12212417</v>
      </c>
      <c r="B2373" s="43">
        <v>15000000</v>
      </c>
      <c r="D2373">
        <f t="shared" si="37"/>
        <v>-2787583</v>
      </c>
    </row>
    <row r="2374" spans="1:4" x14ac:dyDescent="0.3">
      <c r="A2374" s="42">
        <v>11614236</v>
      </c>
      <c r="B2374" s="42">
        <v>15000000</v>
      </c>
      <c r="D2374">
        <f t="shared" si="37"/>
        <v>-3385764</v>
      </c>
    </row>
    <row r="2375" spans="1:4" x14ac:dyDescent="0.3">
      <c r="A2375" s="43">
        <v>13337299</v>
      </c>
      <c r="B2375" s="43">
        <v>20000000</v>
      </c>
      <c r="D2375">
        <f t="shared" si="37"/>
        <v>-6662701</v>
      </c>
    </row>
    <row r="2376" spans="1:4" x14ac:dyDescent="0.3">
      <c r="A2376" s="42">
        <v>10763469</v>
      </c>
      <c r="B2376" s="42">
        <v>15000000</v>
      </c>
      <c r="D2376">
        <f t="shared" si="37"/>
        <v>-4236531</v>
      </c>
    </row>
    <row r="2377" spans="1:4" x14ac:dyDescent="0.3">
      <c r="A2377" s="43">
        <v>11144518</v>
      </c>
      <c r="B2377" s="43">
        <v>15000000</v>
      </c>
      <c r="D2377">
        <f t="shared" si="37"/>
        <v>-3855482</v>
      </c>
    </row>
    <row r="2378" spans="1:4" x14ac:dyDescent="0.3">
      <c r="A2378" s="42">
        <v>15608545</v>
      </c>
      <c r="B2378" s="42">
        <v>15000000</v>
      </c>
      <c r="D2378">
        <f t="shared" si="37"/>
        <v>608545</v>
      </c>
    </row>
    <row r="2379" spans="1:4" x14ac:dyDescent="0.3">
      <c r="A2379" s="43">
        <v>10443316</v>
      </c>
      <c r="B2379" s="43">
        <v>15000000</v>
      </c>
      <c r="D2379">
        <f t="shared" si="37"/>
        <v>-4556684</v>
      </c>
    </row>
    <row r="2380" spans="1:4" x14ac:dyDescent="0.3">
      <c r="A2380" s="42">
        <v>10494147</v>
      </c>
      <c r="B2380" s="42">
        <v>15000000</v>
      </c>
      <c r="D2380">
        <f t="shared" si="37"/>
        <v>-4505853</v>
      </c>
    </row>
    <row r="2381" spans="1:4" x14ac:dyDescent="0.3">
      <c r="A2381" s="43">
        <v>9929000</v>
      </c>
      <c r="B2381" s="43">
        <v>15000000</v>
      </c>
      <c r="D2381">
        <f t="shared" si="37"/>
        <v>-5071000</v>
      </c>
    </row>
    <row r="2382" spans="1:4" x14ac:dyDescent="0.3">
      <c r="A2382" s="42">
        <v>10411980</v>
      </c>
      <c r="B2382" s="42">
        <v>15000000</v>
      </c>
      <c r="D2382">
        <f t="shared" si="37"/>
        <v>-4588020</v>
      </c>
    </row>
    <row r="2383" spans="1:4" x14ac:dyDescent="0.3">
      <c r="A2383" s="43">
        <v>17439163</v>
      </c>
      <c r="B2383" s="43">
        <v>15000000</v>
      </c>
      <c r="D2383">
        <f t="shared" si="37"/>
        <v>2439163</v>
      </c>
    </row>
    <row r="2384" spans="1:4" x14ac:dyDescent="0.3">
      <c r="A2384" s="42">
        <v>9396487</v>
      </c>
      <c r="B2384" s="42">
        <v>15000000</v>
      </c>
      <c r="D2384">
        <f t="shared" si="37"/>
        <v>-5603513</v>
      </c>
    </row>
    <row r="2385" spans="1:4" x14ac:dyDescent="0.3">
      <c r="A2385" s="43">
        <v>9059588</v>
      </c>
      <c r="B2385" s="43">
        <v>15000000</v>
      </c>
      <c r="D2385">
        <f t="shared" si="37"/>
        <v>-5940412</v>
      </c>
    </row>
    <row r="2386" spans="1:4" x14ac:dyDescent="0.3">
      <c r="A2386" s="42">
        <v>9172810</v>
      </c>
      <c r="B2386" s="42">
        <v>16000000</v>
      </c>
      <c r="D2386">
        <f t="shared" si="37"/>
        <v>-6827190</v>
      </c>
    </row>
    <row r="2387" spans="1:4" x14ac:dyDescent="0.3">
      <c r="A2387" s="43">
        <v>8735529</v>
      </c>
      <c r="B2387" s="43">
        <v>15000000</v>
      </c>
      <c r="D2387">
        <f t="shared" si="37"/>
        <v>-6264471</v>
      </c>
    </row>
    <row r="2388" spans="1:4" x14ac:dyDescent="0.3">
      <c r="A2388" s="42">
        <v>8586376</v>
      </c>
      <c r="B2388" s="42">
        <v>20000000</v>
      </c>
      <c r="D2388">
        <f t="shared" si="37"/>
        <v>-11413624</v>
      </c>
    </row>
    <row r="2389" spans="1:4" x14ac:dyDescent="0.3">
      <c r="A2389" s="43">
        <v>8378141</v>
      </c>
      <c r="B2389" s="43">
        <v>15000000</v>
      </c>
      <c r="D2389">
        <f t="shared" si="37"/>
        <v>-6621859</v>
      </c>
    </row>
    <row r="2390" spans="1:4" x14ac:dyDescent="0.3">
      <c r="A2390" s="42">
        <v>8080116</v>
      </c>
      <c r="B2390" s="42">
        <v>15000000</v>
      </c>
      <c r="D2390">
        <f t="shared" si="37"/>
        <v>-6919884</v>
      </c>
    </row>
    <row r="2391" spans="1:4" x14ac:dyDescent="0.3">
      <c r="A2391" s="43">
        <v>7757130</v>
      </c>
      <c r="B2391" s="43">
        <v>15000000</v>
      </c>
      <c r="D2391">
        <f t="shared" si="37"/>
        <v>-7242870</v>
      </c>
    </row>
    <row r="2392" spans="1:4" x14ac:dyDescent="0.3">
      <c r="A2392" s="42">
        <v>9123834</v>
      </c>
      <c r="B2392" s="42">
        <v>15000000</v>
      </c>
      <c r="D2392">
        <f t="shared" si="37"/>
        <v>-5876166</v>
      </c>
    </row>
    <row r="2393" spans="1:4" x14ac:dyDescent="0.3">
      <c r="A2393" s="43">
        <v>6409206</v>
      </c>
      <c r="B2393" s="43">
        <v>15000000</v>
      </c>
      <c r="D2393">
        <f t="shared" si="37"/>
        <v>-8590794</v>
      </c>
    </row>
    <row r="2394" spans="1:4" x14ac:dyDescent="0.3">
      <c r="A2394" s="42">
        <v>6373693</v>
      </c>
      <c r="B2394" s="42">
        <v>15000000</v>
      </c>
      <c r="D2394">
        <f t="shared" si="37"/>
        <v>-8626307</v>
      </c>
    </row>
    <row r="2395" spans="1:4" x14ac:dyDescent="0.3">
      <c r="A2395" s="43">
        <v>7556708</v>
      </c>
      <c r="B2395" s="43">
        <v>15000000</v>
      </c>
      <c r="D2395">
        <f t="shared" si="37"/>
        <v>-7443292</v>
      </c>
    </row>
    <row r="2396" spans="1:4" x14ac:dyDescent="0.3">
      <c r="A2396" s="42">
        <v>5306447</v>
      </c>
      <c r="B2396" s="42">
        <v>15000000</v>
      </c>
      <c r="D2396">
        <f t="shared" si="37"/>
        <v>-9693553</v>
      </c>
    </row>
    <row r="2397" spans="1:4" x14ac:dyDescent="0.3">
      <c r="A2397" s="43">
        <v>5217498</v>
      </c>
      <c r="B2397" s="43">
        <v>15000000</v>
      </c>
      <c r="D2397">
        <f t="shared" si="37"/>
        <v>-9782502</v>
      </c>
    </row>
    <row r="2398" spans="1:4" x14ac:dyDescent="0.3">
      <c r="A2398" s="42">
        <v>5023275</v>
      </c>
      <c r="B2398" s="42">
        <v>15000000</v>
      </c>
      <c r="D2398">
        <f t="shared" si="37"/>
        <v>-9976725</v>
      </c>
    </row>
    <row r="2399" spans="1:4" x14ac:dyDescent="0.3">
      <c r="A2399" s="43">
        <v>4956401</v>
      </c>
      <c r="B2399" s="43">
        <v>15000000</v>
      </c>
      <c r="D2399">
        <f t="shared" si="37"/>
        <v>-10043599</v>
      </c>
    </row>
    <row r="2400" spans="1:4" x14ac:dyDescent="0.3">
      <c r="A2400" s="42">
        <v>4235837</v>
      </c>
      <c r="B2400" s="42">
        <v>15000000</v>
      </c>
      <c r="D2400">
        <f t="shared" si="37"/>
        <v>-10764163</v>
      </c>
    </row>
    <row r="2401" spans="1:4" x14ac:dyDescent="0.3">
      <c r="A2401" s="43">
        <v>4002955</v>
      </c>
      <c r="B2401" s="43">
        <v>20000000</v>
      </c>
      <c r="D2401">
        <f t="shared" si="37"/>
        <v>-15997045</v>
      </c>
    </row>
    <row r="2402" spans="1:4" x14ac:dyDescent="0.3">
      <c r="A2402" s="42">
        <v>7219578</v>
      </c>
      <c r="B2402" s="42">
        <v>15000000</v>
      </c>
      <c r="D2402">
        <f t="shared" si="37"/>
        <v>-7780422</v>
      </c>
    </row>
    <row r="2403" spans="1:4" x14ac:dyDescent="0.3">
      <c r="A2403" s="43">
        <v>3247816</v>
      </c>
      <c r="B2403" s="43">
        <v>22000000</v>
      </c>
      <c r="D2403">
        <f t="shared" si="37"/>
        <v>-18752184</v>
      </c>
    </row>
    <row r="2404" spans="1:4" x14ac:dyDescent="0.3">
      <c r="A2404" s="42">
        <v>2412045</v>
      </c>
      <c r="B2404" s="42">
        <v>15000000</v>
      </c>
      <c r="D2404">
        <f t="shared" si="37"/>
        <v>-12587955</v>
      </c>
    </row>
    <row r="2405" spans="1:4" x14ac:dyDescent="0.3">
      <c r="A2405" s="43">
        <v>2203641</v>
      </c>
      <c r="B2405" s="43">
        <v>15000000</v>
      </c>
      <c r="D2405">
        <f t="shared" si="37"/>
        <v>-12796359</v>
      </c>
    </row>
    <row r="2406" spans="1:4" x14ac:dyDescent="0.3">
      <c r="A2406" s="42">
        <v>1953732</v>
      </c>
      <c r="B2406" s="42">
        <v>15000000</v>
      </c>
      <c r="D2406">
        <f t="shared" si="37"/>
        <v>-13046268</v>
      </c>
    </row>
    <row r="2407" spans="1:4" x14ac:dyDescent="0.3">
      <c r="A2407" s="43">
        <v>1954202</v>
      </c>
      <c r="B2407" s="43">
        <v>15000000</v>
      </c>
      <c r="D2407">
        <f t="shared" si="37"/>
        <v>-13045798</v>
      </c>
    </row>
    <row r="2408" spans="1:4" x14ac:dyDescent="0.3">
      <c r="A2408" s="42">
        <v>1294640</v>
      </c>
      <c r="B2408" s="42">
        <v>15000000</v>
      </c>
      <c r="D2408">
        <f t="shared" si="37"/>
        <v>-13705360</v>
      </c>
    </row>
    <row r="2409" spans="1:4" x14ac:dyDescent="0.3">
      <c r="A2409" s="43">
        <v>26435</v>
      </c>
      <c r="B2409" s="43">
        <v>6000000</v>
      </c>
      <c r="D2409">
        <f t="shared" si="37"/>
        <v>-5973565</v>
      </c>
    </row>
    <row r="2410" spans="1:4" x14ac:dyDescent="0.3">
      <c r="A2410" s="42">
        <v>1197786</v>
      </c>
      <c r="B2410" s="42">
        <v>12000000</v>
      </c>
      <c r="D2410">
        <f t="shared" si="37"/>
        <v>-10802214</v>
      </c>
    </row>
    <row r="2411" spans="1:4" x14ac:dyDescent="0.3">
      <c r="A2411" s="43">
        <v>529766</v>
      </c>
      <c r="B2411" s="43">
        <v>7000000</v>
      </c>
      <c r="D2411">
        <f t="shared" si="37"/>
        <v>-6470234</v>
      </c>
    </row>
    <row r="2412" spans="1:4" x14ac:dyDescent="0.3">
      <c r="A2412" s="42">
        <v>613556</v>
      </c>
      <c r="B2412" s="42">
        <v>15000000</v>
      </c>
      <c r="D2412">
        <f t="shared" si="37"/>
        <v>-14386444</v>
      </c>
    </row>
    <row r="2413" spans="1:4" x14ac:dyDescent="0.3">
      <c r="A2413" s="43">
        <v>353743</v>
      </c>
      <c r="B2413" s="43">
        <v>15000000</v>
      </c>
      <c r="D2413">
        <f t="shared" si="37"/>
        <v>-14646257</v>
      </c>
    </row>
    <row r="2414" spans="1:4" x14ac:dyDescent="0.3">
      <c r="A2414" s="42">
        <v>102055</v>
      </c>
      <c r="B2414" s="42">
        <v>300000000</v>
      </c>
      <c r="D2414">
        <f t="shared" si="37"/>
        <v>-299897945</v>
      </c>
    </row>
    <row r="2415" spans="1:4" x14ac:dyDescent="0.3">
      <c r="A2415" s="43">
        <v>28870</v>
      </c>
      <c r="B2415" s="43">
        <v>15000000</v>
      </c>
      <c r="D2415">
        <f t="shared" si="37"/>
        <v>-14971130</v>
      </c>
    </row>
    <row r="2416" spans="1:4" x14ac:dyDescent="0.3">
      <c r="A2416" s="42">
        <v>22723</v>
      </c>
      <c r="B2416" s="42">
        <v>25000000</v>
      </c>
      <c r="D2416">
        <f t="shared" si="37"/>
        <v>-24977277</v>
      </c>
    </row>
    <row r="2417" spans="1:4" x14ac:dyDescent="0.3">
      <c r="A2417" s="43">
        <v>20380</v>
      </c>
      <c r="B2417" s="43">
        <v>15000000</v>
      </c>
      <c r="D2417">
        <f t="shared" si="37"/>
        <v>-14979620</v>
      </c>
    </row>
    <row r="2418" spans="1:4" x14ac:dyDescent="0.3">
      <c r="A2418" s="42">
        <v>70906973</v>
      </c>
      <c r="B2418" s="42">
        <v>14600000</v>
      </c>
      <c r="D2418">
        <f t="shared" si="37"/>
        <v>56306973</v>
      </c>
    </row>
    <row r="2419" spans="1:4" x14ac:dyDescent="0.3">
      <c r="A2419" s="43">
        <v>66009973</v>
      </c>
      <c r="B2419" s="43">
        <v>14800000</v>
      </c>
      <c r="D2419">
        <f t="shared" si="37"/>
        <v>51209973</v>
      </c>
    </row>
    <row r="2420" spans="1:4" x14ac:dyDescent="0.3">
      <c r="A2420" s="42">
        <v>46338728</v>
      </c>
      <c r="B2420" s="42">
        <v>14500000</v>
      </c>
      <c r="D2420">
        <f t="shared" si="37"/>
        <v>31838728</v>
      </c>
    </row>
    <row r="2421" spans="1:4" x14ac:dyDescent="0.3">
      <c r="A2421" s="43">
        <v>101157447</v>
      </c>
      <c r="B2421" s="43">
        <v>14400000</v>
      </c>
      <c r="D2421">
        <f t="shared" si="37"/>
        <v>86757447</v>
      </c>
    </row>
    <row r="2422" spans="1:4" x14ac:dyDescent="0.3">
      <c r="A2422" s="42">
        <v>74205</v>
      </c>
      <c r="B2422" s="42">
        <v>14200000</v>
      </c>
      <c r="D2422">
        <f t="shared" si="37"/>
        <v>-14125795</v>
      </c>
    </row>
    <row r="2423" spans="1:4" x14ac:dyDescent="0.3">
      <c r="A2423" s="43">
        <v>141319195</v>
      </c>
      <c r="B2423" s="43">
        <v>15000000</v>
      </c>
      <c r="D2423">
        <f t="shared" si="37"/>
        <v>126319195</v>
      </c>
    </row>
    <row r="2424" spans="1:4" x14ac:dyDescent="0.3">
      <c r="A2424" s="42">
        <v>156645693</v>
      </c>
      <c r="B2424" s="42">
        <v>14000000</v>
      </c>
      <c r="D2424">
        <f t="shared" si="37"/>
        <v>142645693</v>
      </c>
    </row>
    <row r="2425" spans="1:4" x14ac:dyDescent="0.3">
      <c r="A2425" s="43">
        <v>178406268</v>
      </c>
      <c r="B2425" s="43">
        <v>14000000</v>
      </c>
      <c r="D2425">
        <f t="shared" si="37"/>
        <v>164406268</v>
      </c>
    </row>
    <row r="2426" spans="1:4" x14ac:dyDescent="0.3">
      <c r="A2426" s="42">
        <v>109306210</v>
      </c>
      <c r="B2426" s="42">
        <v>15800000</v>
      </c>
      <c r="D2426">
        <f t="shared" si="37"/>
        <v>93506210</v>
      </c>
    </row>
    <row r="2427" spans="1:4" x14ac:dyDescent="0.3">
      <c r="A2427" s="43">
        <v>70001698</v>
      </c>
      <c r="B2427" s="43">
        <v>14000000</v>
      </c>
      <c r="D2427">
        <f t="shared" si="37"/>
        <v>56001698</v>
      </c>
    </row>
    <row r="2428" spans="1:4" x14ac:dyDescent="0.3">
      <c r="A2428" s="42">
        <v>68856263</v>
      </c>
      <c r="B2428" s="42">
        <v>15000000</v>
      </c>
      <c r="D2428">
        <f t="shared" si="37"/>
        <v>53856263</v>
      </c>
    </row>
    <row r="2429" spans="1:4" x14ac:dyDescent="0.3">
      <c r="A2429" s="43">
        <v>51527787</v>
      </c>
      <c r="B2429" s="43">
        <v>15000000</v>
      </c>
      <c r="D2429">
        <f t="shared" si="37"/>
        <v>36527787</v>
      </c>
    </row>
    <row r="2430" spans="1:4" x14ac:dyDescent="0.3">
      <c r="A2430" s="42">
        <v>61356221</v>
      </c>
      <c r="B2430" s="42">
        <v>14000000</v>
      </c>
      <c r="D2430">
        <f t="shared" si="37"/>
        <v>47356221</v>
      </c>
    </row>
    <row r="2431" spans="1:4" x14ac:dyDescent="0.3">
      <c r="A2431" s="43">
        <v>46800000</v>
      </c>
      <c r="B2431" s="43">
        <v>14000000</v>
      </c>
      <c r="D2431">
        <f t="shared" si="37"/>
        <v>32800000</v>
      </c>
    </row>
    <row r="2432" spans="1:4" x14ac:dyDescent="0.3">
      <c r="A2432" s="42">
        <v>38048637</v>
      </c>
      <c r="B2432" s="42">
        <v>14000000</v>
      </c>
      <c r="D2432">
        <f t="shared" si="37"/>
        <v>24048637</v>
      </c>
    </row>
    <row r="2433" spans="1:4" x14ac:dyDescent="0.3">
      <c r="A2433" s="43">
        <v>34793160</v>
      </c>
      <c r="B2433" s="43">
        <v>14000000</v>
      </c>
      <c r="D2433">
        <f t="shared" si="37"/>
        <v>20793160</v>
      </c>
    </row>
    <row r="2434" spans="1:4" x14ac:dyDescent="0.3">
      <c r="A2434" s="42">
        <v>30628981</v>
      </c>
      <c r="B2434" s="42">
        <v>14000000</v>
      </c>
      <c r="D2434">
        <f t="shared" ref="D2434:D2497" si="38">A2434-B2434</f>
        <v>16628981</v>
      </c>
    </row>
    <row r="2435" spans="1:4" x14ac:dyDescent="0.3">
      <c r="A2435" s="43">
        <v>29959436</v>
      </c>
      <c r="B2435" s="43">
        <v>13000000</v>
      </c>
      <c r="D2435">
        <f t="shared" si="38"/>
        <v>16959436</v>
      </c>
    </row>
    <row r="2436" spans="1:4" x14ac:dyDescent="0.3">
      <c r="A2436" s="42">
        <v>25571351</v>
      </c>
      <c r="B2436" s="42">
        <v>14000000</v>
      </c>
      <c r="D2436">
        <f t="shared" si="38"/>
        <v>11571351</v>
      </c>
    </row>
    <row r="2437" spans="1:4" x14ac:dyDescent="0.3">
      <c r="A2437" s="43">
        <v>27515786</v>
      </c>
      <c r="B2437" s="43">
        <v>14000000</v>
      </c>
      <c r="D2437">
        <f t="shared" si="38"/>
        <v>13515786</v>
      </c>
    </row>
    <row r="2438" spans="1:4" x14ac:dyDescent="0.3">
      <c r="A2438" s="42">
        <v>25482931</v>
      </c>
      <c r="B2438" s="42">
        <v>14000000</v>
      </c>
      <c r="D2438">
        <f t="shared" si="38"/>
        <v>11482931</v>
      </c>
    </row>
    <row r="2439" spans="1:4" x14ac:dyDescent="0.3">
      <c r="A2439" s="43">
        <v>19900000</v>
      </c>
      <c r="B2439" s="43">
        <v>20000000</v>
      </c>
      <c r="D2439">
        <f t="shared" si="38"/>
        <v>-100000</v>
      </c>
    </row>
    <row r="2440" spans="1:4" x14ac:dyDescent="0.3">
      <c r="A2440" s="42">
        <v>16298046</v>
      </c>
      <c r="B2440" s="42">
        <v>14000000</v>
      </c>
      <c r="D2440">
        <f t="shared" si="38"/>
        <v>2298046</v>
      </c>
    </row>
    <row r="2441" spans="1:4" x14ac:dyDescent="0.3">
      <c r="A2441" s="43">
        <v>15549702</v>
      </c>
      <c r="B2441" s="43">
        <v>14000000</v>
      </c>
      <c r="D2441">
        <f t="shared" si="38"/>
        <v>1549702</v>
      </c>
    </row>
    <row r="2442" spans="1:4" x14ac:dyDescent="0.3">
      <c r="A2442" s="42">
        <v>15483540</v>
      </c>
      <c r="B2442" s="42">
        <v>14000000</v>
      </c>
      <c r="D2442">
        <f t="shared" si="38"/>
        <v>1483540</v>
      </c>
    </row>
    <row r="2443" spans="1:4" x14ac:dyDescent="0.3">
      <c r="A2443" s="43">
        <v>20246959</v>
      </c>
      <c r="B2443" s="43">
        <v>14000000</v>
      </c>
      <c r="D2443">
        <f t="shared" si="38"/>
        <v>6246959</v>
      </c>
    </row>
    <row r="2444" spans="1:4" x14ac:dyDescent="0.3">
      <c r="A2444" s="42">
        <v>15062898</v>
      </c>
      <c r="B2444" s="42">
        <v>14000000</v>
      </c>
      <c r="D2444">
        <f t="shared" si="38"/>
        <v>1062898</v>
      </c>
    </row>
    <row r="2445" spans="1:4" x14ac:dyDescent="0.3">
      <c r="A2445" s="43">
        <v>14348123</v>
      </c>
      <c r="B2445" s="43">
        <v>12000000</v>
      </c>
      <c r="D2445">
        <f t="shared" si="38"/>
        <v>2348123</v>
      </c>
    </row>
    <row r="2446" spans="1:4" x14ac:dyDescent="0.3">
      <c r="A2446" s="42">
        <v>15171475</v>
      </c>
      <c r="B2446" s="42">
        <v>8500000</v>
      </c>
      <c r="D2446">
        <f t="shared" si="38"/>
        <v>6671475</v>
      </c>
    </row>
    <row r="2447" spans="1:4" x14ac:dyDescent="0.3">
      <c r="A2447" s="43">
        <v>13640000</v>
      </c>
      <c r="B2447" s="43">
        <v>14000000</v>
      </c>
      <c r="D2447">
        <f t="shared" si="38"/>
        <v>-360000</v>
      </c>
    </row>
    <row r="2448" spans="1:4" x14ac:dyDescent="0.3">
      <c r="A2448" s="42">
        <v>12610731</v>
      </c>
      <c r="B2448" s="42">
        <v>11000000</v>
      </c>
      <c r="D2448">
        <f t="shared" si="38"/>
        <v>1610731</v>
      </c>
    </row>
    <row r="2449" spans="1:4" x14ac:dyDescent="0.3">
      <c r="A2449" s="43">
        <v>11204499</v>
      </c>
      <c r="B2449" s="43">
        <v>14000000</v>
      </c>
      <c r="D2449">
        <f t="shared" si="38"/>
        <v>-2795501</v>
      </c>
    </row>
    <row r="2450" spans="1:4" x14ac:dyDescent="0.3">
      <c r="A2450" s="42">
        <v>10397365</v>
      </c>
      <c r="B2450" s="42">
        <v>14000000</v>
      </c>
      <c r="D2450">
        <f t="shared" si="38"/>
        <v>-3602635</v>
      </c>
    </row>
    <row r="2451" spans="1:4" x14ac:dyDescent="0.3">
      <c r="A2451" s="43">
        <v>9402410</v>
      </c>
      <c r="B2451" s="43">
        <v>14000000</v>
      </c>
      <c r="D2451">
        <f t="shared" si="38"/>
        <v>-4597590</v>
      </c>
    </row>
    <row r="2452" spans="1:4" x14ac:dyDescent="0.3">
      <c r="A2452" s="42">
        <v>5459824</v>
      </c>
      <c r="B2452" s="42">
        <v>26000000</v>
      </c>
      <c r="D2452">
        <f t="shared" si="38"/>
        <v>-20540176</v>
      </c>
    </row>
    <row r="2453" spans="1:4" x14ac:dyDescent="0.3">
      <c r="A2453" s="43">
        <v>5108820</v>
      </c>
      <c r="B2453" s="43">
        <v>24000000</v>
      </c>
      <c r="D2453">
        <f t="shared" si="38"/>
        <v>-18891180</v>
      </c>
    </row>
    <row r="2454" spans="1:4" x14ac:dyDescent="0.3">
      <c r="A2454" s="42">
        <v>4741987</v>
      </c>
      <c r="B2454" s="42">
        <v>14000000</v>
      </c>
      <c r="D2454">
        <f t="shared" si="38"/>
        <v>-9258013</v>
      </c>
    </row>
    <row r="2455" spans="1:4" x14ac:dyDescent="0.3">
      <c r="A2455" s="43">
        <v>4291965</v>
      </c>
      <c r="B2455" s="43">
        <v>14000000</v>
      </c>
      <c r="D2455">
        <f t="shared" si="38"/>
        <v>-9708035</v>
      </c>
    </row>
    <row r="2456" spans="1:4" x14ac:dyDescent="0.3">
      <c r="A2456" s="42">
        <v>3100650</v>
      </c>
      <c r="B2456" s="42">
        <v>14000000</v>
      </c>
      <c r="D2456">
        <f t="shared" si="38"/>
        <v>-10899350</v>
      </c>
    </row>
    <row r="2457" spans="1:4" x14ac:dyDescent="0.3">
      <c r="A2457" s="43">
        <v>2474000</v>
      </c>
      <c r="B2457" s="43">
        <v>14000000</v>
      </c>
      <c r="D2457">
        <f t="shared" si="38"/>
        <v>-11526000</v>
      </c>
    </row>
    <row r="2458" spans="1:4" x14ac:dyDescent="0.3">
      <c r="A2458" s="42">
        <v>1000000</v>
      </c>
      <c r="B2458" s="42">
        <v>14000000</v>
      </c>
      <c r="D2458">
        <f t="shared" si="38"/>
        <v>-13000000</v>
      </c>
    </row>
    <row r="2459" spans="1:4" x14ac:dyDescent="0.3">
      <c r="A2459" s="43">
        <v>3958500</v>
      </c>
      <c r="B2459" s="43">
        <v>8200000</v>
      </c>
      <c r="D2459">
        <f t="shared" si="38"/>
        <v>-4241500</v>
      </c>
    </row>
    <row r="2460" spans="1:4" x14ac:dyDescent="0.3">
      <c r="A2460" s="42">
        <v>274299</v>
      </c>
      <c r="B2460" s="42">
        <v>103000000</v>
      </c>
      <c r="D2460">
        <f t="shared" si="38"/>
        <v>-102725701</v>
      </c>
    </row>
    <row r="2461" spans="1:4" x14ac:dyDescent="0.3">
      <c r="A2461" s="43">
        <v>183088</v>
      </c>
      <c r="B2461" s="43">
        <v>15000000</v>
      </c>
      <c r="D2461">
        <f t="shared" si="38"/>
        <v>-14816912</v>
      </c>
    </row>
    <row r="2462" spans="1:4" x14ac:dyDescent="0.3">
      <c r="A2462" s="42">
        <v>46495</v>
      </c>
      <c r="B2462" s="42">
        <v>14000000</v>
      </c>
      <c r="D2462">
        <f t="shared" si="38"/>
        <v>-13953505</v>
      </c>
    </row>
    <row r="2463" spans="1:4" x14ac:dyDescent="0.3">
      <c r="A2463" s="43">
        <v>1752214</v>
      </c>
      <c r="B2463" s="43">
        <v>14000000</v>
      </c>
      <c r="D2463">
        <f t="shared" si="38"/>
        <v>-12247786</v>
      </c>
    </row>
    <row r="2464" spans="1:4" x14ac:dyDescent="0.3">
      <c r="A2464" s="42">
        <v>83025853</v>
      </c>
      <c r="B2464" s="42">
        <v>14000000</v>
      </c>
      <c r="D2464">
        <f t="shared" si="38"/>
        <v>69025853</v>
      </c>
    </row>
    <row r="2465" spans="1:4" x14ac:dyDescent="0.3">
      <c r="A2465" s="43">
        <v>56631572</v>
      </c>
      <c r="B2465" s="43">
        <v>12000000</v>
      </c>
      <c r="D2465">
        <f t="shared" si="38"/>
        <v>44631572</v>
      </c>
    </row>
    <row r="2466" spans="1:4" x14ac:dyDescent="0.3">
      <c r="A2466" s="42">
        <v>15854988</v>
      </c>
      <c r="B2466" s="42">
        <v>13500000</v>
      </c>
      <c r="D2466">
        <f t="shared" si="38"/>
        <v>2354988</v>
      </c>
    </row>
    <row r="2467" spans="1:4" x14ac:dyDescent="0.3">
      <c r="A2467" s="43">
        <v>12282677</v>
      </c>
      <c r="B2467" s="43">
        <v>14000000</v>
      </c>
      <c r="D2467">
        <f t="shared" si="38"/>
        <v>-1717323</v>
      </c>
    </row>
    <row r="2468" spans="1:4" x14ac:dyDescent="0.3">
      <c r="A2468" s="42">
        <v>7060876</v>
      </c>
      <c r="B2468" s="42">
        <v>13500000</v>
      </c>
      <c r="D2468">
        <f t="shared" si="38"/>
        <v>-6439124</v>
      </c>
    </row>
    <row r="2469" spans="1:4" x14ac:dyDescent="0.3">
      <c r="A2469" s="43">
        <v>14989761</v>
      </c>
      <c r="B2469" s="43">
        <v>15000000</v>
      </c>
      <c r="D2469">
        <f t="shared" si="38"/>
        <v>-10239</v>
      </c>
    </row>
    <row r="2470" spans="1:4" x14ac:dyDescent="0.3">
      <c r="A2470" s="42">
        <v>5501940</v>
      </c>
      <c r="B2470" s="42">
        <v>13500000</v>
      </c>
      <c r="D2470">
        <f t="shared" si="38"/>
        <v>-7998060</v>
      </c>
    </row>
    <row r="2471" spans="1:4" x14ac:dyDescent="0.3">
      <c r="A2471" s="43">
        <v>2086345</v>
      </c>
      <c r="B2471" s="43">
        <v>10000000</v>
      </c>
      <c r="D2471">
        <f t="shared" si="38"/>
        <v>-7913655</v>
      </c>
    </row>
    <row r="2472" spans="1:4" x14ac:dyDescent="0.3">
      <c r="A2472" s="42">
        <v>123922370</v>
      </c>
      <c r="B2472" s="42">
        <v>13000000</v>
      </c>
      <c r="D2472">
        <f t="shared" si="38"/>
        <v>110922370</v>
      </c>
    </row>
    <row r="2473" spans="1:4" x14ac:dyDescent="0.3">
      <c r="A2473" s="43">
        <v>163591</v>
      </c>
      <c r="B2473" s="43">
        <v>13400000</v>
      </c>
      <c r="D2473">
        <f t="shared" si="38"/>
        <v>-13236409</v>
      </c>
    </row>
    <row r="2474" spans="1:4" x14ac:dyDescent="0.3">
      <c r="A2474" s="42">
        <v>73000942</v>
      </c>
      <c r="B2474" s="42">
        <v>13000000</v>
      </c>
      <c r="D2474">
        <f t="shared" si="38"/>
        <v>60000942</v>
      </c>
    </row>
    <row r="2475" spans="1:4" x14ac:dyDescent="0.3">
      <c r="A2475" s="43">
        <v>106952327</v>
      </c>
      <c r="B2475" s="43">
        <v>13000000</v>
      </c>
      <c r="D2475">
        <f t="shared" si="38"/>
        <v>93952327</v>
      </c>
    </row>
    <row r="2476" spans="1:4" x14ac:dyDescent="0.3">
      <c r="A2476" s="42">
        <v>57300000</v>
      </c>
      <c r="B2476" s="42">
        <v>13000000</v>
      </c>
      <c r="D2476">
        <f t="shared" si="38"/>
        <v>44300000</v>
      </c>
    </row>
    <row r="2477" spans="1:4" x14ac:dyDescent="0.3">
      <c r="A2477" s="43">
        <v>91038276</v>
      </c>
      <c r="B2477" s="43">
        <v>13000000</v>
      </c>
      <c r="D2477">
        <f t="shared" si="38"/>
        <v>78038276</v>
      </c>
    </row>
    <row r="2478" spans="1:4" x14ac:dyDescent="0.3">
      <c r="A2478" s="42">
        <v>49369900</v>
      </c>
      <c r="B2478" s="42">
        <v>7000000</v>
      </c>
      <c r="D2478">
        <f t="shared" si="38"/>
        <v>42369900</v>
      </c>
    </row>
    <row r="2479" spans="1:4" x14ac:dyDescent="0.3">
      <c r="A2479" s="43">
        <v>61693523</v>
      </c>
      <c r="B2479" s="43">
        <v>13000000</v>
      </c>
      <c r="D2479">
        <f t="shared" si="38"/>
        <v>48693523</v>
      </c>
    </row>
    <row r="2480" spans="1:4" x14ac:dyDescent="0.3">
      <c r="A2480" s="42">
        <v>46729374</v>
      </c>
      <c r="B2480" s="42">
        <v>13000000</v>
      </c>
      <c r="D2480">
        <f t="shared" si="38"/>
        <v>33729374</v>
      </c>
    </row>
    <row r="2481" spans="1:4" x14ac:dyDescent="0.3">
      <c r="A2481" s="43">
        <v>44726644</v>
      </c>
      <c r="B2481" s="43">
        <v>13000000</v>
      </c>
      <c r="D2481">
        <f t="shared" si="38"/>
        <v>31726644</v>
      </c>
    </row>
    <row r="2482" spans="1:4" x14ac:dyDescent="0.3">
      <c r="A2482" s="42">
        <v>44134898</v>
      </c>
      <c r="B2482" s="42">
        <v>13000000</v>
      </c>
      <c r="D2482">
        <f t="shared" si="38"/>
        <v>31134898</v>
      </c>
    </row>
    <row r="2483" spans="1:4" x14ac:dyDescent="0.3">
      <c r="A2483" s="43">
        <v>48637684</v>
      </c>
      <c r="B2483" s="43">
        <v>12500000</v>
      </c>
      <c r="D2483">
        <f t="shared" si="38"/>
        <v>36137684</v>
      </c>
    </row>
    <row r="2484" spans="1:4" x14ac:dyDescent="0.3">
      <c r="A2484" s="42">
        <v>38176108</v>
      </c>
      <c r="B2484" s="42">
        <v>16000000</v>
      </c>
      <c r="D2484">
        <f t="shared" si="38"/>
        <v>22176108</v>
      </c>
    </row>
    <row r="2485" spans="1:4" x14ac:dyDescent="0.3">
      <c r="A2485" s="43">
        <v>28972187</v>
      </c>
      <c r="B2485" s="43">
        <v>13000000</v>
      </c>
      <c r="D2485">
        <f t="shared" si="38"/>
        <v>15972187</v>
      </c>
    </row>
    <row r="2486" spans="1:4" x14ac:dyDescent="0.3">
      <c r="A2486" s="42">
        <v>27979400</v>
      </c>
      <c r="B2486" s="42">
        <v>8200000</v>
      </c>
      <c r="D2486">
        <f t="shared" si="38"/>
        <v>19779400</v>
      </c>
    </row>
    <row r="2487" spans="1:4" x14ac:dyDescent="0.3">
      <c r="A2487" s="43">
        <v>54257433</v>
      </c>
      <c r="B2487" s="43">
        <v>17000000</v>
      </c>
      <c r="D2487">
        <f t="shared" si="38"/>
        <v>37257433</v>
      </c>
    </row>
    <row r="2488" spans="1:4" x14ac:dyDescent="0.3">
      <c r="A2488" s="42">
        <v>23947</v>
      </c>
      <c r="B2488" s="42">
        <v>13000000</v>
      </c>
      <c r="D2488">
        <f t="shared" si="38"/>
        <v>-12976053</v>
      </c>
    </row>
    <row r="2489" spans="1:4" x14ac:dyDescent="0.3">
      <c r="A2489" s="43">
        <v>60008303</v>
      </c>
      <c r="B2489" s="43">
        <v>13000000</v>
      </c>
      <c r="D2489">
        <f t="shared" si="38"/>
        <v>47008303</v>
      </c>
    </row>
    <row r="2490" spans="1:4" x14ac:dyDescent="0.3">
      <c r="A2490" s="42">
        <v>49121934</v>
      </c>
      <c r="B2490" s="42">
        <v>13000000</v>
      </c>
      <c r="D2490">
        <f t="shared" si="38"/>
        <v>36121934</v>
      </c>
    </row>
    <row r="2491" spans="1:4" x14ac:dyDescent="0.3">
      <c r="A2491" s="43">
        <v>27141959</v>
      </c>
      <c r="B2491" s="43">
        <v>18000000</v>
      </c>
      <c r="D2491">
        <f t="shared" si="38"/>
        <v>9141959</v>
      </c>
    </row>
    <row r="2492" spans="1:4" x14ac:dyDescent="0.3">
      <c r="A2492" s="42">
        <v>27052167</v>
      </c>
      <c r="B2492" s="42">
        <v>13000000</v>
      </c>
      <c r="D2492">
        <f t="shared" si="38"/>
        <v>14052167</v>
      </c>
    </row>
    <row r="2493" spans="1:4" x14ac:dyDescent="0.3">
      <c r="A2493" s="43">
        <v>26539321</v>
      </c>
      <c r="B2493" s="43">
        <v>13000000</v>
      </c>
      <c r="D2493">
        <f t="shared" si="38"/>
        <v>13539321</v>
      </c>
    </row>
    <row r="2494" spans="1:4" x14ac:dyDescent="0.3">
      <c r="A2494" s="42">
        <v>28501605</v>
      </c>
      <c r="B2494" s="42">
        <v>13000000</v>
      </c>
      <c r="D2494">
        <f t="shared" si="38"/>
        <v>15501605</v>
      </c>
    </row>
    <row r="2495" spans="1:4" x14ac:dyDescent="0.3">
      <c r="A2495" s="43">
        <v>52543632</v>
      </c>
      <c r="B2495" s="43">
        <v>13200000</v>
      </c>
      <c r="D2495">
        <f t="shared" si="38"/>
        <v>39343632</v>
      </c>
    </row>
    <row r="2496" spans="1:4" x14ac:dyDescent="0.3">
      <c r="A2496" s="42">
        <v>25592632</v>
      </c>
      <c r="B2496" s="42">
        <v>18000000</v>
      </c>
      <c r="D2496">
        <f t="shared" si="38"/>
        <v>7592632</v>
      </c>
    </row>
    <row r="2497" spans="1:4" x14ac:dyDescent="0.3">
      <c r="A2497" s="43">
        <v>25440971</v>
      </c>
      <c r="B2497" s="43">
        <v>15000000</v>
      </c>
      <c r="D2497">
        <f t="shared" si="38"/>
        <v>10440971</v>
      </c>
    </row>
    <row r="2498" spans="1:4" x14ac:dyDescent="0.3">
      <c r="A2498" s="42">
        <v>22858926</v>
      </c>
      <c r="B2498" s="42">
        <v>13000000</v>
      </c>
      <c r="D2498">
        <f t="shared" ref="D2498:D2561" si="39">A2498-B2498</f>
        <v>9858926</v>
      </c>
    </row>
    <row r="2499" spans="1:4" x14ac:dyDescent="0.3">
      <c r="A2499" s="43">
        <v>22235901</v>
      </c>
      <c r="B2499" s="43">
        <v>6000000</v>
      </c>
      <c r="D2499">
        <f t="shared" si="39"/>
        <v>16235901</v>
      </c>
    </row>
    <row r="2500" spans="1:4" x14ac:dyDescent="0.3">
      <c r="A2500" s="42">
        <v>38916903</v>
      </c>
      <c r="B2500" s="42">
        <v>13000000</v>
      </c>
      <c r="D2500">
        <f t="shared" si="39"/>
        <v>25916903</v>
      </c>
    </row>
    <row r="2501" spans="1:4" x14ac:dyDescent="0.3">
      <c r="A2501" s="43">
        <v>16929123</v>
      </c>
      <c r="B2501" s="43">
        <v>14000000</v>
      </c>
      <c r="D2501">
        <f t="shared" si="39"/>
        <v>2929123</v>
      </c>
    </row>
    <row r="2502" spans="1:4" x14ac:dyDescent="0.3">
      <c r="A2502" s="42">
        <v>13753931</v>
      </c>
      <c r="B2502" s="42">
        <v>19000000</v>
      </c>
      <c r="D2502">
        <f t="shared" si="39"/>
        <v>-5246069</v>
      </c>
    </row>
    <row r="2503" spans="1:4" x14ac:dyDescent="0.3">
      <c r="A2503" s="43">
        <v>10996440</v>
      </c>
      <c r="B2503" s="43">
        <v>13000000</v>
      </c>
      <c r="D2503">
        <f t="shared" si="39"/>
        <v>-2003560</v>
      </c>
    </row>
    <row r="2504" spans="1:4" x14ac:dyDescent="0.3">
      <c r="A2504" s="42">
        <v>8026971</v>
      </c>
      <c r="B2504" s="42">
        <v>13000000</v>
      </c>
      <c r="D2504">
        <f t="shared" si="39"/>
        <v>-4973029</v>
      </c>
    </row>
    <row r="2505" spans="1:4" x14ac:dyDescent="0.3">
      <c r="A2505" s="43">
        <v>14677654</v>
      </c>
      <c r="B2505" s="43">
        <v>13000000</v>
      </c>
      <c r="D2505">
        <f t="shared" si="39"/>
        <v>1677654</v>
      </c>
    </row>
    <row r="2506" spans="1:4" x14ac:dyDescent="0.3">
      <c r="A2506" s="42">
        <v>7881335</v>
      </c>
      <c r="B2506" s="42">
        <v>13000000</v>
      </c>
      <c r="D2506">
        <f t="shared" si="39"/>
        <v>-5118665</v>
      </c>
    </row>
    <row r="2507" spans="1:4" x14ac:dyDescent="0.3">
      <c r="A2507" s="43">
        <v>6241697</v>
      </c>
      <c r="B2507" s="43">
        <v>13000000</v>
      </c>
      <c r="D2507">
        <f t="shared" si="39"/>
        <v>-6758303</v>
      </c>
    </row>
    <row r="2508" spans="1:4" x14ac:dyDescent="0.3">
      <c r="A2508" s="42">
        <v>5871603</v>
      </c>
      <c r="B2508" s="42">
        <v>13000000</v>
      </c>
      <c r="D2508">
        <f t="shared" si="39"/>
        <v>-7128397</v>
      </c>
    </row>
    <row r="2509" spans="1:4" x14ac:dyDescent="0.3">
      <c r="A2509" s="43">
        <v>16574731</v>
      </c>
      <c r="B2509" s="43">
        <v>13000000</v>
      </c>
      <c r="D2509">
        <f t="shared" si="39"/>
        <v>3574731</v>
      </c>
    </row>
    <row r="2510" spans="1:4" x14ac:dyDescent="0.3">
      <c r="A2510" s="42">
        <v>5002310</v>
      </c>
      <c r="B2510" s="42">
        <v>13000000</v>
      </c>
      <c r="D2510">
        <f t="shared" si="39"/>
        <v>-7997690</v>
      </c>
    </row>
    <row r="2511" spans="1:4" x14ac:dyDescent="0.3">
      <c r="A2511" s="43">
        <v>4919896</v>
      </c>
      <c r="B2511" s="43">
        <v>13000000</v>
      </c>
      <c r="D2511">
        <f t="shared" si="39"/>
        <v>-8080104</v>
      </c>
    </row>
    <row r="2512" spans="1:4" x14ac:dyDescent="0.3">
      <c r="A2512" s="42">
        <v>25675765</v>
      </c>
      <c r="B2512" s="42">
        <v>13000000</v>
      </c>
      <c r="D2512">
        <f t="shared" si="39"/>
        <v>12675765</v>
      </c>
    </row>
    <row r="2513" spans="1:4" x14ac:dyDescent="0.3">
      <c r="A2513" s="43">
        <v>4857376</v>
      </c>
      <c r="B2513" s="43">
        <v>13000000</v>
      </c>
      <c r="D2513">
        <f t="shared" si="39"/>
        <v>-8142624</v>
      </c>
    </row>
    <row r="2514" spans="1:4" x14ac:dyDescent="0.3">
      <c r="A2514" s="42">
        <v>3169424</v>
      </c>
      <c r="B2514" s="42">
        <v>13000000</v>
      </c>
      <c r="D2514">
        <f t="shared" si="39"/>
        <v>-9830576</v>
      </c>
    </row>
    <row r="2515" spans="1:4" x14ac:dyDescent="0.3">
      <c r="A2515" s="43">
        <v>18004225</v>
      </c>
      <c r="B2515" s="43">
        <v>13000000</v>
      </c>
      <c r="D2515">
        <f t="shared" si="39"/>
        <v>5004225</v>
      </c>
    </row>
    <row r="2516" spans="1:4" x14ac:dyDescent="0.3">
      <c r="A2516" s="42">
        <v>3058380</v>
      </c>
      <c r="B2516" s="42">
        <v>100000000</v>
      </c>
      <c r="D2516">
        <f t="shared" si="39"/>
        <v>-96941620</v>
      </c>
    </row>
    <row r="2517" spans="1:4" x14ac:dyDescent="0.3">
      <c r="A2517" s="43">
        <v>3074838</v>
      </c>
      <c r="B2517" s="43">
        <v>11000000</v>
      </c>
      <c r="D2517">
        <f t="shared" si="39"/>
        <v>-7925162</v>
      </c>
    </row>
    <row r="2518" spans="1:4" x14ac:dyDescent="0.3">
      <c r="A2518" s="42">
        <v>2104000</v>
      </c>
      <c r="B2518" s="42">
        <v>13000000</v>
      </c>
      <c r="D2518">
        <f t="shared" si="39"/>
        <v>-10896000</v>
      </c>
    </row>
    <row r="2519" spans="1:4" x14ac:dyDescent="0.3">
      <c r="A2519" s="43">
        <v>1172769</v>
      </c>
      <c r="B2519" s="43">
        <v>13000000</v>
      </c>
      <c r="D2519">
        <f t="shared" si="39"/>
        <v>-11827231</v>
      </c>
    </row>
    <row r="2520" spans="1:4" x14ac:dyDescent="0.3">
      <c r="A2520" s="42">
        <v>17738570</v>
      </c>
      <c r="B2520" s="42">
        <v>13000000</v>
      </c>
      <c r="D2520">
        <f t="shared" si="39"/>
        <v>4738570</v>
      </c>
    </row>
    <row r="2521" spans="1:4" x14ac:dyDescent="0.3">
      <c r="A2521" s="43">
        <v>1200000</v>
      </c>
      <c r="B2521" s="43">
        <v>3000000</v>
      </c>
      <c r="D2521">
        <f t="shared" si="39"/>
        <v>-1800000</v>
      </c>
    </row>
    <row r="2522" spans="1:4" x14ac:dyDescent="0.3">
      <c r="A2522" s="42">
        <v>1150403</v>
      </c>
      <c r="B2522" s="42">
        <v>13000000</v>
      </c>
      <c r="D2522">
        <f t="shared" si="39"/>
        <v>-11849597</v>
      </c>
    </row>
    <row r="2523" spans="1:4" x14ac:dyDescent="0.3">
      <c r="A2523" s="43">
        <v>403932</v>
      </c>
      <c r="B2523" s="43">
        <v>20000000</v>
      </c>
      <c r="D2523">
        <f t="shared" si="39"/>
        <v>-19596068</v>
      </c>
    </row>
    <row r="2524" spans="1:4" x14ac:dyDescent="0.3">
      <c r="A2524" s="42">
        <v>1712111</v>
      </c>
      <c r="B2524" s="42">
        <v>8495000</v>
      </c>
      <c r="D2524">
        <f t="shared" si="39"/>
        <v>-6782889</v>
      </c>
    </row>
    <row r="2525" spans="1:4" x14ac:dyDescent="0.3">
      <c r="A2525" s="43">
        <v>1024175</v>
      </c>
      <c r="B2525" s="43">
        <v>13000000</v>
      </c>
      <c r="D2525">
        <f t="shared" si="39"/>
        <v>-11975825</v>
      </c>
    </row>
    <row r="2526" spans="1:4" x14ac:dyDescent="0.3">
      <c r="A2526" s="42">
        <v>301305</v>
      </c>
      <c r="B2526" s="42">
        <v>13000000</v>
      </c>
      <c r="D2526">
        <f t="shared" si="39"/>
        <v>-12698695</v>
      </c>
    </row>
    <row r="2527" spans="1:4" x14ac:dyDescent="0.3">
      <c r="A2527" s="43">
        <v>51872378</v>
      </c>
      <c r="B2527" s="43">
        <v>13000000</v>
      </c>
      <c r="D2527">
        <f t="shared" si="39"/>
        <v>38872378</v>
      </c>
    </row>
    <row r="2528" spans="1:4" x14ac:dyDescent="0.3">
      <c r="A2528" s="42">
        <v>31662</v>
      </c>
      <c r="B2528" s="42">
        <v>12620000</v>
      </c>
      <c r="D2528">
        <f t="shared" si="39"/>
        <v>-12588338</v>
      </c>
    </row>
    <row r="2529" spans="1:4" x14ac:dyDescent="0.3">
      <c r="A2529" s="43">
        <v>28399192</v>
      </c>
      <c r="B2529" s="43">
        <v>13000000</v>
      </c>
      <c r="D2529">
        <f t="shared" si="39"/>
        <v>15399192</v>
      </c>
    </row>
    <row r="2530" spans="1:4" x14ac:dyDescent="0.3">
      <c r="A2530" s="42">
        <v>2035566</v>
      </c>
      <c r="B2530" s="42">
        <v>13000000</v>
      </c>
      <c r="D2530">
        <f t="shared" si="39"/>
        <v>-10964434</v>
      </c>
    </row>
    <row r="2531" spans="1:4" x14ac:dyDescent="0.3">
      <c r="A2531" s="43">
        <v>21078145</v>
      </c>
      <c r="B2531" s="43">
        <v>12500000</v>
      </c>
      <c r="D2531">
        <f t="shared" si="39"/>
        <v>8578145</v>
      </c>
    </row>
    <row r="2532" spans="1:4" x14ac:dyDescent="0.3">
      <c r="A2532" s="42">
        <v>14060950</v>
      </c>
      <c r="B2532" s="42">
        <v>12500000</v>
      </c>
      <c r="D2532">
        <f t="shared" si="39"/>
        <v>1560950</v>
      </c>
    </row>
    <row r="2533" spans="1:4" x14ac:dyDescent="0.3">
      <c r="A2533" s="43">
        <v>12281500</v>
      </c>
      <c r="B2533" s="43">
        <v>13000000</v>
      </c>
      <c r="D2533">
        <f t="shared" si="39"/>
        <v>-718500</v>
      </c>
    </row>
    <row r="2534" spans="1:4" x14ac:dyDescent="0.3">
      <c r="A2534" s="42">
        <v>10725228</v>
      </c>
      <c r="B2534" s="42">
        <v>12500000</v>
      </c>
      <c r="D2534">
        <f t="shared" si="39"/>
        <v>-1774772</v>
      </c>
    </row>
    <row r="2535" spans="1:4" x14ac:dyDescent="0.3">
      <c r="A2535" s="43">
        <v>214966</v>
      </c>
      <c r="B2535" s="43">
        <v>13000000</v>
      </c>
      <c r="D2535">
        <f t="shared" si="39"/>
        <v>-12785034</v>
      </c>
    </row>
    <row r="2536" spans="1:4" x14ac:dyDescent="0.3">
      <c r="A2536" s="42">
        <v>11956207</v>
      </c>
      <c r="B2536" s="42">
        <v>16000000</v>
      </c>
      <c r="D2536">
        <f t="shared" si="39"/>
        <v>-4043793</v>
      </c>
    </row>
    <row r="2537" spans="1:4" x14ac:dyDescent="0.3">
      <c r="A2537" s="43">
        <v>5949693</v>
      </c>
      <c r="B2537" s="43">
        <v>12000000</v>
      </c>
      <c r="D2537">
        <f t="shared" si="39"/>
        <v>-6050307</v>
      </c>
    </row>
    <row r="2538" spans="1:4" x14ac:dyDescent="0.3">
      <c r="A2538" s="42">
        <v>9030581</v>
      </c>
      <c r="B2538" s="42">
        <v>12500000</v>
      </c>
      <c r="D2538">
        <f t="shared" si="39"/>
        <v>-3469419</v>
      </c>
    </row>
    <row r="2539" spans="1:4" x14ac:dyDescent="0.3">
      <c r="A2539" s="43">
        <v>4157491</v>
      </c>
      <c r="B2539" s="43">
        <v>12800000</v>
      </c>
      <c r="D2539">
        <f t="shared" si="39"/>
        <v>-8642509</v>
      </c>
    </row>
    <row r="2540" spans="1:4" x14ac:dyDescent="0.3">
      <c r="A2540" s="42">
        <v>1508689</v>
      </c>
      <c r="B2540" s="42">
        <v>16000000</v>
      </c>
      <c r="D2540">
        <f t="shared" si="39"/>
        <v>-14491311</v>
      </c>
    </row>
    <row r="2541" spans="1:4" x14ac:dyDescent="0.3">
      <c r="A2541" s="43">
        <v>1227324</v>
      </c>
      <c r="B2541" s="43">
        <v>12500000</v>
      </c>
      <c r="D2541">
        <f t="shared" si="39"/>
        <v>-11272676</v>
      </c>
    </row>
    <row r="2542" spans="1:4" x14ac:dyDescent="0.3">
      <c r="A2542" s="42">
        <v>4360548</v>
      </c>
      <c r="B2542" s="42">
        <v>15000000</v>
      </c>
      <c r="D2542">
        <f t="shared" si="39"/>
        <v>-10639452</v>
      </c>
    </row>
    <row r="2543" spans="1:4" x14ac:dyDescent="0.3">
      <c r="A2543" s="43">
        <v>26589953</v>
      </c>
      <c r="B2543" s="43">
        <v>10500000</v>
      </c>
      <c r="D2543">
        <f t="shared" si="39"/>
        <v>16089953</v>
      </c>
    </row>
    <row r="2544" spans="1:4" x14ac:dyDescent="0.3">
      <c r="A2544" s="42">
        <v>1039869</v>
      </c>
      <c r="B2544" s="42">
        <v>15000000</v>
      </c>
      <c r="D2544">
        <f t="shared" si="39"/>
        <v>-13960131</v>
      </c>
    </row>
    <row r="2545" spans="1:4" x14ac:dyDescent="0.3">
      <c r="A2545" s="43">
        <v>48092846</v>
      </c>
      <c r="B2545" s="43">
        <v>12500000</v>
      </c>
      <c r="D2545">
        <f t="shared" si="39"/>
        <v>35592846</v>
      </c>
    </row>
    <row r="2546" spans="1:4" x14ac:dyDescent="0.3">
      <c r="A2546" s="42">
        <v>1110186</v>
      </c>
      <c r="B2546" s="42">
        <v>12800000</v>
      </c>
      <c r="D2546">
        <f t="shared" si="39"/>
        <v>-11689814</v>
      </c>
    </row>
    <row r="2547" spans="1:4" x14ac:dyDescent="0.3">
      <c r="A2547" s="43">
        <v>204565000</v>
      </c>
      <c r="B2547" s="43">
        <v>8000000</v>
      </c>
      <c r="D2547">
        <f t="shared" si="39"/>
        <v>196565000</v>
      </c>
    </row>
    <row r="2548" spans="1:4" x14ac:dyDescent="0.3">
      <c r="A2548" s="42">
        <v>260000000</v>
      </c>
      <c r="B2548" s="42">
        <v>8000000</v>
      </c>
      <c r="D2548">
        <f t="shared" si="39"/>
        <v>252000000</v>
      </c>
    </row>
    <row r="2549" spans="1:4" x14ac:dyDescent="0.3">
      <c r="A2549" s="43">
        <v>101736215</v>
      </c>
      <c r="B2549" s="43">
        <v>11000000</v>
      </c>
      <c r="D2549">
        <f t="shared" si="39"/>
        <v>90736215</v>
      </c>
    </row>
    <row r="2550" spans="1:4" x14ac:dyDescent="0.3">
      <c r="A2550" s="42">
        <v>71442</v>
      </c>
      <c r="B2550" s="42">
        <v>9600000</v>
      </c>
      <c r="D2550">
        <f t="shared" si="39"/>
        <v>-9528558</v>
      </c>
    </row>
    <row r="2551" spans="1:4" x14ac:dyDescent="0.3">
      <c r="A2551" s="43">
        <v>79817937</v>
      </c>
      <c r="B2551" s="43">
        <v>25000000</v>
      </c>
      <c r="D2551">
        <f t="shared" si="39"/>
        <v>54817937</v>
      </c>
    </row>
    <row r="2552" spans="1:4" x14ac:dyDescent="0.3">
      <c r="A2552" s="42">
        <v>91547205</v>
      </c>
      <c r="B2552" s="42">
        <v>12000000</v>
      </c>
      <c r="D2552">
        <f t="shared" si="39"/>
        <v>79547205</v>
      </c>
    </row>
    <row r="2553" spans="1:4" x14ac:dyDescent="0.3">
      <c r="A2553" s="43">
        <v>75074950</v>
      </c>
      <c r="B2553" s="43">
        <v>12000000</v>
      </c>
      <c r="D2553">
        <f t="shared" si="39"/>
        <v>63074950</v>
      </c>
    </row>
    <row r="2554" spans="1:4" x14ac:dyDescent="0.3">
      <c r="A2554" s="42">
        <v>78900000</v>
      </c>
      <c r="B2554" s="42">
        <v>11000000</v>
      </c>
      <c r="D2554">
        <f t="shared" si="39"/>
        <v>67900000</v>
      </c>
    </row>
    <row r="2555" spans="1:4" x14ac:dyDescent="0.3">
      <c r="A2555" s="43">
        <v>72217000</v>
      </c>
      <c r="B2555" s="43">
        <v>12000000</v>
      </c>
      <c r="D2555">
        <f t="shared" si="39"/>
        <v>60217000</v>
      </c>
    </row>
    <row r="2556" spans="1:4" x14ac:dyDescent="0.3">
      <c r="A2556" s="42">
        <v>79568000</v>
      </c>
      <c r="B2556" s="42">
        <v>12000000</v>
      </c>
      <c r="D2556">
        <f t="shared" si="39"/>
        <v>67568000</v>
      </c>
    </row>
    <row r="2557" spans="1:4" x14ac:dyDescent="0.3">
      <c r="A2557" s="43">
        <v>65500000</v>
      </c>
      <c r="B2557" s="43">
        <v>12000000</v>
      </c>
      <c r="D2557">
        <f t="shared" si="39"/>
        <v>53500000</v>
      </c>
    </row>
    <row r="2558" spans="1:4" x14ac:dyDescent="0.3">
      <c r="A2558" s="42">
        <v>70011073</v>
      </c>
      <c r="B2558" s="42">
        <v>12000000</v>
      </c>
      <c r="D2558">
        <f t="shared" si="39"/>
        <v>58011073</v>
      </c>
    </row>
    <row r="2559" spans="1:4" x14ac:dyDescent="0.3">
      <c r="A2559" s="43">
        <v>65269010</v>
      </c>
      <c r="B2559" s="43">
        <v>12000000</v>
      </c>
      <c r="D2559">
        <f t="shared" si="39"/>
        <v>53269010</v>
      </c>
    </row>
    <row r="2560" spans="1:4" x14ac:dyDescent="0.3">
      <c r="A2560" s="42">
        <v>63071133</v>
      </c>
      <c r="B2560" s="42">
        <v>12000000</v>
      </c>
      <c r="D2560">
        <f t="shared" si="39"/>
        <v>51071133</v>
      </c>
    </row>
    <row r="2561" spans="1:4" x14ac:dyDescent="0.3">
      <c r="A2561" s="43">
        <v>38087366</v>
      </c>
      <c r="B2561" s="43">
        <v>12000000</v>
      </c>
      <c r="D2561">
        <f t="shared" si="39"/>
        <v>26087366</v>
      </c>
    </row>
    <row r="2562" spans="1:4" x14ac:dyDescent="0.3">
      <c r="A2562" s="42">
        <v>64572496</v>
      </c>
      <c r="B2562" s="42">
        <v>12000000</v>
      </c>
      <c r="D2562">
        <f t="shared" ref="D2562:D2625" si="40">A2562-B2562</f>
        <v>52572496</v>
      </c>
    </row>
    <row r="2563" spans="1:4" x14ac:dyDescent="0.3">
      <c r="A2563" s="43">
        <v>30400000</v>
      </c>
      <c r="B2563" s="43">
        <v>12000000</v>
      </c>
      <c r="D2563">
        <f t="shared" si="40"/>
        <v>18400000</v>
      </c>
    </row>
    <row r="2564" spans="1:4" x14ac:dyDescent="0.3">
      <c r="A2564" s="42">
        <v>42365600</v>
      </c>
      <c r="B2564" s="42">
        <v>5000000</v>
      </c>
      <c r="D2564">
        <f t="shared" si="40"/>
        <v>37365600</v>
      </c>
    </row>
    <row r="2565" spans="1:4" x14ac:dyDescent="0.3">
      <c r="A2565" s="43">
        <v>37188667</v>
      </c>
      <c r="B2565" s="43">
        <v>12000000</v>
      </c>
      <c r="D2565">
        <f t="shared" si="40"/>
        <v>25188667</v>
      </c>
    </row>
    <row r="2566" spans="1:4" x14ac:dyDescent="0.3">
      <c r="A2566" s="42">
        <v>54724272</v>
      </c>
      <c r="B2566" s="42">
        <v>12000000</v>
      </c>
      <c r="D2566">
        <f t="shared" si="40"/>
        <v>42724272</v>
      </c>
    </row>
    <row r="2567" spans="1:4" x14ac:dyDescent="0.3">
      <c r="A2567" s="43">
        <v>31597131</v>
      </c>
      <c r="B2567" s="43">
        <v>12000000</v>
      </c>
      <c r="D2567">
        <f t="shared" si="40"/>
        <v>19597131</v>
      </c>
    </row>
    <row r="2568" spans="1:4" x14ac:dyDescent="0.3">
      <c r="A2568" s="42">
        <v>31691811</v>
      </c>
      <c r="B2568" s="42">
        <v>12000000</v>
      </c>
      <c r="D2568">
        <f t="shared" si="40"/>
        <v>19691811</v>
      </c>
    </row>
    <row r="2569" spans="1:4" x14ac:dyDescent="0.3">
      <c r="A2569" s="43">
        <v>31397498</v>
      </c>
      <c r="B2569" s="43">
        <v>12000000</v>
      </c>
      <c r="D2569">
        <f t="shared" si="40"/>
        <v>19397498</v>
      </c>
    </row>
    <row r="2570" spans="1:4" x14ac:dyDescent="0.3">
      <c r="A2570" s="42">
        <v>31179516</v>
      </c>
      <c r="B2570" s="42">
        <v>12000000</v>
      </c>
      <c r="D2570">
        <f t="shared" si="40"/>
        <v>19179516</v>
      </c>
    </row>
    <row r="2571" spans="1:4" x14ac:dyDescent="0.3">
      <c r="A2571" s="43">
        <v>31155435</v>
      </c>
      <c r="B2571" s="43">
        <v>12000000</v>
      </c>
      <c r="D2571">
        <f t="shared" si="40"/>
        <v>19155435</v>
      </c>
    </row>
    <row r="2572" spans="1:4" x14ac:dyDescent="0.3">
      <c r="A2572" s="42">
        <v>27281507</v>
      </c>
      <c r="B2572" s="42">
        <v>12000000</v>
      </c>
      <c r="D2572">
        <f t="shared" si="40"/>
        <v>15281507</v>
      </c>
    </row>
    <row r="2573" spans="1:4" x14ac:dyDescent="0.3">
      <c r="A2573" s="43">
        <v>25776062</v>
      </c>
      <c r="B2573" s="43">
        <v>12000000</v>
      </c>
      <c r="D2573">
        <f t="shared" si="40"/>
        <v>13776062</v>
      </c>
    </row>
    <row r="2574" spans="1:4" x14ac:dyDescent="0.3">
      <c r="A2574" s="42">
        <v>25240988</v>
      </c>
      <c r="B2574" s="42">
        <v>12000000</v>
      </c>
      <c r="D2574">
        <f t="shared" si="40"/>
        <v>13240988</v>
      </c>
    </row>
    <row r="2575" spans="1:4" x14ac:dyDescent="0.3">
      <c r="A2575" s="43">
        <v>124868837</v>
      </c>
      <c r="B2575" s="43">
        <v>12000000</v>
      </c>
      <c r="D2575">
        <f t="shared" si="40"/>
        <v>112868837</v>
      </c>
    </row>
    <row r="2576" spans="1:4" x14ac:dyDescent="0.3">
      <c r="A2576" s="42">
        <v>22905674</v>
      </c>
      <c r="B2576" s="42">
        <v>12000000</v>
      </c>
      <c r="D2576">
        <f t="shared" si="40"/>
        <v>10905674</v>
      </c>
    </row>
    <row r="2577" spans="1:4" x14ac:dyDescent="0.3">
      <c r="A2577" s="43">
        <v>25277561</v>
      </c>
      <c r="B2577" s="43">
        <v>12000000</v>
      </c>
      <c r="D2577">
        <f t="shared" si="40"/>
        <v>13277561</v>
      </c>
    </row>
    <row r="2578" spans="1:4" x14ac:dyDescent="0.3">
      <c r="A2578" s="42">
        <v>21133087</v>
      </c>
      <c r="B2578" s="42">
        <v>12000000</v>
      </c>
      <c r="D2578">
        <f t="shared" si="40"/>
        <v>9133087</v>
      </c>
    </row>
    <row r="2579" spans="1:4" x14ac:dyDescent="0.3">
      <c r="A2579" s="43">
        <v>37707719</v>
      </c>
      <c r="B2579" s="43">
        <v>12000000</v>
      </c>
      <c r="D2579">
        <f t="shared" si="40"/>
        <v>25707719</v>
      </c>
    </row>
    <row r="2580" spans="1:4" x14ac:dyDescent="0.3">
      <c r="A2580" s="42">
        <v>18761993</v>
      </c>
      <c r="B2580" s="42">
        <v>9000000</v>
      </c>
      <c r="D2580">
        <f t="shared" si="40"/>
        <v>9761993</v>
      </c>
    </row>
    <row r="2581" spans="1:4" x14ac:dyDescent="0.3">
      <c r="A2581" s="43">
        <v>18595716</v>
      </c>
      <c r="B2581" s="43">
        <v>12000000</v>
      </c>
      <c r="D2581">
        <f t="shared" si="40"/>
        <v>6595716</v>
      </c>
    </row>
    <row r="2582" spans="1:4" x14ac:dyDescent="0.3">
      <c r="A2582" s="42">
        <v>31990064</v>
      </c>
      <c r="B2582" s="42">
        <v>12000000</v>
      </c>
      <c r="D2582">
        <f t="shared" si="40"/>
        <v>19990064</v>
      </c>
    </row>
    <row r="2583" spans="1:4" x14ac:dyDescent="0.3">
      <c r="A2583" s="43">
        <v>17613460</v>
      </c>
      <c r="B2583" s="43">
        <v>12000000</v>
      </c>
      <c r="D2583">
        <f t="shared" si="40"/>
        <v>5613460</v>
      </c>
    </row>
    <row r="2584" spans="1:4" x14ac:dyDescent="0.3">
      <c r="A2584" s="42">
        <v>21088568</v>
      </c>
      <c r="B2584" s="42">
        <v>13000000</v>
      </c>
      <c r="D2584">
        <f t="shared" si="40"/>
        <v>8088568</v>
      </c>
    </row>
    <row r="2585" spans="1:4" x14ac:dyDescent="0.3">
      <c r="A2585" s="43">
        <v>17292381</v>
      </c>
      <c r="B2585" s="43">
        <v>12000000</v>
      </c>
      <c r="D2585">
        <f t="shared" si="40"/>
        <v>5292381</v>
      </c>
    </row>
    <row r="2586" spans="1:4" x14ac:dyDescent="0.3">
      <c r="A2586" s="42">
        <v>16300302</v>
      </c>
      <c r="B2586" s="42">
        <v>12000000</v>
      </c>
      <c r="D2586">
        <f t="shared" si="40"/>
        <v>4300302</v>
      </c>
    </row>
    <row r="2587" spans="1:4" x14ac:dyDescent="0.3">
      <c r="A2587" s="43">
        <v>27829874</v>
      </c>
      <c r="B2587" s="43">
        <v>12000000</v>
      </c>
      <c r="D2587">
        <f t="shared" si="40"/>
        <v>15829874</v>
      </c>
    </row>
    <row r="2588" spans="1:4" x14ac:dyDescent="0.3">
      <c r="A2588" s="42">
        <v>12902790</v>
      </c>
      <c r="B2588" s="42">
        <v>12000000</v>
      </c>
      <c r="D2588">
        <f t="shared" si="40"/>
        <v>902790</v>
      </c>
    </row>
    <row r="2589" spans="1:4" x14ac:dyDescent="0.3">
      <c r="A2589" s="43">
        <v>11433134</v>
      </c>
      <c r="B2589" s="43">
        <v>14000000</v>
      </c>
      <c r="D2589">
        <f t="shared" si="40"/>
        <v>-2566866</v>
      </c>
    </row>
    <row r="2590" spans="1:4" x14ac:dyDescent="0.3">
      <c r="A2590" s="42">
        <v>10198766</v>
      </c>
      <c r="B2590" s="42">
        <v>12000000</v>
      </c>
      <c r="D2590">
        <f t="shared" si="40"/>
        <v>-1801234</v>
      </c>
    </row>
    <row r="2591" spans="1:4" x14ac:dyDescent="0.3">
      <c r="A2591" s="43">
        <v>15294553</v>
      </c>
      <c r="B2591" s="43">
        <v>12000000</v>
      </c>
      <c r="D2591">
        <f t="shared" si="40"/>
        <v>3294553</v>
      </c>
    </row>
    <row r="2592" spans="1:4" x14ac:dyDescent="0.3">
      <c r="A2592" s="42">
        <v>11041228</v>
      </c>
      <c r="B2592" s="42">
        <v>100000000</v>
      </c>
      <c r="D2592">
        <f t="shared" si="40"/>
        <v>-88958772</v>
      </c>
    </row>
    <row r="2593" spans="1:4" x14ac:dyDescent="0.3">
      <c r="A2593" s="43">
        <v>7918283</v>
      </c>
      <c r="B2593" s="43">
        <v>12000000</v>
      </c>
      <c r="D2593">
        <f t="shared" si="40"/>
        <v>-4081717</v>
      </c>
    </row>
    <row r="2594" spans="1:4" x14ac:dyDescent="0.3">
      <c r="A2594" s="42">
        <v>22331028</v>
      </c>
      <c r="B2594" s="42">
        <v>12000000</v>
      </c>
      <c r="D2594">
        <f t="shared" si="40"/>
        <v>10331028</v>
      </c>
    </row>
    <row r="2595" spans="1:4" x14ac:dyDescent="0.3">
      <c r="A2595" s="43">
        <v>8134217</v>
      </c>
      <c r="B2595" s="43">
        <v>12000000</v>
      </c>
      <c r="D2595">
        <f t="shared" si="40"/>
        <v>-3865783</v>
      </c>
    </row>
    <row r="2596" spans="1:4" x14ac:dyDescent="0.3">
      <c r="A2596" s="42">
        <v>6982680</v>
      </c>
      <c r="B2596" s="42">
        <v>10000000</v>
      </c>
      <c r="D2596">
        <f t="shared" si="40"/>
        <v>-3017320</v>
      </c>
    </row>
    <row r="2597" spans="1:4" x14ac:dyDescent="0.3">
      <c r="A2597" s="43">
        <v>6739141</v>
      </c>
      <c r="B2597" s="43">
        <v>8000000</v>
      </c>
      <c r="D2597">
        <f t="shared" si="40"/>
        <v>-1260859</v>
      </c>
    </row>
    <row r="2598" spans="1:4" x14ac:dyDescent="0.3">
      <c r="A2598" s="42">
        <v>5542025</v>
      </c>
      <c r="B2598" s="42">
        <v>12000000</v>
      </c>
      <c r="D2598">
        <f t="shared" si="40"/>
        <v>-6457975</v>
      </c>
    </row>
    <row r="2599" spans="1:4" x14ac:dyDescent="0.3">
      <c r="A2599" s="43">
        <v>5032496</v>
      </c>
      <c r="B2599" s="43">
        <v>12000000</v>
      </c>
      <c r="D2599">
        <f t="shared" si="40"/>
        <v>-6967504</v>
      </c>
    </row>
    <row r="2600" spans="1:4" x14ac:dyDescent="0.3">
      <c r="A2600" s="42">
        <v>6754898</v>
      </c>
      <c r="B2600" s="42">
        <v>12000000</v>
      </c>
      <c r="D2600">
        <f t="shared" si="40"/>
        <v>-5245102</v>
      </c>
    </row>
    <row r="2601" spans="1:4" x14ac:dyDescent="0.3">
      <c r="A2601" s="43">
        <v>4922166</v>
      </c>
      <c r="B2601" s="43">
        <v>12000000</v>
      </c>
      <c r="D2601">
        <f t="shared" si="40"/>
        <v>-7077834</v>
      </c>
    </row>
    <row r="2602" spans="1:4" x14ac:dyDescent="0.3">
      <c r="A2602" s="42">
        <v>4903000</v>
      </c>
      <c r="B2602" s="42">
        <v>12000000</v>
      </c>
      <c r="D2602">
        <f t="shared" si="40"/>
        <v>-7097000</v>
      </c>
    </row>
    <row r="2603" spans="1:4" x14ac:dyDescent="0.3">
      <c r="A2603" s="43">
        <v>4717455</v>
      </c>
      <c r="B2603" s="43">
        <v>12000000</v>
      </c>
      <c r="D2603">
        <f t="shared" si="40"/>
        <v>-7282545</v>
      </c>
    </row>
    <row r="2604" spans="1:4" x14ac:dyDescent="0.3">
      <c r="A2604" s="42">
        <v>3148482</v>
      </c>
      <c r="B2604" s="42">
        <v>12000000</v>
      </c>
      <c r="D2604">
        <f t="shared" si="40"/>
        <v>-8851518</v>
      </c>
    </row>
    <row r="2605" spans="1:4" x14ac:dyDescent="0.3">
      <c r="A2605" s="43">
        <v>2326407</v>
      </c>
      <c r="B2605" s="43">
        <v>12000000</v>
      </c>
      <c r="D2605">
        <f t="shared" si="40"/>
        <v>-9673593</v>
      </c>
    </row>
    <row r="2606" spans="1:4" x14ac:dyDescent="0.3">
      <c r="A2606" s="42">
        <v>2201412</v>
      </c>
      <c r="B2606" s="42">
        <v>12215500000</v>
      </c>
      <c r="D2606">
        <f t="shared" si="40"/>
        <v>-12213298588</v>
      </c>
    </row>
    <row r="2607" spans="1:4" x14ac:dyDescent="0.3">
      <c r="A2607" s="43">
        <v>2060953</v>
      </c>
      <c r="B2607" s="43">
        <v>12000000</v>
      </c>
      <c r="D2607">
        <f t="shared" si="40"/>
        <v>-9939047</v>
      </c>
    </row>
    <row r="2608" spans="1:4" x14ac:dyDescent="0.3">
      <c r="A2608" s="42">
        <v>3950294</v>
      </c>
      <c r="B2608" s="42">
        <v>12000000</v>
      </c>
      <c r="D2608">
        <f t="shared" si="40"/>
        <v>-8049706</v>
      </c>
    </row>
    <row r="2609" spans="1:4" x14ac:dyDescent="0.3">
      <c r="A2609" s="43">
        <v>2835886</v>
      </c>
      <c r="B2609" s="43">
        <v>9200000</v>
      </c>
      <c r="D2609">
        <f t="shared" si="40"/>
        <v>-6364114</v>
      </c>
    </row>
    <row r="2610" spans="1:4" x14ac:dyDescent="0.3">
      <c r="A2610" s="42">
        <v>1779284</v>
      </c>
      <c r="B2610" s="42">
        <v>12000000</v>
      </c>
      <c r="D2610">
        <f t="shared" si="40"/>
        <v>-10220716</v>
      </c>
    </row>
    <row r="2611" spans="1:4" x14ac:dyDescent="0.3">
      <c r="A2611" s="43">
        <v>1702277</v>
      </c>
      <c r="B2611" s="43">
        <v>12000000</v>
      </c>
      <c r="D2611">
        <f t="shared" si="40"/>
        <v>-10297723</v>
      </c>
    </row>
    <row r="2612" spans="1:4" x14ac:dyDescent="0.3">
      <c r="A2612" s="42">
        <v>261481</v>
      </c>
      <c r="B2612" s="42">
        <v>12000000</v>
      </c>
      <c r="D2612">
        <f t="shared" si="40"/>
        <v>-11738519</v>
      </c>
    </row>
    <row r="2613" spans="1:4" x14ac:dyDescent="0.3">
      <c r="A2613" s="43">
        <v>1506998</v>
      </c>
      <c r="B2613" s="43">
        <v>12000000</v>
      </c>
      <c r="D2613">
        <f t="shared" si="40"/>
        <v>-10493002</v>
      </c>
    </row>
    <row r="2614" spans="1:4" x14ac:dyDescent="0.3">
      <c r="A2614" s="42">
        <v>860002</v>
      </c>
      <c r="B2614" s="42">
        <v>12000000</v>
      </c>
      <c r="D2614">
        <f t="shared" si="40"/>
        <v>-11139998</v>
      </c>
    </row>
    <row r="2615" spans="1:4" x14ac:dyDescent="0.3">
      <c r="A2615" s="43">
        <v>548934</v>
      </c>
      <c r="B2615" s="43">
        <v>12000000</v>
      </c>
      <c r="D2615">
        <f t="shared" si="40"/>
        <v>-11451066</v>
      </c>
    </row>
    <row r="2616" spans="1:4" x14ac:dyDescent="0.3">
      <c r="A2616" s="42">
        <v>447750</v>
      </c>
      <c r="B2616" s="42">
        <v>10000000</v>
      </c>
      <c r="D2616">
        <f t="shared" si="40"/>
        <v>-9552250</v>
      </c>
    </row>
    <row r="2617" spans="1:4" x14ac:dyDescent="0.3">
      <c r="A2617" s="43">
        <v>333976</v>
      </c>
      <c r="B2617" s="43">
        <v>12000000</v>
      </c>
      <c r="D2617">
        <f t="shared" si="40"/>
        <v>-11666024</v>
      </c>
    </row>
    <row r="2618" spans="1:4" x14ac:dyDescent="0.3">
      <c r="A2618" s="42">
        <v>141853</v>
      </c>
      <c r="B2618" s="42">
        <v>12000000</v>
      </c>
      <c r="D2618">
        <f t="shared" si="40"/>
        <v>-11858147</v>
      </c>
    </row>
    <row r="2619" spans="1:4" x14ac:dyDescent="0.3">
      <c r="A2619" s="43">
        <v>303439</v>
      </c>
      <c r="B2619" s="43">
        <v>8000000</v>
      </c>
      <c r="D2619">
        <f t="shared" si="40"/>
        <v>-7696561</v>
      </c>
    </row>
    <row r="2620" spans="1:4" x14ac:dyDescent="0.3">
      <c r="A2620" s="42">
        <v>214202</v>
      </c>
      <c r="B2620" s="42">
        <v>12000000</v>
      </c>
      <c r="D2620">
        <f t="shared" si="40"/>
        <v>-11785798</v>
      </c>
    </row>
    <row r="2621" spans="1:4" x14ac:dyDescent="0.3">
      <c r="A2621" s="43">
        <v>195888</v>
      </c>
      <c r="B2621" s="43">
        <v>2500000000</v>
      </c>
      <c r="D2621">
        <f t="shared" si="40"/>
        <v>-2499804112</v>
      </c>
    </row>
    <row r="2622" spans="1:4" x14ac:dyDescent="0.3">
      <c r="A2622" s="42">
        <v>175370</v>
      </c>
      <c r="B2622" s="42">
        <v>12000000</v>
      </c>
      <c r="D2622">
        <f t="shared" si="40"/>
        <v>-11824630</v>
      </c>
    </row>
    <row r="2623" spans="1:4" x14ac:dyDescent="0.3">
      <c r="A2623" s="43">
        <v>119922</v>
      </c>
      <c r="B2623" s="43">
        <v>12000000</v>
      </c>
      <c r="D2623">
        <f t="shared" si="40"/>
        <v>-11880078</v>
      </c>
    </row>
    <row r="2624" spans="1:4" x14ac:dyDescent="0.3">
      <c r="A2624" s="42">
        <v>17149</v>
      </c>
      <c r="B2624" s="42">
        <v>20000000</v>
      </c>
      <c r="D2624">
        <f t="shared" si="40"/>
        <v>-19982851</v>
      </c>
    </row>
    <row r="2625" spans="1:4" x14ac:dyDescent="0.3">
      <c r="A2625" s="43">
        <v>14616</v>
      </c>
      <c r="B2625" s="43">
        <v>12000000</v>
      </c>
      <c r="D2625">
        <f t="shared" si="40"/>
        <v>-11985384</v>
      </c>
    </row>
    <row r="2626" spans="1:4" x14ac:dyDescent="0.3">
      <c r="A2626" s="42">
        <v>91443253</v>
      </c>
      <c r="B2626" s="42">
        <v>12000000</v>
      </c>
      <c r="D2626">
        <f t="shared" ref="D2626:D2689" si="41">A2626-B2626</f>
        <v>79443253</v>
      </c>
    </row>
    <row r="2627" spans="1:4" x14ac:dyDescent="0.3">
      <c r="A2627" s="43">
        <v>30093107</v>
      </c>
      <c r="B2627" s="43">
        <v>6000000</v>
      </c>
      <c r="D2627">
        <f t="shared" si="41"/>
        <v>24093107</v>
      </c>
    </row>
    <row r="2628" spans="1:4" x14ac:dyDescent="0.3">
      <c r="A2628" s="42">
        <v>57469179</v>
      </c>
      <c r="B2628" s="42">
        <v>11500000</v>
      </c>
      <c r="D2628">
        <f t="shared" si="41"/>
        <v>45969179</v>
      </c>
    </row>
    <row r="2629" spans="1:4" x14ac:dyDescent="0.3">
      <c r="A2629" s="43">
        <v>48856</v>
      </c>
      <c r="B2629" s="43">
        <v>11900000</v>
      </c>
      <c r="D2629">
        <f t="shared" si="41"/>
        <v>-11851144</v>
      </c>
    </row>
    <row r="2630" spans="1:4" x14ac:dyDescent="0.3">
      <c r="A2630" s="42">
        <v>148170000</v>
      </c>
      <c r="B2630" s="42">
        <v>11000000</v>
      </c>
      <c r="D2630">
        <f t="shared" si="41"/>
        <v>137170000</v>
      </c>
    </row>
    <row r="2631" spans="1:4" x14ac:dyDescent="0.3">
      <c r="A2631" s="43">
        <v>460935665</v>
      </c>
      <c r="B2631" s="43">
        <v>11000000</v>
      </c>
      <c r="D2631">
        <f t="shared" si="41"/>
        <v>449935665</v>
      </c>
    </row>
    <row r="2632" spans="1:4" x14ac:dyDescent="0.3">
      <c r="A2632" s="42">
        <v>35537564</v>
      </c>
      <c r="B2632" s="42">
        <v>11500000</v>
      </c>
      <c r="D2632">
        <f t="shared" si="41"/>
        <v>24037564</v>
      </c>
    </row>
    <row r="2633" spans="1:4" x14ac:dyDescent="0.3">
      <c r="A2633" s="43">
        <v>111722000</v>
      </c>
      <c r="B2633" s="43">
        <v>11000000</v>
      </c>
      <c r="D2633">
        <f t="shared" si="41"/>
        <v>100722000</v>
      </c>
    </row>
    <row r="2634" spans="1:4" x14ac:dyDescent="0.3">
      <c r="A2634" s="42">
        <v>90556401</v>
      </c>
      <c r="B2634" s="42">
        <v>11000000</v>
      </c>
      <c r="D2634">
        <f t="shared" si="41"/>
        <v>79556401</v>
      </c>
    </row>
    <row r="2635" spans="1:4" x14ac:dyDescent="0.3">
      <c r="A2635" s="43">
        <v>93571803</v>
      </c>
      <c r="B2635" s="43">
        <v>25000000</v>
      </c>
      <c r="D2635">
        <f t="shared" si="41"/>
        <v>68571803</v>
      </c>
    </row>
    <row r="2636" spans="1:4" x14ac:dyDescent="0.3">
      <c r="A2636" s="42">
        <v>52929168</v>
      </c>
      <c r="B2636" s="42">
        <v>11000000</v>
      </c>
      <c r="D2636">
        <f t="shared" si="41"/>
        <v>41929168</v>
      </c>
    </row>
    <row r="2637" spans="1:4" x14ac:dyDescent="0.3">
      <c r="A2637" s="43">
        <v>50461335</v>
      </c>
      <c r="B2637" s="43">
        <v>11000000</v>
      </c>
      <c r="D2637">
        <f t="shared" si="41"/>
        <v>39461335</v>
      </c>
    </row>
    <row r="2638" spans="1:4" x14ac:dyDescent="0.3">
      <c r="A2638" s="42">
        <v>49797148</v>
      </c>
      <c r="B2638" s="42">
        <v>11000000</v>
      </c>
      <c r="D2638">
        <f t="shared" si="41"/>
        <v>38797148</v>
      </c>
    </row>
    <row r="2639" spans="1:4" x14ac:dyDescent="0.3">
      <c r="A2639" s="43">
        <v>46563158</v>
      </c>
      <c r="B2639" s="43">
        <v>13000000</v>
      </c>
      <c r="D2639">
        <f t="shared" si="41"/>
        <v>33563158</v>
      </c>
    </row>
    <row r="2640" spans="1:4" x14ac:dyDescent="0.3">
      <c r="A2640" s="42">
        <v>41227069</v>
      </c>
      <c r="B2640" s="42">
        <v>11000000</v>
      </c>
      <c r="D2640">
        <f t="shared" si="41"/>
        <v>30227069</v>
      </c>
    </row>
    <row r="2641" spans="1:4" x14ac:dyDescent="0.3">
      <c r="A2641" s="43">
        <v>39025000</v>
      </c>
      <c r="B2641" s="43">
        <v>11000000</v>
      </c>
      <c r="D2641">
        <f t="shared" si="41"/>
        <v>28025000</v>
      </c>
    </row>
    <row r="2642" spans="1:4" x14ac:dyDescent="0.3">
      <c r="A2642" s="42">
        <v>38201895</v>
      </c>
      <c r="B2642" s="42">
        <v>10500000</v>
      </c>
      <c r="D2642">
        <f t="shared" si="41"/>
        <v>27701895</v>
      </c>
    </row>
    <row r="2643" spans="1:4" x14ac:dyDescent="0.3">
      <c r="A2643" s="43">
        <v>27669413</v>
      </c>
      <c r="B2643" s="43">
        <v>11000000</v>
      </c>
      <c r="D2643">
        <f t="shared" si="41"/>
        <v>16669413</v>
      </c>
    </row>
    <row r="2644" spans="1:4" x14ac:dyDescent="0.3">
      <c r="A2644" s="42">
        <v>37766350</v>
      </c>
      <c r="B2644" s="42">
        <v>11000000</v>
      </c>
      <c r="D2644">
        <f t="shared" si="41"/>
        <v>26766350</v>
      </c>
    </row>
    <row r="2645" spans="1:4" x14ac:dyDescent="0.3">
      <c r="A2645" s="43">
        <v>23978402</v>
      </c>
      <c r="B2645" s="43">
        <v>11000000</v>
      </c>
      <c r="D2645">
        <f t="shared" si="41"/>
        <v>12978402</v>
      </c>
    </row>
    <row r="2646" spans="1:4" x14ac:dyDescent="0.3">
      <c r="A2646" s="42">
        <v>21370057</v>
      </c>
      <c r="B2646" s="42">
        <v>12000000</v>
      </c>
      <c r="D2646">
        <f t="shared" si="41"/>
        <v>9370057</v>
      </c>
    </row>
    <row r="2647" spans="1:4" x14ac:dyDescent="0.3">
      <c r="A2647" s="43">
        <v>4884663</v>
      </c>
      <c r="B2647" s="43">
        <v>12000000</v>
      </c>
      <c r="D2647">
        <f t="shared" si="41"/>
        <v>-7115337</v>
      </c>
    </row>
    <row r="2648" spans="1:4" x14ac:dyDescent="0.3">
      <c r="A2648" s="42">
        <v>38317535</v>
      </c>
      <c r="B2648" s="42">
        <v>11000000</v>
      </c>
      <c r="D2648">
        <f t="shared" si="41"/>
        <v>27317535</v>
      </c>
    </row>
    <row r="2649" spans="1:4" x14ac:dyDescent="0.3">
      <c r="A2649" s="43">
        <v>13903262</v>
      </c>
      <c r="B2649" s="43">
        <v>11000000</v>
      </c>
      <c r="D2649">
        <f t="shared" si="41"/>
        <v>2903262</v>
      </c>
    </row>
    <row r="2650" spans="1:4" x14ac:dyDescent="0.3">
      <c r="A2650" s="42">
        <v>13592872</v>
      </c>
      <c r="B2650" s="42">
        <v>11000000</v>
      </c>
      <c r="D2650">
        <f t="shared" si="41"/>
        <v>2592872</v>
      </c>
    </row>
    <row r="2651" spans="1:4" x14ac:dyDescent="0.3">
      <c r="A2651" s="43">
        <v>18381787</v>
      </c>
      <c r="B2651" s="43">
        <v>11000000</v>
      </c>
      <c r="D2651">
        <f t="shared" si="41"/>
        <v>7381787</v>
      </c>
    </row>
    <row r="2652" spans="1:4" x14ac:dyDescent="0.3">
      <c r="A2652" s="42">
        <v>13558739</v>
      </c>
      <c r="B2652" s="42">
        <v>11000000</v>
      </c>
      <c r="D2652">
        <f t="shared" si="41"/>
        <v>2558739</v>
      </c>
    </row>
    <row r="2653" spans="1:4" x14ac:dyDescent="0.3">
      <c r="A2653" s="43">
        <v>33305037</v>
      </c>
      <c r="B2653" s="43">
        <v>11000000</v>
      </c>
      <c r="D2653">
        <f t="shared" si="41"/>
        <v>22305037</v>
      </c>
    </row>
    <row r="2654" spans="1:4" x14ac:dyDescent="0.3">
      <c r="A2654" s="42">
        <v>10214647</v>
      </c>
      <c r="B2654" s="42">
        <v>11000000</v>
      </c>
      <c r="D2654">
        <f t="shared" si="41"/>
        <v>-785353</v>
      </c>
    </row>
    <row r="2655" spans="1:4" x14ac:dyDescent="0.3">
      <c r="A2655" s="43">
        <v>11501093</v>
      </c>
      <c r="B2655" s="43">
        <v>13000000</v>
      </c>
      <c r="D2655">
        <f t="shared" si="41"/>
        <v>-1498907</v>
      </c>
    </row>
    <row r="2656" spans="1:4" x14ac:dyDescent="0.3">
      <c r="A2656" s="42">
        <v>4814244</v>
      </c>
      <c r="B2656" s="42">
        <v>11000000</v>
      </c>
      <c r="D2656">
        <f t="shared" si="41"/>
        <v>-6185756</v>
      </c>
    </row>
    <row r="2657" spans="1:4" x14ac:dyDescent="0.3">
      <c r="A2657" s="43">
        <v>9170214</v>
      </c>
      <c r="B2657" s="43">
        <v>11000000</v>
      </c>
      <c r="D2657">
        <f t="shared" si="41"/>
        <v>-1829786</v>
      </c>
    </row>
    <row r="2658" spans="1:4" x14ac:dyDescent="0.3">
      <c r="A2658" s="42">
        <v>4068087</v>
      </c>
      <c r="B2658" s="42">
        <v>17000000</v>
      </c>
      <c r="D2658">
        <f t="shared" si="41"/>
        <v>-12931913</v>
      </c>
    </row>
    <row r="2659" spans="1:4" x14ac:dyDescent="0.3">
      <c r="A2659" s="43">
        <v>3753806</v>
      </c>
      <c r="B2659" s="43">
        <v>11000000</v>
      </c>
      <c r="D2659">
        <f t="shared" si="41"/>
        <v>-7246194</v>
      </c>
    </row>
    <row r="2660" spans="1:4" x14ac:dyDescent="0.3">
      <c r="A2660" s="42">
        <v>3034181</v>
      </c>
      <c r="B2660" s="42">
        <v>11000000</v>
      </c>
      <c r="D2660">
        <f t="shared" si="41"/>
        <v>-7965819</v>
      </c>
    </row>
    <row r="2661" spans="1:4" x14ac:dyDescent="0.3">
      <c r="A2661" s="43">
        <v>2832826</v>
      </c>
      <c r="B2661" s="43">
        <v>11000000</v>
      </c>
      <c r="D2661">
        <f t="shared" si="41"/>
        <v>-8167174</v>
      </c>
    </row>
    <row r="2662" spans="1:4" x14ac:dyDescent="0.3">
      <c r="A2662" s="42">
        <v>13214255</v>
      </c>
      <c r="B2662" s="42">
        <v>11000000</v>
      </c>
      <c r="D2662">
        <f t="shared" si="41"/>
        <v>2214255</v>
      </c>
    </row>
    <row r="2663" spans="1:4" x14ac:dyDescent="0.3">
      <c r="A2663" s="43">
        <v>16017403</v>
      </c>
      <c r="B2663" s="43">
        <v>5000000</v>
      </c>
      <c r="D2663">
        <f t="shared" si="41"/>
        <v>11017403</v>
      </c>
    </row>
    <row r="2664" spans="1:4" x14ac:dyDescent="0.3">
      <c r="A2664" s="42">
        <v>2807854</v>
      </c>
      <c r="B2664" s="42">
        <v>11000000</v>
      </c>
      <c r="D2664">
        <f t="shared" si="41"/>
        <v>-8192146</v>
      </c>
    </row>
    <row r="2665" spans="1:4" x14ac:dyDescent="0.3">
      <c r="A2665" s="43">
        <v>352786</v>
      </c>
      <c r="B2665" s="43">
        <v>11000000</v>
      </c>
      <c r="D2665">
        <f t="shared" si="41"/>
        <v>-10647214</v>
      </c>
    </row>
    <row r="2666" spans="1:4" x14ac:dyDescent="0.3">
      <c r="A2666" s="42">
        <v>56729973</v>
      </c>
      <c r="B2666" s="42">
        <v>10800000</v>
      </c>
      <c r="D2666">
        <f t="shared" si="41"/>
        <v>45929973</v>
      </c>
    </row>
    <row r="2667" spans="1:4" x14ac:dyDescent="0.3">
      <c r="A2667" s="43">
        <v>399879</v>
      </c>
      <c r="B2667" s="43">
        <v>15000000</v>
      </c>
      <c r="D2667">
        <f t="shared" si="41"/>
        <v>-14600121</v>
      </c>
    </row>
    <row r="2668" spans="1:4" x14ac:dyDescent="0.3">
      <c r="A2668" s="42">
        <v>3275443</v>
      </c>
      <c r="B2668" s="42">
        <v>700000000</v>
      </c>
      <c r="D2668">
        <f t="shared" si="41"/>
        <v>-696724557</v>
      </c>
    </row>
    <row r="2669" spans="1:4" x14ac:dyDescent="0.3">
      <c r="A2669" s="43">
        <v>18535191</v>
      </c>
      <c r="B2669" s="43">
        <v>14000000</v>
      </c>
      <c r="D2669">
        <f t="shared" si="41"/>
        <v>4535191</v>
      </c>
    </row>
    <row r="2670" spans="1:4" x14ac:dyDescent="0.3">
      <c r="A2670" s="42">
        <v>23838</v>
      </c>
      <c r="B2670" s="42">
        <v>7000000</v>
      </c>
      <c r="D2670">
        <f t="shared" si="41"/>
        <v>-6976162</v>
      </c>
    </row>
    <row r="2671" spans="1:4" x14ac:dyDescent="0.3">
      <c r="A2671" s="43">
        <v>22160085</v>
      </c>
      <c r="B2671" s="43">
        <v>10600000</v>
      </c>
      <c r="D2671">
        <f t="shared" si="41"/>
        <v>11560085</v>
      </c>
    </row>
    <row r="2672" spans="1:4" x14ac:dyDescent="0.3">
      <c r="A2672" s="42">
        <v>56715371</v>
      </c>
      <c r="B2672" s="42">
        <v>12000000</v>
      </c>
      <c r="D2672">
        <f t="shared" si="41"/>
        <v>44715371</v>
      </c>
    </row>
    <row r="2673" spans="1:4" x14ac:dyDescent="0.3">
      <c r="A2673" s="43">
        <v>434949459</v>
      </c>
      <c r="B2673" s="43">
        <v>10500000</v>
      </c>
      <c r="D2673">
        <f t="shared" si="41"/>
        <v>424449459</v>
      </c>
    </row>
    <row r="2674" spans="1:4" x14ac:dyDescent="0.3">
      <c r="A2674" s="42">
        <v>11043445</v>
      </c>
      <c r="B2674" s="42">
        <v>10000000</v>
      </c>
      <c r="D2674">
        <f t="shared" si="41"/>
        <v>1043445</v>
      </c>
    </row>
    <row r="2675" spans="1:4" x14ac:dyDescent="0.3">
      <c r="A2675" s="43">
        <v>125169</v>
      </c>
      <c r="B2675" s="43">
        <v>10500000</v>
      </c>
      <c r="D2675">
        <f t="shared" si="41"/>
        <v>-10374831</v>
      </c>
    </row>
    <row r="2676" spans="1:4" x14ac:dyDescent="0.3">
      <c r="A2676" s="42">
        <v>5669081</v>
      </c>
      <c r="B2676" s="42">
        <v>10818775</v>
      </c>
      <c r="D2676">
        <f t="shared" si="41"/>
        <v>-5149694</v>
      </c>
    </row>
    <row r="2677" spans="1:4" x14ac:dyDescent="0.3">
      <c r="A2677" s="43">
        <v>80150343</v>
      </c>
      <c r="B2677" s="43">
        <v>10000000</v>
      </c>
      <c r="D2677">
        <f t="shared" si="41"/>
        <v>70150343</v>
      </c>
    </row>
    <row r="2678" spans="1:4" x14ac:dyDescent="0.3">
      <c r="A2678" s="42">
        <v>85300000</v>
      </c>
      <c r="B2678" s="42">
        <v>10000000</v>
      </c>
      <c r="D2678">
        <f t="shared" si="41"/>
        <v>75300000</v>
      </c>
    </row>
    <row r="2679" spans="1:4" x14ac:dyDescent="0.3">
      <c r="A2679" s="43">
        <v>68353550</v>
      </c>
      <c r="B2679" s="43">
        <v>10000000</v>
      </c>
      <c r="D2679">
        <f t="shared" si="41"/>
        <v>58353550</v>
      </c>
    </row>
    <row r="2680" spans="1:4" x14ac:dyDescent="0.3">
      <c r="A2680" s="42">
        <v>78845130</v>
      </c>
      <c r="B2680" s="42">
        <v>10000000</v>
      </c>
      <c r="D2680">
        <f t="shared" si="41"/>
        <v>68845130</v>
      </c>
    </row>
    <row r="2681" spans="1:4" x14ac:dyDescent="0.3">
      <c r="A2681" s="43">
        <v>63319509</v>
      </c>
      <c r="B2681" s="43">
        <v>10000000</v>
      </c>
      <c r="D2681">
        <f t="shared" si="41"/>
        <v>53319509</v>
      </c>
    </row>
    <row r="2682" spans="1:4" x14ac:dyDescent="0.3">
      <c r="A2682" s="42">
        <v>63270259</v>
      </c>
      <c r="B2682" s="42">
        <v>10000000</v>
      </c>
      <c r="D2682">
        <f t="shared" si="41"/>
        <v>53270259</v>
      </c>
    </row>
    <row r="2683" spans="1:4" x14ac:dyDescent="0.3">
      <c r="A2683" s="43">
        <v>55865715</v>
      </c>
      <c r="B2683" s="43">
        <v>10000000</v>
      </c>
      <c r="D2683">
        <f t="shared" si="41"/>
        <v>45865715</v>
      </c>
    </row>
    <row r="2684" spans="1:4" x14ac:dyDescent="0.3">
      <c r="A2684" s="42">
        <v>63231524</v>
      </c>
      <c r="B2684" s="42">
        <v>6000000</v>
      </c>
      <c r="D2684">
        <f t="shared" si="41"/>
        <v>57231524</v>
      </c>
    </row>
    <row r="2685" spans="1:4" x14ac:dyDescent="0.3">
      <c r="A2685" s="43">
        <v>52293982</v>
      </c>
      <c r="B2685" s="43">
        <v>13800000</v>
      </c>
      <c r="D2685">
        <f t="shared" si="41"/>
        <v>38493982</v>
      </c>
    </row>
    <row r="2686" spans="1:4" x14ac:dyDescent="0.3">
      <c r="A2686" s="42">
        <v>50752337</v>
      </c>
      <c r="B2686" s="42">
        <v>10000000</v>
      </c>
      <c r="D2686">
        <f t="shared" si="41"/>
        <v>40752337</v>
      </c>
    </row>
    <row r="2687" spans="1:4" x14ac:dyDescent="0.3">
      <c r="A2687" s="43">
        <v>110175871</v>
      </c>
      <c r="B2687" s="43">
        <v>10000000</v>
      </c>
      <c r="D2687">
        <f t="shared" si="41"/>
        <v>100175871</v>
      </c>
    </row>
    <row r="2688" spans="1:4" x14ac:dyDescent="0.3">
      <c r="A2688" s="42">
        <v>38624000</v>
      </c>
      <c r="B2688" s="42">
        <v>12000000</v>
      </c>
      <c r="D2688">
        <f t="shared" si="41"/>
        <v>26624000</v>
      </c>
    </row>
    <row r="2689" spans="1:4" x14ac:dyDescent="0.3">
      <c r="A2689" s="43">
        <v>37470017</v>
      </c>
      <c r="B2689" s="43">
        <v>10000000</v>
      </c>
      <c r="D2689">
        <f t="shared" si="41"/>
        <v>27470017</v>
      </c>
    </row>
    <row r="2690" spans="1:4" x14ac:dyDescent="0.3">
      <c r="A2690" s="42">
        <v>40485039</v>
      </c>
      <c r="B2690" s="42">
        <v>10000000</v>
      </c>
      <c r="D2690">
        <f t="shared" ref="D2690:D2753" si="42">A2690-B2690</f>
        <v>30485039</v>
      </c>
    </row>
    <row r="2691" spans="1:4" x14ac:dyDescent="0.3">
      <c r="A2691" s="43">
        <v>16800000</v>
      </c>
      <c r="B2691" s="43">
        <v>10000000</v>
      </c>
      <c r="D2691">
        <f t="shared" si="42"/>
        <v>6800000</v>
      </c>
    </row>
    <row r="2692" spans="1:4" x14ac:dyDescent="0.3">
      <c r="A2692" s="42">
        <v>46377022</v>
      </c>
      <c r="B2692" s="42">
        <v>10000000</v>
      </c>
      <c r="D2692">
        <f t="shared" si="42"/>
        <v>36377022</v>
      </c>
    </row>
    <row r="2693" spans="1:4" x14ac:dyDescent="0.3">
      <c r="A2693" s="43">
        <v>36696761</v>
      </c>
      <c r="B2693" s="43">
        <v>23000000</v>
      </c>
      <c r="D2693">
        <f t="shared" si="42"/>
        <v>13696761</v>
      </c>
    </row>
    <row r="2694" spans="1:4" x14ac:dyDescent="0.3">
      <c r="A2694" s="42">
        <v>36200000</v>
      </c>
      <c r="B2694" s="42">
        <v>12305523</v>
      </c>
      <c r="D2694">
        <f t="shared" si="42"/>
        <v>23894477</v>
      </c>
    </row>
    <row r="2695" spans="1:4" x14ac:dyDescent="0.3">
      <c r="A2695" s="43">
        <v>35794166</v>
      </c>
      <c r="B2695" s="43">
        <v>10000000</v>
      </c>
      <c r="D2695">
        <f t="shared" si="42"/>
        <v>25794166</v>
      </c>
    </row>
    <row r="2696" spans="1:4" x14ac:dyDescent="0.3">
      <c r="A2696" s="42">
        <v>33583175</v>
      </c>
      <c r="B2696" s="42">
        <v>10000000</v>
      </c>
      <c r="D2696">
        <f t="shared" si="42"/>
        <v>23583175</v>
      </c>
    </row>
    <row r="2697" spans="1:4" x14ac:dyDescent="0.3">
      <c r="A2697" s="43">
        <v>32983713</v>
      </c>
      <c r="B2697" s="43">
        <v>20000000</v>
      </c>
      <c r="D2697">
        <f t="shared" si="42"/>
        <v>12983713</v>
      </c>
    </row>
    <row r="2698" spans="1:4" x14ac:dyDescent="0.3">
      <c r="A2698" s="42">
        <v>52200504</v>
      </c>
      <c r="B2698" s="42">
        <v>10000000</v>
      </c>
      <c r="D2698">
        <f t="shared" si="42"/>
        <v>42200504</v>
      </c>
    </row>
    <row r="2699" spans="1:4" x14ac:dyDescent="0.3">
      <c r="A2699" s="43">
        <v>33000000</v>
      </c>
      <c r="B2699" s="43">
        <v>10000000</v>
      </c>
      <c r="D2699">
        <f t="shared" si="42"/>
        <v>23000000</v>
      </c>
    </row>
    <row r="2700" spans="1:4" x14ac:dyDescent="0.3">
      <c r="A2700" s="42">
        <v>32101000</v>
      </c>
      <c r="B2700" s="42">
        <v>10000000</v>
      </c>
      <c r="D2700">
        <f t="shared" si="42"/>
        <v>22101000</v>
      </c>
    </row>
    <row r="2701" spans="1:4" x14ac:dyDescent="0.3">
      <c r="A2701" s="43">
        <v>31487293</v>
      </c>
      <c r="B2701" s="43">
        <v>9000000</v>
      </c>
      <c r="D2701">
        <f t="shared" si="42"/>
        <v>22487293</v>
      </c>
    </row>
    <row r="2702" spans="1:4" x14ac:dyDescent="0.3">
      <c r="A2702" s="42">
        <v>30651422</v>
      </c>
      <c r="B2702" s="42">
        <v>10000000</v>
      </c>
      <c r="D2702">
        <f t="shared" si="42"/>
        <v>20651422</v>
      </c>
    </row>
    <row r="2703" spans="1:4" x14ac:dyDescent="0.3">
      <c r="A2703" s="43">
        <v>30306281</v>
      </c>
      <c r="B2703" s="43">
        <v>10000000</v>
      </c>
      <c r="D2703">
        <f t="shared" si="42"/>
        <v>20306281</v>
      </c>
    </row>
    <row r="2704" spans="1:4" x14ac:dyDescent="0.3">
      <c r="A2704" s="42">
        <v>29500000</v>
      </c>
      <c r="B2704" s="42">
        <v>10000000</v>
      </c>
      <c r="D2704">
        <f t="shared" si="42"/>
        <v>19500000</v>
      </c>
    </row>
    <row r="2705" spans="1:4" x14ac:dyDescent="0.3">
      <c r="A2705" s="43">
        <v>30050028</v>
      </c>
      <c r="B2705" s="43">
        <v>17000000</v>
      </c>
      <c r="D2705">
        <f t="shared" si="42"/>
        <v>13050028</v>
      </c>
    </row>
    <row r="2706" spans="1:4" x14ac:dyDescent="0.3">
      <c r="A2706" s="42">
        <v>29392418</v>
      </c>
      <c r="B2706" s="42">
        <v>10000000</v>
      </c>
      <c r="D2706">
        <f t="shared" si="42"/>
        <v>19392418</v>
      </c>
    </row>
    <row r="2707" spans="1:4" x14ac:dyDescent="0.3">
      <c r="A2707" s="43">
        <v>28563926</v>
      </c>
      <c r="B2707" s="43">
        <v>8500000</v>
      </c>
      <c r="D2707">
        <f t="shared" si="42"/>
        <v>20063926</v>
      </c>
    </row>
    <row r="2708" spans="1:4" x14ac:dyDescent="0.3">
      <c r="A2708" s="42">
        <v>28435406</v>
      </c>
      <c r="B2708" s="42">
        <v>12000000</v>
      </c>
      <c r="D2708">
        <f t="shared" si="42"/>
        <v>16435406</v>
      </c>
    </row>
    <row r="2709" spans="1:4" x14ac:dyDescent="0.3">
      <c r="A2709" s="43">
        <v>25339117</v>
      </c>
      <c r="B2709" s="43">
        <v>10000000</v>
      </c>
      <c r="D2709">
        <f t="shared" si="42"/>
        <v>15339117</v>
      </c>
    </row>
    <row r="2710" spans="1:4" x14ac:dyDescent="0.3">
      <c r="A2710" s="42">
        <v>25600000</v>
      </c>
      <c r="B2710" s="42">
        <v>10000000</v>
      </c>
      <c r="D2710">
        <f t="shared" si="42"/>
        <v>15600000</v>
      </c>
    </row>
    <row r="2711" spans="1:4" x14ac:dyDescent="0.3">
      <c r="A2711" s="43">
        <v>27736779</v>
      </c>
      <c r="B2711" s="43">
        <v>10000000</v>
      </c>
      <c r="D2711">
        <f t="shared" si="42"/>
        <v>17736779</v>
      </c>
    </row>
    <row r="2712" spans="1:4" x14ac:dyDescent="0.3">
      <c r="A2712" s="42">
        <v>24397469</v>
      </c>
      <c r="B2712" s="42">
        <v>17000000</v>
      </c>
      <c r="D2712">
        <f t="shared" si="42"/>
        <v>7397469</v>
      </c>
    </row>
    <row r="2713" spans="1:4" x14ac:dyDescent="0.3">
      <c r="A2713" s="43">
        <v>20384136</v>
      </c>
      <c r="B2713" s="43">
        <v>10000000</v>
      </c>
      <c r="D2713">
        <f t="shared" si="42"/>
        <v>10384136</v>
      </c>
    </row>
    <row r="2714" spans="1:4" x14ac:dyDescent="0.3">
      <c r="A2714" s="42">
        <v>25464480</v>
      </c>
      <c r="B2714" s="42">
        <v>10000000</v>
      </c>
      <c r="D2714">
        <f t="shared" si="42"/>
        <v>15464480</v>
      </c>
    </row>
    <row r="2715" spans="1:4" x14ac:dyDescent="0.3">
      <c r="A2715" s="43">
        <v>20338609</v>
      </c>
      <c r="B2715" s="43">
        <v>10000000</v>
      </c>
      <c r="D2715">
        <f t="shared" si="42"/>
        <v>10338609</v>
      </c>
    </row>
    <row r="2716" spans="1:4" x14ac:dyDescent="0.3">
      <c r="A2716" s="42">
        <v>18272447</v>
      </c>
      <c r="B2716" s="42">
        <v>10000000</v>
      </c>
      <c r="D2716">
        <f t="shared" si="42"/>
        <v>8272447</v>
      </c>
    </row>
    <row r="2717" spans="1:4" x14ac:dyDescent="0.3">
      <c r="A2717" s="43">
        <v>17096053</v>
      </c>
      <c r="B2717" s="43">
        <v>9000000</v>
      </c>
      <c r="D2717">
        <f t="shared" si="42"/>
        <v>8096053</v>
      </c>
    </row>
    <row r="2718" spans="1:4" x14ac:dyDescent="0.3">
      <c r="A2718" s="42">
        <v>21371425</v>
      </c>
      <c r="B2718" s="42">
        <v>10000000</v>
      </c>
      <c r="D2718">
        <f t="shared" si="42"/>
        <v>11371425</v>
      </c>
    </row>
    <row r="2719" spans="1:4" x14ac:dyDescent="0.3">
      <c r="A2719" s="43">
        <v>33071558</v>
      </c>
      <c r="B2719" s="43">
        <v>10000000</v>
      </c>
      <c r="D2719">
        <f t="shared" si="42"/>
        <v>23071558</v>
      </c>
    </row>
    <row r="2720" spans="1:4" x14ac:dyDescent="0.3">
      <c r="A2720" s="42">
        <v>17655201</v>
      </c>
      <c r="B2720" s="42">
        <v>10000000</v>
      </c>
      <c r="D2720">
        <f t="shared" si="42"/>
        <v>7655201</v>
      </c>
    </row>
    <row r="2721" spans="1:4" x14ac:dyDescent="0.3">
      <c r="A2721" s="43">
        <v>16247775</v>
      </c>
      <c r="B2721" s="43">
        <v>25000000</v>
      </c>
      <c r="D2721">
        <f t="shared" si="42"/>
        <v>-8752225</v>
      </c>
    </row>
    <row r="2722" spans="1:4" x14ac:dyDescent="0.3">
      <c r="A2722" s="42">
        <v>16153600</v>
      </c>
      <c r="B2722" s="42">
        <v>10000000</v>
      </c>
      <c r="D2722">
        <f t="shared" si="42"/>
        <v>6153600</v>
      </c>
    </row>
    <row r="2723" spans="1:4" x14ac:dyDescent="0.3">
      <c r="A2723" s="43">
        <v>16033556</v>
      </c>
      <c r="B2723" s="43">
        <v>10000000</v>
      </c>
      <c r="D2723">
        <f t="shared" si="42"/>
        <v>6033556</v>
      </c>
    </row>
    <row r="2724" spans="1:4" x14ac:dyDescent="0.3">
      <c r="A2724" s="42">
        <v>15417771</v>
      </c>
      <c r="B2724" s="42">
        <v>12600000</v>
      </c>
      <c r="D2724">
        <f t="shared" si="42"/>
        <v>2817771</v>
      </c>
    </row>
    <row r="2725" spans="1:4" x14ac:dyDescent="0.3">
      <c r="A2725" s="43">
        <v>15156200</v>
      </c>
      <c r="B2725" s="43">
        <v>30000000</v>
      </c>
      <c r="D2725">
        <f t="shared" si="42"/>
        <v>-14843800</v>
      </c>
    </row>
    <row r="2726" spans="1:4" x14ac:dyDescent="0.3">
      <c r="A2726" s="42">
        <v>21589307</v>
      </c>
      <c r="B2726" s="42">
        <v>10000000</v>
      </c>
      <c r="D2726">
        <f t="shared" si="42"/>
        <v>11589307</v>
      </c>
    </row>
    <row r="2727" spans="1:4" x14ac:dyDescent="0.3">
      <c r="A2727" s="43">
        <v>20339754</v>
      </c>
      <c r="B2727" s="43">
        <v>10000000</v>
      </c>
      <c r="D2727">
        <f t="shared" si="42"/>
        <v>10339754</v>
      </c>
    </row>
    <row r="2728" spans="1:4" x14ac:dyDescent="0.3">
      <c r="A2728" s="42">
        <v>28873374</v>
      </c>
      <c r="B2728" s="42">
        <v>10000000</v>
      </c>
      <c r="D2728">
        <f t="shared" si="42"/>
        <v>18873374</v>
      </c>
    </row>
    <row r="2729" spans="1:4" x14ac:dyDescent="0.3">
      <c r="A2729" s="43">
        <v>13684949</v>
      </c>
      <c r="B2729" s="43">
        <v>3000000</v>
      </c>
      <c r="D2729">
        <f t="shared" si="42"/>
        <v>10684949</v>
      </c>
    </row>
    <row r="2730" spans="1:4" x14ac:dyDescent="0.3">
      <c r="A2730" s="42">
        <v>14597405</v>
      </c>
      <c r="B2730" s="42">
        <v>6400000</v>
      </c>
      <c r="D2730">
        <f t="shared" si="42"/>
        <v>8197405</v>
      </c>
    </row>
    <row r="2731" spans="1:4" x14ac:dyDescent="0.3">
      <c r="A2731" s="43">
        <v>12570442</v>
      </c>
      <c r="B2731" s="43">
        <v>10000000</v>
      </c>
      <c r="D2731">
        <f t="shared" si="42"/>
        <v>2570442</v>
      </c>
    </row>
    <row r="2732" spans="1:4" x14ac:dyDescent="0.3">
      <c r="A2732" s="42">
        <v>12514138</v>
      </c>
      <c r="B2732" s="42">
        <v>10000000</v>
      </c>
      <c r="D2732">
        <f t="shared" si="42"/>
        <v>2514138</v>
      </c>
    </row>
    <row r="2733" spans="1:4" x14ac:dyDescent="0.3">
      <c r="A2733" s="43">
        <v>43771291</v>
      </c>
      <c r="B2733" s="43">
        <v>5000000</v>
      </c>
      <c r="D2733">
        <f t="shared" si="42"/>
        <v>38771291</v>
      </c>
    </row>
    <row r="2734" spans="1:4" x14ac:dyDescent="0.3">
      <c r="A2734" s="42">
        <v>11703287</v>
      </c>
      <c r="B2734" s="42">
        <v>10000000</v>
      </c>
      <c r="D2734">
        <f t="shared" si="42"/>
        <v>1703287</v>
      </c>
    </row>
    <row r="2735" spans="1:4" x14ac:dyDescent="0.3">
      <c r="A2735" s="43">
        <v>11560259</v>
      </c>
      <c r="B2735" s="43">
        <v>22000000</v>
      </c>
      <c r="D2735">
        <f t="shared" si="42"/>
        <v>-10439741</v>
      </c>
    </row>
    <row r="2736" spans="1:4" x14ac:dyDescent="0.3">
      <c r="A2736" s="42">
        <v>10824921</v>
      </c>
      <c r="B2736" s="42">
        <v>10000000</v>
      </c>
      <c r="D2736">
        <f t="shared" si="42"/>
        <v>824921</v>
      </c>
    </row>
    <row r="2737" spans="1:4" x14ac:dyDescent="0.3">
      <c r="A2737" s="43">
        <v>10561238</v>
      </c>
      <c r="B2737" s="43">
        <v>10000000</v>
      </c>
      <c r="D2737">
        <f t="shared" si="42"/>
        <v>561238</v>
      </c>
    </row>
    <row r="2738" spans="1:4" x14ac:dyDescent="0.3">
      <c r="A2738" s="42">
        <v>14479776</v>
      </c>
      <c r="B2738" s="42">
        <v>10000000</v>
      </c>
      <c r="D2738">
        <f t="shared" si="42"/>
        <v>4479776</v>
      </c>
    </row>
    <row r="2739" spans="1:4" x14ac:dyDescent="0.3">
      <c r="A2739" s="43">
        <v>9801782</v>
      </c>
      <c r="B2739" s="43">
        <v>10000000</v>
      </c>
      <c r="D2739">
        <f t="shared" si="42"/>
        <v>-198218</v>
      </c>
    </row>
    <row r="2740" spans="1:4" x14ac:dyDescent="0.3">
      <c r="A2740" s="42">
        <v>8070311</v>
      </c>
      <c r="B2740" s="42">
        <v>10000000</v>
      </c>
      <c r="D2740">
        <f t="shared" si="42"/>
        <v>-1929689</v>
      </c>
    </row>
    <row r="2741" spans="1:4" x14ac:dyDescent="0.3">
      <c r="A2741" s="43">
        <v>8460995</v>
      </c>
      <c r="B2741" s="43">
        <v>10000000</v>
      </c>
      <c r="D2741">
        <f t="shared" si="42"/>
        <v>-1539005</v>
      </c>
    </row>
    <row r="2742" spans="1:4" x14ac:dyDescent="0.3">
      <c r="A2742" s="42">
        <v>8111360</v>
      </c>
      <c r="B2742" s="42">
        <v>10000000</v>
      </c>
      <c r="D2742">
        <f t="shared" si="42"/>
        <v>-1888640</v>
      </c>
    </row>
    <row r="2743" spans="1:4" x14ac:dyDescent="0.3">
      <c r="A2743" s="43">
        <v>8828771</v>
      </c>
      <c r="B2743" s="43">
        <v>6000000</v>
      </c>
      <c r="D2743">
        <f t="shared" si="42"/>
        <v>2828771</v>
      </c>
    </row>
    <row r="2744" spans="1:4" x14ac:dyDescent="0.3">
      <c r="A2744" s="42">
        <v>7563670</v>
      </c>
      <c r="B2744" s="42">
        <v>10000000</v>
      </c>
      <c r="D2744">
        <f t="shared" si="42"/>
        <v>-2436330</v>
      </c>
    </row>
    <row r="2745" spans="1:4" x14ac:dyDescent="0.3">
      <c r="A2745" s="43">
        <v>6619173</v>
      </c>
      <c r="B2745" s="43">
        <v>10000000</v>
      </c>
      <c r="D2745">
        <f t="shared" si="42"/>
        <v>-3380827</v>
      </c>
    </row>
    <row r="2746" spans="1:4" x14ac:dyDescent="0.3">
      <c r="A2746" s="42">
        <v>6712241</v>
      </c>
      <c r="B2746" s="42">
        <v>7500000</v>
      </c>
      <c r="D2746">
        <f t="shared" si="42"/>
        <v>-787759</v>
      </c>
    </row>
    <row r="2747" spans="1:4" x14ac:dyDescent="0.3">
      <c r="A2747" s="43">
        <v>6842058</v>
      </c>
      <c r="B2747" s="43">
        <v>10000000</v>
      </c>
      <c r="D2747">
        <f t="shared" si="42"/>
        <v>-3157942</v>
      </c>
    </row>
    <row r="2748" spans="1:4" x14ac:dyDescent="0.3">
      <c r="A2748" s="42">
        <v>6491350</v>
      </c>
      <c r="B2748" s="42">
        <v>10000000</v>
      </c>
      <c r="D2748">
        <f t="shared" si="42"/>
        <v>-3508650</v>
      </c>
    </row>
    <row r="2749" spans="1:4" x14ac:dyDescent="0.3">
      <c r="A2749" s="43">
        <v>9473382</v>
      </c>
      <c r="B2749" s="43">
        <v>10000000</v>
      </c>
      <c r="D2749">
        <f t="shared" si="42"/>
        <v>-526618</v>
      </c>
    </row>
    <row r="2750" spans="1:4" x14ac:dyDescent="0.3">
      <c r="A2750" s="42">
        <v>6197866</v>
      </c>
      <c r="B2750" s="42">
        <v>10000000</v>
      </c>
      <c r="D2750">
        <f t="shared" si="42"/>
        <v>-3802134</v>
      </c>
    </row>
    <row r="2751" spans="1:4" x14ac:dyDescent="0.3">
      <c r="A2751" s="43">
        <v>6044618</v>
      </c>
      <c r="B2751" s="43">
        <v>10000000</v>
      </c>
      <c r="D2751">
        <f t="shared" si="42"/>
        <v>-3955382</v>
      </c>
    </row>
    <row r="2752" spans="1:4" x14ac:dyDescent="0.3">
      <c r="A2752" s="42">
        <v>7764027</v>
      </c>
      <c r="B2752" s="42">
        <v>10000000</v>
      </c>
      <c r="D2752">
        <f t="shared" si="42"/>
        <v>-2235973</v>
      </c>
    </row>
    <row r="2753" spans="1:4" x14ac:dyDescent="0.3">
      <c r="A2753" s="43">
        <v>21569041</v>
      </c>
      <c r="B2753" s="43">
        <v>9000000</v>
      </c>
      <c r="D2753">
        <f t="shared" si="42"/>
        <v>12569041</v>
      </c>
    </row>
    <row r="2754" spans="1:4" x14ac:dyDescent="0.3">
      <c r="A2754" s="42">
        <v>4356743</v>
      </c>
      <c r="B2754" s="42">
        <v>16000000</v>
      </c>
      <c r="D2754">
        <f t="shared" ref="D2754:D2817" si="43">A2754-B2754</f>
        <v>-11643257</v>
      </c>
    </row>
    <row r="2755" spans="1:4" x14ac:dyDescent="0.3">
      <c r="A2755" s="43">
        <v>5484375</v>
      </c>
      <c r="B2755" s="43">
        <v>10000000</v>
      </c>
      <c r="D2755">
        <f t="shared" si="43"/>
        <v>-4515625</v>
      </c>
    </row>
    <row r="2756" spans="1:4" x14ac:dyDescent="0.3">
      <c r="A2756" s="42">
        <v>5348317</v>
      </c>
      <c r="B2756" s="42">
        <v>10000000</v>
      </c>
      <c r="D2756">
        <f t="shared" si="43"/>
        <v>-4651683</v>
      </c>
    </row>
    <row r="2757" spans="1:4" x14ac:dyDescent="0.3">
      <c r="A2757" s="43">
        <v>4244155</v>
      </c>
      <c r="B2757" s="43">
        <v>10000000</v>
      </c>
      <c r="D2757">
        <f t="shared" si="43"/>
        <v>-5755845</v>
      </c>
    </row>
    <row r="2758" spans="1:4" x14ac:dyDescent="0.3">
      <c r="A2758" s="42">
        <v>5004648</v>
      </c>
      <c r="B2758" s="42">
        <v>10000000</v>
      </c>
      <c r="D2758">
        <f t="shared" si="43"/>
        <v>-4995352</v>
      </c>
    </row>
    <row r="2759" spans="1:4" x14ac:dyDescent="0.3">
      <c r="A2759" s="43">
        <v>3333823</v>
      </c>
      <c r="B2759" s="43">
        <v>10000000</v>
      </c>
      <c r="D2759">
        <f t="shared" si="43"/>
        <v>-6666177</v>
      </c>
    </row>
    <row r="2760" spans="1:4" x14ac:dyDescent="0.3">
      <c r="A2760" s="42">
        <v>3275585</v>
      </c>
      <c r="B2760" s="42">
        <v>11500000</v>
      </c>
      <c r="D2760">
        <f t="shared" si="43"/>
        <v>-8224415</v>
      </c>
    </row>
    <row r="2761" spans="1:4" x14ac:dyDescent="0.3">
      <c r="A2761" s="43">
        <v>3193102</v>
      </c>
      <c r="B2761" s="43">
        <v>9000000</v>
      </c>
      <c r="D2761">
        <f t="shared" si="43"/>
        <v>-5806898</v>
      </c>
    </row>
    <row r="2762" spans="1:4" x14ac:dyDescent="0.3">
      <c r="A2762" s="42">
        <v>54557348</v>
      </c>
      <c r="B2762" s="42">
        <v>6500000</v>
      </c>
      <c r="D2762">
        <f t="shared" si="43"/>
        <v>48057348</v>
      </c>
    </row>
    <row r="2763" spans="1:4" x14ac:dyDescent="0.3">
      <c r="A2763" s="43">
        <v>3041803</v>
      </c>
      <c r="B2763" s="43">
        <v>10000000</v>
      </c>
      <c r="D2763">
        <f t="shared" si="43"/>
        <v>-6958197</v>
      </c>
    </row>
    <row r="2764" spans="1:4" x14ac:dyDescent="0.3">
      <c r="A2764" s="42">
        <v>3060858</v>
      </c>
      <c r="B2764" s="42">
        <v>10000000</v>
      </c>
      <c r="D2764">
        <f t="shared" si="43"/>
        <v>-6939142</v>
      </c>
    </row>
    <row r="2765" spans="1:4" x14ac:dyDescent="0.3">
      <c r="A2765" s="43">
        <v>1055654</v>
      </c>
      <c r="B2765" s="43">
        <v>10000000</v>
      </c>
      <c r="D2765">
        <f t="shared" si="43"/>
        <v>-8944346</v>
      </c>
    </row>
    <row r="2766" spans="1:4" x14ac:dyDescent="0.3">
      <c r="A2766" s="42">
        <v>2331318</v>
      </c>
      <c r="B2766" s="42">
        <v>10000000</v>
      </c>
      <c r="D2766">
        <f t="shared" si="43"/>
        <v>-7668682</v>
      </c>
    </row>
    <row r="2767" spans="1:4" x14ac:dyDescent="0.3">
      <c r="A2767" s="43">
        <v>2185266</v>
      </c>
      <c r="B2767" s="43">
        <v>10000000</v>
      </c>
      <c r="D2767">
        <f t="shared" si="43"/>
        <v>-7814734</v>
      </c>
    </row>
    <row r="2768" spans="1:4" x14ac:dyDescent="0.3">
      <c r="A2768" s="42">
        <v>26583369</v>
      </c>
      <c r="B2768" s="42">
        <v>10000000</v>
      </c>
      <c r="D2768">
        <f t="shared" si="43"/>
        <v>16583369</v>
      </c>
    </row>
    <row r="2769" spans="1:4" x14ac:dyDescent="0.3">
      <c r="A2769" s="43">
        <v>800000</v>
      </c>
      <c r="B2769" s="43">
        <v>14000000</v>
      </c>
      <c r="D2769">
        <f t="shared" si="43"/>
        <v>-13200000</v>
      </c>
    </row>
    <row r="2770" spans="1:4" x14ac:dyDescent="0.3">
      <c r="A2770" s="42">
        <v>7574066</v>
      </c>
      <c r="B2770" s="42">
        <v>10000000</v>
      </c>
      <c r="D2770">
        <f t="shared" si="43"/>
        <v>-2425934</v>
      </c>
    </row>
    <row r="2771" spans="1:4" x14ac:dyDescent="0.3">
      <c r="A2771" s="43">
        <v>1754319</v>
      </c>
      <c r="B2771" s="43">
        <v>10000000</v>
      </c>
      <c r="D2771">
        <f t="shared" si="43"/>
        <v>-8245681</v>
      </c>
    </row>
    <row r="2772" spans="1:4" x14ac:dyDescent="0.3">
      <c r="A2772" s="42">
        <v>1631839</v>
      </c>
      <c r="B2772" s="42">
        <v>10000000</v>
      </c>
      <c r="D2772">
        <f t="shared" si="43"/>
        <v>-8368161</v>
      </c>
    </row>
    <row r="2773" spans="1:4" x14ac:dyDescent="0.3">
      <c r="A2773" s="43">
        <v>1309849</v>
      </c>
      <c r="B2773" s="43">
        <v>10000000</v>
      </c>
      <c r="D2773">
        <f t="shared" si="43"/>
        <v>-8690151</v>
      </c>
    </row>
    <row r="2774" spans="1:4" x14ac:dyDescent="0.3">
      <c r="A2774" s="42">
        <v>1939441</v>
      </c>
      <c r="B2774" s="42">
        <v>10000000</v>
      </c>
      <c r="D2774">
        <f t="shared" si="43"/>
        <v>-8060559</v>
      </c>
    </row>
    <row r="2775" spans="1:4" x14ac:dyDescent="0.3">
      <c r="A2775" s="43">
        <v>1987762</v>
      </c>
      <c r="B2775" s="43">
        <v>11000000</v>
      </c>
      <c r="D2775">
        <f t="shared" si="43"/>
        <v>-9012238</v>
      </c>
    </row>
    <row r="2776" spans="1:4" x14ac:dyDescent="0.3">
      <c r="A2776" s="42">
        <v>1474508</v>
      </c>
      <c r="B2776" s="42">
        <v>5000000</v>
      </c>
      <c r="D2776">
        <f t="shared" si="43"/>
        <v>-3525492</v>
      </c>
    </row>
    <row r="2777" spans="1:4" x14ac:dyDescent="0.3">
      <c r="A2777" s="43">
        <v>1011054</v>
      </c>
      <c r="B2777" s="43">
        <v>10000000</v>
      </c>
      <c r="D2777">
        <f t="shared" si="43"/>
        <v>-8988946</v>
      </c>
    </row>
    <row r="2778" spans="1:4" x14ac:dyDescent="0.3">
      <c r="A2778" s="42">
        <v>900926</v>
      </c>
      <c r="B2778" s="42">
        <v>10000000</v>
      </c>
      <c r="D2778">
        <f t="shared" si="43"/>
        <v>-9099074</v>
      </c>
    </row>
    <row r="2779" spans="1:4" x14ac:dyDescent="0.3">
      <c r="A2779" s="43">
        <v>866778</v>
      </c>
      <c r="B2779" s="43">
        <v>10000000</v>
      </c>
      <c r="D2779">
        <f t="shared" si="43"/>
        <v>-9133222</v>
      </c>
    </row>
    <row r="2780" spans="1:4" x14ac:dyDescent="0.3">
      <c r="A2780" s="42">
        <v>598645</v>
      </c>
      <c r="B2780" s="42">
        <v>10000000</v>
      </c>
      <c r="D2780">
        <f t="shared" si="43"/>
        <v>-9401355</v>
      </c>
    </row>
    <row r="2781" spans="1:4" x14ac:dyDescent="0.3">
      <c r="A2781" s="43">
        <v>578527</v>
      </c>
      <c r="B2781" s="43">
        <v>10000000</v>
      </c>
      <c r="D2781">
        <f t="shared" si="43"/>
        <v>-9421473</v>
      </c>
    </row>
    <row r="2782" spans="1:4" x14ac:dyDescent="0.3">
      <c r="A2782" s="42">
        <v>488872</v>
      </c>
      <c r="B2782" s="42">
        <v>10000000</v>
      </c>
      <c r="D2782">
        <f t="shared" si="43"/>
        <v>-9511128</v>
      </c>
    </row>
    <row r="2783" spans="1:4" x14ac:dyDescent="0.3">
      <c r="A2783" s="43">
        <v>365734</v>
      </c>
      <c r="B2783" s="43">
        <v>10000000</v>
      </c>
      <c r="D2783">
        <f t="shared" si="43"/>
        <v>-9634266</v>
      </c>
    </row>
    <row r="2784" spans="1:4" x14ac:dyDescent="0.3">
      <c r="A2784" s="42">
        <v>231417</v>
      </c>
      <c r="B2784" s="42">
        <v>60000000</v>
      </c>
      <c r="D2784">
        <f t="shared" si="43"/>
        <v>-59768583</v>
      </c>
    </row>
    <row r="2785" spans="1:4" x14ac:dyDescent="0.3">
      <c r="A2785" s="43">
        <v>3093491</v>
      </c>
      <c r="B2785" s="43">
        <v>5000000</v>
      </c>
      <c r="D2785">
        <f t="shared" si="43"/>
        <v>-1906509</v>
      </c>
    </row>
    <row r="2786" spans="1:4" x14ac:dyDescent="0.3">
      <c r="A2786" s="42">
        <v>228524</v>
      </c>
      <c r="B2786" s="42">
        <v>4000000</v>
      </c>
      <c r="D2786">
        <f t="shared" si="43"/>
        <v>-3771476</v>
      </c>
    </row>
    <row r="2787" spans="1:4" x14ac:dyDescent="0.3">
      <c r="A2787" s="43">
        <v>226792</v>
      </c>
      <c r="B2787" s="43">
        <v>10000000</v>
      </c>
      <c r="D2787">
        <f t="shared" si="43"/>
        <v>-9773208</v>
      </c>
    </row>
    <row r="2788" spans="1:4" x14ac:dyDescent="0.3">
      <c r="A2788" s="42">
        <v>136432</v>
      </c>
      <c r="B2788" s="42">
        <v>5000000</v>
      </c>
      <c r="D2788">
        <f t="shared" si="43"/>
        <v>-4863568</v>
      </c>
    </row>
    <row r="2789" spans="1:4" x14ac:dyDescent="0.3">
      <c r="A2789" s="43">
        <v>131617</v>
      </c>
      <c r="B2789" s="43">
        <v>10000000</v>
      </c>
      <c r="D2789">
        <f t="shared" si="43"/>
        <v>-9868383</v>
      </c>
    </row>
    <row r="2790" spans="1:4" x14ac:dyDescent="0.3">
      <c r="A2790" s="42">
        <v>126247</v>
      </c>
      <c r="B2790" s="42">
        <v>6200000</v>
      </c>
      <c r="D2790">
        <f t="shared" si="43"/>
        <v>-6073753</v>
      </c>
    </row>
    <row r="2791" spans="1:4" x14ac:dyDescent="0.3">
      <c r="A2791" s="43">
        <v>169379</v>
      </c>
      <c r="B2791" s="43">
        <v>10000000</v>
      </c>
      <c r="D2791">
        <f t="shared" si="43"/>
        <v>-9830621</v>
      </c>
    </row>
    <row r="2792" spans="1:4" x14ac:dyDescent="0.3">
      <c r="A2792" s="42">
        <v>15447</v>
      </c>
      <c r="B2792" s="42">
        <v>10000000</v>
      </c>
      <c r="D2792">
        <f t="shared" si="43"/>
        <v>-9984553</v>
      </c>
    </row>
    <row r="2793" spans="1:4" x14ac:dyDescent="0.3">
      <c r="A2793" s="43">
        <v>19348</v>
      </c>
      <c r="B2793" s="43">
        <v>10000000</v>
      </c>
      <c r="D2793">
        <f t="shared" si="43"/>
        <v>-9980652</v>
      </c>
    </row>
    <row r="2794" spans="1:4" x14ac:dyDescent="0.3">
      <c r="A2794" s="42">
        <v>100503</v>
      </c>
      <c r="B2794" s="42">
        <v>8000000</v>
      </c>
      <c r="D2794">
        <f t="shared" si="43"/>
        <v>-7899497</v>
      </c>
    </row>
    <row r="2795" spans="1:4" x14ac:dyDescent="0.3">
      <c r="A2795" s="43">
        <v>92900</v>
      </c>
      <c r="B2795" s="43">
        <v>5000000</v>
      </c>
      <c r="D2795">
        <f t="shared" si="43"/>
        <v>-4907100</v>
      </c>
    </row>
    <row r="2796" spans="1:4" x14ac:dyDescent="0.3">
      <c r="A2796" s="42">
        <v>5561</v>
      </c>
      <c r="B2796" s="42">
        <v>10000000</v>
      </c>
      <c r="D2796">
        <f t="shared" si="43"/>
        <v>-9994439</v>
      </c>
    </row>
    <row r="2797" spans="1:4" x14ac:dyDescent="0.3">
      <c r="A2797" s="43">
        <v>3607</v>
      </c>
      <c r="B2797" s="43">
        <v>10000000</v>
      </c>
      <c r="D2797">
        <f t="shared" si="43"/>
        <v>-9996393</v>
      </c>
    </row>
    <row r="2798" spans="1:4" x14ac:dyDescent="0.3">
      <c r="A2798" s="42">
        <v>70527</v>
      </c>
      <c r="B2798" s="42">
        <v>6500000</v>
      </c>
      <c r="D2798">
        <f t="shared" si="43"/>
        <v>-6429473</v>
      </c>
    </row>
    <row r="2799" spans="1:4" x14ac:dyDescent="0.3">
      <c r="A2799" s="43">
        <v>11835</v>
      </c>
      <c r="B2799" s="43">
        <v>10000000</v>
      </c>
      <c r="D2799">
        <f t="shared" si="43"/>
        <v>-9988165</v>
      </c>
    </row>
    <row r="2800" spans="1:4" x14ac:dyDescent="0.3">
      <c r="A2800" s="42">
        <v>128486</v>
      </c>
      <c r="B2800" s="42">
        <v>10000000</v>
      </c>
      <c r="D2800">
        <f t="shared" si="43"/>
        <v>-9871514</v>
      </c>
    </row>
    <row r="2801" spans="1:4" x14ac:dyDescent="0.3">
      <c r="A2801" s="43">
        <v>2483955</v>
      </c>
      <c r="B2801" s="43">
        <v>9600000</v>
      </c>
      <c r="D2801">
        <f t="shared" si="43"/>
        <v>-7116045</v>
      </c>
    </row>
    <row r="2802" spans="1:4" x14ac:dyDescent="0.3">
      <c r="A2802" s="42">
        <v>57176582</v>
      </c>
      <c r="B2802" s="42">
        <v>9500000</v>
      </c>
      <c r="D2802">
        <f t="shared" si="43"/>
        <v>47676582</v>
      </c>
    </row>
    <row r="2803" spans="1:4" x14ac:dyDescent="0.3">
      <c r="A2803" s="43">
        <v>43100000</v>
      </c>
      <c r="B2803" s="43">
        <v>9500000</v>
      </c>
      <c r="D2803">
        <f t="shared" si="43"/>
        <v>33600000</v>
      </c>
    </row>
    <row r="2804" spans="1:4" x14ac:dyDescent="0.3">
      <c r="A2804" s="42">
        <v>225377</v>
      </c>
      <c r="B2804" s="42">
        <v>8900000</v>
      </c>
      <c r="D2804">
        <f t="shared" si="43"/>
        <v>-8674623</v>
      </c>
    </row>
    <row r="2805" spans="1:4" x14ac:dyDescent="0.3">
      <c r="A2805" s="43">
        <v>14114488</v>
      </c>
      <c r="B2805" s="43">
        <v>10500000</v>
      </c>
      <c r="D2805">
        <f t="shared" si="43"/>
        <v>3614488</v>
      </c>
    </row>
    <row r="2806" spans="1:4" x14ac:dyDescent="0.3">
      <c r="A2806" s="42">
        <v>46300000</v>
      </c>
      <c r="B2806" s="42">
        <v>9400000</v>
      </c>
      <c r="D2806">
        <f t="shared" si="43"/>
        <v>36900000</v>
      </c>
    </row>
    <row r="2807" spans="1:4" x14ac:dyDescent="0.3">
      <c r="A2807" s="43">
        <v>2600000</v>
      </c>
      <c r="B2807" s="43">
        <v>6000000</v>
      </c>
      <c r="D2807">
        <f t="shared" si="43"/>
        <v>-3400000</v>
      </c>
    </row>
    <row r="2808" spans="1:4" x14ac:dyDescent="0.3">
      <c r="A2808" s="42">
        <v>1602466</v>
      </c>
      <c r="B2808" s="42">
        <v>600000000</v>
      </c>
      <c r="D2808">
        <f t="shared" si="43"/>
        <v>-598397534</v>
      </c>
    </row>
    <row r="2809" spans="1:4" x14ac:dyDescent="0.3">
      <c r="A2809" s="43">
        <v>3029870</v>
      </c>
      <c r="B2809" s="43">
        <v>7400000</v>
      </c>
      <c r="D2809">
        <f t="shared" si="43"/>
        <v>-4370130</v>
      </c>
    </row>
    <row r="2810" spans="1:4" x14ac:dyDescent="0.3">
      <c r="A2810" s="42">
        <v>3047539</v>
      </c>
      <c r="B2810" s="42">
        <v>7217600</v>
      </c>
      <c r="D2810">
        <f t="shared" si="43"/>
        <v>-4170061</v>
      </c>
    </row>
    <row r="2811" spans="1:4" x14ac:dyDescent="0.3">
      <c r="A2811" s="43">
        <v>78900000</v>
      </c>
      <c r="B2811" s="43">
        <v>11000000</v>
      </c>
      <c r="D2811">
        <f t="shared" si="43"/>
        <v>67900000</v>
      </c>
    </row>
    <row r="2812" spans="1:4" x14ac:dyDescent="0.3">
      <c r="A2812" s="42">
        <v>30859000</v>
      </c>
      <c r="B2812" s="42">
        <v>83532</v>
      </c>
      <c r="D2812">
        <f t="shared" si="43"/>
        <v>30775468</v>
      </c>
    </row>
    <row r="2813" spans="1:4" x14ac:dyDescent="0.3">
      <c r="A2813" s="43">
        <v>3571735</v>
      </c>
      <c r="B2813" s="43">
        <v>10000000</v>
      </c>
      <c r="D2813">
        <f t="shared" si="43"/>
        <v>-6428265</v>
      </c>
    </row>
    <row r="2814" spans="1:4" x14ac:dyDescent="0.3">
      <c r="A2814" s="42">
        <v>50000000</v>
      </c>
      <c r="B2814" s="42">
        <v>9000000</v>
      </c>
      <c r="D2814">
        <f t="shared" si="43"/>
        <v>41000000</v>
      </c>
    </row>
    <row r="2815" spans="1:4" x14ac:dyDescent="0.3">
      <c r="A2815" s="43">
        <v>63600000</v>
      </c>
      <c r="B2815" s="43">
        <v>9000000</v>
      </c>
      <c r="D2815">
        <f t="shared" si="43"/>
        <v>54600000</v>
      </c>
    </row>
    <row r="2816" spans="1:4" x14ac:dyDescent="0.3">
      <c r="A2816" s="42">
        <v>36049108</v>
      </c>
      <c r="B2816" s="42">
        <v>9000000</v>
      </c>
      <c r="D2816">
        <f t="shared" si="43"/>
        <v>27049108</v>
      </c>
    </row>
    <row r="2817" spans="1:4" x14ac:dyDescent="0.3">
      <c r="A2817" s="43">
        <v>34074895</v>
      </c>
      <c r="B2817" s="43">
        <v>9000000</v>
      </c>
      <c r="D2817">
        <f t="shared" si="43"/>
        <v>25074895</v>
      </c>
    </row>
    <row r="2818" spans="1:4" x14ac:dyDescent="0.3">
      <c r="A2818" s="42">
        <v>33244684</v>
      </c>
      <c r="B2818" s="42">
        <v>9000000</v>
      </c>
      <c r="D2818">
        <f t="shared" ref="D2818:D2881" si="44">A2818-B2818</f>
        <v>24244684</v>
      </c>
    </row>
    <row r="2819" spans="1:4" x14ac:dyDescent="0.3">
      <c r="A2819" s="43">
        <v>24530513</v>
      </c>
      <c r="B2819" s="43">
        <v>9000000</v>
      </c>
      <c r="D2819">
        <f t="shared" si="44"/>
        <v>15530513</v>
      </c>
    </row>
    <row r="2820" spans="1:4" x14ac:dyDescent="0.3">
      <c r="A2820" s="42">
        <v>71519230</v>
      </c>
      <c r="B2820" s="42">
        <v>9000000</v>
      </c>
      <c r="D2820">
        <f t="shared" si="44"/>
        <v>62519230</v>
      </c>
    </row>
    <row r="2821" spans="1:4" x14ac:dyDescent="0.3">
      <c r="A2821" s="43">
        <v>20035310</v>
      </c>
      <c r="B2821" s="43">
        <v>9000000</v>
      </c>
      <c r="D2821">
        <f t="shared" si="44"/>
        <v>11035310</v>
      </c>
    </row>
    <row r="2822" spans="1:4" x14ac:dyDescent="0.3">
      <c r="A2822" s="42">
        <v>18225165</v>
      </c>
      <c r="B2822" s="42">
        <v>9000000</v>
      </c>
      <c r="D2822">
        <f t="shared" si="44"/>
        <v>9225165</v>
      </c>
    </row>
    <row r="2823" spans="1:4" x14ac:dyDescent="0.3">
      <c r="A2823" s="43">
        <v>17804273</v>
      </c>
      <c r="B2823" s="43">
        <v>20000000</v>
      </c>
      <c r="D2823">
        <f t="shared" si="44"/>
        <v>-2195727</v>
      </c>
    </row>
    <row r="2824" spans="1:4" x14ac:dyDescent="0.3">
      <c r="A2824" s="42">
        <v>16938179</v>
      </c>
      <c r="B2824" s="42">
        <v>8000000</v>
      </c>
      <c r="D2824">
        <f t="shared" si="44"/>
        <v>8938179</v>
      </c>
    </row>
    <row r="2825" spans="1:4" x14ac:dyDescent="0.3">
      <c r="A2825" s="43">
        <v>16235293</v>
      </c>
      <c r="B2825" s="43">
        <v>9000000</v>
      </c>
      <c r="D2825">
        <f t="shared" si="44"/>
        <v>7235293</v>
      </c>
    </row>
    <row r="2826" spans="1:4" x14ac:dyDescent="0.3">
      <c r="A2826" s="42">
        <v>10161099</v>
      </c>
      <c r="B2826" s="42">
        <v>9000000</v>
      </c>
      <c r="D2826">
        <f t="shared" si="44"/>
        <v>1161099</v>
      </c>
    </row>
    <row r="2827" spans="1:4" x14ac:dyDescent="0.3">
      <c r="A2827" s="43">
        <v>6047856</v>
      </c>
      <c r="B2827" s="43">
        <v>8500000</v>
      </c>
      <c r="D2827">
        <f t="shared" si="44"/>
        <v>-2452144</v>
      </c>
    </row>
    <row r="2828" spans="1:4" x14ac:dyDescent="0.3">
      <c r="A2828" s="42">
        <v>4681503</v>
      </c>
      <c r="B2828" s="42">
        <v>9000000</v>
      </c>
      <c r="D2828">
        <f t="shared" si="44"/>
        <v>-4318497</v>
      </c>
    </row>
    <row r="2829" spans="1:4" x14ac:dyDescent="0.3">
      <c r="A2829" s="43">
        <v>4350774</v>
      </c>
      <c r="B2829" s="43">
        <v>8000000</v>
      </c>
      <c r="D2829">
        <f t="shared" si="44"/>
        <v>-3649226</v>
      </c>
    </row>
    <row r="2830" spans="1:4" x14ac:dyDescent="0.3">
      <c r="A2830" s="42">
        <v>2955039</v>
      </c>
      <c r="B2830" s="42">
        <v>9000000</v>
      </c>
      <c r="D2830">
        <f t="shared" si="44"/>
        <v>-6044961</v>
      </c>
    </row>
    <row r="2831" spans="1:4" x14ac:dyDescent="0.3">
      <c r="A2831" s="43">
        <v>1530535</v>
      </c>
      <c r="B2831" s="43">
        <v>9000000</v>
      </c>
      <c r="D2831">
        <f t="shared" si="44"/>
        <v>-7469465</v>
      </c>
    </row>
    <row r="2832" spans="1:4" x14ac:dyDescent="0.3">
      <c r="A2832" s="42">
        <v>4881867</v>
      </c>
      <c r="B2832" s="42">
        <v>9000000</v>
      </c>
      <c r="D2832">
        <f t="shared" si="44"/>
        <v>-4118133</v>
      </c>
    </row>
    <row r="2833" spans="1:4" x14ac:dyDescent="0.3">
      <c r="A2833" s="43">
        <v>11860839</v>
      </c>
      <c r="B2833" s="43">
        <v>9000000</v>
      </c>
      <c r="D2833">
        <f t="shared" si="44"/>
        <v>2860839</v>
      </c>
    </row>
    <row r="2834" spans="1:4" x14ac:dyDescent="0.3">
      <c r="A2834" s="42">
        <v>454255</v>
      </c>
      <c r="B2834" s="42">
        <v>400000000</v>
      </c>
      <c r="D2834">
        <f t="shared" si="44"/>
        <v>-399545745</v>
      </c>
    </row>
    <row r="2835" spans="1:4" x14ac:dyDescent="0.3">
      <c r="A2835" s="43">
        <v>349618</v>
      </c>
      <c r="B2835" s="43">
        <v>9000000</v>
      </c>
      <c r="D2835">
        <f t="shared" si="44"/>
        <v>-8650382</v>
      </c>
    </row>
    <row r="2836" spans="1:4" x14ac:dyDescent="0.3">
      <c r="A2836" s="42">
        <v>112935</v>
      </c>
      <c r="B2836" s="42">
        <v>9000000</v>
      </c>
      <c r="D2836">
        <f t="shared" si="44"/>
        <v>-8887065</v>
      </c>
    </row>
    <row r="2837" spans="1:4" x14ac:dyDescent="0.3">
      <c r="A2837" s="43">
        <v>883887</v>
      </c>
      <c r="B2837" s="43">
        <v>9000000</v>
      </c>
      <c r="D2837">
        <f t="shared" si="44"/>
        <v>-8116113</v>
      </c>
    </row>
    <row r="2838" spans="1:4" x14ac:dyDescent="0.3">
      <c r="A2838" s="42">
        <v>13751</v>
      </c>
      <c r="B2838" s="42">
        <v>11400000</v>
      </c>
      <c r="D2838">
        <f t="shared" si="44"/>
        <v>-11386249</v>
      </c>
    </row>
    <row r="2839" spans="1:4" x14ac:dyDescent="0.3">
      <c r="A2839" s="43">
        <v>145109</v>
      </c>
      <c r="B2839" s="43">
        <v>45000000</v>
      </c>
      <c r="D2839">
        <f t="shared" si="44"/>
        <v>-44854891</v>
      </c>
    </row>
    <row r="2840" spans="1:4" x14ac:dyDescent="0.3">
      <c r="A2840" s="42">
        <v>1046166</v>
      </c>
      <c r="B2840" s="42">
        <v>9000000</v>
      </c>
      <c r="D2840">
        <f t="shared" si="44"/>
        <v>-7953834</v>
      </c>
    </row>
    <row r="2841" spans="1:4" x14ac:dyDescent="0.3">
      <c r="A2841" s="43">
        <v>174635000</v>
      </c>
      <c r="B2841" s="43">
        <v>8800000</v>
      </c>
      <c r="D2841">
        <f t="shared" si="44"/>
        <v>165835000</v>
      </c>
    </row>
    <row r="2842" spans="1:4" x14ac:dyDescent="0.3">
      <c r="A2842" s="42">
        <v>14373825</v>
      </c>
      <c r="B2842" s="42">
        <v>8600000</v>
      </c>
      <c r="D2842">
        <f t="shared" si="44"/>
        <v>5773825</v>
      </c>
    </row>
    <row r="2843" spans="1:4" x14ac:dyDescent="0.3">
      <c r="A2843" s="43">
        <v>162</v>
      </c>
      <c r="B2843" s="43">
        <v>9000000</v>
      </c>
      <c r="D2843">
        <f t="shared" si="44"/>
        <v>-8999838</v>
      </c>
    </row>
    <row r="2844" spans="1:4" x14ac:dyDescent="0.3">
      <c r="A2844" s="42">
        <v>39462438</v>
      </c>
      <c r="B2844" s="42">
        <v>7000000</v>
      </c>
      <c r="D2844">
        <f t="shared" si="44"/>
        <v>32462438</v>
      </c>
    </row>
    <row r="2845" spans="1:4" x14ac:dyDescent="0.3">
      <c r="A2845" s="43">
        <v>29200000</v>
      </c>
      <c r="B2845" s="43">
        <v>8500000</v>
      </c>
      <c r="D2845">
        <f t="shared" si="44"/>
        <v>20700000</v>
      </c>
    </row>
    <row r="2846" spans="1:4" x14ac:dyDescent="0.3">
      <c r="A2846" s="42">
        <v>21564616</v>
      </c>
      <c r="B2846" s="42">
        <v>8500000</v>
      </c>
      <c r="D2846">
        <f t="shared" si="44"/>
        <v>13064616</v>
      </c>
    </row>
    <row r="2847" spans="1:4" x14ac:dyDescent="0.3">
      <c r="A2847" s="43">
        <v>14879556</v>
      </c>
      <c r="B2847" s="43">
        <v>8000000</v>
      </c>
      <c r="D2847">
        <f t="shared" si="44"/>
        <v>6879556</v>
      </c>
    </row>
    <row r="2848" spans="1:4" x14ac:dyDescent="0.3">
      <c r="A2848" s="42">
        <v>34017854</v>
      </c>
      <c r="B2848" s="42">
        <v>8500000</v>
      </c>
      <c r="D2848">
        <f t="shared" si="44"/>
        <v>25517854</v>
      </c>
    </row>
    <row r="2849" spans="1:4" x14ac:dyDescent="0.3">
      <c r="A2849" s="43">
        <v>4273372</v>
      </c>
      <c r="B2849" s="43">
        <v>22000000</v>
      </c>
      <c r="D2849">
        <f t="shared" si="44"/>
        <v>-17726628</v>
      </c>
    </row>
    <row r="2850" spans="1:4" x14ac:dyDescent="0.3">
      <c r="A2850" s="42">
        <v>4440055</v>
      </c>
      <c r="B2850" s="42">
        <v>8500000</v>
      </c>
      <c r="D2850">
        <f t="shared" si="44"/>
        <v>-4059945</v>
      </c>
    </row>
    <row r="2851" spans="1:4" x14ac:dyDescent="0.3">
      <c r="A2851" s="43">
        <v>4018695</v>
      </c>
      <c r="B2851" s="43">
        <v>12000000</v>
      </c>
      <c r="D2851">
        <f t="shared" si="44"/>
        <v>-7981305</v>
      </c>
    </row>
    <row r="2852" spans="1:4" x14ac:dyDescent="0.3">
      <c r="A2852" s="42">
        <v>6262942</v>
      </c>
      <c r="B2852" s="42">
        <v>9000000</v>
      </c>
      <c r="D2852">
        <f t="shared" si="44"/>
        <v>-2737058</v>
      </c>
    </row>
    <row r="2853" spans="1:4" x14ac:dyDescent="0.3">
      <c r="A2853" s="43">
        <v>1997807</v>
      </c>
      <c r="B2853" s="43">
        <v>8000000</v>
      </c>
      <c r="D2853">
        <f t="shared" si="44"/>
        <v>-6002193</v>
      </c>
    </row>
    <row r="2854" spans="1:4" x14ac:dyDescent="0.3">
      <c r="A2854" s="42">
        <v>140244</v>
      </c>
      <c r="B2854" s="42">
        <v>8500000</v>
      </c>
      <c r="D2854">
        <f t="shared" si="44"/>
        <v>-8359756</v>
      </c>
    </row>
    <row r="2855" spans="1:4" x14ac:dyDescent="0.3">
      <c r="A2855" s="43">
        <v>107930000</v>
      </c>
      <c r="B2855" s="43">
        <v>8000000</v>
      </c>
      <c r="D2855">
        <f t="shared" si="44"/>
        <v>99930000</v>
      </c>
    </row>
    <row r="2856" spans="1:4" x14ac:dyDescent="0.3">
      <c r="A2856" s="42">
        <v>32279955</v>
      </c>
      <c r="B2856" s="42">
        <v>8500000</v>
      </c>
      <c r="D2856">
        <f t="shared" si="44"/>
        <v>23779955</v>
      </c>
    </row>
    <row r="2857" spans="1:4" x14ac:dyDescent="0.3">
      <c r="A2857" s="43">
        <v>4992159</v>
      </c>
      <c r="B2857" s="43">
        <v>8550000</v>
      </c>
      <c r="D2857">
        <f t="shared" si="44"/>
        <v>-3557841</v>
      </c>
    </row>
    <row r="2858" spans="1:4" x14ac:dyDescent="0.3">
      <c r="A2858" s="42">
        <v>163214286</v>
      </c>
      <c r="B2858" s="42">
        <v>8200000</v>
      </c>
      <c r="D2858">
        <f t="shared" si="44"/>
        <v>155014286</v>
      </c>
    </row>
    <row r="2859" spans="1:4" x14ac:dyDescent="0.3">
      <c r="A2859" s="43">
        <v>69800000</v>
      </c>
      <c r="B2859" s="43">
        <v>8000000</v>
      </c>
      <c r="D2859">
        <f t="shared" si="44"/>
        <v>61800000</v>
      </c>
    </row>
    <row r="2860" spans="1:4" x14ac:dyDescent="0.3">
      <c r="A2860" s="42">
        <v>59889948</v>
      </c>
      <c r="B2860" s="42">
        <v>8000000</v>
      </c>
      <c r="D2860">
        <f t="shared" si="44"/>
        <v>51889948</v>
      </c>
    </row>
    <row r="2861" spans="1:4" x14ac:dyDescent="0.3">
      <c r="A2861" s="43">
        <v>52287414</v>
      </c>
      <c r="B2861" s="43">
        <v>8000000</v>
      </c>
      <c r="D2861">
        <f t="shared" si="44"/>
        <v>44287414</v>
      </c>
    </row>
    <row r="2862" spans="1:4" x14ac:dyDescent="0.3">
      <c r="A2862" s="42">
        <v>45063889</v>
      </c>
      <c r="B2862" s="42">
        <v>8000000</v>
      </c>
      <c r="D2862">
        <f t="shared" si="44"/>
        <v>37063889</v>
      </c>
    </row>
    <row r="2863" spans="1:4" x14ac:dyDescent="0.3">
      <c r="A2863" s="43">
        <v>40066497</v>
      </c>
      <c r="B2863" s="43">
        <v>8000000</v>
      </c>
      <c r="D2863">
        <f t="shared" si="44"/>
        <v>32066497</v>
      </c>
    </row>
    <row r="2864" spans="1:4" x14ac:dyDescent="0.3">
      <c r="A2864" s="42">
        <v>36500000</v>
      </c>
      <c r="B2864" s="42">
        <v>8000000</v>
      </c>
      <c r="D2864">
        <f t="shared" si="44"/>
        <v>28500000</v>
      </c>
    </row>
    <row r="2865" spans="1:4" x14ac:dyDescent="0.3">
      <c r="A2865" s="43">
        <v>27362712</v>
      </c>
      <c r="B2865" s="43">
        <v>8000000</v>
      </c>
      <c r="D2865">
        <f t="shared" si="44"/>
        <v>19362712</v>
      </c>
    </row>
    <row r="2866" spans="1:4" x14ac:dyDescent="0.3">
      <c r="A2866" s="42">
        <v>34746109</v>
      </c>
      <c r="B2866" s="42">
        <v>8000000</v>
      </c>
      <c r="D2866">
        <f t="shared" si="44"/>
        <v>26746109</v>
      </c>
    </row>
    <row r="2867" spans="1:4" x14ac:dyDescent="0.3">
      <c r="A2867" s="43">
        <v>34963967</v>
      </c>
      <c r="B2867" s="43">
        <v>8000000</v>
      </c>
      <c r="D2867">
        <f t="shared" si="44"/>
        <v>26963967</v>
      </c>
    </row>
    <row r="2868" spans="1:4" x14ac:dyDescent="0.3">
      <c r="A2868" s="42">
        <v>25926543</v>
      </c>
      <c r="B2868" s="42">
        <v>8000000</v>
      </c>
      <c r="D2868">
        <f t="shared" si="44"/>
        <v>17926543</v>
      </c>
    </row>
    <row r="2869" spans="1:4" x14ac:dyDescent="0.3">
      <c r="A2869" s="43">
        <v>26049082</v>
      </c>
      <c r="B2869" s="43">
        <v>8000000</v>
      </c>
      <c r="D2869">
        <f t="shared" si="44"/>
        <v>18049082</v>
      </c>
    </row>
    <row r="2870" spans="1:4" x14ac:dyDescent="0.3">
      <c r="A2870" s="42">
        <v>22551000</v>
      </c>
      <c r="B2870" s="42">
        <v>8000000</v>
      </c>
      <c r="D2870">
        <f t="shared" si="44"/>
        <v>14551000</v>
      </c>
    </row>
    <row r="2871" spans="1:4" x14ac:dyDescent="0.3">
      <c r="A2871" s="43">
        <v>22800000</v>
      </c>
      <c r="B2871" s="43">
        <v>7000000</v>
      </c>
      <c r="D2871">
        <f t="shared" si="44"/>
        <v>15800000</v>
      </c>
    </row>
    <row r="2872" spans="1:4" x14ac:dyDescent="0.3">
      <c r="A2872" s="42">
        <v>18090181</v>
      </c>
      <c r="B2872" s="42">
        <v>8000000</v>
      </c>
      <c r="D2872">
        <f t="shared" si="44"/>
        <v>10090181</v>
      </c>
    </row>
    <row r="2873" spans="1:4" x14ac:dyDescent="0.3">
      <c r="A2873" s="43">
        <v>17843379</v>
      </c>
      <c r="B2873" s="43">
        <v>8000000</v>
      </c>
      <c r="D2873">
        <f t="shared" si="44"/>
        <v>9843379</v>
      </c>
    </row>
    <row r="2874" spans="1:4" x14ac:dyDescent="0.3">
      <c r="A2874" s="42">
        <v>17278980</v>
      </c>
      <c r="B2874" s="42">
        <v>8000000</v>
      </c>
      <c r="D2874">
        <f t="shared" si="44"/>
        <v>9278980</v>
      </c>
    </row>
    <row r="2875" spans="1:4" x14ac:dyDescent="0.3">
      <c r="A2875" s="43">
        <v>16699684</v>
      </c>
      <c r="B2875" s="43">
        <v>8000000</v>
      </c>
      <c r="D2875">
        <f t="shared" si="44"/>
        <v>8699684</v>
      </c>
    </row>
    <row r="2876" spans="1:4" x14ac:dyDescent="0.3">
      <c r="A2876" s="42">
        <v>15047419</v>
      </c>
      <c r="B2876" s="42">
        <v>7000000</v>
      </c>
      <c r="D2876">
        <f t="shared" si="44"/>
        <v>8047419</v>
      </c>
    </row>
    <row r="2877" spans="1:4" x14ac:dyDescent="0.3">
      <c r="A2877" s="43">
        <v>14015786</v>
      </c>
      <c r="B2877" s="43">
        <v>5000000</v>
      </c>
      <c r="D2877">
        <f t="shared" si="44"/>
        <v>9015786</v>
      </c>
    </row>
    <row r="2878" spans="1:4" x14ac:dyDescent="0.3">
      <c r="A2878" s="42">
        <v>10269307</v>
      </c>
      <c r="B2878" s="42">
        <v>8000000</v>
      </c>
      <c r="D2878">
        <f t="shared" si="44"/>
        <v>2269307</v>
      </c>
    </row>
    <row r="2879" spans="1:4" x14ac:dyDescent="0.3">
      <c r="A2879" s="43">
        <v>17536788</v>
      </c>
      <c r="B2879" s="43">
        <v>8000000</v>
      </c>
      <c r="D2879">
        <f t="shared" si="44"/>
        <v>9536788</v>
      </c>
    </row>
    <row r="2880" spans="1:4" x14ac:dyDescent="0.3">
      <c r="A2880" s="42">
        <v>58401464</v>
      </c>
      <c r="B2880" s="42">
        <v>8000000</v>
      </c>
      <c r="D2880">
        <f t="shared" si="44"/>
        <v>50401464</v>
      </c>
    </row>
    <row r="2881" spans="1:4" x14ac:dyDescent="0.3">
      <c r="A2881" s="43">
        <v>8279017</v>
      </c>
      <c r="B2881" s="43">
        <v>8000000</v>
      </c>
      <c r="D2881">
        <f t="shared" si="44"/>
        <v>279017</v>
      </c>
    </row>
    <row r="2882" spans="1:4" x14ac:dyDescent="0.3">
      <c r="A2882" s="42">
        <v>10106233</v>
      </c>
      <c r="B2882" s="42">
        <v>8000000</v>
      </c>
      <c r="D2882">
        <f t="shared" ref="D2882:D2945" si="45">A2882-B2882</f>
        <v>2106233</v>
      </c>
    </row>
    <row r="2883" spans="1:4" x14ac:dyDescent="0.3">
      <c r="A2883" s="43">
        <v>4692814</v>
      </c>
      <c r="B2883" s="43">
        <v>8000000</v>
      </c>
      <c r="D2883">
        <f t="shared" si="45"/>
        <v>-3307186</v>
      </c>
    </row>
    <row r="2884" spans="1:4" x14ac:dyDescent="0.3">
      <c r="A2884" s="42">
        <v>5018450</v>
      </c>
      <c r="B2884" s="42">
        <v>8000000</v>
      </c>
      <c r="D2884">
        <f t="shared" si="45"/>
        <v>-2981550</v>
      </c>
    </row>
    <row r="2885" spans="1:4" x14ac:dyDescent="0.3">
      <c r="A2885" s="43">
        <v>3442820</v>
      </c>
      <c r="B2885" s="43">
        <v>8000000</v>
      </c>
      <c r="D2885">
        <f t="shared" si="45"/>
        <v>-4557180</v>
      </c>
    </row>
    <row r="2886" spans="1:4" x14ac:dyDescent="0.3">
      <c r="A2886" s="42">
        <v>3205244</v>
      </c>
      <c r="B2886" s="42">
        <v>10000000</v>
      </c>
      <c r="D2886">
        <f t="shared" si="45"/>
        <v>-6794756</v>
      </c>
    </row>
    <row r="2887" spans="1:4" x14ac:dyDescent="0.3">
      <c r="A2887" s="43">
        <v>3076425</v>
      </c>
      <c r="B2887" s="43">
        <v>8000000</v>
      </c>
      <c r="D2887">
        <f t="shared" si="45"/>
        <v>-4923575</v>
      </c>
    </row>
    <row r="2888" spans="1:4" x14ac:dyDescent="0.3">
      <c r="A2888" s="42">
        <v>2275557</v>
      </c>
      <c r="B2888" s="42">
        <v>8000000</v>
      </c>
      <c r="D2888">
        <f t="shared" si="45"/>
        <v>-5724443</v>
      </c>
    </row>
    <row r="2889" spans="1:4" x14ac:dyDescent="0.3">
      <c r="A2889" s="43">
        <v>1789892</v>
      </c>
      <c r="B2889" s="43">
        <v>8000000</v>
      </c>
      <c r="D2889">
        <f t="shared" si="45"/>
        <v>-6210108</v>
      </c>
    </row>
    <row r="2890" spans="1:4" x14ac:dyDescent="0.3">
      <c r="A2890" s="42">
        <v>6350058</v>
      </c>
      <c r="B2890" s="42">
        <v>8000000</v>
      </c>
      <c r="D2890">
        <f t="shared" si="45"/>
        <v>-1649942</v>
      </c>
    </row>
    <row r="2891" spans="1:4" x14ac:dyDescent="0.3">
      <c r="A2891" s="43">
        <v>1094798</v>
      </c>
      <c r="B2891" s="43">
        <v>7200000</v>
      </c>
      <c r="D2891">
        <f t="shared" si="45"/>
        <v>-6105202</v>
      </c>
    </row>
    <row r="2892" spans="1:4" x14ac:dyDescent="0.3">
      <c r="A2892" s="42">
        <v>1071240</v>
      </c>
      <c r="B2892" s="42">
        <v>8000000</v>
      </c>
      <c r="D2892">
        <f t="shared" si="45"/>
        <v>-6928760</v>
      </c>
    </row>
    <row r="2893" spans="1:4" x14ac:dyDescent="0.3">
      <c r="A2893" s="43">
        <v>532190</v>
      </c>
      <c r="B2893" s="43">
        <v>8000000</v>
      </c>
      <c r="D2893">
        <f t="shared" si="45"/>
        <v>-7467810</v>
      </c>
    </row>
    <row r="2894" spans="1:4" x14ac:dyDescent="0.3">
      <c r="A2894" s="42">
        <v>686383</v>
      </c>
      <c r="B2894" s="42">
        <v>6500000</v>
      </c>
      <c r="D2894">
        <f t="shared" si="45"/>
        <v>-5813617</v>
      </c>
    </row>
    <row r="2895" spans="1:4" x14ac:dyDescent="0.3">
      <c r="A2895" s="43">
        <v>16168741</v>
      </c>
      <c r="B2895" s="43">
        <v>8000000</v>
      </c>
      <c r="D2895">
        <f t="shared" si="45"/>
        <v>8168741</v>
      </c>
    </row>
    <row r="2896" spans="1:4" x14ac:dyDescent="0.3">
      <c r="A2896" s="42">
        <v>568695</v>
      </c>
      <c r="B2896" s="42">
        <v>8000000</v>
      </c>
      <c r="D2896">
        <f t="shared" si="45"/>
        <v>-7431305</v>
      </c>
    </row>
    <row r="2897" spans="1:4" x14ac:dyDescent="0.3">
      <c r="A2897" s="43">
        <v>398420</v>
      </c>
      <c r="B2897" s="43">
        <v>8000000</v>
      </c>
      <c r="D2897">
        <f t="shared" si="45"/>
        <v>-7601580</v>
      </c>
    </row>
    <row r="2898" spans="1:4" x14ac:dyDescent="0.3">
      <c r="A2898" s="42">
        <v>298110</v>
      </c>
      <c r="B2898" s="42">
        <v>8000000</v>
      </c>
      <c r="D2898">
        <f t="shared" si="45"/>
        <v>-7701890</v>
      </c>
    </row>
    <row r="2899" spans="1:4" x14ac:dyDescent="0.3">
      <c r="A2899" s="43">
        <v>127144</v>
      </c>
      <c r="B2899" s="43">
        <v>8000000</v>
      </c>
      <c r="D2899">
        <f t="shared" si="45"/>
        <v>-7872856</v>
      </c>
    </row>
    <row r="2900" spans="1:4" x14ac:dyDescent="0.3">
      <c r="A2900" s="42">
        <v>117190</v>
      </c>
      <c r="B2900" s="42">
        <v>8000000</v>
      </c>
      <c r="D2900">
        <f t="shared" si="45"/>
        <v>-7882810</v>
      </c>
    </row>
    <row r="2901" spans="1:4" x14ac:dyDescent="0.3">
      <c r="A2901" s="43">
        <v>108662</v>
      </c>
      <c r="B2901" s="43">
        <v>8000000</v>
      </c>
      <c r="D2901">
        <f t="shared" si="45"/>
        <v>-7891338</v>
      </c>
    </row>
    <row r="2902" spans="1:4" x14ac:dyDescent="0.3">
      <c r="A2902" s="42">
        <v>53481</v>
      </c>
      <c r="B2902" s="42">
        <v>8000000</v>
      </c>
      <c r="D2902">
        <f t="shared" si="45"/>
        <v>-7946519</v>
      </c>
    </row>
    <row r="2903" spans="1:4" x14ac:dyDescent="0.3">
      <c r="A2903" s="43">
        <v>23106</v>
      </c>
      <c r="B2903" s="43">
        <v>50000000</v>
      </c>
      <c r="D2903">
        <f t="shared" si="45"/>
        <v>-49976894</v>
      </c>
    </row>
    <row r="2904" spans="1:4" x14ac:dyDescent="0.3">
      <c r="A2904" s="42">
        <v>52961</v>
      </c>
      <c r="B2904" s="42">
        <v>8000000</v>
      </c>
      <c r="D2904">
        <f t="shared" si="45"/>
        <v>-7947039</v>
      </c>
    </row>
    <row r="2905" spans="1:4" x14ac:dyDescent="0.3">
      <c r="A2905" s="43">
        <v>439162</v>
      </c>
      <c r="B2905" s="43">
        <v>1100000000</v>
      </c>
      <c r="D2905">
        <f t="shared" si="45"/>
        <v>-1099560838</v>
      </c>
    </row>
    <row r="2906" spans="1:4" x14ac:dyDescent="0.3">
      <c r="A2906" s="42">
        <v>671240</v>
      </c>
      <c r="B2906" s="42">
        <v>7900000</v>
      </c>
      <c r="D2906">
        <f t="shared" si="45"/>
        <v>-7228760</v>
      </c>
    </row>
    <row r="2907" spans="1:4" x14ac:dyDescent="0.3">
      <c r="A2907" s="43">
        <v>882290</v>
      </c>
      <c r="B2907" s="43">
        <v>10000000</v>
      </c>
      <c r="D2907">
        <f t="shared" si="45"/>
        <v>-9117710</v>
      </c>
    </row>
    <row r="2908" spans="1:4" x14ac:dyDescent="0.3">
      <c r="A2908" s="42">
        <v>106593296</v>
      </c>
      <c r="B2908" s="42">
        <v>7500000</v>
      </c>
      <c r="D2908">
        <f t="shared" si="45"/>
        <v>99093296</v>
      </c>
    </row>
    <row r="2909" spans="1:4" x14ac:dyDescent="0.3">
      <c r="A2909" s="43">
        <v>43490057</v>
      </c>
      <c r="B2909" s="43">
        <v>7500000</v>
      </c>
      <c r="D2909">
        <f t="shared" si="45"/>
        <v>35990057</v>
      </c>
    </row>
    <row r="2910" spans="1:4" x14ac:dyDescent="0.3">
      <c r="A2910" s="42">
        <v>32333860</v>
      </c>
      <c r="B2910" s="42">
        <v>7500000</v>
      </c>
      <c r="D2910">
        <f t="shared" si="45"/>
        <v>24833860</v>
      </c>
    </row>
    <row r="2911" spans="1:4" x14ac:dyDescent="0.3">
      <c r="A2911" s="43">
        <v>24792061</v>
      </c>
      <c r="B2911" s="43">
        <v>6500000</v>
      </c>
      <c r="D2911">
        <f t="shared" si="45"/>
        <v>18292061</v>
      </c>
    </row>
    <row r="2912" spans="1:4" x14ac:dyDescent="0.3">
      <c r="A2912" s="42">
        <v>17544812</v>
      </c>
      <c r="B2912" s="42">
        <v>10000000</v>
      </c>
      <c r="D2912">
        <f t="shared" si="45"/>
        <v>7544812</v>
      </c>
    </row>
    <row r="2913" spans="1:4" x14ac:dyDescent="0.3">
      <c r="A2913" s="43">
        <v>12574715</v>
      </c>
      <c r="B2913" s="43">
        <v>4500000</v>
      </c>
      <c r="D2913">
        <f t="shared" si="45"/>
        <v>8074715</v>
      </c>
    </row>
    <row r="2914" spans="1:4" x14ac:dyDescent="0.3">
      <c r="A2914" s="42">
        <v>5100000</v>
      </c>
      <c r="B2914" s="42">
        <v>7500000</v>
      </c>
      <c r="D2914">
        <f t="shared" si="45"/>
        <v>-2400000</v>
      </c>
    </row>
    <row r="2915" spans="1:4" x14ac:dyDescent="0.3">
      <c r="A2915" s="43">
        <v>10460089</v>
      </c>
      <c r="B2915" s="43">
        <v>7500000</v>
      </c>
      <c r="D2915">
        <f t="shared" si="45"/>
        <v>2960089</v>
      </c>
    </row>
    <row r="2916" spans="1:4" x14ac:dyDescent="0.3">
      <c r="A2916" s="42">
        <v>4239767</v>
      </c>
      <c r="B2916" s="42">
        <v>7500000</v>
      </c>
      <c r="D2916">
        <f t="shared" si="45"/>
        <v>-3260233</v>
      </c>
    </row>
    <row r="2917" spans="1:4" x14ac:dyDescent="0.3">
      <c r="A2917" s="43">
        <v>4131640</v>
      </c>
      <c r="B2917" s="43">
        <v>7500000</v>
      </c>
      <c r="D2917">
        <f t="shared" si="45"/>
        <v>-3368360</v>
      </c>
    </row>
    <row r="2918" spans="1:4" x14ac:dyDescent="0.3">
      <c r="A2918" s="42">
        <v>3347439</v>
      </c>
      <c r="B2918" s="42">
        <v>7500000</v>
      </c>
      <c r="D2918">
        <f t="shared" si="45"/>
        <v>-4152561</v>
      </c>
    </row>
    <row r="2919" spans="1:4" x14ac:dyDescent="0.3">
      <c r="A2919" s="43">
        <v>10814185</v>
      </c>
      <c r="B2919" s="43">
        <v>8000000</v>
      </c>
      <c r="D2919">
        <f t="shared" si="45"/>
        <v>2814185</v>
      </c>
    </row>
    <row r="2920" spans="1:4" x14ac:dyDescent="0.3">
      <c r="A2920" s="42">
        <v>206400</v>
      </c>
      <c r="B2920" s="42">
        <v>50000000</v>
      </c>
      <c r="D2920">
        <f t="shared" si="45"/>
        <v>-49793600</v>
      </c>
    </row>
    <row r="2921" spans="1:4" x14ac:dyDescent="0.3">
      <c r="A2921" s="43">
        <v>197148</v>
      </c>
      <c r="B2921" s="43">
        <v>7500000</v>
      </c>
      <c r="D2921">
        <f t="shared" si="45"/>
        <v>-7302852</v>
      </c>
    </row>
    <row r="2922" spans="1:4" x14ac:dyDescent="0.3">
      <c r="A2922" s="42">
        <v>3014541</v>
      </c>
      <c r="B2922" s="42">
        <v>8000000</v>
      </c>
      <c r="D2922">
        <f t="shared" si="45"/>
        <v>-4985459</v>
      </c>
    </row>
    <row r="2923" spans="1:4" x14ac:dyDescent="0.3">
      <c r="A2923" s="43">
        <v>872643</v>
      </c>
      <c r="B2923" s="43">
        <v>6000000</v>
      </c>
      <c r="D2923">
        <f t="shared" si="45"/>
        <v>-5127357</v>
      </c>
    </row>
    <row r="2924" spans="1:4" x14ac:dyDescent="0.3">
      <c r="A2924" s="42">
        <v>4443403</v>
      </c>
      <c r="B2924" s="42">
        <v>7300000</v>
      </c>
      <c r="D2924">
        <f t="shared" si="45"/>
        <v>-2856597</v>
      </c>
    </row>
    <row r="2925" spans="1:4" x14ac:dyDescent="0.3">
      <c r="A2925" s="43">
        <v>1330827</v>
      </c>
      <c r="B2925" s="43">
        <v>7000000</v>
      </c>
      <c r="D2925">
        <f t="shared" si="45"/>
        <v>-5669173</v>
      </c>
    </row>
    <row r="2926" spans="1:4" x14ac:dyDescent="0.3">
      <c r="A2926" s="42">
        <v>1818681</v>
      </c>
      <c r="B2926" s="42">
        <v>7300000</v>
      </c>
      <c r="D2926">
        <f t="shared" si="45"/>
        <v>-5481319</v>
      </c>
    </row>
    <row r="2927" spans="1:4" x14ac:dyDescent="0.3">
      <c r="A2927" s="43">
        <v>12610552</v>
      </c>
      <c r="B2927" s="43">
        <v>7500000</v>
      </c>
      <c r="D2927">
        <f t="shared" si="45"/>
        <v>5110552</v>
      </c>
    </row>
    <row r="2928" spans="1:4" x14ac:dyDescent="0.3">
      <c r="A2928" s="42">
        <v>143492840</v>
      </c>
      <c r="B2928" s="42">
        <v>7500000</v>
      </c>
      <c r="D2928">
        <f t="shared" si="45"/>
        <v>135992840</v>
      </c>
    </row>
    <row r="2929" spans="1:4" x14ac:dyDescent="0.3">
      <c r="A2929" s="43">
        <v>43800000</v>
      </c>
      <c r="B2929" s="43">
        <v>7200000</v>
      </c>
      <c r="D2929">
        <f t="shared" si="45"/>
        <v>36600000</v>
      </c>
    </row>
    <row r="2930" spans="1:4" x14ac:dyDescent="0.3">
      <c r="A2930" s="42">
        <v>134821952</v>
      </c>
      <c r="B2930" s="42">
        <v>6000000</v>
      </c>
      <c r="D2930">
        <f t="shared" si="45"/>
        <v>128821952</v>
      </c>
    </row>
    <row r="2931" spans="1:4" x14ac:dyDescent="0.3">
      <c r="A2931" s="43">
        <v>94900000</v>
      </c>
      <c r="B2931" s="43">
        <v>4000000</v>
      </c>
      <c r="D2931">
        <f t="shared" si="45"/>
        <v>90900000</v>
      </c>
    </row>
    <row r="2932" spans="1:4" x14ac:dyDescent="0.3">
      <c r="A2932" s="42">
        <v>32391374</v>
      </c>
      <c r="B2932" s="42">
        <v>7500000</v>
      </c>
      <c r="D2932">
        <f t="shared" si="45"/>
        <v>24891374</v>
      </c>
    </row>
    <row r="2933" spans="1:4" x14ac:dyDescent="0.3">
      <c r="A2933" s="43">
        <v>40158000</v>
      </c>
      <c r="B2933" s="43">
        <v>7000000</v>
      </c>
      <c r="D2933">
        <f t="shared" si="45"/>
        <v>33158000</v>
      </c>
    </row>
    <row r="2934" spans="1:4" x14ac:dyDescent="0.3">
      <c r="A2934" s="42">
        <v>113709992</v>
      </c>
      <c r="B2934" s="42">
        <v>7000000</v>
      </c>
      <c r="D2934">
        <f t="shared" si="45"/>
        <v>106709992</v>
      </c>
    </row>
    <row r="2935" spans="1:4" x14ac:dyDescent="0.3">
      <c r="A2935" s="43">
        <v>32131483</v>
      </c>
      <c r="B2935" s="43">
        <v>11000000</v>
      </c>
      <c r="D2935">
        <f t="shared" si="45"/>
        <v>21131483</v>
      </c>
    </row>
    <row r="2936" spans="1:4" x14ac:dyDescent="0.3">
      <c r="A2936" s="42">
        <v>35400000</v>
      </c>
      <c r="B2936" s="42">
        <v>7000000</v>
      </c>
      <c r="D2936">
        <f t="shared" si="45"/>
        <v>28400000</v>
      </c>
    </row>
    <row r="2937" spans="1:4" x14ac:dyDescent="0.3">
      <c r="A2937" s="43">
        <v>34099640</v>
      </c>
      <c r="B2937" s="43">
        <v>5000000</v>
      </c>
      <c r="D2937">
        <f t="shared" si="45"/>
        <v>29099640</v>
      </c>
    </row>
    <row r="2938" spans="1:4" x14ac:dyDescent="0.3">
      <c r="A2938" s="42">
        <v>37295394</v>
      </c>
      <c r="B2938" s="42">
        <v>6600000</v>
      </c>
      <c r="D2938">
        <f t="shared" si="45"/>
        <v>30695394</v>
      </c>
    </row>
    <row r="2939" spans="1:4" x14ac:dyDescent="0.3">
      <c r="A2939" s="43">
        <v>31501218</v>
      </c>
      <c r="B2939" s="43">
        <v>7500000</v>
      </c>
      <c r="D2939">
        <f t="shared" si="45"/>
        <v>24001218</v>
      </c>
    </row>
    <row r="2940" spans="1:4" x14ac:dyDescent="0.3">
      <c r="A2940" s="42">
        <v>28747570</v>
      </c>
      <c r="B2940" s="42">
        <v>7000000</v>
      </c>
      <c r="D2940">
        <f t="shared" si="45"/>
        <v>21747570</v>
      </c>
    </row>
    <row r="2941" spans="1:4" x14ac:dyDescent="0.3">
      <c r="A2941" s="43">
        <v>25625110</v>
      </c>
      <c r="B2941" s="43">
        <v>7000000</v>
      </c>
      <c r="D2941">
        <f t="shared" si="45"/>
        <v>18625110</v>
      </c>
    </row>
    <row r="2942" spans="1:4" x14ac:dyDescent="0.3">
      <c r="A2942" s="42">
        <v>25000000</v>
      </c>
      <c r="B2942" s="42">
        <v>9000000</v>
      </c>
      <c r="D2942">
        <f t="shared" si="45"/>
        <v>16000000</v>
      </c>
    </row>
    <row r="2943" spans="1:4" x14ac:dyDescent="0.3">
      <c r="A2943" s="43">
        <v>21000000</v>
      </c>
      <c r="B2943" s="43">
        <v>13000000</v>
      </c>
      <c r="D2943">
        <f t="shared" si="45"/>
        <v>8000000</v>
      </c>
    </row>
    <row r="2944" spans="1:4" x14ac:dyDescent="0.3">
      <c r="A2944" s="42">
        <v>20257000</v>
      </c>
      <c r="B2944" s="42">
        <v>7000000</v>
      </c>
      <c r="D2944">
        <f t="shared" si="45"/>
        <v>13257000</v>
      </c>
    </row>
    <row r="2945" spans="1:4" x14ac:dyDescent="0.3">
      <c r="A2945" s="43">
        <v>26005908</v>
      </c>
      <c r="B2945" s="43">
        <v>3500000</v>
      </c>
      <c r="D2945">
        <f t="shared" si="45"/>
        <v>22505908</v>
      </c>
    </row>
    <row r="2946" spans="1:4" x14ac:dyDescent="0.3">
      <c r="A2946" s="42">
        <v>15818967</v>
      </c>
      <c r="B2946" s="42">
        <v>7000000</v>
      </c>
      <c r="D2946">
        <f t="shared" ref="D2946:D3009" si="46">A2946-B2946</f>
        <v>8818967</v>
      </c>
    </row>
    <row r="2947" spans="1:4" x14ac:dyDescent="0.3">
      <c r="A2947" s="43">
        <v>14891000</v>
      </c>
      <c r="B2947" s="43">
        <v>7000000</v>
      </c>
      <c r="D2947">
        <f t="shared" si="46"/>
        <v>7891000</v>
      </c>
    </row>
    <row r="2948" spans="1:4" x14ac:dyDescent="0.3">
      <c r="A2948" s="42">
        <v>16901126</v>
      </c>
      <c r="B2948" s="42">
        <v>7000000</v>
      </c>
      <c r="D2948">
        <f t="shared" si="46"/>
        <v>9901126</v>
      </c>
    </row>
    <row r="2949" spans="1:4" x14ac:dyDescent="0.3">
      <c r="A2949" s="43">
        <v>17474107</v>
      </c>
      <c r="B2949" s="43">
        <v>7000000</v>
      </c>
      <c r="D2949">
        <f t="shared" si="46"/>
        <v>10474107</v>
      </c>
    </row>
    <row r="2950" spans="1:4" x14ac:dyDescent="0.3">
      <c r="A2950" s="42">
        <v>14003141</v>
      </c>
      <c r="B2950" s="42">
        <v>7000000</v>
      </c>
      <c r="D2950">
        <f t="shared" si="46"/>
        <v>7003141</v>
      </c>
    </row>
    <row r="2951" spans="1:4" x14ac:dyDescent="0.3">
      <c r="A2951" s="43">
        <v>12583510</v>
      </c>
      <c r="B2951" s="43">
        <v>7000000</v>
      </c>
      <c r="D2951">
        <f t="shared" si="46"/>
        <v>5583510</v>
      </c>
    </row>
    <row r="2952" spans="1:4" x14ac:dyDescent="0.3">
      <c r="A2952" s="42">
        <v>9190525</v>
      </c>
      <c r="B2952" s="42">
        <v>7000000</v>
      </c>
      <c r="D2952">
        <f t="shared" si="46"/>
        <v>2190525</v>
      </c>
    </row>
    <row r="2953" spans="1:4" x14ac:dyDescent="0.3">
      <c r="A2953" s="43">
        <v>9176553</v>
      </c>
      <c r="B2953" s="43">
        <v>7500000</v>
      </c>
      <c r="D2953">
        <f t="shared" si="46"/>
        <v>1676553</v>
      </c>
    </row>
    <row r="2954" spans="1:4" x14ac:dyDescent="0.3">
      <c r="A2954" s="42">
        <v>9094451</v>
      </c>
      <c r="B2954" s="42">
        <v>7000000</v>
      </c>
      <c r="D2954">
        <f t="shared" si="46"/>
        <v>2094451</v>
      </c>
    </row>
    <row r="2955" spans="1:4" x14ac:dyDescent="0.3">
      <c r="A2955" s="43">
        <v>14612840</v>
      </c>
      <c r="B2955" s="43">
        <v>7000000</v>
      </c>
      <c r="D2955">
        <f t="shared" si="46"/>
        <v>7612840</v>
      </c>
    </row>
    <row r="2956" spans="1:4" x14ac:dyDescent="0.3">
      <c r="A2956" s="42">
        <v>9166863</v>
      </c>
      <c r="B2956" s="42">
        <v>7000000</v>
      </c>
      <c r="D2956">
        <f t="shared" si="46"/>
        <v>2166863</v>
      </c>
    </row>
    <row r="2957" spans="1:4" x14ac:dyDescent="0.3">
      <c r="A2957" s="43">
        <v>8373585</v>
      </c>
      <c r="B2957" s="43">
        <v>7000000</v>
      </c>
      <c r="D2957">
        <f t="shared" si="46"/>
        <v>1373585</v>
      </c>
    </row>
    <row r="2958" spans="1:4" x14ac:dyDescent="0.3">
      <c r="A2958" s="42">
        <v>7292175</v>
      </c>
      <c r="B2958" s="42">
        <v>7000000</v>
      </c>
      <c r="D2958">
        <f t="shared" si="46"/>
        <v>292175</v>
      </c>
    </row>
    <row r="2959" spans="1:4" x14ac:dyDescent="0.3">
      <c r="A2959" s="43">
        <v>6601079</v>
      </c>
      <c r="B2959" s="43">
        <v>7000000</v>
      </c>
      <c r="D2959">
        <f t="shared" si="46"/>
        <v>-398921</v>
      </c>
    </row>
    <row r="2960" spans="1:4" x14ac:dyDescent="0.3">
      <c r="A2960" s="42">
        <v>6165429</v>
      </c>
      <c r="B2960" s="42">
        <v>6000000</v>
      </c>
      <c r="D2960">
        <f t="shared" si="46"/>
        <v>165429</v>
      </c>
    </row>
    <row r="2961" spans="1:4" x14ac:dyDescent="0.3">
      <c r="A2961" s="43">
        <v>5694308</v>
      </c>
      <c r="B2961" s="43">
        <v>7000000</v>
      </c>
      <c r="D2961">
        <f t="shared" si="46"/>
        <v>-1305692</v>
      </c>
    </row>
    <row r="2962" spans="1:4" x14ac:dyDescent="0.3">
      <c r="A2962" s="42">
        <v>5430822</v>
      </c>
      <c r="B2962" s="42">
        <v>7000000</v>
      </c>
      <c r="D2962">
        <f t="shared" si="46"/>
        <v>-1569178</v>
      </c>
    </row>
    <row r="2963" spans="1:4" x14ac:dyDescent="0.3">
      <c r="A2963" s="43">
        <v>4720371</v>
      </c>
      <c r="B2963" s="43">
        <v>7000000</v>
      </c>
      <c r="D2963">
        <f t="shared" si="46"/>
        <v>-2279629</v>
      </c>
    </row>
    <row r="2964" spans="1:4" x14ac:dyDescent="0.3">
      <c r="A2964" s="42">
        <v>2921738</v>
      </c>
      <c r="B2964" s="42">
        <v>7000000</v>
      </c>
      <c r="D2964">
        <f t="shared" si="46"/>
        <v>-4078262</v>
      </c>
    </row>
    <row r="2965" spans="1:4" x14ac:dyDescent="0.3">
      <c r="A2965" s="43">
        <v>2344847</v>
      </c>
      <c r="B2965" s="43">
        <v>7000000</v>
      </c>
      <c r="D2965">
        <f t="shared" si="46"/>
        <v>-4655153</v>
      </c>
    </row>
    <row r="2966" spans="1:4" x14ac:dyDescent="0.3">
      <c r="A2966" s="42">
        <v>7455447</v>
      </c>
      <c r="B2966" s="42">
        <v>7000000</v>
      </c>
      <c r="D2966">
        <f t="shared" si="46"/>
        <v>455447</v>
      </c>
    </row>
    <row r="2967" spans="1:4" x14ac:dyDescent="0.3">
      <c r="A2967" s="43">
        <v>2148212</v>
      </c>
      <c r="B2967" s="43">
        <v>7000000</v>
      </c>
      <c r="D2967">
        <f t="shared" si="46"/>
        <v>-4851788</v>
      </c>
    </row>
    <row r="2968" spans="1:4" x14ac:dyDescent="0.3">
      <c r="A2968" s="42">
        <v>2062066</v>
      </c>
      <c r="B2968" s="42">
        <v>7000000</v>
      </c>
      <c r="D2968">
        <f t="shared" si="46"/>
        <v>-4937934</v>
      </c>
    </row>
    <row r="2969" spans="1:4" x14ac:dyDescent="0.3">
      <c r="A2969" s="43">
        <v>1654367</v>
      </c>
      <c r="B2969" s="43">
        <v>7000000</v>
      </c>
      <c r="D2969">
        <f t="shared" si="46"/>
        <v>-5345633</v>
      </c>
    </row>
    <row r="2970" spans="1:4" x14ac:dyDescent="0.3">
      <c r="A2970" s="42">
        <v>1738692</v>
      </c>
      <c r="B2970" s="42">
        <v>7000000</v>
      </c>
      <c r="D2970">
        <f t="shared" si="46"/>
        <v>-5261308</v>
      </c>
    </row>
    <row r="2971" spans="1:4" x14ac:dyDescent="0.3">
      <c r="A2971" s="43">
        <v>1889522</v>
      </c>
      <c r="B2971" s="43">
        <v>7000000</v>
      </c>
      <c r="D2971">
        <f t="shared" si="46"/>
        <v>-5110478</v>
      </c>
    </row>
    <row r="2972" spans="1:4" x14ac:dyDescent="0.3">
      <c r="A2972" s="42">
        <v>1110286</v>
      </c>
      <c r="B2972" s="42">
        <v>4825000</v>
      </c>
      <c r="D2972">
        <f t="shared" si="46"/>
        <v>-3714714</v>
      </c>
    </row>
    <row r="2973" spans="1:4" x14ac:dyDescent="0.3">
      <c r="A2973" s="43">
        <v>1000000</v>
      </c>
      <c r="B2973" s="43">
        <v>9000000</v>
      </c>
      <c r="D2973">
        <f t="shared" si="46"/>
        <v>-8000000</v>
      </c>
    </row>
    <row r="2974" spans="1:4" x14ac:dyDescent="0.3">
      <c r="A2974" s="42">
        <v>700000</v>
      </c>
      <c r="B2974" s="42">
        <v>50000000</v>
      </c>
      <c r="D2974">
        <f t="shared" si="46"/>
        <v>-49300000</v>
      </c>
    </row>
    <row r="2975" spans="1:4" x14ac:dyDescent="0.3">
      <c r="A2975" s="43">
        <v>1768416</v>
      </c>
      <c r="B2975" s="43">
        <v>7000000</v>
      </c>
      <c r="D2975">
        <f t="shared" si="46"/>
        <v>-5231584</v>
      </c>
    </row>
    <row r="2976" spans="1:4" x14ac:dyDescent="0.3">
      <c r="A2976" s="42">
        <v>306715</v>
      </c>
      <c r="B2976" s="42">
        <v>10000000</v>
      </c>
      <c r="D2976">
        <f t="shared" si="46"/>
        <v>-9693285</v>
      </c>
    </row>
    <row r="2977" spans="1:4" x14ac:dyDescent="0.3">
      <c r="A2977" s="43">
        <v>382946</v>
      </c>
      <c r="B2977" s="43">
        <v>7000000</v>
      </c>
      <c r="D2977">
        <f t="shared" si="46"/>
        <v>-6617054</v>
      </c>
    </row>
    <row r="2978" spans="1:4" x14ac:dyDescent="0.3">
      <c r="A2978" s="42">
        <v>236266</v>
      </c>
      <c r="B2978" s="42">
        <v>3500000</v>
      </c>
      <c r="D2978">
        <f t="shared" si="46"/>
        <v>-3263734</v>
      </c>
    </row>
    <row r="2979" spans="1:4" x14ac:dyDescent="0.3">
      <c r="A2979" s="43">
        <v>196067</v>
      </c>
      <c r="B2979" s="43">
        <v>7000000</v>
      </c>
      <c r="D2979">
        <f t="shared" si="46"/>
        <v>-6803933</v>
      </c>
    </row>
    <row r="2980" spans="1:4" x14ac:dyDescent="0.3">
      <c r="A2980" s="42">
        <v>532988</v>
      </c>
      <c r="B2980" s="42">
        <v>7000000</v>
      </c>
      <c r="D2980">
        <f t="shared" si="46"/>
        <v>-6467012</v>
      </c>
    </row>
    <row r="2981" spans="1:4" x14ac:dyDescent="0.3">
      <c r="A2981" s="43">
        <v>453079</v>
      </c>
      <c r="B2981" s="43">
        <v>7000000</v>
      </c>
      <c r="D2981">
        <f t="shared" si="46"/>
        <v>-6546921</v>
      </c>
    </row>
    <row r="2982" spans="1:4" x14ac:dyDescent="0.3">
      <c r="A2982" s="42">
        <v>46451</v>
      </c>
      <c r="B2982" s="42">
        <v>7000000</v>
      </c>
      <c r="D2982">
        <f t="shared" si="46"/>
        <v>-6953549</v>
      </c>
    </row>
    <row r="2983" spans="1:4" x14ac:dyDescent="0.3">
      <c r="A2983" s="43">
        <v>233103</v>
      </c>
      <c r="B2983" s="43">
        <v>7000000</v>
      </c>
      <c r="D2983">
        <f t="shared" si="46"/>
        <v>-6766897</v>
      </c>
    </row>
    <row r="2984" spans="1:4" x14ac:dyDescent="0.3">
      <c r="A2984" s="42">
        <v>41400000</v>
      </c>
      <c r="B2984" s="42">
        <v>6900000</v>
      </c>
      <c r="D2984">
        <f t="shared" si="46"/>
        <v>34500000</v>
      </c>
    </row>
    <row r="2985" spans="1:4" x14ac:dyDescent="0.3">
      <c r="A2985" s="43">
        <v>7993039</v>
      </c>
      <c r="B2985" s="43">
        <v>6900000</v>
      </c>
      <c r="D2985">
        <f t="shared" si="46"/>
        <v>1093039</v>
      </c>
    </row>
    <row r="2986" spans="1:4" x14ac:dyDescent="0.3">
      <c r="A2986" s="42">
        <v>927107</v>
      </c>
      <c r="B2986" s="42">
        <v>15000000</v>
      </c>
      <c r="D2986">
        <f t="shared" si="46"/>
        <v>-14072893</v>
      </c>
    </row>
    <row r="2987" spans="1:4" x14ac:dyDescent="0.3">
      <c r="A2987" s="43">
        <v>49526</v>
      </c>
      <c r="B2987" s="43">
        <v>6800000</v>
      </c>
      <c r="D2987">
        <f t="shared" si="46"/>
        <v>-6750474</v>
      </c>
    </row>
    <row r="2988" spans="1:4" x14ac:dyDescent="0.3">
      <c r="A2988" s="42">
        <v>10696</v>
      </c>
      <c r="B2988" s="42">
        <v>6800000</v>
      </c>
      <c r="D2988">
        <f t="shared" si="46"/>
        <v>-6789304</v>
      </c>
    </row>
    <row r="2989" spans="1:4" x14ac:dyDescent="0.3">
      <c r="A2989" s="43">
        <v>31607598</v>
      </c>
      <c r="B2989" s="43">
        <v>6900000</v>
      </c>
      <c r="D2989">
        <f t="shared" si="46"/>
        <v>24707598</v>
      </c>
    </row>
    <row r="2990" spans="1:4" x14ac:dyDescent="0.3">
      <c r="A2990" s="42">
        <v>6857096</v>
      </c>
      <c r="B2990" s="42">
        <v>6800000</v>
      </c>
      <c r="D2990">
        <f t="shared" si="46"/>
        <v>57096</v>
      </c>
    </row>
    <row r="2991" spans="1:4" x14ac:dyDescent="0.3">
      <c r="A2991" s="43">
        <v>223878</v>
      </c>
      <c r="B2991" s="43">
        <v>5000000</v>
      </c>
      <c r="D2991">
        <f t="shared" si="46"/>
        <v>-4776122</v>
      </c>
    </row>
    <row r="2992" spans="1:4" x14ac:dyDescent="0.3">
      <c r="A2992" s="42">
        <v>8060</v>
      </c>
      <c r="B2992" s="42">
        <v>4000000</v>
      </c>
      <c r="D2992">
        <f t="shared" si="46"/>
        <v>-3991940</v>
      </c>
    </row>
    <row r="2993" spans="1:4" x14ac:dyDescent="0.3">
      <c r="A2993" s="43">
        <v>84263837</v>
      </c>
      <c r="B2993" s="43">
        <v>6500000</v>
      </c>
      <c r="D2993">
        <f t="shared" si="46"/>
        <v>77763837</v>
      </c>
    </row>
    <row r="2994" spans="1:4" x14ac:dyDescent="0.3">
      <c r="A2994" s="42">
        <v>110029</v>
      </c>
      <c r="B2994" s="42">
        <v>6500000</v>
      </c>
      <c r="D2994">
        <f t="shared" si="46"/>
        <v>-6389971</v>
      </c>
    </row>
    <row r="2995" spans="1:4" x14ac:dyDescent="0.3">
      <c r="A2995" s="43">
        <v>57504069</v>
      </c>
      <c r="B2995" s="43">
        <v>6000000</v>
      </c>
      <c r="D2995">
        <f t="shared" si="46"/>
        <v>51504069</v>
      </c>
    </row>
    <row r="2996" spans="1:4" x14ac:dyDescent="0.3">
      <c r="A2996" s="42">
        <v>54215416</v>
      </c>
      <c r="B2996" s="42">
        <v>6500000</v>
      </c>
      <c r="D2996">
        <f t="shared" si="46"/>
        <v>47715416</v>
      </c>
    </row>
    <row r="2997" spans="1:4" x14ac:dyDescent="0.3">
      <c r="A2997" s="43">
        <v>31899000</v>
      </c>
      <c r="B2997" s="43">
        <v>6500000</v>
      </c>
      <c r="D2997">
        <f t="shared" si="46"/>
        <v>25399000</v>
      </c>
    </row>
    <row r="2998" spans="1:4" x14ac:dyDescent="0.3">
      <c r="A2998" s="42">
        <v>24103594</v>
      </c>
      <c r="B2998" s="42">
        <v>6500000</v>
      </c>
      <c r="D2998">
        <f t="shared" si="46"/>
        <v>17603594</v>
      </c>
    </row>
    <row r="2999" spans="1:4" x14ac:dyDescent="0.3">
      <c r="A2999" s="43">
        <v>16842303</v>
      </c>
      <c r="B2999" s="43">
        <v>6500000</v>
      </c>
      <c r="D2999">
        <f t="shared" si="46"/>
        <v>10342303</v>
      </c>
    </row>
    <row r="3000" spans="1:4" x14ac:dyDescent="0.3">
      <c r="A3000" s="42">
        <v>13367101</v>
      </c>
      <c r="B3000" s="42">
        <v>6500000</v>
      </c>
      <c r="D3000">
        <f t="shared" si="46"/>
        <v>6867101</v>
      </c>
    </row>
    <row r="3001" spans="1:4" x14ac:dyDescent="0.3">
      <c r="A3001" s="43">
        <v>10149779</v>
      </c>
      <c r="B3001" s="43">
        <v>6500000</v>
      </c>
      <c r="D3001">
        <f t="shared" si="46"/>
        <v>3649779</v>
      </c>
    </row>
    <row r="3002" spans="1:4" x14ac:dyDescent="0.3">
      <c r="A3002" s="42">
        <v>6173485</v>
      </c>
      <c r="B3002" s="42">
        <v>7000000</v>
      </c>
      <c r="D3002">
        <f t="shared" si="46"/>
        <v>-826515</v>
      </c>
    </row>
    <row r="3003" spans="1:4" x14ac:dyDescent="0.3">
      <c r="A3003" s="43">
        <v>4000304</v>
      </c>
      <c r="B3003" s="43">
        <v>6500000</v>
      </c>
      <c r="D3003">
        <f t="shared" si="46"/>
        <v>-2499696</v>
      </c>
    </row>
    <row r="3004" spans="1:4" x14ac:dyDescent="0.3">
      <c r="A3004" s="42">
        <v>2338695</v>
      </c>
      <c r="B3004" s="42">
        <v>4000000</v>
      </c>
      <c r="D3004">
        <f t="shared" si="46"/>
        <v>-1661305</v>
      </c>
    </row>
    <row r="3005" spans="1:4" x14ac:dyDescent="0.3">
      <c r="A3005" s="43">
        <v>2024854</v>
      </c>
      <c r="B3005" s="43">
        <v>6500000</v>
      </c>
      <c r="D3005">
        <f t="shared" si="46"/>
        <v>-4475146</v>
      </c>
    </row>
    <row r="3006" spans="1:4" x14ac:dyDescent="0.3">
      <c r="A3006" s="42">
        <v>2268296</v>
      </c>
      <c r="B3006" s="42">
        <v>6500000</v>
      </c>
      <c r="D3006">
        <f t="shared" si="46"/>
        <v>-4231704</v>
      </c>
    </row>
    <row r="3007" spans="1:4" x14ac:dyDescent="0.3">
      <c r="A3007" s="43">
        <v>1029017</v>
      </c>
      <c r="B3007" s="43">
        <v>6500000</v>
      </c>
      <c r="D3007">
        <f t="shared" si="46"/>
        <v>-5470983</v>
      </c>
    </row>
    <row r="3008" spans="1:4" x14ac:dyDescent="0.3">
      <c r="A3008" s="42">
        <v>64148</v>
      </c>
      <c r="B3008" s="42">
        <v>6500000</v>
      </c>
      <c r="D3008">
        <f t="shared" si="46"/>
        <v>-6435852</v>
      </c>
    </row>
    <row r="3009" spans="1:4" x14ac:dyDescent="0.3">
      <c r="A3009" s="43">
        <v>66637</v>
      </c>
      <c r="B3009" s="43">
        <v>6500000</v>
      </c>
      <c r="D3009">
        <f t="shared" si="46"/>
        <v>-6433363</v>
      </c>
    </row>
    <row r="3010" spans="1:4" x14ac:dyDescent="0.3">
      <c r="A3010" s="42">
        <v>871577</v>
      </c>
      <c r="B3010" s="42">
        <v>4500000</v>
      </c>
      <c r="D3010">
        <f t="shared" ref="D3010:D3073" si="47">A3010-B3010</f>
        <v>-3628423</v>
      </c>
    </row>
    <row r="3011" spans="1:4" x14ac:dyDescent="0.3">
      <c r="A3011" s="43">
        <v>38400000</v>
      </c>
      <c r="B3011" s="43">
        <v>6500000</v>
      </c>
      <c r="D3011">
        <f t="shared" si="47"/>
        <v>31900000</v>
      </c>
    </row>
    <row r="3012" spans="1:4" x14ac:dyDescent="0.3">
      <c r="A3012" s="42">
        <v>4063859</v>
      </c>
      <c r="B3012" s="42">
        <v>4800000</v>
      </c>
      <c r="D3012">
        <f t="shared" si="47"/>
        <v>-736141</v>
      </c>
    </row>
    <row r="3013" spans="1:4" x14ac:dyDescent="0.3">
      <c r="A3013" s="43">
        <v>449558</v>
      </c>
      <c r="B3013" s="43">
        <v>10000000</v>
      </c>
      <c r="D3013">
        <f t="shared" si="47"/>
        <v>-9550442</v>
      </c>
    </row>
    <row r="3014" spans="1:4" x14ac:dyDescent="0.3">
      <c r="A3014" s="42">
        <v>2122561</v>
      </c>
      <c r="B3014" s="42">
        <v>6000000</v>
      </c>
      <c r="D3014">
        <f t="shared" si="47"/>
        <v>-3877439</v>
      </c>
    </row>
    <row r="3015" spans="1:4" x14ac:dyDescent="0.3">
      <c r="A3015" s="43">
        <v>181360000</v>
      </c>
      <c r="B3015" s="43">
        <v>6000000</v>
      </c>
      <c r="D3015">
        <f t="shared" si="47"/>
        <v>175360000</v>
      </c>
    </row>
    <row r="3016" spans="1:4" x14ac:dyDescent="0.3">
      <c r="A3016" s="42">
        <v>137963328</v>
      </c>
      <c r="B3016" s="42">
        <v>6000000</v>
      </c>
      <c r="D3016">
        <f t="shared" si="47"/>
        <v>131963328</v>
      </c>
    </row>
    <row r="3017" spans="1:4" x14ac:dyDescent="0.3">
      <c r="A3017" s="43">
        <v>119078393</v>
      </c>
      <c r="B3017" s="43">
        <v>6000000</v>
      </c>
      <c r="D3017">
        <f t="shared" si="47"/>
        <v>113078393</v>
      </c>
    </row>
    <row r="3018" spans="1:4" x14ac:dyDescent="0.3">
      <c r="A3018" s="42">
        <v>102308900</v>
      </c>
      <c r="B3018" s="42">
        <v>6000000</v>
      </c>
      <c r="D3018">
        <f t="shared" si="47"/>
        <v>96308900</v>
      </c>
    </row>
    <row r="3019" spans="1:4" x14ac:dyDescent="0.3">
      <c r="A3019" s="43">
        <v>102300000</v>
      </c>
      <c r="B3019" s="43">
        <v>6000000</v>
      </c>
      <c r="D3019">
        <f t="shared" si="47"/>
        <v>96300000</v>
      </c>
    </row>
    <row r="3020" spans="1:4" x14ac:dyDescent="0.3">
      <c r="A3020" s="42">
        <v>54800000</v>
      </c>
      <c r="B3020" s="42">
        <v>6000000</v>
      </c>
      <c r="D3020">
        <f t="shared" si="47"/>
        <v>48800000</v>
      </c>
    </row>
    <row r="3021" spans="1:4" x14ac:dyDescent="0.3">
      <c r="A3021" s="43">
        <v>43650000</v>
      </c>
      <c r="B3021" s="43">
        <v>6000000</v>
      </c>
      <c r="D3021">
        <f t="shared" si="47"/>
        <v>37650000</v>
      </c>
    </row>
    <row r="3022" spans="1:4" x14ac:dyDescent="0.3">
      <c r="A3022" s="42">
        <v>39800000</v>
      </c>
      <c r="B3022" s="42">
        <v>6000000</v>
      </c>
      <c r="D3022">
        <f t="shared" si="47"/>
        <v>33800000</v>
      </c>
    </row>
    <row r="3023" spans="1:4" x14ac:dyDescent="0.3">
      <c r="A3023" s="43">
        <v>27457409</v>
      </c>
      <c r="B3023" s="43">
        <v>6000000</v>
      </c>
      <c r="D3023">
        <f t="shared" si="47"/>
        <v>21457409</v>
      </c>
    </row>
    <row r="3024" spans="1:4" x14ac:dyDescent="0.3">
      <c r="A3024" s="42">
        <v>25047631</v>
      </c>
      <c r="B3024" s="42">
        <v>6000000</v>
      </c>
      <c r="D3024">
        <f t="shared" si="47"/>
        <v>19047631</v>
      </c>
    </row>
    <row r="3025" spans="1:4" x14ac:dyDescent="0.3">
      <c r="A3025" s="43">
        <v>23272306</v>
      </c>
      <c r="B3025" s="43">
        <v>6000000</v>
      </c>
      <c r="D3025">
        <f t="shared" si="47"/>
        <v>17272306</v>
      </c>
    </row>
    <row r="3026" spans="1:4" x14ac:dyDescent="0.3">
      <c r="A3026" s="42">
        <v>22168359</v>
      </c>
      <c r="B3026" s="42">
        <v>8000000</v>
      </c>
      <c r="D3026">
        <f t="shared" si="47"/>
        <v>14168359</v>
      </c>
    </row>
    <row r="3027" spans="1:4" x14ac:dyDescent="0.3">
      <c r="A3027" s="43">
        <v>21005329</v>
      </c>
      <c r="B3027" s="43">
        <v>6000000</v>
      </c>
      <c r="D3027">
        <f t="shared" si="47"/>
        <v>15005329</v>
      </c>
    </row>
    <row r="3028" spans="1:4" x14ac:dyDescent="0.3">
      <c r="A3028" s="42">
        <v>26236603</v>
      </c>
      <c r="B3028" s="42">
        <v>6000000</v>
      </c>
      <c r="D3028">
        <f t="shared" si="47"/>
        <v>20236603</v>
      </c>
    </row>
    <row r="3029" spans="1:4" x14ac:dyDescent="0.3">
      <c r="A3029" s="43">
        <v>18621249</v>
      </c>
      <c r="B3029" s="43">
        <v>6000000</v>
      </c>
      <c r="D3029">
        <f t="shared" si="47"/>
        <v>12621249</v>
      </c>
    </row>
    <row r="3030" spans="1:4" x14ac:dyDescent="0.3">
      <c r="A3030" s="42">
        <v>25244700</v>
      </c>
      <c r="B3030" s="42">
        <v>6000000</v>
      </c>
      <c r="D3030">
        <f t="shared" si="47"/>
        <v>19244700</v>
      </c>
    </row>
    <row r="3031" spans="1:4" x14ac:dyDescent="0.3">
      <c r="A3031" s="43">
        <v>14545844</v>
      </c>
      <c r="B3031" s="43">
        <v>6500000</v>
      </c>
      <c r="D3031">
        <f t="shared" si="47"/>
        <v>8045844</v>
      </c>
    </row>
    <row r="3032" spans="1:4" x14ac:dyDescent="0.3">
      <c r="A3032" s="42">
        <v>13235267</v>
      </c>
      <c r="B3032" s="42">
        <v>6000000</v>
      </c>
      <c r="D3032">
        <f t="shared" si="47"/>
        <v>7235267</v>
      </c>
    </row>
    <row r="3033" spans="1:4" x14ac:dyDescent="0.3">
      <c r="A3033" s="43">
        <v>12793213</v>
      </c>
      <c r="B3033" s="43">
        <v>6000000</v>
      </c>
      <c r="D3033">
        <f t="shared" si="47"/>
        <v>6793213</v>
      </c>
    </row>
    <row r="3034" spans="1:4" x14ac:dyDescent="0.3">
      <c r="A3034" s="42">
        <v>11883495</v>
      </c>
      <c r="B3034" s="42">
        <v>9000000</v>
      </c>
      <c r="D3034">
        <f t="shared" si="47"/>
        <v>2883495</v>
      </c>
    </row>
    <row r="3035" spans="1:4" x14ac:dyDescent="0.3">
      <c r="A3035" s="43">
        <v>11797927</v>
      </c>
      <c r="B3035" s="43">
        <v>6000000</v>
      </c>
      <c r="D3035">
        <f t="shared" si="47"/>
        <v>5797927</v>
      </c>
    </row>
    <row r="3036" spans="1:4" x14ac:dyDescent="0.3">
      <c r="A3036" s="42">
        <v>17605861</v>
      </c>
      <c r="B3036" s="42">
        <v>6000000</v>
      </c>
      <c r="D3036">
        <f t="shared" si="47"/>
        <v>11605861</v>
      </c>
    </row>
    <row r="3037" spans="1:4" x14ac:dyDescent="0.3">
      <c r="A3037" s="43">
        <v>11642254</v>
      </c>
      <c r="B3037" s="43">
        <v>3000000</v>
      </c>
      <c r="D3037">
        <f t="shared" si="47"/>
        <v>8642254</v>
      </c>
    </row>
    <row r="3038" spans="1:4" x14ac:dyDescent="0.3">
      <c r="A3038" s="42">
        <v>9203192</v>
      </c>
      <c r="B3038" s="42">
        <v>5000000</v>
      </c>
      <c r="D3038">
        <f t="shared" si="47"/>
        <v>4203192</v>
      </c>
    </row>
    <row r="3039" spans="1:4" x14ac:dyDescent="0.3">
      <c r="A3039" s="43">
        <v>7518876</v>
      </c>
      <c r="B3039" s="43">
        <v>6000000</v>
      </c>
      <c r="D3039">
        <f t="shared" si="47"/>
        <v>1518876</v>
      </c>
    </row>
    <row r="3040" spans="1:4" x14ac:dyDescent="0.3">
      <c r="A3040" s="42">
        <v>8596914</v>
      </c>
      <c r="B3040" s="42">
        <v>6000000</v>
      </c>
      <c r="D3040">
        <f t="shared" si="47"/>
        <v>2596914</v>
      </c>
    </row>
    <row r="3041" spans="1:4" x14ac:dyDescent="0.3">
      <c r="A3041" s="43">
        <v>6851636</v>
      </c>
      <c r="B3041" s="43">
        <v>6000000</v>
      </c>
      <c r="D3041">
        <f t="shared" si="47"/>
        <v>851636</v>
      </c>
    </row>
    <row r="3042" spans="1:4" x14ac:dyDescent="0.3">
      <c r="A3042" s="42">
        <v>11434867</v>
      </c>
      <c r="B3042" s="42">
        <v>6000000</v>
      </c>
      <c r="D3042">
        <f t="shared" si="47"/>
        <v>5434867</v>
      </c>
    </row>
    <row r="3043" spans="1:4" x14ac:dyDescent="0.3">
      <c r="A3043" s="43">
        <v>5895238</v>
      </c>
      <c r="B3043" s="43">
        <v>6000000</v>
      </c>
      <c r="D3043">
        <f t="shared" si="47"/>
        <v>-104762</v>
      </c>
    </row>
    <row r="3044" spans="1:4" x14ac:dyDescent="0.3">
      <c r="A3044" s="42">
        <v>6670712</v>
      </c>
      <c r="B3044" s="42">
        <v>6000000</v>
      </c>
      <c r="D3044">
        <f t="shared" si="47"/>
        <v>670712</v>
      </c>
    </row>
    <row r="3045" spans="1:4" x14ac:dyDescent="0.3">
      <c r="A3045" s="43">
        <v>5359774</v>
      </c>
      <c r="B3045" s="43">
        <v>6000000</v>
      </c>
      <c r="D3045">
        <f t="shared" si="47"/>
        <v>-640226</v>
      </c>
    </row>
    <row r="3046" spans="1:4" x14ac:dyDescent="0.3">
      <c r="A3046" s="42">
        <v>4693919</v>
      </c>
      <c r="B3046" s="42">
        <v>6500000</v>
      </c>
      <c r="D3046">
        <f t="shared" si="47"/>
        <v>-1806081</v>
      </c>
    </row>
    <row r="3047" spans="1:4" x14ac:dyDescent="0.3">
      <c r="A3047" s="43">
        <v>4859475</v>
      </c>
      <c r="B3047" s="43">
        <v>6000000</v>
      </c>
      <c r="D3047">
        <f t="shared" si="47"/>
        <v>-1140525</v>
      </c>
    </row>
    <row r="3048" spans="1:4" x14ac:dyDescent="0.3">
      <c r="A3048" s="42">
        <v>4542775</v>
      </c>
      <c r="B3048" s="42">
        <v>6000000</v>
      </c>
      <c r="D3048">
        <f t="shared" si="47"/>
        <v>-1457225</v>
      </c>
    </row>
    <row r="3049" spans="1:4" x14ac:dyDescent="0.3">
      <c r="A3049" s="43">
        <v>3588432</v>
      </c>
      <c r="B3049" s="43">
        <v>6000000</v>
      </c>
      <c r="D3049">
        <f t="shared" si="47"/>
        <v>-2411568</v>
      </c>
    </row>
    <row r="3050" spans="1:4" x14ac:dyDescent="0.3">
      <c r="A3050" s="42">
        <v>4394936</v>
      </c>
      <c r="B3050" s="42">
        <v>6000000</v>
      </c>
      <c r="D3050">
        <f t="shared" si="47"/>
        <v>-1605064</v>
      </c>
    </row>
    <row r="3051" spans="1:4" x14ac:dyDescent="0.3">
      <c r="A3051" s="43">
        <v>3029081</v>
      </c>
      <c r="B3051" s="43">
        <v>6000000</v>
      </c>
      <c r="D3051">
        <f t="shared" si="47"/>
        <v>-2970919</v>
      </c>
    </row>
    <row r="3052" spans="1:4" x14ac:dyDescent="0.3">
      <c r="A3052" s="42">
        <v>3273588</v>
      </c>
      <c r="B3052" s="42">
        <v>6000000</v>
      </c>
      <c r="D3052">
        <f t="shared" si="47"/>
        <v>-2726412</v>
      </c>
    </row>
    <row r="3053" spans="1:4" x14ac:dyDescent="0.3">
      <c r="A3053" s="43">
        <v>2207975</v>
      </c>
      <c r="B3053" s="43">
        <v>6000000</v>
      </c>
      <c r="D3053">
        <f t="shared" si="47"/>
        <v>-3792025</v>
      </c>
    </row>
    <row r="3054" spans="1:4" x14ac:dyDescent="0.3">
      <c r="A3054" s="42">
        <v>2025238</v>
      </c>
      <c r="B3054" s="42">
        <v>6000000</v>
      </c>
      <c r="D3054">
        <f t="shared" si="47"/>
        <v>-3974762</v>
      </c>
    </row>
    <row r="3055" spans="1:4" x14ac:dyDescent="0.3">
      <c r="A3055" s="43">
        <v>2077046</v>
      </c>
      <c r="B3055" s="43">
        <v>6000000</v>
      </c>
      <c r="D3055">
        <f t="shared" si="47"/>
        <v>-3922954</v>
      </c>
    </row>
    <row r="3056" spans="1:4" x14ac:dyDescent="0.3">
      <c r="A3056" s="42">
        <v>869325</v>
      </c>
      <c r="B3056" s="42">
        <v>6000000</v>
      </c>
      <c r="D3056">
        <f t="shared" si="47"/>
        <v>-5130675</v>
      </c>
    </row>
    <row r="3057" spans="1:4" x14ac:dyDescent="0.3">
      <c r="A3057" s="43">
        <v>399611</v>
      </c>
      <c r="B3057" s="43">
        <v>6000000</v>
      </c>
      <c r="D3057">
        <f t="shared" si="47"/>
        <v>-5600389</v>
      </c>
    </row>
    <row r="3058" spans="1:4" x14ac:dyDescent="0.3">
      <c r="A3058" s="42">
        <v>115862</v>
      </c>
      <c r="B3058" s="42">
        <v>6000000</v>
      </c>
      <c r="D3058">
        <f t="shared" si="47"/>
        <v>-5884138</v>
      </c>
    </row>
    <row r="3059" spans="1:4" x14ac:dyDescent="0.3">
      <c r="A3059" s="43">
        <v>1346503</v>
      </c>
      <c r="B3059" s="43">
        <v>6000000</v>
      </c>
      <c r="D3059">
        <f t="shared" si="47"/>
        <v>-4653497</v>
      </c>
    </row>
    <row r="3060" spans="1:4" x14ac:dyDescent="0.3">
      <c r="A3060" s="42">
        <v>117560</v>
      </c>
      <c r="B3060" s="42">
        <v>6000000</v>
      </c>
      <c r="D3060">
        <f t="shared" si="47"/>
        <v>-5882440</v>
      </c>
    </row>
    <row r="3061" spans="1:4" x14ac:dyDescent="0.3">
      <c r="A3061" s="43">
        <v>54606</v>
      </c>
      <c r="B3061" s="43">
        <v>6000000</v>
      </c>
      <c r="D3061">
        <f t="shared" si="47"/>
        <v>-5945394</v>
      </c>
    </row>
    <row r="3062" spans="1:4" x14ac:dyDescent="0.3">
      <c r="A3062" s="42">
        <v>36497</v>
      </c>
      <c r="B3062" s="42">
        <v>6000000</v>
      </c>
      <c r="D3062">
        <f t="shared" si="47"/>
        <v>-5963503</v>
      </c>
    </row>
    <row r="3063" spans="1:4" x14ac:dyDescent="0.3">
      <c r="A3063" s="43">
        <v>65804</v>
      </c>
      <c r="B3063" s="43">
        <v>12000000</v>
      </c>
      <c r="D3063">
        <f t="shared" si="47"/>
        <v>-11934196</v>
      </c>
    </row>
    <row r="3064" spans="1:4" x14ac:dyDescent="0.3">
      <c r="A3064" s="42">
        <v>3895664</v>
      </c>
      <c r="B3064" s="42">
        <v>5300000</v>
      </c>
      <c r="D3064">
        <f t="shared" si="47"/>
        <v>-1404336</v>
      </c>
    </row>
    <row r="3065" spans="1:4" x14ac:dyDescent="0.3">
      <c r="A3065" s="43">
        <v>20200</v>
      </c>
      <c r="B3065" s="43">
        <v>6000000</v>
      </c>
      <c r="D3065">
        <f t="shared" si="47"/>
        <v>-5979800</v>
      </c>
    </row>
    <row r="3066" spans="1:4" x14ac:dyDescent="0.3">
      <c r="A3066" s="42">
        <v>542860</v>
      </c>
      <c r="B3066" s="42">
        <v>4000000</v>
      </c>
      <c r="D3066">
        <f t="shared" si="47"/>
        <v>-3457140</v>
      </c>
    </row>
    <row r="3067" spans="1:4" x14ac:dyDescent="0.3">
      <c r="A3067" s="43">
        <v>11905519</v>
      </c>
      <c r="B3067" s="43">
        <v>200000000</v>
      </c>
      <c r="D3067">
        <f t="shared" si="47"/>
        <v>-188094481</v>
      </c>
    </row>
    <row r="3068" spans="1:4" x14ac:dyDescent="0.3">
      <c r="A3068" s="42">
        <v>32541719</v>
      </c>
      <c r="B3068" s="42">
        <v>3500159</v>
      </c>
      <c r="D3068">
        <f t="shared" si="47"/>
        <v>29041560</v>
      </c>
    </row>
    <row r="3069" spans="1:4" x14ac:dyDescent="0.3">
      <c r="A3069" s="43">
        <v>3064356</v>
      </c>
      <c r="B3069" s="43">
        <v>5600000</v>
      </c>
      <c r="D3069">
        <f t="shared" si="47"/>
        <v>-2535644</v>
      </c>
    </row>
    <row r="3070" spans="1:4" x14ac:dyDescent="0.3">
      <c r="A3070" s="42">
        <v>7009668</v>
      </c>
      <c r="B3070" s="42">
        <v>5600000</v>
      </c>
      <c r="D3070">
        <f t="shared" si="47"/>
        <v>1409668</v>
      </c>
    </row>
    <row r="3071" spans="1:4" x14ac:dyDescent="0.3">
      <c r="A3071" s="43">
        <v>27024</v>
      </c>
      <c r="B3071" s="43">
        <v>5600000</v>
      </c>
      <c r="D3071">
        <f t="shared" si="47"/>
        <v>-5572976</v>
      </c>
    </row>
    <row r="3072" spans="1:4" x14ac:dyDescent="0.3">
      <c r="A3072" s="42">
        <v>159600000</v>
      </c>
      <c r="B3072" s="42">
        <v>5500000</v>
      </c>
      <c r="D3072">
        <f t="shared" si="47"/>
        <v>154100000</v>
      </c>
    </row>
    <row r="3073" spans="1:4" x14ac:dyDescent="0.3">
      <c r="A3073" s="43">
        <v>58800000</v>
      </c>
      <c r="B3073" s="43">
        <v>5500000</v>
      </c>
      <c r="D3073">
        <f t="shared" si="47"/>
        <v>53300000</v>
      </c>
    </row>
    <row r="3074" spans="1:4" x14ac:dyDescent="0.3">
      <c r="A3074" s="42">
        <v>50382128</v>
      </c>
      <c r="B3074" s="42">
        <v>5500000</v>
      </c>
      <c r="D3074">
        <f t="shared" ref="D3074:D3137" si="48">A3074-B3074</f>
        <v>44882128</v>
      </c>
    </row>
    <row r="3075" spans="1:4" x14ac:dyDescent="0.3">
      <c r="A3075" s="43">
        <v>35811509</v>
      </c>
      <c r="B3075" s="43">
        <v>5500000</v>
      </c>
      <c r="D3075">
        <f t="shared" si="48"/>
        <v>30311509</v>
      </c>
    </row>
    <row r="3076" spans="1:4" x14ac:dyDescent="0.3">
      <c r="A3076" s="42">
        <v>24475193</v>
      </c>
      <c r="B3076" s="42">
        <v>3000000</v>
      </c>
      <c r="D3076">
        <f t="shared" si="48"/>
        <v>21475193</v>
      </c>
    </row>
    <row r="3077" spans="1:4" x14ac:dyDescent="0.3">
      <c r="A3077" s="43">
        <v>6200756</v>
      </c>
      <c r="B3077" s="43">
        <v>7000000</v>
      </c>
      <c r="D3077">
        <f t="shared" si="48"/>
        <v>-799244</v>
      </c>
    </row>
    <row r="3078" spans="1:4" x14ac:dyDescent="0.3">
      <c r="A3078" s="42">
        <v>1292119</v>
      </c>
      <c r="B3078" s="42">
        <v>5500000</v>
      </c>
      <c r="D3078">
        <f t="shared" si="48"/>
        <v>-4207881</v>
      </c>
    </row>
    <row r="3079" spans="1:4" x14ac:dyDescent="0.3">
      <c r="A3079" s="43">
        <v>3629758</v>
      </c>
      <c r="B3079" s="43">
        <v>5500000</v>
      </c>
      <c r="D3079">
        <f t="shared" si="48"/>
        <v>-1870242</v>
      </c>
    </row>
    <row r="3080" spans="1:4" x14ac:dyDescent="0.3">
      <c r="A3080" s="42">
        <v>6239558</v>
      </c>
      <c r="B3080" s="42">
        <v>5000000</v>
      </c>
      <c r="D3080">
        <f t="shared" si="48"/>
        <v>1239558</v>
      </c>
    </row>
    <row r="3081" spans="1:4" x14ac:dyDescent="0.3">
      <c r="A3081" s="43">
        <v>1056102</v>
      </c>
      <c r="B3081" s="43">
        <v>5000000</v>
      </c>
      <c r="D3081">
        <f t="shared" si="48"/>
        <v>-3943898</v>
      </c>
    </row>
    <row r="3082" spans="1:4" x14ac:dyDescent="0.3">
      <c r="A3082" s="42">
        <v>27545445</v>
      </c>
      <c r="B3082" s="42">
        <v>6500000</v>
      </c>
      <c r="D3082">
        <f t="shared" si="48"/>
        <v>21045445</v>
      </c>
    </row>
    <row r="3083" spans="1:4" x14ac:dyDescent="0.3">
      <c r="A3083" s="43">
        <v>56007</v>
      </c>
      <c r="B3083" s="43">
        <v>5500000</v>
      </c>
      <c r="D3083">
        <f t="shared" si="48"/>
        <v>-5443993</v>
      </c>
    </row>
    <row r="3084" spans="1:4" x14ac:dyDescent="0.3">
      <c r="A3084" s="42">
        <v>611709</v>
      </c>
      <c r="B3084" s="42">
        <v>3850000</v>
      </c>
      <c r="D3084">
        <f t="shared" si="48"/>
        <v>-3238291</v>
      </c>
    </row>
    <row r="3085" spans="1:4" x14ac:dyDescent="0.3">
      <c r="A3085" s="43">
        <v>22770</v>
      </c>
      <c r="B3085" s="43">
        <v>5500000</v>
      </c>
      <c r="D3085">
        <f t="shared" si="48"/>
        <v>-5477230</v>
      </c>
    </row>
    <row r="3086" spans="1:4" x14ac:dyDescent="0.3">
      <c r="A3086" s="42">
        <v>27445</v>
      </c>
      <c r="B3086" s="42">
        <v>9000000</v>
      </c>
      <c r="D3086">
        <f t="shared" si="48"/>
        <v>-8972555</v>
      </c>
    </row>
    <row r="3087" spans="1:4" x14ac:dyDescent="0.3">
      <c r="A3087" s="43">
        <v>766487</v>
      </c>
      <c r="B3087" s="43">
        <v>5250000</v>
      </c>
      <c r="D3087">
        <f t="shared" si="48"/>
        <v>-4483513</v>
      </c>
    </row>
    <row r="3088" spans="1:4" x14ac:dyDescent="0.3">
      <c r="A3088" s="42">
        <v>1196752</v>
      </c>
      <c r="B3088" s="42">
        <v>30300000</v>
      </c>
      <c r="D3088">
        <f t="shared" si="48"/>
        <v>-29103248</v>
      </c>
    </row>
    <row r="3089" spans="1:4" x14ac:dyDescent="0.3">
      <c r="A3089" s="43">
        <v>795126</v>
      </c>
      <c r="B3089" s="43">
        <v>6000000</v>
      </c>
      <c r="D3089">
        <f t="shared" si="48"/>
        <v>-5204874</v>
      </c>
    </row>
    <row r="3090" spans="1:4" x14ac:dyDescent="0.3">
      <c r="A3090" s="42">
        <v>83574831</v>
      </c>
      <c r="B3090" s="42">
        <v>5000000</v>
      </c>
      <c r="D3090">
        <f t="shared" si="48"/>
        <v>78574831</v>
      </c>
    </row>
    <row r="3091" spans="1:4" x14ac:dyDescent="0.3">
      <c r="A3091" s="43">
        <v>87025093</v>
      </c>
      <c r="B3091" s="43">
        <v>4000000</v>
      </c>
      <c r="D3091">
        <f t="shared" si="48"/>
        <v>83025093</v>
      </c>
    </row>
    <row r="3092" spans="1:4" x14ac:dyDescent="0.3">
      <c r="A3092" s="42">
        <v>71897215</v>
      </c>
      <c r="B3092" s="42">
        <v>15000000</v>
      </c>
      <c r="D3092">
        <f t="shared" si="48"/>
        <v>56897215</v>
      </c>
    </row>
    <row r="3093" spans="1:4" x14ac:dyDescent="0.3">
      <c r="A3093" s="43">
        <v>64267897</v>
      </c>
      <c r="B3093" s="43">
        <v>5000000</v>
      </c>
      <c r="D3093">
        <f t="shared" si="48"/>
        <v>59267897</v>
      </c>
    </row>
    <row r="3094" spans="1:4" x14ac:dyDescent="0.3">
      <c r="A3094" s="42">
        <v>56536016</v>
      </c>
      <c r="B3094" s="42">
        <v>4900000</v>
      </c>
      <c r="D3094">
        <f t="shared" si="48"/>
        <v>51636016</v>
      </c>
    </row>
    <row r="3095" spans="1:4" x14ac:dyDescent="0.3">
      <c r="A3095" s="43">
        <v>104007828</v>
      </c>
      <c r="B3095" s="43">
        <v>5000000</v>
      </c>
      <c r="D3095">
        <f t="shared" si="48"/>
        <v>99007828</v>
      </c>
    </row>
    <row r="3096" spans="1:4" x14ac:dyDescent="0.3">
      <c r="A3096" s="42">
        <v>50820940</v>
      </c>
      <c r="B3096" s="42">
        <v>5000000</v>
      </c>
      <c r="D3096">
        <f t="shared" si="48"/>
        <v>45820940</v>
      </c>
    </row>
    <row r="3097" spans="1:4" x14ac:dyDescent="0.3">
      <c r="A3097" s="43">
        <v>44793200</v>
      </c>
      <c r="B3097" s="43">
        <v>4500000</v>
      </c>
      <c r="D3097">
        <f t="shared" si="48"/>
        <v>40293200</v>
      </c>
    </row>
    <row r="3098" spans="1:4" x14ac:dyDescent="0.3">
      <c r="A3098" s="42">
        <v>44456509</v>
      </c>
      <c r="B3098" s="42">
        <v>5000000</v>
      </c>
      <c r="D3098">
        <f t="shared" si="48"/>
        <v>39456509</v>
      </c>
    </row>
    <row r="3099" spans="1:4" x14ac:dyDescent="0.3">
      <c r="A3099" s="43">
        <v>53884821</v>
      </c>
      <c r="B3099" s="43">
        <v>5000000</v>
      </c>
      <c r="D3099">
        <f t="shared" si="48"/>
        <v>48884821</v>
      </c>
    </row>
    <row r="3100" spans="1:4" x14ac:dyDescent="0.3">
      <c r="A3100" s="42">
        <v>36000000</v>
      </c>
      <c r="B3100" s="42">
        <v>5000000</v>
      </c>
      <c r="D3100">
        <f t="shared" si="48"/>
        <v>31000000</v>
      </c>
    </row>
    <row r="3101" spans="1:4" x14ac:dyDescent="0.3">
      <c r="A3101" s="43">
        <v>34872293</v>
      </c>
      <c r="B3101" s="43">
        <v>8500000</v>
      </c>
      <c r="D3101">
        <f t="shared" si="48"/>
        <v>26372293</v>
      </c>
    </row>
    <row r="3102" spans="1:4" x14ac:dyDescent="0.3">
      <c r="A3102" s="42">
        <v>34468224</v>
      </c>
      <c r="B3102" s="42">
        <v>4500000</v>
      </c>
      <c r="D3102">
        <f t="shared" si="48"/>
        <v>29968224</v>
      </c>
    </row>
    <row r="3103" spans="1:4" x14ac:dyDescent="0.3">
      <c r="A3103" s="43">
        <v>32453345</v>
      </c>
      <c r="B3103" s="43">
        <v>5000000</v>
      </c>
      <c r="D3103">
        <f t="shared" si="48"/>
        <v>27453345</v>
      </c>
    </row>
    <row r="3104" spans="1:4" x14ac:dyDescent="0.3">
      <c r="A3104" s="42">
        <v>27296514</v>
      </c>
      <c r="B3104" s="42">
        <v>5000000</v>
      </c>
      <c r="D3104">
        <f t="shared" si="48"/>
        <v>22296514</v>
      </c>
    </row>
    <row r="3105" spans="1:4" x14ac:dyDescent="0.3">
      <c r="A3105" s="43">
        <v>25799043</v>
      </c>
      <c r="B3105" s="43">
        <v>3300000</v>
      </c>
      <c r="D3105">
        <f t="shared" si="48"/>
        <v>22499043</v>
      </c>
    </row>
    <row r="3106" spans="1:4" x14ac:dyDescent="0.3">
      <c r="A3106" s="42">
        <v>25530884</v>
      </c>
      <c r="B3106" s="42">
        <v>9000000</v>
      </c>
      <c r="D3106">
        <f t="shared" si="48"/>
        <v>16530884</v>
      </c>
    </row>
    <row r="3107" spans="1:4" x14ac:dyDescent="0.3">
      <c r="A3107" s="43">
        <v>27689474</v>
      </c>
      <c r="B3107" s="43">
        <v>5000000</v>
      </c>
      <c r="D3107">
        <f t="shared" si="48"/>
        <v>22689474</v>
      </c>
    </row>
    <row r="3108" spans="1:4" x14ac:dyDescent="0.3">
      <c r="A3108" s="42">
        <v>24138847</v>
      </c>
      <c r="B3108" s="42">
        <v>5000000</v>
      </c>
      <c r="D3108">
        <f t="shared" si="48"/>
        <v>19138847</v>
      </c>
    </row>
    <row r="3109" spans="1:4" x14ac:dyDescent="0.3">
      <c r="A3109" s="43">
        <v>21994911</v>
      </c>
      <c r="B3109" s="43">
        <v>5000000</v>
      </c>
      <c r="D3109">
        <f t="shared" si="48"/>
        <v>16994911</v>
      </c>
    </row>
    <row r="3110" spans="1:4" x14ac:dyDescent="0.3">
      <c r="A3110" s="42">
        <v>21501098</v>
      </c>
      <c r="B3110" s="42">
        <v>5000000</v>
      </c>
      <c r="D3110">
        <f t="shared" si="48"/>
        <v>16501098</v>
      </c>
    </row>
    <row r="3111" spans="1:4" x14ac:dyDescent="0.3">
      <c r="A3111" s="43">
        <v>19281235</v>
      </c>
      <c r="B3111" s="43">
        <v>5000000</v>
      </c>
      <c r="D3111">
        <f t="shared" si="48"/>
        <v>14281235</v>
      </c>
    </row>
    <row r="3112" spans="1:4" x14ac:dyDescent="0.3">
      <c r="A3112" s="42">
        <v>19421271</v>
      </c>
      <c r="B3112" s="42">
        <v>5000000</v>
      </c>
      <c r="D3112">
        <f t="shared" si="48"/>
        <v>14421271</v>
      </c>
    </row>
    <row r="3113" spans="1:4" x14ac:dyDescent="0.3">
      <c r="A3113" s="43">
        <v>20733485</v>
      </c>
      <c r="B3113" s="43">
        <v>5000000</v>
      </c>
      <c r="D3113">
        <f t="shared" si="48"/>
        <v>15733485</v>
      </c>
    </row>
    <row r="3114" spans="1:4" x14ac:dyDescent="0.3">
      <c r="A3114" s="42">
        <v>24809547</v>
      </c>
      <c r="B3114" s="42">
        <v>5000000</v>
      </c>
      <c r="D3114">
        <f t="shared" si="48"/>
        <v>19809547</v>
      </c>
    </row>
    <row r="3115" spans="1:4" x14ac:dyDescent="0.3">
      <c r="A3115" s="43">
        <v>23031390</v>
      </c>
      <c r="B3115" s="43">
        <v>4500000</v>
      </c>
      <c r="D3115">
        <f t="shared" si="48"/>
        <v>18531390</v>
      </c>
    </row>
    <row r="3116" spans="1:4" x14ac:dyDescent="0.3">
      <c r="A3116" s="42">
        <v>21197315</v>
      </c>
      <c r="B3116" s="42">
        <v>5000000</v>
      </c>
      <c r="D3116">
        <f t="shared" si="48"/>
        <v>16197315</v>
      </c>
    </row>
    <row r="3117" spans="1:4" x14ac:dyDescent="0.3">
      <c r="A3117" s="43">
        <v>17382982</v>
      </c>
      <c r="B3117" s="43">
        <v>5000000</v>
      </c>
      <c r="D3117">
        <f t="shared" si="48"/>
        <v>12382982</v>
      </c>
    </row>
    <row r="3118" spans="1:4" x14ac:dyDescent="0.3">
      <c r="A3118" s="42">
        <v>18656400</v>
      </c>
      <c r="B3118" s="42">
        <v>5000000</v>
      </c>
      <c r="D3118">
        <f t="shared" si="48"/>
        <v>13656400</v>
      </c>
    </row>
    <row r="3119" spans="1:4" x14ac:dyDescent="0.3">
      <c r="A3119" s="43">
        <v>14343976</v>
      </c>
      <c r="B3119" s="43">
        <v>5000000</v>
      </c>
      <c r="D3119">
        <f t="shared" si="48"/>
        <v>9343976</v>
      </c>
    </row>
    <row r="3120" spans="1:4" x14ac:dyDescent="0.3">
      <c r="A3120" s="42">
        <v>241437427</v>
      </c>
      <c r="B3120" s="42">
        <v>5000000</v>
      </c>
      <c r="D3120">
        <f t="shared" si="48"/>
        <v>236437427</v>
      </c>
    </row>
    <row r="3121" spans="1:4" x14ac:dyDescent="0.3">
      <c r="A3121" s="43">
        <v>14123773</v>
      </c>
      <c r="B3121" s="43">
        <v>5000000</v>
      </c>
      <c r="D3121">
        <f t="shared" si="48"/>
        <v>9123773</v>
      </c>
    </row>
    <row r="3122" spans="1:4" x14ac:dyDescent="0.3">
      <c r="A3122" s="42">
        <v>15126948</v>
      </c>
      <c r="B3122" s="42">
        <v>5000000</v>
      </c>
      <c r="D3122">
        <f t="shared" si="48"/>
        <v>10126948</v>
      </c>
    </row>
    <row r="3123" spans="1:4" x14ac:dyDescent="0.3">
      <c r="A3123" s="43">
        <v>13622333</v>
      </c>
      <c r="B3123" s="43">
        <v>2000000</v>
      </c>
      <c r="D3123">
        <f t="shared" si="48"/>
        <v>11622333</v>
      </c>
    </row>
    <row r="3124" spans="1:4" x14ac:dyDescent="0.3">
      <c r="A3124" s="42">
        <v>13464388</v>
      </c>
      <c r="B3124" s="42">
        <v>4000000</v>
      </c>
      <c r="D3124">
        <f t="shared" si="48"/>
        <v>9464388</v>
      </c>
    </row>
    <row r="3125" spans="1:4" x14ac:dyDescent="0.3">
      <c r="A3125" s="43">
        <v>13350177</v>
      </c>
      <c r="B3125" s="43">
        <v>5000000</v>
      </c>
      <c r="D3125">
        <f t="shared" si="48"/>
        <v>8350177</v>
      </c>
    </row>
    <row r="3126" spans="1:4" x14ac:dyDescent="0.3">
      <c r="A3126" s="42">
        <v>13269963</v>
      </c>
      <c r="B3126" s="42">
        <v>5000000</v>
      </c>
      <c r="D3126">
        <f t="shared" si="48"/>
        <v>8269963</v>
      </c>
    </row>
    <row r="3127" spans="1:4" x14ac:dyDescent="0.3">
      <c r="A3127" s="43">
        <v>17768000</v>
      </c>
      <c r="B3127" s="43">
        <v>5000000</v>
      </c>
      <c r="D3127">
        <f t="shared" si="48"/>
        <v>12768000</v>
      </c>
    </row>
    <row r="3128" spans="1:4" x14ac:dyDescent="0.3">
      <c r="A3128" s="42">
        <v>12947763</v>
      </c>
      <c r="B3128" s="42">
        <v>5000000</v>
      </c>
      <c r="D3128">
        <f t="shared" si="48"/>
        <v>7947763</v>
      </c>
    </row>
    <row r="3129" spans="1:4" x14ac:dyDescent="0.3">
      <c r="A3129" s="43">
        <v>14100000</v>
      </c>
      <c r="B3129" s="43">
        <v>5000000</v>
      </c>
      <c r="D3129">
        <f t="shared" si="48"/>
        <v>9100000</v>
      </c>
    </row>
    <row r="3130" spans="1:4" x14ac:dyDescent="0.3">
      <c r="A3130" s="42">
        <v>12200000</v>
      </c>
      <c r="B3130" s="42">
        <v>5000000</v>
      </c>
      <c r="D3130">
        <f t="shared" si="48"/>
        <v>7200000</v>
      </c>
    </row>
    <row r="3131" spans="1:4" x14ac:dyDescent="0.3">
      <c r="A3131" s="43">
        <v>17683670</v>
      </c>
      <c r="B3131" s="43">
        <v>5000000</v>
      </c>
      <c r="D3131">
        <f t="shared" si="48"/>
        <v>12683670</v>
      </c>
    </row>
    <row r="3132" spans="1:4" x14ac:dyDescent="0.3">
      <c r="A3132" s="42">
        <v>12055108</v>
      </c>
      <c r="B3132" s="42">
        <v>8000000</v>
      </c>
      <c r="D3132">
        <f t="shared" si="48"/>
        <v>4055108</v>
      </c>
    </row>
    <row r="3133" spans="1:4" x14ac:dyDescent="0.3">
      <c r="A3133" s="43">
        <v>27285953</v>
      </c>
      <c r="B3133" s="43">
        <v>5000000</v>
      </c>
      <c r="D3133">
        <f t="shared" si="48"/>
        <v>22285953</v>
      </c>
    </row>
    <row r="3134" spans="1:4" x14ac:dyDescent="0.3">
      <c r="A3134" s="42">
        <v>11675178</v>
      </c>
      <c r="B3134" s="42">
        <v>5000000</v>
      </c>
      <c r="D3134">
        <f t="shared" si="48"/>
        <v>6675178</v>
      </c>
    </row>
    <row r="3135" spans="1:4" x14ac:dyDescent="0.3">
      <c r="A3135" s="43">
        <v>10572742</v>
      </c>
      <c r="B3135" s="43">
        <v>8000000</v>
      </c>
      <c r="D3135">
        <f t="shared" si="48"/>
        <v>2572742</v>
      </c>
    </row>
    <row r="3136" spans="1:4" x14ac:dyDescent="0.3">
      <c r="A3136" s="42">
        <v>9658370</v>
      </c>
      <c r="B3136" s="42">
        <v>5000000</v>
      </c>
      <c r="D3136">
        <f t="shared" si="48"/>
        <v>4658370</v>
      </c>
    </row>
    <row r="3137" spans="1:4" x14ac:dyDescent="0.3">
      <c r="A3137" s="43">
        <v>9628751</v>
      </c>
      <c r="B3137" s="43">
        <v>5000000</v>
      </c>
      <c r="D3137">
        <f t="shared" si="48"/>
        <v>4628751</v>
      </c>
    </row>
    <row r="3138" spans="1:4" x14ac:dyDescent="0.3">
      <c r="A3138" s="42">
        <v>8786715</v>
      </c>
      <c r="B3138" s="42">
        <v>5000000</v>
      </c>
      <c r="D3138">
        <f t="shared" ref="D3138:D3201" si="49">A3138-B3138</f>
        <v>3786715</v>
      </c>
    </row>
    <row r="3139" spans="1:4" x14ac:dyDescent="0.3">
      <c r="A3139" s="43">
        <v>3432342</v>
      </c>
      <c r="B3139" s="43">
        <v>6000000</v>
      </c>
      <c r="D3139">
        <f t="shared" si="49"/>
        <v>-2567658</v>
      </c>
    </row>
    <row r="3140" spans="1:4" x14ac:dyDescent="0.3">
      <c r="A3140" s="42">
        <v>6755271</v>
      </c>
      <c r="B3140" s="42">
        <v>5000000</v>
      </c>
      <c r="D3140">
        <f t="shared" si="49"/>
        <v>1755271</v>
      </c>
    </row>
    <row r="3141" spans="1:4" x14ac:dyDescent="0.3">
      <c r="A3141" s="43">
        <v>6157157</v>
      </c>
      <c r="B3141" s="43">
        <v>5000000</v>
      </c>
      <c r="D3141">
        <f t="shared" si="49"/>
        <v>1157157</v>
      </c>
    </row>
    <row r="3142" spans="1:4" x14ac:dyDescent="0.3">
      <c r="A3142" s="42">
        <v>5480318</v>
      </c>
      <c r="B3142" s="42">
        <v>5000000</v>
      </c>
      <c r="D3142">
        <f t="shared" si="49"/>
        <v>480318</v>
      </c>
    </row>
    <row r="3143" spans="1:4" x14ac:dyDescent="0.3">
      <c r="A3143" s="43">
        <v>5308707</v>
      </c>
      <c r="B3143" s="43">
        <v>5000000</v>
      </c>
      <c r="D3143">
        <f t="shared" si="49"/>
        <v>308707</v>
      </c>
    </row>
    <row r="3144" spans="1:4" x14ac:dyDescent="0.3">
      <c r="A3144" s="42">
        <v>5009677</v>
      </c>
      <c r="B3144" s="42">
        <v>5000000</v>
      </c>
      <c r="D3144">
        <f t="shared" si="49"/>
        <v>9677</v>
      </c>
    </row>
    <row r="3145" spans="1:4" x14ac:dyDescent="0.3">
      <c r="A3145" s="43">
        <v>4074023</v>
      </c>
      <c r="B3145" s="43">
        <v>5000000</v>
      </c>
      <c r="D3145">
        <f t="shared" si="49"/>
        <v>-925977</v>
      </c>
    </row>
    <row r="3146" spans="1:4" x14ac:dyDescent="0.3">
      <c r="A3146" s="42">
        <v>4306697</v>
      </c>
      <c r="B3146" s="42">
        <v>5000000</v>
      </c>
      <c r="D3146">
        <f t="shared" si="49"/>
        <v>-693303</v>
      </c>
    </row>
    <row r="3147" spans="1:4" x14ac:dyDescent="0.3">
      <c r="A3147" s="43">
        <v>3950029</v>
      </c>
      <c r="B3147" s="43">
        <v>4000000</v>
      </c>
      <c r="D3147">
        <f t="shared" si="49"/>
        <v>-49971</v>
      </c>
    </row>
    <row r="3148" spans="1:4" x14ac:dyDescent="0.3">
      <c r="A3148" s="42">
        <v>4040588</v>
      </c>
      <c r="B3148" s="42">
        <v>5000000</v>
      </c>
      <c r="D3148">
        <f t="shared" si="49"/>
        <v>-959412</v>
      </c>
    </row>
    <row r="3149" spans="1:4" x14ac:dyDescent="0.3">
      <c r="A3149" s="43">
        <v>3049135</v>
      </c>
      <c r="B3149" s="43">
        <v>5000000</v>
      </c>
      <c r="D3149">
        <f t="shared" si="49"/>
        <v>-1950865</v>
      </c>
    </row>
    <row r="3150" spans="1:4" x14ac:dyDescent="0.3">
      <c r="A3150" s="42">
        <v>2711210</v>
      </c>
      <c r="B3150" s="42">
        <v>5000000</v>
      </c>
      <c r="D3150">
        <f t="shared" si="49"/>
        <v>-2288790</v>
      </c>
    </row>
    <row r="3151" spans="1:4" x14ac:dyDescent="0.3">
      <c r="A3151" s="43">
        <v>1980338</v>
      </c>
      <c r="B3151" s="43">
        <v>5000000</v>
      </c>
      <c r="D3151">
        <f t="shared" si="49"/>
        <v>-3019662</v>
      </c>
    </row>
    <row r="3152" spans="1:4" x14ac:dyDescent="0.3">
      <c r="A3152" s="42">
        <v>1082044</v>
      </c>
      <c r="B3152" s="42">
        <v>5000000</v>
      </c>
      <c r="D3152">
        <f t="shared" si="49"/>
        <v>-3917956</v>
      </c>
    </row>
    <row r="3153" spans="1:4" x14ac:dyDescent="0.3">
      <c r="A3153" s="43">
        <v>1100000</v>
      </c>
      <c r="B3153" s="43">
        <v>5000000</v>
      </c>
      <c r="D3153">
        <f t="shared" si="49"/>
        <v>-3900000</v>
      </c>
    </row>
    <row r="3154" spans="1:4" x14ac:dyDescent="0.3">
      <c r="A3154" s="42">
        <v>2445646</v>
      </c>
      <c r="B3154" s="42">
        <v>5000000</v>
      </c>
      <c r="D3154">
        <f t="shared" si="49"/>
        <v>-2554354</v>
      </c>
    </row>
    <row r="3155" spans="1:4" x14ac:dyDescent="0.3">
      <c r="A3155" s="43">
        <v>2221809</v>
      </c>
      <c r="B3155" s="43">
        <v>5000000</v>
      </c>
      <c r="D3155">
        <f t="shared" si="49"/>
        <v>-2778191</v>
      </c>
    </row>
    <row r="3156" spans="1:4" x14ac:dyDescent="0.3">
      <c r="A3156" s="42">
        <v>296665</v>
      </c>
      <c r="B3156" s="42">
        <v>5000000</v>
      </c>
      <c r="D3156">
        <f t="shared" si="49"/>
        <v>-4703335</v>
      </c>
    </row>
    <row r="3157" spans="1:4" x14ac:dyDescent="0.3">
      <c r="A3157" s="43">
        <v>3219029</v>
      </c>
      <c r="B3157" s="43">
        <v>5000000</v>
      </c>
      <c r="D3157">
        <f t="shared" si="49"/>
        <v>-1780971</v>
      </c>
    </row>
    <row r="3158" spans="1:4" x14ac:dyDescent="0.3">
      <c r="A3158" s="42">
        <v>830210</v>
      </c>
      <c r="B3158" s="42">
        <v>5000000</v>
      </c>
      <c r="D3158">
        <f t="shared" si="49"/>
        <v>-4169790</v>
      </c>
    </row>
    <row r="3159" spans="1:4" x14ac:dyDescent="0.3">
      <c r="A3159" s="43">
        <v>1040879</v>
      </c>
      <c r="B3159" s="43">
        <v>7000000</v>
      </c>
      <c r="D3159">
        <f t="shared" si="49"/>
        <v>-5959121</v>
      </c>
    </row>
    <row r="3160" spans="1:4" x14ac:dyDescent="0.3">
      <c r="A3160" s="42">
        <v>326308</v>
      </c>
      <c r="B3160" s="42">
        <v>5000000</v>
      </c>
      <c r="D3160">
        <f t="shared" si="49"/>
        <v>-4673692</v>
      </c>
    </row>
    <row r="3161" spans="1:4" x14ac:dyDescent="0.3">
      <c r="A3161" s="43">
        <v>124720</v>
      </c>
      <c r="B3161" s="43">
        <v>5000000</v>
      </c>
      <c r="D3161">
        <f t="shared" si="49"/>
        <v>-4875280</v>
      </c>
    </row>
    <row r="3162" spans="1:4" x14ac:dyDescent="0.3">
      <c r="A3162" s="42">
        <v>99147</v>
      </c>
      <c r="B3162" s="42">
        <v>2000000</v>
      </c>
      <c r="D3162">
        <f t="shared" si="49"/>
        <v>-1900853</v>
      </c>
    </row>
    <row r="3163" spans="1:4" x14ac:dyDescent="0.3">
      <c r="A3163" s="43">
        <v>65069140</v>
      </c>
      <c r="B3163" s="43">
        <v>5000000</v>
      </c>
      <c r="D3163">
        <f t="shared" si="49"/>
        <v>60069140</v>
      </c>
    </row>
    <row r="3164" spans="1:4" x14ac:dyDescent="0.3">
      <c r="A3164" s="42">
        <v>65087</v>
      </c>
      <c r="B3164" s="42">
        <v>5000000</v>
      </c>
      <c r="D3164">
        <f t="shared" si="49"/>
        <v>-4934913</v>
      </c>
    </row>
    <row r="3165" spans="1:4" x14ac:dyDescent="0.3">
      <c r="A3165" s="43">
        <v>16066</v>
      </c>
      <c r="B3165" s="43">
        <v>5000000</v>
      </c>
      <c r="D3165">
        <f t="shared" si="49"/>
        <v>-4983934</v>
      </c>
    </row>
    <row r="3166" spans="1:4" x14ac:dyDescent="0.3">
      <c r="A3166" s="42">
        <v>37440</v>
      </c>
      <c r="B3166" s="42">
        <v>5000000</v>
      </c>
      <c r="D3166">
        <f t="shared" si="49"/>
        <v>-4962560</v>
      </c>
    </row>
    <row r="3167" spans="1:4" x14ac:dyDescent="0.3">
      <c r="A3167" s="43">
        <v>617228</v>
      </c>
      <c r="B3167" s="43">
        <v>84450000</v>
      </c>
      <c r="D3167">
        <f t="shared" si="49"/>
        <v>-83832772</v>
      </c>
    </row>
    <row r="3168" spans="1:4" x14ac:dyDescent="0.3">
      <c r="A3168" s="42">
        <v>274385</v>
      </c>
      <c r="B3168" s="42">
        <v>4000000</v>
      </c>
      <c r="D3168">
        <f t="shared" si="49"/>
        <v>-3725615</v>
      </c>
    </row>
    <row r="3169" spans="1:4" x14ac:dyDescent="0.3">
      <c r="A3169" s="43">
        <v>24475416</v>
      </c>
      <c r="B3169" s="43">
        <v>890000</v>
      </c>
      <c r="D3169">
        <f t="shared" si="49"/>
        <v>23585416</v>
      </c>
    </row>
    <row r="3170" spans="1:4" x14ac:dyDescent="0.3">
      <c r="A3170" s="42">
        <v>47277326</v>
      </c>
      <c r="B3170" s="42">
        <v>4800000</v>
      </c>
      <c r="D3170">
        <f t="shared" si="49"/>
        <v>42477326</v>
      </c>
    </row>
    <row r="3171" spans="1:4" x14ac:dyDescent="0.3">
      <c r="A3171" s="43">
        <v>1247453</v>
      </c>
      <c r="B3171" s="43">
        <v>2800000</v>
      </c>
      <c r="D3171">
        <f t="shared" si="49"/>
        <v>-1552547</v>
      </c>
    </row>
    <row r="3172" spans="1:4" x14ac:dyDescent="0.3">
      <c r="A3172" s="42">
        <v>1729969</v>
      </c>
      <c r="B3172" s="42">
        <v>5000000</v>
      </c>
      <c r="D3172">
        <f t="shared" si="49"/>
        <v>-3270031</v>
      </c>
    </row>
    <row r="3173" spans="1:4" x14ac:dyDescent="0.3">
      <c r="A3173" s="43">
        <v>1705139</v>
      </c>
      <c r="B3173" s="43">
        <v>4700000</v>
      </c>
      <c r="D3173">
        <f t="shared" si="49"/>
        <v>-2994861</v>
      </c>
    </row>
    <row r="3174" spans="1:4" x14ac:dyDescent="0.3">
      <c r="A3174" s="42">
        <v>8025872</v>
      </c>
      <c r="B3174" s="42">
        <v>4700000</v>
      </c>
      <c r="D3174">
        <f t="shared" si="49"/>
        <v>3325872</v>
      </c>
    </row>
    <row r="3175" spans="1:4" x14ac:dyDescent="0.3">
      <c r="A3175" s="43">
        <v>778565</v>
      </c>
      <c r="B3175" s="43">
        <v>4800000</v>
      </c>
      <c r="D3175">
        <f t="shared" si="49"/>
        <v>-4021435</v>
      </c>
    </row>
    <row r="3176" spans="1:4" x14ac:dyDescent="0.3">
      <c r="A3176" s="42">
        <v>513836</v>
      </c>
      <c r="B3176" s="42">
        <v>4600000</v>
      </c>
      <c r="D3176">
        <f t="shared" si="49"/>
        <v>-4086164</v>
      </c>
    </row>
    <row r="3177" spans="1:4" x14ac:dyDescent="0.3">
      <c r="A3177" s="43">
        <v>434417</v>
      </c>
      <c r="B3177" s="43">
        <v>4600000</v>
      </c>
      <c r="D3177">
        <f t="shared" si="49"/>
        <v>-4165583</v>
      </c>
    </row>
    <row r="3178" spans="1:4" x14ac:dyDescent="0.3">
      <c r="A3178" s="42">
        <v>81200000</v>
      </c>
      <c r="B3178" s="42">
        <v>4500000</v>
      </c>
      <c r="D3178">
        <f t="shared" si="49"/>
        <v>76700000</v>
      </c>
    </row>
    <row r="3179" spans="1:4" x14ac:dyDescent="0.3">
      <c r="A3179" s="43">
        <v>52700832</v>
      </c>
      <c r="B3179" s="43">
        <v>4500000</v>
      </c>
      <c r="D3179">
        <f t="shared" si="49"/>
        <v>48200832</v>
      </c>
    </row>
    <row r="3180" spans="1:4" x14ac:dyDescent="0.3">
      <c r="A3180" s="42">
        <v>13060843</v>
      </c>
      <c r="B3180" s="42">
        <v>15000000</v>
      </c>
      <c r="D3180">
        <f t="shared" si="49"/>
        <v>-1939157</v>
      </c>
    </row>
    <row r="3181" spans="1:4" x14ac:dyDescent="0.3">
      <c r="A3181" s="43">
        <v>3798532</v>
      </c>
      <c r="B3181" s="43">
        <v>4500000</v>
      </c>
      <c r="D3181">
        <f t="shared" si="49"/>
        <v>-701468</v>
      </c>
    </row>
    <row r="3182" spans="1:4" x14ac:dyDescent="0.3">
      <c r="A3182" s="42">
        <v>3609278</v>
      </c>
      <c r="B3182" s="42">
        <v>4500000</v>
      </c>
      <c r="D3182">
        <f t="shared" si="49"/>
        <v>-890722</v>
      </c>
    </row>
    <row r="3183" spans="1:4" x14ac:dyDescent="0.3">
      <c r="A3183" s="43">
        <v>1687311</v>
      </c>
      <c r="B3183" s="43">
        <v>700000000</v>
      </c>
      <c r="D3183">
        <f t="shared" si="49"/>
        <v>-698312689</v>
      </c>
    </row>
    <row r="3184" spans="1:4" x14ac:dyDescent="0.3">
      <c r="A3184" s="42">
        <v>10429707</v>
      </c>
      <c r="B3184" s="42">
        <v>5000000</v>
      </c>
      <c r="D3184">
        <f t="shared" si="49"/>
        <v>5429707</v>
      </c>
    </row>
    <row r="3185" spans="1:4" x14ac:dyDescent="0.3">
      <c r="A3185" s="43">
        <v>727883</v>
      </c>
      <c r="B3185" s="43">
        <v>4500000</v>
      </c>
      <c r="D3185">
        <f t="shared" si="49"/>
        <v>-3772117</v>
      </c>
    </row>
    <row r="3186" spans="1:4" x14ac:dyDescent="0.3">
      <c r="A3186" s="42">
        <v>713413</v>
      </c>
      <c r="B3186" s="42">
        <v>4500000</v>
      </c>
      <c r="D3186">
        <f t="shared" si="49"/>
        <v>-3786587</v>
      </c>
    </row>
    <row r="3187" spans="1:4" x14ac:dyDescent="0.3">
      <c r="A3187" s="43">
        <v>410241</v>
      </c>
      <c r="B3187" s="43">
        <v>2000000</v>
      </c>
      <c r="D3187">
        <f t="shared" si="49"/>
        <v>-1589759</v>
      </c>
    </row>
    <row r="3188" spans="1:4" x14ac:dyDescent="0.3">
      <c r="A3188" s="42">
        <v>211667</v>
      </c>
      <c r="B3188" s="42">
        <v>4200000000</v>
      </c>
      <c r="D3188">
        <f t="shared" si="49"/>
        <v>-4199788333</v>
      </c>
    </row>
    <row r="3189" spans="1:4" x14ac:dyDescent="0.3">
      <c r="A3189" s="43">
        <v>92191</v>
      </c>
      <c r="B3189" s="43">
        <v>2500000</v>
      </c>
      <c r="D3189">
        <f t="shared" si="49"/>
        <v>-2407809</v>
      </c>
    </row>
    <row r="3190" spans="1:4" x14ac:dyDescent="0.3">
      <c r="A3190" s="42">
        <v>49413</v>
      </c>
      <c r="B3190" s="42">
        <v>35000000</v>
      </c>
      <c r="D3190">
        <f t="shared" si="49"/>
        <v>-34950587</v>
      </c>
    </row>
    <row r="3191" spans="1:4" x14ac:dyDescent="0.3">
      <c r="A3191" s="43">
        <v>108229</v>
      </c>
      <c r="B3191" s="43">
        <v>4500000</v>
      </c>
      <c r="D3191">
        <f t="shared" si="49"/>
        <v>-4391771</v>
      </c>
    </row>
    <row r="3192" spans="1:4" x14ac:dyDescent="0.3">
      <c r="A3192" s="42">
        <v>112000000</v>
      </c>
      <c r="B3192" s="42">
        <v>4400000</v>
      </c>
      <c r="D3192">
        <f t="shared" si="49"/>
        <v>107600000</v>
      </c>
    </row>
    <row r="3193" spans="1:4" x14ac:dyDescent="0.3">
      <c r="A3193" s="43">
        <v>8691</v>
      </c>
      <c r="B3193" s="43">
        <v>4500000</v>
      </c>
      <c r="D3193">
        <f t="shared" si="49"/>
        <v>-4491309</v>
      </c>
    </row>
    <row r="3194" spans="1:4" x14ac:dyDescent="0.3">
      <c r="A3194" s="42">
        <v>26345</v>
      </c>
      <c r="B3194" s="42">
        <v>3000000</v>
      </c>
      <c r="D3194">
        <f t="shared" si="49"/>
        <v>-2973655</v>
      </c>
    </row>
    <row r="3195" spans="1:4" x14ac:dyDescent="0.3">
      <c r="A3195" s="43">
        <v>20772796</v>
      </c>
      <c r="B3195" s="43">
        <v>6000000</v>
      </c>
      <c r="D3195">
        <f t="shared" si="49"/>
        <v>14772796</v>
      </c>
    </row>
    <row r="3196" spans="1:4" x14ac:dyDescent="0.3">
      <c r="A3196" s="42">
        <v>199228</v>
      </c>
      <c r="B3196" s="42">
        <v>150000000</v>
      </c>
      <c r="D3196">
        <f t="shared" si="49"/>
        <v>-149800772</v>
      </c>
    </row>
    <row r="3197" spans="1:4" x14ac:dyDescent="0.3">
      <c r="A3197" s="43">
        <v>1487477</v>
      </c>
      <c r="B3197" s="43">
        <v>4200000</v>
      </c>
      <c r="D3197">
        <f t="shared" si="49"/>
        <v>-2712523</v>
      </c>
    </row>
    <row r="3198" spans="1:4" x14ac:dyDescent="0.3">
      <c r="A3198" s="42">
        <v>62549000</v>
      </c>
      <c r="B3198" s="42">
        <v>2300000</v>
      </c>
      <c r="D3198">
        <f t="shared" si="49"/>
        <v>60249000</v>
      </c>
    </row>
    <row r="3199" spans="1:4" x14ac:dyDescent="0.3">
      <c r="A3199" s="43">
        <v>105500000</v>
      </c>
      <c r="B3199" s="43">
        <v>4000000</v>
      </c>
      <c r="D3199">
        <f t="shared" si="49"/>
        <v>101500000</v>
      </c>
    </row>
    <row r="3200" spans="1:4" x14ac:dyDescent="0.3">
      <c r="A3200" s="42">
        <v>101055</v>
      </c>
      <c r="B3200" s="42">
        <v>4000000</v>
      </c>
      <c r="D3200">
        <f t="shared" si="49"/>
        <v>-3898945</v>
      </c>
    </row>
    <row r="3201" spans="1:4" x14ac:dyDescent="0.3">
      <c r="A3201" s="43">
        <v>44566004</v>
      </c>
      <c r="B3201" s="43">
        <v>4000000</v>
      </c>
      <c r="D3201">
        <f t="shared" si="49"/>
        <v>40566004</v>
      </c>
    </row>
    <row r="3202" spans="1:4" x14ac:dyDescent="0.3">
      <c r="A3202" s="42">
        <v>39200000</v>
      </c>
      <c r="B3202" s="42">
        <v>4000000</v>
      </c>
      <c r="D3202">
        <f t="shared" ref="D3202:D3265" si="50">A3202-B3202</f>
        <v>35200000</v>
      </c>
    </row>
    <row r="3203" spans="1:4" x14ac:dyDescent="0.3">
      <c r="A3203" s="43">
        <v>36000000</v>
      </c>
      <c r="B3203" s="43">
        <v>4000000</v>
      </c>
      <c r="D3203">
        <f t="shared" si="50"/>
        <v>32000000</v>
      </c>
    </row>
    <row r="3204" spans="1:4" x14ac:dyDescent="0.3">
      <c r="A3204" s="42">
        <v>31252964</v>
      </c>
      <c r="B3204" s="42">
        <v>4000000</v>
      </c>
      <c r="D3204">
        <f t="shared" si="50"/>
        <v>27252964</v>
      </c>
    </row>
    <row r="3205" spans="1:4" x14ac:dyDescent="0.3">
      <c r="A3205" s="43">
        <v>131175</v>
      </c>
      <c r="B3205" s="43">
        <v>8500000</v>
      </c>
      <c r="D3205">
        <f t="shared" si="50"/>
        <v>-8368825</v>
      </c>
    </row>
    <row r="3206" spans="1:4" x14ac:dyDescent="0.3">
      <c r="A3206" s="42">
        <v>31968347</v>
      </c>
      <c r="B3206" s="42">
        <v>3600000</v>
      </c>
      <c r="D3206">
        <f t="shared" si="50"/>
        <v>28368347</v>
      </c>
    </row>
    <row r="3207" spans="1:4" x14ac:dyDescent="0.3">
      <c r="A3207" s="43">
        <v>35385560</v>
      </c>
      <c r="B3207" s="43">
        <v>4000000</v>
      </c>
      <c r="D3207">
        <f t="shared" si="50"/>
        <v>31385560</v>
      </c>
    </row>
    <row r="3208" spans="1:4" x14ac:dyDescent="0.3">
      <c r="A3208" s="42">
        <v>20803237</v>
      </c>
      <c r="B3208" s="42">
        <v>3500000</v>
      </c>
      <c r="D3208">
        <f t="shared" si="50"/>
        <v>17303237</v>
      </c>
    </row>
    <row r="3209" spans="1:4" x14ac:dyDescent="0.3">
      <c r="A3209" s="43">
        <v>13008928</v>
      </c>
      <c r="B3209" s="43">
        <v>4000000</v>
      </c>
      <c r="D3209">
        <f t="shared" si="50"/>
        <v>9008928</v>
      </c>
    </row>
    <row r="3210" spans="1:4" x14ac:dyDescent="0.3">
      <c r="A3210" s="42">
        <v>15152879</v>
      </c>
      <c r="B3210" s="42">
        <v>5000000</v>
      </c>
      <c r="D3210">
        <f t="shared" si="50"/>
        <v>10152879</v>
      </c>
    </row>
    <row r="3211" spans="1:4" x14ac:dyDescent="0.3">
      <c r="A3211" s="43">
        <v>25359200</v>
      </c>
      <c r="B3211" s="43">
        <v>4000000</v>
      </c>
      <c r="D3211">
        <f t="shared" si="50"/>
        <v>21359200</v>
      </c>
    </row>
    <row r="3212" spans="1:4" x14ac:dyDescent="0.3">
      <c r="A3212" s="42">
        <v>10515579</v>
      </c>
      <c r="B3212" s="42">
        <v>4000000</v>
      </c>
      <c r="D3212">
        <f t="shared" si="50"/>
        <v>6515579</v>
      </c>
    </row>
    <row r="3213" spans="1:4" x14ac:dyDescent="0.3">
      <c r="A3213" s="43">
        <v>10097096</v>
      </c>
      <c r="B3213" s="43">
        <v>4000000</v>
      </c>
      <c r="D3213">
        <f t="shared" si="50"/>
        <v>6097096</v>
      </c>
    </row>
    <row r="3214" spans="1:4" x14ac:dyDescent="0.3">
      <c r="A3214" s="42">
        <v>9821335</v>
      </c>
      <c r="B3214" s="42">
        <v>6000000</v>
      </c>
      <c r="D3214">
        <f t="shared" si="50"/>
        <v>3821335</v>
      </c>
    </row>
    <row r="3215" spans="1:4" x14ac:dyDescent="0.3">
      <c r="A3215" s="43">
        <v>8243880</v>
      </c>
      <c r="B3215" s="43">
        <v>3200000</v>
      </c>
      <c r="D3215">
        <f t="shared" si="50"/>
        <v>5043880</v>
      </c>
    </row>
    <row r="3216" spans="1:4" x14ac:dyDescent="0.3">
      <c r="A3216" s="42">
        <v>7825820</v>
      </c>
      <c r="B3216" s="42">
        <v>4000000</v>
      </c>
      <c r="D3216">
        <f t="shared" si="50"/>
        <v>3825820</v>
      </c>
    </row>
    <row r="3217" spans="1:4" x14ac:dyDescent="0.3">
      <c r="A3217" s="43">
        <v>7159147</v>
      </c>
      <c r="B3217" s="43">
        <v>3400000</v>
      </c>
      <c r="D3217">
        <f t="shared" si="50"/>
        <v>3759147</v>
      </c>
    </row>
    <row r="3218" spans="1:4" x14ac:dyDescent="0.3">
      <c r="A3218" s="42">
        <v>17314483</v>
      </c>
      <c r="B3218" s="42">
        <v>4000000</v>
      </c>
      <c r="D3218">
        <f t="shared" si="50"/>
        <v>13314483</v>
      </c>
    </row>
    <row r="3219" spans="1:4" x14ac:dyDescent="0.3">
      <c r="A3219" s="43">
        <v>6525762</v>
      </c>
      <c r="B3219" s="43">
        <v>4000000</v>
      </c>
      <c r="D3219">
        <f t="shared" si="50"/>
        <v>2525762</v>
      </c>
    </row>
    <row r="3220" spans="1:4" x14ac:dyDescent="0.3">
      <c r="A3220" s="42">
        <v>4301331</v>
      </c>
      <c r="B3220" s="42">
        <v>4000000</v>
      </c>
      <c r="D3220">
        <f t="shared" si="50"/>
        <v>301331</v>
      </c>
    </row>
    <row r="3221" spans="1:4" x14ac:dyDescent="0.3">
      <c r="A3221" s="43">
        <v>4046737</v>
      </c>
      <c r="B3221" s="43">
        <v>4000000</v>
      </c>
      <c r="D3221">
        <f t="shared" si="50"/>
        <v>46737</v>
      </c>
    </row>
    <row r="3222" spans="1:4" x14ac:dyDescent="0.3">
      <c r="A3222" s="42">
        <v>3713002</v>
      </c>
      <c r="B3222" s="42">
        <v>8000000</v>
      </c>
      <c r="D3222">
        <f t="shared" si="50"/>
        <v>-4286998</v>
      </c>
    </row>
    <row r="3223" spans="1:4" x14ac:dyDescent="0.3">
      <c r="A3223" s="43">
        <v>3468572</v>
      </c>
      <c r="B3223" s="43">
        <v>4000000</v>
      </c>
      <c r="D3223">
        <f t="shared" si="50"/>
        <v>-531428</v>
      </c>
    </row>
    <row r="3224" spans="1:4" x14ac:dyDescent="0.3">
      <c r="A3224" s="42">
        <v>2892582</v>
      </c>
      <c r="B3224" s="42">
        <v>4000000</v>
      </c>
      <c r="D3224">
        <f t="shared" si="50"/>
        <v>-1107418</v>
      </c>
    </row>
    <row r="3225" spans="1:4" x14ac:dyDescent="0.3">
      <c r="A3225" s="43">
        <v>2800000</v>
      </c>
      <c r="B3225" s="43">
        <v>4000000</v>
      </c>
      <c r="D3225">
        <f t="shared" si="50"/>
        <v>-1200000</v>
      </c>
    </row>
    <row r="3226" spans="1:4" x14ac:dyDescent="0.3">
      <c r="A3226" s="42">
        <v>2426851</v>
      </c>
      <c r="B3226" s="42">
        <v>4000000</v>
      </c>
      <c r="D3226">
        <f t="shared" si="50"/>
        <v>-1573149</v>
      </c>
    </row>
    <row r="3227" spans="1:4" x14ac:dyDescent="0.3">
      <c r="A3227" s="43">
        <v>1325073</v>
      </c>
      <c r="B3227" s="43">
        <v>4000000</v>
      </c>
      <c r="D3227">
        <f t="shared" si="50"/>
        <v>-2674927</v>
      </c>
    </row>
    <row r="3228" spans="1:4" x14ac:dyDescent="0.3">
      <c r="A3228" s="42">
        <v>864959</v>
      </c>
      <c r="B3228" s="42">
        <v>4000000</v>
      </c>
      <c r="D3228">
        <f t="shared" si="50"/>
        <v>-3135041</v>
      </c>
    </row>
    <row r="3229" spans="1:4" x14ac:dyDescent="0.3">
      <c r="A3229" s="43">
        <v>2601847</v>
      </c>
      <c r="B3229" s="43">
        <v>4000000</v>
      </c>
      <c r="D3229">
        <f t="shared" si="50"/>
        <v>-1398153</v>
      </c>
    </row>
    <row r="3230" spans="1:4" x14ac:dyDescent="0.3">
      <c r="A3230" s="42">
        <v>800000</v>
      </c>
      <c r="B3230" s="42">
        <v>4000000</v>
      </c>
      <c r="D3230">
        <f t="shared" si="50"/>
        <v>-3200000</v>
      </c>
    </row>
    <row r="3231" spans="1:4" x14ac:dyDescent="0.3">
      <c r="A3231" s="43">
        <v>562059</v>
      </c>
      <c r="B3231" s="43">
        <v>4000000</v>
      </c>
      <c r="D3231">
        <f t="shared" si="50"/>
        <v>-3437941</v>
      </c>
    </row>
    <row r="3232" spans="1:4" x14ac:dyDescent="0.3">
      <c r="A3232" s="42">
        <v>399793</v>
      </c>
      <c r="B3232" s="42">
        <v>4000000</v>
      </c>
      <c r="D3232">
        <f t="shared" si="50"/>
        <v>-3600207</v>
      </c>
    </row>
    <row r="3233" spans="1:4" x14ac:dyDescent="0.3">
      <c r="A3233" s="43">
        <v>371897</v>
      </c>
      <c r="B3233" s="43">
        <v>4000000</v>
      </c>
      <c r="D3233">
        <f t="shared" si="50"/>
        <v>-3628103</v>
      </c>
    </row>
    <row r="3234" spans="1:4" x14ac:dyDescent="0.3">
      <c r="A3234" s="42">
        <v>302204</v>
      </c>
      <c r="B3234" s="42">
        <v>3000000</v>
      </c>
      <c r="D3234">
        <f t="shared" si="50"/>
        <v>-2697796</v>
      </c>
    </row>
    <row r="3235" spans="1:4" x14ac:dyDescent="0.3">
      <c r="A3235" s="43">
        <v>354704</v>
      </c>
      <c r="B3235" s="43">
        <v>1300000</v>
      </c>
      <c r="D3235">
        <f t="shared" si="50"/>
        <v>-945296</v>
      </c>
    </row>
    <row r="3236" spans="1:4" x14ac:dyDescent="0.3">
      <c r="A3236" s="42">
        <v>265107</v>
      </c>
      <c r="B3236" s="42">
        <v>1500000</v>
      </c>
      <c r="D3236">
        <f t="shared" si="50"/>
        <v>-1234893</v>
      </c>
    </row>
    <row r="3237" spans="1:4" x14ac:dyDescent="0.3">
      <c r="A3237" s="43">
        <v>185577</v>
      </c>
      <c r="B3237" s="43">
        <v>4000000</v>
      </c>
      <c r="D3237">
        <f t="shared" si="50"/>
        <v>-3814423</v>
      </c>
    </row>
    <row r="3238" spans="1:4" x14ac:dyDescent="0.3">
      <c r="A3238" s="42">
        <v>100412</v>
      </c>
      <c r="B3238" s="42">
        <v>4000000</v>
      </c>
      <c r="D3238">
        <f t="shared" si="50"/>
        <v>-3899588</v>
      </c>
    </row>
    <row r="3239" spans="1:4" x14ac:dyDescent="0.3">
      <c r="A3239" s="43">
        <v>58214</v>
      </c>
      <c r="B3239" s="43">
        <v>9500000</v>
      </c>
      <c r="D3239">
        <f t="shared" si="50"/>
        <v>-9441786</v>
      </c>
    </row>
    <row r="3240" spans="1:4" x14ac:dyDescent="0.3">
      <c r="A3240" s="42">
        <v>75078</v>
      </c>
      <c r="B3240" s="42">
        <v>14000000</v>
      </c>
      <c r="D3240">
        <f t="shared" si="50"/>
        <v>-13924922</v>
      </c>
    </row>
    <row r="3241" spans="1:4" x14ac:dyDescent="0.3">
      <c r="A3241" s="43">
        <v>64359</v>
      </c>
      <c r="B3241" s="43">
        <v>2500000</v>
      </c>
      <c r="D3241">
        <f t="shared" si="50"/>
        <v>-2435641</v>
      </c>
    </row>
    <row r="3242" spans="1:4" x14ac:dyDescent="0.3">
      <c r="A3242" s="42">
        <v>317125</v>
      </c>
      <c r="B3242" s="42">
        <v>16000000</v>
      </c>
      <c r="D3242">
        <f t="shared" si="50"/>
        <v>-15682875</v>
      </c>
    </row>
    <row r="3243" spans="1:4" x14ac:dyDescent="0.3">
      <c r="A3243" s="43">
        <v>146402</v>
      </c>
      <c r="B3243" s="43">
        <v>4000000</v>
      </c>
      <c r="D3243">
        <f t="shared" si="50"/>
        <v>-3853598</v>
      </c>
    </row>
    <row r="3244" spans="1:4" x14ac:dyDescent="0.3">
      <c r="A3244" s="42">
        <v>18469</v>
      </c>
      <c r="B3244" s="42">
        <v>650000</v>
      </c>
      <c r="D3244">
        <f t="shared" si="50"/>
        <v>-631531</v>
      </c>
    </row>
    <row r="3245" spans="1:4" x14ac:dyDescent="0.3">
      <c r="A3245" s="43">
        <v>20262</v>
      </c>
      <c r="B3245" s="43">
        <v>4000000</v>
      </c>
      <c r="D3245">
        <f t="shared" si="50"/>
        <v>-3979738</v>
      </c>
    </row>
    <row r="3246" spans="1:4" x14ac:dyDescent="0.3">
      <c r="A3246" s="42">
        <v>4063</v>
      </c>
      <c r="B3246" s="42">
        <v>4000000</v>
      </c>
      <c r="D3246">
        <f t="shared" si="50"/>
        <v>-3995937</v>
      </c>
    </row>
    <row r="3247" spans="1:4" x14ac:dyDescent="0.3">
      <c r="A3247" s="43">
        <v>198655278</v>
      </c>
      <c r="B3247" s="43">
        <v>3977000</v>
      </c>
      <c r="D3247">
        <f t="shared" si="50"/>
        <v>194678278</v>
      </c>
    </row>
    <row r="3248" spans="1:4" x14ac:dyDescent="0.3">
      <c r="A3248" s="42">
        <v>143653</v>
      </c>
      <c r="B3248" s="42">
        <v>4000000</v>
      </c>
      <c r="D3248">
        <f t="shared" si="50"/>
        <v>-3856347</v>
      </c>
    </row>
    <row r="3249" spans="1:4" x14ac:dyDescent="0.3">
      <c r="A3249" s="43">
        <v>14873</v>
      </c>
      <c r="B3249" s="43">
        <v>3800000</v>
      </c>
      <c r="D3249">
        <f t="shared" si="50"/>
        <v>-3785127</v>
      </c>
    </row>
    <row r="3250" spans="1:4" x14ac:dyDescent="0.3">
      <c r="A3250" s="42">
        <v>8000000</v>
      </c>
      <c r="B3250" s="42">
        <v>3768785</v>
      </c>
      <c r="D3250">
        <f t="shared" si="50"/>
        <v>4231215</v>
      </c>
    </row>
    <row r="3251" spans="1:4" x14ac:dyDescent="0.3">
      <c r="A3251" s="43">
        <v>37606</v>
      </c>
      <c r="B3251" s="43">
        <v>3500000</v>
      </c>
      <c r="D3251">
        <f t="shared" si="50"/>
        <v>-3462394</v>
      </c>
    </row>
    <row r="3252" spans="1:4" x14ac:dyDescent="0.3">
      <c r="A3252" s="42">
        <v>2956000</v>
      </c>
      <c r="B3252" s="42">
        <v>3700000</v>
      </c>
      <c r="D3252">
        <f t="shared" si="50"/>
        <v>-744000</v>
      </c>
    </row>
    <row r="3253" spans="1:4" x14ac:dyDescent="0.3">
      <c r="A3253" s="43">
        <v>19959</v>
      </c>
      <c r="B3253" s="43">
        <v>3800000</v>
      </c>
      <c r="D3253">
        <f t="shared" si="50"/>
        <v>-3780041</v>
      </c>
    </row>
    <row r="3254" spans="1:4" x14ac:dyDescent="0.3">
      <c r="A3254" s="42">
        <v>2706659</v>
      </c>
      <c r="B3254" s="42">
        <v>2000000</v>
      </c>
      <c r="D3254">
        <f t="shared" si="50"/>
        <v>706659</v>
      </c>
    </row>
    <row r="3255" spans="1:4" x14ac:dyDescent="0.3">
      <c r="A3255" s="43">
        <v>45857453</v>
      </c>
      <c r="B3255" s="43">
        <v>3500000</v>
      </c>
      <c r="D3255">
        <f t="shared" si="50"/>
        <v>42357453</v>
      </c>
    </row>
    <row r="3256" spans="1:4" x14ac:dyDescent="0.3">
      <c r="A3256" s="42">
        <v>83400000</v>
      </c>
      <c r="B3256" s="42">
        <v>3500000</v>
      </c>
      <c r="D3256">
        <f t="shared" si="50"/>
        <v>79900000</v>
      </c>
    </row>
    <row r="3257" spans="1:4" x14ac:dyDescent="0.3">
      <c r="A3257" s="43">
        <v>27900000</v>
      </c>
      <c r="B3257" s="43">
        <v>3500000</v>
      </c>
      <c r="D3257">
        <f t="shared" si="50"/>
        <v>24400000</v>
      </c>
    </row>
    <row r="3258" spans="1:4" x14ac:dyDescent="0.3">
      <c r="A3258" s="42">
        <v>27900000</v>
      </c>
      <c r="B3258" s="42">
        <v>3500000</v>
      </c>
      <c r="D3258">
        <f t="shared" si="50"/>
        <v>24400000</v>
      </c>
    </row>
    <row r="3259" spans="1:4" x14ac:dyDescent="0.3">
      <c r="A3259" s="43">
        <v>14000000</v>
      </c>
      <c r="B3259" s="43">
        <v>3500000</v>
      </c>
      <c r="D3259">
        <f t="shared" si="50"/>
        <v>10500000</v>
      </c>
    </row>
    <row r="3260" spans="1:4" x14ac:dyDescent="0.3">
      <c r="A3260" s="42">
        <v>25138292</v>
      </c>
      <c r="B3260" s="42">
        <v>3500000</v>
      </c>
      <c r="D3260">
        <f t="shared" si="50"/>
        <v>21638292</v>
      </c>
    </row>
    <row r="3261" spans="1:4" x14ac:dyDescent="0.3">
      <c r="A3261" s="43">
        <v>10305534</v>
      </c>
      <c r="B3261" s="43">
        <v>3500000</v>
      </c>
      <c r="D3261">
        <f t="shared" si="50"/>
        <v>6805534</v>
      </c>
    </row>
    <row r="3262" spans="1:4" x14ac:dyDescent="0.3">
      <c r="A3262" s="42">
        <v>9449219</v>
      </c>
      <c r="B3262" s="42">
        <v>3500000</v>
      </c>
      <c r="D3262">
        <f t="shared" si="50"/>
        <v>5949219</v>
      </c>
    </row>
    <row r="3263" spans="1:4" x14ac:dyDescent="0.3">
      <c r="A3263" s="43">
        <v>6390032</v>
      </c>
      <c r="B3263" s="43">
        <v>3500000</v>
      </c>
      <c r="D3263">
        <f t="shared" si="50"/>
        <v>2890032</v>
      </c>
    </row>
    <row r="3264" spans="1:4" x14ac:dyDescent="0.3">
      <c r="A3264" s="42">
        <v>20167424</v>
      </c>
      <c r="B3264" s="42">
        <v>2000000</v>
      </c>
      <c r="D3264">
        <f t="shared" si="50"/>
        <v>18167424</v>
      </c>
    </row>
    <row r="3265" spans="1:4" x14ac:dyDescent="0.3">
      <c r="A3265" s="43">
        <v>5923044</v>
      </c>
      <c r="B3265" s="43">
        <v>3600000</v>
      </c>
      <c r="D3265">
        <f t="shared" si="50"/>
        <v>2323044</v>
      </c>
    </row>
    <row r="3266" spans="1:4" x14ac:dyDescent="0.3">
      <c r="A3266" s="42">
        <v>3293258</v>
      </c>
      <c r="B3266" s="42">
        <v>3000000</v>
      </c>
      <c r="D3266">
        <f t="shared" ref="D3266:D3329" si="51">A3266-B3266</f>
        <v>293258</v>
      </c>
    </row>
    <row r="3267" spans="1:4" x14ac:dyDescent="0.3">
      <c r="A3267" s="43">
        <v>886410</v>
      </c>
      <c r="B3267" s="43">
        <v>3500000</v>
      </c>
      <c r="D3267">
        <f t="shared" si="51"/>
        <v>-2613590</v>
      </c>
    </row>
    <row r="3268" spans="1:4" x14ac:dyDescent="0.3">
      <c r="A3268" s="42">
        <v>252652</v>
      </c>
      <c r="B3268" s="42">
        <v>19900000</v>
      </c>
      <c r="D3268">
        <f t="shared" si="51"/>
        <v>-19647348</v>
      </c>
    </row>
    <row r="3269" spans="1:4" x14ac:dyDescent="0.3">
      <c r="A3269" s="43">
        <v>220234</v>
      </c>
      <c r="B3269" s="43">
        <v>3500000</v>
      </c>
      <c r="D3269">
        <f t="shared" si="51"/>
        <v>-3279766</v>
      </c>
    </row>
    <row r="3270" spans="1:4" x14ac:dyDescent="0.3">
      <c r="A3270" s="42">
        <v>96793</v>
      </c>
      <c r="B3270" s="42">
        <v>3500000</v>
      </c>
      <c r="D3270">
        <f t="shared" si="51"/>
        <v>-3403207</v>
      </c>
    </row>
    <row r="3271" spans="1:4" x14ac:dyDescent="0.3">
      <c r="A3271" s="43">
        <v>123777</v>
      </c>
      <c r="B3271" s="43">
        <v>3500000</v>
      </c>
      <c r="D3271">
        <f t="shared" si="51"/>
        <v>-3376223</v>
      </c>
    </row>
    <row r="3272" spans="1:4" x14ac:dyDescent="0.3">
      <c r="A3272" s="42">
        <v>29233</v>
      </c>
      <c r="B3272" s="42">
        <v>3500000</v>
      </c>
      <c r="D3272">
        <f t="shared" si="51"/>
        <v>-3470767</v>
      </c>
    </row>
    <row r="3273" spans="1:4" x14ac:dyDescent="0.3">
      <c r="A3273" s="43">
        <v>77413017</v>
      </c>
      <c r="B3273" s="43">
        <v>8000000</v>
      </c>
      <c r="D3273">
        <f t="shared" si="51"/>
        <v>69413017</v>
      </c>
    </row>
    <row r="3274" spans="1:4" x14ac:dyDescent="0.3">
      <c r="A3274" s="42">
        <v>5354039</v>
      </c>
      <c r="B3274" s="42">
        <v>3500000</v>
      </c>
      <c r="D3274">
        <f t="shared" si="51"/>
        <v>1854039</v>
      </c>
    </row>
    <row r="3275" spans="1:4" x14ac:dyDescent="0.3">
      <c r="A3275" s="43">
        <v>2926565</v>
      </c>
      <c r="B3275" s="43">
        <v>3000000</v>
      </c>
      <c r="D3275">
        <f t="shared" si="51"/>
        <v>-73435</v>
      </c>
    </row>
    <row r="3276" spans="1:4" x14ac:dyDescent="0.3">
      <c r="A3276" s="42">
        <v>13092000</v>
      </c>
      <c r="B3276" s="42">
        <v>3300000</v>
      </c>
      <c r="D3276">
        <f t="shared" si="51"/>
        <v>9792000</v>
      </c>
    </row>
    <row r="3277" spans="1:4" x14ac:dyDescent="0.3">
      <c r="A3277" s="43">
        <v>7563397</v>
      </c>
      <c r="B3277" s="43">
        <v>3300000</v>
      </c>
      <c r="D3277">
        <f t="shared" si="51"/>
        <v>4263397</v>
      </c>
    </row>
    <row r="3278" spans="1:4" x14ac:dyDescent="0.3">
      <c r="A3278" s="42">
        <v>104257</v>
      </c>
      <c r="B3278" s="42">
        <v>2200000</v>
      </c>
      <c r="D3278">
        <f t="shared" si="51"/>
        <v>-2095743</v>
      </c>
    </row>
    <row r="3279" spans="1:4" x14ac:dyDescent="0.3">
      <c r="A3279" s="43">
        <v>610968</v>
      </c>
      <c r="B3279" s="43">
        <v>3800000</v>
      </c>
      <c r="D3279">
        <f t="shared" si="51"/>
        <v>-3189032</v>
      </c>
    </row>
    <row r="3280" spans="1:4" x14ac:dyDescent="0.3">
      <c r="A3280" s="42">
        <v>8108247</v>
      </c>
      <c r="B3280" s="42">
        <v>3300000</v>
      </c>
      <c r="D3280">
        <f t="shared" si="51"/>
        <v>4808247</v>
      </c>
    </row>
    <row r="3281" spans="1:4" x14ac:dyDescent="0.3">
      <c r="A3281" s="43">
        <v>7680</v>
      </c>
      <c r="B3281" s="43">
        <v>2000000</v>
      </c>
      <c r="D3281">
        <f t="shared" si="51"/>
        <v>-1992320</v>
      </c>
    </row>
    <row r="3282" spans="1:4" x14ac:dyDescent="0.3">
      <c r="A3282" s="42">
        <v>6517198</v>
      </c>
      <c r="B3282" s="42">
        <v>3000000</v>
      </c>
      <c r="D3282">
        <f t="shared" si="51"/>
        <v>3517198</v>
      </c>
    </row>
    <row r="3283" spans="1:4" x14ac:dyDescent="0.3">
      <c r="A3283" s="43">
        <v>5776314</v>
      </c>
      <c r="B3283" s="43">
        <v>3200000</v>
      </c>
      <c r="D3283">
        <f t="shared" si="51"/>
        <v>2576314</v>
      </c>
    </row>
    <row r="3284" spans="1:4" x14ac:dyDescent="0.3">
      <c r="A3284" s="42">
        <v>141600000</v>
      </c>
      <c r="B3284" s="42">
        <v>3000000</v>
      </c>
      <c r="D3284">
        <f t="shared" si="51"/>
        <v>138600000</v>
      </c>
    </row>
    <row r="3285" spans="1:4" x14ac:dyDescent="0.3">
      <c r="A3285" s="43">
        <v>51100000</v>
      </c>
      <c r="B3285" s="43">
        <v>3000000</v>
      </c>
      <c r="D3285">
        <f t="shared" si="51"/>
        <v>48100000</v>
      </c>
    </row>
    <row r="3286" spans="1:4" x14ac:dyDescent="0.3">
      <c r="A3286" s="42">
        <v>16501785</v>
      </c>
      <c r="B3286" s="42">
        <v>3500000</v>
      </c>
      <c r="D3286">
        <f t="shared" si="51"/>
        <v>13001785</v>
      </c>
    </row>
    <row r="3287" spans="1:4" x14ac:dyDescent="0.3">
      <c r="A3287" s="43">
        <v>38168022</v>
      </c>
      <c r="B3287" s="43">
        <v>3000000</v>
      </c>
      <c r="D3287">
        <f t="shared" si="51"/>
        <v>35168022</v>
      </c>
    </row>
    <row r="3288" spans="1:4" x14ac:dyDescent="0.3">
      <c r="A3288" s="42">
        <v>84749884</v>
      </c>
      <c r="B3288" s="42">
        <v>3000000</v>
      </c>
      <c r="D3288">
        <f t="shared" si="51"/>
        <v>81749884</v>
      </c>
    </row>
    <row r="3289" spans="1:4" x14ac:dyDescent="0.3">
      <c r="A3289" s="43">
        <v>24788807</v>
      </c>
      <c r="B3289" s="43">
        <v>3000000</v>
      </c>
      <c r="D3289">
        <f t="shared" si="51"/>
        <v>21788807</v>
      </c>
    </row>
    <row r="3290" spans="1:4" x14ac:dyDescent="0.3">
      <c r="A3290" s="42">
        <v>21244913</v>
      </c>
      <c r="B3290" s="42">
        <v>4000000</v>
      </c>
      <c r="D3290">
        <f t="shared" si="51"/>
        <v>17244913</v>
      </c>
    </row>
    <row r="3291" spans="1:4" x14ac:dyDescent="0.3">
      <c r="A3291" s="43">
        <v>30000000</v>
      </c>
      <c r="B3291" s="43">
        <v>2200000</v>
      </c>
      <c r="D3291">
        <f t="shared" si="51"/>
        <v>27800000</v>
      </c>
    </row>
    <row r="3292" spans="1:4" x14ac:dyDescent="0.3">
      <c r="A3292" s="42">
        <v>20966644</v>
      </c>
      <c r="B3292" s="42">
        <v>3000000</v>
      </c>
      <c r="D3292">
        <f t="shared" si="51"/>
        <v>17966644</v>
      </c>
    </row>
    <row r="3293" spans="1:4" x14ac:dyDescent="0.3">
      <c r="A3293" s="43">
        <v>64423650</v>
      </c>
      <c r="B3293" s="43">
        <v>3000000</v>
      </c>
      <c r="D3293">
        <f t="shared" si="51"/>
        <v>61423650</v>
      </c>
    </row>
    <row r="3294" spans="1:4" x14ac:dyDescent="0.3">
      <c r="A3294" s="42">
        <v>48056940</v>
      </c>
      <c r="B3294" s="42">
        <v>3000000</v>
      </c>
      <c r="D3294">
        <f t="shared" si="51"/>
        <v>45056940</v>
      </c>
    </row>
    <row r="3295" spans="1:4" x14ac:dyDescent="0.3">
      <c r="A3295" s="43">
        <v>19184015</v>
      </c>
      <c r="B3295" s="43">
        <v>3000000</v>
      </c>
      <c r="D3295">
        <f t="shared" si="51"/>
        <v>16184015</v>
      </c>
    </row>
    <row r="3296" spans="1:4" x14ac:dyDescent="0.3">
      <c r="A3296" s="42">
        <v>24629916</v>
      </c>
      <c r="B3296" s="42">
        <v>3000000</v>
      </c>
      <c r="D3296">
        <f t="shared" si="51"/>
        <v>21629916</v>
      </c>
    </row>
    <row r="3297" spans="1:4" x14ac:dyDescent="0.3">
      <c r="A3297" s="43">
        <v>19472057</v>
      </c>
      <c r="B3297" s="43">
        <v>3000000</v>
      </c>
      <c r="D3297">
        <f t="shared" si="51"/>
        <v>16472057</v>
      </c>
    </row>
    <row r="3298" spans="1:4" x14ac:dyDescent="0.3">
      <c r="A3298" s="42">
        <v>27200000</v>
      </c>
      <c r="B3298" s="42">
        <v>3000000</v>
      </c>
      <c r="D3298">
        <f t="shared" si="51"/>
        <v>24200000</v>
      </c>
    </row>
    <row r="3299" spans="1:4" x14ac:dyDescent="0.3">
      <c r="A3299" s="43">
        <v>15369573</v>
      </c>
      <c r="B3299" s="43">
        <v>3000000</v>
      </c>
      <c r="D3299">
        <f t="shared" si="51"/>
        <v>12369573</v>
      </c>
    </row>
    <row r="3300" spans="1:4" x14ac:dyDescent="0.3">
      <c r="A3300" s="42">
        <v>15935068</v>
      </c>
      <c r="B3300" s="42">
        <v>2500000</v>
      </c>
      <c r="D3300">
        <f t="shared" si="51"/>
        <v>13435068</v>
      </c>
    </row>
    <row r="3301" spans="1:4" x14ac:dyDescent="0.3">
      <c r="A3301" s="43">
        <v>11694528</v>
      </c>
      <c r="B3301" s="43">
        <v>3000000</v>
      </c>
      <c r="D3301">
        <f t="shared" si="51"/>
        <v>8694528</v>
      </c>
    </row>
    <row r="3302" spans="1:4" x14ac:dyDescent="0.3">
      <c r="A3302" s="42">
        <v>10017041</v>
      </c>
      <c r="B3302" s="42">
        <v>3000000</v>
      </c>
      <c r="D3302">
        <f t="shared" si="51"/>
        <v>7017041</v>
      </c>
    </row>
    <row r="3303" spans="1:4" x14ac:dyDescent="0.3">
      <c r="A3303" s="43">
        <v>7059537</v>
      </c>
      <c r="B3303" s="43">
        <v>3000000</v>
      </c>
      <c r="D3303">
        <f t="shared" si="51"/>
        <v>4059537</v>
      </c>
    </row>
    <row r="3304" spans="1:4" x14ac:dyDescent="0.3">
      <c r="A3304" s="42">
        <v>8114507</v>
      </c>
      <c r="B3304" s="42">
        <v>3000000</v>
      </c>
      <c r="D3304">
        <f t="shared" si="51"/>
        <v>5114507</v>
      </c>
    </row>
    <row r="3305" spans="1:4" x14ac:dyDescent="0.3">
      <c r="A3305" s="43">
        <v>7888703</v>
      </c>
      <c r="B3305" s="43">
        <v>3000000</v>
      </c>
      <c r="D3305">
        <f t="shared" si="51"/>
        <v>4888703</v>
      </c>
    </row>
    <row r="3306" spans="1:4" x14ac:dyDescent="0.3">
      <c r="A3306" s="42">
        <v>7282851</v>
      </c>
      <c r="B3306" s="42">
        <v>3000000</v>
      </c>
      <c r="D3306">
        <f t="shared" si="51"/>
        <v>4282851</v>
      </c>
    </row>
    <row r="3307" spans="1:4" x14ac:dyDescent="0.3">
      <c r="A3307" s="43">
        <v>5844929</v>
      </c>
      <c r="B3307" s="43">
        <v>3000000</v>
      </c>
      <c r="D3307">
        <f t="shared" si="51"/>
        <v>2844929</v>
      </c>
    </row>
    <row r="3308" spans="1:4" x14ac:dyDescent="0.3">
      <c r="A3308" s="42">
        <v>4170647</v>
      </c>
      <c r="B3308" s="42">
        <v>1900000</v>
      </c>
      <c r="D3308">
        <f t="shared" si="51"/>
        <v>2270647</v>
      </c>
    </row>
    <row r="3309" spans="1:4" x14ac:dyDescent="0.3">
      <c r="A3309" s="43">
        <v>4142507</v>
      </c>
      <c r="B3309" s="43">
        <v>3000000</v>
      </c>
      <c r="D3309">
        <f t="shared" si="51"/>
        <v>1142507</v>
      </c>
    </row>
    <row r="3310" spans="1:4" x14ac:dyDescent="0.3">
      <c r="A3310" s="42">
        <v>4109095</v>
      </c>
      <c r="B3310" s="42">
        <v>3000000</v>
      </c>
      <c r="D3310">
        <f t="shared" si="51"/>
        <v>1109095</v>
      </c>
    </row>
    <row r="3311" spans="1:4" x14ac:dyDescent="0.3">
      <c r="A3311" s="43">
        <v>3902679</v>
      </c>
      <c r="B3311" s="43">
        <v>3000000</v>
      </c>
      <c r="D3311">
        <f t="shared" si="51"/>
        <v>902679</v>
      </c>
    </row>
    <row r="3312" spans="1:4" x14ac:dyDescent="0.3">
      <c r="A3312" s="42">
        <v>3559990</v>
      </c>
      <c r="B3312" s="42">
        <v>3000000</v>
      </c>
      <c r="D3312">
        <f t="shared" si="51"/>
        <v>559990</v>
      </c>
    </row>
    <row r="3313" spans="1:4" x14ac:dyDescent="0.3">
      <c r="A3313" s="43">
        <v>3287435</v>
      </c>
      <c r="B3313" s="43">
        <v>4500000</v>
      </c>
      <c r="D3313">
        <f t="shared" si="51"/>
        <v>-1212565</v>
      </c>
    </row>
    <row r="3314" spans="1:4" x14ac:dyDescent="0.3">
      <c r="A3314" s="42">
        <v>3071947</v>
      </c>
      <c r="B3314" s="42">
        <v>3500000</v>
      </c>
      <c r="D3314">
        <f t="shared" si="51"/>
        <v>-428053</v>
      </c>
    </row>
    <row r="3315" spans="1:4" x14ac:dyDescent="0.3">
      <c r="A3315" s="43">
        <v>2961991</v>
      </c>
      <c r="B3315" s="43">
        <v>3300000</v>
      </c>
      <c r="D3315">
        <f t="shared" si="51"/>
        <v>-338009</v>
      </c>
    </row>
    <row r="3316" spans="1:4" x14ac:dyDescent="0.3">
      <c r="A3316" s="42">
        <v>3000000</v>
      </c>
      <c r="B3316" s="42">
        <v>3000000</v>
      </c>
      <c r="D3316">
        <f t="shared" si="51"/>
        <v>0</v>
      </c>
    </row>
    <row r="3317" spans="1:4" x14ac:dyDescent="0.3">
      <c r="A3317" s="43">
        <v>2223990</v>
      </c>
      <c r="B3317" s="43">
        <v>3000000</v>
      </c>
      <c r="D3317">
        <f t="shared" si="51"/>
        <v>-776010</v>
      </c>
    </row>
    <row r="3318" spans="1:4" x14ac:dyDescent="0.3">
      <c r="A3318" s="42">
        <v>1821983</v>
      </c>
      <c r="B3318" s="42">
        <v>3000000</v>
      </c>
      <c r="D3318">
        <f t="shared" si="51"/>
        <v>-1178017</v>
      </c>
    </row>
    <row r="3319" spans="1:4" x14ac:dyDescent="0.3">
      <c r="A3319" s="43">
        <v>2181290</v>
      </c>
      <c r="B3319" s="43">
        <v>3000000</v>
      </c>
      <c r="D3319">
        <f t="shared" si="51"/>
        <v>-818710</v>
      </c>
    </row>
    <row r="3320" spans="1:4" x14ac:dyDescent="0.3">
      <c r="A3320" s="42">
        <v>2848578</v>
      </c>
      <c r="B3320" s="42">
        <v>3500000</v>
      </c>
      <c r="D3320">
        <f t="shared" si="51"/>
        <v>-651422</v>
      </c>
    </row>
    <row r="3321" spans="1:4" x14ac:dyDescent="0.3">
      <c r="A3321" s="43">
        <v>703002</v>
      </c>
      <c r="B3321" s="43">
        <v>3000000</v>
      </c>
      <c r="D3321">
        <f t="shared" si="51"/>
        <v>-2296998</v>
      </c>
    </row>
    <row r="3322" spans="1:4" x14ac:dyDescent="0.3">
      <c r="A3322" s="42">
        <v>3105269</v>
      </c>
      <c r="B3322" s="42">
        <v>3000000</v>
      </c>
      <c r="D3322">
        <f t="shared" si="51"/>
        <v>105269</v>
      </c>
    </row>
    <row r="3323" spans="1:4" x14ac:dyDescent="0.3">
      <c r="A3323" s="43">
        <v>418268</v>
      </c>
      <c r="B3323" s="43">
        <v>3000000</v>
      </c>
      <c r="D3323">
        <f t="shared" si="51"/>
        <v>-2581732</v>
      </c>
    </row>
    <row r="3324" spans="1:4" x14ac:dyDescent="0.3">
      <c r="A3324" s="42">
        <v>200803</v>
      </c>
      <c r="B3324" s="42">
        <v>3000000</v>
      </c>
      <c r="D3324">
        <f t="shared" si="51"/>
        <v>-2799197</v>
      </c>
    </row>
    <row r="3325" spans="1:4" x14ac:dyDescent="0.3">
      <c r="A3325" s="43">
        <v>95016</v>
      </c>
      <c r="B3325" s="43">
        <v>2700000</v>
      </c>
      <c r="D3325">
        <f t="shared" si="51"/>
        <v>-2604984</v>
      </c>
    </row>
    <row r="3326" spans="1:4" x14ac:dyDescent="0.3">
      <c r="A3326" s="42">
        <v>73678</v>
      </c>
      <c r="B3326" s="42">
        <v>3000000</v>
      </c>
      <c r="D3326">
        <f t="shared" si="51"/>
        <v>-2926322</v>
      </c>
    </row>
    <row r="3327" spans="1:4" x14ac:dyDescent="0.3">
      <c r="A3327" s="43">
        <v>143000</v>
      </c>
      <c r="B3327" s="43">
        <v>5000000</v>
      </c>
      <c r="D3327">
        <f t="shared" si="51"/>
        <v>-4857000</v>
      </c>
    </row>
    <row r="3328" spans="1:4" x14ac:dyDescent="0.3">
      <c r="A3328" s="42">
        <v>39852</v>
      </c>
      <c r="B3328" s="42">
        <v>3000000</v>
      </c>
      <c r="D3328">
        <f t="shared" si="51"/>
        <v>-2960148</v>
      </c>
    </row>
    <row r="3329" spans="1:4" x14ac:dyDescent="0.3">
      <c r="A3329" s="43">
        <v>22000</v>
      </c>
      <c r="B3329" s="43">
        <v>3000000</v>
      </c>
      <c r="D3329">
        <f t="shared" si="51"/>
        <v>-2978000</v>
      </c>
    </row>
    <row r="3330" spans="1:4" x14ac:dyDescent="0.3">
      <c r="A3330" s="42">
        <v>5005</v>
      </c>
      <c r="B3330" s="42">
        <v>3000000</v>
      </c>
      <c r="D3330">
        <f t="shared" ref="D3330:D3393" si="52">A3330-B3330</f>
        <v>-2994995</v>
      </c>
    </row>
    <row r="3331" spans="1:4" x14ac:dyDescent="0.3">
      <c r="A3331" s="43">
        <v>5595428</v>
      </c>
      <c r="B3331" s="43">
        <v>2900000</v>
      </c>
      <c r="D3331">
        <f t="shared" si="52"/>
        <v>2695428</v>
      </c>
    </row>
    <row r="3332" spans="1:4" x14ac:dyDescent="0.3">
      <c r="A3332" s="42">
        <v>3123749</v>
      </c>
      <c r="B3332" s="42">
        <v>1500000</v>
      </c>
      <c r="D3332">
        <f t="shared" si="52"/>
        <v>1623749</v>
      </c>
    </row>
    <row r="3333" spans="1:4" x14ac:dyDescent="0.3">
      <c r="A3333" s="43">
        <v>100675</v>
      </c>
      <c r="B3333" s="43">
        <v>3000000</v>
      </c>
      <c r="D3333">
        <f t="shared" si="52"/>
        <v>-2899325</v>
      </c>
    </row>
    <row r="3334" spans="1:4" x14ac:dyDescent="0.3">
      <c r="A3334" s="42">
        <v>3645438</v>
      </c>
      <c r="B3334" s="42">
        <v>2200000</v>
      </c>
      <c r="D3334">
        <f t="shared" si="52"/>
        <v>1445438</v>
      </c>
    </row>
    <row r="3335" spans="1:4" x14ac:dyDescent="0.3">
      <c r="A3335" s="43">
        <v>22201636</v>
      </c>
      <c r="B3335" s="43">
        <v>8000000</v>
      </c>
      <c r="D3335">
        <f t="shared" si="52"/>
        <v>14201636</v>
      </c>
    </row>
    <row r="3336" spans="1:4" x14ac:dyDescent="0.3">
      <c r="A3336" s="42">
        <v>19170001</v>
      </c>
      <c r="B3336" s="42">
        <v>2800000</v>
      </c>
      <c r="D3336">
        <f t="shared" si="52"/>
        <v>16370001</v>
      </c>
    </row>
    <row r="3337" spans="1:4" x14ac:dyDescent="0.3">
      <c r="A3337" s="43">
        <v>22202612</v>
      </c>
      <c r="B3337" s="43">
        <v>2800000</v>
      </c>
      <c r="D3337">
        <f t="shared" si="52"/>
        <v>19402612</v>
      </c>
    </row>
    <row r="3338" spans="1:4" x14ac:dyDescent="0.3">
      <c r="A3338" s="42">
        <v>86300000</v>
      </c>
      <c r="B3338" s="42">
        <v>2800000</v>
      </c>
      <c r="D3338">
        <f t="shared" si="52"/>
        <v>83500000</v>
      </c>
    </row>
    <row r="3339" spans="1:4" x14ac:dyDescent="0.3">
      <c r="A3339" s="43">
        <v>952620</v>
      </c>
      <c r="B3339" s="43">
        <v>2000000</v>
      </c>
      <c r="D3339">
        <f t="shared" si="52"/>
        <v>-1047380</v>
      </c>
    </row>
    <row r="3340" spans="1:4" x14ac:dyDescent="0.3">
      <c r="A3340" s="42">
        <v>9054736</v>
      </c>
      <c r="B3340" s="42">
        <v>2700000</v>
      </c>
      <c r="D3340">
        <f t="shared" si="52"/>
        <v>6354736</v>
      </c>
    </row>
    <row r="3341" spans="1:4" x14ac:dyDescent="0.3">
      <c r="A3341" s="43">
        <v>119500000</v>
      </c>
      <c r="B3341" s="43">
        <v>2600000</v>
      </c>
      <c r="D3341">
        <f t="shared" si="52"/>
        <v>116900000</v>
      </c>
    </row>
    <row r="3342" spans="1:4" x14ac:dyDescent="0.3">
      <c r="A3342" s="42">
        <v>32600000</v>
      </c>
      <c r="B3342" s="42">
        <v>1800000</v>
      </c>
      <c r="D3342">
        <f t="shared" si="52"/>
        <v>30800000</v>
      </c>
    </row>
    <row r="3343" spans="1:4" x14ac:dyDescent="0.3">
      <c r="A3343" s="43">
        <v>3130592</v>
      </c>
      <c r="B3343" s="43">
        <v>2600000</v>
      </c>
      <c r="D3343">
        <f t="shared" si="52"/>
        <v>530592</v>
      </c>
    </row>
    <row r="3344" spans="1:4" x14ac:dyDescent="0.3">
      <c r="A3344" s="42">
        <v>475000</v>
      </c>
      <c r="B3344" s="42">
        <v>2800000</v>
      </c>
      <c r="D3344">
        <f t="shared" si="52"/>
        <v>-2325000</v>
      </c>
    </row>
    <row r="3345" spans="1:4" x14ac:dyDescent="0.3">
      <c r="A3345" s="43">
        <v>38108</v>
      </c>
      <c r="B3345" s="43">
        <v>2600000</v>
      </c>
      <c r="D3345">
        <f t="shared" si="52"/>
        <v>-2561892</v>
      </c>
    </row>
    <row r="3346" spans="1:4" x14ac:dyDescent="0.3">
      <c r="A3346" s="42">
        <v>40041683</v>
      </c>
      <c r="B3346" s="42">
        <v>2500000</v>
      </c>
      <c r="D3346">
        <f t="shared" si="52"/>
        <v>37541683</v>
      </c>
    </row>
    <row r="3347" spans="1:4" x14ac:dyDescent="0.3">
      <c r="A3347" s="43">
        <v>33349949</v>
      </c>
      <c r="B3347" s="43">
        <v>2500000</v>
      </c>
      <c r="D3347">
        <f t="shared" si="52"/>
        <v>30849949</v>
      </c>
    </row>
    <row r="3348" spans="1:4" x14ac:dyDescent="0.3">
      <c r="A3348" s="42">
        <v>25809813</v>
      </c>
      <c r="B3348" s="42">
        <v>26000000</v>
      </c>
      <c r="D3348">
        <f t="shared" si="52"/>
        <v>-190187</v>
      </c>
    </row>
    <row r="3349" spans="1:4" x14ac:dyDescent="0.3">
      <c r="A3349" s="43">
        <v>14400000</v>
      </c>
      <c r="B3349" s="43">
        <v>2500000</v>
      </c>
      <c r="D3349">
        <f t="shared" si="52"/>
        <v>11900000</v>
      </c>
    </row>
    <row r="3350" spans="1:4" x14ac:dyDescent="0.3">
      <c r="A3350" s="42">
        <v>32230907</v>
      </c>
      <c r="B3350" s="42">
        <v>2500000</v>
      </c>
      <c r="D3350">
        <f t="shared" si="52"/>
        <v>29730907</v>
      </c>
    </row>
    <row r="3351" spans="1:4" x14ac:dyDescent="0.3">
      <c r="A3351" s="43">
        <v>6401336</v>
      </c>
      <c r="B3351" s="43">
        <v>2500000</v>
      </c>
      <c r="D3351">
        <f t="shared" si="52"/>
        <v>3901336</v>
      </c>
    </row>
    <row r="3352" spans="1:4" x14ac:dyDescent="0.3">
      <c r="A3352" s="42">
        <v>26781723</v>
      </c>
      <c r="B3352" s="42">
        <v>2500000</v>
      </c>
      <c r="D3352">
        <f t="shared" si="52"/>
        <v>24281723</v>
      </c>
    </row>
    <row r="3353" spans="1:4" x14ac:dyDescent="0.3">
      <c r="A3353" s="43">
        <v>5400000</v>
      </c>
      <c r="B3353" s="43">
        <v>2500000</v>
      </c>
      <c r="D3353">
        <f t="shared" si="52"/>
        <v>2900000</v>
      </c>
    </row>
    <row r="3354" spans="1:4" x14ac:dyDescent="0.3">
      <c r="A3354" s="42">
        <v>1282084</v>
      </c>
      <c r="B3354" s="42">
        <v>2500000</v>
      </c>
      <c r="D3354">
        <f t="shared" si="52"/>
        <v>-1217916</v>
      </c>
    </row>
    <row r="3355" spans="1:4" x14ac:dyDescent="0.3">
      <c r="A3355" s="43">
        <v>3325638</v>
      </c>
      <c r="B3355" s="43">
        <v>2500000</v>
      </c>
      <c r="D3355">
        <f t="shared" si="52"/>
        <v>825638</v>
      </c>
    </row>
    <row r="3356" spans="1:4" x14ac:dyDescent="0.3">
      <c r="A3356" s="42">
        <v>395592</v>
      </c>
      <c r="B3356" s="42">
        <v>2000000</v>
      </c>
      <c r="D3356">
        <f t="shared" si="52"/>
        <v>-1604408</v>
      </c>
    </row>
    <row r="3357" spans="1:4" x14ac:dyDescent="0.3">
      <c r="A3357" s="43">
        <v>333658</v>
      </c>
      <c r="B3357" s="43">
        <v>34000</v>
      </c>
      <c r="D3357">
        <f t="shared" si="52"/>
        <v>299658</v>
      </c>
    </row>
    <row r="3358" spans="1:4" x14ac:dyDescent="0.3">
      <c r="A3358" s="42">
        <v>12995673</v>
      </c>
      <c r="B3358" s="42">
        <v>2500000</v>
      </c>
      <c r="D3358">
        <f t="shared" si="52"/>
        <v>10495673</v>
      </c>
    </row>
    <row r="3359" spans="1:4" x14ac:dyDescent="0.3">
      <c r="A3359" s="43">
        <v>173783</v>
      </c>
      <c r="B3359" s="43">
        <v>2500000</v>
      </c>
      <c r="D3359">
        <f t="shared" si="52"/>
        <v>-2326217</v>
      </c>
    </row>
    <row r="3360" spans="1:4" x14ac:dyDescent="0.3">
      <c r="A3360" s="42">
        <v>118666</v>
      </c>
      <c r="B3360" s="42">
        <v>2500000</v>
      </c>
      <c r="D3360">
        <f t="shared" si="52"/>
        <v>-2381334</v>
      </c>
    </row>
    <row r="3361" spans="1:4" x14ac:dyDescent="0.3">
      <c r="A3361" s="43">
        <v>71904</v>
      </c>
      <c r="B3361" s="43">
        <v>2500000</v>
      </c>
      <c r="D3361">
        <f t="shared" si="52"/>
        <v>-2428096</v>
      </c>
    </row>
    <row r="3362" spans="1:4" x14ac:dyDescent="0.3">
      <c r="A3362" s="42">
        <v>99851</v>
      </c>
      <c r="B3362" s="42">
        <v>2500000</v>
      </c>
      <c r="D3362">
        <f t="shared" si="52"/>
        <v>-2400149</v>
      </c>
    </row>
    <row r="3363" spans="1:4" x14ac:dyDescent="0.3">
      <c r="A3363" s="43">
        <v>115504</v>
      </c>
      <c r="B3363" s="43">
        <v>14000000</v>
      </c>
      <c r="D3363">
        <f t="shared" si="52"/>
        <v>-13884496</v>
      </c>
    </row>
    <row r="3364" spans="1:4" x14ac:dyDescent="0.3">
      <c r="A3364" s="42">
        <v>5725</v>
      </c>
      <c r="B3364" s="42">
        <v>8400000</v>
      </c>
      <c r="D3364">
        <f t="shared" si="52"/>
        <v>-8394275</v>
      </c>
    </row>
    <row r="3365" spans="1:4" x14ac:dyDescent="0.3">
      <c r="A3365" s="43">
        <v>75727</v>
      </c>
      <c r="B3365" s="43">
        <v>2500000</v>
      </c>
      <c r="D3365">
        <f t="shared" si="52"/>
        <v>-2424273</v>
      </c>
    </row>
    <row r="3366" spans="1:4" x14ac:dyDescent="0.3">
      <c r="A3366" s="42">
        <v>322157</v>
      </c>
      <c r="B3366" s="42">
        <v>2500000</v>
      </c>
      <c r="D3366">
        <f t="shared" si="52"/>
        <v>-2177843</v>
      </c>
    </row>
    <row r="3367" spans="1:4" x14ac:dyDescent="0.3">
      <c r="A3367" s="43">
        <v>5731103</v>
      </c>
      <c r="B3367" s="43">
        <v>2400000</v>
      </c>
      <c r="D3367">
        <f t="shared" si="52"/>
        <v>3331103</v>
      </c>
    </row>
    <row r="3368" spans="1:4" x14ac:dyDescent="0.3">
      <c r="A3368" s="42">
        <v>978908</v>
      </c>
      <c r="B3368" s="42">
        <v>2400000</v>
      </c>
      <c r="D3368">
        <f t="shared" si="52"/>
        <v>-1421092</v>
      </c>
    </row>
    <row r="3369" spans="1:4" x14ac:dyDescent="0.3">
      <c r="A3369" s="43">
        <v>327919</v>
      </c>
      <c r="B3369" s="43">
        <v>1500000</v>
      </c>
      <c r="D3369">
        <f t="shared" si="52"/>
        <v>-1172081</v>
      </c>
    </row>
    <row r="3370" spans="1:4" x14ac:dyDescent="0.3">
      <c r="A3370" s="42">
        <v>178739</v>
      </c>
      <c r="B3370" s="42">
        <v>2450000</v>
      </c>
      <c r="D3370">
        <f t="shared" si="52"/>
        <v>-2271261</v>
      </c>
    </row>
    <row r="3371" spans="1:4" x14ac:dyDescent="0.3">
      <c r="A3371" s="43">
        <v>76400000</v>
      </c>
      <c r="B3371" s="43">
        <v>2280000</v>
      </c>
      <c r="D3371">
        <f t="shared" si="52"/>
        <v>74120000</v>
      </c>
    </row>
    <row r="3372" spans="1:4" x14ac:dyDescent="0.3">
      <c r="A3372" s="42">
        <v>36200000</v>
      </c>
      <c r="B3372" s="42">
        <v>4000000</v>
      </c>
      <c r="D3372">
        <f t="shared" si="52"/>
        <v>32200000</v>
      </c>
    </row>
    <row r="3373" spans="1:4" x14ac:dyDescent="0.3">
      <c r="A3373" s="43">
        <v>21300000</v>
      </c>
      <c r="B3373" s="43">
        <v>2200000</v>
      </c>
      <c r="D3373">
        <f t="shared" si="52"/>
        <v>19100000</v>
      </c>
    </row>
    <row r="3374" spans="1:4" x14ac:dyDescent="0.3">
      <c r="A3374" s="42">
        <v>379643</v>
      </c>
      <c r="B3374" s="42">
        <v>2200000</v>
      </c>
      <c r="D3374">
        <f t="shared" si="52"/>
        <v>-1820357</v>
      </c>
    </row>
    <row r="3375" spans="1:4" x14ac:dyDescent="0.3">
      <c r="A3375" s="43">
        <v>12985267</v>
      </c>
      <c r="B3375" s="43">
        <v>2300000</v>
      </c>
      <c r="D3375">
        <f t="shared" si="52"/>
        <v>10685267</v>
      </c>
    </row>
    <row r="3376" spans="1:4" x14ac:dyDescent="0.3">
      <c r="A3376" s="42">
        <v>23650000</v>
      </c>
      <c r="B3376" s="42">
        <v>2100000</v>
      </c>
      <c r="D3376">
        <f t="shared" si="52"/>
        <v>21550000</v>
      </c>
    </row>
    <row r="3377" spans="1:4" x14ac:dyDescent="0.3">
      <c r="A3377" s="43">
        <v>313436</v>
      </c>
      <c r="B3377" s="43">
        <v>15500000</v>
      </c>
      <c r="D3377">
        <f t="shared" si="52"/>
        <v>-15186564</v>
      </c>
    </row>
    <row r="3378" spans="1:4" x14ac:dyDescent="0.3">
      <c r="A3378" s="42">
        <v>3330</v>
      </c>
      <c r="B3378" s="42">
        <v>2100000</v>
      </c>
      <c r="D3378">
        <f t="shared" si="52"/>
        <v>-2096670</v>
      </c>
    </row>
    <row r="3379" spans="1:4" x14ac:dyDescent="0.3">
      <c r="A3379" s="43">
        <v>24800000</v>
      </c>
      <c r="B3379" s="43">
        <v>2000000</v>
      </c>
      <c r="D3379">
        <f t="shared" si="52"/>
        <v>22800000</v>
      </c>
    </row>
    <row r="3380" spans="1:4" x14ac:dyDescent="0.3">
      <c r="A3380" s="42">
        <v>792966</v>
      </c>
      <c r="B3380" s="42">
        <v>2300000</v>
      </c>
      <c r="D3380">
        <f t="shared" si="52"/>
        <v>-1507034</v>
      </c>
    </row>
    <row r="3381" spans="1:4" x14ac:dyDescent="0.3">
      <c r="A3381" s="43">
        <v>14673301</v>
      </c>
      <c r="B3381" s="43">
        <v>2000000</v>
      </c>
      <c r="D3381">
        <f t="shared" si="52"/>
        <v>12673301</v>
      </c>
    </row>
    <row r="3382" spans="1:4" x14ac:dyDescent="0.3">
      <c r="A3382" s="42">
        <v>9003011</v>
      </c>
      <c r="B3382" s="42">
        <v>2000000</v>
      </c>
      <c r="D3382">
        <f t="shared" si="52"/>
        <v>7003011</v>
      </c>
    </row>
    <row r="3383" spans="1:4" x14ac:dyDescent="0.3">
      <c r="A3383" s="43">
        <v>11546543</v>
      </c>
      <c r="B3383" s="43">
        <v>2000000</v>
      </c>
      <c r="D3383">
        <f t="shared" si="52"/>
        <v>9546543</v>
      </c>
    </row>
    <row r="3384" spans="1:4" x14ac:dyDescent="0.3">
      <c r="A3384" s="42">
        <v>11533945</v>
      </c>
      <c r="B3384" s="42">
        <v>2000000</v>
      </c>
      <c r="D3384">
        <f t="shared" si="52"/>
        <v>9533945</v>
      </c>
    </row>
    <row r="3385" spans="1:4" x14ac:dyDescent="0.3">
      <c r="A3385" s="43">
        <v>12555230</v>
      </c>
      <c r="B3385" s="43">
        <v>2000000</v>
      </c>
      <c r="D3385">
        <f t="shared" si="52"/>
        <v>10555230</v>
      </c>
    </row>
    <row r="3386" spans="1:4" x14ac:dyDescent="0.3">
      <c r="A3386" s="42">
        <v>11284657</v>
      </c>
      <c r="B3386" s="42">
        <v>2000000</v>
      </c>
      <c r="D3386">
        <f t="shared" si="52"/>
        <v>9284657</v>
      </c>
    </row>
    <row r="3387" spans="1:4" x14ac:dyDescent="0.3">
      <c r="A3387" s="43">
        <v>34522221</v>
      </c>
      <c r="B3387" s="43">
        <v>2000000</v>
      </c>
      <c r="D3387">
        <f t="shared" si="52"/>
        <v>32522221</v>
      </c>
    </row>
    <row r="3388" spans="1:4" x14ac:dyDescent="0.3">
      <c r="A3388" s="42">
        <v>7002255</v>
      </c>
      <c r="B3388" s="42">
        <v>9500000</v>
      </c>
      <c r="D3388">
        <f t="shared" si="52"/>
        <v>-2497745</v>
      </c>
    </row>
    <row r="3389" spans="1:4" x14ac:dyDescent="0.3">
      <c r="A3389" s="43">
        <v>6719300</v>
      </c>
      <c r="B3389" s="43">
        <v>2000000</v>
      </c>
      <c r="D3389">
        <f t="shared" si="52"/>
        <v>4719300</v>
      </c>
    </row>
    <row r="3390" spans="1:4" x14ac:dyDescent="0.3">
      <c r="A3390" s="42">
        <v>5792822</v>
      </c>
      <c r="B3390" s="42">
        <v>2700000</v>
      </c>
      <c r="D3390">
        <f t="shared" si="52"/>
        <v>3092822</v>
      </c>
    </row>
    <row r="3391" spans="1:4" x14ac:dyDescent="0.3">
      <c r="A3391" s="43">
        <v>5383834</v>
      </c>
      <c r="B3391" s="43">
        <v>2000000</v>
      </c>
      <c r="D3391">
        <f t="shared" si="52"/>
        <v>3383834</v>
      </c>
    </row>
    <row r="3392" spans="1:4" x14ac:dyDescent="0.3">
      <c r="A3392" s="42">
        <v>4599680</v>
      </c>
      <c r="B3392" s="42">
        <v>1500000</v>
      </c>
      <c r="D3392">
        <f t="shared" si="52"/>
        <v>3099680</v>
      </c>
    </row>
    <row r="3393" spans="1:4" x14ac:dyDescent="0.3">
      <c r="A3393" s="43">
        <v>6531491</v>
      </c>
      <c r="B3393" s="43">
        <v>2000000</v>
      </c>
      <c r="D3393">
        <f t="shared" si="52"/>
        <v>4531491</v>
      </c>
    </row>
    <row r="3394" spans="1:4" x14ac:dyDescent="0.3">
      <c r="A3394" s="42">
        <v>3885134</v>
      </c>
      <c r="B3394" s="42">
        <v>2000000</v>
      </c>
      <c r="D3394">
        <f t="shared" ref="D3394:D3457" si="53">A3394-B3394</f>
        <v>1885134</v>
      </c>
    </row>
    <row r="3395" spans="1:4" x14ac:dyDescent="0.3">
      <c r="A3395" s="43">
        <v>3590010</v>
      </c>
      <c r="B3395" s="43">
        <v>2000000</v>
      </c>
      <c r="D3395">
        <f t="shared" si="53"/>
        <v>1590010</v>
      </c>
    </row>
    <row r="3396" spans="1:4" x14ac:dyDescent="0.3">
      <c r="A3396" s="42">
        <v>3335839</v>
      </c>
      <c r="B3396" s="42">
        <v>2000000</v>
      </c>
      <c r="D3396">
        <f t="shared" si="53"/>
        <v>1335839</v>
      </c>
    </row>
    <row r="3397" spans="1:4" x14ac:dyDescent="0.3">
      <c r="A3397" s="43">
        <v>2557668</v>
      </c>
      <c r="B3397" s="43">
        <v>2000000</v>
      </c>
      <c r="D3397">
        <f t="shared" si="53"/>
        <v>557668</v>
      </c>
    </row>
    <row r="3398" spans="1:4" x14ac:dyDescent="0.3">
      <c r="A3398" s="42">
        <v>2506446</v>
      </c>
      <c r="B3398" s="42">
        <v>2000000</v>
      </c>
      <c r="D3398">
        <f t="shared" si="53"/>
        <v>506446</v>
      </c>
    </row>
    <row r="3399" spans="1:4" x14ac:dyDescent="0.3">
      <c r="A3399" s="43">
        <v>7369373</v>
      </c>
      <c r="B3399" s="43">
        <v>2000000</v>
      </c>
      <c r="D3399">
        <f t="shared" si="53"/>
        <v>5369373</v>
      </c>
    </row>
    <row r="3400" spans="1:4" x14ac:dyDescent="0.3">
      <c r="A3400" s="42">
        <v>1984378</v>
      </c>
      <c r="B3400" s="42">
        <v>2000000</v>
      </c>
      <c r="D3400">
        <f t="shared" si="53"/>
        <v>-15622</v>
      </c>
    </row>
    <row r="3401" spans="1:4" x14ac:dyDescent="0.3">
      <c r="A3401" s="43">
        <v>2283276</v>
      </c>
      <c r="B3401" s="43">
        <v>1500000</v>
      </c>
      <c r="D3401">
        <f t="shared" si="53"/>
        <v>783276</v>
      </c>
    </row>
    <row r="3402" spans="1:4" x14ac:dyDescent="0.3">
      <c r="A3402" s="42">
        <v>1098224</v>
      </c>
      <c r="B3402" s="42">
        <v>2000000</v>
      </c>
      <c r="D3402">
        <f t="shared" si="53"/>
        <v>-901776</v>
      </c>
    </row>
    <row r="3403" spans="1:4" x14ac:dyDescent="0.3">
      <c r="A3403" s="43">
        <v>1430185</v>
      </c>
      <c r="B3403" s="43">
        <v>2000000</v>
      </c>
      <c r="D3403">
        <f t="shared" si="53"/>
        <v>-569815</v>
      </c>
    </row>
    <row r="3404" spans="1:4" x14ac:dyDescent="0.3">
      <c r="A3404" s="42">
        <v>1477002</v>
      </c>
      <c r="B3404" s="42">
        <v>2000000</v>
      </c>
      <c r="D3404">
        <f t="shared" si="53"/>
        <v>-522998</v>
      </c>
    </row>
    <row r="3405" spans="1:4" x14ac:dyDescent="0.3">
      <c r="A3405" s="43">
        <v>1134049</v>
      </c>
      <c r="B3405" s="43">
        <v>2000000</v>
      </c>
      <c r="D3405">
        <f t="shared" si="53"/>
        <v>-865951</v>
      </c>
    </row>
    <row r="3406" spans="1:4" x14ac:dyDescent="0.3">
      <c r="A3406" s="42">
        <v>653621</v>
      </c>
      <c r="B3406" s="42">
        <v>2000000</v>
      </c>
      <c r="D3406">
        <f t="shared" si="53"/>
        <v>-1346379</v>
      </c>
    </row>
    <row r="3407" spans="1:4" x14ac:dyDescent="0.3">
      <c r="A3407" s="43">
        <v>535249</v>
      </c>
      <c r="B3407" s="43">
        <v>3400000</v>
      </c>
      <c r="D3407">
        <f t="shared" si="53"/>
        <v>-2864751</v>
      </c>
    </row>
    <row r="3408" spans="1:4" x14ac:dyDescent="0.3">
      <c r="A3408" s="42">
        <v>371081</v>
      </c>
      <c r="B3408" s="42">
        <v>6000000</v>
      </c>
      <c r="D3408">
        <f t="shared" si="53"/>
        <v>-5628919</v>
      </c>
    </row>
    <row r="3409" spans="1:4" x14ac:dyDescent="0.3">
      <c r="A3409" s="43">
        <v>124494</v>
      </c>
      <c r="B3409" s="43">
        <v>2000000</v>
      </c>
      <c r="D3409">
        <f t="shared" si="53"/>
        <v>-1875506</v>
      </c>
    </row>
    <row r="3410" spans="1:4" x14ac:dyDescent="0.3">
      <c r="A3410" s="42">
        <v>100669</v>
      </c>
      <c r="B3410" s="42">
        <v>3800000</v>
      </c>
      <c r="D3410">
        <f t="shared" si="53"/>
        <v>-3699331</v>
      </c>
    </row>
    <row r="3411" spans="1:4" x14ac:dyDescent="0.3">
      <c r="A3411" s="43">
        <v>186354</v>
      </c>
      <c r="B3411" s="43">
        <v>13500000</v>
      </c>
      <c r="D3411">
        <f t="shared" si="53"/>
        <v>-13313646</v>
      </c>
    </row>
    <row r="3412" spans="1:4" x14ac:dyDescent="0.3">
      <c r="A3412" s="42">
        <v>17580</v>
      </c>
      <c r="B3412" s="42">
        <v>1500000</v>
      </c>
      <c r="D3412">
        <f t="shared" si="53"/>
        <v>-1482420</v>
      </c>
    </row>
    <row r="3413" spans="1:4" x14ac:dyDescent="0.3">
      <c r="A3413" s="43">
        <v>12667</v>
      </c>
      <c r="B3413" s="43">
        <v>14000</v>
      </c>
      <c r="D3413">
        <f t="shared" si="53"/>
        <v>-1333</v>
      </c>
    </row>
    <row r="3414" spans="1:4" x14ac:dyDescent="0.3">
      <c r="A3414" s="42">
        <v>198407</v>
      </c>
      <c r="B3414" s="42">
        <v>2000000</v>
      </c>
      <c r="D3414">
        <f t="shared" si="53"/>
        <v>-1801593</v>
      </c>
    </row>
    <row r="3415" spans="1:4" x14ac:dyDescent="0.3">
      <c r="A3415" s="43">
        <v>4958</v>
      </c>
      <c r="B3415" s="43">
        <v>2000000</v>
      </c>
      <c r="D3415">
        <f t="shared" si="53"/>
        <v>-1995042</v>
      </c>
    </row>
    <row r="3416" spans="1:4" x14ac:dyDescent="0.3">
      <c r="A3416" s="42">
        <v>7927</v>
      </c>
      <c r="B3416" s="42">
        <v>2300000</v>
      </c>
      <c r="D3416">
        <f t="shared" si="53"/>
        <v>-2292073</v>
      </c>
    </row>
    <row r="3417" spans="1:4" x14ac:dyDescent="0.3">
      <c r="A3417" s="43">
        <v>2436</v>
      </c>
      <c r="B3417" s="43">
        <v>2000000</v>
      </c>
      <c r="D3417">
        <f t="shared" si="53"/>
        <v>-1997564</v>
      </c>
    </row>
    <row r="3418" spans="1:4" x14ac:dyDescent="0.3">
      <c r="A3418" s="42">
        <v>1420578</v>
      </c>
      <c r="B3418" s="42">
        <v>1900000</v>
      </c>
      <c r="D3418">
        <f t="shared" si="53"/>
        <v>-479422</v>
      </c>
    </row>
    <row r="3419" spans="1:4" x14ac:dyDescent="0.3">
      <c r="A3419" s="43">
        <v>1028658</v>
      </c>
      <c r="B3419" s="43">
        <v>3000000</v>
      </c>
      <c r="D3419">
        <f t="shared" si="53"/>
        <v>-1971342</v>
      </c>
    </row>
    <row r="3420" spans="1:4" x14ac:dyDescent="0.3">
      <c r="A3420" s="42">
        <v>18435</v>
      </c>
      <c r="B3420" s="42">
        <v>1400000</v>
      </c>
      <c r="D3420">
        <f t="shared" si="53"/>
        <v>-1381565</v>
      </c>
    </row>
    <row r="3421" spans="1:4" x14ac:dyDescent="0.3">
      <c r="A3421" s="43">
        <v>2957978</v>
      </c>
      <c r="B3421" s="43">
        <v>1000000</v>
      </c>
      <c r="D3421">
        <f t="shared" si="53"/>
        <v>1957978</v>
      </c>
    </row>
    <row r="3422" spans="1:4" x14ac:dyDescent="0.3">
      <c r="A3422" s="42">
        <v>444044</v>
      </c>
      <c r="B3422" s="42">
        <v>1900000</v>
      </c>
      <c r="D3422">
        <f t="shared" si="53"/>
        <v>-1455956</v>
      </c>
    </row>
    <row r="3423" spans="1:4" x14ac:dyDescent="0.3">
      <c r="A3423" s="43">
        <v>40990055</v>
      </c>
      <c r="B3423" s="43">
        <v>1800000</v>
      </c>
      <c r="D3423">
        <f t="shared" si="53"/>
        <v>39190055</v>
      </c>
    </row>
    <row r="3424" spans="1:4" x14ac:dyDescent="0.3">
      <c r="A3424" s="42">
        <v>5709616</v>
      </c>
      <c r="B3424" s="42">
        <v>1800000</v>
      </c>
      <c r="D3424">
        <f t="shared" si="53"/>
        <v>3909616</v>
      </c>
    </row>
    <row r="3425" spans="1:4" x14ac:dyDescent="0.3">
      <c r="A3425" s="43">
        <v>12784397</v>
      </c>
      <c r="B3425" s="43">
        <v>1800000</v>
      </c>
      <c r="D3425">
        <f t="shared" si="53"/>
        <v>10984397</v>
      </c>
    </row>
    <row r="3426" spans="1:4" x14ac:dyDescent="0.3">
      <c r="A3426" s="42">
        <v>638476</v>
      </c>
      <c r="B3426" s="42">
        <v>1500000</v>
      </c>
      <c r="D3426">
        <f t="shared" si="53"/>
        <v>-861524</v>
      </c>
    </row>
    <row r="3427" spans="1:4" x14ac:dyDescent="0.3">
      <c r="A3427" s="43">
        <v>505295</v>
      </c>
      <c r="B3427" s="43">
        <v>1800000</v>
      </c>
      <c r="D3427">
        <f t="shared" si="53"/>
        <v>-1294705</v>
      </c>
    </row>
    <row r="3428" spans="1:4" x14ac:dyDescent="0.3">
      <c r="A3428" s="42">
        <v>7267324</v>
      </c>
      <c r="B3428" s="42">
        <v>3500000</v>
      </c>
      <c r="D3428">
        <f t="shared" si="53"/>
        <v>3767324</v>
      </c>
    </row>
    <row r="3429" spans="1:4" x14ac:dyDescent="0.3">
      <c r="A3429" s="43">
        <v>145540</v>
      </c>
      <c r="B3429" s="43">
        <v>500000</v>
      </c>
      <c r="D3429">
        <f t="shared" si="53"/>
        <v>-354460</v>
      </c>
    </row>
    <row r="3430" spans="1:4" x14ac:dyDescent="0.3">
      <c r="A3430" s="42">
        <v>35918429</v>
      </c>
      <c r="B3430" s="42">
        <v>1700000</v>
      </c>
      <c r="D3430">
        <f t="shared" si="53"/>
        <v>34218429</v>
      </c>
    </row>
    <row r="3431" spans="1:4" x14ac:dyDescent="0.3">
      <c r="A3431" s="43">
        <v>92401</v>
      </c>
      <c r="B3431" s="43">
        <v>2000000</v>
      </c>
      <c r="D3431">
        <f t="shared" si="53"/>
        <v>-1907599</v>
      </c>
    </row>
    <row r="3432" spans="1:4" x14ac:dyDescent="0.3">
      <c r="A3432" s="42">
        <v>1943649</v>
      </c>
      <c r="B3432" s="42">
        <v>1700000</v>
      </c>
      <c r="D3432">
        <f t="shared" si="53"/>
        <v>243649</v>
      </c>
    </row>
    <row r="3433" spans="1:4" x14ac:dyDescent="0.3">
      <c r="A3433" s="43">
        <v>992238</v>
      </c>
      <c r="B3433" s="43">
        <v>1700000</v>
      </c>
      <c r="D3433">
        <f t="shared" si="53"/>
        <v>-707762</v>
      </c>
    </row>
    <row r="3434" spans="1:4" x14ac:dyDescent="0.3">
      <c r="A3434" s="42">
        <v>4231500</v>
      </c>
      <c r="B3434" s="42">
        <v>1000000</v>
      </c>
      <c r="D3434">
        <f t="shared" si="53"/>
        <v>3231500</v>
      </c>
    </row>
    <row r="3435" spans="1:4" x14ac:dyDescent="0.3">
      <c r="A3435" s="43">
        <v>396035</v>
      </c>
      <c r="B3435" s="43">
        <v>1000000</v>
      </c>
      <c r="D3435">
        <f t="shared" si="53"/>
        <v>-603965</v>
      </c>
    </row>
    <row r="3436" spans="1:4" x14ac:dyDescent="0.3">
      <c r="A3436" s="42">
        <v>6026908</v>
      </c>
      <c r="B3436" s="42">
        <v>2000000</v>
      </c>
      <c r="D3436">
        <f t="shared" si="53"/>
        <v>4026908</v>
      </c>
    </row>
    <row r="3437" spans="1:4" x14ac:dyDescent="0.3">
      <c r="A3437" s="43">
        <v>1060591</v>
      </c>
      <c r="B3437" s="43">
        <v>1300000</v>
      </c>
      <c r="D3437">
        <f t="shared" si="53"/>
        <v>-239409</v>
      </c>
    </row>
    <row r="3438" spans="1:4" x14ac:dyDescent="0.3">
      <c r="A3438" s="42">
        <v>155972</v>
      </c>
      <c r="B3438" s="42">
        <v>1500000</v>
      </c>
      <c r="D3438">
        <f t="shared" si="53"/>
        <v>-1344028</v>
      </c>
    </row>
    <row r="3439" spans="1:4" x14ac:dyDescent="0.3">
      <c r="A3439" s="43">
        <v>26893</v>
      </c>
      <c r="B3439" s="43">
        <v>1600000</v>
      </c>
      <c r="D3439">
        <f t="shared" si="53"/>
        <v>-1573107</v>
      </c>
    </row>
    <row r="3440" spans="1:4" x14ac:dyDescent="0.3">
      <c r="A3440" s="42">
        <v>2580</v>
      </c>
      <c r="B3440" s="42">
        <v>1650000</v>
      </c>
      <c r="D3440">
        <f t="shared" si="53"/>
        <v>-1647420</v>
      </c>
    </row>
    <row r="3441" spans="1:4" x14ac:dyDescent="0.3">
      <c r="A3441" s="43">
        <v>19067631</v>
      </c>
      <c r="B3441" s="43">
        <v>2000000</v>
      </c>
      <c r="D3441">
        <f t="shared" si="53"/>
        <v>17067631</v>
      </c>
    </row>
    <row r="3442" spans="1:4" x14ac:dyDescent="0.3">
      <c r="A3442" s="42">
        <v>7417210</v>
      </c>
      <c r="B3442" s="42">
        <v>1500000</v>
      </c>
      <c r="D3442">
        <f t="shared" si="53"/>
        <v>5917210</v>
      </c>
    </row>
    <row r="3443" spans="1:4" x14ac:dyDescent="0.3">
      <c r="A3443" s="43">
        <v>7022940</v>
      </c>
      <c r="B3443" s="43">
        <v>1000000</v>
      </c>
      <c r="D3443">
        <f t="shared" si="53"/>
        <v>6022940</v>
      </c>
    </row>
    <row r="3444" spans="1:4" x14ac:dyDescent="0.3">
      <c r="A3444" s="42">
        <v>5132222</v>
      </c>
      <c r="B3444" s="42">
        <v>2000000</v>
      </c>
      <c r="D3444">
        <f t="shared" si="53"/>
        <v>3132222</v>
      </c>
    </row>
    <row r="3445" spans="1:4" x14ac:dyDescent="0.3">
      <c r="A3445" s="43">
        <v>2365931</v>
      </c>
      <c r="B3445" s="43">
        <v>1500000</v>
      </c>
      <c r="D3445">
        <f t="shared" si="53"/>
        <v>865931</v>
      </c>
    </row>
    <row r="3446" spans="1:4" x14ac:dyDescent="0.3">
      <c r="A3446" s="42">
        <v>53991137</v>
      </c>
      <c r="B3446" s="42">
        <v>1500000</v>
      </c>
      <c r="D3446">
        <f t="shared" si="53"/>
        <v>52491137</v>
      </c>
    </row>
    <row r="3447" spans="1:4" x14ac:dyDescent="0.3">
      <c r="A3447" s="43">
        <v>1221261</v>
      </c>
      <c r="B3447" s="43">
        <v>1500000</v>
      </c>
      <c r="D3447">
        <f t="shared" si="53"/>
        <v>-278739</v>
      </c>
    </row>
    <row r="3448" spans="1:4" x14ac:dyDescent="0.3">
      <c r="A3448" s="42">
        <v>712294</v>
      </c>
      <c r="B3448" s="42">
        <v>1500000</v>
      </c>
      <c r="D3448">
        <f t="shared" si="53"/>
        <v>-787706</v>
      </c>
    </row>
    <row r="3449" spans="1:4" x14ac:dyDescent="0.3">
      <c r="A3449" s="43">
        <v>3447339</v>
      </c>
      <c r="B3449" s="43">
        <v>1500000</v>
      </c>
      <c r="D3449">
        <f t="shared" si="53"/>
        <v>1947339</v>
      </c>
    </row>
    <row r="3450" spans="1:4" x14ac:dyDescent="0.3">
      <c r="A3450" s="42">
        <v>418953</v>
      </c>
      <c r="B3450" s="42">
        <v>1500000</v>
      </c>
      <c r="D3450">
        <f t="shared" si="53"/>
        <v>-1081047</v>
      </c>
    </row>
    <row r="3451" spans="1:4" x14ac:dyDescent="0.3">
      <c r="A3451" s="43">
        <v>406035</v>
      </c>
      <c r="B3451" s="43">
        <v>1500000</v>
      </c>
      <c r="D3451">
        <f t="shared" si="53"/>
        <v>-1093965</v>
      </c>
    </row>
    <row r="3452" spans="1:4" x14ac:dyDescent="0.3">
      <c r="A3452" s="42">
        <v>373967</v>
      </c>
      <c r="B3452" s="42">
        <v>1500000</v>
      </c>
      <c r="D3452">
        <f t="shared" si="53"/>
        <v>-1126033</v>
      </c>
    </row>
    <row r="3453" spans="1:4" x14ac:dyDescent="0.3">
      <c r="A3453" s="43">
        <v>194568</v>
      </c>
      <c r="B3453" s="43">
        <v>1500000</v>
      </c>
      <c r="D3453">
        <f t="shared" si="53"/>
        <v>-1305432</v>
      </c>
    </row>
    <row r="3454" spans="1:4" x14ac:dyDescent="0.3">
      <c r="A3454" s="42">
        <v>163245</v>
      </c>
      <c r="B3454" s="42">
        <v>1500000</v>
      </c>
      <c r="D3454">
        <f t="shared" si="53"/>
        <v>-1336755</v>
      </c>
    </row>
    <row r="3455" spans="1:4" x14ac:dyDescent="0.3">
      <c r="A3455" s="43">
        <v>119841</v>
      </c>
      <c r="B3455" s="43">
        <v>1500000</v>
      </c>
      <c r="D3455">
        <f t="shared" si="53"/>
        <v>-1380159</v>
      </c>
    </row>
    <row r="3456" spans="1:4" x14ac:dyDescent="0.3">
      <c r="A3456" s="42">
        <v>173066</v>
      </c>
      <c r="B3456" s="42">
        <v>1500000</v>
      </c>
      <c r="D3456">
        <f t="shared" si="53"/>
        <v>-1326934</v>
      </c>
    </row>
    <row r="3457" spans="1:4" x14ac:dyDescent="0.3">
      <c r="A3457" s="43">
        <v>92362</v>
      </c>
      <c r="B3457" s="43">
        <v>1500000</v>
      </c>
      <c r="D3457">
        <f t="shared" si="53"/>
        <v>-1407638</v>
      </c>
    </row>
    <row r="3458" spans="1:4" x14ac:dyDescent="0.3">
      <c r="A3458" s="42">
        <v>105943</v>
      </c>
      <c r="B3458" s="42">
        <v>1500000</v>
      </c>
      <c r="D3458">
        <f t="shared" ref="D3458:D3521" si="54">A3458-B3458</f>
        <v>-1394057</v>
      </c>
    </row>
    <row r="3459" spans="1:4" x14ac:dyDescent="0.3">
      <c r="A3459" s="43">
        <v>183490</v>
      </c>
      <c r="B3459" s="43">
        <v>1700000</v>
      </c>
      <c r="D3459">
        <f t="shared" si="54"/>
        <v>-1516510</v>
      </c>
    </row>
    <row r="3460" spans="1:4" x14ac:dyDescent="0.3">
      <c r="A3460" s="42">
        <v>3478</v>
      </c>
      <c r="B3460" s="42">
        <v>1500000</v>
      </c>
      <c r="D3460">
        <f t="shared" si="54"/>
        <v>-1496522</v>
      </c>
    </row>
    <row r="3461" spans="1:4" x14ac:dyDescent="0.3">
      <c r="A3461" s="43">
        <v>52166</v>
      </c>
      <c r="B3461" s="43">
        <v>2000000</v>
      </c>
      <c r="D3461">
        <f t="shared" si="54"/>
        <v>-1947834</v>
      </c>
    </row>
    <row r="3462" spans="1:4" x14ac:dyDescent="0.3">
      <c r="A3462" s="42">
        <v>1163508</v>
      </c>
      <c r="B3462" s="42">
        <v>2500000</v>
      </c>
      <c r="D3462">
        <f t="shared" si="54"/>
        <v>-1336492</v>
      </c>
    </row>
    <row r="3463" spans="1:4" x14ac:dyDescent="0.3">
      <c r="A3463" s="43">
        <v>184925485</v>
      </c>
      <c r="B3463" s="43">
        <v>2000000</v>
      </c>
      <c r="D3463">
        <f t="shared" si="54"/>
        <v>182925485</v>
      </c>
    </row>
    <row r="3464" spans="1:4" x14ac:dyDescent="0.3">
      <c r="A3464" s="42">
        <v>304124</v>
      </c>
      <c r="B3464" s="42">
        <v>1400000</v>
      </c>
      <c r="D3464">
        <f t="shared" si="54"/>
        <v>-1095876</v>
      </c>
    </row>
    <row r="3465" spans="1:4" x14ac:dyDescent="0.3">
      <c r="A3465" s="43">
        <v>36830</v>
      </c>
      <c r="B3465" s="43">
        <v>1400000</v>
      </c>
      <c r="D3465">
        <f t="shared" si="54"/>
        <v>-1363170</v>
      </c>
    </row>
    <row r="3466" spans="1:4" x14ac:dyDescent="0.3">
      <c r="A3466" s="42">
        <v>3650677</v>
      </c>
      <c r="B3466" s="42">
        <v>960000</v>
      </c>
      <c r="D3466">
        <f t="shared" si="54"/>
        <v>2690677</v>
      </c>
    </row>
    <row r="3467" spans="1:4" x14ac:dyDescent="0.3">
      <c r="A3467" s="43">
        <v>1647780</v>
      </c>
      <c r="B3467" s="43">
        <v>1300000</v>
      </c>
      <c r="D3467">
        <f t="shared" si="54"/>
        <v>347780</v>
      </c>
    </row>
    <row r="3468" spans="1:4" x14ac:dyDescent="0.3">
      <c r="A3468" s="42">
        <v>695229</v>
      </c>
      <c r="B3468" s="42">
        <v>1300000</v>
      </c>
      <c r="D3468">
        <f t="shared" si="54"/>
        <v>-604771</v>
      </c>
    </row>
    <row r="3469" spans="1:4" x14ac:dyDescent="0.3">
      <c r="A3469" s="43">
        <v>638951</v>
      </c>
      <c r="B3469" s="43">
        <v>1592000</v>
      </c>
      <c r="D3469">
        <f t="shared" si="54"/>
        <v>-953049</v>
      </c>
    </row>
    <row r="3470" spans="1:4" x14ac:dyDescent="0.3">
      <c r="A3470" s="42">
        <v>609042</v>
      </c>
      <c r="B3470" s="42">
        <v>1300000</v>
      </c>
      <c r="D3470">
        <f t="shared" si="54"/>
        <v>-690958</v>
      </c>
    </row>
    <row r="3471" spans="1:4" x14ac:dyDescent="0.3">
      <c r="A3471" s="43">
        <v>1521</v>
      </c>
      <c r="B3471" s="43">
        <v>1500000</v>
      </c>
      <c r="D3471">
        <f t="shared" si="54"/>
        <v>-1498479</v>
      </c>
    </row>
    <row r="3472" spans="1:4" x14ac:dyDescent="0.3">
      <c r="A3472" s="42">
        <v>19539</v>
      </c>
      <c r="B3472" s="42">
        <v>1000000</v>
      </c>
      <c r="D3472">
        <f t="shared" si="54"/>
        <v>-980461</v>
      </c>
    </row>
    <row r="3473" spans="1:4" x14ac:dyDescent="0.3">
      <c r="A3473" s="43">
        <v>100358</v>
      </c>
      <c r="B3473" s="43">
        <v>1500000</v>
      </c>
      <c r="D3473">
        <f t="shared" si="54"/>
        <v>-1399642</v>
      </c>
    </row>
    <row r="3474" spans="1:4" x14ac:dyDescent="0.3">
      <c r="A3474" s="42">
        <v>19100000</v>
      </c>
      <c r="B3474" s="42">
        <v>1250000</v>
      </c>
      <c r="D3474">
        <f t="shared" si="54"/>
        <v>17850000</v>
      </c>
    </row>
    <row r="3475" spans="1:4" x14ac:dyDescent="0.3">
      <c r="A3475" s="43">
        <v>2833383</v>
      </c>
      <c r="B3475" s="43">
        <v>427000</v>
      </c>
      <c r="D3475">
        <f t="shared" si="54"/>
        <v>2406383</v>
      </c>
    </row>
    <row r="3476" spans="1:4" x14ac:dyDescent="0.3">
      <c r="A3476" s="42">
        <v>24741700</v>
      </c>
      <c r="B3476" s="42">
        <v>1200000</v>
      </c>
      <c r="D3476">
        <f t="shared" si="54"/>
        <v>23541700</v>
      </c>
    </row>
    <row r="3477" spans="1:4" x14ac:dyDescent="0.3">
      <c r="A3477" s="43">
        <v>55153403</v>
      </c>
      <c r="B3477" s="43">
        <v>1200000</v>
      </c>
      <c r="D3477">
        <f t="shared" si="54"/>
        <v>53953403</v>
      </c>
    </row>
    <row r="3478" spans="1:4" x14ac:dyDescent="0.3">
      <c r="A3478" s="42">
        <v>18488314</v>
      </c>
      <c r="B3478" s="42">
        <v>1200000</v>
      </c>
      <c r="D3478">
        <f t="shared" si="54"/>
        <v>17288314</v>
      </c>
    </row>
    <row r="3479" spans="1:4" x14ac:dyDescent="0.3">
      <c r="A3479" s="43">
        <v>11278</v>
      </c>
      <c r="B3479" s="43">
        <v>1300000</v>
      </c>
      <c r="D3479">
        <f t="shared" si="54"/>
        <v>-1288722</v>
      </c>
    </row>
    <row r="3480" spans="1:4" x14ac:dyDescent="0.3">
      <c r="A3480" s="42">
        <v>13876974</v>
      </c>
      <c r="B3480" s="42">
        <v>7000000</v>
      </c>
      <c r="D3480">
        <f t="shared" si="54"/>
        <v>6876974</v>
      </c>
    </row>
    <row r="3481" spans="1:4" x14ac:dyDescent="0.3">
      <c r="A3481" s="43">
        <v>9180275</v>
      </c>
      <c r="B3481" s="43">
        <v>1200000</v>
      </c>
      <c r="D3481">
        <f t="shared" si="54"/>
        <v>7980275</v>
      </c>
    </row>
    <row r="3482" spans="1:4" x14ac:dyDescent="0.3">
      <c r="A3482" s="42">
        <v>2199853</v>
      </c>
      <c r="B3482" s="42">
        <v>1200000</v>
      </c>
      <c r="D3482">
        <f t="shared" si="54"/>
        <v>999853</v>
      </c>
    </row>
    <row r="3483" spans="1:4" x14ac:dyDescent="0.3">
      <c r="A3483" s="43">
        <v>2859955</v>
      </c>
      <c r="B3483" s="43">
        <v>1200000</v>
      </c>
      <c r="D3483">
        <f t="shared" si="54"/>
        <v>1659955</v>
      </c>
    </row>
    <row r="3484" spans="1:4" x14ac:dyDescent="0.3">
      <c r="A3484" s="42">
        <v>2812029</v>
      </c>
      <c r="B3484" s="42">
        <v>1200000</v>
      </c>
      <c r="D3484">
        <f t="shared" si="54"/>
        <v>1612029</v>
      </c>
    </row>
    <row r="3485" spans="1:4" x14ac:dyDescent="0.3">
      <c r="A3485" s="43">
        <v>6100000</v>
      </c>
      <c r="B3485" s="43">
        <v>1200000</v>
      </c>
      <c r="D3485">
        <f t="shared" si="54"/>
        <v>4900000</v>
      </c>
    </row>
    <row r="3486" spans="1:4" x14ac:dyDescent="0.3">
      <c r="A3486" s="42">
        <v>375723</v>
      </c>
      <c r="B3486" s="42">
        <v>4000000</v>
      </c>
      <c r="D3486">
        <f t="shared" si="54"/>
        <v>-3624277</v>
      </c>
    </row>
    <row r="3487" spans="1:4" x14ac:dyDescent="0.3">
      <c r="A3487" s="43">
        <v>594904</v>
      </c>
      <c r="B3487" s="43">
        <v>1200000</v>
      </c>
      <c r="D3487">
        <f t="shared" si="54"/>
        <v>-605096</v>
      </c>
    </row>
    <row r="3488" spans="1:4" x14ac:dyDescent="0.3">
      <c r="A3488" s="42">
        <v>58936</v>
      </c>
      <c r="B3488" s="42">
        <v>1200000</v>
      </c>
      <c r="D3488">
        <f t="shared" si="54"/>
        <v>-1141064</v>
      </c>
    </row>
    <row r="3489" spans="1:4" x14ac:dyDescent="0.3">
      <c r="A3489" s="43">
        <v>24784</v>
      </c>
      <c r="B3489" s="43">
        <v>1200000</v>
      </c>
      <c r="D3489">
        <f t="shared" si="54"/>
        <v>-1175216</v>
      </c>
    </row>
    <row r="3490" spans="1:4" x14ac:dyDescent="0.3">
      <c r="A3490" s="42">
        <v>7826</v>
      </c>
      <c r="B3490" s="42">
        <v>1200000</v>
      </c>
      <c r="D3490">
        <f t="shared" si="54"/>
        <v>-1192174</v>
      </c>
    </row>
    <row r="3491" spans="1:4" x14ac:dyDescent="0.3">
      <c r="A3491" s="43">
        <v>3830</v>
      </c>
      <c r="B3491" s="43">
        <v>1200000</v>
      </c>
      <c r="D3491">
        <f t="shared" si="54"/>
        <v>-1196170</v>
      </c>
    </row>
    <row r="3492" spans="1:4" x14ac:dyDescent="0.3">
      <c r="A3492" s="42">
        <v>2850263</v>
      </c>
      <c r="B3492" s="42">
        <v>2600000</v>
      </c>
      <c r="D3492">
        <f t="shared" si="54"/>
        <v>250263</v>
      </c>
    </row>
    <row r="3493" spans="1:4" x14ac:dyDescent="0.3">
      <c r="A3493" s="43">
        <v>16101109</v>
      </c>
      <c r="B3493" s="43">
        <v>3000000</v>
      </c>
      <c r="D3493">
        <f t="shared" si="54"/>
        <v>13101109</v>
      </c>
    </row>
    <row r="3494" spans="1:4" x14ac:dyDescent="0.3">
      <c r="A3494" s="42">
        <v>6013</v>
      </c>
      <c r="B3494" s="42">
        <v>695393</v>
      </c>
      <c r="D3494">
        <f t="shared" si="54"/>
        <v>-689380</v>
      </c>
    </row>
    <row r="3495" spans="1:4" x14ac:dyDescent="0.3">
      <c r="A3495" s="43">
        <v>1400000</v>
      </c>
      <c r="B3495" s="43">
        <v>1100000</v>
      </c>
      <c r="D3495">
        <f t="shared" si="54"/>
        <v>300000</v>
      </c>
    </row>
    <row r="3496" spans="1:4" x14ac:dyDescent="0.3">
      <c r="A3496" s="42">
        <v>39659</v>
      </c>
      <c r="B3496" s="42">
        <v>1600000</v>
      </c>
      <c r="D3496">
        <f t="shared" si="54"/>
        <v>-1560341</v>
      </c>
    </row>
    <row r="3497" spans="1:4" x14ac:dyDescent="0.3">
      <c r="A3497" s="43">
        <v>56129</v>
      </c>
      <c r="B3497" s="43">
        <v>1100000</v>
      </c>
      <c r="D3497">
        <f t="shared" si="54"/>
        <v>-1043871</v>
      </c>
    </row>
    <row r="3498" spans="1:4" x14ac:dyDescent="0.3">
      <c r="A3498" s="42">
        <v>4105123</v>
      </c>
      <c r="B3498" s="42">
        <v>1100000</v>
      </c>
      <c r="D3498">
        <f t="shared" si="54"/>
        <v>3005123</v>
      </c>
    </row>
    <row r="3499" spans="1:4" x14ac:dyDescent="0.3">
      <c r="A3499" s="43">
        <v>117235247</v>
      </c>
      <c r="B3499" s="43">
        <v>960000</v>
      </c>
      <c r="D3499">
        <f t="shared" si="54"/>
        <v>116275247</v>
      </c>
    </row>
    <row r="3500" spans="1:4" x14ac:dyDescent="0.3">
      <c r="A3500" s="42">
        <v>31537320</v>
      </c>
      <c r="B3500" s="42">
        <v>1000000</v>
      </c>
      <c r="D3500">
        <f t="shared" si="54"/>
        <v>30537320</v>
      </c>
    </row>
    <row r="3501" spans="1:4" x14ac:dyDescent="0.3">
      <c r="A3501" s="43">
        <v>17986000</v>
      </c>
      <c r="B3501" s="43">
        <v>1000000</v>
      </c>
      <c r="D3501">
        <f t="shared" si="54"/>
        <v>16986000</v>
      </c>
    </row>
    <row r="3502" spans="1:4" x14ac:dyDescent="0.3">
      <c r="A3502" s="42">
        <v>16067035</v>
      </c>
      <c r="B3502" s="42">
        <v>1100000</v>
      </c>
      <c r="D3502">
        <f t="shared" si="54"/>
        <v>14967035</v>
      </c>
    </row>
    <row r="3503" spans="1:4" x14ac:dyDescent="0.3">
      <c r="A3503" s="43">
        <v>18112929</v>
      </c>
      <c r="B3503" s="43">
        <v>1000000</v>
      </c>
      <c r="D3503">
        <f t="shared" si="54"/>
        <v>17112929</v>
      </c>
    </row>
    <row r="3504" spans="1:4" x14ac:dyDescent="0.3">
      <c r="A3504" s="42">
        <v>14564027</v>
      </c>
      <c r="B3504" s="42">
        <v>1000000</v>
      </c>
      <c r="D3504">
        <f t="shared" si="54"/>
        <v>13564027</v>
      </c>
    </row>
    <row r="3505" spans="1:4" x14ac:dyDescent="0.3">
      <c r="A3505" s="43">
        <v>20773070</v>
      </c>
      <c r="B3505" s="43">
        <v>5000000</v>
      </c>
      <c r="D3505">
        <f t="shared" si="54"/>
        <v>15773070</v>
      </c>
    </row>
    <row r="3506" spans="1:4" x14ac:dyDescent="0.3">
      <c r="A3506" s="42">
        <v>10042266</v>
      </c>
      <c r="B3506" s="42">
        <v>1000000</v>
      </c>
      <c r="D3506">
        <f t="shared" si="54"/>
        <v>9042266</v>
      </c>
    </row>
    <row r="3507" spans="1:4" x14ac:dyDescent="0.3">
      <c r="A3507" s="43">
        <v>10037390</v>
      </c>
      <c r="B3507" s="43">
        <v>1000000000</v>
      </c>
      <c r="D3507">
        <f t="shared" si="54"/>
        <v>-989962610</v>
      </c>
    </row>
    <row r="3508" spans="1:4" x14ac:dyDescent="0.3">
      <c r="A3508" s="42">
        <v>9701559</v>
      </c>
      <c r="B3508" s="42">
        <v>3500000</v>
      </c>
      <c r="D3508">
        <f t="shared" si="54"/>
        <v>6201559</v>
      </c>
    </row>
    <row r="3509" spans="1:4" x14ac:dyDescent="0.3">
      <c r="A3509" s="43">
        <v>9013113</v>
      </c>
      <c r="B3509" s="43">
        <v>1000000</v>
      </c>
      <c r="D3509">
        <f t="shared" si="54"/>
        <v>8013113</v>
      </c>
    </row>
    <row r="3510" spans="1:4" x14ac:dyDescent="0.3">
      <c r="A3510" s="42">
        <v>53245055</v>
      </c>
      <c r="B3510" s="42">
        <v>1000000</v>
      </c>
      <c r="D3510">
        <f t="shared" si="54"/>
        <v>52245055</v>
      </c>
    </row>
    <row r="3511" spans="1:4" x14ac:dyDescent="0.3">
      <c r="A3511" s="43">
        <v>9000000</v>
      </c>
      <c r="B3511" s="43">
        <v>900000</v>
      </c>
      <c r="D3511">
        <f t="shared" si="54"/>
        <v>8100000</v>
      </c>
    </row>
    <row r="3512" spans="1:4" x14ac:dyDescent="0.3">
      <c r="A3512" s="42">
        <v>5997134</v>
      </c>
      <c r="B3512" s="42">
        <v>1000000</v>
      </c>
      <c r="D3512">
        <f t="shared" si="54"/>
        <v>4997134</v>
      </c>
    </row>
    <row r="3513" spans="1:4" x14ac:dyDescent="0.3">
      <c r="A3513" s="43">
        <v>3386698</v>
      </c>
      <c r="B3513" s="43">
        <v>1000000</v>
      </c>
      <c r="D3513">
        <f t="shared" si="54"/>
        <v>2386698</v>
      </c>
    </row>
    <row r="3514" spans="1:4" x14ac:dyDescent="0.3">
      <c r="A3514" s="42">
        <v>2508841</v>
      </c>
      <c r="B3514" s="42">
        <v>1000000</v>
      </c>
      <c r="D3514">
        <f t="shared" si="54"/>
        <v>1508841</v>
      </c>
    </row>
    <row r="3515" spans="1:4" x14ac:dyDescent="0.3">
      <c r="A3515" s="43">
        <v>4946250</v>
      </c>
      <c r="B3515" s="43">
        <v>1000000</v>
      </c>
      <c r="D3515">
        <f t="shared" si="54"/>
        <v>3946250</v>
      </c>
    </row>
    <row r="3516" spans="1:4" x14ac:dyDescent="0.3">
      <c r="A3516" s="42">
        <v>1950218</v>
      </c>
      <c r="B3516" s="42">
        <v>1000000</v>
      </c>
      <c r="D3516">
        <f t="shared" si="54"/>
        <v>950218</v>
      </c>
    </row>
    <row r="3517" spans="1:4" x14ac:dyDescent="0.3">
      <c r="A3517" s="43">
        <v>1277257</v>
      </c>
      <c r="B3517" s="43">
        <v>1000000</v>
      </c>
      <c r="D3517">
        <f t="shared" si="54"/>
        <v>277257</v>
      </c>
    </row>
    <row r="3518" spans="1:4" x14ac:dyDescent="0.3">
      <c r="A3518" s="42">
        <v>1677838</v>
      </c>
      <c r="B3518" s="42">
        <v>1000000</v>
      </c>
      <c r="D3518">
        <f t="shared" si="54"/>
        <v>677838</v>
      </c>
    </row>
    <row r="3519" spans="1:4" x14ac:dyDescent="0.3">
      <c r="A3519" s="43">
        <v>1744858</v>
      </c>
      <c r="B3519" s="43">
        <v>1000000</v>
      </c>
      <c r="D3519">
        <f t="shared" si="54"/>
        <v>744858</v>
      </c>
    </row>
    <row r="3520" spans="1:4" x14ac:dyDescent="0.3">
      <c r="A3520" s="42">
        <v>982214</v>
      </c>
      <c r="B3520" s="42">
        <v>1000000</v>
      </c>
      <c r="D3520">
        <f t="shared" si="54"/>
        <v>-17786</v>
      </c>
    </row>
    <row r="3521" spans="1:4" x14ac:dyDescent="0.3">
      <c r="A3521" s="43">
        <v>798341</v>
      </c>
      <c r="B3521" s="43">
        <v>1000000</v>
      </c>
      <c r="D3521">
        <f t="shared" si="54"/>
        <v>-201659</v>
      </c>
    </row>
    <row r="3522" spans="1:4" x14ac:dyDescent="0.3">
      <c r="A3522" s="42">
        <v>610991</v>
      </c>
      <c r="B3522" s="42">
        <v>1000000</v>
      </c>
      <c r="D3522">
        <f t="shared" ref="D3522:D3585" si="55">A3522-B3522</f>
        <v>-389009</v>
      </c>
    </row>
    <row r="3523" spans="1:4" x14ac:dyDescent="0.3">
      <c r="A3523" s="43">
        <v>582024</v>
      </c>
      <c r="B3523" s="43">
        <v>1000000</v>
      </c>
      <c r="D3523">
        <f t="shared" si="55"/>
        <v>-417976</v>
      </c>
    </row>
    <row r="3524" spans="1:4" x14ac:dyDescent="0.3">
      <c r="A3524" s="42">
        <v>548712</v>
      </c>
      <c r="B3524" s="42">
        <v>2500000</v>
      </c>
      <c r="D3524">
        <f t="shared" si="55"/>
        <v>-1951288</v>
      </c>
    </row>
    <row r="3525" spans="1:4" x14ac:dyDescent="0.3">
      <c r="A3525" s="43">
        <v>464655</v>
      </c>
      <c r="B3525" s="43">
        <v>1000000</v>
      </c>
      <c r="D3525">
        <f t="shared" si="55"/>
        <v>-535345</v>
      </c>
    </row>
    <row r="3526" spans="1:4" x14ac:dyDescent="0.3">
      <c r="A3526" s="42">
        <v>464126</v>
      </c>
      <c r="B3526" s="42">
        <v>1000000</v>
      </c>
      <c r="D3526">
        <f t="shared" si="55"/>
        <v>-535874</v>
      </c>
    </row>
    <row r="3527" spans="1:4" x14ac:dyDescent="0.3">
      <c r="A3527" s="43">
        <v>428535</v>
      </c>
      <c r="B3527" s="43">
        <v>1000000</v>
      </c>
      <c r="D3527">
        <f t="shared" si="55"/>
        <v>-571465</v>
      </c>
    </row>
    <row r="3528" spans="1:4" x14ac:dyDescent="0.3">
      <c r="A3528" s="42">
        <v>104077</v>
      </c>
      <c r="B3528" s="42">
        <v>1000000</v>
      </c>
      <c r="D3528">
        <f t="shared" si="55"/>
        <v>-895923</v>
      </c>
    </row>
    <row r="3529" spans="1:4" x14ac:dyDescent="0.3">
      <c r="A3529" s="43">
        <v>279282</v>
      </c>
      <c r="B3529" s="43">
        <v>1000000</v>
      </c>
      <c r="D3529">
        <f t="shared" si="55"/>
        <v>-720718</v>
      </c>
    </row>
    <row r="3530" spans="1:4" x14ac:dyDescent="0.3">
      <c r="A3530" s="42">
        <v>484221</v>
      </c>
      <c r="B3530" s="42">
        <v>1000000</v>
      </c>
      <c r="D3530">
        <f t="shared" si="55"/>
        <v>-515779</v>
      </c>
    </row>
    <row r="3531" spans="1:4" x14ac:dyDescent="0.3">
      <c r="A3531" s="43">
        <v>274661</v>
      </c>
      <c r="B3531" s="43">
        <v>1000000</v>
      </c>
      <c r="D3531">
        <f t="shared" si="55"/>
        <v>-725339</v>
      </c>
    </row>
    <row r="3532" spans="1:4" x14ac:dyDescent="0.3">
      <c r="A3532" s="42">
        <v>144431</v>
      </c>
      <c r="B3532" s="42">
        <v>1000000</v>
      </c>
      <c r="D3532">
        <f t="shared" si="55"/>
        <v>-855569</v>
      </c>
    </row>
    <row r="3533" spans="1:4" x14ac:dyDescent="0.3">
      <c r="A3533" s="43">
        <v>287761</v>
      </c>
      <c r="B3533" s="43">
        <v>1000000</v>
      </c>
      <c r="D3533">
        <f t="shared" si="55"/>
        <v>-712239</v>
      </c>
    </row>
    <row r="3534" spans="1:4" x14ac:dyDescent="0.3">
      <c r="A3534" s="42">
        <v>100240</v>
      </c>
      <c r="B3534" s="42">
        <v>1000000</v>
      </c>
      <c r="D3534">
        <f t="shared" si="55"/>
        <v>-899760</v>
      </c>
    </row>
    <row r="3535" spans="1:4" x14ac:dyDescent="0.3">
      <c r="A3535" s="43">
        <v>96734</v>
      </c>
      <c r="B3535" s="43">
        <v>1000000</v>
      </c>
      <c r="D3535">
        <f t="shared" si="55"/>
        <v>-903266</v>
      </c>
    </row>
    <row r="3536" spans="1:4" x14ac:dyDescent="0.3">
      <c r="A3536" s="42">
        <v>100659</v>
      </c>
      <c r="B3536" s="42">
        <v>900000</v>
      </c>
      <c r="D3536">
        <f t="shared" si="55"/>
        <v>-799341</v>
      </c>
    </row>
    <row r="3537" spans="1:4" x14ac:dyDescent="0.3">
      <c r="A3537" s="43">
        <v>48430</v>
      </c>
      <c r="B3537" s="43">
        <v>500000</v>
      </c>
      <c r="D3537">
        <f t="shared" si="55"/>
        <v>-451570</v>
      </c>
    </row>
    <row r="3538" spans="1:4" x14ac:dyDescent="0.3">
      <c r="A3538" s="42">
        <v>21210</v>
      </c>
      <c r="B3538" s="42">
        <v>1000000</v>
      </c>
      <c r="D3538">
        <f t="shared" si="55"/>
        <v>-978790</v>
      </c>
    </row>
    <row r="3539" spans="1:4" x14ac:dyDescent="0.3">
      <c r="A3539" s="43">
        <v>12996</v>
      </c>
      <c r="B3539" s="43">
        <v>1000000</v>
      </c>
      <c r="D3539">
        <f t="shared" si="55"/>
        <v>-987004</v>
      </c>
    </row>
    <row r="3540" spans="1:4" x14ac:dyDescent="0.3">
      <c r="A3540" s="42">
        <v>10018</v>
      </c>
      <c r="B3540" s="42">
        <v>1000000</v>
      </c>
      <c r="D3540">
        <f t="shared" si="55"/>
        <v>-989982</v>
      </c>
    </row>
    <row r="3541" spans="1:4" x14ac:dyDescent="0.3">
      <c r="A3541" s="43">
        <v>62480</v>
      </c>
      <c r="B3541" s="43">
        <v>1000000</v>
      </c>
      <c r="D3541">
        <f t="shared" si="55"/>
        <v>-937520</v>
      </c>
    </row>
    <row r="3542" spans="1:4" x14ac:dyDescent="0.3">
      <c r="A3542" s="42">
        <v>6387</v>
      </c>
      <c r="B3542" s="42">
        <v>1000000</v>
      </c>
      <c r="D3542">
        <f t="shared" si="55"/>
        <v>-993613</v>
      </c>
    </row>
    <row r="3543" spans="1:4" x14ac:dyDescent="0.3">
      <c r="A3543" s="43">
        <v>721</v>
      </c>
      <c r="B3543" s="43">
        <v>1000000</v>
      </c>
      <c r="D3543">
        <f t="shared" si="55"/>
        <v>-999279</v>
      </c>
    </row>
    <row r="3544" spans="1:4" x14ac:dyDescent="0.3">
      <c r="A3544" s="42">
        <v>703</v>
      </c>
      <c r="B3544" s="42">
        <v>1500000</v>
      </c>
      <c r="D3544">
        <f t="shared" si="55"/>
        <v>-1499297</v>
      </c>
    </row>
    <row r="3545" spans="1:4" x14ac:dyDescent="0.3">
      <c r="A3545" s="43">
        <v>9600000</v>
      </c>
      <c r="B3545" s="43">
        <v>910000</v>
      </c>
      <c r="D3545">
        <f t="shared" si="55"/>
        <v>8690000</v>
      </c>
    </row>
    <row r="3546" spans="1:4" x14ac:dyDescent="0.3">
      <c r="A3546" s="42">
        <v>20186</v>
      </c>
      <c r="B3546" s="42">
        <v>930000</v>
      </c>
      <c r="D3546">
        <f t="shared" si="55"/>
        <v>-909814</v>
      </c>
    </row>
    <row r="3547" spans="1:4" x14ac:dyDescent="0.3">
      <c r="A3547" s="43">
        <v>1185783</v>
      </c>
      <c r="B3547" s="43">
        <v>590000</v>
      </c>
      <c r="D3547">
        <f t="shared" si="55"/>
        <v>595783</v>
      </c>
    </row>
    <row r="3548" spans="1:4" x14ac:dyDescent="0.3">
      <c r="A3548" s="42">
        <v>1007962</v>
      </c>
      <c r="B3548" s="42">
        <v>950000</v>
      </c>
      <c r="D3548">
        <f t="shared" si="55"/>
        <v>57962</v>
      </c>
    </row>
    <row r="3549" spans="1:4" x14ac:dyDescent="0.3">
      <c r="A3549" s="43">
        <v>381186</v>
      </c>
      <c r="B3549" s="43">
        <v>900000</v>
      </c>
      <c r="D3549">
        <f t="shared" si="55"/>
        <v>-518814</v>
      </c>
    </row>
    <row r="3550" spans="1:4" x14ac:dyDescent="0.3">
      <c r="A3550" s="42">
        <v>16097842</v>
      </c>
      <c r="B3550" s="42">
        <v>900000</v>
      </c>
      <c r="D3550">
        <f t="shared" si="55"/>
        <v>15197842</v>
      </c>
    </row>
    <row r="3551" spans="1:4" x14ac:dyDescent="0.3">
      <c r="A3551" s="43">
        <v>6643</v>
      </c>
      <c r="B3551" s="43">
        <v>900000</v>
      </c>
      <c r="D3551">
        <f t="shared" si="55"/>
        <v>-893357</v>
      </c>
    </row>
    <row r="3552" spans="1:4" x14ac:dyDescent="0.3">
      <c r="A3552" s="42">
        <v>442638</v>
      </c>
      <c r="B3552" s="42">
        <v>850000</v>
      </c>
      <c r="D3552">
        <f t="shared" si="55"/>
        <v>-407362</v>
      </c>
    </row>
    <row r="3553" spans="1:4" x14ac:dyDescent="0.3">
      <c r="A3553" s="43">
        <v>819939</v>
      </c>
      <c r="B3553" s="43">
        <v>850000</v>
      </c>
      <c r="D3553">
        <f t="shared" si="55"/>
        <v>-30061</v>
      </c>
    </row>
    <row r="3554" spans="1:4" x14ac:dyDescent="0.3">
      <c r="A3554" s="42">
        <v>15278</v>
      </c>
      <c r="B3554" s="42">
        <v>825000</v>
      </c>
      <c r="D3554">
        <f t="shared" si="55"/>
        <v>-809722</v>
      </c>
    </row>
    <row r="3555" spans="1:4" x14ac:dyDescent="0.3">
      <c r="A3555" s="43">
        <v>7098492</v>
      </c>
      <c r="B3555" s="43">
        <v>500000</v>
      </c>
      <c r="D3555">
        <f t="shared" si="55"/>
        <v>6598492</v>
      </c>
    </row>
    <row r="3556" spans="1:4" x14ac:dyDescent="0.3">
      <c r="A3556" s="42">
        <v>4771000</v>
      </c>
      <c r="B3556" s="42">
        <v>800000</v>
      </c>
      <c r="D3556">
        <f t="shared" si="55"/>
        <v>3971000</v>
      </c>
    </row>
    <row r="3557" spans="1:4" x14ac:dyDescent="0.3">
      <c r="A3557" s="43">
        <v>1001437</v>
      </c>
      <c r="B3557" s="43">
        <v>800000</v>
      </c>
      <c r="D3557">
        <f t="shared" si="55"/>
        <v>201437</v>
      </c>
    </row>
    <row r="3558" spans="1:4" x14ac:dyDescent="0.3">
      <c r="A3558" s="42">
        <v>2073984</v>
      </c>
      <c r="B3558" s="42">
        <v>800000</v>
      </c>
      <c r="D3558">
        <f t="shared" si="55"/>
        <v>1273984</v>
      </c>
    </row>
    <row r="3559" spans="1:4" x14ac:dyDescent="0.3">
      <c r="A3559" s="43">
        <v>144583</v>
      </c>
      <c r="B3559" s="43">
        <v>800000</v>
      </c>
      <c r="D3559">
        <f t="shared" si="55"/>
        <v>-655417</v>
      </c>
    </row>
    <row r="3560" spans="1:4" x14ac:dyDescent="0.3">
      <c r="A3560" s="42">
        <v>35688</v>
      </c>
      <c r="B3560" s="42">
        <v>600000</v>
      </c>
      <c r="D3560">
        <f t="shared" si="55"/>
        <v>-564312</v>
      </c>
    </row>
    <row r="3561" spans="1:4" x14ac:dyDescent="0.3">
      <c r="A3561" s="43">
        <v>41709</v>
      </c>
      <c r="B3561" s="43">
        <v>800000</v>
      </c>
      <c r="D3561">
        <f t="shared" si="55"/>
        <v>-758291</v>
      </c>
    </row>
    <row r="3562" spans="1:4" x14ac:dyDescent="0.3">
      <c r="A3562" s="42">
        <v>1310270</v>
      </c>
      <c r="B3562" s="42">
        <v>780000</v>
      </c>
      <c r="D3562">
        <f t="shared" si="55"/>
        <v>530270</v>
      </c>
    </row>
    <row r="3563" spans="1:4" x14ac:dyDescent="0.3">
      <c r="A3563" s="43">
        <v>115000000</v>
      </c>
      <c r="B3563" s="43">
        <v>777000</v>
      </c>
      <c r="D3563">
        <f t="shared" si="55"/>
        <v>114223000</v>
      </c>
    </row>
    <row r="3564" spans="1:4" x14ac:dyDescent="0.3">
      <c r="A3564" s="42">
        <v>5518918</v>
      </c>
      <c r="B3564" s="42">
        <v>750000</v>
      </c>
      <c r="D3564">
        <f t="shared" si="55"/>
        <v>4768918</v>
      </c>
    </row>
    <row r="3565" spans="1:4" x14ac:dyDescent="0.3">
      <c r="A3565" s="43">
        <v>4007792</v>
      </c>
      <c r="B3565" s="43">
        <v>750000</v>
      </c>
      <c r="D3565">
        <f t="shared" si="55"/>
        <v>3257792</v>
      </c>
    </row>
    <row r="3566" spans="1:4" x14ac:dyDescent="0.3">
      <c r="A3566" s="42">
        <v>26297</v>
      </c>
      <c r="B3566" s="42">
        <v>500000</v>
      </c>
      <c r="D3566">
        <f t="shared" si="55"/>
        <v>-473703</v>
      </c>
    </row>
    <row r="3567" spans="1:4" x14ac:dyDescent="0.3">
      <c r="A3567" s="43">
        <v>77501</v>
      </c>
      <c r="B3567" s="43">
        <v>750000</v>
      </c>
      <c r="D3567">
        <f t="shared" si="55"/>
        <v>-672499</v>
      </c>
    </row>
    <row r="3568" spans="1:4" x14ac:dyDescent="0.3">
      <c r="A3568" s="42">
        <v>47329</v>
      </c>
      <c r="B3568" s="42">
        <v>750000</v>
      </c>
      <c r="D3568">
        <f t="shared" si="55"/>
        <v>-702671</v>
      </c>
    </row>
    <row r="3569" spans="1:4" x14ac:dyDescent="0.3">
      <c r="A3569" s="43">
        <v>18378</v>
      </c>
      <c r="B3569" s="43">
        <v>900000</v>
      </c>
      <c r="D3569">
        <f t="shared" si="55"/>
        <v>-881622</v>
      </c>
    </row>
    <row r="3570" spans="1:4" x14ac:dyDescent="0.3">
      <c r="A3570" s="42">
        <v>7830611</v>
      </c>
      <c r="B3570" s="42">
        <v>700000</v>
      </c>
      <c r="D3570">
        <f t="shared" si="55"/>
        <v>7130611</v>
      </c>
    </row>
    <row r="3571" spans="1:4" x14ac:dyDescent="0.3">
      <c r="A3571" s="43">
        <v>1141829</v>
      </c>
      <c r="B3571" s="43">
        <v>700000</v>
      </c>
      <c r="D3571">
        <f t="shared" si="55"/>
        <v>441829</v>
      </c>
    </row>
    <row r="3572" spans="1:4" x14ac:dyDescent="0.3">
      <c r="A3572" s="42">
        <v>2694973</v>
      </c>
      <c r="B3572" s="42">
        <v>700000</v>
      </c>
      <c r="D3572">
        <f t="shared" si="55"/>
        <v>1994973</v>
      </c>
    </row>
    <row r="3573" spans="1:4" x14ac:dyDescent="0.3">
      <c r="A3573" s="43">
        <v>10508</v>
      </c>
      <c r="B3573" s="43">
        <v>700000</v>
      </c>
      <c r="D3573">
        <f t="shared" si="55"/>
        <v>-689492</v>
      </c>
    </row>
    <row r="3574" spans="1:4" x14ac:dyDescent="0.3">
      <c r="A3574" s="42">
        <v>2301777</v>
      </c>
      <c r="B3574" s="42">
        <v>650000</v>
      </c>
      <c r="D3574">
        <f t="shared" si="55"/>
        <v>1651777</v>
      </c>
    </row>
    <row r="3575" spans="1:4" x14ac:dyDescent="0.3">
      <c r="A3575" s="43">
        <v>3000000</v>
      </c>
      <c r="B3575" s="43">
        <v>609000</v>
      </c>
      <c r="D3575">
        <f t="shared" si="55"/>
        <v>2391000</v>
      </c>
    </row>
    <row r="3576" spans="1:4" x14ac:dyDescent="0.3">
      <c r="A3576" s="42">
        <v>140530114</v>
      </c>
      <c r="B3576" s="42">
        <v>60000</v>
      </c>
      <c r="D3576">
        <f t="shared" si="55"/>
        <v>140470114</v>
      </c>
    </row>
    <row r="3577" spans="1:4" x14ac:dyDescent="0.3">
      <c r="A3577" s="43">
        <v>13300000</v>
      </c>
      <c r="B3577" s="43">
        <v>600000</v>
      </c>
      <c r="D3577">
        <f t="shared" si="55"/>
        <v>12700000</v>
      </c>
    </row>
    <row r="3578" spans="1:4" x14ac:dyDescent="0.3">
      <c r="A3578" s="42">
        <v>171988</v>
      </c>
      <c r="B3578" s="42">
        <v>600000</v>
      </c>
      <c r="D3578">
        <f t="shared" si="55"/>
        <v>-428012</v>
      </c>
    </row>
    <row r="3579" spans="1:4" x14ac:dyDescent="0.3">
      <c r="A3579" s="43">
        <v>23616</v>
      </c>
      <c r="B3579" s="43">
        <v>600000</v>
      </c>
      <c r="D3579">
        <f t="shared" si="55"/>
        <v>-576384</v>
      </c>
    </row>
    <row r="3580" spans="1:4" x14ac:dyDescent="0.3">
      <c r="A3580" s="42">
        <v>515005</v>
      </c>
      <c r="B3580" s="42">
        <v>560000</v>
      </c>
      <c r="D3580">
        <f t="shared" si="55"/>
        <v>-44995</v>
      </c>
    </row>
    <row r="3581" spans="1:4" x14ac:dyDescent="0.3">
      <c r="A3581" s="43">
        <v>2245</v>
      </c>
      <c r="B3581" s="43">
        <v>560000</v>
      </c>
      <c r="D3581">
        <f t="shared" si="55"/>
        <v>-557755</v>
      </c>
    </row>
    <row r="3582" spans="1:4" x14ac:dyDescent="0.3">
      <c r="A3582" s="42">
        <v>33451479</v>
      </c>
      <c r="B3582" s="42">
        <v>500000</v>
      </c>
      <c r="D3582">
        <f t="shared" si="55"/>
        <v>32951479</v>
      </c>
    </row>
    <row r="3583" spans="1:4" x14ac:dyDescent="0.3">
      <c r="A3583" s="43">
        <v>39552600</v>
      </c>
      <c r="B3583" s="43">
        <v>500000</v>
      </c>
      <c r="D3583">
        <f t="shared" si="55"/>
        <v>39052600</v>
      </c>
    </row>
    <row r="3584" spans="1:4" x14ac:dyDescent="0.3">
      <c r="A3584" s="42">
        <v>30500882</v>
      </c>
      <c r="B3584" s="42">
        <v>500000</v>
      </c>
      <c r="D3584">
        <f t="shared" si="55"/>
        <v>30000882</v>
      </c>
    </row>
    <row r="3585" spans="1:4" x14ac:dyDescent="0.3">
      <c r="A3585" s="43">
        <v>17000000</v>
      </c>
      <c r="B3585" s="43">
        <v>500000</v>
      </c>
      <c r="D3585">
        <f t="shared" si="55"/>
        <v>16500000</v>
      </c>
    </row>
    <row r="3586" spans="1:4" x14ac:dyDescent="0.3">
      <c r="A3586" s="42">
        <v>5739376</v>
      </c>
      <c r="B3586" s="42">
        <v>500000</v>
      </c>
      <c r="D3586">
        <f t="shared" ref="D3586:D3649" si="56">A3586-B3586</f>
        <v>5239376</v>
      </c>
    </row>
    <row r="3587" spans="1:4" x14ac:dyDescent="0.3">
      <c r="A3587" s="43">
        <v>3773863</v>
      </c>
      <c r="B3587" s="43">
        <v>1000000</v>
      </c>
      <c r="D3587">
        <f t="shared" si="56"/>
        <v>2773863</v>
      </c>
    </row>
    <row r="3588" spans="1:4" x14ac:dyDescent="0.3">
      <c r="A3588" s="42">
        <v>2047570</v>
      </c>
      <c r="B3588" s="42">
        <v>500000</v>
      </c>
      <c r="D3588">
        <f t="shared" si="56"/>
        <v>1547570</v>
      </c>
    </row>
    <row r="3589" spans="1:4" x14ac:dyDescent="0.3">
      <c r="A3589" s="43">
        <v>1250798</v>
      </c>
      <c r="B3589" s="43">
        <v>500000</v>
      </c>
      <c r="D3589">
        <f t="shared" si="56"/>
        <v>750798</v>
      </c>
    </row>
    <row r="3590" spans="1:4" x14ac:dyDescent="0.3">
      <c r="A3590" s="42">
        <v>906666</v>
      </c>
      <c r="B3590" s="42">
        <v>500000</v>
      </c>
      <c r="D3590">
        <f t="shared" si="56"/>
        <v>406666</v>
      </c>
    </row>
    <row r="3591" spans="1:4" x14ac:dyDescent="0.3">
      <c r="A3591" s="43">
        <v>1114943</v>
      </c>
      <c r="B3591" s="43">
        <v>500000</v>
      </c>
      <c r="D3591">
        <f t="shared" si="56"/>
        <v>614943</v>
      </c>
    </row>
    <row r="3592" spans="1:4" x14ac:dyDescent="0.3">
      <c r="A3592" s="42">
        <v>1111615</v>
      </c>
      <c r="B3592" s="42">
        <v>500000</v>
      </c>
      <c r="D3592">
        <f t="shared" si="56"/>
        <v>611615</v>
      </c>
    </row>
    <row r="3593" spans="1:4" x14ac:dyDescent="0.3">
      <c r="A3593" s="43">
        <v>985341</v>
      </c>
      <c r="B3593" s="43">
        <v>500000</v>
      </c>
      <c r="D3593">
        <f t="shared" si="56"/>
        <v>485341</v>
      </c>
    </row>
    <row r="3594" spans="1:4" x14ac:dyDescent="0.3">
      <c r="A3594" s="42">
        <v>603943</v>
      </c>
      <c r="B3594" s="42">
        <v>500000</v>
      </c>
      <c r="D3594">
        <f t="shared" si="56"/>
        <v>103943</v>
      </c>
    </row>
    <row r="3595" spans="1:4" x14ac:dyDescent="0.3">
      <c r="A3595" s="43">
        <v>334041</v>
      </c>
      <c r="B3595" s="43">
        <v>500000</v>
      </c>
      <c r="D3595">
        <f t="shared" si="56"/>
        <v>-165959</v>
      </c>
    </row>
    <row r="3596" spans="1:4" x14ac:dyDescent="0.3">
      <c r="A3596" s="42">
        <v>295468</v>
      </c>
      <c r="B3596" s="42">
        <v>500000</v>
      </c>
      <c r="D3596">
        <f t="shared" si="56"/>
        <v>-204532</v>
      </c>
    </row>
    <row r="3597" spans="1:4" x14ac:dyDescent="0.3">
      <c r="A3597" s="43">
        <v>243347</v>
      </c>
      <c r="B3597" s="43">
        <v>500000</v>
      </c>
      <c r="D3597">
        <f t="shared" si="56"/>
        <v>-256653</v>
      </c>
    </row>
    <row r="3598" spans="1:4" x14ac:dyDescent="0.3">
      <c r="A3598" s="42">
        <v>154077</v>
      </c>
      <c r="B3598" s="42">
        <v>500000</v>
      </c>
      <c r="D3598">
        <f t="shared" si="56"/>
        <v>-345923</v>
      </c>
    </row>
    <row r="3599" spans="1:4" x14ac:dyDescent="0.3">
      <c r="A3599" s="43">
        <v>151389</v>
      </c>
      <c r="B3599" s="43">
        <v>500000</v>
      </c>
      <c r="D3599">
        <f t="shared" si="56"/>
        <v>-348611</v>
      </c>
    </row>
    <row r="3600" spans="1:4" x14ac:dyDescent="0.3">
      <c r="A3600" s="42">
        <v>269061</v>
      </c>
      <c r="B3600" s="42">
        <v>2000000</v>
      </c>
      <c r="D3600">
        <f t="shared" si="56"/>
        <v>-1730939</v>
      </c>
    </row>
    <row r="3601" spans="1:4" x14ac:dyDescent="0.3">
      <c r="A3601" s="43">
        <v>133778</v>
      </c>
      <c r="B3601" s="43">
        <v>500000</v>
      </c>
      <c r="D3601">
        <f t="shared" si="56"/>
        <v>-366222</v>
      </c>
    </row>
    <row r="3602" spans="1:4" x14ac:dyDescent="0.3">
      <c r="A3602" s="42">
        <v>52850</v>
      </c>
      <c r="B3602" s="42">
        <v>500000</v>
      </c>
      <c r="D3602">
        <f t="shared" si="56"/>
        <v>-447150</v>
      </c>
    </row>
    <row r="3603" spans="1:4" x14ac:dyDescent="0.3">
      <c r="A3603" s="43">
        <v>98017</v>
      </c>
      <c r="B3603" s="43">
        <v>500000</v>
      </c>
      <c r="D3603">
        <f t="shared" si="56"/>
        <v>-401983</v>
      </c>
    </row>
    <row r="3604" spans="1:4" x14ac:dyDescent="0.3">
      <c r="A3604" s="42">
        <v>31937</v>
      </c>
      <c r="B3604" s="42">
        <v>500000</v>
      </c>
      <c r="D3604">
        <f t="shared" si="56"/>
        <v>-468063</v>
      </c>
    </row>
    <row r="3605" spans="1:4" x14ac:dyDescent="0.3">
      <c r="A3605" s="43">
        <v>13134</v>
      </c>
      <c r="B3605" s="43">
        <v>500000</v>
      </c>
      <c r="D3605">
        <f t="shared" si="56"/>
        <v>-486866</v>
      </c>
    </row>
    <row r="3606" spans="1:4" x14ac:dyDescent="0.3">
      <c r="A3606" s="42">
        <v>237301</v>
      </c>
      <c r="B3606" s="42">
        <v>500000</v>
      </c>
      <c r="D3606">
        <f t="shared" si="56"/>
        <v>-262699</v>
      </c>
    </row>
    <row r="3607" spans="1:4" x14ac:dyDescent="0.3">
      <c r="A3607" s="43">
        <v>12055</v>
      </c>
      <c r="B3607" s="43">
        <v>500000</v>
      </c>
      <c r="D3607">
        <f t="shared" si="56"/>
        <v>-487945</v>
      </c>
    </row>
    <row r="3608" spans="1:4" x14ac:dyDescent="0.3">
      <c r="A3608" s="42">
        <v>1332</v>
      </c>
      <c r="B3608" s="42">
        <v>500000</v>
      </c>
      <c r="D3608">
        <f t="shared" si="56"/>
        <v>-498668</v>
      </c>
    </row>
    <row r="3609" spans="1:4" x14ac:dyDescent="0.3">
      <c r="A3609" s="43">
        <v>21199</v>
      </c>
      <c r="B3609" s="43">
        <v>500000</v>
      </c>
      <c r="D3609">
        <f t="shared" si="56"/>
        <v>-478801</v>
      </c>
    </row>
    <row r="3610" spans="1:4" x14ac:dyDescent="0.3">
      <c r="A3610" s="42">
        <v>2712293</v>
      </c>
      <c r="B3610" s="42">
        <v>450000</v>
      </c>
      <c r="D3610">
        <f t="shared" si="56"/>
        <v>2262293</v>
      </c>
    </row>
    <row r="3611" spans="1:4" x14ac:dyDescent="0.3">
      <c r="A3611" s="43">
        <v>768045</v>
      </c>
      <c r="B3611" s="43">
        <v>2000000</v>
      </c>
      <c r="D3611">
        <f t="shared" si="56"/>
        <v>-1231955</v>
      </c>
    </row>
    <row r="3612" spans="1:4" x14ac:dyDescent="0.3">
      <c r="A3612" s="42">
        <v>379122</v>
      </c>
      <c r="B3612" s="42">
        <v>450000</v>
      </c>
      <c r="D3612">
        <f t="shared" si="56"/>
        <v>-70878</v>
      </c>
    </row>
    <row r="3613" spans="1:4" x14ac:dyDescent="0.3">
      <c r="A3613" s="43">
        <v>23000</v>
      </c>
      <c r="B3613" s="43">
        <v>500000</v>
      </c>
      <c r="D3613">
        <f t="shared" si="56"/>
        <v>-477000</v>
      </c>
    </row>
    <row r="3614" spans="1:4" x14ac:dyDescent="0.3">
      <c r="A3614" s="42">
        <v>2300000</v>
      </c>
      <c r="B3614" s="42">
        <v>439000</v>
      </c>
      <c r="D3614">
        <f t="shared" si="56"/>
        <v>1861000</v>
      </c>
    </row>
    <row r="3615" spans="1:4" x14ac:dyDescent="0.3">
      <c r="A3615" s="43">
        <v>2938208</v>
      </c>
      <c r="B3615" s="43">
        <v>225000</v>
      </c>
      <c r="D3615">
        <f t="shared" si="56"/>
        <v>2713208</v>
      </c>
    </row>
    <row r="3616" spans="1:4" x14ac:dyDescent="0.3">
      <c r="A3616" s="42">
        <v>9910</v>
      </c>
      <c r="B3616" s="42">
        <v>25000000</v>
      </c>
      <c r="D3616">
        <f t="shared" si="56"/>
        <v>-24990090</v>
      </c>
    </row>
    <row r="3617" spans="1:4" x14ac:dyDescent="0.3">
      <c r="A3617" s="43">
        <v>44540956</v>
      </c>
      <c r="B3617" s="43">
        <v>400000</v>
      </c>
      <c r="D3617">
        <f t="shared" si="56"/>
        <v>44140956</v>
      </c>
    </row>
    <row r="3618" spans="1:4" x14ac:dyDescent="0.3">
      <c r="A3618" s="42">
        <v>258113</v>
      </c>
      <c r="B3618" s="42">
        <v>1066167</v>
      </c>
      <c r="D3618">
        <f t="shared" si="56"/>
        <v>-808054</v>
      </c>
    </row>
    <row r="3619" spans="1:4" x14ac:dyDescent="0.3">
      <c r="A3619" s="43">
        <v>107917283</v>
      </c>
      <c r="B3619" s="43">
        <v>15000</v>
      </c>
      <c r="D3619">
        <f t="shared" si="56"/>
        <v>107902283</v>
      </c>
    </row>
    <row r="3620" spans="1:4" x14ac:dyDescent="0.3">
      <c r="A3620" s="42">
        <v>1229197</v>
      </c>
      <c r="B3620" s="42">
        <v>229575</v>
      </c>
      <c r="D3620">
        <f t="shared" si="56"/>
        <v>999622</v>
      </c>
    </row>
    <row r="3621" spans="1:4" x14ac:dyDescent="0.3">
      <c r="A3621" s="43">
        <v>1689999</v>
      </c>
      <c r="B3621" s="43">
        <v>400000</v>
      </c>
      <c r="D3621">
        <f t="shared" si="56"/>
        <v>1289999</v>
      </c>
    </row>
    <row r="3622" spans="1:4" x14ac:dyDescent="0.3">
      <c r="A3622" s="42">
        <v>11798</v>
      </c>
      <c r="B3622" s="42">
        <v>100000</v>
      </c>
      <c r="D3622">
        <f t="shared" si="56"/>
        <v>-88202</v>
      </c>
    </row>
    <row r="3623" spans="1:4" x14ac:dyDescent="0.3">
      <c r="A3623" s="43">
        <v>592014</v>
      </c>
      <c r="B3623" s="43">
        <v>218</v>
      </c>
      <c r="D3623">
        <f t="shared" si="56"/>
        <v>591796</v>
      </c>
    </row>
    <row r="3624" spans="1:4" x14ac:dyDescent="0.3">
      <c r="A3624" s="42">
        <v>425899</v>
      </c>
      <c r="B3624" s="42">
        <v>400000</v>
      </c>
      <c r="D3624">
        <f t="shared" si="56"/>
        <v>25899</v>
      </c>
    </row>
    <row r="3625" spans="1:4" x14ac:dyDescent="0.3">
      <c r="A3625" s="43">
        <v>126387</v>
      </c>
      <c r="B3625" s="43">
        <v>400000</v>
      </c>
      <c r="D3625">
        <f t="shared" si="56"/>
        <v>-273613</v>
      </c>
    </row>
    <row r="3626" spans="1:4" x14ac:dyDescent="0.3">
      <c r="A3626" s="42">
        <v>80276912</v>
      </c>
      <c r="B3626" s="42">
        <v>35000000</v>
      </c>
      <c r="D3626">
        <f t="shared" si="56"/>
        <v>45276912</v>
      </c>
    </row>
    <row r="3627" spans="1:4" x14ac:dyDescent="0.3">
      <c r="A3627" s="43">
        <v>617172</v>
      </c>
      <c r="B3627" s="43">
        <v>375000</v>
      </c>
      <c r="D3627">
        <f t="shared" si="56"/>
        <v>242172</v>
      </c>
    </row>
    <row r="3628" spans="1:4" x14ac:dyDescent="0.3">
      <c r="A3628" s="42">
        <v>2808000</v>
      </c>
      <c r="B3628" s="42">
        <v>379000</v>
      </c>
      <c r="D3628">
        <f t="shared" si="56"/>
        <v>2429000</v>
      </c>
    </row>
    <row r="3629" spans="1:4" x14ac:dyDescent="0.3">
      <c r="A3629" s="43">
        <v>12843</v>
      </c>
      <c r="B3629" s="43">
        <v>6000000</v>
      </c>
      <c r="D3629">
        <f t="shared" si="56"/>
        <v>-5987157</v>
      </c>
    </row>
    <row r="3630" spans="1:4" x14ac:dyDescent="0.3">
      <c r="A3630" s="42">
        <v>34151</v>
      </c>
      <c r="B3630" s="42">
        <v>450000</v>
      </c>
      <c r="D3630">
        <f t="shared" si="56"/>
        <v>-415849</v>
      </c>
    </row>
    <row r="3631" spans="1:4" x14ac:dyDescent="0.3">
      <c r="A3631" s="43">
        <v>1523883</v>
      </c>
      <c r="B3631" s="43">
        <v>1750211</v>
      </c>
      <c r="D3631">
        <f t="shared" si="56"/>
        <v>-226328</v>
      </c>
    </row>
    <row r="3632" spans="1:4" x14ac:dyDescent="0.3">
      <c r="A3632" s="42">
        <v>4000000</v>
      </c>
      <c r="B3632" s="42">
        <v>350000</v>
      </c>
      <c r="D3632">
        <f t="shared" si="56"/>
        <v>3650000</v>
      </c>
    </row>
    <row r="3633" spans="1:4" x14ac:dyDescent="0.3">
      <c r="A3633" s="43">
        <v>1281176</v>
      </c>
      <c r="B3633" s="43">
        <v>312000</v>
      </c>
      <c r="D3633">
        <f t="shared" si="56"/>
        <v>969176</v>
      </c>
    </row>
    <row r="3634" spans="1:4" x14ac:dyDescent="0.3">
      <c r="A3634" s="42">
        <v>16115878</v>
      </c>
      <c r="B3634" s="42">
        <v>8000000</v>
      </c>
      <c r="D3634">
        <f t="shared" si="56"/>
        <v>8115878</v>
      </c>
    </row>
    <row r="3635" spans="1:4" x14ac:dyDescent="0.3">
      <c r="A3635" s="43">
        <v>1652472</v>
      </c>
      <c r="B3635" s="43">
        <v>300000</v>
      </c>
      <c r="D3635">
        <f t="shared" si="56"/>
        <v>1352472</v>
      </c>
    </row>
    <row r="3636" spans="1:4" x14ac:dyDescent="0.3">
      <c r="A3636" s="42">
        <v>2360184</v>
      </c>
      <c r="B3636" s="42">
        <v>300000</v>
      </c>
      <c r="D3636">
        <f t="shared" si="56"/>
        <v>2060184</v>
      </c>
    </row>
    <row r="3637" spans="1:4" x14ac:dyDescent="0.3">
      <c r="A3637" s="43">
        <v>255352</v>
      </c>
      <c r="B3637" s="43">
        <v>300000</v>
      </c>
      <c r="D3637">
        <f t="shared" si="56"/>
        <v>-44648</v>
      </c>
    </row>
    <row r="3638" spans="1:4" x14ac:dyDescent="0.3">
      <c r="A3638" s="42">
        <v>856942</v>
      </c>
      <c r="B3638" s="42">
        <v>200000</v>
      </c>
      <c r="D3638">
        <f t="shared" si="56"/>
        <v>656942</v>
      </c>
    </row>
    <row r="3639" spans="1:4" x14ac:dyDescent="0.3">
      <c r="A3639" s="43">
        <v>16892</v>
      </c>
      <c r="B3639" s="43">
        <v>300000</v>
      </c>
      <c r="D3639">
        <f t="shared" si="56"/>
        <v>-283108</v>
      </c>
    </row>
    <row r="3640" spans="1:4" x14ac:dyDescent="0.3">
      <c r="A3640" s="42">
        <v>12438</v>
      </c>
      <c r="B3640" s="42">
        <v>160000</v>
      </c>
      <c r="D3640">
        <f t="shared" si="56"/>
        <v>-147562</v>
      </c>
    </row>
    <row r="3641" spans="1:4" x14ac:dyDescent="0.3">
      <c r="A3641" s="43">
        <v>40542</v>
      </c>
      <c r="B3641" s="43">
        <v>300000</v>
      </c>
      <c r="D3641">
        <f t="shared" si="56"/>
        <v>-259458</v>
      </c>
    </row>
    <row r="3642" spans="1:4" x14ac:dyDescent="0.3">
      <c r="A3642" s="42">
        <v>5199</v>
      </c>
      <c r="B3642" s="42">
        <v>200000</v>
      </c>
      <c r="D3642">
        <f t="shared" si="56"/>
        <v>-194801</v>
      </c>
    </row>
    <row r="3643" spans="1:4" x14ac:dyDescent="0.3">
      <c r="A3643" s="43">
        <v>2468</v>
      </c>
      <c r="B3643" s="43">
        <v>300000</v>
      </c>
      <c r="D3643">
        <f t="shared" si="56"/>
        <v>-297532</v>
      </c>
    </row>
    <row r="3644" spans="1:4" x14ac:dyDescent="0.3">
      <c r="A3644" s="42">
        <v>318622</v>
      </c>
      <c r="B3644" s="42">
        <v>270000</v>
      </c>
      <c r="D3644">
        <f t="shared" si="56"/>
        <v>48622</v>
      </c>
    </row>
    <row r="3645" spans="1:4" x14ac:dyDescent="0.3">
      <c r="A3645" s="43">
        <v>12006514</v>
      </c>
      <c r="B3645" s="43">
        <v>250000</v>
      </c>
      <c r="D3645">
        <f t="shared" si="56"/>
        <v>11756514</v>
      </c>
    </row>
    <row r="3646" spans="1:4" x14ac:dyDescent="0.3">
      <c r="A3646" s="42">
        <v>4186931</v>
      </c>
      <c r="B3646" s="42">
        <v>250000</v>
      </c>
      <c r="D3646">
        <f t="shared" si="56"/>
        <v>3936931</v>
      </c>
    </row>
    <row r="3647" spans="1:4" x14ac:dyDescent="0.3">
      <c r="A3647" s="43">
        <v>3799339</v>
      </c>
      <c r="B3647" s="43">
        <v>250000</v>
      </c>
      <c r="D3647">
        <f t="shared" si="56"/>
        <v>3549339</v>
      </c>
    </row>
    <row r="3648" spans="1:4" x14ac:dyDescent="0.3">
      <c r="A3648" s="42">
        <v>1977544</v>
      </c>
      <c r="B3648" s="42">
        <v>250000</v>
      </c>
      <c r="D3648">
        <f t="shared" si="56"/>
        <v>1727544</v>
      </c>
    </row>
    <row r="3649" spans="1:4" x14ac:dyDescent="0.3">
      <c r="A3649" s="43">
        <v>1050600</v>
      </c>
      <c r="B3649" s="43">
        <v>250000</v>
      </c>
      <c r="D3649">
        <f t="shared" si="56"/>
        <v>800600</v>
      </c>
    </row>
    <row r="3650" spans="1:4" x14ac:dyDescent="0.3">
      <c r="A3650" s="42">
        <v>902835</v>
      </c>
      <c r="B3650" s="42">
        <v>250000</v>
      </c>
      <c r="D3650">
        <f t="shared" ref="D3650:D3712" si="57">A3650-B3650</f>
        <v>652835</v>
      </c>
    </row>
    <row r="3651" spans="1:4" x14ac:dyDescent="0.3">
      <c r="A3651" s="43">
        <v>489220</v>
      </c>
      <c r="B3651" s="43">
        <v>365000</v>
      </c>
      <c r="D3651">
        <f t="shared" si="57"/>
        <v>124220</v>
      </c>
    </row>
    <row r="3652" spans="1:4" x14ac:dyDescent="0.3">
      <c r="A3652" s="42">
        <v>212285</v>
      </c>
      <c r="B3652" s="42">
        <v>250000</v>
      </c>
      <c r="D3652">
        <f t="shared" si="57"/>
        <v>-37715</v>
      </c>
    </row>
    <row r="3653" spans="1:4" x14ac:dyDescent="0.3">
      <c r="A3653" s="43">
        <v>203134</v>
      </c>
      <c r="B3653" s="43">
        <v>250000</v>
      </c>
      <c r="D3653">
        <f t="shared" si="57"/>
        <v>-46866</v>
      </c>
    </row>
    <row r="3654" spans="1:4" x14ac:dyDescent="0.3">
      <c r="A3654" s="42">
        <v>191309</v>
      </c>
      <c r="B3654" s="42">
        <v>150000</v>
      </c>
      <c r="D3654">
        <f t="shared" si="57"/>
        <v>41309</v>
      </c>
    </row>
    <row r="3655" spans="1:4" x14ac:dyDescent="0.3">
      <c r="A3655" s="43">
        <v>3388210</v>
      </c>
      <c r="B3655" s="43">
        <v>250000</v>
      </c>
      <c r="D3655">
        <f t="shared" si="57"/>
        <v>3138210</v>
      </c>
    </row>
    <row r="3656" spans="1:4" x14ac:dyDescent="0.3">
      <c r="A3656" s="42">
        <v>177840</v>
      </c>
      <c r="B3656" s="42">
        <v>250000</v>
      </c>
      <c r="D3656">
        <f t="shared" si="57"/>
        <v>-72160</v>
      </c>
    </row>
    <row r="3657" spans="1:4" x14ac:dyDescent="0.3">
      <c r="A3657" s="43">
        <v>49494</v>
      </c>
      <c r="B3657" s="43">
        <v>250000</v>
      </c>
      <c r="D3657">
        <f t="shared" si="57"/>
        <v>-200506</v>
      </c>
    </row>
    <row r="3658" spans="1:4" x14ac:dyDescent="0.3">
      <c r="A3658" s="42">
        <v>18195</v>
      </c>
      <c r="B3658" s="42">
        <v>250000</v>
      </c>
      <c r="D3658">
        <f t="shared" si="57"/>
        <v>-231805</v>
      </c>
    </row>
    <row r="3659" spans="1:4" x14ac:dyDescent="0.3">
      <c r="A3659" s="43">
        <v>111300</v>
      </c>
      <c r="B3659" s="43">
        <v>225000</v>
      </c>
      <c r="D3659">
        <f t="shared" si="57"/>
        <v>-113700</v>
      </c>
    </row>
    <row r="3660" spans="1:4" x14ac:dyDescent="0.3">
      <c r="A3660" s="42">
        <v>1027119</v>
      </c>
      <c r="B3660" s="42">
        <v>225000</v>
      </c>
      <c r="D3660">
        <f t="shared" si="57"/>
        <v>802119</v>
      </c>
    </row>
    <row r="3661" spans="1:4" x14ac:dyDescent="0.3">
      <c r="A3661" s="43">
        <v>5000000</v>
      </c>
      <c r="B3661" s="43">
        <v>210000</v>
      </c>
      <c r="D3661">
        <f t="shared" si="57"/>
        <v>4790000</v>
      </c>
    </row>
    <row r="3662" spans="1:4" x14ac:dyDescent="0.3">
      <c r="A3662" s="42">
        <v>4505922</v>
      </c>
      <c r="B3662" s="42">
        <v>200000</v>
      </c>
      <c r="D3662">
        <f t="shared" si="57"/>
        <v>4305922</v>
      </c>
    </row>
    <row r="3663" spans="1:4" x14ac:dyDescent="0.3">
      <c r="A3663" s="43">
        <v>3500000</v>
      </c>
      <c r="B3663" s="43">
        <v>200000</v>
      </c>
      <c r="D3663">
        <f t="shared" si="57"/>
        <v>3300000</v>
      </c>
    </row>
    <row r="3664" spans="1:4" x14ac:dyDescent="0.3">
      <c r="A3664" s="42">
        <v>381225</v>
      </c>
      <c r="B3664" s="42">
        <v>200000</v>
      </c>
      <c r="D3664">
        <f t="shared" si="57"/>
        <v>181225</v>
      </c>
    </row>
    <row r="3665" spans="1:4" x14ac:dyDescent="0.3">
      <c r="A3665" s="43">
        <v>2428241</v>
      </c>
      <c r="B3665" s="43">
        <v>200000</v>
      </c>
      <c r="D3665">
        <f t="shared" si="57"/>
        <v>2228241</v>
      </c>
    </row>
    <row r="3666" spans="1:4" x14ac:dyDescent="0.3">
      <c r="A3666" s="42">
        <v>78030</v>
      </c>
      <c r="B3666" s="42">
        <v>200000</v>
      </c>
      <c r="D3666">
        <f t="shared" si="57"/>
        <v>-121970</v>
      </c>
    </row>
    <row r="3667" spans="1:4" x14ac:dyDescent="0.3">
      <c r="A3667" s="43">
        <v>174682</v>
      </c>
      <c r="B3667" s="43">
        <v>200000</v>
      </c>
      <c r="D3667">
        <f t="shared" si="57"/>
        <v>-25318</v>
      </c>
    </row>
    <row r="3668" spans="1:4" x14ac:dyDescent="0.3">
      <c r="A3668" s="42">
        <v>215185</v>
      </c>
      <c r="B3668" s="42">
        <v>200000</v>
      </c>
      <c r="D3668">
        <f t="shared" si="57"/>
        <v>15185</v>
      </c>
    </row>
    <row r="3669" spans="1:4" x14ac:dyDescent="0.3">
      <c r="A3669" s="43">
        <v>1111</v>
      </c>
      <c r="B3669" s="43">
        <v>200000</v>
      </c>
      <c r="D3669">
        <f t="shared" si="57"/>
        <v>-198889</v>
      </c>
    </row>
    <row r="3670" spans="1:4" x14ac:dyDescent="0.3">
      <c r="A3670" s="42">
        <v>925402</v>
      </c>
      <c r="B3670" s="42">
        <v>180000</v>
      </c>
      <c r="D3670">
        <f t="shared" si="57"/>
        <v>745402</v>
      </c>
    </row>
    <row r="3671" spans="1:4" x14ac:dyDescent="0.3">
      <c r="A3671" s="43">
        <v>469947</v>
      </c>
      <c r="B3671" s="43">
        <v>120000</v>
      </c>
      <c r="D3671">
        <f t="shared" si="57"/>
        <v>349947</v>
      </c>
    </row>
    <row r="3672" spans="1:4" x14ac:dyDescent="0.3">
      <c r="A3672" s="42">
        <v>7137502</v>
      </c>
      <c r="B3672" s="42">
        <v>175000</v>
      </c>
      <c r="D3672">
        <f t="shared" si="57"/>
        <v>6962502</v>
      </c>
    </row>
    <row r="3673" spans="1:4" x14ac:dyDescent="0.3">
      <c r="A3673" s="43">
        <v>1316074</v>
      </c>
      <c r="B3673" s="43">
        <v>100000</v>
      </c>
      <c r="D3673">
        <f t="shared" si="57"/>
        <v>1216074</v>
      </c>
    </row>
    <row r="3674" spans="1:4" x14ac:dyDescent="0.3">
      <c r="A3674" s="42">
        <v>15180000</v>
      </c>
      <c r="B3674" s="42">
        <v>500000</v>
      </c>
      <c r="D3674">
        <f t="shared" si="57"/>
        <v>14680000</v>
      </c>
    </row>
    <row r="3675" spans="1:4" x14ac:dyDescent="0.3">
      <c r="A3675" s="43">
        <v>2882062</v>
      </c>
      <c r="B3675" s="43">
        <v>150000</v>
      </c>
      <c r="D3675">
        <f t="shared" si="57"/>
        <v>2732062</v>
      </c>
    </row>
    <row r="3676" spans="1:4" x14ac:dyDescent="0.3">
      <c r="A3676" s="42">
        <v>9437933</v>
      </c>
      <c r="B3676" s="42">
        <v>180000</v>
      </c>
      <c r="D3676">
        <f t="shared" si="57"/>
        <v>9257933</v>
      </c>
    </row>
    <row r="3677" spans="1:4" x14ac:dyDescent="0.3">
      <c r="A3677" s="43">
        <v>110720</v>
      </c>
      <c r="B3677" s="43">
        <v>1200000</v>
      </c>
      <c r="D3677">
        <f t="shared" si="57"/>
        <v>-1089280</v>
      </c>
    </row>
    <row r="3678" spans="1:4" x14ac:dyDescent="0.3">
      <c r="A3678" s="42">
        <v>155984</v>
      </c>
      <c r="B3678" s="42">
        <v>160000</v>
      </c>
      <c r="D3678">
        <f t="shared" si="57"/>
        <v>-4016</v>
      </c>
    </row>
    <row r="3679" spans="1:4" x14ac:dyDescent="0.3">
      <c r="A3679" s="43">
        <v>4914</v>
      </c>
      <c r="B3679" s="43">
        <v>150000</v>
      </c>
      <c r="D3679">
        <f t="shared" si="57"/>
        <v>-145086</v>
      </c>
    </row>
    <row r="3680" spans="1:4" x14ac:dyDescent="0.3">
      <c r="A3680" s="42">
        <v>5858</v>
      </c>
      <c r="B3680" s="42">
        <v>150000</v>
      </c>
      <c r="D3680">
        <f t="shared" si="57"/>
        <v>-144142</v>
      </c>
    </row>
    <row r="3681" spans="1:4" x14ac:dyDescent="0.3">
      <c r="A3681" s="43">
        <v>6706368</v>
      </c>
      <c r="B3681" s="43">
        <v>160000</v>
      </c>
      <c r="D3681">
        <f t="shared" si="57"/>
        <v>6546368</v>
      </c>
    </row>
    <row r="3682" spans="1:4" x14ac:dyDescent="0.3">
      <c r="A3682" s="42">
        <v>1573712</v>
      </c>
      <c r="B3682" s="42">
        <v>125000</v>
      </c>
      <c r="D3682">
        <f t="shared" si="57"/>
        <v>1448712</v>
      </c>
    </row>
    <row r="3683" spans="1:4" x14ac:dyDescent="0.3">
      <c r="A3683" s="43">
        <v>10174663</v>
      </c>
      <c r="B3683" s="43">
        <v>100000</v>
      </c>
      <c r="D3683">
        <f t="shared" si="57"/>
        <v>10074663</v>
      </c>
    </row>
    <row r="3684" spans="1:4" x14ac:dyDescent="0.3">
      <c r="A3684" s="42">
        <v>22757819</v>
      </c>
      <c r="B3684" s="42">
        <v>100000</v>
      </c>
      <c r="D3684">
        <f t="shared" si="57"/>
        <v>22657819</v>
      </c>
    </row>
    <row r="3685" spans="1:4" x14ac:dyDescent="0.3">
      <c r="A3685" s="43">
        <v>5228617</v>
      </c>
      <c r="B3685" s="43">
        <v>100000</v>
      </c>
      <c r="D3685">
        <f t="shared" si="57"/>
        <v>5128617</v>
      </c>
    </row>
    <row r="3686" spans="1:4" x14ac:dyDescent="0.3">
      <c r="A3686" s="42">
        <v>110536</v>
      </c>
      <c r="B3686" s="42">
        <v>40000</v>
      </c>
      <c r="D3686">
        <f t="shared" si="57"/>
        <v>70536</v>
      </c>
    </row>
    <row r="3687" spans="1:4" x14ac:dyDescent="0.3">
      <c r="A3687" s="43">
        <v>59379</v>
      </c>
      <c r="B3687" s="43">
        <v>200000</v>
      </c>
      <c r="D3687">
        <f t="shared" si="57"/>
        <v>-140621</v>
      </c>
    </row>
    <row r="3688" spans="1:4" x14ac:dyDescent="0.3">
      <c r="A3688" s="42">
        <v>3216970</v>
      </c>
      <c r="B3688" s="42">
        <v>60000</v>
      </c>
      <c r="D3688">
        <f t="shared" si="57"/>
        <v>3156970</v>
      </c>
    </row>
    <row r="3689" spans="1:4" x14ac:dyDescent="0.3">
      <c r="A3689" s="43">
        <v>536767</v>
      </c>
      <c r="B3689" s="43">
        <v>60000</v>
      </c>
      <c r="D3689">
        <f t="shared" si="57"/>
        <v>476767</v>
      </c>
    </row>
    <row r="3690" spans="1:4" x14ac:dyDescent="0.3">
      <c r="A3690" s="42">
        <v>11529368</v>
      </c>
      <c r="B3690" s="42">
        <v>65000</v>
      </c>
      <c r="D3690">
        <f t="shared" si="57"/>
        <v>11464368</v>
      </c>
    </row>
    <row r="3691" spans="1:4" x14ac:dyDescent="0.3">
      <c r="A3691" s="43">
        <v>40557</v>
      </c>
      <c r="B3691" s="43">
        <v>60000</v>
      </c>
      <c r="D3691">
        <f t="shared" si="57"/>
        <v>-19443</v>
      </c>
    </row>
    <row r="3692" spans="1:4" x14ac:dyDescent="0.3">
      <c r="A3692" s="42">
        <v>30084</v>
      </c>
      <c r="B3692" s="42">
        <v>70000</v>
      </c>
      <c r="D3692">
        <f t="shared" si="57"/>
        <v>-39916</v>
      </c>
    </row>
    <row r="3693" spans="1:4" x14ac:dyDescent="0.3">
      <c r="A3693" s="43">
        <v>10246600</v>
      </c>
      <c r="B3693" s="43">
        <v>25000</v>
      </c>
      <c r="D3693">
        <f t="shared" si="57"/>
        <v>10221600</v>
      </c>
    </row>
    <row r="3694" spans="1:4" x14ac:dyDescent="0.3">
      <c r="A3694" s="42">
        <v>389804</v>
      </c>
      <c r="B3694" s="42">
        <v>65000</v>
      </c>
      <c r="D3694">
        <f t="shared" si="57"/>
        <v>324804</v>
      </c>
    </row>
    <row r="3695" spans="1:4" x14ac:dyDescent="0.3">
      <c r="A3695" s="43">
        <v>241816</v>
      </c>
      <c r="B3695" s="43">
        <v>42000</v>
      </c>
      <c r="D3695">
        <f t="shared" si="57"/>
        <v>199816</v>
      </c>
    </row>
    <row r="3696" spans="1:4" x14ac:dyDescent="0.3">
      <c r="A3696" s="42">
        <v>277233</v>
      </c>
      <c r="B3696" s="42">
        <v>40000</v>
      </c>
      <c r="D3696">
        <f t="shared" si="57"/>
        <v>237233</v>
      </c>
    </row>
    <row r="3697" spans="1:4" x14ac:dyDescent="0.3">
      <c r="A3697" s="43">
        <v>243768</v>
      </c>
      <c r="B3697" s="43">
        <v>30000</v>
      </c>
      <c r="D3697">
        <f t="shared" si="57"/>
        <v>213768</v>
      </c>
    </row>
    <row r="3698" spans="1:4" x14ac:dyDescent="0.3">
      <c r="A3698" s="42">
        <v>3151130</v>
      </c>
      <c r="B3698" s="42">
        <v>230000</v>
      </c>
      <c r="D3698">
        <f t="shared" si="57"/>
        <v>2921130</v>
      </c>
    </row>
    <row r="3699" spans="1:4" x14ac:dyDescent="0.3">
      <c r="A3699" s="43">
        <v>8231</v>
      </c>
      <c r="B3699" s="43">
        <v>27000</v>
      </c>
      <c r="D3699">
        <f t="shared" si="57"/>
        <v>-18769</v>
      </c>
    </row>
    <row r="3700" spans="1:4" x14ac:dyDescent="0.3">
      <c r="A3700" s="42">
        <v>2856622</v>
      </c>
      <c r="B3700" s="42">
        <v>25000</v>
      </c>
      <c r="D3700">
        <f t="shared" si="57"/>
        <v>2831622</v>
      </c>
    </row>
    <row r="3701" spans="1:4" x14ac:dyDescent="0.3">
      <c r="A3701" s="43">
        <v>1227508</v>
      </c>
      <c r="B3701" s="43">
        <v>23000</v>
      </c>
      <c r="D3701">
        <f t="shared" si="57"/>
        <v>1204508</v>
      </c>
    </row>
    <row r="3702" spans="1:4" x14ac:dyDescent="0.3">
      <c r="A3702" s="42">
        <v>192467</v>
      </c>
      <c r="B3702" s="42">
        <v>15000</v>
      </c>
      <c r="D3702">
        <f t="shared" si="57"/>
        <v>177467</v>
      </c>
    </row>
    <row r="3703" spans="1:4" x14ac:dyDescent="0.3">
      <c r="A3703" s="43">
        <v>76382</v>
      </c>
      <c r="B3703" s="43">
        <v>15000</v>
      </c>
      <c r="D3703">
        <f t="shared" si="57"/>
        <v>61382</v>
      </c>
    </row>
    <row r="3704" spans="1:4" x14ac:dyDescent="0.3">
      <c r="A3704" s="42">
        <v>180483</v>
      </c>
      <c r="B3704" s="42">
        <v>10000</v>
      </c>
      <c r="D3704">
        <f t="shared" si="57"/>
        <v>170483</v>
      </c>
    </row>
    <row r="3705" spans="1:4" x14ac:dyDescent="0.3">
      <c r="A3705" s="43">
        <v>136007</v>
      </c>
      <c r="B3705" s="43">
        <v>4500</v>
      </c>
      <c r="D3705">
        <f t="shared" si="57"/>
        <v>131507</v>
      </c>
    </row>
    <row r="3706" spans="1:4" x14ac:dyDescent="0.3">
      <c r="A3706" s="42">
        <v>673780</v>
      </c>
      <c r="B3706" s="42">
        <v>10000</v>
      </c>
      <c r="D3706">
        <f t="shared" si="57"/>
        <v>663780</v>
      </c>
    </row>
    <row r="3707" spans="1:4" x14ac:dyDescent="0.3">
      <c r="A3707" s="43">
        <v>94596</v>
      </c>
      <c r="B3707" s="43">
        <v>1000000</v>
      </c>
      <c r="D3707">
        <f t="shared" si="57"/>
        <v>-905404</v>
      </c>
    </row>
    <row r="3708" spans="1:4" x14ac:dyDescent="0.3">
      <c r="A3708" s="42">
        <v>424760</v>
      </c>
      <c r="B3708" s="42">
        <v>7000</v>
      </c>
      <c r="D3708">
        <f t="shared" si="57"/>
        <v>417760</v>
      </c>
    </row>
    <row r="3709" spans="1:4" x14ac:dyDescent="0.3">
      <c r="A3709" s="43">
        <v>70071</v>
      </c>
      <c r="B3709" s="43">
        <v>7000</v>
      </c>
      <c r="D3709">
        <f t="shared" si="57"/>
        <v>63071</v>
      </c>
    </row>
    <row r="3710" spans="1:4" x14ac:dyDescent="0.3">
      <c r="A3710" s="42">
        <v>2040920</v>
      </c>
      <c r="B3710" s="42">
        <v>7000</v>
      </c>
      <c r="D3710">
        <f t="shared" si="57"/>
        <v>2033920</v>
      </c>
    </row>
    <row r="3711" spans="1:4" x14ac:dyDescent="0.3">
      <c r="A3711" s="43">
        <v>4584</v>
      </c>
      <c r="B3711" s="43">
        <v>9000</v>
      </c>
      <c r="D3711">
        <f t="shared" si="57"/>
        <v>-4416</v>
      </c>
    </row>
    <row r="3712" spans="1:4" x14ac:dyDescent="0.3">
      <c r="A3712" s="42">
        <v>85222</v>
      </c>
      <c r="B3712" s="42">
        <v>1100</v>
      </c>
      <c r="D3712">
        <f t="shared" si="57"/>
        <v>84122</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C8613AA-4E2F-4A4C-8CAB-82A7F9E42D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IMDB_Movies</vt:lpstr>
      <vt:lpstr>Movie genre Analysis</vt:lpstr>
      <vt:lpstr>Movie duration analysis</vt:lpstr>
      <vt:lpstr>Language analysis</vt:lpstr>
      <vt:lpstr>Director analysis</vt:lpstr>
      <vt:lpstr>Budget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patil</dc:creator>
  <cp:lastModifiedBy>SAHIL patil</cp:lastModifiedBy>
  <dcterms:created xsi:type="dcterms:W3CDTF">2025-06-11T09:58:13Z</dcterms:created>
  <dcterms:modified xsi:type="dcterms:W3CDTF">2025-06-18T14:36:41Z</dcterms:modified>
</cp:coreProperties>
</file>